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defaultThemeVersion="166925"/>
  <mc:AlternateContent xmlns:mc="http://schemas.openxmlformats.org/markup-compatibility/2006">
    <mc:Choice Requires="x15">
      <x15ac:absPath xmlns:x15ac="http://schemas.microsoft.com/office/spreadsheetml/2010/11/ac" url="\\132.201.0.2\fasundaram\DEBT_BACKOFFICE\Debt_Factsheets\2023 - Monthly Portfolio\10. 31102023\"/>
    </mc:Choice>
  </mc:AlternateContent>
  <xr:revisionPtr revIDLastSave="0" documentId="13_ncr:1_{642B5CE6-EF20-42AE-908B-C6F09B2C123D}" xr6:coauthVersionLast="47" xr6:coauthVersionMax="47" xr10:uidLastSave="{00000000-0000-0000-0000-000000000000}"/>
  <bookViews>
    <workbookView xWindow="-120" yWindow="-120" windowWidth="19440" windowHeight="15000" tabRatio="955" xr2:uid="{00000000-000D-0000-FFFF-FFFF00000000}"/>
  </bookViews>
  <sheets>
    <sheet name="Index" sheetId="29" r:id="rId1"/>
    <sheet name="CAPEXG" sheetId="1" r:id="rId2"/>
    <sheet name="GLOB" sheetId="28" r:id="rId3"/>
    <sheet name="MIDCAP" sheetId="2" r:id="rId4"/>
    <sheet name="MULTIP" sheetId="3" r:id="rId5"/>
    <sheet name="SLTADV3" sheetId="4" r:id="rId6"/>
    <sheet name="SLTADV4" sheetId="5" r:id="rId7"/>
    <sheet name="SLTAX1" sheetId="6" r:id="rId8"/>
    <sheet name="SLTAX2" sheetId="7" r:id="rId9"/>
    <sheet name="SLTAX3" sheetId="8" r:id="rId10"/>
    <sheet name="SLTAX4" sheetId="9" r:id="rId11"/>
    <sheet name="SLTAX5" sheetId="10" r:id="rId12"/>
    <sheet name="SLTAX6" sheetId="11" r:id="rId13"/>
    <sheet name="SMILE" sheetId="12" r:id="rId14"/>
    <sheet name="SPAHF" sheetId="13" r:id="rId15"/>
    <sheet name="SPARF" sheetId="14" r:id="rId16"/>
    <sheet name="SPBAF" sheetId="15" r:id="rId17"/>
    <sheet name="SPDYF" sheetId="16" r:id="rId18"/>
    <sheet name="SPESF" sheetId="17" r:id="rId19"/>
    <sheet name="SPFOCUS" sheetId="18" r:id="rId20"/>
    <sheet name="SPMUCF" sheetId="19" r:id="rId21"/>
    <sheet name="SPSN100" sheetId="20" r:id="rId22"/>
    <sheet name="SPTAX" sheetId="21" r:id="rId23"/>
    <sheet name="SRURAL" sheetId="22" r:id="rId24"/>
    <sheet name="SSFUND" sheetId="23" r:id="rId25"/>
    <sheet name="STAX" sheetId="24" r:id="rId26"/>
    <sheet name="SUNBCF" sheetId="25" r:id="rId27"/>
    <sheet name="SUNFCF" sheetId="26" r:id="rId28"/>
    <sheet name="SUNFOP" sheetId="27" r:id="rId29"/>
    <sheet name="Annexure-A" sheetId="30" r:id="rId30"/>
  </sheets>
  <definedNames>
    <definedName name="_xlnm._FilterDatabase" localSheetId="0" hidden="1">Index!$A$1:$D$28</definedName>
    <definedName name="_xlnm._FilterDatabase" localSheetId="14" hidden="1">SPAHF!$A$6:$G$225</definedName>
    <definedName name="_xlnm._FilterDatabase" localSheetId="16" hidden="1">SPBAF!$A$6:$G$223</definedName>
  </definedNames>
  <calcPr calcId="191029" iterateDelta="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40" i="13" l="1"/>
  <c r="F140" i="13"/>
  <c r="F103" i="13" l="1"/>
  <c r="F87" i="15" l="1"/>
  <c r="F127" i="15" l="1"/>
</calcChain>
</file>

<file path=xl/sharedStrings.xml><?xml version="1.0" encoding="utf-8"?>
<sst xmlns="http://schemas.openxmlformats.org/spreadsheetml/2006/main" count="8940" uniqueCount="1203">
  <si>
    <t>SUNDARAM MUTUAL FUND</t>
  </si>
  <si>
    <t>Sundaram Infrastructure Advantage Fund</t>
  </si>
  <si>
    <t>SL No</t>
  </si>
  <si>
    <t>ISIN Code</t>
  </si>
  <si>
    <t>Name of the instrument</t>
  </si>
  <si>
    <t>Rating / 
Industry</t>
  </si>
  <si>
    <t>Quantity</t>
  </si>
  <si>
    <t>Mkt Value
Rs. in Lacs</t>
  </si>
  <si>
    <t>% of Net Asset</t>
  </si>
  <si>
    <t>A) Equity &amp; Equity Related</t>
  </si>
  <si>
    <t>(a) Listed / awaiting listing on Stock Exchange</t>
  </si>
  <si>
    <t>INE018A01030</t>
  </si>
  <si>
    <t>Larsen &amp; Toubro Ltd</t>
  </si>
  <si>
    <t>Construction</t>
  </si>
  <si>
    <t>INE002A01018</t>
  </si>
  <si>
    <t>Reliance Industries Ltd</t>
  </si>
  <si>
    <t>Petroleum Products</t>
  </si>
  <si>
    <t>INE397D01024</t>
  </si>
  <si>
    <t>Bharti Airtel Ltd</t>
  </si>
  <si>
    <t>Telecom - Services</t>
  </si>
  <si>
    <t>INE733E01010</t>
  </si>
  <si>
    <t>NTPC LTD</t>
  </si>
  <si>
    <t>Power</t>
  </si>
  <si>
    <t>INE481G01011</t>
  </si>
  <si>
    <t>Ultratech Cement Ltd</t>
  </si>
  <si>
    <t>Cement &amp; Cement Products</t>
  </si>
  <si>
    <t>INE090A01021</t>
  </si>
  <si>
    <t>ICICI Bank Ltd</t>
  </si>
  <si>
    <t>Banks</t>
  </si>
  <si>
    <t>INE284A01012</t>
  </si>
  <si>
    <t>ESAB India Ltd</t>
  </si>
  <si>
    <t>Industrial Products</t>
  </si>
  <si>
    <t>INE999A01015</t>
  </si>
  <si>
    <t>KSB LTD</t>
  </si>
  <si>
    <t>INE263A01024</t>
  </si>
  <si>
    <t>Bharat Electronics Ltd</t>
  </si>
  <si>
    <t>Aerospace &amp; Defense</t>
  </si>
  <si>
    <t>INE752E01010</t>
  </si>
  <si>
    <t>Power Grid Corporation of India Ltd</t>
  </si>
  <si>
    <t>INE062A01020</t>
  </si>
  <si>
    <t>State Bank of India</t>
  </si>
  <si>
    <t>INE117A01022</t>
  </si>
  <si>
    <t>ABB India Ltd</t>
  </si>
  <si>
    <t>Electrical Equipment</t>
  </si>
  <si>
    <t>INE195J01029</t>
  </si>
  <si>
    <t>PNC Infratech Ltd</t>
  </si>
  <si>
    <t>INE536A01023</t>
  </si>
  <si>
    <t>Grindwell Norton Ltd</t>
  </si>
  <si>
    <t>INE878B01027</t>
  </si>
  <si>
    <t>KEI Industries Ltd</t>
  </si>
  <si>
    <t>INE111A01025</t>
  </si>
  <si>
    <t>Container Corporation of India Ltd</t>
  </si>
  <si>
    <t>Transport Services</t>
  </si>
  <si>
    <t>INE455K01017</t>
  </si>
  <si>
    <t>Polycab India Ltd</t>
  </si>
  <si>
    <t>INE671A01010</t>
  </si>
  <si>
    <t>Honeywell Automation India Ltd</t>
  </si>
  <si>
    <t>Industrial Manufacturing</t>
  </si>
  <si>
    <t>INE935N01020</t>
  </si>
  <si>
    <t>Dixon Technologies (India) Ltd</t>
  </si>
  <si>
    <t>Consumer Durables</t>
  </si>
  <si>
    <t>INE702C01027</t>
  </si>
  <si>
    <t>APL Apollo Tubes Ltd</t>
  </si>
  <si>
    <t>INE00R701025</t>
  </si>
  <si>
    <t>Dalmia Cement (Bharat) Ltd.</t>
  </si>
  <si>
    <t>INE213A01029</t>
  </si>
  <si>
    <t>Oil &amp; Natural Gas Corporation Ltd</t>
  </si>
  <si>
    <t>Oil</t>
  </si>
  <si>
    <t>INE020B01018</t>
  </si>
  <si>
    <t>REC Ltd</t>
  </si>
  <si>
    <t>Finance</t>
  </si>
  <si>
    <t>INE208A01029</t>
  </si>
  <si>
    <t>Ashok Leyland Ltd</t>
  </si>
  <si>
    <t>Agricultural, Commercial &amp; Construction Vehicles</t>
  </si>
  <si>
    <t>INE129A01019</t>
  </si>
  <si>
    <t>GAIL (India) Ltd</t>
  </si>
  <si>
    <t>Gas</t>
  </si>
  <si>
    <t>INE634I01029</t>
  </si>
  <si>
    <t>KNR Construction Ltd</t>
  </si>
  <si>
    <t>INE868B01028</t>
  </si>
  <si>
    <t>NCC Ltd</t>
  </si>
  <si>
    <t>INE245A01021</t>
  </si>
  <si>
    <t>TATA Power Company Ltd</t>
  </si>
  <si>
    <t>INE646L01027</t>
  </si>
  <si>
    <t>Interglobe Aviation Ltd</t>
  </si>
  <si>
    <t>INE340A01012</t>
  </si>
  <si>
    <t>Birla Corporation Ltd</t>
  </si>
  <si>
    <t>INE152M01016</t>
  </si>
  <si>
    <t>Triveni Turbine Ltd</t>
  </si>
  <si>
    <t>INE743M01012</t>
  </si>
  <si>
    <t>RHI Magnesita India Ltd</t>
  </si>
  <si>
    <t>INE093I01010</t>
  </si>
  <si>
    <t>Oberoi Realty Ltd</t>
  </si>
  <si>
    <t>Realty</t>
  </si>
  <si>
    <t>INE003A01024</t>
  </si>
  <si>
    <t>Siemens Ltd</t>
  </si>
  <si>
    <t>INE066F01020</t>
  </si>
  <si>
    <t>Hindustan Aeronautics Ltd</t>
  </si>
  <si>
    <t>INE791I01019</t>
  </si>
  <si>
    <t>Brigade Enterprises Ltd</t>
  </si>
  <si>
    <t>INE585B01010</t>
  </si>
  <si>
    <t>Maruti Suzuki India Ltd</t>
  </si>
  <si>
    <t>Automobiles</t>
  </si>
  <si>
    <t>INE513A01022</t>
  </si>
  <si>
    <t>Schaeffler India Ltd</t>
  </si>
  <si>
    <t>Auto Components</t>
  </si>
  <si>
    <t>INE298A01020</t>
  </si>
  <si>
    <t>Cummins India Ltd</t>
  </si>
  <si>
    <t>INE284S01014</t>
  </si>
  <si>
    <t>S.J.S. Enterprises Ltd</t>
  </si>
  <si>
    <t>INE073K01018</t>
  </si>
  <si>
    <t>Sona BLW Precision Forgings Ltd</t>
  </si>
  <si>
    <t>INE749A01030</t>
  </si>
  <si>
    <t>Jindal Steel &amp; Power Ltd</t>
  </si>
  <si>
    <t>Ferrous Metals</t>
  </si>
  <si>
    <t>INE823G01014</t>
  </si>
  <si>
    <t>JK Cement Ltd</t>
  </si>
  <si>
    <t>INE419M01027</t>
  </si>
  <si>
    <t>TD Power Systems Ltd</t>
  </si>
  <si>
    <t>INE864I01014</t>
  </si>
  <si>
    <t>MTAR Technologies Ltd</t>
  </si>
  <si>
    <t>INE325A01013</t>
  </si>
  <si>
    <t>Timken India Ltd</t>
  </si>
  <si>
    <t>INE006I01046</t>
  </si>
  <si>
    <t>Astral Ltd</t>
  </si>
  <si>
    <t>INE08ZM01014</t>
  </si>
  <si>
    <t>Green Panel Industries Ltd</t>
  </si>
  <si>
    <t>INE395N01027</t>
  </si>
  <si>
    <t>TVS Supply Chain Solutions Ltd</t>
  </si>
  <si>
    <t>INE257A01026</t>
  </si>
  <si>
    <t>Bharat Heavy Electricals Ltd</t>
  </si>
  <si>
    <t>INE029A01011</t>
  </si>
  <si>
    <t>Bharat Petroleum Corporation Ltd</t>
  </si>
  <si>
    <t>INE258A01016</t>
  </si>
  <si>
    <t>BEML Ltd</t>
  </si>
  <si>
    <t>INE201P01022</t>
  </si>
  <si>
    <t>GR Infraprojects Ltd</t>
  </si>
  <si>
    <t>INE766P01016</t>
  </si>
  <si>
    <t>Mahindra Logistics Ltd</t>
  </si>
  <si>
    <t>INE880J01026</t>
  </si>
  <si>
    <t>JSW Inftrastructure Ltd</t>
  </si>
  <si>
    <t>Transport Infrastructure</t>
  </si>
  <si>
    <t>INE551A01022</t>
  </si>
  <si>
    <t>Engineering Services</t>
  </si>
  <si>
    <t>#</t>
  </si>
  <si>
    <t>Sub Total</t>
  </si>
  <si>
    <t/>
  </si>
  <si>
    <t>(b) Overseas Security</t>
  </si>
  <si>
    <t xml:space="preserve">0 </t>
  </si>
  <si>
    <t>(c) Privately Placed / Unlisted</t>
  </si>
  <si>
    <t>(d) Preference / Right Shares</t>
  </si>
  <si>
    <t>(e) Warrants</t>
  </si>
  <si>
    <t>f) Derivative</t>
  </si>
  <si>
    <t>Total for Equity &amp; Equity Related</t>
  </si>
  <si>
    <t>B) Debt Instruments</t>
  </si>
  <si>
    <t>(b) Privately Placed / Unlisted</t>
  </si>
  <si>
    <t>(c) Govt Security</t>
  </si>
  <si>
    <t>(d) Securitized Debt Instruments</t>
  </si>
  <si>
    <t>Total for Debt Instruments</t>
  </si>
  <si>
    <t>C) Money Market Instruments</t>
  </si>
  <si>
    <t>(a) Certificate of Deposits</t>
  </si>
  <si>
    <t>(b) Commercial Papers</t>
  </si>
  <si>
    <t>(c) Treasury Bills</t>
  </si>
  <si>
    <t>(d) ReverseRepo / TREPS</t>
  </si>
  <si>
    <t>TREPS</t>
  </si>
  <si>
    <t>Total for Money Market Instruments</t>
  </si>
  <si>
    <t>D) Mutual Fund Units</t>
  </si>
  <si>
    <t>(a) Investment in Mutual Fund Units</t>
  </si>
  <si>
    <t>E) Others</t>
  </si>
  <si>
    <t>(a) Deposits with Commercial Banks</t>
  </si>
  <si>
    <t>(b) Share Application Money pending Allotment</t>
  </si>
  <si>
    <t>Cash and Other Net Current Assets</t>
  </si>
  <si>
    <t>Grand Total</t>
  </si>
  <si>
    <t># percentage to NAV of security is less than 0.01%</t>
  </si>
  <si>
    <t>Notes</t>
  </si>
  <si>
    <t>a) Total securities classified as below investment grade or default provided for and its percentage to NAV</t>
  </si>
  <si>
    <t>Nil</t>
  </si>
  <si>
    <t>b) Total value and percentage of illiquid equity shares</t>
  </si>
  <si>
    <t>c) NAV  per  unit (Rupees per unit)</t>
  </si>
  <si>
    <t>At the 
beginning</t>
  </si>
  <si>
    <t>At the end</t>
  </si>
  <si>
    <t>Option</t>
  </si>
  <si>
    <t>30/09/2023</t>
  </si>
  <si>
    <t>31/10/2023</t>
  </si>
  <si>
    <t>Direct Plan - Growth</t>
  </si>
  <si>
    <t>Regular Plan - Growth</t>
  </si>
  <si>
    <t>e) Total outstanding exposure in derivative instruments at the end of the period</t>
  </si>
  <si>
    <t>f) Total investments in foreign securities /ADR'S/GDR'S at the end of the period</t>
  </si>
  <si>
    <t>g) Repo in corporate debt</t>
  </si>
  <si>
    <t>h) Portfolio Turnover Ratio</t>
  </si>
  <si>
    <t>Sundaram Mid Cap Fund</t>
  </si>
  <si>
    <t>INE171A01029</t>
  </si>
  <si>
    <t>The Federal Bank Ltd</t>
  </si>
  <si>
    <t>INE134E01011</t>
  </si>
  <si>
    <t>Power Finance Corporation Ltd</t>
  </si>
  <si>
    <t>INE721A01013</t>
  </si>
  <si>
    <t>Shriram Finance Ltd</t>
  </si>
  <si>
    <t>INE974X01010</t>
  </si>
  <si>
    <t>Tube Investments of India Ltd</t>
  </si>
  <si>
    <t>INE303R01014</t>
  </si>
  <si>
    <t>Kalyan Jewellers India Ltd</t>
  </si>
  <si>
    <t>INE121A01024</t>
  </si>
  <si>
    <t>Cholamandalam Investment and Finance Company Ltd</t>
  </si>
  <si>
    <t>INE061F01013</t>
  </si>
  <si>
    <t>Fortis Health Care Ltd</t>
  </si>
  <si>
    <t>Healthcare Services</t>
  </si>
  <si>
    <t>INE849A01020</t>
  </si>
  <si>
    <t>Trent Ltd</t>
  </si>
  <si>
    <t>Retailing</t>
  </si>
  <si>
    <t>INE169A01031</t>
  </si>
  <si>
    <t>Coromandel International Ltd</t>
  </si>
  <si>
    <t>Fertilizers &amp; Agrochemicals</t>
  </si>
  <si>
    <t>INE262H01013</t>
  </si>
  <si>
    <t>Persistent Systems Ltd</t>
  </si>
  <si>
    <t>INE048G01026</t>
  </si>
  <si>
    <t>Navin Fluorine International Ltd</t>
  </si>
  <si>
    <t>Chemicals &amp; Petrochemicals</t>
  </si>
  <si>
    <t>INE949L01017</t>
  </si>
  <si>
    <t>AU Small Finance Bank Ltd</t>
  </si>
  <si>
    <t>INE180A01020</t>
  </si>
  <si>
    <t>Max Financial Services Ltd</t>
  </si>
  <si>
    <t>Insurance</t>
  </si>
  <si>
    <t>INE342J01019</t>
  </si>
  <si>
    <t>ZF Commercial Vehicle Control Systems I Ltd</t>
  </si>
  <si>
    <t>INE326A01037</t>
  </si>
  <si>
    <t>Lupin Ltd</t>
  </si>
  <si>
    <t>Pharmaceuticals &amp; Biotechnology</t>
  </si>
  <si>
    <t>INE246F01010</t>
  </si>
  <si>
    <t>Gujarat State Petronet Ltd</t>
  </si>
  <si>
    <t>INE797F01020</t>
  </si>
  <si>
    <t>Jubilant Foodworks Ltd</t>
  </si>
  <si>
    <t>Leisure Services</t>
  </si>
  <si>
    <t>INE010B01027</t>
  </si>
  <si>
    <t>Zydus Lifesciences Ltd</t>
  </si>
  <si>
    <t>INE226A01021</t>
  </si>
  <si>
    <t>Voltas Ltd</t>
  </si>
  <si>
    <t>INE591G01017</t>
  </si>
  <si>
    <t>Coforge Ltd</t>
  </si>
  <si>
    <t>INE540L01014</t>
  </si>
  <si>
    <t>Alkem Laboratories Ltd</t>
  </si>
  <si>
    <t>INE473B01035</t>
  </si>
  <si>
    <t>Hatsun Agro Product Ltd</t>
  </si>
  <si>
    <t>Food Products</t>
  </si>
  <si>
    <t>INE105A01035</t>
  </si>
  <si>
    <t>TVS Holdings Ltd</t>
  </si>
  <si>
    <t>INE317I01021</t>
  </si>
  <si>
    <t>Metro Brands Ltd</t>
  </si>
  <si>
    <t>INE494B01023</t>
  </si>
  <si>
    <t>TVS Motor Company Ltd</t>
  </si>
  <si>
    <t>INE427F01016</t>
  </si>
  <si>
    <t>Chalet Hotels Ltd</t>
  </si>
  <si>
    <t>INE149A01033</t>
  </si>
  <si>
    <t>Cholamandalam Financial Holdings Ltd</t>
  </si>
  <si>
    <t>INE663F01024</t>
  </si>
  <si>
    <t>Info Edge (India) Ltd</t>
  </si>
  <si>
    <t>INE813H01021</t>
  </si>
  <si>
    <t>Torrent Power Ltd</t>
  </si>
  <si>
    <t>INE256A01028</t>
  </si>
  <si>
    <t>Zee Entertainment Enterprises Ltd</t>
  </si>
  <si>
    <t>Entertainment</t>
  </si>
  <si>
    <t>INE692A01016</t>
  </si>
  <si>
    <t>Union Bank of India</t>
  </si>
  <si>
    <t>INE148O01028</t>
  </si>
  <si>
    <t>Delhivery Ltd</t>
  </si>
  <si>
    <t>INE417T01026</t>
  </si>
  <si>
    <t>PB Fintech Ltd</t>
  </si>
  <si>
    <t>Financial Technology (Fintech)</t>
  </si>
  <si>
    <t>INE216P01012</t>
  </si>
  <si>
    <t>Aavas Financiers Ltd</t>
  </si>
  <si>
    <t>INE376G01013</t>
  </si>
  <si>
    <t>Biocon Ltd</t>
  </si>
  <si>
    <t>INE947Q01028</t>
  </si>
  <si>
    <t>Laurus Labs Ltd</t>
  </si>
  <si>
    <t>INE405E01023</t>
  </si>
  <si>
    <t>UNO Minda Ltd</t>
  </si>
  <si>
    <t>INE603J01030</t>
  </si>
  <si>
    <t>PI Industries Ltd</t>
  </si>
  <si>
    <t>INE217B01036</t>
  </si>
  <si>
    <t>Kajaria Ceramics Ltd</t>
  </si>
  <si>
    <t>INE04I401011</t>
  </si>
  <si>
    <t>KPIT Technologies Ltd</t>
  </si>
  <si>
    <t>INE686F01025</t>
  </si>
  <si>
    <t>United Breweries Ltd</t>
  </si>
  <si>
    <t>Beverages</t>
  </si>
  <si>
    <t>INE027H01010</t>
  </si>
  <si>
    <t>Max Healthcare Institute Ltd</t>
  </si>
  <si>
    <t>INE548C01032</t>
  </si>
  <si>
    <t>Emami Ltd</t>
  </si>
  <si>
    <t>Personal Products</t>
  </si>
  <si>
    <t>INE094A01015</t>
  </si>
  <si>
    <t>Hindustan Petroleum Corporation Ltd</t>
  </si>
  <si>
    <t>INE203G01027</t>
  </si>
  <si>
    <t>Indraprastha Gas Ltd</t>
  </si>
  <si>
    <t>INE562A01011</t>
  </si>
  <si>
    <t>Indian Bank</t>
  </si>
  <si>
    <t>INE058A01010</t>
  </si>
  <si>
    <t>Sanofi India Ltd</t>
  </si>
  <si>
    <t>INE347G01014</t>
  </si>
  <si>
    <t>Petronet LNG Ltd</t>
  </si>
  <si>
    <t>INE388Y01029</t>
  </si>
  <si>
    <t>FSN E–Commerce Ventures Ltd(NYKAA)</t>
  </si>
  <si>
    <t>INE670A01012</t>
  </si>
  <si>
    <t>Tata Elxsi Ltd</t>
  </si>
  <si>
    <t>INE787D01026</t>
  </si>
  <si>
    <t>Balkrishna Industries Ltd</t>
  </si>
  <si>
    <t>INE084A01016</t>
  </si>
  <si>
    <t>Bank of India</t>
  </si>
  <si>
    <t>INE0Q3R01026</t>
  </si>
  <si>
    <t>Sundaram Clayton Ltd</t>
  </si>
  <si>
    <t>INE930H01031</t>
  </si>
  <si>
    <t>K.P.R. Mill Ltd</t>
  </si>
  <si>
    <t>Textiles &amp; Apparels</t>
  </si>
  <si>
    <t>INE105A04013</t>
  </si>
  <si>
    <t>INE0Q3R04012</t>
  </si>
  <si>
    <t>Stock Future</t>
  </si>
  <si>
    <t>Margin Money For Derivatives</t>
  </si>
  <si>
    <t>Individual &amp; HUF</t>
  </si>
  <si>
    <t>Others</t>
  </si>
  <si>
    <t>Sundaram Large and Mid Cap Fund</t>
  </si>
  <si>
    <t>INE040A01034</t>
  </si>
  <si>
    <t>HDFC Bank Ltd</t>
  </si>
  <si>
    <t>INE009A01021</t>
  </si>
  <si>
    <t>Infosys Ltd</t>
  </si>
  <si>
    <t>INE238A01034</t>
  </si>
  <si>
    <t>Axis Bank Ltd</t>
  </si>
  <si>
    <t>INE467B01029</t>
  </si>
  <si>
    <t>Tata Consultancy Services Ltd</t>
  </si>
  <si>
    <t>INE044A01036</t>
  </si>
  <si>
    <t>Sun Pharmaceutical Industries Ltd</t>
  </si>
  <si>
    <t>INE095A01012</t>
  </si>
  <si>
    <t>IndusInd Bank Ltd</t>
  </si>
  <si>
    <t>INE200M01021</t>
  </si>
  <si>
    <t>Varun Beverages Ltd</t>
  </si>
  <si>
    <t>INE089A01023</t>
  </si>
  <si>
    <t>Dr. Reddys Laboratories Ltd</t>
  </si>
  <si>
    <t>INE476A01014</t>
  </si>
  <si>
    <t>Canara Bank</t>
  </si>
  <si>
    <t>INE758T01015</t>
  </si>
  <si>
    <t>Zomato Ltd</t>
  </si>
  <si>
    <t>INE038A01020</t>
  </si>
  <si>
    <t>Hindalco Industries Ltd</t>
  </si>
  <si>
    <t>Non - Ferrous Metals</t>
  </si>
  <si>
    <t>INE154A01025</t>
  </si>
  <si>
    <t>ITC Ltd</t>
  </si>
  <si>
    <t>Diversified Fmcg</t>
  </si>
  <si>
    <t>INE893J01029</t>
  </si>
  <si>
    <t>Mold-Tek Packaging Ltd</t>
  </si>
  <si>
    <t>INE356A01018</t>
  </si>
  <si>
    <t>MphasiS Ltd</t>
  </si>
  <si>
    <t>INE296A01024</t>
  </si>
  <si>
    <t>Bajaj Finance Ltd</t>
  </si>
  <si>
    <t>INE030A01027</t>
  </si>
  <si>
    <t>Hindustan UniLever Ltd</t>
  </si>
  <si>
    <t>INE214T01019</t>
  </si>
  <si>
    <t>LTIMindtree Ltd</t>
  </si>
  <si>
    <t>INE745G01035</t>
  </si>
  <si>
    <t>Multi Commodity Exchange of India Ltd</t>
  </si>
  <si>
    <t>Capital Markets</t>
  </si>
  <si>
    <t>INE155A01022</t>
  </si>
  <si>
    <t>Tata Motors Ltd</t>
  </si>
  <si>
    <t>INE280A01028</t>
  </si>
  <si>
    <t>Titan Company Ltd</t>
  </si>
  <si>
    <t>INE361B01024</t>
  </si>
  <si>
    <t>Divis Laboratories Ltd</t>
  </si>
  <si>
    <t>INE825V01034</t>
  </si>
  <si>
    <t>Vedant Fashions Ltd</t>
  </si>
  <si>
    <t>INE081A01020</t>
  </si>
  <si>
    <t>Tata Steel Ltd</t>
  </si>
  <si>
    <t>INE053A01029</t>
  </si>
  <si>
    <t>The Indian Hotels Company Ltd</t>
  </si>
  <si>
    <t>INE192R01011</t>
  </si>
  <si>
    <t>Avenue Supermarts Ltd</t>
  </si>
  <si>
    <t>INE586V01016</t>
  </si>
  <si>
    <t>TCI Express Ltd</t>
  </si>
  <si>
    <t>INE387A01021</t>
  </si>
  <si>
    <t>Sundram Fasteners Ltd</t>
  </si>
  <si>
    <t>INE028A01039</t>
  </si>
  <si>
    <t>Bank of Baroda</t>
  </si>
  <si>
    <t>INE406A01037</t>
  </si>
  <si>
    <t>Aurobindo Pharma Ltd</t>
  </si>
  <si>
    <t>INE465A01025</t>
  </si>
  <si>
    <t>Bharat Forge Ltd</t>
  </si>
  <si>
    <t>INE918I01026</t>
  </si>
  <si>
    <t>Bajaj Finserv Ltd</t>
  </si>
  <si>
    <t>INE131B01039</t>
  </si>
  <si>
    <t>Relaxo Footwears Ltd</t>
  </si>
  <si>
    <t>INE761H01022</t>
  </si>
  <si>
    <t>Page Industries Ltd</t>
  </si>
  <si>
    <t>INE647A01010</t>
  </si>
  <si>
    <t>SRF Ltd</t>
  </si>
  <si>
    <t>INE059A01026</t>
  </si>
  <si>
    <t>Cipla Ltd</t>
  </si>
  <si>
    <t>INE758E01017</t>
  </si>
  <si>
    <t>Jio Financial Services Ltd</t>
  </si>
  <si>
    <t>INE299U01018</t>
  </si>
  <si>
    <t>Crompton Greaves Consumer Electricals Ltd</t>
  </si>
  <si>
    <t>Sundaram Long Term Tax Advantage Fund Series III</t>
  </si>
  <si>
    <t>INE429E01023</t>
  </si>
  <si>
    <t>Safari Industries (India) Ltd</t>
  </si>
  <si>
    <t>INE063P01018</t>
  </si>
  <si>
    <t>Equitas Small Finance Bank Limited</t>
  </si>
  <si>
    <t>INE191H01014</t>
  </si>
  <si>
    <t>PVR INOX Ltd</t>
  </si>
  <si>
    <t>INE045A01017</t>
  </si>
  <si>
    <t>Ador Welding Ltd</t>
  </si>
  <si>
    <t>INE732I01013</t>
  </si>
  <si>
    <t>Angel One Ltd</t>
  </si>
  <si>
    <t>INE442H01029</t>
  </si>
  <si>
    <t>Ashoka Buildcon Ltd</t>
  </si>
  <si>
    <t>INE075I01017</t>
  </si>
  <si>
    <t>Healthcare Global Enterprises Ltd</t>
  </si>
  <si>
    <t>INE477A01020</t>
  </si>
  <si>
    <t>Can Fin Homes Ltd</t>
  </si>
  <si>
    <t>INE572A01036</t>
  </si>
  <si>
    <t>JB Chemicals &amp; Pharmaceuticals Ltd</t>
  </si>
  <si>
    <t>INE741K01010</t>
  </si>
  <si>
    <t>Creditaccess Grameen Ltd</t>
  </si>
  <si>
    <t>INE806T01012</t>
  </si>
  <si>
    <t>Sapphire Foods India Ltd</t>
  </si>
  <si>
    <t>INE043D01016</t>
  </si>
  <si>
    <t>IDFC Ltd</t>
  </si>
  <si>
    <t>INE295F01017</t>
  </si>
  <si>
    <t>Butterfly Gandhimathi Appliances Ltd</t>
  </si>
  <si>
    <t>INE978A01027</t>
  </si>
  <si>
    <t>Heritage Foods Ltd</t>
  </si>
  <si>
    <t>INE274F01020</t>
  </si>
  <si>
    <t>Westlife Foodworld Ltd</t>
  </si>
  <si>
    <t>INE211B01039</t>
  </si>
  <si>
    <t>The Phoenix Mills Ltd</t>
  </si>
  <si>
    <t>INE296E01026</t>
  </si>
  <si>
    <t>Rajapalayam Mills Ltd</t>
  </si>
  <si>
    <t>INE717A01029</t>
  </si>
  <si>
    <t>Kennametal India Ltd</t>
  </si>
  <si>
    <t>INE348B01021</t>
  </si>
  <si>
    <t>Century Plyboards (India) Ltd</t>
  </si>
  <si>
    <t>INE060A01024</t>
  </si>
  <si>
    <t>Navneet Education Ltd</t>
  </si>
  <si>
    <t>Printing &amp; Publication</t>
  </si>
  <si>
    <t>INE00WC01027</t>
  </si>
  <si>
    <t>Affle (India) Ltd</t>
  </si>
  <si>
    <t>INE873D01024</t>
  </si>
  <si>
    <t>Indoco Remedies Ltd</t>
  </si>
  <si>
    <t>INE481N01025</t>
  </si>
  <si>
    <t>Home First Finance Company Ltd</t>
  </si>
  <si>
    <t>INE00IN01015</t>
  </si>
  <si>
    <t>Stove Kraft Ltd</t>
  </si>
  <si>
    <t>INE126A01031</t>
  </si>
  <si>
    <t>EID Parry India Ltd</t>
  </si>
  <si>
    <t>INE586B01026</t>
  </si>
  <si>
    <t>Taj GVK Hotels &amp; Resorts Ltd</t>
  </si>
  <si>
    <t>INE056C01010</t>
  </si>
  <si>
    <t>Tata Metaliks Ltd</t>
  </si>
  <si>
    <t>INE688A01022</t>
  </si>
  <si>
    <t>Transport Corporation of India Ltd</t>
  </si>
  <si>
    <t>INE120A01034</t>
  </si>
  <si>
    <t>Carborundum Universal Ltd</t>
  </si>
  <si>
    <t>INE199A01012</t>
  </si>
  <si>
    <t>Procter &amp; Gamble Health Ltd</t>
  </si>
  <si>
    <t>INE227C01017</t>
  </si>
  <si>
    <t>MM Forgings Ltd</t>
  </si>
  <si>
    <t>INE565V01010</t>
  </si>
  <si>
    <t>Valiant Organics Ltd</t>
  </si>
  <si>
    <t>INE679A01013</t>
  </si>
  <si>
    <t>CSB Bank Ltd</t>
  </si>
  <si>
    <t>Sundaram Long Term Tax Advantage Fund Series IV</t>
  </si>
  <si>
    <t>Sundaram Long Term Tax Advantage Fund Series-I</t>
  </si>
  <si>
    <t>INE123W01016</t>
  </si>
  <si>
    <t>SBI Life Insurance Company Ltd</t>
  </si>
  <si>
    <t>INE860A01027</t>
  </si>
  <si>
    <t>HCL Technologies Ltd</t>
  </si>
  <si>
    <t>INE237A01028</t>
  </si>
  <si>
    <t>Kotak Mahindra Bank Ltd</t>
  </si>
  <si>
    <t>INE192A01025</t>
  </si>
  <si>
    <t>TATA Consumer Products Ltd</t>
  </si>
  <si>
    <t>Agricultural Food &amp; Other Products</t>
  </si>
  <si>
    <t>INE075A01022</t>
  </si>
  <si>
    <t>Wipro Ltd</t>
  </si>
  <si>
    <t>IN9397D01014</t>
  </si>
  <si>
    <t>Sundaram Long Term Tax Advantage Fund Series-II</t>
  </si>
  <si>
    <t>Sundaram Long Term Micro Cap Tax Advantage Fund Series III</t>
  </si>
  <si>
    <t>INE421D01022</t>
  </si>
  <si>
    <t>CCL Products (India) Ltd</t>
  </si>
  <si>
    <t>INE386C01029</t>
  </si>
  <si>
    <t>Astra Microwave Products Ltd</t>
  </si>
  <si>
    <t>INE220B01022</t>
  </si>
  <si>
    <t>Kalpataru Projects International Ltd</t>
  </si>
  <si>
    <t>INE285J01028</t>
  </si>
  <si>
    <t>SIS Ltd</t>
  </si>
  <si>
    <t>Commercial Services &amp; Supplies</t>
  </si>
  <si>
    <t>INE782A01015</t>
  </si>
  <si>
    <t>Johnson Controls-Hitachi AirConditioning India Ltd</t>
  </si>
  <si>
    <t>INE217L01019</t>
  </si>
  <si>
    <t>Shriram Properties Ltd</t>
  </si>
  <si>
    <t>Sundaram Long Term Micro Cap Tax Advantage Fund Series IV</t>
  </si>
  <si>
    <t>Sundaram Long Term Micro Cap Tax Advantage Fund Series V</t>
  </si>
  <si>
    <t>Sundaram Long Term Micro Cap Tax Advantage Fund Series VI</t>
  </si>
  <si>
    <t>Sundaram Small Cap Fund</t>
  </si>
  <si>
    <t>INE03QK01018</t>
  </si>
  <si>
    <t>Suven Pharmaceuticals Ltd</t>
  </si>
  <si>
    <t>INE944F01028</t>
  </si>
  <si>
    <t>Radico Khaitan Ltd</t>
  </si>
  <si>
    <t>INE136B01020</t>
  </si>
  <si>
    <t>Cyient Ltd</t>
  </si>
  <si>
    <t>INE725G01011</t>
  </si>
  <si>
    <t>ICRA Ltd</t>
  </si>
  <si>
    <t>INE334L01012</t>
  </si>
  <si>
    <t>Ujjivan Financial Services Ltd</t>
  </si>
  <si>
    <t>INE136S01016</t>
  </si>
  <si>
    <t>Neogen Chemicals Ltd</t>
  </si>
  <si>
    <t>INE684F01012</t>
  </si>
  <si>
    <t>Firstsource Solutions Ltd</t>
  </si>
  <si>
    <t>INE098F01031</t>
  </si>
  <si>
    <t>Amrutanjan Health Care Ltd</t>
  </si>
  <si>
    <t>INE322A01010</t>
  </si>
  <si>
    <t>Gillette India Ltd</t>
  </si>
  <si>
    <t>INE836A01035</t>
  </si>
  <si>
    <t>Birlasoft Ltd</t>
  </si>
  <si>
    <t>INE119A01028</t>
  </si>
  <si>
    <t>Balrampur Chini Mills Ltd</t>
  </si>
  <si>
    <t>INE0CLI01024</t>
  </si>
  <si>
    <t>Rate Gain Travel Technologies Ltd</t>
  </si>
  <si>
    <t>IN9155A01020</t>
  </si>
  <si>
    <t>INE0BV301023</t>
  </si>
  <si>
    <t>CE Info Systems Private Limited</t>
  </si>
  <si>
    <t>INE763G01038</t>
  </si>
  <si>
    <t>ICICI Securities Ltd</t>
  </si>
  <si>
    <t>INE177F01017</t>
  </si>
  <si>
    <t>Kovai Medical Center &amp; Hospital Ltd</t>
  </si>
  <si>
    <t>INE094J01016</t>
  </si>
  <si>
    <t>UTI Asset Management Co Ltd</t>
  </si>
  <si>
    <t>INE736A01011</t>
  </si>
  <si>
    <t>Central Depository Services (India) Ltd</t>
  </si>
  <si>
    <t>INE671H01015</t>
  </si>
  <si>
    <t>Sobha Developers Ltd</t>
  </si>
  <si>
    <t>INE142Z01019</t>
  </si>
  <si>
    <t>Orient Electric Ltd</t>
  </si>
  <si>
    <t>INE596I01012</t>
  </si>
  <si>
    <t>Computer Age Management Services Ltd</t>
  </si>
  <si>
    <t>INE00F201020</t>
  </si>
  <si>
    <t>Prudent Corporate Advisory Services Ltd</t>
  </si>
  <si>
    <t>INE451A01017</t>
  </si>
  <si>
    <t>Force Motors Ltd</t>
  </si>
  <si>
    <t>INE342G01023</t>
  </si>
  <si>
    <t>NIIT Learning Systems Ltd</t>
  </si>
  <si>
    <t>Other Consumer Services</t>
  </si>
  <si>
    <t>INE739E01017</t>
  </si>
  <si>
    <t>Cera Sanitaryware Ltd</t>
  </si>
  <si>
    <t>INE0BJS01011</t>
  </si>
  <si>
    <t>Go Fashion (India ) Ltd</t>
  </si>
  <si>
    <t>INE423Y01016</t>
  </si>
  <si>
    <t>SBFC Finance Ltd</t>
  </si>
  <si>
    <t>-</t>
  </si>
  <si>
    <t>Sundaram Aggressive Hybrid Fund</t>
  </si>
  <si>
    <t>INE854D01024</t>
  </si>
  <si>
    <t>United Spirits Ltd</t>
  </si>
  <si>
    <t>INE101A01026</t>
  </si>
  <si>
    <t>Mahindra &amp; Mahindra Ltd</t>
  </si>
  <si>
    <t>INE066A01021</t>
  </si>
  <si>
    <t>Eicher Motors Ltd</t>
  </si>
  <si>
    <t>INE102D01028</t>
  </si>
  <si>
    <t>Godrej Consumer Products Ltd</t>
  </si>
  <si>
    <t>INE183A01024</t>
  </si>
  <si>
    <t>Finolex Industries Ltd</t>
  </si>
  <si>
    <t>INE726G01019</t>
  </si>
  <si>
    <t>ICICI Prudential Life Insurance Company Ltd</t>
  </si>
  <si>
    <t>INE917I01010</t>
  </si>
  <si>
    <t>Bajaj Auto Ltd</t>
  </si>
  <si>
    <t>INE021A01026</t>
  </si>
  <si>
    <t>Asian Paints Ltd</t>
  </si>
  <si>
    <t>INE196A01026</t>
  </si>
  <si>
    <t>Marico Ltd</t>
  </si>
  <si>
    <t>INE669C01036</t>
  </si>
  <si>
    <t>Tech Mahindra Ltd</t>
  </si>
  <si>
    <t>INE742F01042</t>
  </si>
  <si>
    <t>Adani Ports and Special Economic Zone Ltd</t>
  </si>
  <si>
    <t>INE216A01030</t>
  </si>
  <si>
    <t>Britannia Industries Ltd</t>
  </si>
  <si>
    <t>INE852S01026</t>
  </si>
  <si>
    <t>INE115A07QD5</t>
  </si>
  <si>
    <t>LIC Housing Finance Ltd - 7.82% - 28/11/2025**</t>
  </si>
  <si>
    <t>CRISIL AAA</t>
  </si>
  <si>
    <t>INE134E08MB9</t>
  </si>
  <si>
    <t>Power Finance Corporation Ltd - 7.82% - 06/03/2038**</t>
  </si>
  <si>
    <t>INE115A07QH6</t>
  </si>
  <si>
    <t>LIC Housing Finance Ltd - 8.025% - 23/03/2033**</t>
  </si>
  <si>
    <t>INE261F08DX0</t>
  </si>
  <si>
    <t>National Bank for Agricultural &amp; Rural Development - 7.58% - 31/07/2026**</t>
  </si>
  <si>
    <t>INE261F08DV4</t>
  </si>
  <si>
    <t>National Bank for Agricultural &amp; Rural Development - 7.62% - 31/01/2028</t>
  </si>
  <si>
    <t>ICRA AAA</t>
  </si>
  <si>
    <t>INE556F08KH1</t>
  </si>
  <si>
    <t>Small Industries Development Bank of India - 7.43% - 31/08/2026**</t>
  </si>
  <si>
    <t>INE020B08DR1</t>
  </si>
  <si>
    <t>REC LTD - 5.74% - 20/06/2024**</t>
  </si>
  <si>
    <t>INE020B08906</t>
  </si>
  <si>
    <t>REC LTD - 8.27% - 06/02/2025**</t>
  </si>
  <si>
    <t>INE053F08296</t>
  </si>
  <si>
    <t>Indian Railway Finance Corporation Ltd - 7.74% - 15/04/2038**</t>
  </si>
  <si>
    <t>INE134E08MJ2</t>
  </si>
  <si>
    <t>Power Finance Corporation Ltd - 7.77% - 15/04/2028**</t>
  </si>
  <si>
    <t>INE071G07587</t>
  </si>
  <si>
    <t>ICICI Home Finance Company Ltd - 8% - 28/06/2024**</t>
  </si>
  <si>
    <t>INE134E08MC7</t>
  </si>
  <si>
    <t>Power Finance Corporation Ltd - 7.77% - 15/07/2026**</t>
  </si>
  <si>
    <t>INE028A08158</t>
  </si>
  <si>
    <t>CARE AAA</t>
  </si>
  <si>
    <t>INE020B08EG2</t>
  </si>
  <si>
    <t>REC LTD - 7.69% - 31/03/2033**</t>
  </si>
  <si>
    <t>INE041007100</t>
  </si>
  <si>
    <t>Embassy Office Parks REIT - 7.77% - 05/06/2025**</t>
  </si>
  <si>
    <t>INE040A08989</t>
  </si>
  <si>
    <t>HDFC Bank Ltd (Prev HDFC Ltd) - 7.35% - 10/02/2025**</t>
  </si>
  <si>
    <t>INE040A08666</t>
  </si>
  <si>
    <t>HDFC Bank Ltd (Prev HDFC Ltd) - 7.8% - 03/05/2033**</t>
  </si>
  <si>
    <t>INE134E08LO4</t>
  </si>
  <si>
    <t>Power Finance Corporation Ltd - 7.13% - 08/08/2025**</t>
  </si>
  <si>
    <t>INE115A07PU1</t>
  </si>
  <si>
    <t>LIC Housing Finance Ltd - 6.25% - 20/06/2025**</t>
  </si>
  <si>
    <t>INE261F08BK1</t>
  </si>
  <si>
    <t>National Bank for Agricultural &amp; Rural Development - 7.69% - 29/05/2024**</t>
  </si>
  <si>
    <t>INE018A08BA7</t>
  </si>
  <si>
    <t>Larsen &amp; Toubro Ltd - 7.7% - 28/04/2025**</t>
  </si>
  <si>
    <t>INE557F08FG1</t>
  </si>
  <si>
    <t>National Housing Bank  - 7.05% - 18/12/2024**</t>
  </si>
  <si>
    <t>INE556F08KE8</t>
  </si>
  <si>
    <t>Small Industries Development Bank of India - 7.47% - 25/11/2025**</t>
  </si>
  <si>
    <t>INE020B08EI8</t>
  </si>
  <si>
    <t>REC LTD - 7.51% - 31/07/2026**</t>
  </si>
  <si>
    <t>INE020B08EL2</t>
  </si>
  <si>
    <t>REC LTD - 7.44% - 30/04/2026**</t>
  </si>
  <si>
    <t>INE134E08KT5</t>
  </si>
  <si>
    <t>Power Finance Corporation Ltd - 7.17% - 22/05/2025**</t>
  </si>
  <si>
    <t>INE895D07487</t>
  </si>
  <si>
    <t>Tata Sons Pvt Ltd - 9.3% - 19/06/2024**</t>
  </si>
  <si>
    <t>INE040A08922</t>
  </si>
  <si>
    <t>HDFC Bank Ltd (Prev HDFC Ltd) - 7.8% - 02/06/2025**</t>
  </si>
  <si>
    <t>INE261F08DF7</t>
  </si>
  <si>
    <t>National Bank for Agricultural &amp; Rural Development - 5.27% - 23/07/2024</t>
  </si>
  <si>
    <t>IN0020220151</t>
  </si>
  <si>
    <t>7.26% Central Government Securities 06/02/2033</t>
  </si>
  <si>
    <t>Sovereign</t>
  </si>
  <si>
    <t>IN0020220102</t>
  </si>
  <si>
    <t>7.41% Central Government Securities 19/12/2036</t>
  </si>
  <si>
    <t>IN0020220037</t>
  </si>
  <si>
    <t>7.38% Central Government Securities 20/06/2027</t>
  </si>
  <si>
    <t>IN0020220011</t>
  </si>
  <si>
    <t>7.10% Central Government Securities 18/04/2029</t>
  </si>
  <si>
    <t>IN0020200112</t>
  </si>
  <si>
    <t>5.22% Central Government Securities 15/06/2025</t>
  </si>
  <si>
    <t>IN0020210186</t>
  </si>
  <si>
    <t>5.74% Central Government Securities 15/11/2026</t>
  </si>
  <si>
    <t>IN0020230085</t>
  </si>
  <si>
    <t>IN0020210160</t>
  </si>
  <si>
    <t>IN0020230077</t>
  </si>
  <si>
    <t>IN2220150030</t>
  </si>
  <si>
    <t>8.25% Maharashtra State Development Loan 10/06/2025</t>
  </si>
  <si>
    <t>IN1920140119</t>
  </si>
  <si>
    <t>8.08% Karnataka State Development Loan 11/03/2025</t>
  </si>
  <si>
    <t>IN2220140205</t>
  </si>
  <si>
    <t>8.06% Maharashtra State Development Loan 11/02/2025</t>
  </si>
  <si>
    <t>INE238AD6215</t>
  </si>
  <si>
    <t>Axis Bank Ltd - 06/12/2023</t>
  </si>
  <si>
    <t>CRISIL A1+</t>
  </si>
  <si>
    <t>INE040A16DT0</t>
  </si>
  <si>
    <t>HDFC Bank Ltd - 05/02/2024</t>
  </si>
  <si>
    <t>INE040A14326</t>
  </si>
  <si>
    <t>HDFC Bank Ltd (Prev HDFC Ltd) - 24/05/2024**</t>
  </si>
  <si>
    <t>IND A1+</t>
  </si>
  <si>
    <t>IN002022Z515</t>
  </si>
  <si>
    <t>364 Days - T Bill - 22/03/2024</t>
  </si>
  <si>
    <t>Sundaram Arbitrage Fund</t>
  </si>
  <si>
    <t>INE121J01017</t>
  </si>
  <si>
    <t>Indus Towers Ltd (Prev Bharti Infratel Ltd)</t>
  </si>
  <si>
    <t>INE271C01023</t>
  </si>
  <si>
    <t>DLF Ltd</t>
  </si>
  <si>
    <t>INE079A01024</t>
  </si>
  <si>
    <t>Ambuja Cements Ltd</t>
  </si>
  <si>
    <t>INE522D01027</t>
  </si>
  <si>
    <t>Manappuram Finance Ltd</t>
  </si>
  <si>
    <t>INE016A01026</t>
  </si>
  <si>
    <t>Dabur India Ltd</t>
  </si>
  <si>
    <t>INE012A01025</t>
  </si>
  <si>
    <t>ACC Ltd</t>
  </si>
  <si>
    <t>INE151A01013</t>
  </si>
  <si>
    <t>Tata Communications Ltd</t>
  </si>
  <si>
    <t>INE628A01036</t>
  </si>
  <si>
    <t>UPL Ltd</t>
  </si>
  <si>
    <t>IN002022Z507</t>
  </si>
  <si>
    <t>IN002023Y078</t>
  </si>
  <si>
    <t>IN002022Z341</t>
  </si>
  <si>
    <t>IN002023Z315</t>
  </si>
  <si>
    <t>INF173K01GU0</t>
  </si>
  <si>
    <t>Sundaram Balanced Advantage Fund</t>
  </si>
  <si>
    <t>INE488A01050</t>
  </si>
  <si>
    <t>Chemplast Sanmar Ltd</t>
  </si>
  <si>
    <t>INE040A08AH8</t>
  </si>
  <si>
    <t>HDFC Bank Ltd (Prev HDFC Ltd) - 7.4% - 02/06/2025**</t>
  </si>
  <si>
    <t>INE040A08641</t>
  </si>
  <si>
    <t>HDFC Bank Ltd (Prev HDFC Ltd) - 7.7% - 18/11/2025</t>
  </si>
  <si>
    <t>INE053F07BB3</t>
  </si>
  <si>
    <t>Indian Railway Finance Corporation Ltd - 8.25% - 28/02/2024**</t>
  </si>
  <si>
    <t>IN0020230036</t>
  </si>
  <si>
    <t>Sundaram Dividend Yield Fund</t>
  </si>
  <si>
    <t>INE522F01014</t>
  </si>
  <si>
    <t>Coal India Ltd</t>
  </si>
  <si>
    <t>Consumable Fuels</t>
  </si>
  <si>
    <t>INE848E01016</t>
  </si>
  <si>
    <t>NHPC Ltd</t>
  </si>
  <si>
    <t>INE212H01026</t>
  </si>
  <si>
    <t>AIA Engineering Ltd</t>
  </si>
  <si>
    <t>INE472A01039</t>
  </si>
  <si>
    <t>Blue Star Ltd</t>
  </si>
  <si>
    <t>INE710A01016</t>
  </si>
  <si>
    <t>VST Industries Ltd</t>
  </si>
  <si>
    <t>Cigarettes &amp; Tobacco Products</t>
  </si>
  <si>
    <t>INE602W01019</t>
  </si>
  <si>
    <t>Senco Gold Ltd</t>
  </si>
  <si>
    <t>INE916U01025</t>
  </si>
  <si>
    <t>Sheela Foam Ltd</t>
  </si>
  <si>
    <t>IDIA00069480</t>
  </si>
  <si>
    <t>IDIA00069477</t>
  </si>
  <si>
    <t>INE759J01022</t>
  </si>
  <si>
    <t>INE02CF01010</t>
  </si>
  <si>
    <t>INE216A08027</t>
  </si>
  <si>
    <t>Britannia Industries Ltd - 5.5% - 03/06/2024**</t>
  </si>
  <si>
    <t>Sundaram Equity Savings Fund</t>
  </si>
  <si>
    <t>INE0N2P01017</t>
  </si>
  <si>
    <t>Rishabh Instruments Ltd</t>
  </si>
  <si>
    <t>INE227W01023</t>
  </si>
  <si>
    <t>Clean Science &amp; Technology Ltd</t>
  </si>
  <si>
    <t>INE795G01014</t>
  </si>
  <si>
    <t>HDFC Life Insurance Company Ltd</t>
  </si>
  <si>
    <t>INE019A01038</t>
  </si>
  <si>
    <t>JSW Steel Ltd</t>
  </si>
  <si>
    <t>INE0N7W01012</t>
  </si>
  <si>
    <t>BEML Land and Assets Ltd</t>
  </si>
  <si>
    <t>INE261F08EA6</t>
  </si>
  <si>
    <t>National Bank for Agricultural &amp; Rural Development - 7.5% - 31/08/2026</t>
  </si>
  <si>
    <t>IN0020200278</t>
  </si>
  <si>
    <t>5.15% Central Government Securities 09/11/2025</t>
  </si>
  <si>
    <t>IN2220150022</t>
  </si>
  <si>
    <t>8.14% Maharashtra State Development Loan 27/05/2025</t>
  </si>
  <si>
    <t>IN002023Y243</t>
  </si>
  <si>
    <t>182 Days - T Bill - 07/03/2024</t>
  </si>
  <si>
    <t>Sundaram Focused  Fund</t>
  </si>
  <si>
    <t>INE239A01016</t>
  </si>
  <si>
    <t>Nestle India Ltd</t>
  </si>
  <si>
    <t>Sundaram Multi Cap Fund</t>
  </si>
  <si>
    <t>INE470A01017</t>
  </si>
  <si>
    <t>3M India Ltd</t>
  </si>
  <si>
    <t>Diversified</t>
  </si>
  <si>
    <t>INE371P01015</t>
  </si>
  <si>
    <t>Amber Enterprises India Ltd</t>
  </si>
  <si>
    <t>INE112L01020</t>
  </si>
  <si>
    <t>Metropolis Healthcare Ltd</t>
  </si>
  <si>
    <t>INE147E01013</t>
  </si>
  <si>
    <t>INE348C01011</t>
  </si>
  <si>
    <t>Paper, Forest &amp; Jute Products</t>
  </si>
  <si>
    <t>IDIA00069359</t>
  </si>
  <si>
    <t>IDIA00069356</t>
  </si>
  <si>
    <t>INE431E01011</t>
  </si>
  <si>
    <t>Healthcare Equipment &amp; Supplies</t>
  </si>
  <si>
    <t>INE604A01011</t>
  </si>
  <si>
    <t>INE406B01019</t>
  </si>
  <si>
    <t>Sundaram Nifty 100 Equal Weight Fund</t>
  </si>
  <si>
    <t>INE414G01012</t>
  </si>
  <si>
    <t>Muthoot Finance Ltd</t>
  </si>
  <si>
    <t>INE685A01028</t>
  </si>
  <si>
    <t>Torrent Pharmaceuticals Ltd</t>
  </si>
  <si>
    <t>INE765G01017</t>
  </si>
  <si>
    <t>ICICI Lombard General Insurance Company Ltd</t>
  </si>
  <si>
    <t>INE259A01022</t>
  </si>
  <si>
    <t>Colgate Palmolive (India) Ltd</t>
  </si>
  <si>
    <t>INE323A01026</t>
  </si>
  <si>
    <t>Bosch Ltd</t>
  </si>
  <si>
    <t>INE158A01026</t>
  </si>
  <si>
    <t>Hero MotoCorp Ltd</t>
  </si>
  <si>
    <t>INE179A01014</t>
  </si>
  <si>
    <t>Procter &amp; Gamble Hygiene and Health Care Ltd</t>
  </si>
  <si>
    <t>INE070A01015</t>
  </si>
  <si>
    <t>Shree Cement Ltd</t>
  </si>
  <si>
    <t>INE318A01026</t>
  </si>
  <si>
    <t>Pidilite Industries Ltd</t>
  </si>
  <si>
    <t>INE242A01010</t>
  </si>
  <si>
    <t>Indian Oil Corporation Ltd</t>
  </si>
  <si>
    <t>INE335Y01020</t>
  </si>
  <si>
    <t>Indian Railway Catering &amp; Tourism Corporation Ltd</t>
  </si>
  <si>
    <t>INE047A01021</t>
  </si>
  <si>
    <t>Grasim Industries Ltd</t>
  </si>
  <si>
    <t>INE699H01024</t>
  </si>
  <si>
    <t>Adani Wilmar Ltd</t>
  </si>
  <si>
    <t>INE437A01024</t>
  </si>
  <si>
    <t>Apollo Hospitals Enterprise Ltd</t>
  </si>
  <si>
    <t>INE205A01025</t>
  </si>
  <si>
    <t>Vedanta Ltd</t>
  </si>
  <si>
    <t>Diversified Metals</t>
  </si>
  <si>
    <t>INE018E01016</t>
  </si>
  <si>
    <t>SBI Cards and Payment Services Ltd</t>
  </si>
  <si>
    <t>INE118A01012</t>
  </si>
  <si>
    <t>Bajaj Holdings &amp; Investment Ltd</t>
  </si>
  <si>
    <t>INE931S01010</t>
  </si>
  <si>
    <t>Adani Energy Solutions Ltd</t>
  </si>
  <si>
    <t>INE775A01035</t>
  </si>
  <si>
    <t>Samvardhana Motherson International Ltd</t>
  </si>
  <si>
    <t>INE0J1Y01017</t>
  </si>
  <si>
    <t>LIC of India Ltd</t>
  </si>
  <si>
    <t>INE423A01024</t>
  </si>
  <si>
    <t>Adani Enterprises</t>
  </si>
  <si>
    <t>Metals &amp; Minerals Trading</t>
  </si>
  <si>
    <t>INE463A01038</t>
  </si>
  <si>
    <t>Berger Paints (I) Ltd</t>
  </si>
  <si>
    <t>INE160A01022</t>
  </si>
  <si>
    <t>Punjab National Bank</t>
  </si>
  <si>
    <t>INE364U01010</t>
  </si>
  <si>
    <t>Adani Green Energy Ltd</t>
  </si>
  <si>
    <t>INE399L01023</t>
  </si>
  <si>
    <t>Adani Total Gas Ltd</t>
  </si>
  <si>
    <t>INE176B01034</t>
  </si>
  <si>
    <t>Havells India Ltd</t>
  </si>
  <si>
    <t>Sundaram Tax Savings Fund (ELSS)</t>
  </si>
  <si>
    <t>INE176A01028</t>
  </si>
  <si>
    <t>Bata India Ltd</t>
  </si>
  <si>
    <t>INE287B01021</t>
  </si>
  <si>
    <t>Subros Ltd</t>
  </si>
  <si>
    <t>INE571A01038</t>
  </si>
  <si>
    <t>IPCA Laboratories Ltd</t>
  </si>
  <si>
    <t>INE768C01010</t>
  </si>
  <si>
    <t>Zydus Wellness Ltd</t>
  </si>
  <si>
    <t>Sundaram Consumption Fund</t>
  </si>
  <si>
    <t>INE02YR01019</t>
  </si>
  <si>
    <t>Electronics Mart India Ltd</t>
  </si>
  <si>
    <t>INE872J01023</t>
  </si>
  <si>
    <t>Devyani international limited</t>
  </si>
  <si>
    <t>INE0KCE01017</t>
  </si>
  <si>
    <t>Eureka Forbes Ltd</t>
  </si>
  <si>
    <t>Sundaram Services Fund</t>
  </si>
  <si>
    <t>INE474Q01031</t>
  </si>
  <si>
    <t>Global Health Ltd</t>
  </si>
  <si>
    <t>MU0295S00016</t>
  </si>
  <si>
    <t>Sundaram Diversified Equity</t>
  </si>
  <si>
    <t>Sundaram Large Cap Fund</t>
  </si>
  <si>
    <t>Sundaram Flexi Cap Fund</t>
  </si>
  <si>
    <t>INE647O01011</t>
  </si>
  <si>
    <t>Aditya Birla Fashion and Retail Ltd</t>
  </si>
  <si>
    <t>Sundaram Financial Services Opportunities Fund</t>
  </si>
  <si>
    <t>Institutional Plan - Growth</t>
  </si>
  <si>
    <t>Sundaram Global Brand Fund</t>
  </si>
  <si>
    <t>S000000116168</t>
  </si>
  <si>
    <t>Sundaram Global Brand Fund - Master Class</t>
  </si>
  <si>
    <t>S.NO.</t>
  </si>
  <si>
    <t>ACRONYM</t>
  </si>
  <si>
    <t>SCHEME NAME</t>
  </si>
  <si>
    <t>CAPEXG</t>
  </si>
  <si>
    <t>GLOB</t>
  </si>
  <si>
    <t>MIDCAP</t>
  </si>
  <si>
    <t>MULTIP</t>
  </si>
  <si>
    <t>Sundaram Large And Mid Cap Fund</t>
  </si>
  <si>
    <t>SLTADV3</t>
  </si>
  <si>
    <t>Sundaram Long Term Advantage Fund Series III</t>
  </si>
  <si>
    <t>SLTADV4</t>
  </si>
  <si>
    <t>Sundaram Long Term Advantage Fund Series IV</t>
  </si>
  <si>
    <t>SLTAX1</t>
  </si>
  <si>
    <t>Sundaram Long Term Tax Advantage Fund Series I</t>
  </si>
  <si>
    <t>SLTAX2</t>
  </si>
  <si>
    <t>Sundaram Long Term Tax Advantage Fund Series II</t>
  </si>
  <si>
    <t>SLTAX3</t>
  </si>
  <si>
    <t>SLTAX4</t>
  </si>
  <si>
    <t>SLTAX5</t>
  </si>
  <si>
    <t>SLTAX6</t>
  </si>
  <si>
    <t>SMILE</t>
  </si>
  <si>
    <t>SPAHF</t>
  </si>
  <si>
    <t>SPARF</t>
  </si>
  <si>
    <t xml:space="preserve">Sundaram Arbitrage Fund </t>
  </si>
  <si>
    <t>SPBAF</t>
  </si>
  <si>
    <t>SPDYF</t>
  </si>
  <si>
    <t>SPESF</t>
  </si>
  <si>
    <t>SPFOCUS</t>
  </si>
  <si>
    <t>Sundaram Focused  Fund</t>
  </si>
  <si>
    <t>SPMUCF</t>
  </si>
  <si>
    <t>SPSN100</t>
  </si>
  <si>
    <t>Sundaram NIFTY 100 Equal Weight Fund</t>
  </si>
  <si>
    <t>SPTAX</t>
  </si>
  <si>
    <t>SRURAL</t>
  </si>
  <si>
    <t>SSFUND</t>
  </si>
  <si>
    <t>STAX</t>
  </si>
  <si>
    <t>SUNBCF</t>
  </si>
  <si>
    <t>SUNFCF</t>
  </si>
  <si>
    <t>SUNFOP</t>
  </si>
  <si>
    <t>IT - Software</t>
  </si>
  <si>
    <t>IT - Services</t>
  </si>
  <si>
    <t>Shriram Finance Limited November 2023</t>
  </si>
  <si>
    <t>GAIL (India) Limited November 2023</t>
  </si>
  <si>
    <t>TATA Consultancy Services Limited November 2023</t>
  </si>
  <si>
    <t>Siemens Limited November 2023</t>
  </si>
  <si>
    <t>ITC Limited November 2023</t>
  </si>
  <si>
    <t>UPL Limited November 2023</t>
  </si>
  <si>
    <t>Zydus Lifesciences Limited November 2023</t>
  </si>
  <si>
    <t>Kotak Mahindra Bank Limited December 2023</t>
  </si>
  <si>
    <t>Eicher Motor Limited November 2023</t>
  </si>
  <si>
    <t xml:space="preserve">	Tata Consumer Products Limited November 2023</t>
  </si>
  <si>
    <t>Tata Communications Limited November 2023</t>
  </si>
  <si>
    <t>Ambuja Cements Limited December 2023</t>
  </si>
  <si>
    <t>HDFC Bank Limited December 2023</t>
  </si>
  <si>
    <t>ACC Limited November 2023</t>
  </si>
  <si>
    <t>Bajaj Finance Limited November 2023</t>
  </si>
  <si>
    <t>Dabur India Limited November 2023</t>
  </si>
  <si>
    <t>Ambuja Cements Limited November 2023</t>
  </si>
  <si>
    <t>Manappuram Finance Limited November 2023</t>
  </si>
  <si>
    <t>DLF Limited November 2023</t>
  </si>
  <si>
    <t>Maruti Suzuki India Limited November 2023</t>
  </si>
  <si>
    <t>Indus Towers Limited November 2023</t>
  </si>
  <si>
    <t>HDFC Bank Limited November 2023</t>
  </si>
  <si>
    <t>Reliance Industries Limited November 2023</t>
  </si>
  <si>
    <t>ICICI Bank Limited November 2023</t>
  </si>
  <si>
    <t>Zee Entertainment Enterprises Limited November 2023</t>
  </si>
  <si>
    <t>Bajaj Auto Limited November 2023</t>
  </si>
  <si>
    <t>SBI Life Insurance Company Limited November 2023</t>
  </si>
  <si>
    <t>Adani Ports &amp; SEZ Limited November 2023</t>
  </si>
  <si>
    <t xml:space="preserve">	Tech Mahindra Limited November 2023</t>
  </si>
  <si>
    <t>Bajaj Finserv Limited November 2023</t>
  </si>
  <si>
    <t>IndusInd Bank Limited November 2023</t>
  </si>
  <si>
    <t>UltraTech Cement Limited November 2023</t>
  </si>
  <si>
    <t xml:space="preserve">	Tata Steel Limited November 2023</t>
  </si>
  <si>
    <t>NTPC Limited November 2023</t>
  </si>
  <si>
    <t>Sun Pharmaceutical Industries Limited November 2023</t>
  </si>
  <si>
    <t>HCL Technologies Limited November 2023</t>
  </si>
  <si>
    <t>Coromandel International Limited November 2023</t>
  </si>
  <si>
    <t xml:space="preserve">	Hindustan Unilever Limited November 2023</t>
  </si>
  <si>
    <t>Bharti Airtel Limited November 2023</t>
  </si>
  <si>
    <t>TVS Motor Company Limited November 2023</t>
  </si>
  <si>
    <t>Axis Bank Limited November 2023</t>
  </si>
  <si>
    <t>LTIMindtree Limited November 2023</t>
  </si>
  <si>
    <t>Larsen &amp; Toubro Limited November 2023</t>
  </si>
  <si>
    <t xml:space="preserve">	United Spirits Limited November 2023</t>
  </si>
  <si>
    <t xml:space="preserve">	Mahindra &amp; Mahindra Limited November 2023</t>
  </si>
  <si>
    <t xml:space="preserve">	State Bank Of India Limited November 2023</t>
  </si>
  <si>
    <t>Cipla Limited November 2023</t>
  </si>
  <si>
    <t>Tata Motors Limited November 2023</t>
  </si>
  <si>
    <t>Jindal Steel &amp; Power Limited November 2023</t>
  </si>
  <si>
    <t>Bank of Baroda November 2023</t>
  </si>
  <si>
    <t>Kotak Mahindra Bank Limited November 2023</t>
  </si>
  <si>
    <t>Infosys Limited November 2023</t>
  </si>
  <si>
    <t>JSW Steel Limited November 2023</t>
  </si>
  <si>
    <t>HDFC Life Insurance Company Limited November 2023</t>
  </si>
  <si>
    <t>Aurobindo Pharma Limited November 2023</t>
  </si>
  <si>
    <t>Hindustan Petroleum Corpn Limited November 2023</t>
  </si>
  <si>
    <t>Hindustan Dorr - Oliver Ltd @</t>
  </si>
  <si>
    <t>b) Total value and percentage of illiquid equity shares @</t>
  </si>
  <si>
    <t>0.00 / #</t>
  </si>
  <si>
    <t>TVS Holdings Ltd - 9.00% - 25/03/2024 - Preference share</t>
  </si>
  <si>
    <t>Sundaram Clayton DCD Ltd - 0.10% -  25/08/2024 - Unlisted Preference share** @</t>
  </si>
  <si>
    <t>Rs.2.54 lacs/ #</t>
  </si>
  <si>
    <t>Rs.0.01 lacs/ #</t>
  </si>
  <si>
    <t>b) Total value and percentage of illiquid equity / Preference shares @</t>
  </si>
  <si>
    <t>Rs.0.02 lacs/ #</t>
  </si>
  <si>
    <t>Rs. 1.38 lacs / #</t>
  </si>
  <si>
    <t>Rs. 5.58 lacs/ 0.01%</t>
  </si>
  <si>
    <t>Chennai Super Kings Ltd @</t>
  </si>
  <si>
    <t>Tirrihannah Company Ltd @</t>
  </si>
  <si>
    <t>Crystal Cable Industries Ltd @</t>
  </si>
  <si>
    <t>Minerava Holdings Ltd @</t>
  </si>
  <si>
    <t>Sandur Laminates Ltd @</t>
  </si>
  <si>
    <t>Crescent Finstock Ltd @</t>
  </si>
  <si>
    <t>Mukerian Papers Ltd @</t>
  </si>
  <si>
    <t>Noble Brothers Impex Ltd @</t>
  </si>
  <si>
    <t>Balmer Lawrie Freight Containers Ltd @</t>
  </si>
  <si>
    <t>Sangam Health Care Products Ltd @</t>
  </si>
  <si>
    <t>Precision Fasteners Ltd @</t>
  </si>
  <si>
    <t>Virtual Dynamics Software Ltd @</t>
  </si>
  <si>
    <t>Rs.39.94 lacs / 0.02%</t>
  </si>
  <si>
    <t>Rs. 16.79 lacs / 0.02%</t>
  </si>
  <si>
    <t>Sundaram Liquid Fund - Direct Growth @@</t>
  </si>
  <si>
    <t xml:space="preserve"> @@ Placed as margin for derivatives</t>
  </si>
  <si>
    <t>INE041025011</t>
  </si>
  <si>
    <t>Embassy Office Parks (REIT)</t>
  </si>
  <si>
    <t>INE0GGX23010</t>
  </si>
  <si>
    <t>Power Grid Infrastructure Investment Trust (InvIT)</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</si>
  <si>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</si>
  <si>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7.69% Central Government Securities_Floating Rate Bond - 04/10/2028 ~</t>
  </si>
  <si>
    <t>7.18% Central Government Securities - 24/07/2037</t>
  </si>
  <si>
    <t>7.18% Central Government Securities - 14/08/2033</t>
  </si>
  <si>
    <t>7.17% Central Government Securities - 17/04/20230</t>
  </si>
  <si>
    <t>Bharti Airtel Ltd - Partly Paid Right Shares</t>
  </si>
  <si>
    <t>g) Derivative</t>
  </si>
  <si>
    <t>INE121A08PJ0</t>
  </si>
  <si>
    <t>(f) Debenture</t>
  </si>
  <si>
    <t>Govt Unrated</t>
  </si>
  <si>
    <t>7.5% Cholamandalam Investment and Company Ltd - 30/09/2026</t>
  </si>
  <si>
    <t>** Thinly traded / Non Traded Securities</t>
  </si>
  <si>
    <t>Annexure-A</t>
  </si>
  <si>
    <t>Make My Trip Ltd (USD)</t>
  </si>
  <si>
    <t>Rs.1219.99 Lacs</t>
  </si>
  <si>
    <t>Cash and Other Net Current Assets^</t>
  </si>
  <si>
    <t>^ Net current assets includes interest accrued on fixed income securities</t>
  </si>
  <si>
    <t>Tata Motors Ltd - DVR</t>
  </si>
  <si>
    <t>364 Days - T Bill - 14/03/2024*</t>
  </si>
  <si>
    <t>182 Days - T Bill -16/11/2023*</t>
  </si>
  <si>
    <t>364 Days - T Bill - 23/11/2023*</t>
  </si>
  <si>
    <t>364 Days - T Bill - 17/10/2024*</t>
  </si>
  <si>
    <t>5.22% Central Government Securities 15/06/2025*</t>
  </si>
  <si>
    <t>364 Days - T Bill - 22/03/2024*</t>
  </si>
  <si>
    <t>* Investment earmarked for Derivative Margin</t>
  </si>
  <si>
    <t>YTM (%)</t>
  </si>
  <si>
    <t>Rs.10554.87 Lacs</t>
  </si>
  <si>
    <t>Name of The security</t>
  </si>
  <si>
    <t xml:space="preserve">ISIN </t>
  </si>
  <si>
    <t>Net receivable/Market value  (Rs. Lakh)</t>
  </si>
  <si>
    <t>% to NAV</t>
  </si>
  <si>
    <t>Total Amount(Principal &amp; Interest)  (Rs. Lakh)</t>
  </si>
  <si>
    <t xml:space="preserve">IL&amp;FS Financial Services Ltd. 24SEP18 CP </t>
  </si>
  <si>
    <t>INE121H14JU3</t>
  </si>
  <si>
    <t>ISIN</t>
  </si>
  <si>
    <t>NAME OF THE SECURITY</t>
  </si>
  <si>
    <t>VALUE OF THE SECURITY CONSIDERED UNDER NET RECEIVABLES</t>
  </si>
  <si>
    <t>% TO AUM</t>
  </si>
  <si>
    <t>INE528G08394</t>
  </si>
  <si>
    <t>9%-YES BANK LTD-NCD-Call opt-18/10/2022-Perpetual Bond $</t>
  </si>
  <si>
    <t>TOTAL AMOUNT INCLUDING INTEREST DUE TO THE SCHEME</t>
  </si>
  <si>
    <t>TOTAL AMOUNT DUE</t>
  </si>
  <si>
    <t>PRINCIPAL (Rs. in Lacs)</t>
  </si>
  <si>
    <t>Interest Accrued till 05 Mar 2020
(Rs. in Lacs)</t>
  </si>
  <si>
    <t>Total 
(Rs. in Lacs)</t>
  </si>
  <si>
    <t>$ Yes Bank Limited Reconstruction Scheme 2020” was notified in the Official Gazette on March 13, 2020. Based on that, the Basel III Additional Tier I Bonds (ISIN - INE528G08394) were written down in the scheme along with the Interest accrued.</t>
  </si>
  <si>
    <t>Portfolio Information</t>
  </si>
  <si>
    <t>Scheme Name :</t>
  </si>
  <si>
    <t>Description (if any)</t>
  </si>
  <si>
    <t xml:space="preserve">Annualised Portfolio YTM %* : </t>
  </si>
  <si>
    <t>Macaulay Duration (years) - only for Debt portion (years)</t>
  </si>
  <si>
    <t>Residual Maturity (years) - only for Debt portion (years)</t>
  </si>
  <si>
    <t xml:space="preserve">As on (Date) </t>
  </si>
  <si>
    <t>*** in case of semi annual YTM,  it will be annualised </t>
  </si>
  <si>
    <t>% to AUM as on 31/10/2023</t>
  </si>
  <si>
    <t>21.50% Dewan Rubber Ltd</t>
  </si>
  <si>
    <t>Not Available</t>
  </si>
  <si>
    <t>Chemox Chemicals Industries</t>
  </si>
  <si>
    <t>15% Premier Vinyl Ltd</t>
  </si>
  <si>
    <t>i) Exposure to securities classified as below investment grade or default as on Oct 31, 2023</t>
  </si>
  <si>
    <t>Bank of Baroda - 8.55% - Call Dt 14/02/2024 (Tier II Bond under Basel III)**</t>
  </si>
  <si>
    <t>Yield to call date %</t>
  </si>
  <si>
    <t>Direct Plan - IDCW</t>
  </si>
  <si>
    <t>Regular Plan - IDCW</t>
  </si>
  <si>
    <t>d) IDCW declared during the period (Rupees per unit)</t>
  </si>
  <si>
    <t>Direct Plan - Halfyearly IDCW</t>
  </si>
  <si>
    <t>Regular Plan - Halfyearly IDCW</t>
  </si>
  <si>
    <t>Direct Plan - Monthly IDCW</t>
  </si>
  <si>
    <t>Direct Plan - Quarterly IDCW</t>
  </si>
  <si>
    <t>Regular Plan - Monthly IDCW</t>
  </si>
  <si>
    <t>Regular Plan - Quarterly IDCW</t>
  </si>
  <si>
    <t>Institutional Plan - IDCW</t>
  </si>
  <si>
    <t>Monthly Portfolio Statement for the month ended 31 October 2023</t>
  </si>
  <si>
    <t>(a) Investments in Foreign Securities - Units of Mutual Funds</t>
  </si>
  <si>
    <t>Direct Plan - Half Yearly IDCW</t>
  </si>
  <si>
    <t>Regular Plan - Half Yearly IDCW</t>
  </si>
  <si>
    <t>Index</t>
  </si>
  <si>
    <t>Scheme Riskometer</t>
  </si>
  <si>
    <t>Benchmark Riskometer - NIFTY Infrastructure TRI</t>
  </si>
  <si>
    <t xml:space="preserve">          Benchmark Riskometer - MSCI ACWI TRI</t>
  </si>
  <si>
    <t>Tier I Benchmark Riskometer - Nifty Mid Cap 150 TRI</t>
  </si>
  <si>
    <t>Tier II Benchmark Riskometer - Nifty Mid Cap 100 TRI</t>
  </si>
  <si>
    <t>Tier I Benchmark Riskometer - Nifty Large Mid Cap 250 INDEX</t>
  </si>
  <si>
    <t>Tier II Benchmark Riskometer - Nifty Large Mid Cap 250 INDEX</t>
  </si>
  <si>
    <t xml:space="preserve">       Benchmark Riskometer - S&amp;P BSE 500 INDEX</t>
  </si>
  <si>
    <t xml:space="preserve"> Benchmark Riskometer - S&amp;P BSE 500 INDEX</t>
  </si>
  <si>
    <t xml:space="preserve">        Benchmark Riskometer - S&amp;P BSE 500 INDEX</t>
  </si>
  <si>
    <t xml:space="preserve">        Benchmark Riskometer - Nifty Small Cap 100</t>
  </si>
  <si>
    <t xml:space="preserve">           Benchmark Riskometer - Nifty Small Cap 100</t>
  </si>
  <si>
    <t xml:space="preserve">         Benchmark Riskometer - Nifty Small Cap 100</t>
  </si>
  <si>
    <t>Benchmark Riskometer - Nifty Small Cap 100</t>
  </si>
  <si>
    <t>Tier I Benchmark Riskometer - Nifty Small Cap 250 TRI</t>
  </si>
  <si>
    <t>Tier II Benchmark Riskometer - Nifty Small Cap 100 TRI</t>
  </si>
  <si>
    <t>Benchmark Riskometer - CRISIL Hybrid 35+65 - Aggressive Index</t>
  </si>
  <si>
    <t>Benchmark Riskometer - NIFTY 50 Arbitrage INDEX</t>
  </si>
  <si>
    <t>Benchmark Riskometer - NIFTY 50 Hybrid Composite Debt 50 : 50 INDEX</t>
  </si>
  <si>
    <t xml:space="preserve">             Tier I Benchmark Riskometer - NIFTY 500</t>
  </si>
  <si>
    <t>Tier II Benchmark Riskometer - NIFTY Dividend Opportunities 50 TRI</t>
  </si>
  <si>
    <t>Benchmark Riskometer - Nifty Equity Savings INDEX</t>
  </si>
  <si>
    <t xml:space="preserve">          Tier I Benchmark Riskometer - Nifty 500 TRI</t>
  </si>
  <si>
    <t xml:space="preserve"> Tier II Benchmark Riskometer - Nifty Large MID CAP 250 TRI</t>
  </si>
  <si>
    <t>Tier I Benchmark Riskometer - Nifty 500 MultiCap 50:25:25</t>
  </si>
  <si>
    <t>Tier II Benchmark Riskometer - Nifty 500 MultiCap 50:25:25</t>
  </si>
  <si>
    <t>Benchmark Riskometer - Nifty 100 Equal Weight TRI</t>
  </si>
  <si>
    <t>Tier I Benchmark Riskometer - NIFTY 500</t>
  </si>
  <si>
    <t>Tier II Benchmark Riskometer - NIFTY 500</t>
  </si>
  <si>
    <t>Benchmark Riskometer - Nifty India Consumption TRI</t>
  </si>
  <si>
    <t>Tier I Benchmark Riskometer - NIFTY Services Sector Index</t>
  </si>
  <si>
    <t>Tier II Benchmark Riskometer - NIFTY 500 MULTICAP 50:25:25</t>
  </si>
  <si>
    <t>Tier I Benchmark Riskometer - Nifty 100 TRI INDEX</t>
  </si>
  <si>
    <t>Tier II Benchmark Riskometer - Nifty 100 TRI INDEX</t>
  </si>
  <si>
    <t xml:space="preserve">           Tier I Benchmark Riskometer - Nifty 500 TRI</t>
  </si>
  <si>
    <t xml:space="preserve">            Tier II Benchmark Riskometer - Nifty 500 TRI</t>
  </si>
  <si>
    <t>Benchmark Riskometer - Nifty Financial Services</t>
  </si>
  <si>
    <t>18% Jord Engineering Ltd</t>
  </si>
  <si>
    <t>Refer below point i)</t>
  </si>
  <si>
    <t>DERIVATIVES DISCLOSURE</t>
  </si>
  <si>
    <t>Disclosure regarding Derivative positions pursuant to SEBI Circular no CIR/IMD/DF/11/2010 dated August18,2010</t>
  </si>
  <si>
    <t>DETAILS OF INVESTMENTS IN DERIVATIVE INSTRUMENTS</t>
  </si>
  <si>
    <t>A. Hedging Positions through Futures as on October 31,2023 :</t>
  </si>
  <si>
    <t>Scheme Name</t>
  </si>
  <si>
    <t>Underlying</t>
  </si>
  <si>
    <t>Long/Short</t>
  </si>
  <si>
    <t>Futures Price When Purchased</t>
  </si>
  <si>
    <t>Current Price of the contract</t>
  </si>
  <si>
    <t>Margin maintained in       (Rs in Lakhs)*</t>
  </si>
  <si>
    <t>Shriram Finance Ltd ( Prv Shriram Tpt Finance Co Ltd) NOV-2023</t>
  </si>
  <si>
    <t>Short</t>
  </si>
  <si>
    <t>Associated Cement Co. Ltd NOV-2023</t>
  </si>
  <si>
    <t>Bajaj Finance Ltd NOV-2023</t>
  </si>
  <si>
    <t>Dabur India Ltd - Equity NOV-2023</t>
  </si>
  <si>
    <t>DLF Ltd NOV-2023</t>
  </si>
  <si>
    <t>Eicher Motor Ltd NOV-2023</t>
  </si>
  <si>
    <t>GAIL (India) Ltd NOV-2023</t>
  </si>
  <si>
    <t>Gujarat Ambuja Cement Co.Ltd DEC-2023</t>
  </si>
  <si>
    <t>Gujarat Ambuja Cement Co.Ltd NOV-2023</t>
  </si>
  <si>
    <t>HDFC Bank Ltd DEC-2023</t>
  </si>
  <si>
    <t>HDFC Bank Ltd NOV-2023</t>
  </si>
  <si>
    <t>ICICI Bank Ltd NOV-2023</t>
  </si>
  <si>
    <t>Indus Towers Ltd (Prev name Bharti Infratel Ltd) NOV-2023</t>
  </si>
  <si>
    <t>ITC Ltd NOV-2023</t>
  </si>
  <si>
    <t>Kotak Mahindra Bank Ltd DEC-2023</t>
  </si>
  <si>
    <t>Manappuram Finance Limited NOV-2023</t>
  </si>
  <si>
    <t>Maruti Suzuki India Ltd NOV-2023</t>
  </si>
  <si>
    <t>Reliance Industries Ltd NOV-2023</t>
  </si>
  <si>
    <t>Siemens India Ltd NOV-2023</t>
  </si>
  <si>
    <t>TATA Communications Ltd NOV-2023</t>
  </si>
  <si>
    <t>TATA Consultancy Services Ltd NOV-2023</t>
  </si>
  <si>
    <t>Tata Consumer Products Limited NOV-2023</t>
  </si>
  <si>
    <t>UPL Lmited (Previously )United Phosphorous Ltd NOV-2023</t>
  </si>
  <si>
    <t>Zee Entertainment Enterprises Ltd NOV-2023</t>
  </si>
  <si>
    <t>Zydus Lifesciences Ltd ( Prev Cadila Healthcare Ltd)  NOV-2023</t>
  </si>
  <si>
    <t>Adani Ports &amp; SEZ Ltd NOV-2023</t>
  </si>
  <si>
    <t>Axis Bank Ltd  NOV-2023</t>
  </si>
  <si>
    <t>Bajaj Auto Ltd NOV-2023</t>
  </si>
  <si>
    <t>Bajaj Finserv Ltd NOV-2023</t>
  </si>
  <si>
    <t>Bank of Baroda NOV-2023</t>
  </si>
  <si>
    <t>Bharti Airtel Ltd NOV-2023</t>
  </si>
  <si>
    <t>Cipla Ltd NOV-2023</t>
  </si>
  <si>
    <t>Coromandel International Ltd Prv (Coromandel Fertilisers Ltd) NOV-2023</t>
  </si>
  <si>
    <t>HCL Technologies Ltd NOV-2023</t>
  </si>
  <si>
    <t>Hindustan Unilever Ltd NOV-2023</t>
  </si>
  <si>
    <t>IndusInd Bank Ltd NOV-2023</t>
  </si>
  <si>
    <t>Infosys Ltd NOV-2023</t>
  </si>
  <si>
    <t>Jindal Steel &amp; Power Ltd NOV-2023</t>
  </si>
  <si>
    <t>Kotak Mahindra Bank Ltd NOV-2023</t>
  </si>
  <si>
    <t>Larsen &amp; Toubro Ltd - Equity NOV-2023</t>
  </si>
  <si>
    <t>LTIMindtree Limited ( Pre Larsen &amp; Toubro Infotech Ltd) NOV-2023</t>
  </si>
  <si>
    <t>Mahindra &amp; Mahindra Ltd NOV-2023</t>
  </si>
  <si>
    <t>NTPC Ltd NOV-2023</t>
  </si>
  <si>
    <t>SBI Life Insurance Company Ltd NOV-2023</t>
  </si>
  <si>
    <t>State Bank Of India Ltd NOV-2023</t>
  </si>
  <si>
    <t>Sun Pharmaceuticals Ltd NOV-2023</t>
  </si>
  <si>
    <t>Tata Motors Ltd NOV-2023</t>
  </si>
  <si>
    <t>Tata Steel Ltd NOV-2023</t>
  </si>
  <si>
    <t>Tech Mahindra Ltd NOV-2023</t>
  </si>
  <si>
    <t>TVS Motor Company Ltd   NOV-2023</t>
  </si>
  <si>
    <t>Ultra Tech Cement Ltd NOV-2023</t>
  </si>
  <si>
    <t>United Spirits Ltd NOV-2023</t>
  </si>
  <si>
    <t>Aurobindo Pharma Ltd-Equ NOV-2023</t>
  </si>
  <si>
    <t>HDFC Life Insurance Company Ltd NOV-2023</t>
  </si>
  <si>
    <t>Hindustan Petroleum Corpn Ltd NOV-2023</t>
  </si>
  <si>
    <t>JSW Steel Ltd NOV-2023</t>
  </si>
  <si>
    <t xml:space="preserve">Total percentage of existing assets hedged through futures as a percentage of net assets </t>
  </si>
  <si>
    <t>%</t>
  </si>
  <si>
    <t>For the period ended October 31,2023 following were the hedging transactions through futures which have been squared off/ expired</t>
  </si>
  <si>
    <t>Total Number of contracts where futures were Bought</t>
  </si>
  <si>
    <t>Total Number of contracts where futures were Sold</t>
  </si>
  <si>
    <t>Gross Notional value of contracts where futures were bought                      (Rs. in Lakhs)</t>
  </si>
  <si>
    <t>Gross Notional value of contracts where futures were sold        (Rs. in Lakhs)</t>
  </si>
  <si>
    <t>Net Profit / (Loss) value on all contracts combined       (Rs. in lakhs)</t>
  </si>
  <si>
    <t>B. Other than hedging positions through futures as on October 31,2023 :</t>
  </si>
  <si>
    <t>Margin maintained in       (Rs. in Lakhs) *</t>
  </si>
  <si>
    <t>LONG</t>
  </si>
  <si>
    <t>Total percentage of existing assets due to non-hedging positions as a percentage of net assets</t>
  </si>
  <si>
    <t>For the period ended October 31,2023 following were the non-hedging transactions through futures which have been squared off / expired</t>
  </si>
  <si>
    <t>Gross Notional value of contracts where futures were sold      ( Rs. in Lakhs)</t>
  </si>
  <si>
    <t>Net Profit / (Loss) value on all contracts combined      (Rs. in lakhs)</t>
  </si>
  <si>
    <t>Sundaram Equity Saving Fund</t>
  </si>
  <si>
    <t>Sundaram Multip Cap Fund</t>
  </si>
  <si>
    <t>C. Hedging Positions through Put Options as on October 31,2023 :</t>
  </si>
  <si>
    <t>Call/Put</t>
  </si>
  <si>
    <t>Number of Contracts</t>
  </si>
  <si>
    <t>Option Price when purchased</t>
  </si>
  <si>
    <t>Current Option Price</t>
  </si>
  <si>
    <t>Total % of existing assets hedged through Put Options</t>
  </si>
  <si>
    <t xml:space="preserve"> </t>
  </si>
  <si>
    <t>For the period ended  October 31,2023 , the following hedging transactions through options which have been already exercised/expired</t>
  </si>
  <si>
    <t>Total Number of contracts entered into</t>
  </si>
  <si>
    <t>Gross Notional value of contracts bought                      (Rs. in Lakhs)</t>
  </si>
  <si>
    <t>Gross Notional value of contracts  sold  (Rs. in Lakhs)</t>
  </si>
  <si>
    <t>Net Profit/(Loss) on all contracts 
(Rs. in Lakhs)</t>
  </si>
  <si>
    <t>D. Other than Hedging Positions through options as on October 31,2023 :</t>
  </si>
  <si>
    <t xml:space="preserve">Total Exposure through Options other than hedging as a percentage of net assets </t>
  </si>
  <si>
    <t>For the period ended October 31,2023 , the following non hedging transactions through options which have been already exercised/expired</t>
  </si>
  <si>
    <t>Gross Notional value of contracts  bought(Rs. in Lakhs)</t>
  </si>
  <si>
    <t>Gross Notional value of contracts  sold (Rs. in Lakhs)</t>
  </si>
  <si>
    <t>E. Hedging Positions through Swaps as on October 31,2023 - Nil</t>
  </si>
  <si>
    <t>F. Hedging Positions through Interest Rate Futures as on October 31,2023 :</t>
  </si>
  <si>
    <t xml:space="preserve">Futures Price
When Purchased </t>
  </si>
  <si>
    <t>Current Price of
the contract</t>
  </si>
  <si>
    <t>Margin maintained
in (Rs. in Lakhs)</t>
  </si>
  <si>
    <t>Total percentage of existing assets hedged through Interest Rate Futures a Percentage of net assets</t>
  </si>
  <si>
    <t>For the period ended October 31,2023 following were the hedging transactions through Interest Rate Futures which have been squared off/ expired</t>
  </si>
  <si>
    <t>For the period ended October 31,2023 following were the Non Hedging transactions through Interest Rate Futures which have been squared off/ expired</t>
  </si>
  <si>
    <t>* Note: Margin maintained denotes security specific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</si>
</sst>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43" formatCode="_ * #,##0.00_ ;_ * \-#,##0.00_ ;_ * &quot;-&quot;??_ ;_ @_ "/>
    <numFmt numFmtId="164" formatCode="[$-1014009]General"/>
    <numFmt numFmtId="165" formatCode="[$-1014009]###0;\(###0\)"/>
    <numFmt numFmtId="166" formatCode="[$-1014009]###0.00;\(###0.00\)"/>
    <numFmt numFmtId="167" formatCode="[$-1014009]###0.00%;\(###0.00%\)"/>
    <numFmt numFmtId="168" formatCode="[$-1014009]#,##0.00\ %;\(#,##0.00\)"/>
    <numFmt numFmtId="169" formatCode="[$-1014009]#.0000"/>
    <numFmt numFmtId="170" formatCode="[$-1014009]#,##0.00%"/>
    <numFmt numFmtId="171" formatCode="[$-1014009]#,##0.000000;\-#,##0.000000"/>
    <numFmt numFmtId="172" formatCode="[$-1014009]#,##0.00;\(#,##0.00\)"/>
    <numFmt numFmtId="173" formatCode="_(* #,##0_);_(* \(#,##0\);_(* &quot;-&quot;??_);_(@_)"/>
    <numFmt numFmtId="174" formatCode="[$-1014009]#,##0.0000;\(#,##0.0000\)"/>
    <numFmt numFmtId="175" formatCode="0.000"/>
    <numFmt numFmtId="176" formatCode="_(* #,##0.00_);_(* \(#,##0.00\);_(* &quot;-&quot;??_);_(@_)"/>
    <numFmt numFmtId="177" formatCode="#,##0.000"/>
    <numFmt numFmtId="179" formatCode="#,##0.0000;\(#,##0.0000\)"/>
    <numFmt numFmtId="180" formatCode="_(* #,##0.000_);_(* \(#,##0.000\);_(* &quot;-&quot;??_);_(@_)"/>
  </numFmts>
  <fonts count="28" x14ac:knownFonts="1">
    <font>
      <sz val="10"/>
      <name val="Arial"/>
      <charset val="1"/>
    </font>
    <font>
      <sz val="11"/>
      <color theme="1"/>
      <name val="Calibri"/>
      <family val="2"/>
      <scheme val="minor"/>
    </font>
    <font>
      <sz val="11"/>
      <color theme="1"/>
      <name val="Calibri"/>
      <family val="2"/>
      <scheme val="minor"/>
    </font>
    <font>
      <sz val="11"/>
      <color theme="1"/>
      <name val="Calibri"/>
      <family val="2"/>
      <scheme val="minor"/>
    </font>
    <font>
      <b/>
      <sz val="11"/>
      <color indexed="8"/>
      <name val="Calibri"/>
      <charset val="1"/>
    </font>
    <font>
      <sz val="10"/>
      <color indexed="8"/>
      <name val="Calibri"/>
      <charset val="1"/>
    </font>
    <font>
      <b/>
      <sz val="10"/>
      <color indexed="8"/>
      <name val="Calibri"/>
      <charset val="1"/>
    </font>
    <font>
      <b/>
      <i/>
      <sz val="10"/>
      <color indexed="8"/>
      <name val="Calibri"/>
      <charset val="1"/>
    </font>
    <font>
      <b/>
      <sz val="9"/>
      <color indexed="8"/>
      <name val="Calibri"/>
      <charset val="1"/>
    </font>
    <font>
      <b/>
      <sz val="11"/>
      <color theme="1"/>
      <name val="Calibri"/>
      <family val="2"/>
      <scheme val="minor"/>
    </font>
    <font>
      <b/>
      <sz val="11"/>
      <name val="Calibri"/>
      <family val="2"/>
      <scheme val="minor"/>
    </font>
    <font>
      <sz val="10"/>
      <name val="Arial"/>
      <family val="2"/>
    </font>
    <font>
      <sz val="11"/>
      <name val="Calibri"/>
      <family val="2"/>
      <scheme val="minor"/>
    </font>
    <font>
      <u/>
      <sz val="10"/>
      <color theme="10"/>
      <name val="Arial"/>
      <family val="2"/>
    </font>
    <font>
      <u/>
      <sz val="11"/>
      <color theme="10"/>
      <name val="Calibri"/>
      <family val="2"/>
      <scheme val="minor"/>
    </font>
    <font>
      <sz val="10"/>
      <color indexed="8"/>
      <name val="Calibri"/>
      <family val="2"/>
    </font>
    <font>
      <b/>
      <sz val="10"/>
      <color indexed="8"/>
      <name val="Calibri"/>
      <family val="2"/>
    </font>
    <font>
      <b/>
      <i/>
      <sz val="10"/>
      <color indexed="8"/>
      <name val="Calibri"/>
      <family val="2"/>
    </font>
    <font>
      <b/>
      <sz val="11"/>
      <name val="Calibri"/>
      <family val="2"/>
    </font>
    <font>
      <b/>
      <sz val="11"/>
      <color indexed="8"/>
      <name val="Calibri"/>
      <family val="2"/>
    </font>
    <font>
      <sz val="10"/>
      <name val="Arial"/>
      <charset val="1"/>
    </font>
    <font>
      <sz val="10"/>
      <color theme="1"/>
      <name val="Calibri"/>
      <family val="2"/>
      <scheme val="minor"/>
    </font>
    <font>
      <b/>
      <sz val="10"/>
      <color theme="1"/>
      <name val="Calibri"/>
      <family val="2"/>
      <scheme val="minor"/>
    </font>
    <font>
      <sz val="10"/>
      <name val="Calibri"/>
      <family val="2"/>
      <scheme val="minor"/>
    </font>
    <font>
      <b/>
      <sz val="10"/>
      <name val="Calibri"/>
      <family val="2"/>
      <scheme val="minor"/>
    </font>
    <font>
      <u/>
      <sz val="11"/>
      <color rgb="FF002060"/>
      <name val="Calibri"/>
      <family val="2"/>
      <scheme val="minor"/>
    </font>
    <font>
      <sz val="11"/>
      <name val="Calibri"/>
      <family val="2"/>
    </font>
    <font>
      <b/>
      <sz val="10"/>
      <name val="Arial"/>
      <family val="2"/>
    </font>
  </fonts>
  <fills count="4">
    <fill>
      <patternFill patternType="none"/>
    </fill>
    <fill>
      <patternFill patternType="gray125"/>
    </fill>
    <fill>
      <patternFill patternType="solid">
        <fgColor indexed="9"/>
      </patternFill>
    </fill>
    <fill>
      <patternFill patternType="solid">
        <fgColor theme="8" tint="0.79998168889431442"/>
        <bgColor indexed="64"/>
      </patternFill>
    </fill>
  </fills>
  <borders count="12">
    <border>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thin">
        <color indexed="8"/>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8"/>
      </left>
      <right style="thin">
        <color indexed="8"/>
      </right>
      <top/>
      <bottom style="thin">
        <color indexed="8"/>
      </bottom>
      <diagonal/>
    </border>
  </borders>
  <cellStyleXfs count="11">
    <xf numFmtId="0" fontId="0" fillId="0" borderId="0">
      <alignment wrapText="1"/>
    </xf>
    <xf numFmtId="0" fontId="3" fillId="0" borderId="0"/>
    <xf numFmtId="0" fontId="11" fillId="0" borderId="0">
      <alignment wrapText="1"/>
    </xf>
    <xf numFmtId="0" fontId="13" fillId="0" borderId="0" applyNumberFormat="0" applyFill="0" applyBorder="0" applyAlignment="0" applyProtection="0">
      <alignment wrapText="1"/>
    </xf>
    <xf numFmtId="0" fontId="2" fillId="0" borderId="0"/>
    <xf numFmtId="43" fontId="20" fillId="0" borderId="0" applyFont="0" applyFill="0" applyBorder="0" applyAlignment="0" applyProtection="0"/>
    <xf numFmtId="9" fontId="20" fillId="0" borderId="0" applyFont="0" applyFill="0" applyBorder="0" applyAlignment="0" applyProtection="0"/>
    <xf numFmtId="0" fontId="1" fillId="0" borderId="0"/>
    <xf numFmtId="43" fontId="1" fillId="0" borderId="0" applyFont="0" applyFill="0" applyBorder="0" applyAlignment="0" applyProtection="0"/>
    <xf numFmtId="0" fontId="11" fillId="0" borderId="0">
      <alignment wrapText="1"/>
    </xf>
    <xf numFmtId="0" fontId="11" fillId="0" borderId="0">
      <alignment wrapText="1"/>
    </xf>
  </cellStyleXfs>
  <cellXfs count="223">
    <xf numFmtId="0" fontId="0" fillId="0" borderId="0" xfId="0">
      <alignment wrapText="1"/>
    </xf>
    <xf numFmtId="0" fontId="5" fillId="2" borderId="4" xfId="0" applyFont="1" applyFill="1" applyBorder="1" applyAlignment="1">
      <alignment horizontal="right" vertical="top" wrapText="1" readingOrder="1"/>
    </xf>
    <xf numFmtId="0" fontId="6" fillId="2" borderId="4" xfId="0" applyFont="1" applyFill="1" applyBorder="1" applyAlignment="1">
      <alignment horizontal="left" vertical="center" wrapText="1" readingOrder="1"/>
    </xf>
    <xf numFmtId="164" fontId="5" fillId="2" borderId="4" xfId="0" applyNumberFormat="1" applyFont="1" applyFill="1" applyBorder="1" applyAlignment="1">
      <alignment horizontal="right" vertical="center" wrapText="1" readingOrder="1"/>
    </xf>
    <xf numFmtId="0" fontId="5" fillId="2" borderId="4" xfId="0" applyFont="1" applyFill="1" applyBorder="1" applyAlignment="1">
      <alignment horizontal="left" vertical="center" wrapText="1" readingOrder="1"/>
    </xf>
    <xf numFmtId="165" fontId="5" fillId="2" borderId="4" xfId="0" applyNumberFormat="1" applyFont="1" applyFill="1" applyBorder="1" applyAlignment="1">
      <alignment horizontal="right" vertical="center" wrapText="1" readingOrder="1"/>
    </xf>
    <xf numFmtId="166" fontId="5" fillId="2" borderId="4" xfId="0" applyNumberFormat="1" applyFont="1" applyFill="1" applyBorder="1" applyAlignment="1">
      <alignment horizontal="right" vertical="center" wrapText="1" readingOrder="1"/>
    </xf>
    <xf numFmtId="167" fontId="5" fillId="2" borderId="4" xfId="0" applyNumberFormat="1" applyFont="1" applyFill="1" applyBorder="1" applyAlignment="1">
      <alignment horizontal="right" vertical="center" wrapText="1" readingOrder="1"/>
    </xf>
    <xf numFmtId="0" fontId="5" fillId="2" borderId="4" xfId="0" applyFont="1" applyFill="1" applyBorder="1" applyAlignment="1">
      <alignment horizontal="right" vertical="center" wrapText="1" readingOrder="1"/>
    </xf>
    <xf numFmtId="166" fontId="6" fillId="2" borderId="4" xfId="0" applyNumberFormat="1" applyFont="1" applyFill="1" applyBorder="1" applyAlignment="1">
      <alignment horizontal="right" vertical="center" wrapText="1" readingOrder="1"/>
    </xf>
    <xf numFmtId="167" fontId="6" fillId="2" borderId="4" xfId="0" applyNumberFormat="1" applyFont="1" applyFill="1" applyBorder="1" applyAlignment="1">
      <alignment horizontal="right" vertical="center" wrapText="1" readingOrder="1"/>
    </xf>
    <xf numFmtId="0" fontId="7" fillId="2" borderId="4" xfId="0" applyFont="1" applyFill="1" applyBorder="1" applyAlignment="1">
      <alignment horizontal="left" vertical="center" wrapText="1" readingOrder="1"/>
    </xf>
    <xf numFmtId="0" fontId="7" fillId="2" borderId="4" xfId="0" applyFont="1" applyFill="1" applyBorder="1" applyAlignment="1">
      <alignment horizontal="right" vertical="center" wrapText="1" readingOrder="1"/>
    </xf>
    <xf numFmtId="0" fontId="6" fillId="2" borderId="4" xfId="0" applyFont="1" applyFill="1" applyBorder="1" applyAlignment="1">
      <alignment horizontal="right" vertical="center" wrapText="1" readingOrder="1"/>
    </xf>
    <xf numFmtId="168" fontId="6" fillId="2" borderId="4" xfId="0" applyNumberFormat="1" applyFont="1" applyFill="1" applyBorder="1" applyAlignment="1">
      <alignment horizontal="right" vertical="center" wrapText="1" readingOrder="1"/>
    </xf>
    <xf numFmtId="0" fontId="7" fillId="2" borderId="5" xfId="0" applyFont="1" applyFill="1" applyBorder="1" applyAlignment="1">
      <alignment horizontal="left" vertical="center" wrapText="1" readingOrder="1"/>
    </xf>
    <xf numFmtId="0" fontId="7" fillId="2" borderId="5" xfId="0" applyFont="1" applyFill="1" applyBorder="1" applyAlignment="1">
      <alignment horizontal="right" vertical="center" wrapText="1" readingOrder="1"/>
    </xf>
    <xf numFmtId="0" fontId="7" fillId="2" borderId="0" xfId="0" applyFont="1" applyFill="1" applyAlignment="1">
      <alignment horizontal="left" vertical="center" wrapText="1" readingOrder="1"/>
    </xf>
    <xf numFmtId="0" fontId="5" fillId="2" borderId="0" xfId="0" applyFont="1" applyFill="1" applyAlignment="1">
      <alignment horizontal="left" vertical="center" wrapText="1" readingOrder="1"/>
    </xf>
    <xf numFmtId="0" fontId="7" fillId="2" borderId="0" xfId="0" applyFont="1" applyFill="1" applyAlignment="1">
      <alignment horizontal="right" vertical="center" wrapText="1" readingOrder="1"/>
    </xf>
    <xf numFmtId="0" fontId="7" fillId="2" borderId="6" xfId="0" applyFont="1" applyFill="1" applyBorder="1" applyAlignment="1">
      <alignment horizontal="right" vertical="center" wrapText="1" readingOrder="1"/>
    </xf>
    <xf numFmtId="0" fontId="5" fillId="2" borderId="0" xfId="0" applyFont="1" applyFill="1" applyAlignment="1">
      <alignment horizontal="right" vertical="top" wrapText="1" readingOrder="1"/>
    </xf>
    <xf numFmtId="0" fontId="6" fillId="2" borderId="4" xfId="0" applyFont="1" applyFill="1" applyBorder="1" applyAlignment="1">
      <alignment horizontal="right" vertical="top" wrapText="1" readingOrder="1"/>
    </xf>
    <xf numFmtId="0" fontId="6" fillId="2" borderId="4" xfId="0" applyFont="1" applyFill="1" applyBorder="1" applyAlignment="1">
      <alignment horizontal="left" vertical="top" wrapText="1" readingOrder="1"/>
    </xf>
    <xf numFmtId="169" fontId="5" fillId="2" borderId="4" xfId="0" applyNumberFormat="1" applyFont="1" applyFill="1" applyBorder="1" applyAlignment="1">
      <alignment horizontal="right" vertical="center" wrapText="1" readingOrder="1"/>
    </xf>
    <xf numFmtId="0" fontId="5" fillId="2" borderId="0" xfId="0" applyFont="1" applyFill="1" applyAlignment="1">
      <alignment horizontal="right" vertical="center" wrapText="1" readingOrder="1"/>
    </xf>
    <xf numFmtId="0" fontId="0" fillId="2" borderId="0" xfId="0" applyFill="1" applyAlignment="1">
      <alignment horizontal="center" vertical="top" readingOrder="1"/>
    </xf>
    <xf numFmtId="0" fontId="5" fillId="2" borderId="6" xfId="0" applyFont="1" applyFill="1" applyBorder="1" applyAlignment="1">
      <alignment horizontal="right" vertical="top" wrapText="1" readingOrder="1"/>
    </xf>
    <xf numFmtId="0" fontId="8" fillId="2" borderId="4" xfId="0" applyFont="1" applyFill="1" applyBorder="1" applyAlignment="1">
      <alignment horizontal="left" vertical="center" wrapText="1" readingOrder="1"/>
    </xf>
    <xf numFmtId="0" fontId="8" fillId="2" borderId="4" xfId="0" applyFont="1" applyFill="1" applyBorder="1" applyAlignment="1">
      <alignment horizontal="right" vertical="center" wrapText="1" readingOrder="1"/>
    </xf>
    <xf numFmtId="171" fontId="5" fillId="2" borderId="4" xfId="0" applyNumberFormat="1" applyFont="1" applyFill="1" applyBorder="1" applyAlignment="1">
      <alignment horizontal="right" vertical="center" wrapText="1" readingOrder="1"/>
    </xf>
    <xf numFmtId="0" fontId="5" fillId="2" borderId="5" xfId="0" applyFont="1" applyFill="1" applyBorder="1" applyAlignment="1">
      <alignment horizontal="left" vertical="center" wrapText="1" readingOrder="1"/>
    </xf>
    <xf numFmtId="0" fontId="6" fillId="2" borderId="5" xfId="0" applyFont="1" applyFill="1" applyBorder="1" applyAlignment="1">
      <alignment horizontal="left" vertical="center" wrapText="1" readingOrder="1"/>
    </xf>
    <xf numFmtId="0" fontId="9" fillId="0" borderId="7" xfId="1" applyFont="1" applyBorder="1" applyAlignment="1">
      <alignment horizontal="center" vertical="center"/>
    </xf>
    <xf numFmtId="0" fontId="10" fillId="0" borderId="7" xfId="1" applyFont="1" applyBorder="1" applyAlignment="1">
      <alignment horizontal="center" vertical="center"/>
    </xf>
    <xf numFmtId="0" fontId="12" fillId="0" borderId="0" xfId="2" applyFont="1">
      <alignment wrapText="1"/>
    </xf>
    <xf numFmtId="0" fontId="12" fillId="0" borderId="7" xfId="2" applyFont="1" applyBorder="1" applyAlignment="1">
      <alignment horizontal="center" wrapText="1"/>
    </xf>
    <xf numFmtId="0" fontId="14" fillId="0" borderId="7" xfId="3" applyFont="1" applyBorder="1" applyAlignment="1"/>
    <xf numFmtId="0" fontId="12" fillId="0" borderId="7" xfId="2" applyFont="1" applyBorder="1" applyAlignment="1"/>
    <xf numFmtId="0" fontId="15" fillId="2" borderId="4" xfId="0" applyFont="1" applyFill="1" applyBorder="1" applyAlignment="1">
      <alignment horizontal="left" vertical="center" wrapText="1" readingOrder="1"/>
    </xf>
    <xf numFmtId="0" fontId="16" fillId="2" borderId="4" xfId="0" applyFont="1" applyFill="1" applyBorder="1" applyAlignment="1">
      <alignment horizontal="left" vertical="center" wrapText="1" readingOrder="1"/>
    </xf>
    <xf numFmtId="167" fontId="15" fillId="2" borderId="4" xfId="0" applyNumberFormat="1" applyFont="1" applyFill="1" applyBorder="1" applyAlignment="1">
      <alignment horizontal="right" vertical="center" wrapText="1" readingOrder="1"/>
    </xf>
    <xf numFmtId="0" fontId="17" fillId="2" borderId="0" xfId="0" applyFont="1" applyFill="1" applyAlignment="1">
      <alignment horizontal="left" vertical="center" wrapText="1" readingOrder="1"/>
    </xf>
    <xf numFmtId="0" fontId="17" fillId="2" borderId="0" xfId="0" applyFont="1" applyFill="1" applyAlignment="1">
      <alignment horizontal="right" vertical="center" wrapText="1" readingOrder="1"/>
    </xf>
    <xf numFmtId="0" fontId="15" fillId="0" borderId="4" xfId="0" applyFont="1" applyBorder="1" applyAlignment="1">
      <alignment horizontal="left" vertical="center" wrapText="1" readingOrder="1"/>
    </xf>
    <xf numFmtId="165" fontId="15" fillId="2" borderId="4" xfId="0" applyNumberFormat="1" applyFont="1" applyFill="1" applyBorder="1" applyAlignment="1">
      <alignment horizontal="right" vertical="center" wrapText="1" readingOrder="1"/>
    </xf>
    <xf numFmtId="166" fontId="15" fillId="2" borderId="4" xfId="0" applyNumberFormat="1" applyFont="1" applyFill="1" applyBorder="1" applyAlignment="1">
      <alignment horizontal="right" vertical="center" wrapText="1" readingOrder="1"/>
    </xf>
    <xf numFmtId="0" fontId="17" fillId="0" borderId="0" xfId="1" applyFont="1" applyAlignment="1">
      <alignment horizontal="left" vertical="center" wrapText="1" readingOrder="1"/>
    </xf>
    <xf numFmtId="0" fontId="17" fillId="0" borderId="0" xfId="1" applyFont="1" applyAlignment="1">
      <alignment horizontal="right" vertical="center" wrapText="1" readingOrder="1"/>
    </xf>
    <xf numFmtId="0" fontId="3" fillId="0" borderId="0" xfId="1" applyAlignment="1">
      <alignment wrapText="1"/>
    </xf>
    <xf numFmtId="170" fontId="16" fillId="2" borderId="4" xfId="0" applyNumberFormat="1" applyFont="1" applyFill="1" applyBorder="1" applyAlignment="1">
      <alignment horizontal="left" vertical="center" wrapText="1" readingOrder="1"/>
    </xf>
    <xf numFmtId="0" fontId="18" fillId="0" borderId="7" xfId="4" applyFont="1" applyBorder="1" applyAlignment="1">
      <alignment horizontal="center" vertical="center" wrapText="1" readingOrder="1"/>
    </xf>
    <xf numFmtId="166" fontId="15" fillId="0" borderId="4" xfId="0" applyNumberFormat="1" applyFont="1" applyBorder="1" applyAlignment="1">
      <alignment horizontal="right" vertical="center" wrapText="1" readingOrder="1"/>
    </xf>
    <xf numFmtId="0" fontId="15" fillId="2" borderId="0" xfId="2" applyFont="1" applyFill="1" applyAlignment="1">
      <alignment horizontal="right" vertical="top" wrapText="1" readingOrder="1"/>
    </xf>
    <xf numFmtId="170" fontId="16" fillId="2" borderId="4" xfId="2" applyNumberFormat="1" applyFont="1" applyFill="1" applyBorder="1" applyAlignment="1">
      <alignment horizontal="left" vertical="center" wrapText="1" readingOrder="1"/>
    </xf>
    <xf numFmtId="0" fontId="15" fillId="2" borderId="0" xfId="2" applyFont="1" applyFill="1" applyAlignment="1">
      <alignment horizontal="left" vertical="center" wrapText="1" readingOrder="1"/>
    </xf>
    <xf numFmtId="0" fontId="15" fillId="2" borderId="0" xfId="2" applyFont="1" applyFill="1" applyAlignment="1">
      <alignment horizontal="right" vertical="center" wrapText="1" readingOrder="1"/>
    </xf>
    <xf numFmtId="0" fontId="11" fillId="0" borderId="0" xfId="2">
      <alignment wrapText="1"/>
    </xf>
    <xf numFmtId="0" fontId="16" fillId="0" borderId="4" xfId="0" applyFont="1" applyBorder="1" applyAlignment="1">
      <alignment horizontal="left" vertical="center" wrapText="1" readingOrder="1"/>
    </xf>
    <xf numFmtId="0" fontId="21" fillId="0" borderId="0" xfId="0" applyFont="1" applyAlignment="1">
      <alignment vertical="center"/>
    </xf>
    <xf numFmtId="0" fontId="0" fillId="0" borderId="0" xfId="0" applyAlignment="1">
      <alignment vertical="center" wrapText="1"/>
    </xf>
    <xf numFmtId="0" fontId="22" fillId="0" borderId="7" xfId="0" applyFont="1" applyBorder="1" applyAlignment="1">
      <alignment horizontal="center" vertical="center" wrapText="1"/>
    </xf>
    <xf numFmtId="0" fontId="23" fillId="0" borderId="7" xfId="0" applyFont="1" applyBorder="1" applyAlignment="1">
      <alignment vertical="center" wrapText="1"/>
    </xf>
    <xf numFmtId="0" fontId="23" fillId="0" borderId="7" xfId="0" applyFont="1" applyBorder="1" applyAlignment="1">
      <alignment vertical="center"/>
    </xf>
    <xf numFmtId="2" fontId="23" fillId="0" borderId="7" xfId="0" applyNumberFormat="1" applyFont="1" applyBorder="1" applyAlignment="1">
      <alignment vertical="center"/>
    </xf>
    <xf numFmtId="10" fontId="21" fillId="0" borderId="7" xfId="6" applyNumberFormat="1" applyFont="1" applyFill="1" applyBorder="1" applyAlignment="1">
      <alignment vertical="center"/>
    </xf>
    <xf numFmtId="4" fontId="23" fillId="0" borderId="7" xfId="0" applyNumberFormat="1" applyFont="1" applyBorder="1" applyAlignment="1">
      <alignment vertical="center"/>
    </xf>
    <xf numFmtId="0" fontId="22" fillId="0" borderId="7" xfId="7" applyFont="1" applyBorder="1" applyAlignment="1">
      <alignment horizontal="center" vertical="center"/>
    </xf>
    <xf numFmtId="0" fontId="21" fillId="0" borderId="7" xfId="7" applyFont="1" applyBorder="1" applyAlignment="1">
      <alignment vertical="center"/>
    </xf>
    <xf numFmtId="0" fontId="21" fillId="0" borderId="7" xfId="7" applyFont="1" applyBorder="1" applyAlignment="1">
      <alignment vertical="center" wrapText="1"/>
    </xf>
    <xf numFmtId="0" fontId="22" fillId="0" borderId="7" xfId="7" applyFont="1" applyBorder="1" applyAlignment="1">
      <alignment horizontal="center" vertical="center" wrapText="1"/>
    </xf>
    <xf numFmtId="0" fontId="21" fillId="0" borderId="7" xfId="7" applyFont="1" applyBorder="1" applyAlignment="1">
      <alignment horizontal="left" vertical="center"/>
    </xf>
    <xf numFmtId="2" fontId="21" fillId="0" borderId="7" xfId="7" applyNumberFormat="1" applyFont="1" applyBorder="1" applyAlignment="1">
      <alignment horizontal="right" vertical="center" wrapText="1"/>
    </xf>
    <xf numFmtId="4" fontId="21" fillId="0" borderId="7" xfId="7" applyNumberFormat="1" applyFont="1" applyBorder="1" applyAlignment="1">
      <alignment horizontal="right" vertical="center"/>
    </xf>
    <xf numFmtId="10" fontId="21" fillId="0" borderId="7" xfId="6" applyNumberFormat="1" applyFont="1" applyFill="1" applyBorder="1" applyAlignment="1">
      <alignment vertical="center" wrapText="1"/>
    </xf>
    <xf numFmtId="0" fontId="23" fillId="0" borderId="7" xfId="0" applyFont="1" applyBorder="1" applyAlignment="1">
      <alignment horizontal="justify" vertical="center"/>
    </xf>
    <xf numFmtId="0" fontId="23" fillId="0" borderId="7" xfId="0" applyFont="1" applyBorder="1" applyAlignment="1">
      <alignment horizontal="justify" vertical="center" wrapText="1"/>
    </xf>
    <xf numFmtId="14" fontId="23" fillId="0" borderId="7" xfId="0" applyNumberFormat="1" applyFont="1" applyBorder="1" applyAlignment="1">
      <alignment horizontal="justify" vertical="center" wrapText="1"/>
    </xf>
    <xf numFmtId="0" fontId="21" fillId="0" borderId="0" xfId="0" applyFont="1" applyAlignment="1"/>
    <xf numFmtId="173" fontId="21" fillId="0" borderId="0" xfId="5" applyNumberFormat="1" applyFont="1" applyFill="1"/>
    <xf numFmtId="43" fontId="21" fillId="0" borderId="0" xfId="5" applyFont="1" applyFill="1"/>
    <xf numFmtId="0" fontId="23" fillId="0" borderId="7" xfId="0" applyFont="1" applyBorder="1">
      <alignment wrapText="1"/>
    </xf>
    <xf numFmtId="173" fontId="21" fillId="0" borderId="0" xfId="5" applyNumberFormat="1" applyFont="1"/>
    <xf numFmtId="43" fontId="21" fillId="0" borderId="0" xfId="5" applyFont="1"/>
    <xf numFmtId="0" fontId="22" fillId="0" borderId="7" xfId="0" applyFont="1" applyBorder="1" applyAlignment="1">
      <alignment horizontal="left" wrapText="1"/>
    </xf>
    <xf numFmtId="0" fontId="22" fillId="0" borderId="7" xfId="0" applyFont="1" applyBorder="1" applyAlignment="1">
      <alignment horizontal="center" wrapText="1"/>
    </xf>
    <xf numFmtId="0" fontId="23" fillId="0" borderId="7" xfId="0" applyFont="1" applyBorder="1" applyAlignment="1">
      <alignment horizontal="left" vertical="center" wrapText="1"/>
    </xf>
    <xf numFmtId="0" fontId="23" fillId="0" borderId="7" xfId="0" applyFont="1" applyBorder="1" applyAlignment="1">
      <alignment horizontal="center" vertical="center"/>
    </xf>
    <xf numFmtId="4" fontId="23" fillId="0" borderId="7" xfId="8" applyNumberFormat="1" applyFont="1" applyFill="1" applyBorder="1" applyAlignment="1">
      <alignment horizontal="center" vertical="center"/>
    </xf>
    <xf numFmtId="10" fontId="23" fillId="0" borderId="7" xfId="8" applyNumberFormat="1" applyFont="1" applyFill="1" applyBorder="1" applyAlignment="1">
      <alignment horizontal="center" vertical="center"/>
    </xf>
    <xf numFmtId="4" fontId="23" fillId="0" borderId="7" xfId="0" applyNumberFormat="1" applyFont="1" applyBorder="1" applyAlignment="1">
      <alignment horizontal="center" vertical="center"/>
    </xf>
    <xf numFmtId="0" fontId="23" fillId="0" borderId="0" xfId="0" applyFont="1" applyAlignment="1"/>
    <xf numFmtId="0" fontId="23" fillId="0" borderId="7" xfId="0" applyFont="1" applyBorder="1" applyAlignment="1">
      <alignment horizontal="left" vertical="center"/>
    </xf>
    <xf numFmtId="164" fontId="15" fillId="2" borderId="4" xfId="0" applyNumberFormat="1" applyFont="1" applyFill="1" applyBorder="1" applyAlignment="1">
      <alignment horizontal="right" vertical="center" wrapText="1" readingOrder="1"/>
    </xf>
    <xf numFmtId="0" fontId="18" fillId="0" borderId="11" xfId="0" applyFont="1" applyBorder="1" applyAlignment="1">
      <alignment horizontal="center" vertical="center" wrapText="1" readingOrder="1"/>
    </xf>
    <xf numFmtId="0" fontId="15" fillId="2" borderId="4" xfId="2" applyFont="1" applyFill="1" applyBorder="1" applyAlignment="1">
      <alignment horizontal="right" vertical="top" wrapText="1" readingOrder="1"/>
    </xf>
    <xf numFmtId="0" fontId="4" fillId="2" borderId="4" xfId="0" applyFont="1" applyFill="1" applyBorder="1" applyAlignment="1">
      <alignment horizontal="center" vertical="center" wrapText="1" readingOrder="1"/>
    </xf>
    <xf numFmtId="0" fontId="15" fillId="2" borderId="0" xfId="0" applyFont="1" applyFill="1" applyAlignment="1">
      <alignment horizontal="left" vertical="center" wrapText="1" readingOrder="1"/>
    </xf>
    <xf numFmtId="0" fontId="25" fillId="3" borderId="0" xfId="3"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horizontal="center" wrapText="1"/>
    </xf>
    <xf numFmtId="0" fontId="9" fillId="0" borderId="0" xfId="0" applyFont="1" applyAlignment="1">
      <alignment horizontal="left" vertical="center"/>
    </xf>
    <xf numFmtId="0" fontId="11" fillId="0" borderId="0" xfId="2" applyAlignment="1">
      <alignment horizontal="center" vertical="center" wrapText="1"/>
    </xf>
    <xf numFmtId="0" fontId="13" fillId="3" borderId="0" xfId="3" applyFill="1" applyBorder="1" applyAlignment="1">
      <alignment horizontal="center" vertical="center" wrapText="1"/>
    </xf>
    <xf numFmtId="0" fontId="0" fillId="0" borderId="0" xfId="0" applyAlignment="1"/>
    <xf numFmtId="0" fontId="26" fillId="0" borderId="0" xfId="0" applyFont="1" applyAlignment="1">
      <alignment vertical="center" wrapText="1"/>
    </xf>
    <xf numFmtId="0" fontId="11" fillId="0" borderId="0" xfId="0" applyFont="1">
      <alignment wrapText="1"/>
    </xf>
    <xf numFmtId="0" fontId="9" fillId="0" borderId="0" xfId="0" applyFont="1" applyAlignment="1">
      <alignment horizontal="left" vertical="top"/>
    </xf>
    <xf numFmtId="0" fontId="27" fillId="0" borderId="0" xfId="0" applyFont="1">
      <alignment wrapText="1"/>
    </xf>
    <xf numFmtId="0" fontId="9" fillId="0" borderId="0" xfId="0" applyFont="1" applyAlignment="1">
      <alignment horizontal="left"/>
    </xf>
    <xf numFmtId="43" fontId="23" fillId="0" borderId="7" xfId="8" applyFont="1" applyFill="1" applyBorder="1" applyAlignment="1">
      <alignment horizontal="right" vertical="center"/>
    </xf>
    <xf numFmtId="43" fontId="23" fillId="0" borderId="7" xfId="8" applyFont="1" applyFill="1" applyBorder="1" applyAlignment="1">
      <alignment horizontal="center" vertical="center"/>
    </xf>
    <xf numFmtId="4" fontId="23" fillId="0" borderId="7" xfId="0" applyNumberFormat="1" applyFont="1" applyBorder="1" applyAlignment="1">
      <alignment horizontal="right" vertical="center"/>
    </xf>
    <xf numFmtId="0" fontId="16" fillId="0" borderId="4" xfId="10" applyFont="1" applyBorder="1" applyAlignment="1">
      <alignment horizontal="left" vertical="center" wrapText="1" readingOrder="1"/>
    </xf>
    <xf numFmtId="172" fontId="16" fillId="0" borderId="4" xfId="0" applyNumberFormat="1" applyFont="1" applyBorder="1" applyAlignment="1">
      <alignment horizontal="left" vertical="center" wrapText="1" readingOrder="1"/>
    </xf>
    <xf numFmtId="0" fontId="24" fillId="0" borderId="7" xfId="0" applyFont="1" applyBorder="1" applyAlignment="1">
      <alignment horizontal="justify" vertical="center" wrapText="1"/>
    </xf>
    <xf numFmtId="0" fontId="19" fillId="0" borderId="7" xfId="0" applyFont="1" applyBorder="1" applyAlignment="1">
      <alignment horizontal="center" vertical="center" wrapText="1" readingOrder="1"/>
    </xf>
    <xf numFmtId="0" fontId="19" fillId="0" borderId="8" xfId="0" applyFont="1" applyBorder="1" applyAlignment="1">
      <alignment horizontal="center" vertical="center" readingOrder="1"/>
    </xf>
    <xf numFmtId="0" fontId="19" fillId="0" borderId="9" xfId="0" applyFont="1" applyBorder="1" applyAlignment="1">
      <alignment horizontal="center" vertical="center" readingOrder="1"/>
    </xf>
    <xf numFmtId="0" fontId="19" fillId="0" borderId="10" xfId="0" applyFont="1" applyBorder="1" applyAlignment="1">
      <alignment horizontal="center" vertical="center" readingOrder="1"/>
    </xf>
    <xf numFmtId="0" fontId="10" fillId="0" borderId="0" xfId="9" applyFont="1" applyAlignment="1">
      <alignment horizontal="center" vertical="center" wrapText="1"/>
    </xf>
    <xf numFmtId="0" fontId="5" fillId="2" borderId="1" xfId="0" applyFont="1" applyFill="1" applyBorder="1" applyAlignment="1">
      <alignment horizontal="left" vertical="center" wrapText="1" readingOrder="1"/>
    </xf>
    <xf numFmtId="0" fontId="5" fillId="2" borderId="3" xfId="0" applyFont="1" applyFill="1" applyBorder="1" applyAlignment="1">
      <alignment horizontal="left" vertical="center" wrapText="1" readingOrder="1"/>
    </xf>
    <xf numFmtId="0" fontId="15" fillId="2" borderId="1" xfId="0" applyFont="1" applyFill="1" applyBorder="1" applyAlignment="1">
      <alignment horizontal="left" vertical="center" wrapText="1" readingOrder="1"/>
    </xf>
    <xf numFmtId="0" fontId="15" fillId="2" borderId="3" xfId="0" applyFont="1" applyFill="1" applyBorder="1" applyAlignment="1">
      <alignment horizontal="left" vertical="center" wrapText="1" readingOrder="1"/>
    </xf>
    <xf numFmtId="0" fontId="15" fillId="2" borderId="0" xfId="0" applyFont="1" applyFill="1" applyAlignment="1">
      <alignment horizontal="left" vertical="center" wrapText="1" readingOrder="1"/>
    </xf>
    <xf numFmtId="0" fontId="5" fillId="2" borderId="0" xfId="0" applyFont="1" applyFill="1" applyAlignment="1">
      <alignment horizontal="left" vertical="center" wrapText="1" readingOrder="1"/>
    </xf>
    <xf numFmtId="0" fontId="6" fillId="2" borderId="1" xfId="0" applyFont="1" applyFill="1" applyBorder="1" applyAlignment="1">
      <alignment horizontal="left" vertical="center" wrapText="1" readingOrder="1"/>
    </xf>
    <xf numFmtId="0" fontId="6" fillId="2" borderId="2" xfId="0" applyFont="1" applyFill="1" applyBorder="1" applyAlignment="1">
      <alignment horizontal="left" vertical="center" wrapText="1" readingOrder="1"/>
    </xf>
    <xf numFmtId="0" fontId="6" fillId="2" borderId="3" xfId="0" applyFont="1" applyFill="1" applyBorder="1" applyAlignment="1">
      <alignment horizontal="left" vertical="center" wrapText="1" readingOrder="1"/>
    </xf>
    <xf numFmtId="0" fontId="15" fillId="2" borderId="1" xfId="2" applyFont="1" applyFill="1" applyBorder="1" applyAlignment="1">
      <alignment horizontal="left" vertical="center" wrapText="1" readingOrder="1"/>
    </xf>
    <xf numFmtId="0" fontId="15" fillId="2" borderId="3" xfId="2" applyFont="1" applyFill="1" applyBorder="1" applyAlignment="1">
      <alignment horizontal="left" vertical="center" wrapText="1" readingOrder="1"/>
    </xf>
    <xf numFmtId="0" fontId="19" fillId="0" borderId="7" xfId="0" applyFont="1" applyBorder="1" applyAlignment="1">
      <alignment horizontal="center" vertical="center" readingOrder="1"/>
    </xf>
    <xf numFmtId="0" fontId="15" fillId="2" borderId="7" xfId="0" applyFont="1" applyFill="1" applyBorder="1" applyAlignment="1">
      <alignment horizontal="left" vertical="center" wrapText="1" readingOrder="1"/>
    </xf>
    <xf numFmtId="0" fontId="22" fillId="0" borderId="7" xfId="7" applyFont="1" applyBorder="1" applyAlignment="1">
      <alignment horizontal="center" vertical="center"/>
    </xf>
    <xf numFmtId="0" fontId="22" fillId="0" borderId="8" xfId="7" applyFont="1" applyBorder="1" applyAlignment="1">
      <alignment horizontal="center" vertical="center"/>
    </xf>
    <xf numFmtId="0" fontId="22" fillId="0" borderId="9" xfId="7" applyFont="1" applyBorder="1" applyAlignment="1">
      <alignment horizontal="center" vertical="center"/>
    </xf>
    <xf numFmtId="0" fontId="22" fillId="0" borderId="10" xfId="7" applyFont="1" applyBorder="1" applyAlignment="1">
      <alignment horizontal="center" vertical="center"/>
    </xf>
    <xf numFmtId="0" fontId="21" fillId="0" borderId="8" xfId="7" applyFont="1" applyBorder="1" applyAlignment="1">
      <alignment horizontal="left" vertical="center" wrapText="1"/>
    </xf>
    <xf numFmtId="0" fontId="21" fillId="0" borderId="9" xfId="7" applyFont="1" applyBorder="1" applyAlignment="1">
      <alignment horizontal="left" vertical="center" wrapText="1"/>
    </xf>
    <xf numFmtId="0" fontId="21" fillId="0" borderId="10" xfId="7" applyFont="1" applyBorder="1" applyAlignment="1">
      <alignment horizontal="left" vertical="center" wrapText="1"/>
    </xf>
    <xf numFmtId="0" fontId="24" fillId="0" borderId="8" xfId="0" applyFont="1" applyBorder="1" applyAlignment="1">
      <alignment horizontal="center" vertical="center"/>
    </xf>
    <xf numFmtId="0" fontId="24" fillId="0" borderId="9" xfId="0" applyFont="1" applyBorder="1" applyAlignment="1">
      <alignment horizontal="center" vertical="center"/>
    </xf>
    <xf numFmtId="0" fontId="24" fillId="0" borderId="10" xfId="0" applyFont="1" applyBorder="1" applyAlignment="1">
      <alignment horizontal="center" vertical="center"/>
    </xf>
    <xf numFmtId="0" fontId="22" fillId="0" borderId="8" xfId="7" applyFont="1" applyBorder="1" applyAlignment="1">
      <alignment horizontal="center" vertical="center" wrapText="1"/>
    </xf>
    <xf numFmtId="0" fontId="22" fillId="0" borderId="10" xfId="7" applyFont="1" applyBorder="1" applyAlignment="1">
      <alignment horizontal="center" vertical="center" wrapText="1"/>
    </xf>
    <xf numFmtId="0" fontId="21" fillId="0" borderId="8" xfId="5" applyNumberFormat="1" applyFont="1" applyFill="1" applyBorder="1" applyAlignment="1">
      <alignment horizontal="center" vertical="center"/>
    </xf>
    <xf numFmtId="0" fontId="21" fillId="0" borderId="10" xfId="5" applyNumberFormat="1" applyFont="1" applyFill="1" applyBorder="1" applyAlignment="1">
      <alignment horizontal="center" vertical="center"/>
    </xf>
    <xf numFmtId="0" fontId="15" fillId="2" borderId="8" xfId="0" applyFont="1" applyFill="1" applyBorder="1" applyAlignment="1">
      <alignment horizontal="left" vertical="center" wrapText="1" readingOrder="1"/>
    </xf>
    <xf numFmtId="0" fontId="15" fillId="2" borderId="10" xfId="0" applyFont="1" applyFill="1" applyBorder="1" applyAlignment="1">
      <alignment horizontal="left" vertical="center" wrapText="1" readingOrder="1"/>
    </xf>
    <xf numFmtId="0" fontId="15" fillId="2" borderId="9" xfId="0" applyFont="1" applyFill="1" applyBorder="1" applyAlignment="1">
      <alignment horizontal="left" vertical="center" wrapText="1" readingOrder="1"/>
    </xf>
    <xf numFmtId="0" fontId="15" fillId="0" borderId="0" xfId="0" applyFont="1" applyAlignment="1">
      <alignment horizontal="left" vertical="center" wrapText="1" readingOrder="1"/>
    </xf>
    <xf numFmtId="0" fontId="15" fillId="0" borderId="0" xfId="2" applyFont="1" applyAlignment="1">
      <alignment horizontal="left" vertical="center" wrapText="1" readingOrder="1"/>
    </xf>
    <xf numFmtId="0" fontId="24" fillId="0" borderId="0" xfId="0" applyFont="1" applyAlignment="1"/>
    <xf numFmtId="0" fontId="24" fillId="0" borderId="0" xfId="0" applyFont="1" applyAlignment="1">
      <alignment horizontal="center"/>
    </xf>
    <xf numFmtId="0" fontId="24" fillId="0" borderId="7" xfId="0" applyFont="1" applyBorder="1" applyAlignment="1">
      <alignment horizontal="center" vertical="top"/>
    </xf>
    <xf numFmtId="0" fontId="24" fillId="0" borderId="7" xfId="0" applyFont="1" applyBorder="1" applyAlignment="1">
      <alignment horizontal="center" vertical="top" wrapText="1"/>
    </xf>
    <xf numFmtId="0" fontId="23" fillId="0" borderId="7" xfId="0" applyFont="1" applyBorder="1" applyAlignment="1"/>
    <xf numFmtId="0" fontId="23" fillId="0" borderId="7" xfId="0" applyFont="1" applyBorder="1" applyAlignment="1">
      <alignment horizontal="left" vertical="top"/>
    </xf>
    <xf numFmtId="0" fontId="23" fillId="0" borderId="7" xfId="0" applyFont="1" applyBorder="1" applyAlignment="1">
      <alignment horizontal="center" vertical="top"/>
    </xf>
    <xf numFmtId="172" fontId="15" fillId="2" borderId="4" xfId="2" applyNumberFormat="1" applyFont="1" applyFill="1" applyBorder="1" applyAlignment="1">
      <alignment horizontal="right" vertical="center" readingOrder="1"/>
    </xf>
    <xf numFmtId="174" fontId="15" fillId="2" borderId="4" xfId="2" applyNumberFormat="1" applyFont="1" applyFill="1" applyBorder="1" applyAlignment="1">
      <alignment horizontal="right" vertical="center" readingOrder="1"/>
    </xf>
    <xf numFmtId="2" fontId="23" fillId="0" borderId="7" xfId="0" applyNumberFormat="1" applyFont="1" applyBorder="1" applyAlignment="1">
      <alignment horizontal="right" vertical="top" wrapText="1"/>
    </xf>
    <xf numFmtId="0" fontId="24" fillId="0" borderId="0" xfId="0" applyFont="1" applyAlignment="1">
      <alignment horizontal="center" vertical="top" wrapText="1"/>
    </xf>
    <xf numFmtId="172" fontId="15" fillId="2" borderId="4" xfId="2" applyNumberFormat="1" applyFont="1" applyFill="1" applyBorder="1" applyAlignment="1">
      <alignment horizontal="right" vertical="center" wrapText="1" readingOrder="1"/>
    </xf>
    <xf numFmtId="0" fontId="15" fillId="2" borderId="7" xfId="0" applyFont="1" applyFill="1" applyBorder="1" applyAlignment="1">
      <alignment horizontal="left" vertical="center" readingOrder="1"/>
    </xf>
    <xf numFmtId="0" fontId="15" fillId="2" borderId="11" xfId="0" applyFont="1" applyFill="1" applyBorder="1" applyAlignment="1">
      <alignment horizontal="left" vertical="center" readingOrder="1"/>
    </xf>
    <xf numFmtId="174" fontId="15" fillId="2" borderId="4" xfId="2" applyNumberFormat="1" applyFont="1" applyFill="1" applyBorder="1" applyAlignment="1">
      <alignment horizontal="right" vertical="center" wrapText="1" readingOrder="1"/>
    </xf>
    <xf numFmtId="175" fontId="23" fillId="0" borderId="7" xfId="0" applyNumberFormat="1" applyFont="1" applyBorder="1" applyAlignment="1">
      <alignment horizontal="right" vertical="top" wrapText="1"/>
    </xf>
    <xf numFmtId="0" fontId="15" fillId="2" borderId="4" xfId="0" applyFont="1" applyFill="1" applyBorder="1" applyAlignment="1">
      <alignment horizontal="left" vertical="center" readingOrder="1"/>
    </xf>
    <xf numFmtId="172" fontId="15" fillId="2" borderId="4" xfId="0" applyNumberFormat="1" applyFont="1" applyFill="1" applyBorder="1" applyAlignment="1">
      <alignment horizontal="right" vertical="center" readingOrder="1"/>
    </xf>
    <xf numFmtId="4" fontId="15" fillId="2" borderId="4" xfId="0" applyNumberFormat="1" applyFont="1" applyFill="1" applyBorder="1" applyAlignment="1">
      <alignment horizontal="right" vertical="center" readingOrder="1"/>
    </xf>
    <xf numFmtId="4" fontId="23" fillId="0" borderId="7" xfId="0" applyNumberFormat="1" applyFont="1" applyBorder="1" applyAlignment="1"/>
    <xf numFmtId="172" fontId="23" fillId="0" borderId="0" xfId="0" applyNumberFormat="1" applyFont="1" applyAlignment="1"/>
    <xf numFmtId="0" fontId="24" fillId="0" borderId="7" xfId="0" applyFont="1" applyBorder="1" applyAlignment="1">
      <alignment horizontal="center"/>
    </xf>
    <xf numFmtId="0" fontId="23" fillId="0" borderId="7" xfId="0" applyFont="1" applyBorder="1" applyAlignment="1">
      <alignment horizontal="center"/>
    </xf>
    <xf numFmtId="10" fontId="23" fillId="0" borderId="7" xfId="6" applyNumberFormat="1" applyFont="1" applyFill="1" applyBorder="1" applyAlignment="1">
      <alignment horizontal="center"/>
    </xf>
    <xf numFmtId="10" fontId="23" fillId="0" borderId="7" xfId="0" applyNumberFormat="1" applyFont="1" applyBorder="1" applyAlignment="1">
      <alignment horizontal="center"/>
    </xf>
    <xf numFmtId="37" fontId="23" fillId="0" borderId="7" xfId="5" applyNumberFormat="1" applyFont="1" applyFill="1" applyBorder="1" applyAlignment="1">
      <alignment horizontal="center"/>
    </xf>
    <xf numFmtId="176" fontId="23" fillId="0" borderId="7" xfId="5" applyNumberFormat="1" applyFont="1" applyFill="1" applyBorder="1"/>
    <xf numFmtId="176" fontId="23" fillId="0" borderId="0" xfId="0" applyNumberFormat="1" applyFont="1" applyAlignment="1"/>
    <xf numFmtId="4" fontId="23" fillId="0" borderId="0" xfId="0" applyNumberFormat="1" applyFont="1" applyAlignment="1"/>
    <xf numFmtId="176" fontId="24" fillId="0" borderId="7" xfId="5" applyNumberFormat="1" applyFont="1" applyFill="1" applyBorder="1"/>
    <xf numFmtId="4" fontId="23" fillId="0" borderId="7" xfId="5" applyNumberFormat="1" applyFont="1" applyFill="1" applyBorder="1"/>
    <xf numFmtId="0" fontId="23" fillId="0" borderId="7" xfId="0" applyFont="1" applyBorder="1" applyAlignment="1">
      <alignment horizontal="left" vertical="top" wrapText="1"/>
    </xf>
    <xf numFmtId="177" fontId="23" fillId="0" borderId="7" xfId="5" applyNumberFormat="1" applyFont="1" applyFill="1" applyBorder="1"/>
    <xf numFmtId="2" fontId="23" fillId="0" borderId="7" xfId="0" applyNumberFormat="1" applyFont="1" applyBorder="1" applyAlignment="1">
      <alignment horizontal="right"/>
    </xf>
    <xf numFmtId="43" fontId="23" fillId="0" borderId="7" xfId="5" applyFont="1" applyFill="1" applyBorder="1" applyAlignment="1">
      <alignment horizontal="center" vertical="top" wrapText="1"/>
    </xf>
    <xf numFmtId="0" fontId="23" fillId="0" borderId="0" xfId="0" applyFont="1" applyAlignment="1" applyProtection="1">
      <alignment horizontal="left"/>
      <protection locked="0"/>
    </xf>
    <xf numFmtId="0" fontId="23" fillId="0" borderId="0" xfId="0" applyFont="1" applyAlignment="1">
      <alignment horizontal="center" vertical="top"/>
    </xf>
    <xf numFmtId="43" fontId="23" fillId="0" borderId="0" xfId="5" applyFont="1" applyFill="1" applyBorder="1" applyAlignment="1" applyProtection="1">
      <alignment horizontal="left"/>
      <protection locked="0"/>
    </xf>
    <xf numFmtId="4" fontId="23" fillId="0" borderId="0" xfId="0" applyNumberFormat="1" applyFont="1" applyAlignment="1">
      <alignment horizontal="right" vertical="center"/>
    </xf>
    <xf numFmtId="0" fontId="23" fillId="0" borderId="0" xfId="0" applyFont="1" applyAlignment="1">
      <alignment horizontal="left" vertical="top"/>
    </xf>
    <xf numFmtId="10" fontId="23" fillId="0" borderId="0" xfId="0" applyNumberFormat="1" applyFont="1" applyAlignment="1">
      <alignment horizontal="center"/>
    </xf>
    <xf numFmtId="0" fontId="24" fillId="0" borderId="7" xfId="5" applyNumberFormat="1" applyFont="1" applyFill="1" applyBorder="1" applyAlignment="1">
      <alignment horizontal="center"/>
    </xf>
    <xf numFmtId="4" fontId="24" fillId="0" borderId="7" xfId="5" applyNumberFormat="1" applyFont="1" applyFill="1" applyBorder="1"/>
    <xf numFmtId="43" fontId="24" fillId="0" borderId="7" xfId="5" applyFont="1" applyFill="1" applyBorder="1" applyAlignment="1">
      <alignment horizontal="center" vertical="top" wrapText="1"/>
    </xf>
    <xf numFmtId="0" fontId="24" fillId="0" borderId="0" xfId="0" applyFont="1" applyAlignment="1">
      <alignment vertical="top" wrapText="1"/>
    </xf>
    <xf numFmtId="0" fontId="23" fillId="0" borderId="0" xfId="0" applyFont="1" applyAlignment="1">
      <alignment horizontal="center"/>
    </xf>
    <xf numFmtId="2" fontId="23" fillId="0" borderId="0" xfId="0" applyNumberFormat="1" applyFont="1" applyAlignment="1">
      <alignment horizontal="right"/>
    </xf>
    <xf numFmtId="0" fontId="23" fillId="0" borderId="0" xfId="0" applyFont="1" applyAlignment="1">
      <alignment horizontal="right" vertical="top" wrapText="1"/>
    </xf>
    <xf numFmtId="0" fontId="23" fillId="0" borderId="7" xfId="0" applyFont="1" applyBorder="1" applyAlignment="1">
      <alignment horizontal="center" vertical="top" wrapText="1"/>
    </xf>
    <xf numFmtId="179" fontId="23" fillId="0" borderId="0" xfId="0" applyNumberFormat="1" applyFont="1" applyAlignment="1">
      <alignment horizontal="right" vertical="top" wrapText="1"/>
    </xf>
    <xf numFmtId="2" fontId="23" fillId="0" borderId="0" xfId="0" applyNumberFormat="1" applyFont="1" applyAlignment="1">
      <alignment horizontal="center"/>
    </xf>
    <xf numFmtId="0" fontId="23" fillId="0" borderId="7" xfId="0" applyFont="1" applyBorder="1" applyAlignment="1">
      <alignment horizontal="left"/>
    </xf>
    <xf numFmtId="2" fontId="23" fillId="0" borderId="7" xfId="0" applyNumberFormat="1" applyFont="1" applyBorder="1" applyAlignment="1">
      <alignment horizontal="center" vertical="top" wrapText="1"/>
    </xf>
    <xf numFmtId="0" fontId="23" fillId="0" borderId="0" xfId="0" applyFont="1" applyAlignment="1">
      <alignment horizontal="left"/>
    </xf>
    <xf numFmtId="0" fontId="23" fillId="0" borderId="0" xfId="0" applyFont="1" applyAlignment="1">
      <alignment horizontal="right" vertical="top"/>
    </xf>
    <xf numFmtId="2" fontId="23" fillId="0" borderId="0" xfId="0" applyNumberFormat="1" applyFont="1" applyAlignment="1">
      <alignment horizontal="right" vertical="top"/>
    </xf>
    <xf numFmtId="180" fontId="23" fillId="0" borderId="0" xfId="5" applyNumberFormat="1" applyFont="1" applyFill="1" applyBorder="1" applyAlignment="1">
      <alignment horizontal="center" vertical="top" wrapText="1"/>
    </xf>
    <xf numFmtId="0" fontId="23" fillId="0" borderId="0" xfId="0" applyFont="1" applyAlignment="1">
      <alignment horizontal="left" vertical="top" wrapText="1"/>
    </xf>
    <xf numFmtId="173" fontId="23" fillId="0" borderId="0" xfId="5" applyNumberFormat="1" applyFont="1" applyFill="1" applyBorder="1" applyAlignment="1">
      <alignment horizontal="right" vertical="top" wrapText="1"/>
    </xf>
    <xf numFmtId="2" fontId="23" fillId="0" borderId="0" xfId="0" applyNumberFormat="1" applyFont="1" applyAlignment="1"/>
    <xf numFmtId="4" fontId="23" fillId="0" borderId="0" xfId="5" applyNumberFormat="1" applyFont="1" applyFill="1" applyBorder="1"/>
    <xf numFmtId="0" fontId="23" fillId="0" borderId="7" xfId="0" applyFont="1" applyBorder="1" applyAlignment="1">
      <alignment vertical="top" wrapText="1"/>
    </xf>
    <xf numFmtId="2" fontId="23" fillId="0" borderId="7" xfId="0" applyNumberFormat="1" applyFont="1" applyBorder="1" applyAlignment="1">
      <alignment vertical="top" wrapText="1"/>
    </xf>
    <xf numFmtId="43" fontId="23" fillId="0" borderId="7" xfId="5" applyFont="1" applyFill="1" applyBorder="1" applyAlignment="1"/>
    <xf numFmtId="4" fontId="23" fillId="0" borderId="7" xfId="0" applyNumberFormat="1" applyFont="1" applyBorder="1" applyAlignment="1">
      <alignment horizontal="center"/>
    </xf>
    <xf numFmtId="4" fontId="23" fillId="0" borderId="7" xfId="5" applyNumberFormat="1" applyFont="1" applyFill="1" applyBorder="1" applyAlignment="1">
      <alignment horizontal="center"/>
    </xf>
    <xf numFmtId="4" fontId="24" fillId="0" borderId="7" xfId="0" applyNumberFormat="1" applyFont="1" applyBorder="1" applyAlignment="1">
      <alignment horizontal="center" vertical="top" wrapText="1"/>
    </xf>
    <xf numFmtId="4" fontId="23" fillId="0" borderId="7" xfId="0" applyNumberFormat="1" applyFont="1" applyBorder="1" applyAlignment="1">
      <alignment horizontal="center" vertical="top" wrapText="1"/>
    </xf>
    <xf numFmtId="3" fontId="23" fillId="0" borderId="7" xfId="5" applyNumberFormat="1" applyFont="1" applyFill="1" applyBorder="1" applyAlignment="1">
      <alignment horizontal="center"/>
    </xf>
    <xf numFmtId="3" fontId="23" fillId="0" borderId="7" xfId="0" applyNumberFormat="1" applyFont="1" applyBorder="1" applyAlignment="1">
      <alignment horizontal="center"/>
    </xf>
  </cellXfs>
  <cellStyles count="11">
    <cellStyle name="Comma" xfId="5" builtinId="3"/>
    <cellStyle name="Comma 2" xfId="8" xr:uid="{6EAA9EE6-481C-4649-A066-6B7405413628}"/>
    <cellStyle name="Hyperlink 2" xfId="3" xr:uid="{26CD7E59-FDE6-4097-8B11-15F4080B718B}"/>
    <cellStyle name="Normal" xfId="0" builtinId="0"/>
    <cellStyle name="Normal 2" xfId="2" xr:uid="{57DAE6C5-0939-46ED-BAAA-ABAB01705FF4}"/>
    <cellStyle name="Normal 2 2" xfId="10" xr:uid="{C2DFB8CA-EA2E-4B6B-8568-F2AF75CE9B07}"/>
    <cellStyle name="Normal 2 2 3" xfId="7" xr:uid="{FB754D44-2DA9-4393-AAE5-0805966CB3C2}"/>
    <cellStyle name="Normal 2 2 3 2" xfId="1" xr:uid="{21824C1F-1A04-4589-BCEB-29541CBC1DB8}"/>
    <cellStyle name="Normal 3" xfId="9" xr:uid="{AE689811-E408-4067-A27F-25E06BF960BE}"/>
    <cellStyle name="Normal 4" xfId="4" xr:uid="{3CB88392-A213-42F8-B556-A7A9697CA91E}"/>
    <cellStyle name="Percent" xfId="6"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_rels/drawing15.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jpeg"/></Relationships>
</file>

<file path=xl/drawings/_rels/drawing16.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6.jpeg"/></Relationships>
</file>

<file path=xl/drawings/_rels/drawing17.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jpeg"/></Relationships>
</file>

<file path=xl/drawings/_rels/drawing19.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4.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5.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6.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jpeg"/></Relationships>
</file>

<file path=xl/drawings/_rels/drawing27.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jpeg"/></Relationships>
</file>

<file path=xl/drawings/_rels/drawing28.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9</xdr:col>
      <xdr:colOff>0</xdr:colOff>
      <xdr:row>2</xdr:row>
      <xdr:rowOff>28575</xdr:rowOff>
    </xdr:from>
    <xdr:to>
      <xdr:col>14</xdr:col>
      <xdr:colOff>235942</xdr:colOff>
      <xdr:row>10</xdr:row>
      <xdr:rowOff>92075</xdr:rowOff>
    </xdr:to>
    <xdr:pic>
      <xdr:nvPicPr>
        <xdr:cNvPr id="2" name="Picture 1">
          <a:extLst>
            <a:ext uri="{FF2B5EF4-FFF2-40B4-BE49-F238E27FC236}">
              <a16:creationId xmlns:a16="http://schemas.microsoft.com/office/drawing/2014/main" id="{8DDABA82-2E9A-4AA1-915A-0C0DBE34714F}"/>
            </a:ext>
          </a:extLst>
        </xdr:cNvPr>
        <xdr:cNvPicPr>
          <a:picLocks noChangeAspect="1"/>
        </xdr:cNvPicPr>
      </xdr:nvPicPr>
      <xdr:blipFill>
        <a:blip xmlns:r="http://schemas.openxmlformats.org/officeDocument/2006/relationships" r:embed="rId1"/>
        <a:stretch>
          <a:fillRect/>
        </a:stretch>
      </xdr:blipFill>
      <xdr:spPr>
        <a:xfrm>
          <a:off x="10172700" y="466725"/>
          <a:ext cx="3283942" cy="2025650"/>
        </a:xfrm>
        <a:prstGeom prst="rect">
          <a:avLst/>
        </a:prstGeom>
      </xdr:spPr>
    </xdr:pic>
    <xdr:clientData/>
  </xdr:twoCellAnchor>
  <xdr:twoCellAnchor editAs="oneCell">
    <xdr:from>
      <xdr:col>8</xdr:col>
      <xdr:colOff>542925</xdr:colOff>
      <xdr:row>12</xdr:row>
      <xdr:rowOff>114300</xdr:rowOff>
    </xdr:from>
    <xdr:to>
      <xdr:col>14</xdr:col>
      <xdr:colOff>266700</xdr:colOff>
      <xdr:row>20</xdr:row>
      <xdr:rowOff>28575</xdr:rowOff>
    </xdr:to>
    <xdr:pic>
      <xdr:nvPicPr>
        <xdr:cNvPr id="3" name="Picture 2">
          <a:extLst>
            <a:ext uri="{FF2B5EF4-FFF2-40B4-BE49-F238E27FC236}">
              <a16:creationId xmlns:a16="http://schemas.microsoft.com/office/drawing/2014/main" id="{B2165DB7-ED04-46EB-B9D2-C465F26D0ED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06025" y="3086100"/>
          <a:ext cx="3381375" cy="1743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0</xdr:colOff>
      <xdr:row>3</xdr:row>
      <xdr:rowOff>0</xdr:rowOff>
    </xdr:from>
    <xdr:to>
      <xdr:col>14</xdr:col>
      <xdr:colOff>193673</xdr:colOff>
      <xdr:row>12</xdr:row>
      <xdr:rowOff>165100</xdr:rowOff>
    </xdr:to>
    <xdr:pic>
      <xdr:nvPicPr>
        <xdr:cNvPr id="2" name="Picture 1">
          <a:extLst>
            <a:ext uri="{FF2B5EF4-FFF2-40B4-BE49-F238E27FC236}">
              <a16:creationId xmlns:a16="http://schemas.microsoft.com/office/drawing/2014/main" id="{12FDD841-2063-4F67-9AAB-154679BDAB29}"/>
            </a:ext>
          </a:extLst>
        </xdr:cNvPr>
        <xdr:cNvPicPr>
          <a:picLocks noChangeAspect="1"/>
        </xdr:cNvPicPr>
      </xdr:nvPicPr>
      <xdr:blipFill>
        <a:blip xmlns:r="http://schemas.openxmlformats.org/officeDocument/2006/relationships" r:embed="rId1"/>
        <a:stretch>
          <a:fillRect/>
        </a:stretch>
      </xdr:blipFill>
      <xdr:spPr>
        <a:xfrm>
          <a:off x="10172700" y="704850"/>
          <a:ext cx="3241673" cy="2051050"/>
        </a:xfrm>
        <a:prstGeom prst="rect">
          <a:avLst/>
        </a:prstGeom>
      </xdr:spPr>
    </xdr:pic>
    <xdr:clientData/>
  </xdr:twoCellAnchor>
  <xdr:twoCellAnchor editAs="oneCell">
    <xdr:from>
      <xdr:col>9</xdr:col>
      <xdr:colOff>0</xdr:colOff>
      <xdr:row>17</xdr:row>
      <xdr:rowOff>0</xdr:rowOff>
    </xdr:from>
    <xdr:to>
      <xdr:col>14</xdr:col>
      <xdr:colOff>292100</xdr:colOff>
      <xdr:row>26</xdr:row>
      <xdr:rowOff>161925</xdr:rowOff>
    </xdr:to>
    <xdr:pic>
      <xdr:nvPicPr>
        <xdr:cNvPr id="3" name="Picture 2">
          <a:extLst>
            <a:ext uri="{FF2B5EF4-FFF2-40B4-BE49-F238E27FC236}">
              <a16:creationId xmlns:a16="http://schemas.microsoft.com/office/drawing/2014/main" id="{6D45BC5C-390E-4D8F-9D01-315AD2DF62A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700" y="3448050"/>
          <a:ext cx="3340100" cy="176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590549</xdr:colOff>
      <xdr:row>2</xdr:row>
      <xdr:rowOff>114300</xdr:rowOff>
    </xdr:from>
    <xdr:to>
      <xdr:col>14</xdr:col>
      <xdr:colOff>171449</xdr:colOff>
      <xdr:row>10</xdr:row>
      <xdr:rowOff>161925</xdr:rowOff>
    </xdr:to>
    <xdr:pic>
      <xdr:nvPicPr>
        <xdr:cNvPr id="2" name="Picture 1">
          <a:extLst>
            <a:ext uri="{FF2B5EF4-FFF2-40B4-BE49-F238E27FC236}">
              <a16:creationId xmlns:a16="http://schemas.microsoft.com/office/drawing/2014/main" id="{E937F72A-FD21-4E13-8278-D7F5801E0E48}"/>
            </a:ext>
          </a:extLst>
        </xdr:cNvPr>
        <xdr:cNvPicPr>
          <a:picLocks noChangeAspect="1"/>
        </xdr:cNvPicPr>
      </xdr:nvPicPr>
      <xdr:blipFill>
        <a:blip xmlns:r="http://schemas.openxmlformats.org/officeDocument/2006/relationships" r:embed="rId1"/>
        <a:stretch>
          <a:fillRect/>
        </a:stretch>
      </xdr:blipFill>
      <xdr:spPr>
        <a:xfrm>
          <a:off x="10296524" y="552450"/>
          <a:ext cx="3248025" cy="2009775"/>
        </a:xfrm>
        <a:prstGeom prst="rect">
          <a:avLst/>
        </a:prstGeom>
      </xdr:spPr>
    </xdr:pic>
    <xdr:clientData/>
  </xdr:twoCellAnchor>
  <xdr:twoCellAnchor editAs="oneCell">
    <xdr:from>
      <xdr:col>8</xdr:col>
      <xdr:colOff>590549</xdr:colOff>
      <xdr:row>13</xdr:row>
      <xdr:rowOff>66675</xdr:rowOff>
    </xdr:from>
    <xdr:to>
      <xdr:col>14</xdr:col>
      <xdr:colOff>180975</xdr:colOff>
      <xdr:row>20</xdr:row>
      <xdr:rowOff>12700</xdr:rowOff>
    </xdr:to>
    <xdr:pic>
      <xdr:nvPicPr>
        <xdr:cNvPr id="3" name="Picture 2">
          <a:extLst>
            <a:ext uri="{FF2B5EF4-FFF2-40B4-BE49-F238E27FC236}">
              <a16:creationId xmlns:a16="http://schemas.microsoft.com/office/drawing/2014/main" id="{DF5D0928-C22E-4884-804D-84FC8175BA6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296524" y="3248025"/>
          <a:ext cx="3257551" cy="1717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22</xdr:row>
      <xdr:rowOff>114301</xdr:rowOff>
    </xdr:from>
    <xdr:to>
      <xdr:col>14</xdr:col>
      <xdr:colOff>123824</xdr:colOff>
      <xdr:row>29</xdr:row>
      <xdr:rowOff>47625</xdr:rowOff>
    </xdr:to>
    <xdr:pic>
      <xdr:nvPicPr>
        <xdr:cNvPr id="4" name="Picture 3">
          <a:extLst>
            <a:ext uri="{FF2B5EF4-FFF2-40B4-BE49-F238E27FC236}">
              <a16:creationId xmlns:a16="http://schemas.microsoft.com/office/drawing/2014/main" id="{9A38DECF-DAE9-412E-B508-56773D55C0A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296525" y="5638801"/>
          <a:ext cx="3200399" cy="17049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0</xdr:colOff>
      <xdr:row>2</xdr:row>
      <xdr:rowOff>142875</xdr:rowOff>
    </xdr:from>
    <xdr:to>
      <xdr:col>14</xdr:col>
      <xdr:colOff>235942</xdr:colOff>
      <xdr:row>10</xdr:row>
      <xdr:rowOff>206375</xdr:rowOff>
    </xdr:to>
    <xdr:pic>
      <xdr:nvPicPr>
        <xdr:cNvPr id="2" name="Picture 1">
          <a:extLst>
            <a:ext uri="{FF2B5EF4-FFF2-40B4-BE49-F238E27FC236}">
              <a16:creationId xmlns:a16="http://schemas.microsoft.com/office/drawing/2014/main" id="{2280E650-10DD-46F5-B502-3F8BFF54AFE0}"/>
            </a:ext>
          </a:extLst>
        </xdr:cNvPr>
        <xdr:cNvPicPr>
          <a:picLocks noChangeAspect="1"/>
        </xdr:cNvPicPr>
      </xdr:nvPicPr>
      <xdr:blipFill>
        <a:blip xmlns:r="http://schemas.openxmlformats.org/officeDocument/2006/relationships" r:embed="rId1"/>
        <a:stretch>
          <a:fillRect/>
        </a:stretch>
      </xdr:blipFill>
      <xdr:spPr>
        <a:xfrm>
          <a:off x="10172700" y="581025"/>
          <a:ext cx="3283942" cy="2025650"/>
        </a:xfrm>
        <a:prstGeom prst="rect">
          <a:avLst/>
        </a:prstGeom>
      </xdr:spPr>
    </xdr:pic>
    <xdr:clientData/>
  </xdr:twoCellAnchor>
  <xdr:twoCellAnchor editAs="oneCell">
    <xdr:from>
      <xdr:col>8</xdr:col>
      <xdr:colOff>600075</xdr:colOff>
      <xdr:row>13</xdr:row>
      <xdr:rowOff>66675</xdr:rowOff>
    </xdr:from>
    <xdr:to>
      <xdr:col>14</xdr:col>
      <xdr:colOff>216196</xdr:colOff>
      <xdr:row>20</xdr:row>
      <xdr:rowOff>19050</xdr:rowOff>
    </xdr:to>
    <xdr:pic>
      <xdr:nvPicPr>
        <xdr:cNvPr id="3" name="Picture 2">
          <a:extLst>
            <a:ext uri="{FF2B5EF4-FFF2-40B4-BE49-F238E27FC236}">
              <a16:creationId xmlns:a16="http://schemas.microsoft.com/office/drawing/2014/main" id="{5E1FBA54-01B2-43A3-9260-E2D3F8618E9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63175" y="3095625"/>
          <a:ext cx="3273721" cy="1724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590550</xdr:colOff>
      <xdr:row>22</xdr:row>
      <xdr:rowOff>57150</xdr:rowOff>
    </xdr:from>
    <xdr:ext cx="3273721" cy="1724025"/>
    <xdr:pic>
      <xdr:nvPicPr>
        <xdr:cNvPr id="4" name="Picture 3">
          <a:extLst>
            <a:ext uri="{FF2B5EF4-FFF2-40B4-BE49-F238E27FC236}">
              <a16:creationId xmlns:a16="http://schemas.microsoft.com/office/drawing/2014/main" id="{882E869D-9BD6-4B1E-AFE2-EF3D0C8B438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53650" y="5429250"/>
          <a:ext cx="3273721" cy="1724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5.xml><?xml version="1.0" encoding="utf-8"?>
<xdr:wsDr xmlns:xdr="http://schemas.openxmlformats.org/drawingml/2006/spreadsheetDrawing" xmlns:a="http://schemas.openxmlformats.org/drawingml/2006/main">
  <xdr:twoCellAnchor editAs="oneCell">
    <xdr:from>
      <xdr:col>8</xdr:col>
      <xdr:colOff>600074</xdr:colOff>
      <xdr:row>2</xdr:row>
      <xdr:rowOff>133350</xdr:rowOff>
    </xdr:from>
    <xdr:to>
      <xdr:col>14</xdr:col>
      <xdr:colOff>247649</xdr:colOff>
      <xdr:row>11</xdr:row>
      <xdr:rowOff>38100</xdr:rowOff>
    </xdr:to>
    <xdr:pic>
      <xdr:nvPicPr>
        <xdr:cNvPr id="2" name="Picture 1">
          <a:extLst>
            <a:ext uri="{FF2B5EF4-FFF2-40B4-BE49-F238E27FC236}">
              <a16:creationId xmlns:a16="http://schemas.microsoft.com/office/drawing/2014/main" id="{506D1735-7007-457D-9124-36D312BAD8A8}"/>
            </a:ext>
          </a:extLst>
        </xdr:cNvPr>
        <xdr:cNvPicPr>
          <a:picLocks noChangeAspect="1"/>
        </xdr:cNvPicPr>
      </xdr:nvPicPr>
      <xdr:blipFill>
        <a:blip xmlns:r="http://schemas.openxmlformats.org/officeDocument/2006/relationships" r:embed="rId1"/>
        <a:stretch>
          <a:fillRect/>
        </a:stretch>
      </xdr:blipFill>
      <xdr:spPr>
        <a:xfrm>
          <a:off x="10229849" y="571500"/>
          <a:ext cx="3305175" cy="2076450"/>
        </a:xfrm>
        <a:prstGeom prst="rect">
          <a:avLst/>
        </a:prstGeom>
      </xdr:spPr>
    </xdr:pic>
    <xdr:clientData/>
  </xdr:twoCellAnchor>
  <xdr:twoCellAnchor editAs="oneCell">
    <xdr:from>
      <xdr:col>8</xdr:col>
      <xdr:colOff>542925</xdr:colOff>
      <xdr:row>13</xdr:row>
      <xdr:rowOff>57151</xdr:rowOff>
    </xdr:from>
    <xdr:to>
      <xdr:col>14</xdr:col>
      <xdr:colOff>219075</xdr:colOff>
      <xdr:row>20</xdr:row>
      <xdr:rowOff>190500</xdr:rowOff>
    </xdr:to>
    <xdr:pic>
      <xdr:nvPicPr>
        <xdr:cNvPr id="3" name="Picture 2">
          <a:extLst>
            <a:ext uri="{FF2B5EF4-FFF2-40B4-BE49-F238E27FC236}">
              <a16:creationId xmlns:a16="http://schemas.microsoft.com/office/drawing/2014/main" id="{48923528-6305-42E8-A1BD-FE8FA95C0FA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239375" y="3086101"/>
          <a:ext cx="3333750" cy="17525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8</xdr:col>
      <xdr:colOff>495300</xdr:colOff>
      <xdr:row>2</xdr:row>
      <xdr:rowOff>133350</xdr:rowOff>
    </xdr:from>
    <xdr:to>
      <xdr:col>14</xdr:col>
      <xdr:colOff>121642</xdr:colOff>
      <xdr:row>11</xdr:row>
      <xdr:rowOff>44450</xdr:rowOff>
    </xdr:to>
    <xdr:pic>
      <xdr:nvPicPr>
        <xdr:cNvPr id="2" name="Picture 1">
          <a:extLst>
            <a:ext uri="{FF2B5EF4-FFF2-40B4-BE49-F238E27FC236}">
              <a16:creationId xmlns:a16="http://schemas.microsoft.com/office/drawing/2014/main" id="{539D4612-CD15-49DC-899F-C08A5353C49C}"/>
            </a:ext>
          </a:extLst>
        </xdr:cNvPr>
        <xdr:cNvPicPr>
          <a:picLocks noChangeAspect="1"/>
        </xdr:cNvPicPr>
      </xdr:nvPicPr>
      <xdr:blipFill>
        <a:blip xmlns:r="http://schemas.openxmlformats.org/officeDocument/2006/relationships" r:embed="rId1"/>
        <a:stretch>
          <a:fillRect/>
        </a:stretch>
      </xdr:blipFill>
      <xdr:spPr>
        <a:xfrm>
          <a:off x="10182225" y="571500"/>
          <a:ext cx="3283942" cy="2082800"/>
        </a:xfrm>
        <a:prstGeom prst="rect">
          <a:avLst/>
        </a:prstGeom>
      </xdr:spPr>
    </xdr:pic>
    <xdr:clientData/>
  </xdr:twoCellAnchor>
  <xdr:twoCellAnchor editAs="oneCell">
    <xdr:from>
      <xdr:col>8</xdr:col>
      <xdr:colOff>409575</xdr:colOff>
      <xdr:row>14</xdr:row>
      <xdr:rowOff>66674</xdr:rowOff>
    </xdr:from>
    <xdr:to>
      <xdr:col>14</xdr:col>
      <xdr:colOff>85725</xdr:colOff>
      <xdr:row>21</xdr:row>
      <xdr:rowOff>200025</xdr:rowOff>
    </xdr:to>
    <xdr:pic>
      <xdr:nvPicPr>
        <xdr:cNvPr id="3" name="Picture 2">
          <a:extLst>
            <a:ext uri="{FF2B5EF4-FFF2-40B4-BE49-F238E27FC236}">
              <a16:creationId xmlns:a16="http://schemas.microsoft.com/office/drawing/2014/main" id="{BEB29964-4EB7-4E89-9C12-265179E567B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096500" y="3305174"/>
          <a:ext cx="3333750" cy="175260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8</xdr:col>
      <xdr:colOff>504825</xdr:colOff>
      <xdr:row>2</xdr:row>
      <xdr:rowOff>171451</xdr:rowOff>
    </xdr:from>
    <xdr:to>
      <xdr:col>14</xdr:col>
      <xdr:colOff>131167</xdr:colOff>
      <xdr:row>11</xdr:row>
      <xdr:rowOff>44450</xdr:rowOff>
    </xdr:to>
    <xdr:pic>
      <xdr:nvPicPr>
        <xdr:cNvPr id="2" name="Picture 1">
          <a:extLst>
            <a:ext uri="{FF2B5EF4-FFF2-40B4-BE49-F238E27FC236}">
              <a16:creationId xmlns:a16="http://schemas.microsoft.com/office/drawing/2014/main" id="{18AA37E0-2C1A-4D93-B121-7BF800B3D1A6}"/>
            </a:ext>
          </a:extLst>
        </xdr:cNvPr>
        <xdr:cNvPicPr>
          <a:picLocks noChangeAspect="1"/>
        </xdr:cNvPicPr>
      </xdr:nvPicPr>
      <xdr:blipFill>
        <a:blip xmlns:r="http://schemas.openxmlformats.org/officeDocument/2006/relationships" r:embed="rId1"/>
        <a:stretch>
          <a:fillRect/>
        </a:stretch>
      </xdr:blipFill>
      <xdr:spPr>
        <a:xfrm>
          <a:off x="10067925" y="609601"/>
          <a:ext cx="3283942" cy="2044699"/>
        </a:xfrm>
        <a:prstGeom prst="rect">
          <a:avLst/>
        </a:prstGeom>
      </xdr:spPr>
    </xdr:pic>
    <xdr:clientData/>
  </xdr:twoCellAnchor>
  <xdr:twoCellAnchor editAs="oneCell">
    <xdr:from>
      <xdr:col>8</xdr:col>
      <xdr:colOff>504825</xdr:colOff>
      <xdr:row>13</xdr:row>
      <xdr:rowOff>171450</xdr:rowOff>
    </xdr:from>
    <xdr:to>
      <xdr:col>14</xdr:col>
      <xdr:colOff>171450</xdr:colOff>
      <xdr:row>20</xdr:row>
      <xdr:rowOff>285750</xdr:rowOff>
    </xdr:to>
    <xdr:pic>
      <xdr:nvPicPr>
        <xdr:cNvPr id="3" name="Picture 2">
          <a:extLst>
            <a:ext uri="{FF2B5EF4-FFF2-40B4-BE49-F238E27FC236}">
              <a16:creationId xmlns:a16="http://schemas.microsoft.com/office/drawing/2014/main" id="{3CF0CCDB-9DC0-4BA9-B806-A8CD390336D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067925" y="3200400"/>
          <a:ext cx="3324225" cy="1733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8</xdr:col>
      <xdr:colOff>542925</xdr:colOff>
      <xdr:row>2</xdr:row>
      <xdr:rowOff>200025</xdr:rowOff>
    </xdr:from>
    <xdr:to>
      <xdr:col>14</xdr:col>
      <xdr:colOff>169267</xdr:colOff>
      <xdr:row>11</xdr:row>
      <xdr:rowOff>73025</xdr:rowOff>
    </xdr:to>
    <xdr:pic>
      <xdr:nvPicPr>
        <xdr:cNvPr id="2" name="Picture 1">
          <a:extLst>
            <a:ext uri="{FF2B5EF4-FFF2-40B4-BE49-F238E27FC236}">
              <a16:creationId xmlns:a16="http://schemas.microsoft.com/office/drawing/2014/main" id="{83F179A7-22F0-4D93-891F-3DC4C53F6227}"/>
            </a:ext>
          </a:extLst>
        </xdr:cNvPr>
        <xdr:cNvPicPr>
          <a:picLocks noChangeAspect="1"/>
        </xdr:cNvPicPr>
      </xdr:nvPicPr>
      <xdr:blipFill>
        <a:blip xmlns:r="http://schemas.openxmlformats.org/officeDocument/2006/relationships" r:embed="rId1"/>
        <a:stretch>
          <a:fillRect/>
        </a:stretch>
      </xdr:blipFill>
      <xdr:spPr>
        <a:xfrm>
          <a:off x="10106025" y="638175"/>
          <a:ext cx="3283942" cy="2044700"/>
        </a:xfrm>
        <a:prstGeom prst="rect">
          <a:avLst/>
        </a:prstGeom>
      </xdr:spPr>
    </xdr:pic>
    <xdr:clientData/>
  </xdr:twoCellAnchor>
  <xdr:twoCellAnchor editAs="oneCell">
    <xdr:from>
      <xdr:col>8</xdr:col>
      <xdr:colOff>571500</xdr:colOff>
      <xdr:row>13</xdr:row>
      <xdr:rowOff>171450</xdr:rowOff>
    </xdr:from>
    <xdr:to>
      <xdr:col>14</xdr:col>
      <xdr:colOff>257175</xdr:colOff>
      <xdr:row>21</xdr:row>
      <xdr:rowOff>123826</xdr:rowOff>
    </xdr:to>
    <xdr:pic>
      <xdr:nvPicPr>
        <xdr:cNvPr id="3" name="Picture 2">
          <a:extLst>
            <a:ext uri="{FF2B5EF4-FFF2-40B4-BE49-F238E27FC236}">
              <a16:creationId xmlns:a16="http://schemas.microsoft.com/office/drawing/2014/main" id="{6D9E3F56-962B-4964-BAB3-7466D853645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34600" y="3200400"/>
          <a:ext cx="3343275" cy="17811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9</xdr:col>
      <xdr:colOff>0</xdr:colOff>
      <xdr:row>2</xdr:row>
      <xdr:rowOff>57150</xdr:rowOff>
    </xdr:from>
    <xdr:to>
      <xdr:col>14</xdr:col>
      <xdr:colOff>161925</xdr:colOff>
      <xdr:row>10</xdr:row>
      <xdr:rowOff>120650</xdr:rowOff>
    </xdr:to>
    <xdr:pic>
      <xdr:nvPicPr>
        <xdr:cNvPr id="2" name="Picture 1">
          <a:extLst>
            <a:ext uri="{FF2B5EF4-FFF2-40B4-BE49-F238E27FC236}">
              <a16:creationId xmlns:a16="http://schemas.microsoft.com/office/drawing/2014/main" id="{6CF122DC-14C7-4616-93A7-FFD833698B84}"/>
            </a:ext>
          </a:extLst>
        </xdr:cNvPr>
        <xdr:cNvPicPr>
          <a:picLocks noChangeAspect="1"/>
        </xdr:cNvPicPr>
      </xdr:nvPicPr>
      <xdr:blipFill>
        <a:blip xmlns:r="http://schemas.openxmlformats.org/officeDocument/2006/relationships" r:embed="rId1"/>
        <a:stretch>
          <a:fillRect/>
        </a:stretch>
      </xdr:blipFill>
      <xdr:spPr>
        <a:xfrm>
          <a:off x="10277475" y="495300"/>
          <a:ext cx="3209925" cy="2025650"/>
        </a:xfrm>
        <a:prstGeom prst="rect">
          <a:avLst/>
        </a:prstGeom>
      </xdr:spPr>
    </xdr:pic>
    <xdr:clientData/>
  </xdr:twoCellAnchor>
  <xdr:twoCellAnchor editAs="oneCell">
    <xdr:from>
      <xdr:col>8</xdr:col>
      <xdr:colOff>523875</xdr:colOff>
      <xdr:row>13</xdr:row>
      <xdr:rowOff>66675</xdr:rowOff>
    </xdr:from>
    <xdr:to>
      <xdr:col>14</xdr:col>
      <xdr:colOff>139996</xdr:colOff>
      <xdr:row>21</xdr:row>
      <xdr:rowOff>0</xdr:rowOff>
    </xdr:to>
    <xdr:pic>
      <xdr:nvPicPr>
        <xdr:cNvPr id="3" name="Picture 2">
          <a:extLst>
            <a:ext uri="{FF2B5EF4-FFF2-40B4-BE49-F238E27FC236}">
              <a16:creationId xmlns:a16="http://schemas.microsoft.com/office/drawing/2014/main" id="{936D3066-55A7-47F9-B686-70C8A525E7B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91750" y="3095625"/>
          <a:ext cx="3273721" cy="176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9</xdr:col>
      <xdr:colOff>9525</xdr:colOff>
      <xdr:row>3</xdr:row>
      <xdr:rowOff>0</xdr:rowOff>
    </xdr:from>
    <xdr:to>
      <xdr:col>14</xdr:col>
      <xdr:colOff>209550</xdr:colOff>
      <xdr:row>11</xdr:row>
      <xdr:rowOff>120650</xdr:rowOff>
    </xdr:to>
    <xdr:pic>
      <xdr:nvPicPr>
        <xdr:cNvPr id="2" name="Picture 1">
          <a:extLst>
            <a:ext uri="{FF2B5EF4-FFF2-40B4-BE49-F238E27FC236}">
              <a16:creationId xmlns:a16="http://schemas.microsoft.com/office/drawing/2014/main" id="{47CCDAF0-004D-47CD-BCBE-BA6A88B007F5}"/>
            </a:ext>
          </a:extLst>
        </xdr:cNvPr>
        <xdr:cNvPicPr>
          <a:picLocks noChangeAspect="1"/>
        </xdr:cNvPicPr>
      </xdr:nvPicPr>
      <xdr:blipFill>
        <a:blip xmlns:r="http://schemas.openxmlformats.org/officeDocument/2006/relationships" r:embed="rId1"/>
        <a:stretch>
          <a:fillRect/>
        </a:stretch>
      </xdr:blipFill>
      <xdr:spPr>
        <a:xfrm>
          <a:off x="10325100" y="704850"/>
          <a:ext cx="3248025" cy="2025650"/>
        </a:xfrm>
        <a:prstGeom prst="rect">
          <a:avLst/>
        </a:prstGeom>
      </xdr:spPr>
    </xdr:pic>
    <xdr:clientData/>
  </xdr:twoCellAnchor>
  <xdr:twoCellAnchor editAs="oneCell">
    <xdr:from>
      <xdr:col>9</xdr:col>
      <xdr:colOff>0</xdr:colOff>
      <xdr:row>14</xdr:row>
      <xdr:rowOff>85725</xdr:rowOff>
    </xdr:from>
    <xdr:to>
      <xdr:col>14</xdr:col>
      <xdr:colOff>225721</xdr:colOff>
      <xdr:row>22</xdr:row>
      <xdr:rowOff>34925</xdr:rowOff>
    </xdr:to>
    <xdr:pic>
      <xdr:nvPicPr>
        <xdr:cNvPr id="3" name="Picture 2">
          <a:extLst>
            <a:ext uri="{FF2B5EF4-FFF2-40B4-BE49-F238E27FC236}">
              <a16:creationId xmlns:a16="http://schemas.microsoft.com/office/drawing/2014/main" id="{EF861E90-AE87-4E6D-BF3E-9A41828FEC9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315575" y="3324225"/>
          <a:ext cx="3273721" cy="1778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9</xdr:col>
      <xdr:colOff>0</xdr:colOff>
      <xdr:row>2</xdr:row>
      <xdr:rowOff>180975</xdr:rowOff>
    </xdr:from>
    <xdr:to>
      <xdr:col>14</xdr:col>
      <xdr:colOff>235942</xdr:colOff>
      <xdr:row>11</xdr:row>
      <xdr:rowOff>101600</xdr:rowOff>
    </xdr:to>
    <xdr:pic>
      <xdr:nvPicPr>
        <xdr:cNvPr id="2" name="Picture 1">
          <a:extLst>
            <a:ext uri="{FF2B5EF4-FFF2-40B4-BE49-F238E27FC236}">
              <a16:creationId xmlns:a16="http://schemas.microsoft.com/office/drawing/2014/main" id="{7E5D43D4-9836-405E-9395-BD6E09215A38}"/>
            </a:ext>
          </a:extLst>
        </xdr:cNvPr>
        <xdr:cNvPicPr>
          <a:picLocks noChangeAspect="1"/>
        </xdr:cNvPicPr>
      </xdr:nvPicPr>
      <xdr:blipFill>
        <a:blip xmlns:r="http://schemas.openxmlformats.org/officeDocument/2006/relationships" r:embed="rId1"/>
        <a:stretch>
          <a:fillRect/>
        </a:stretch>
      </xdr:blipFill>
      <xdr:spPr>
        <a:xfrm>
          <a:off x="10287000" y="619125"/>
          <a:ext cx="3283942" cy="2092325"/>
        </a:xfrm>
        <a:prstGeom prst="rect">
          <a:avLst/>
        </a:prstGeom>
      </xdr:spPr>
    </xdr:pic>
    <xdr:clientData/>
  </xdr:twoCellAnchor>
  <xdr:twoCellAnchor editAs="oneCell">
    <xdr:from>
      <xdr:col>8</xdr:col>
      <xdr:colOff>561975</xdr:colOff>
      <xdr:row>14</xdr:row>
      <xdr:rowOff>95250</xdr:rowOff>
    </xdr:from>
    <xdr:to>
      <xdr:col>14</xdr:col>
      <xdr:colOff>257175</xdr:colOff>
      <xdr:row>22</xdr:row>
      <xdr:rowOff>41276</xdr:rowOff>
    </xdr:to>
    <xdr:pic>
      <xdr:nvPicPr>
        <xdr:cNvPr id="3" name="Picture 2">
          <a:extLst>
            <a:ext uri="{FF2B5EF4-FFF2-40B4-BE49-F238E27FC236}">
              <a16:creationId xmlns:a16="http://schemas.microsoft.com/office/drawing/2014/main" id="{20B78B91-F323-4AFE-BD0C-C5079BBE461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239375" y="3333750"/>
          <a:ext cx="3352800" cy="177482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8</xdr:col>
      <xdr:colOff>571500</xdr:colOff>
      <xdr:row>2</xdr:row>
      <xdr:rowOff>123825</xdr:rowOff>
    </xdr:from>
    <xdr:to>
      <xdr:col>14</xdr:col>
      <xdr:colOff>104775</xdr:colOff>
      <xdr:row>10</xdr:row>
      <xdr:rowOff>187325</xdr:rowOff>
    </xdr:to>
    <xdr:pic>
      <xdr:nvPicPr>
        <xdr:cNvPr id="2" name="Picture 1">
          <a:extLst>
            <a:ext uri="{FF2B5EF4-FFF2-40B4-BE49-F238E27FC236}">
              <a16:creationId xmlns:a16="http://schemas.microsoft.com/office/drawing/2014/main" id="{A815A0C6-A980-4FD5-9297-6D7696DFEAA8}"/>
            </a:ext>
          </a:extLst>
        </xdr:cNvPr>
        <xdr:cNvPicPr>
          <a:picLocks noChangeAspect="1"/>
        </xdr:cNvPicPr>
      </xdr:nvPicPr>
      <xdr:blipFill>
        <a:blip xmlns:r="http://schemas.openxmlformats.org/officeDocument/2006/relationships" r:embed="rId1"/>
        <a:stretch>
          <a:fillRect/>
        </a:stretch>
      </xdr:blipFill>
      <xdr:spPr>
        <a:xfrm>
          <a:off x="10239375" y="561975"/>
          <a:ext cx="3190875" cy="2025650"/>
        </a:xfrm>
        <a:prstGeom prst="rect">
          <a:avLst/>
        </a:prstGeom>
      </xdr:spPr>
    </xdr:pic>
    <xdr:clientData/>
  </xdr:twoCellAnchor>
  <xdr:twoCellAnchor editAs="oneCell">
    <xdr:from>
      <xdr:col>8</xdr:col>
      <xdr:colOff>438150</xdr:colOff>
      <xdr:row>14</xdr:row>
      <xdr:rowOff>85725</xdr:rowOff>
    </xdr:from>
    <xdr:to>
      <xdr:col>14</xdr:col>
      <xdr:colOff>85725</xdr:colOff>
      <xdr:row>22</xdr:row>
      <xdr:rowOff>66675</xdr:rowOff>
    </xdr:to>
    <xdr:pic>
      <xdr:nvPicPr>
        <xdr:cNvPr id="3" name="Picture 2">
          <a:extLst>
            <a:ext uri="{FF2B5EF4-FFF2-40B4-BE49-F238E27FC236}">
              <a16:creationId xmlns:a16="http://schemas.microsoft.com/office/drawing/2014/main" id="{56E3D168-72AD-47D3-A5E0-E07DCF10B30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15550" y="3324225"/>
          <a:ext cx="3305175" cy="1809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8</xdr:col>
      <xdr:colOff>590550</xdr:colOff>
      <xdr:row>2</xdr:row>
      <xdr:rowOff>171450</xdr:rowOff>
    </xdr:from>
    <xdr:to>
      <xdr:col>14</xdr:col>
      <xdr:colOff>180975</xdr:colOff>
      <xdr:row>10</xdr:row>
      <xdr:rowOff>82550</xdr:rowOff>
    </xdr:to>
    <xdr:pic>
      <xdr:nvPicPr>
        <xdr:cNvPr id="2" name="Picture 1">
          <a:extLst>
            <a:ext uri="{FF2B5EF4-FFF2-40B4-BE49-F238E27FC236}">
              <a16:creationId xmlns:a16="http://schemas.microsoft.com/office/drawing/2014/main" id="{86C0929F-CEEE-47DB-B2C5-E9D5C36F1C8D}"/>
            </a:ext>
          </a:extLst>
        </xdr:cNvPr>
        <xdr:cNvPicPr>
          <a:picLocks noChangeAspect="1"/>
        </xdr:cNvPicPr>
      </xdr:nvPicPr>
      <xdr:blipFill>
        <a:blip xmlns:r="http://schemas.openxmlformats.org/officeDocument/2006/relationships" r:embed="rId1"/>
        <a:stretch>
          <a:fillRect/>
        </a:stretch>
      </xdr:blipFill>
      <xdr:spPr>
        <a:xfrm>
          <a:off x="10153650" y="609600"/>
          <a:ext cx="3248025" cy="2025650"/>
        </a:xfrm>
        <a:prstGeom prst="rect">
          <a:avLst/>
        </a:prstGeom>
      </xdr:spPr>
    </xdr:pic>
    <xdr:clientData/>
  </xdr:twoCellAnchor>
  <xdr:twoCellAnchor editAs="oneCell">
    <xdr:from>
      <xdr:col>8</xdr:col>
      <xdr:colOff>495300</xdr:colOff>
      <xdr:row>13</xdr:row>
      <xdr:rowOff>180976</xdr:rowOff>
    </xdr:from>
    <xdr:to>
      <xdr:col>14</xdr:col>
      <xdr:colOff>114299</xdr:colOff>
      <xdr:row>22</xdr:row>
      <xdr:rowOff>19050</xdr:rowOff>
    </xdr:to>
    <xdr:pic>
      <xdr:nvPicPr>
        <xdr:cNvPr id="3" name="Picture 2">
          <a:extLst>
            <a:ext uri="{FF2B5EF4-FFF2-40B4-BE49-F238E27FC236}">
              <a16:creationId xmlns:a16="http://schemas.microsoft.com/office/drawing/2014/main" id="{9725C34D-81AC-4D26-9E26-5CE306B88E6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058400" y="3362326"/>
          <a:ext cx="3276599" cy="17240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504826</xdr:colOff>
      <xdr:row>24</xdr:row>
      <xdr:rowOff>190500</xdr:rowOff>
    </xdr:from>
    <xdr:ext cx="3286124" cy="1714500"/>
    <xdr:pic>
      <xdr:nvPicPr>
        <xdr:cNvPr id="4" name="Picture 3">
          <a:extLst>
            <a:ext uri="{FF2B5EF4-FFF2-40B4-BE49-F238E27FC236}">
              <a16:creationId xmlns:a16="http://schemas.microsoft.com/office/drawing/2014/main" id="{A0BF5CF4-46C6-44C1-9538-6735F42B21D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067926" y="5829300"/>
          <a:ext cx="3286124" cy="1714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14.xml><?xml version="1.0" encoding="utf-8"?>
<xdr:wsDr xmlns:xdr="http://schemas.openxmlformats.org/drawingml/2006/spreadsheetDrawing" xmlns:a="http://schemas.openxmlformats.org/drawingml/2006/main">
  <xdr:twoCellAnchor editAs="oneCell">
    <xdr:from>
      <xdr:col>10</xdr:col>
      <xdr:colOff>276226</xdr:colOff>
      <xdr:row>13</xdr:row>
      <xdr:rowOff>73027</xdr:rowOff>
    </xdr:from>
    <xdr:to>
      <xdr:col>15</xdr:col>
      <xdr:colOff>76201</xdr:colOff>
      <xdr:row>21</xdr:row>
      <xdr:rowOff>200025</xdr:rowOff>
    </xdr:to>
    <xdr:pic>
      <xdr:nvPicPr>
        <xdr:cNvPr id="2" name="Picture 1">
          <a:extLst>
            <a:ext uri="{FF2B5EF4-FFF2-40B4-BE49-F238E27FC236}">
              <a16:creationId xmlns:a16="http://schemas.microsoft.com/office/drawing/2014/main" id="{9B99E55B-95A7-4E89-A28B-B4A61CA2C4A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1477626" y="3444877"/>
          <a:ext cx="3352800" cy="18033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276225</xdr:colOff>
      <xdr:row>2</xdr:row>
      <xdr:rowOff>190498</xdr:rowOff>
    </xdr:from>
    <xdr:to>
      <xdr:col>15</xdr:col>
      <xdr:colOff>28575</xdr:colOff>
      <xdr:row>10</xdr:row>
      <xdr:rowOff>95249</xdr:rowOff>
    </xdr:to>
    <xdr:pic>
      <xdr:nvPicPr>
        <xdr:cNvPr id="3" name="Picture 2">
          <a:extLst>
            <a:ext uri="{FF2B5EF4-FFF2-40B4-BE49-F238E27FC236}">
              <a16:creationId xmlns:a16="http://schemas.microsoft.com/office/drawing/2014/main" id="{D2A7C668-77AB-49B3-B62A-3F67C98AF693}"/>
            </a:ext>
          </a:extLst>
        </xdr:cNvPr>
        <xdr:cNvPicPr>
          <a:picLocks noChangeAspect="1"/>
        </xdr:cNvPicPr>
      </xdr:nvPicPr>
      <xdr:blipFill>
        <a:blip xmlns:r="http://schemas.openxmlformats.org/officeDocument/2006/relationships" r:embed="rId2"/>
        <a:stretch>
          <a:fillRect/>
        </a:stretch>
      </xdr:blipFill>
      <xdr:spPr>
        <a:xfrm>
          <a:off x="11477625" y="628648"/>
          <a:ext cx="3305175" cy="2057401"/>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9</xdr:col>
      <xdr:colOff>9524</xdr:colOff>
      <xdr:row>14</xdr:row>
      <xdr:rowOff>95252</xdr:rowOff>
    </xdr:from>
    <xdr:to>
      <xdr:col>14</xdr:col>
      <xdr:colOff>323849</xdr:colOff>
      <xdr:row>21</xdr:row>
      <xdr:rowOff>111126</xdr:rowOff>
    </xdr:to>
    <xdr:pic>
      <xdr:nvPicPr>
        <xdr:cNvPr id="2" name="Picture 1">
          <a:extLst>
            <a:ext uri="{FF2B5EF4-FFF2-40B4-BE49-F238E27FC236}">
              <a16:creationId xmlns:a16="http://schemas.microsoft.com/office/drawing/2014/main" id="{419F82FF-9603-4C5A-8707-0593D78B4B8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77474" y="3486152"/>
          <a:ext cx="3362325" cy="1787524"/>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590548</xdr:colOff>
      <xdr:row>2</xdr:row>
      <xdr:rowOff>133350</xdr:rowOff>
    </xdr:from>
    <xdr:to>
      <xdr:col>14</xdr:col>
      <xdr:colOff>209549</xdr:colOff>
      <xdr:row>10</xdr:row>
      <xdr:rowOff>161925</xdr:rowOff>
    </xdr:to>
    <xdr:pic>
      <xdr:nvPicPr>
        <xdr:cNvPr id="3" name="Picture 2">
          <a:extLst>
            <a:ext uri="{FF2B5EF4-FFF2-40B4-BE49-F238E27FC236}">
              <a16:creationId xmlns:a16="http://schemas.microsoft.com/office/drawing/2014/main" id="{535B2A9C-9152-49FD-987C-AC21B91D30E4}"/>
            </a:ext>
          </a:extLst>
        </xdr:cNvPr>
        <xdr:cNvPicPr>
          <a:picLocks noChangeAspect="1"/>
        </xdr:cNvPicPr>
      </xdr:nvPicPr>
      <xdr:blipFill>
        <a:blip xmlns:r="http://schemas.openxmlformats.org/officeDocument/2006/relationships" r:embed="rId2"/>
        <a:stretch>
          <a:fillRect/>
        </a:stretch>
      </xdr:blipFill>
      <xdr:spPr>
        <a:xfrm>
          <a:off x="10248898" y="571500"/>
          <a:ext cx="3276601" cy="199072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8</xdr:col>
      <xdr:colOff>581025</xdr:colOff>
      <xdr:row>14</xdr:row>
      <xdr:rowOff>76199</xdr:rowOff>
    </xdr:from>
    <xdr:to>
      <xdr:col>14</xdr:col>
      <xdr:colOff>333375</xdr:colOff>
      <xdr:row>23</xdr:row>
      <xdr:rowOff>9524</xdr:rowOff>
    </xdr:to>
    <xdr:pic>
      <xdr:nvPicPr>
        <xdr:cNvPr id="2" name="Picture 1">
          <a:extLst>
            <a:ext uri="{FF2B5EF4-FFF2-40B4-BE49-F238E27FC236}">
              <a16:creationId xmlns:a16="http://schemas.microsoft.com/office/drawing/2014/main" id="{96BA12AA-37A6-4655-8C7C-3CF105CA9AA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44125" y="3314699"/>
          <a:ext cx="3409950" cy="1819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542925</xdr:colOff>
      <xdr:row>2</xdr:row>
      <xdr:rowOff>142875</xdr:rowOff>
    </xdr:from>
    <xdr:to>
      <xdr:col>14</xdr:col>
      <xdr:colOff>276225</xdr:colOff>
      <xdr:row>11</xdr:row>
      <xdr:rowOff>104775</xdr:rowOff>
    </xdr:to>
    <xdr:pic>
      <xdr:nvPicPr>
        <xdr:cNvPr id="4" name="Picture 3">
          <a:extLst>
            <a:ext uri="{FF2B5EF4-FFF2-40B4-BE49-F238E27FC236}">
              <a16:creationId xmlns:a16="http://schemas.microsoft.com/office/drawing/2014/main" id="{70A63C93-67BE-4166-8162-31BF78856B19}"/>
            </a:ext>
          </a:extLst>
        </xdr:cNvPr>
        <xdr:cNvPicPr>
          <a:picLocks noChangeAspect="1"/>
        </xdr:cNvPicPr>
      </xdr:nvPicPr>
      <xdr:blipFill>
        <a:blip xmlns:r="http://schemas.openxmlformats.org/officeDocument/2006/relationships" r:embed="rId2"/>
        <a:stretch>
          <a:fillRect/>
        </a:stretch>
      </xdr:blipFill>
      <xdr:spPr>
        <a:xfrm>
          <a:off x="10106025" y="581025"/>
          <a:ext cx="3390900" cy="213360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9</xdr:col>
      <xdr:colOff>9525</xdr:colOff>
      <xdr:row>2</xdr:row>
      <xdr:rowOff>95250</xdr:rowOff>
    </xdr:from>
    <xdr:to>
      <xdr:col>14</xdr:col>
      <xdr:colOff>200025</xdr:colOff>
      <xdr:row>10</xdr:row>
      <xdr:rowOff>171450</xdr:rowOff>
    </xdr:to>
    <xdr:pic>
      <xdr:nvPicPr>
        <xdr:cNvPr id="2" name="Picture 1">
          <a:extLst>
            <a:ext uri="{FF2B5EF4-FFF2-40B4-BE49-F238E27FC236}">
              <a16:creationId xmlns:a16="http://schemas.microsoft.com/office/drawing/2014/main" id="{32FC1A56-9C3B-4075-A519-A386645AA36D}"/>
            </a:ext>
          </a:extLst>
        </xdr:cNvPr>
        <xdr:cNvPicPr>
          <a:picLocks noChangeAspect="1"/>
        </xdr:cNvPicPr>
      </xdr:nvPicPr>
      <xdr:blipFill>
        <a:blip xmlns:r="http://schemas.openxmlformats.org/officeDocument/2006/relationships" r:embed="rId1"/>
        <a:stretch>
          <a:fillRect/>
        </a:stretch>
      </xdr:blipFill>
      <xdr:spPr>
        <a:xfrm>
          <a:off x="10287000" y="533400"/>
          <a:ext cx="3238500" cy="2038350"/>
        </a:xfrm>
        <a:prstGeom prst="rect">
          <a:avLst/>
        </a:prstGeom>
      </xdr:spPr>
    </xdr:pic>
    <xdr:clientData/>
  </xdr:twoCellAnchor>
  <xdr:twoCellAnchor editAs="oneCell">
    <xdr:from>
      <xdr:col>8</xdr:col>
      <xdr:colOff>561975</xdr:colOff>
      <xdr:row>14</xdr:row>
      <xdr:rowOff>38100</xdr:rowOff>
    </xdr:from>
    <xdr:to>
      <xdr:col>14</xdr:col>
      <xdr:colOff>180975</xdr:colOff>
      <xdr:row>20</xdr:row>
      <xdr:rowOff>209550</xdr:rowOff>
    </xdr:to>
    <xdr:pic>
      <xdr:nvPicPr>
        <xdr:cNvPr id="3" name="Picture 2">
          <a:extLst>
            <a:ext uri="{FF2B5EF4-FFF2-40B4-BE49-F238E27FC236}">
              <a16:creationId xmlns:a16="http://schemas.microsoft.com/office/drawing/2014/main" id="{51CA1212-0457-465F-8307-40CF3A0C081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258425" y="3276600"/>
          <a:ext cx="3276600" cy="1733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527051</xdr:colOff>
      <xdr:row>23</xdr:row>
      <xdr:rowOff>85726</xdr:rowOff>
    </xdr:from>
    <xdr:ext cx="3238500" cy="1695450"/>
    <xdr:pic>
      <xdr:nvPicPr>
        <xdr:cNvPr id="4" name="Picture 3">
          <a:extLst>
            <a:ext uri="{FF2B5EF4-FFF2-40B4-BE49-F238E27FC236}">
              <a16:creationId xmlns:a16="http://schemas.microsoft.com/office/drawing/2014/main" id="{945B7E85-0459-4F8C-8A98-BEC85E856A6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223501" y="5667376"/>
          <a:ext cx="3238500" cy="1695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18.xml><?xml version="1.0" encoding="utf-8"?>
<xdr:wsDr xmlns:xdr="http://schemas.openxmlformats.org/drawingml/2006/spreadsheetDrawing" xmlns:a="http://schemas.openxmlformats.org/drawingml/2006/main">
  <xdr:twoCellAnchor editAs="oneCell">
    <xdr:from>
      <xdr:col>8</xdr:col>
      <xdr:colOff>495298</xdr:colOff>
      <xdr:row>13</xdr:row>
      <xdr:rowOff>57150</xdr:rowOff>
    </xdr:from>
    <xdr:to>
      <xdr:col>14</xdr:col>
      <xdr:colOff>161925</xdr:colOff>
      <xdr:row>20</xdr:row>
      <xdr:rowOff>190500</xdr:rowOff>
    </xdr:to>
    <xdr:pic>
      <xdr:nvPicPr>
        <xdr:cNvPr id="2" name="Picture 1">
          <a:extLst>
            <a:ext uri="{FF2B5EF4-FFF2-40B4-BE49-F238E27FC236}">
              <a16:creationId xmlns:a16="http://schemas.microsoft.com/office/drawing/2014/main" id="{FDDAF292-2BFB-4D4A-A85E-3CBB1AC1553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63148" y="3086100"/>
          <a:ext cx="3324227" cy="1752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495300</xdr:colOff>
      <xdr:row>2</xdr:row>
      <xdr:rowOff>76200</xdr:rowOff>
    </xdr:from>
    <xdr:to>
      <xdr:col>14</xdr:col>
      <xdr:colOff>112117</xdr:colOff>
      <xdr:row>11</xdr:row>
      <xdr:rowOff>0</xdr:rowOff>
    </xdr:to>
    <xdr:pic>
      <xdr:nvPicPr>
        <xdr:cNvPr id="4" name="Picture 3">
          <a:extLst>
            <a:ext uri="{FF2B5EF4-FFF2-40B4-BE49-F238E27FC236}">
              <a16:creationId xmlns:a16="http://schemas.microsoft.com/office/drawing/2014/main" id="{53B59B14-D2EC-4356-8EAE-CF057BCDC7DC}"/>
            </a:ext>
          </a:extLst>
        </xdr:cNvPr>
        <xdr:cNvPicPr>
          <a:picLocks noChangeAspect="1"/>
        </xdr:cNvPicPr>
      </xdr:nvPicPr>
      <xdr:blipFill>
        <a:blip xmlns:r="http://schemas.openxmlformats.org/officeDocument/2006/relationships" r:embed="rId2"/>
        <a:stretch>
          <a:fillRect/>
        </a:stretch>
      </xdr:blipFill>
      <xdr:spPr>
        <a:xfrm>
          <a:off x="9963150" y="514350"/>
          <a:ext cx="3274417" cy="209550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8</xdr:col>
      <xdr:colOff>590549</xdr:colOff>
      <xdr:row>2</xdr:row>
      <xdr:rowOff>85726</xdr:rowOff>
    </xdr:from>
    <xdr:to>
      <xdr:col>14</xdr:col>
      <xdr:colOff>190500</xdr:colOff>
      <xdr:row>10</xdr:row>
      <xdr:rowOff>85725</xdr:rowOff>
    </xdr:to>
    <xdr:pic>
      <xdr:nvPicPr>
        <xdr:cNvPr id="2" name="Picture 1">
          <a:extLst>
            <a:ext uri="{FF2B5EF4-FFF2-40B4-BE49-F238E27FC236}">
              <a16:creationId xmlns:a16="http://schemas.microsoft.com/office/drawing/2014/main" id="{0BDF9E71-CDBC-45E8-99E3-52DAB36C6C44}"/>
            </a:ext>
          </a:extLst>
        </xdr:cNvPr>
        <xdr:cNvPicPr>
          <a:picLocks noChangeAspect="1"/>
        </xdr:cNvPicPr>
      </xdr:nvPicPr>
      <xdr:blipFill>
        <a:blip xmlns:r="http://schemas.openxmlformats.org/officeDocument/2006/relationships" r:embed="rId1"/>
        <a:stretch>
          <a:fillRect/>
        </a:stretch>
      </xdr:blipFill>
      <xdr:spPr>
        <a:xfrm>
          <a:off x="10153649" y="523876"/>
          <a:ext cx="3257551" cy="1962149"/>
        </a:xfrm>
        <a:prstGeom prst="rect">
          <a:avLst/>
        </a:prstGeom>
      </xdr:spPr>
    </xdr:pic>
    <xdr:clientData/>
  </xdr:twoCellAnchor>
  <xdr:twoCellAnchor editAs="oneCell">
    <xdr:from>
      <xdr:col>8</xdr:col>
      <xdr:colOff>552450</xdr:colOff>
      <xdr:row>13</xdr:row>
      <xdr:rowOff>85725</xdr:rowOff>
    </xdr:from>
    <xdr:to>
      <xdr:col>14</xdr:col>
      <xdr:colOff>209549</xdr:colOff>
      <xdr:row>20</xdr:row>
      <xdr:rowOff>219074</xdr:rowOff>
    </xdr:to>
    <xdr:pic>
      <xdr:nvPicPr>
        <xdr:cNvPr id="3" name="Picture 2">
          <a:extLst>
            <a:ext uri="{FF2B5EF4-FFF2-40B4-BE49-F238E27FC236}">
              <a16:creationId xmlns:a16="http://schemas.microsoft.com/office/drawing/2014/main" id="{06E03352-5697-42D8-96B6-9D15A1B1792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15550" y="3114675"/>
          <a:ext cx="3314699" cy="17525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523874</xdr:colOff>
      <xdr:row>22</xdr:row>
      <xdr:rowOff>57151</xdr:rowOff>
    </xdr:from>
    <xdr:ext cx="3305175" cy="1724024"/>
    <xdr:pic>
      <xdr:nvPicPr>
        <xdr:cNvPr id="4" name="Picture 3">
          <a:extLst>
            <a:ext uri="{FF2B5EF4-FFF2-40B4-BE49-F238E27FC236}">
              <a16:creationId xmlns:a16="http://schemas.microsoft.com/office/drawing/2014/main" id="{402D947D-D0A2-46EA-B71D-B045A0ACCDE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086974" y="5429251"/>
          <a:ext cx="3305175" cy="17240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20.xml><?xml version="1.0" encoding="utf-8"?>
<xdr:wsDr xmlns:xdr="http://schemas.openxmlformats.org/drawingml/2006/spreadsheetDrawing" xmlns:a="http://schemas.openxmlformats.org/drawingml/2006/main">
  <xdr:twoCellAnchor editAs="oneCell">
    <xdr:from>
      <xdr:col>8</xdr:col>
      <xdr:colOff>552450</xdr:colOff>
      <xdr:row>2</xdr:row>
      <xdr:rowOff>114300</xdr:rowOff>
    </xdr:from>
    <xdr:to>
      <xdr:col>14</xdr:col>
      <xdr:colOff>101600</xdr:colOff>
      <xdr:row>10</xdr:row>
      <xdr:rowOff>177800</xdr:rowOff>
    </xdr:to>
    <xdr:pic>
      <xdr:nvPicPr>
        <xdr:cNvPr id="2" name="Picture 1">
          <a:extLst>
            <a:ext uri="{FF2B5EF4-FFF2-40B4-BE49-F238E27FC236}">
              <a16:creationId xmlns:a16="http://schemas.microsoft.com/office/drawing/2014/main" id="{C5FF6343-1F1E-478B-A1D5-71BE672B5324}"/>
            </a:ext>
          </a:extLst>
        </xdr:cNvPr>
        <xdr:cNvPicPr>
          <a:picLocks noChangeAspect="1"/>
        </xdr:cNvPicPr>
      </xdr:nvPicPr>
      <xdr:blipFill>
        <a:blip xmlns:r="http://schemas.openxmlformats.org/officeDocument/2006/relationships" r:embed="rId1"/>
        <a:stretch>
          <a:fillRect/>
        </a:stretch>
      </xdr:blipFill>
      <xdr:spPr>
        <a:xfrm>
          <a:off x="10115550" y="552450"/>
          <a:ext cx="3206750" cy="2025650"/>
        </a:xfrm>
        <a:prstGeom prst="rect">
          <a:avLst/>
        </a:prstGeom>
      </xdr:spPr>
    </xdr:pic>
    <xdr:clientData/>
  </xdr:twoCellAnchor>
  <xdr:twoCellAnchor editAs="oneCell">
    <xdr:from>
      <xdr:col>8</xdr:col>
      <xdr:colOff>542925</xdr:colOff>
      <xdr:row>14</xdr:row>
      <xdr:rowOff>22226</xdr:rowOff>
    </xdr:from>
    <xdr:to>
      <xdr:col>14</xdr:col>
      <xdr:colOff>104775</xdr:colOff>
      <xdr:row>20</xdr:row>
      <xdr:rowOff>171451</xdr:rowOff>
    </xdr:to>
    <xdr:pic>
      <xdr:nvPicPr>
        <xdr:cNvPr id="3" name="Picture 2">
          <a:extLst>
            <a:ext uri="{FF2B5EF4-FFF2-40B4-BE49-F238E27FC236}">
              <a16:creationId xmlns:a16="http://schemas.microsoft.com/office/drawing/2014/main" id="{B10D3F39-7785-4EC6-B98C-147291BAB8C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06025" y="3413126"/>
          <a:ext cx="3352800" cy="1711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581025</xdr:colOff>
      <xdr:row>24</xdr:row>
      <xdr:rowOff>57150</xdr:rowOff>
    </xdr:from>
    <xdr:ext cx="3419475" cy="1771650"/>
    <xdr:pic>
      <xdr:nvPicPr>
        <xdr:cNvPr id="4" name="Picture 3">
          <a:extLst>
            <a:ext uri="{FF2B5EF4-FFF2-40B4-BE49-F238E27FC236}">
              <a16:creationId xmlns:a16="http://schemas.microsoft.com/office/drawing/2014/main" id="{5343F3C4-9CCC-4E9C-BAC8-C4D6239913E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44125" y="5848350"/>
          <a:ext cx="3419475" cy="1771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21.xml><?xml version="1.0" encoding="utf-8"?>
<xdr:wsDr xmlns:xdr="http://schemas.openxmlformats.org/drawingml/2006/spreadsheetDrawing" xmlns:a="http://schemas.openxmlformats.org/drawingml/2006/main">
  <xdr:twoCellAnchor editAs="oneCell">
    <xdr:from>
      <xdr:col>8</xdr:col>
      <xdr:colOff>542925</xdr:colOff>
      <xdr:row>2</xdr:row>
      <xdr:rowOff>76201</xdr:rowOff>
    </xdr:from>
    <xdr:to>
      <xdr:col>14</xdr:col>
      <xdr:colOff>104775</xdr:colOff>
      <xdr:row>10</xdr:row>
      <xdr:rowOff>130176</xdr:rowOff>
    </xdr:to>
    <xdr:pic>
      <xdr:nvPicPr>
        <xdr:cNvPr id="2" name="Picture 1">
          <a:extLst>
            <a:ext uri="{FF2B5EF4-FFF2-40B4-BE49-F238E27FC236}">
              <a16:creationId xmlns:a16="http://schemas.microsoft.com/office/drawing/2014/main" id="{D97D7A7B-5F16-46E6-8152-C7F31AD59083}"/>
            </a:ext>
          </a:extLst>
        </xdr:cNvPr>
        <xdr:cNvPicPr>
          <a:picLocks noChangeAspect="1"/>
        </xdr:cNvPicPr>
      </xdr:nvPicPr>
      <xdr:blipFill>
        <a:blip xmlns:r="http://schemas.openxmlformats.org/officeDocument/2006/relationships" r:embed="rId1"/>
        <a:stretch>
          <a:fillRect/>
        </a:stretch>
      </xdr:blipFill>
      <xdr:spPr>
        <a:xfrm>
          <a:off x="10106025" y="514351"/>
          <a:ext cx="3219450" cy="2016125"/>
        </a:xfrm>
        <a:prstGeom prst="rect">
          <a:avLst/>
        </a:prstGeom>
      </xdr:spPr>
    </xdr:pic>
    <xdr:clientData/>
  </xdr:twoCellAnchor>
  <xdr:twoCellAnchor editAs="oneCell">
    <xdr:from>
      <xdr:col>8</xdr:col>
      <xdr:colOff>542925</xdr:colOff>
      <xdr:row>13</xdr:row>
      <xdr:rowOff>66675</xdr:rowOff>
    </xdr:from>
    <xdr:to>
      <xdr:col>14</xdr:col>
      <xdr:colOff>190500</xdr:colOff>
      <xdr:row>19</xdr:row>
      <xdr:rowOff>66675</xdr:rowOff>
    </xdr:to>
    <xdr:pic>
      <xdr:nvPicPr>
        <xdr:cNvPr id="3" name="Picture 2">
          <a:extLst>
            <a:ext uri="{FF2B5EF4-FFF2-40B4-BE49-F238E27FC236}">
              <a16:creationId xmlns:a16="http://schemas.microsoft.com/office/drawing/2014/main" id="{A8A62B06-3B11-4969-A001-2A0E3FD312C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06025" y="3248025"/>
          <a:ext cx="3305175" cy="1714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8</xdr:col>
      <xdr:colOff>600075</xdr:colOff>
      <xdr:row>2</xdr:row>
      <xdr:rowOff>66675</xdr:rowOff>
    </xdr:from>
    <xdr:to>
      <xdr:col>14</xdr:col>
      <xdr:colOff>200025</xdr:colOff>
      <xdr:row>10</xdr:row>
      <xdr:rowOff>76200</xdr:rowOff>
    </xdr:to>
    <xdr:pic>
      <xdr:nvPicPr>
        <xdr:cNvPr id="2" name="Picture 1">
          <a:extLst>
            <a:ext uri="{FF2B5EF4-FFF2-40B4-BE49-F238E27FC236}">
              <a16:creationId xmlns:a16="http://schemas.microsoft.com/office/drawing/2014/main" id="{EDFF17A4-B19B-43CD-A92B-DD6BB64899B3}"/>
            </a:ext>
          </a:extLst>
        </xdr:cNvPr>
        <xdr:cNvPicPr>
          <a:picLocks noChangeAspect="1"/>
        </xdr:cNvPicPr>
      </xdr:nvPicPr>
      <xdr:blipFill>
        <a:blip xmlns:r="http://schemas.openxmlformats.org/officeDocument/2006/relationships" r:embed="rId1"/>
        <a:stretch>
          <a:fillRect/>
        </a:stretch>
      </xdr:blipFill>
      <xdr:spPr>
        <a:xfrm>
          <a:off x="10163175" y="504825"/>
          <a:ext cx="3257550" cy="1971675"/>
        </a:xfrm>
        <a:prstGeom prst="rect">
          <a:avLst/>
        </a:prstGeom>
      </xdr:spPr>
    </xdr:pic>
    <xdr:clientData/>
  </xdr:twoCellAnchor>
  <xdr:twoCellAnchor editAs="oneCell">
    <xdr:from>
      <xdr:col>8</xdr:col>
      <xdr:colOff>476250</xdr:colOff>
      <xdr:row>12</xdr:row>
      <xdr:rowOff>38100</xdr:rowOff>
    </xdr:from>
    <xdr:to>
      <xdr:col>14</xdr:col>
      <xdr:colOff>123825</xdr:colOff>
      <xdr:row>19</xdr:row>
      <xdr:rowOff>111125</xdr:rowOff>
    </xdr:to>
    <xdr:pic>
      <xdr:nvPicPr>
        <xdr:cNvPr id="3" name="Picture 2">
          <a:extLst>
            <a:ext uri="{FF2B5EF4-FFF2-40B4-BE49-F238E27FC236}">
              <a16:creationId xmlns:a16="http://schemas.microsoft.com/office/drawing/2014/main" id="{B0DD63E2-65B5-4F3A-A2D7-307F41AE912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039350" y="2857500"/>
          <a:ext cx="3305175" cy="1692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447675</xdr:colOff>
      <xdr:row>22</xdr:row>
      <xdr:rowOff>1</xdr:rowOff>
    </xdr:from>
    <xdr:ext cx="3343275" cy="1771650"/>
    <xdr:pic>
      <xdr:nvPicPr>
        <xdr:cNvPr id="4" name="Picture 3">
          <a:extLst>
            <a:ext uri="{FF2B5EF4-FFF2-40B4-BE49-F238E27FC236}">
              <a16:creationId xmlns:a16="http://schemas.microsoft.com/office/drawing/2014/main" id="{96101667-DC27-4317-8A2C-BCFED345F76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010775" y="5219701"/>
          <a:ext cx="3343275" cy="1771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23.xml><?xml version="1.0" encoding="utf-8"?>
<xdr:wsDr xmlns:xdr="http://schemas.openxmlformats.org/drawingml/2006/spreadsheetDrawing" xmlns:a="http://schemas.openxmlformats.org/drawingml/2006/main">
  <xdr:twoCellAnchor editAs="oneCell">
    <xdr:from>
      <xdr:col>9</xdr:col>
      <xdr:colOff>0</xdr:colOff>
      <xdr:row>2</xdr:row>
      <xdr:rowOff>104775</xdr:rowOff>
    </xdr:from>
    <xdr:to>
      <xdr:col>14</xdr:col>
      <xdr:colOff>180975</xdr:colOff>
      <xdr:row>11</xdr:row>
      <xdr:rowOff>0</xdr:rowOff>
    </xdr:to>
    <xdr:pic>
      <xdr:nvPicPr>
        <xdr:cNvPr id="2" name="Picture 1">
          <a:extLst>
            <a:ext uri="{FF2B5EF4-FFF2-40B4-BE49-F238E27FC236}">
              <a16:creationId xmlns:a16="http://schemas.microsoft.com/office/drawing/2014/main" id="{3A04C3AA-CBF5-4214-9E8E-54D65A436577}"/>
            </a:ext>
          </a:extLst>
        </xdr:cNvPr>
        <xdr:cNvPicPr>
          <a:picLocks noChangeAspect="1"/>
        </xdr:cNvPicPr>
      </xdr:nvPicPr>
      <xdr:blipFill>
        <a:blip xmlns:r="http://schemas.openxmlformats.org/officeDocument/2006/relationships" r:embed="rId1"/>
        <a:stretch>
          <a:fillRect/>
        </a:stretch>
      </xdr:blipFill>
      <xdr:spPr>
        <a:xfrm>
          <a:off x="10172700" y="542925"/>
          <a:ext cx="3228975" cy="2066925"/>
        </a:xfrm>
        <a:prstGeom prst="rect">
          <a:avLst/>
        </a:prstGeom>
      </xdr:spPr>
    </xdr:pic>
    <xdr:clientData/>
  </xdr:twoCellAnchor>
  <xdr:twoCellAnchor editAs="oneCell">
    <xdr:from>
      <xdr:col>8</xdr:col>
      <xdr:colOff>561974</xdr:colOff>
      <xdr:row>14</xdr:row>
      <xdr:rowOff>47626</xdr:rowOff>
    </xdr:from>
    <xdr:to>
      <xdr:col>14</xdr:col>
      <xdr:colOff>190499</xdr:colOff>
      <xdr:row>22</xdr:row>
      <xdr:rowOff>85726</xdr:rowOff>
    </xdr:to>
    <xdr:pic>
      <xdr:nvPicPr>
        <xdr:cNvPr id="3" name="Picture 2">
          <a:extLst>
            <a:ext uri="{FF2B5EF4-FFF2-40B4-BE49-F238E27FC236}">
              <a16:creationId xmlns:a16="http://schemas.microsoft.com/office/drawing/2014/main" id="{5A8FB30F-3DE2-4FCD-A97E-415737BB904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25074" y="3286126"/>
          <a:ext cx="3286125" cy="1714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8</xdr:col>
      <xdr:colOff>600075</xdr:colOff>
      <xdr:row>2</xdr:row>
      <xdr:rowOff>133350</xdr:rowOff>
    </xdr:from>
    <xdr:to>
      <xdr:col>14</xdr:col>
      <xdr:colOff>28575</xdr:colOff>
      <xdr:row>10</xdr:row>
      <xdr:rowOff>156997</xdr:rowOff>
    </xdr:to>
    <xdr:pic>
      <xdr:nvPicPr>
        <xdr:cNvPr id="2" name="Picture 1">
          <a:extLst>
            <a:ext uri="{FF2B5EF4-FFF2-40B4-BE49-F238E27FC236}">
              <a16:creationId xmlns:a16="http://schemas.microsoft.com/office/drawing/2014/main" id="{83F45AE4-3AC0-4B94-85D1-9F6E3E7142DA}"/>
            </a:ext>
          </a:extLst>
        </xdr:cNvPr>
        <xdr:cNvPicPr>
          <a:picLocks noChangeAspect="1"/>
        </xdr:cNvPicPr>
      </xdr:nvPicPr>
      <xdr:blipFill>
        <a:blip xmlns:r="http://schemas.openxmlformats.org/officeDocument/2006/relationships" r:embed="rId1"/>
        <a:stretch>
          <a:fillRect/>
        </a:stretch>
      </xdr:blipFill>
      <xdr:spPr>
        <a:xfrm>
          <a:off x="10163175" y="571500"/>
          <a:ext cx="3086100" cy="1985797"/>
        </a:xfrm>
        <a:prstGeom prst="rect">
          <a:avLst/>
        </a:prstGeom>
      </xdr:spPr>
    </xdr:pic>
    <xdr:clientData/>
  </xdr:twoCellAnchor>
  <xdr:twoCellAnchor editAs="oneCell">
    <xdr:from>
      <xdr:col>8</xdr:col>
      <xdr:colOff>609599</xdr:colOff>
      <xdr:row>13</xdr:row>
      <xdr:rowOff>123826</xdr:rowOff>
    </xdr:from>
    <xdr:to>
      <xdr:col>14</xdr:col>
      <xdr:colOff>85724</xdr:colOff>
      <xdr:row>20</xdr:row>
      <xdr:rowOff>142875</xdr:rowOff>
    </xdr:to>
    <xdr:pic>
      <xdr:nvPicPr>
        <xdr:cNvPr id="3" name="Picture 2">
          <a:extLst>
            <a:ext uri="{FF2B5EF4-FFF2-40B4-BE49-F238E27FC236}">
              <a16:creationId xmlns:a16="http://schemas.microsoft.com/office/drawing/2014/main" id="{ADF3CB51-918D-45FF-9E18-F95B68C8AC5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699" y="3152776"/>
          <a:ext cx="3133725" cy="16382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581026</xdr:colOff>
      <xdr:row>25</xdr:row>
      <xdr:rowOff>161925</xdr:rowOff>
    </xdr:from>
    <xdr:ext cx="3238499" cy="1695450"/>
    <xdr:pic>
      <xdr:nvPicPr>
        <xdr:cNvPr id="4" name="Picture 3">
          <a:extLst>
            <a:ext uri="{FF2B5EF4-FFF2-40B4-BE49-F238E27FC236}">
              <a16:creationId xmlns:a16="http://schemas.microsoft.com/office/drawing/2014/main" id="{9FC06734-D283-4EBD-B57A-F6987C97B2B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44126" y="5857875"/>
          <a:ext cx="3238499" cy="1695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25.xml><?xml version="1.0" encoding="utf-8"?>
<xdr:wsDr xmlns:xdr="http://schemas.openxmlformats.org/drawingml/2006/spreadsheetDrawing" xmlns:a="http://schemas.openxmlformats.org/drawingml/2006/main">
  <xdr:twoCellAnchor editAs="oneCell">
    <xdr:from>
      <xdr:col>9</xdr:col>
      <xdr:colOff>0</xdr:colOff>
      <xdr:row>2</xdr:row>
      <xdr:rowOff>171450</xdr:rowOff>
    </xdr:from>
    <xdr:to>
      <xdr:col>14</xdr:col>
      <xdr:colOff>235942</xdr:colOff>
      <xdr:row>11</xdr:row>
      <xdr:rowOff>25400</xdr:rowOff>
    </xdr:to>
    <xdr:pic>
      <xdr:nvPicPr>
        <xdr:cNvPr id="2" name="Picture 1">
          <a:extLst>
            <a:ext uri="{FF2B5EF4-FFF2-40B4-BE49-F238E27FC236}">
              <a16:creationId xmlns:a16="http://schemas.microsoft.com/office/drawing/2014/main" id="{C269B26D-980D-4F2C-8112-AD5CF17EA31A}"/>
            </a:ext>
          </a:extLst>
        </xdr:cNvPr>
        <xdr:cNvPicPr>
          <a:picLocks noChangeAspect="1"/>
        </xdr:cNvPicPr>
      </xdr:nvPicPr>
      <xdr:blipFill>
        <a:blip xmlns:r="http://schemas.openxmlformats.org/officeDocument/2006/relationships" r:embed="rId1"/>
        <a:stretch>
          <a:fillRect/>
        </a:stretch>
      </xdr:blipFill>
      <xdr:spPr>
        <a:xfrm>
          <a:off x="10172700" y="609600"/>
          <a:ext cx="3283942" cy="2025650"/>
        </a:xfrm>
        <a:prstGeom prst="rect">
          <a:avLst/>
        </a:prstGeom>
      </xdr:spPr>
    </xdr:pic>
    <xdr:clientData/>
  </xdr:twoCellAnchor>
  <xdr:twoCellAnchor editAs="oneCell">
    <xdr:from>
      <xdr:col>8</xdr:col>
      <xdr:colOff>590550</xdr:colOff>
      <xdr:row>13</xdr:row>
      <xdr:rowOff>180976</xdr:rowOff>
    </xdr:from>
    <xdr:to>
      <xdr:col>14</xdr:col>
      <xdr:colOff>200025</xdr:colOff>
      <xdr:row>21</xdr:row>
      <xdr:rowOff>53976</xdr:rowOff>
    </xdr:to>
    <xdr:pic>
      <xdr:nvPicPr>
        <xdr:cNvPr id="3" name="Picture 2">
          <a:extLst>
            <a:ext uri="{FF2B5EF4-FFF2-40B4-BE49-F238E27FC236}">
              <a16:creationId xmlns:a16="http://schemas.microsoft.com/office/drawing/2014/main" id="{0D372F9E-0621-4A57-88F8-7D32F4960D9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53650" y="3209926"/>
          <a:ext cx="3267075" cy="1701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542925</xdr:colOff>
      <xdr:row>23</xdr:row>
      <xdr:rowOff>161926</xdr:rowOff>
    </xdr:from>
    <xdr:ext cx="3390900" cy="1724024"/>
    <xdr:pic>
      <xdr:nvPicPr>
        <xdr:cNvPr id="4" name="Picture 3">
          <a:extLst>
            <a:ext uri="{FF2B5EF4-FFF2-40B4-BE49-F238E27FC236}">
              <a16:creationId xmlns:a16="http://schemas.microsoft.com/office/drawing/2014/main" id="{A363684F-87F9-4227-A12A-8741330C235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06025" y="6048376"/>
          <a:ext cx="3390900" cy="17240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26.xml><?xml version="1.0" encoding="utf-8"?>
<xdr:wsDr xmlns:xdr="http://schemas.openxmlformats.org/drawingml/2006/spreadsheetDrawing" xmlns:a="http://schemas.openxmlformats.org/drawingml/2006/main">
  <xdr:twoCellAnchor editAs="oneCell">
    <xdr:from>
      <xdr:col>8</xdr:col>
      <xdr:colOff>488951</xdr:colOff>
      <xdr:row>13</xdr:row>
      <xdr:rowOff>88901</xdr:rowOff>
    </xdr:from>
    <xdr:to>
      <xdr:col>14</xdr:col>
      <xdr:colOff>50801</xdr:colOff>
      <xdr:row>20</xdr:row>
      <xdr:rowOff>177801</xdr:rowOff>
    </xdr:to>
    <xdr:pic>
      <xdr:nvPicPr>
        <xdr:cNvPr id="2" name="Picture 1">
          <a:extLst>
            <a:ext uri="{FF2B5EF4-FFF2-40B4-BE49-F238E27FC236}">
              <a16:creationId xmlns:a16="http://schemas.microsoft.com/office/drawing/2014/main" id="{B0F7E25C-5018-4780-87DA-DF10D3330E0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052051" y="3117851"/>
          <a:ext cx="3219450" cy="1708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485775</xdr:colOff>
      <xdr:row>23</xdr:row>
      <xdr:rowOff>111125</xdr:rowOff>
    </xdr:from>
    <xdr:ext cx="3273721" cy="1762125"/>
    <xdr:pic>
      <xdr:nvPicPr>
        <xdr:cNvPr id="3" name="Picture 2">
          <a:extLst>
            <a:ext uri="{FF2B5EF4-FFF2-40B4-BE49-F238E27FC236}">
              <a16:creationId xmlns:a16="http://schemas.microsoft.com/office/drawing/2014/main" id="{A9ED3E5D-75AF-412F-AD54-0D0B582DC69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048875" y="5845175"/>
          <a:ext cx="3273721" cy="176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8</xdr:col>
      <xdr:colOff>457200</xdr:colOff>
      <xdr:row>2</xdr:row>
      <xdr:rowOff>200025</xdr:rowOff>
    </xdr:from>
    <xdr:to>
      <xdr:col>14</xdr:col>
      <xdr:colOff>83542</xdr:colOff>
      <xdr:row>11</xdr:row>
      <xdr:rowOff>53975</xdr:rowOff>
    </xdr:to>
    <xdr:pic>
      <xdr:nvPicPr>
        <xdr:cNvPr id="4" name="Picture 3">
          <a:extLst>
            <a:ext uri="{FF2B5EF4-FFF2-40B4-BE49-F238E27FC236}">
              <a16:creationId xmlns:a16="http://schemas.microsoft.com/office/drawing/2014/main" id="{83D2C921-60A3-4CBB-94D3-E9D8DCBE3132}"/>
            </a:ext>
          </a:extLst>
        </xdr:cNvPr>
        <xdr:cNvPicPr>
          <a:picLocks noChangeAspect="1"/>
        </xdr:cNvPicPr>
      </xdr:nvPicPr>
      <xdr:blipFill>
        <a:blip xmlns:r="http://schemas.openxmlformats.org/officeDocument/2006/relationships" r:embed="rId2"/>
        <a:stretch>
          <a:fillRect/>
        </a:stretch>
      </xdr:blipFill>
      <xdr:spPr>
        <a:xfrm>
          <a:off x="10020300" y="638175"/>
          <a:ext cx="3283942" cy="202565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8</xdr:col>
      <xdr:colOff>571502</xdr:colOff>
      <xdr:row>13</xdr:row>
      <xdr:rowOff>47623</xdr:rowOff>
    </xdr:from>
    <xdr:to>
      <xdr:col>14</xdr:col>
      <xdr:colOff>200026</xdr:colOff>
      <xdr:row>20</xdr:row>
      <xdr:rowOff>28575</xdr:rowOff>
    </xdr:to>
    <xdr:pic>
      <xdr:nvPicPr>
        <xdr:cNvPr id="2" name="Picture 1">
          <a:extLst>
            <a:ext uri="{FF2B5EF4-FFF2-40B4-BE49-F238E27FC236}">
              <a16:creationId xmlns:a16="http://schemas.microsoft.com/office/drawing/2014/main" id="{CB376B5D-F8D5-476E-BB0E-1E4219B101BA}"/>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134602" y="3076573"/>
          <a:ext cx="3476624" cy="175260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485776</xdr:colOff>
      <xdr:row>22</xdr:row>
      <xdr:rowOff>47624</xdr:rowOff>
    </xdr:from>
    <xdr:to>
      <xdr:col>14</xdr:col>
      <xdr:colOff>180976</xdr:colOff>
      <xdr:row>27</xdr:row>
      <xdr:rowOff>209550</xdr:rowOff>
    </xdr:to>
    <xdr:pic>
      <xdr:nvPicPr>
        <xdr:cNvPr id="3" name="Picture 2">
          <a:extLst>
            <a:ext uri="{FF2B5EF4-FFF2-40B4-BE49-F238E27FC236}">
              <a16:creationId xmlns:a16="http://schemas.microsoft.com/office/drawing/2014/main" id="{32F15BE7-D132-4827-B714-3BCF23D37713}"/>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048876" y="5267324"/>
          <a:ext cx="3543300" cy="18192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600078</xdr:colOff>
      <xdr:row>2</xdr:row>
      <xdr:rowOff>76200</xdr:rowOff>
    </xdr:from>
    <xdr:to>
      <xdr:col>14</xdr:col>
      <xdr:colOff>200025</xdr:colOff>
      <xdr:row>10</xdr:row>
      <xdr:rowOff>180975</xdr:rowOff>
    </xdr:to>
    <xdr:pic>
      <xdr:nvPicPr>
        <xdr:cNvPr id="4" name="Picture 3">
          <a:extLst>
            <a:ext uri="{FF2B5EF4-FFF2-40B4-BE49-F238E27FC236}">
              <a16:creationId xmlns:a16="http://schemas.microsoft.com/office/drawing/2014/main" id="{39FFF09C-81EC-4054-BC27-F3C5C531A249}"/>
            </a:ext>
          </a:extLst>
        </xdr:cNvPr>
        <xdr:cNvPicPr>
          <a:picLocks noChangeAspect="1"/>
        </xdr:cNvPicPr>
      </xdr:nvPicPr>
      <xdr:blipFill>
        <a:blip xmlns:r="http://schemas.openxmlformats.org/officeDocument/2006/relationships" r:embed="rId2"/>
        <a:stretch>
          <a:fillRect/>
        </a:stretch>
      </xdr:blipFill>
      <xdr:spPr>
        <a:xfrm>
          <a:off x="10163178" y="514350"/>
          <a:ext cx="3448047" cy="2066925"/>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8</xdr:col>
      <xdr:colOff>609599</xdr:colOff>
      <xdr:row>2</xdr:row>
      <xdr:rowOff>114300</xdr:rowOff>
    </xdr:from>
    <xdr:to>
      <xdr:col>14</xdr:col>
      <xdr:colOff>219074</xdr:colOff>
      <xdr:row>10</xdr:row>
      <xdr:rowOff>168275</xdr:rowOff>
    </xdr:to>
    <xdr:pic>
      <xdr:nvPicPr>
        <xdr:cNvPr id="2" name="Picture 1">
          <a:extLst>
            <a:ext uri="{FF2B5EF4-FFF2-40B4-BE49-F238E27FC236}">
              <a16:creationId xmlns:a16="http://schemas.microsoft.com/office/drawing/2014/main" id="{23050F9B-4374-4BA8-A2B8-DE1B3F440EB8}"/>
            </a:ext>
          </a:extLst>
        </xdr:cNvPr>
        <xdr:cNvPicPr>
          <a:picLocks noChangeAspect="1"/>
        </xdr:cNvPicPr>
      </xdr:nvPicPr>
      <xdr:blipFill>
        <a:blip xmlns:r="http://schemas.openxmlformats.org/officeDocument/2006/relationships" r:embed="rId1"/>
        <a:stretch>
          <a:fillRect/>
        </a:stretch>
      </xdr:blipFill>
      <xdr:spPr>
        <a:xfrm>
          <a:off x="10172699" y="552450"/>
          <a:ext cx="3267075" cy="2016125"/>
        </a:xfrm>
        <a:prstGeom prst="rect">
          <a:avLst/>
        </a:prstGeom>
      </xdr:spPr>
    </xdr:pic>
    <xdr:clientData/>
  </xdr:twoCellAnchor>
  <xdr:twoCellAnchor editAs="oneCell">
    <xdr:from>
      <xdr:col>8</xdr:col>
      <xdr:colOff>504824</xdr:colOff>
      <xdr:row>13</xdr:row>
      <xdr:rowOff>104776</xdr:rowOff>
    </xdr:from>
    <xdr:to>
      <xdr:col>14</xdr:col>
      <xdr:colOff>209549</xdr:colOff>
      <xdr:row>21</xdr:row>
      <xdr:rowOff>180975</xdr:rowOff>
    </xdr:to>
    <xdr:pic>
      <xdr:nvPicPr>
        <xdr:cNvPr id="3" name="Picture 2">
          <a:extLst>
            <a:ext uri="{FF2B5EF4-FFF2-40B4-BE49-F238E27FC236}">
              <a16:creationId xmlns:a16="http://schemas.microsoft.com/office/drawing/2014/main" id="{D89FDCB0-1FB1-43B7-B2AA-7B121AA5C2B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067924" y="3133726"/>
          <a:ext cx="3362325" cy="17525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bin"/></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EFD22-2B3B-45CD-BC9F-E6FE68566561}">
  <dimension ref="A1:C29"/>
  <sheetViews>
    <sheetView tabSelected="1" zoomScale="110" zoomScaleNormal="110" workbookViewId="0">
      <pane ySplit="1" topLeftCell="A2" activePane="bottomLeft" state="frozen"/>
      <selection sqref="A1:H1"/>
      <selection pane="bottomLeft"/>
    </sheetView>
  </sheetViews>
  <sheetFormatPr defaultColWidth="9.140625" defaultRowHeight="15" x14ac:dyDescent="0.25"/>
  <cols>
    <col min="1" max="1" width="6" style="35" bestFit="1" customWidth="1"/>
    <col min="2" max="2" width="10.42578125" style="35" bestFit="1" customWidth="1"/>
    <col min="3" max="3" width="56.42578125" style="35" bestFit="1" customWidth="1"/>
    <col min="4" max="16384" width="9.140625" style="35"/>
  </cols>
  <sheetData>
    <row r="1" spans="1:3" x14ac:dyDescent="0.25">
      <c r="A1" s="33" t="s">
        <v>849</v>
      </c>
      <c r="B1" s="34" t="s">
        <v>850</v>
      </c>
      <c r="C1" s="34" t="s">
        <v>851</v>
      </c>
    </row>
    <row r="2" spans="1:3" x14ac:dyDescent="0.25">
      <c r="A2" s="36">
        <v>1</v>
      </c>
      <c r="B2" s="37" t="s">
        <v>852</v>
      </c>
      <c r="C2" s="38" t="s">
        <v>1</v>
      </c>
    </row>
    <row r="3" spans="1:3" x14ac:dyDescent="0.25">
      <c r="A3" s="36">
        <v>2</v>
      </c>
      <c r="B3" s="37" t="s">
        <v>853</v>
      </c>
      <c r="C3" s="38" t="s">
        <v>846</v>
      </c>
    </row>
    <row r="4" spans="1:3" x14ac:dyDescent="0.25">
      <c r="A4" s="36">
        <v>3</v>
      </c>
      <c r="B4" s="37" t="s">
        <v>854</v>
      </c>
      <c r="C4" s="38" t="s">
        <v>190</v>
      </c>
    </row>
    <row r="5" spans="1:3" x14ac:dyDescent="0.25">
      <c r="A5" s="36">
        <v>4</v>
      </c>
      <c r="B5" s="37" t="s">
        <v>855</v>
      </c>
      <c r="C5" s="38" t="s">
        <v>856</v>
      </c>
    </row>
    <row r="6" spans="1:3" x14ac:dyDescent="0.25">
      <c r="A6" s="36">
        <v>5</v>
      </c>
      <c r="B6" s="37" t="s">
        <v>857</v>
      </c>
      <c r="C6" s="38" t="s">
        <v>858</v>
      </c>
    </row>
    <row r="7" spans="1:3" x14ac:dyDescent="0.25">
      <c r="A7" s="36">
        <v>6</v>
      </c>
      <c r="B7" s="37" t="s">
        <v>859</v>
      </c>
      <c r="C7" s="38" t="s">
        <v>860</v>
      </c>
    </row>
    <row r="8" spans="1:3" x14ac:dyDescent="0.25">
      <c r="A8" s="36">
        <v>7</v>
      </c>
      <c r="B8" s="37" t="s">
        <v>861</v>
      </c>
      <c r="C8" s="38" t="s">
        <v>862</v>
      </c>
    </row>
    <row r="9" spans="1:3" x14ac:dyDescent="0.25">
      <c r="A9" s="36">
        <v>8</v>
      </c>
      <c r="B9" s="37" t="s">
        <v>863</v>
      </c>
      <c r="C9" s="38" t="s">
        <v>864</v>
      </c>
    </row>
    <row r="10" spans="1:3" x14ac:dyDescent="0.25">
      <c r="A10" s="36">
        <v>9</v>
      </c>
      <c r="B10" s="37" t="s">
        <v>865</v>
      </c>
      <c r="C10" s="38" t="s">
        <v>479</v>
      </c>
    </row>
    <row r="11" spans="1:3" x14ac:dyDescent="0.25">
      <c r="A11" s="36">
        <v>10</v>
      </c>
      <c r="B11" s="37" t="s">
        <v>866</v>
      </c>
      <c r="C11" s="38" t="s">
        <v>493</v>
      </c>
    </row>
    <row r="12" spans="1:3" x14ac:dyDescent="0.25">
      <c r="A12" s="36">
        <v>11</v>
      </c>
      <c r="B12" s="37" t="s">
        <v>867</v>
      </c>
      <c r="C12" s="38" t="s">
        <v>494</v>
      </c>
    </row>
    <row r="13" spans="1:3" x14ac:dyDescent="0.25">
      <c r="A13" s="36">
        <v>12</v>
      </c>
      <c r="B13" s="37" t="s">
        <v>868</v>
      </c>
      <c r="C13" s="38" t="s">
        <v>495</v>
      </c>
    </row>
    <row r="14" spans="1:3" x14ac:dyDescent="0.25">
      <c r="A14" s="36">
        <v>13</v>
      </c>
      <c r="B14" s="37" t="s">
        <v>869</v>
      </c>
      <c r="C14" s="38" t="s">
        <v>496</v>
      </c>
    </row>
    <row r="15" spans="1:3" x14ac:dyDescent="0.25">
      <c r="A15" s="36">
        <v>14</v>
      </c>
      <c r="B15" s="37" t="s">
        <v>870</v>
      </c>
      <c r="C15" s="38" t="s">
        <v>552</v>
      </c>
    </row>
    <row r="16" spans="1:3" x14ac:dyDescent="0.25">
      <c r="A16" s="36">
        <v>15</v>
      </c>
      <c r="B16" s="37" t="s">
        <v>871</v>
      </c>
      <c r="C16" s="38" t="s">
        <v>872</v>
      </c>
    </row>
    <row r="17" spans="1:3" x14ac:dyDescent="0.25">
      <c r="A17" s="36">
        <v>16</v>
      </c>
      <c r="B17" s="37" t="s">
        <v>873</v>
      </c>
      <c r="C17" s="38" t="s">
        <v>692</v>
      </c>
    </row>
    <row r="18" spans="1:3" x14ac:dyDescent="0.25">
      <c r="A18" s="36">
        <v>17</v>
      </c>
      <c r="B18" s="37" t="s">
        <v>874</v>
      </c>
      <c r="C18" s="38" t="s">
        <v>702</v>
      </c>
    </row>
    <row r="19" spans="1:3" x14ac:dyDescent="0.25">
      <c r="A19" s="36">
        <v>18</v>
      </c>
      <c r="B19" s="37" t="s">
        <v>875</v>
      </c>
      <c r="C19" s="38" t="s">
        <v>725</v>
      </c>
    </row>
    <row r="20" spans="1:3" x14ac:dyDescent="0.25">
      <c r="A20" s="36">
        <v>19</v>
      </c>
      <c r="B20" s="37" t="s">
        <v>876</v>
      </c>
      <c r="C20" s="38" t="s">
        <v>877</v>
      </c>
    </row>
    <row r="21" spans="1:3" x14ac:dyDescent="0.25">
      <c r="A21" s="36">
        <v>20</v>
      </c>
      <c r="B21" s="37" t="s">
        <v>878</v>
      </c>
      <c r="C21" s="38" t="s">
        <v>747</v>
      </c>
    </row>
    <row r="22" spans="1:3" x14ac:dyDescent="0.25">
      <c r="A22" s="36">
        <v>21</v>
      </c>
      <c r="B22" s="37" t="s">
        <v>879</v>
      </c>
      <c r="C22" s="38" t="s">
        <v>880</v>
      </c>
    </row>
    <row r="23" spans="1:3" x14ac:dyDescent="0.25">
      <c r="A23" s="36">
        <v>22</v>
      </c>
      <c r="B23" s="37" t="s">
        <v>881</v>
      </c>
      <c r="C23" s="38" t="s">
        <v>819</v>
      </c>
    </row>
    <row r="24" spans="1:3" x14ac:dyDescent="0.25">
      <c r="A24" s="36">
        <v>23</v>
      </c>
      <c r="B24" s="37" t="s">
        <v>882</v>
      </c>
      <c r="C24" s="38" t="s">
        <v>828</v>
      </c>
    </row>
    <row r="25" spans="1:3" x14ac:dyDescent="0.25">
      <c r="A25" s="36">
        <v>24</v>
      </c>
      <c r="B25" s="37" t="s">
        <v>883</v>
      </c>
      <c r="C25" s="38" t="s">
        <v>835</v>
      </c>
    </row>
    <row r="26" spans="1:3" x14ac:dyDescent="0.25">
      <c r="A26" s="36">
        <v>25</v>
      </c>
      <c r="B26" s="37" t="s">
        <v>884</v>
      </c>
      <c r="C26" s="38" t="s">
        <v>839</v>
      </c>
    </row>
    <row r="27" spans="1:3" x14ac:dyDescent="0.25">
      <c r="A27" s="36">
        <v>26</v>
      </c>
      <c r="B27" s="37" t="s">
        <v>885</v>
      </c>
      <c r="C27" s="38" t="s">
        <v>840</v>
      </c>
    </row>
    <row r="28" spans="1:3" x14ac:dyDescent="0.25">
      <c r="A28" s="36">
        <v>27</v>
      </c>
      <c r="B28" s="37" t="s">
        <v>886</v>
      </c>
      <c r="C28" s="38" t="s">
        <v>841</v>
      </c>
    </row>
    <row r="29" spans="1:3" x14ac:dyDescent="0.25">
      <c r="A29" s="36">
        <v>28</v>
      </c>
      <c r="B29" s="37" t="s">
        <v>887</v>
      </c>
      <c r="C29" s="38" t="s">
        <v>844</v>
      </c>
    </row>
  </sheetData>
  <hyperlinks>
    <hyperlink ref="B4" location="MIDCAP!A1" display="MIDCAP" xr:uid="{F1F07A84-8F6D-4F06-BB11-D0193B68CB64}"/>
    <hyperlink ref="B5" location="MULTIP!A1" display="MULTIP" xr:uid="{EE190C5D-C8F8-4D94-8EE0-216CA579E854}"/>
    <hyperlink ref="B6" location="SLTADV3!A1" display="SLTADV3" xr:uid="{15F5D4D3-5759-412F-9384-5D521D8BC437}"/>
    <hyperlink ref="B7" location="SLTADV4!A1" display="SLTADV4" xr:uid="{F53AA65B-0455-490A-AD53-1AAFFE3763B8}"/>
    <hyperlink ref="B8" location="SLTAX1!A1" display="SLTAX1" xr:uid="{0FA38557-311A-4078-B373-8557D0D8CB20}"/>
    <hyperlink ref="B9" location="SLTAX2!A1" display="SLTAX2" xr:uid="{50828A12-E2EA-4670-9543-1F98A288F914}"/>
    <hyperlink ref="B10" location="SLTAX3!A1" display="SLTAX3" xr:uid="{08ED5559-73F7-4013-B8B3-F8FE4E7DCE43}"/>
    <hyperlink ref="B11" location="SLTAX4!A1" display="SLTAX4" xr:uid="{665EB7C0-BB50-40AC-B901-1D8C4617C923}"/>
    <hyperlink ref="B12" location="SLTAX5!A1" display="SLTAX5" xr:uid="{54B14881-EF92-4E60-9A71-F5E13A67AB18}"/>
    <hyperlink ref="B13" location="SLTAX6!A1" display="SLTAX6" xr:uid="{6A5FCAFE-B480-4D3D-9F70-5B462ED926EB}"/>
    <hyperlink ref="B14" location="SMILE!A1" display="SMILE" xr:uid="{1152955B-4F77-4960-B9BF-C81F582C0875}"/>
    <hyperlink ref="B15" location="SPAHF!A1" display="SPAHF" xr:uid="{AD7B5191-FBB1-4C91-B935-635B631A8C3B}"/>
    <hyperlink ref="B16" location="SPARF!A1" display="SPARF" xr:uid="{3AF75218-F66E-46AB-B9D7-66577D763F86}"/>
    <hyperlink ref="B17" location="SPBAF!A1" display="SPBAF" xr:uid="{60E6E488-5410-4581-A3AB-A78CBBBA6B59}"/>
    <hyperlink ref="B19" location="SPESF!A1" display="SPESF" xr:uid="{0EE5D433-D943-4DF8-844F-0A5ECECD82B9}"/>
    <hyperlink ref="B20" location="SPFOCUS!A1" display="SPFOCUS" xr:uid="{30694479-9A30-4FC4-B785-C8A4F1D34E63}"/>
    <hyperlink ref="B21" location="SPMUCF!A1" display="SPMUCF" xr:uid="{23611FC0-0031-48ED-AF0F-C3BC05E32A9B}"/>
    <hyperlink ref="B22" location="SPSN100!A1" display="SPSN100" xr:uid="{C0831FB0-AFFE-4A03-86C6-4715B4805377}"/>
    <hyperlink ref="B23" location="SPTAX!A1" display="SPTAX" xr:uid="{807504F4-EB35-4D27-A103-A86E1E9C6F47}"/>
    <hyperlink ref="B24" location="SRURAL!A1" display="SRURAL" xr:uid="{21D450F7-FB0F-4B7F-A989-D43664306A57}"/>
    <hyperlink ref="B25" location="SSFUND!A1" display="SSFUND" xr:uid="{8CE4B846-E509-42CC-B378-31409226BF6E}"/>
    <hyperlink ref="B26" location="STAX!A1" display="STAX" xr:uid="{C18E5C8C-B47C-451B-9817-064C2179F2B6}"/>
    <hyperlink ref="B27" location="SUNBCF!A1" display="SUNBCF" xr:uid="{86DF62C2-F95D-4942-8085-9462327FEF1D}"/>
    <hyperlink ref="B29" location="SUNFOP!A1" display="SUNFOP" xr:uid="{7C67059C-9D0A-4F3B-AE9C-B0D13CFA3C64}"/>
    <hyperlink ref="B3" location="GLOB!A1" display="GLOB" xr:uid="{A1949630-2566-4314-B9A7-E1F4EA958B25}"/>
    <hyperlink ref="B28" location="SUNFCF!A1" display="SUNFCF" xr:uid="{FC6C62BE-3D9B-4EC6-B552-41EA8B4C0A41}"/>
    <hyperlink ref="B18" location="SPDYF!A1" display="SPDYF" xr:uid="{C895D2C6-6071-4A70-B2F7-315E23ABD11E}"/>
    <hyperlink ref="B2" location="CAPEXG!A1" display="CAPEXG" xr:uid="{3A62B66A-553F-4939-BE5A-B3AF99E50D8A}"/>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O146"/>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4.7109375" customWidth="1"/>
  </cols>
  <sheetData>
    <row r="1" spans="1:15" ht="18" customHeight="1" x14ac:dyDescent="0.2">
      <c r="A1" s="116" t="s">
        <v>0</v>
      </c>
      <c r="B1" s="116"/>
      <c r="C1" s="116"/>
      <c r="D1" s="116"/>
      <c r="E1" s="116"/>
      <c r="F1" s="116"/>
      <c r="G1" s="116"/>
      <c r="H1" s="116"/>
      <c r="I1" s="98" t="s">
        <v>1053</v>
      </c>
    </row>
    <row r="2" spans="1:15" ht="17.100000000000001" customHeight="1" x14ac:dyDescent="0.2">
      <c r="A2" s="117" t="s">
        <v>1</v>
      </c>
      <c r="B2" s="118"/>
      <c r="C2" s="118"/>
      <c r="D2" s="118"/>
      <c r="E2" s="118"/>
      <c r="F2" s="118"/>
      <c r="G2" s="118"/>
      <c r="H2" s="119"/>
      <c r="J2" s="120" t="s">
        <v>1054</v>
      </c>
      <c r="K2" s="120"/>
      <c r="L2" s="120"/>
      <c r="M2" s="120"/>
      <c r="N2" s="120"/>
    </row>
    <row r="3" spans="1:15" ht="21" customHeight="1" x14ac:dyDescent="0.2">
      <c r="A3" s="116" t="s">
        <v>1049</v>
      </c>
      <c r="B3" s="116"/>
      <c r="C3" s="116"/>
      <c r="D3" s="116"/>
      <c r="E3" s="116"/>
      <c r="F3" s="116"/>
      <c r="G3" s="116"/>
      <c r="H3" s="116"/>
    </row>
    <row r="4" spans="1:15" ht="30" x14ac:dyDescent="0.2">
      <c r="A4" s="96" t="s">
        <v>2</v>
      </c>
      <c r="B4" s="96" t="s">
        <v>3</v>
      </c>
      <c r="C4" s="96" t="s">
        <v>4</v>
      </c>
      <c r="D4" s="96" t="s">
        <v>5</v>
      </c>
      <c r="E4" s="96" t="s">
        <v>6</v>
      </c>
      <c r="F4" s="96" t="s">
        <v>7</v>
      </c>
      <c r="G4" s="96" t="s">
        <v>8</v>
      </c>
      <c r="H4" s="51" t="s">
        <v>1002</v>
      </c>
      <c r="I4" s="99"/>
      <c r="J4" s="100"/>
      <c r="K4" s="100"/>
      <c r="L4" s="100"/>
      <c r="M4" s="100"/>
      <c r="N4" s="100"/>
      <c r="O4" s="100"/>
    </row>
    <row r="5" spans="1:15" ht="14.1" customHeight="1" x14ac:dyDescent="0.2">
      <c r="A5" s="1"/>
      <c r="B5" s="1"/>
      <c r="C5" s="2" t="s">
        <v>9</v>
      </c>
      <c r="D5" s="1"/>
      <c r="E5" s="1"/>
      <c r="F5" s="1"/>
      <c r="G5" s="1"/>
      <c r="H5" s="52"/>
    </row>
    <row r="6" spans="1:15" ht="24" customHeight="1" x14ac:dyDescent="0.2">
      <c r="A6" s="1"/>
      <c r="B6" s="1"/>
      <c r="C6" s="2" t="s">
        <v>10</v>
      </c>
      <c r="D6" s="1"/>
      <c r="E6" s="1"/>
      <c r="F6" s="1"/>
      <c r="G6" s="1"/>
      <c r="H6" s="52"/>
    </row>
    <row r="7" spans="1:15" ht="17.100000000000001" customHeight="1" x14ac:dyDescent="0.2">
      <c r="A7" s="3">
        <v>1</v>
      </c>
      <c r="B7" s="4" t="s">
        <v>11</v>
      </c>
      <c r="C7" s="4" t="s">
        <v>12</v>
      </c>
      <c r="D7" s="4" t="s">
        <v>13</v>
      </c>
      <c r="E7" s="5">
        <v>230480</v>
      </c>
      <c r="F7" s="6">
        <v>6750.8744399999996</v>
      </c>
      <c r="G7" s="7">
        <v>9.5048190000000005E-2</v>
      </c>
      <c r="H7" s="52"/>
    </row>
    <row r="8" spans="1:15" ht="17.100000000000001" customHeight="1" x14ac:dyDescent="0.2">
      <c r="A8" s="3">
        <v>2</v>
      </c>
      <c r="B8" s="4" t="s">
        <v>14</v>
      </c>
      <c r="C8" s="4" t="s">
        <v>15</v>
      </c>
      <c r="D8" s="4" t="s">
        <v>16</v>
      </c>
      <c r="E8" s="5">
        <v>185000</v>
      </c>
      <c r="F8" s="6">
        <v>4232.6149999999998</v>
      </c>
      <c r="G8" s="7">
        <v>5.9592630000000001E-2</v>
      </c>
      <c r="H8" s="52"/>
    </row>
    <row r="9" spans="1:15" ht="17.100000000000001" customHeight="1" x14ac:dyDescent="0.2">
      <c r="A9" s="3">
        <v>3</v>
      </c>
      <c r="B9" s="4" t="s">
        <v>17</v>
      </c>
      <c r="C9" s="4" t="s">
        <v>18</v>
      </c>
      <c r="D9" s="4" t="s">
        <v>19</v>
      </c>
      <c r="E9" s="5">
        <v>454000</v>
      </c>
      <c r="F9" s="6">
        <v>4151.3760000000002</v>
      </c>
      <c r="G9" s="7">
        <v>5.8448840000000002E-2</v>
      </c>
      <c r="H9" s="52"/>
    </row>
    <row r="10" spans="1:15" ht="17.100000000000001" customHeight="1" x14ac:dyDescent="0.2">
      <c r="A10" s="3">
        <v>4</v>
      </c>
      <c r="B10" s="4" t="s">
        <v>20</v>
      </c>
      <c r="C10" s="4" t="s">
        <v>21</v>
      </c>
      <c r="D10" s="4" t="s">
        <v>22</v>
      </c>
      <c r="E10" s="5">
        <v>1740000</v>
      </c>
      <c r="F10" s="6">
        <v>4102.92</v>
      </c>
      <c r="G10" s="7">
        <v>5.7766610000000003E-2</v>
      </c>
      <c r="H10" s="52"/>
    </row>
    <row r="11" spans="1:15" ht="29.1" customHeight="1" x14ac:dyDescent="0.2">
      <c r="A11" s="3">
        <v>5</v>
      </c>
      <c r="B11" s="4" t="s">
        <v>23</v>
      </c>
      <c r="C11" s="4" t="s">
        <v>24</v>
      </c>
      <c r="D11" s="4" t="s">
        <v>25</v>
      </c>
      <c r="E11" s="5">
        <v>39000</v>
      </c>
      <c r="F11" s="6">
        <v>3284.6774999999998</v>
      </c>
      <c r="G11" s="7">
        <v>4.6246250000000003E-2</v>
      </c>
      <c r="H11" s="52"/>
    </row>
    <row r="12" spans="1:15" ht="17.100000000000001" customHeight="1" x14ac:dyDescent="0.2">
      <c r="A12" s="3">
        <v>6</v>
      </c>
      <c r="B12" s="4" t="s">
        <v>26</v>
      </c>
      <c r="C12" s="4" t="s">
        <v>27</v>
      </c>
      <c r="D12" s="4" t="s">
        <v>28</v>
      </c>
      <c r="E12" s="5">
        <v>300000</v>
      </c>
      <c r="F12" s="6">
        <v>2746.05</v>
      </c>
      <c r="G12" s="7">
        <v>3.8662710000000003E-2</v>
      </c>
      <c r="H12" s="52"/>
      <c r="J12" s="101" t="s">
        <v>1055</v>
      </c>
    </row>
    <row r="13" spans="1:15" ht="17.100000000000001" customHeight="1" x14ac:dyDescent="0.2">
      <c r="A13" s="3">
        <v>7</v>
      </c>
      <c r="B13" s="4" t="s">
        <v>29</v>
      </c>
      <c r="C13" s="4" t="s">
        <v>30</v>
      </c>
      <c r="D13" s="4" t="s">
        <v>31</v>
      </c>
      <c r="E13" s="5">
        <v>37400</v>
      </c>
      <c r="F13" s="6">
        <v>2166.5632999999998</v>
      </c>
      <c r="G13" s="7">
        <v>3.0503889999999999E-2</v>
      </c>
      <c r="H13" s="52"/>
    </row>
    <row r="14" spans="1:15" ht="17.100000000000001" customHeight="1" x14ac:dyDescent="0.2">
      <c r="A14" s="3">
        <v>8</v>
      </c>
      <c r="B14" s="4" t="s">
        <v>32</v>
      </c>
      <c r="C14" s="4" t="s">
        <v>33</v>
      </c>
      <c r="D14" s="4" t="s">
        <v>31</v>
      </c>
      <c r="E14" s="5">
        <v>60000</v>
      </c>
      <c r="F14" s="6">
        <v>1836.96</v>
      </c>
      <c r="G14" s="7">
        <v>2.5863270000000001E-2</v>
      </c>
      <c r="H14" s="52"/>
    </row>
    <row r="15" spans="1:15" ht="29.1" customHeight="1" x14ac:dyDescent="0.2">
      <c r="A15" s="3">
        <v>9</v>
      </c>
      <c r="B15" s="4" t="s">
        <v>34</v>
      </c>
      <c r="C15" s="4" t="s">
        <v>35</v>
      </c>
      <c r="D15" s="4" t="s">
        <v>36</v>
      </c>
      <c r="E15" s="5">
        <v>1300000</v>
      </c>
      <c r="F15" s="6">
        <v>1732.25</v>
      </c>
      <c r="G15" s="7">
        <v>2.4389020000000001E-2</v>
      </c>
      <c r="H15" s="52"/>
    </row>
    <row r="16" spans="1:15" ht="17.100000000000001" customHeight="1" x14ac:dyDescent="0.2">
      <c r="A16" s="3">
        <v>10</v>
      </c>
      <c r="B16" s="4" t="s">
        <v>37</v>
      </c>
      <c r="C16" s="4" t="s">
        <v>38</v>
      </c>
      <c r="D16" s="4" t="s">
        <v>22</v>
      </c>
      <c r="E16" s="5">
        <v>753333</v>
      </c>
      <c r="F16" s="6">
        <v>1522.8626595000001</v>
      </c>
      <c r="G16" s="7">
        <v>2.1440979999999998E-2</v>
      </c>
      <c r="H16" s="52"/>
    </row>
    <row r="17" spans="1:8" ht="17.100000000000001" customHeight="1" x14ac:dyDescent="0.2">
      <c r="A17" s="3">
        <v>11</v>
      </c>
      <c r="B17" s="4" t="s">
        <v>39</v>
      </c>
      <c r="C17" s="4" t="s">
        <v>40</v>
      </c>
      <c r="D17" s="4" t="s">
        <v>28</v>
      </c>
      <c r="E17" s="5">
        <v>250000</v>
      </c>
      <c r="F17" s="6">
        <v>1413.875</v>
      </c>
      <c r="G17" s="7">
        <v>1.9906500000000001E-2</v>
      </c>
      <c r="H17" s="52"/>
    </row>
    <row r="18" spans="1:8" ht="17.100000000000001" customHeight="1" x14ac:dyDescent="0.2">
      <c r="A18" s="3">
        <v>12</v>
      </c>
      <c r="B18" s="4" t="s">
        <v>41</v>
      </c>
      <c r="C18" s="4" t="s">
        <v>42</v>
      </c>
      <c r="D18" s="4" t="s">
        <v>43</v>
      </c>
      <c r="E18" s="5">
        <v>33000</v>
      </c>
      <c r="F18" s="6">
        <v>1356.069</v>
      </c>
      <c r="G18" s="7">
        <v>1.9092620000000001E-2</v>
      </c>
      <c r="H18" s="52"/>
    </row>
    <row r="19" spans="1:8" ht="17.100000000000001" customHeight="1" x14ac:dyDescent="0.2">
      <c r="A19" s="3">
        <v>13</v>
      </c>
      <c r="B19" s="4" t="s">
        <v>44</v>
      </c>
      <c r="C19" s="4" t="s">
        <v>45</v>
      </c>
      <c r="D19" s="4" t="s">
        <v>13</v>
      </c>
      <c r="E19" s="5">
        <v>400000</v>
      </c>
      <c r="F19" s="6">
        <v>1336.4</v>
      </c>
      <c r="G19" s="7">
        <v>1.8815700000000001E-2</v>
      </c>
      <c r="H19" s="52"/>
    </row>
    <row r="20" spans="1:8" ht="17.100000000000001" customHeight="1" x14ac:dyDescent="0.2">
      <c r="A20" s="3">
        <v>14</v>
      </c>
      <c r="B20" s="4" t="s">
        <v>46</v>
      </c>
      <c r="C20" s="4" t="s">
        <v>47</v>
      </c>
      <c r="D20" s="4" t="s">
        <v>31</v>
      </c>
      <c r="E20" s="5">
        <v>60000</v>
      </c>
      <c r="F20" s="6">
        <v>1286.6400000000001</v>
      </c>
      <c r="G20" s="7">
        <v>1.811511E-2</v>
      </c>
      <c r="H20" s="52"/>
    </row>
    <row r="21" spans="1:8" ht="17.100000000000001" customHeight="1" x14ac:dyDescent="0.2">
      <c r="A21" s="3">
        <v>15</v>
      </c>
      <c r="B21" s="4" t="s">
        <v>48</v>
      </c>
      <c r="C21" s="4" t="s">
        <v>49</v>
      </c>
      <c r="D21" s="4" t="s">
        <v>31</v>
      </c>
      <c r="E21" s="5">
        <v>49000</v>
      </c>
      <c r="F21" s="6">
        <v>1177.1759999999999</v>
      </c>
      <c r="G21" s="7">
        <v>1.6573919999999999E-2</v>
      </c>
      <c r="H21" s="52"/>
    </row>
    <row r="22" spans="1:8" ht="17.100000000000001" customHeight="1" x14ac:dyDescent="0.2">
      <c r="A22" s="3">
        <v>16</v>
      </c>
      <c r="B22" s="4" t="s">
        <v>50</v>
      </c>
      <c r="C22" s="4" t="s">
        <v>51</v>
      </c>
      <c r="D22" s="4" t="s">
        <v>52</v>
      </c>
      <c r="E22" s="5">
        <v>160000</v>
      </c>
      <c r="F22" s="6">
        <v>1101.1199999999999</v>
      </c>
      <c r="G22" s="7">
        <v>1.5503100000000001E-2</v>
      </c>
      <c r="H22" s="52"/>
    </row>
    <row r="23" spans="1:8" ht="17.100000000000001" customHeight="1" x14ac:dyDescent="0.2">
      <c r="A23" s="3">
        <v>17</v>
      </c>
      <c r="B23" s="4" t="s">
        <v>53</v>
      </c>
      <c r="C23" s="4" t="s">
        <v>54</v>
      </c>
      <c r="D23" s="4" t="s">
        <v>31</v>
      </c>
      <c r="E23" s="5">
        <v>22000</v>
      </c>
      <c r="F23" s="6">
        <v>1082.8620000000001</v>
      </c>
      <c r="G23" s="7">
        <v>1.5246040000000001E-2</v>
      </c>
      <c r="H23" s="52"/>
    </row>
    <row r="24" spans="1:8" ht="29.1" customHeight="1" x14ac:dyDescent="0.2">
      <c r="A24" s="3">
        <v>18</v>
      </c>
      <c r="B24" s="4" t="s">
        <v>55</v>
      </c>
      <c r="C24" s="4" t="s">
        <v>56</v>
      </c>
      <c r="D24" s="4" t="s">
        <v>57</v>
      </c>
      <c r="E24" s="5">
        <v>2785</v>
      </c>
      <c r="F24" s="6">
        <v>1002.530375</v>
      </c>
      <c r="G24" s="7">
        <v>1.4115020000000001E-2</v>
      </c>
      <c r="H24" s="52"/>
    </row>
    <row r="25" spans="1:8" ht="17.100000000000001" customHeight="1" x14ac:dyDescent="0.2">
      <c r="A25" s="3">
        <v>19</v>
      </c>
      <c r="B25" s="4" t="s">
        <v>58</v>
      </c>
      <c r="C25" s="4" t="s">
        <v>59</v>
      </c>
      <c r="D25" s="4" t="s">
        <v>60</v>
      </c>
      <c r="E25" s="5">
        <v>19000</v>
      </c>
      <c r="F25" s="6">
        <v>969.30399999999997</v>
      </c>
      <c r="G25" s="7">
        <v>1.364721E-2</v>
      </c>
      <c r="H25" s="52"/>
    </row>
    <row r="26" spans="1:8" ht="17.100000000000001" customHeight="1" x14ac:dyDescent="0.2">
      <c r="A26" s="3">
        <v>20</v>
      </c>
      <c r="B26" s="4" t="s">
        <v>61</v>
      </c>
      <c r="C26" s="4" t="s">
        <v>62</v>
      </c>
      <c r="D26" s="4" t="s">
        <v>31</v>
      </c>
      <c r="E26" s="5">
        <v>61000</v>
      </c>
      <c r="F26" s="6">
        <v>954.83299999999997</v>
      </c>
      <c r="G26" s="7">
        <v>1.3443470000000001E-2</v>
      </c>
      <c r="H26" s="52"/>
    </row>
    <row r="27" spans="1:8" ht="29.1" customHeight="1" x14ac:dyDescent="0.2">
      <c r="A27" s="3">
        <v>21</v>
      </c>
      <c r="B27" s="4" t="s">
        <v>63</v>
      </c>
      <c r="C27" s="4" t="s">
        <v>64</v>
      </c>
      <c r="D27" s="4" t="s">
        <v>25</v>
      </c>
      <c r="E27" s="5">
        <v>45000</v>
      </c>
      <c r="F27" s="6">
        <v>946.91250000000002</v>
      </c>
      <c r="G27" s="7">
        <v>1.333195E-2</v>
      </c>
      <c r="H27" s="52"/>
    </row>
    <row r="28" spans="1:8" ht="17.100000000000001" customHeight="1" x14ac:dyDescent="0.2">
      <c r="A28" s="3">
        <v>22</v>
      </c>
      <c r="B28" s="4" t="s">
        <v>65</v>
      </c>
      <c r="C28" s="4" t="s">
        <v>66</v>
      </c>
      <c r="D28" s="4" t="s">
        <v>67</v>
      </c>
      <c r="E28" s="5">
        <v>490000</v>
      </c>
      <c r="F28" s="6">
        <v>912.13499999999999</v>
      </c>
      <c r="G28" s="7">
        <v>1.2842299999999999E-2</v>
      </c>
      <c r="H28" s="52"/>
    </row>
    <row r="29" spans="1:8" ht="17.100000000000001" customHeight="1" x14ac:dyDescent="0.2">
      <c r="A29" s="3">
        <v>23</v>
      </c>
      <c r="B29" s="4" t="s">
        <v>68</v>
      </c>
      <c r="C29" s="4" t="s">
        <v>69</v>
      </c>
      <c r="D29" s="4" t="s">
        <v>70</v>
      </c>
      <c r="E29" s="5">
        <v>310000</v>
      </c>
      <c r="F29" s="6">
        <v>891.56</v>
      </c>
      <c r="G29" s="7">
        <v>1.255262E-2</v>
      </c>
      <c r="H29" s="52"/>
    </row>
    <row r="30" spans="1:8" ht="53.1" customHeight="1" x14ac:dyDescent="0.2">
      <c r="A30" s="3">
        <v>24</v>
      </c>
      <c r="B30" s="4" t="s">
        <v>71</v>
      </c>
      <c r="C30" s="4" t="s">
        <v>72</v>
      </c>
      <c r="D30" s="4" t="s">
        <v>73</v>
      </c>
      <c r="E30" s="5">
        <v>530000</v>
      </c>
      <c r="F30" s="6">
        <v>888.81</v>
      </c>
      <c r="G30" s="7">
        <v>1.25139E-2</v>
      </c>
      <c r="H30" s="52"/>
    </row>
    <row r="31" spans="1:8" ht="17.100000000000001" customHeight="1" x14ac:dyDescent="0.2">
      <c r="A31" s="3">
        <v>25</v>
      </c>
      <c r="B31" s="4" t="s">
        <v>74</v>
      </c>
      <c r="C31" s="4" t="s">
        <v>75</v>
      </c>
      <c r="D31" s="4" t="s">
        <v>76</v>
      </c>
      <c r="E31" s="5">
        <v>740000</v>
      </c>
      <c r="F31" s="6">
        <v>884.3</v>
      </c>
      <c r="G31" s="7">
        <v>1.24504E-2</v>
      </c>
      <c r="H31" s="52"/>
    </row>
    <row r="32" spans="1:8" ht="17.100000000000001" customHeight="1" x14ac:dyDescent="0.2">
      <c r="A32" s="3">
        <v>26</v>
      </c>
      <c r="B32" s="4" t="s">
        <v>77</v>
      </c>
      <c r="C32" s="4" t="s">
        <v>78</v>
      </c>
      <c r="D32" s="4" t="s">
        <v>13</v>
      </c>
      <c r="E32" s="5">
        <v>334000</v>
      </c>
      <c r="F32" s="6">
        <v>881.59299999999996</v>
      </c>
      <c r="G32" s="7">
        <v>1.2412289999999999E-2</v>
      </c>
      <c r="H32" s="52"/>
    </row>
    <row r="33" spans="1:8" ht="17.100000000000001" customHeight="1" x14ac:dyDescent="0.2">
      <c r="A33" s="3">
        <v>27</v>
      </c>
      <c r="B33" s="4" t="s">
        <v>79</v>
      </c>
      <c r="C33" s="4" t="s">
        <v>80</v>
      </c>
      <c r="D33" s="4" t="s">
        <v>13</v>
      </c>
      <c r="E33" s="5">
        <v>580000</v>
      </c>
      <c r="F33" s="6">
        <v>837.81</v>
      </c>
      <c r="G33" s="7">
        <v>1.179585E-2</v>
      </c>
      <c r="H33" s="52"/>
    </row>
    <row r="34" spans="1:8" ht="17.100000000000001" customHeight="1" x14ac:dyDescent="0.2">
      <c r="A34" s="3">
        <v>28</v>
      </c>
      <c r="B34" s="4" t="s">
        <v>81</v>
      </c>
      <c r="C34" s="4" t="s">
        <v>82</v>
      </c>
      <c r="D34" s="4" t="s">
        <v>22</v>
      </c>
      <c r="E34" s="5">
        <v>350000</v>
      </c>
      <c r="F34" s="6">
        <v>837.72500000000002</v>
      </c>
      <c r="G34" s="7">
        <v>1.179466E-2</v>
      </c>
      <c r="H34" s="52"/>
    </row>
    <row r="35" spans="1:8" ht="17.100000000000001" customHeight="1" x14ac:dyDescent="0.2">
      <c r="A35" s="3">
        <v>29</v>
      </c>
      <c r="B35" s="4" t="s">
        <v>83</v>
      </c>
      <c r="C35" s="4" t="s">
        <v>84</v>
      </c>
      <c r="D35" s="4" t="s">
        <v>52</v>
      </c>
      <c r="E35" s="5">
        <v>34000</v>
      </c>
      <c r="F35" s="6">
        <v>834.30899999999997</v>
      </c>
      <c r="G35" s="7">
        <v>1.174656E-2</v>
      </c>
      <c r="H35" s="52"/>
    </row>
    <row r="36" spans="1:8" ht="29.1" customHeight="1" x14ac:dyDescent="0.2">
      <c r="A36" s="3">
        <v>30</v>
      </c>
      <c r="B36" s="4" t="s">
        <v>85</v>
      </c>
      <c r="C36" s="4" t="s">
        <v>86</v>
      </c>
      <c r="D36" s="4" t="s">
        <v>25</v>
      </c>
      <c r="E36" s="5">
        <v>65000</v>
      </c>
      <c r="F36" s="6">
        <v>827.58</v>
      </c>
      <c r="G36" s="7">
        <v>1.165182E-2</v>
      </c>
      <c r="H36" s="52"/>
    </row>
    <row r="37" spans="1:8" ht="17.100000000000001" customHeight="1" x14ac:dyDescent="0.2">
      <c r="A37" s="3">
        <v>31</v>
      </c>
      <c r="B37" s="4" t="s">
        <v>87</v>
      </c>
      <c r="C37" s="4" t="s">
        <v>88</v>
      </c>
      <c r="D37" s="4" t="s">
        <v>43</v>
      </c>
      <c r="E37" s="5">
        <v>220000</v>
      </c>
      <c r="F37" s="6">
        <v>790.24</v>
      </c>
      <c r="G37" s="7">
        <v>1.11261E-2</v>
      </c>
      <c r="H37" s="52"/>
    </row>
    <row r="38" spans="1:8" ht="17.100000000000001" customHeight="1" x14ac:dyDescent="0.2">
      <c r="A38" s="3">
        <v>32</v>
      </c>
      <c r="B38" s="4" t="s">
        <v>89</v>
      </c>
      <c r="C38" s="4" t="s">
        <v>90</v>
      </c>
      <c r="D38" s="4" t="s">
        <v>31</v>
      </c>
      <c r="E38" s="5">
        <v>115000</v>
      </c>
      <c r="F38" s="6">
        <v>788.44</v>
      </c>
      <c r="G38" s="7">
        <v>1.110075E-2</v>
      </c>
      <c r="H38" s="52"/>
    </row>
    <row r="39" spans="1:8" ht="17.100000000000001" customHeight="1" x14ac:dyDescent="0.2">
      <c r="A39" s="3">
        <v>33</v>
      </c>
      <c r="B39" s="4" t="s">
        <v>91</v>
      </c>
      <c r="C39" s="4" t="s">
        <v>92</v>
      </c>
      <c r="D39" s="4" t="s">
        <v>93</v>
      </c>
      <c r="E39" s="5">
        <v>68500</v>
      </c>
      <c r="F39" s="6">
        <v>779.42724999999996</v>
      </c>
      <c r="G39" s="7">
        <v>1.097386E-2</v>
      </c>
      <c r="H39" s="52"/>
    </row>
    <row r="40" spans="1:8" ht="17.100000000000001" customHeight="1" x14ac:dyDescent="0.2">
      <c r="A40" s="3">
        <v>34</v>
      </c>
      <c r="B40" s="4" t="s">
        <v>94</v>
      </c>
      <c r="C40" s="4" t="s">
        <v>95</v>
      </c>
      <c r="D40" s="4" t="s">
        <v>43</v>
      </c>
      <c r="E40" s="5">
        <v>23000</v>
      </c>
      <c r="F40" s="6">
        <v>766.11850000000004</v>
      </c>
      <c r="G40" s="7">
        <v>1.0786479999999999E-2</v>
      </c>
      <c r="H40" s="52"/>
    </row>
    <row r="41" spans="1:8" ht="29.1" customHeight="1" x14ac:dyDescent="0.2">
      <c r="A41" s="3">
        <v>35</v>
      </c>
      <c r="B41" s="4" t="s">
        <v>96</v>
      </c>
      <c r="C41" s="4" t="s">
        <v>97</v>
      </c>
      <c r="D41" s="4" t="s">
        <v>36</v>
      </c>
      <c r="E41" s="5">
        <v>42000</v>
      </c>
      <c r="F41" s="6">
        <v>765.68100000000004</v>
      </c>
      <c r="G41" s="7">
        <v>1.0780319999999999E-2</v>
      </c>
      <c r="H41" s="52"/>
    </row>
    <row r="42" spans="1:8" ht="17.100000000000001" customHeight="1" x14ac:dyDescent="0.2">
      <c r="A42" s="3">
        <v>36</v>
      </c>
      <c r="B42" s="4" t="s">
        <v>98</v>
      </c>
      <c r="C42" s="4" t="s">
        <v>99</v>
      </c>
      <c r="D42" s="4" t="s">
        <v>93</v>
      </c>
      <c r="E42" s="5">
        <v>124000</v>
      </c>
      <c r="F42" s="6">
        <v>763.15800000000002</v>
      </c>
      <c r="G42" s="7">
        <v>1.0744800000000001E-2</v>
      </c>
      <c r="H42" s="52"/>
    </row>
    <row r="43" spans="1:8" ht="17.100000000000001" customHeight="1" x14ac:dyDescent="0.2">
      <c r="A43" s="3">
        <v>37</v>
      </c>
      <c r="B43" s="4" t="s">
        <v>100</v>
      </c>
      <c r="C43" s="4" t="s">
        <v>101</v>
      </c>
      <c r="D43" s="4" t="s">
        <v>102</v>
      </c>
      <c r="E43" s="5">
        <v>7150</v>
      </c>
      <c r="F43" s="6">
        <v>743.04944999999998</v>
      </c>
      <c r="G43" s="7">
        <v>1.0461679999999999E-2</v>
      </c>
      <c r="H43" s="52"/>
    </row>
    <row r="44" spans="1:8" ht="17.100000000000001" customHeight="1" x14ac:dyDescent="0.2">
      <c r="A44" s="3">
        <v>38</v>
      </c>
      <c r="B44" s="4" t="s">
        <v>103</v>
      </c>
      <c r="C44" s="4" t="s">
        <v>104</v>
      </c>
      <c r="D44" s="4" t="s">
        <v>105</v>
      </c>
      <c r="E44" s="5">
        <v>25000</v>
      </c>
      <c r="F44" s="6">
        <v>704.35</v>
      </c>
      <c r="G44" s="7">
        <v>9.9168199999999998E-3</v>
      </c>
      <c r="H44" s="52"/>
    </row>
    <row r="45" spans="1:8" ht="17.100000000000001" customHeight="1" x14ac:dyDescent="0.2">
      <c r="A45" s="3">
        <v>39</v>
      </c>
      <c r="B45" s="4" t="s">
        <v>106</v>
      </c>
      <c r="C45" s="4" t="s">
        <v>107</v>
      </c>
      <c r="D45" s="4" t="s">
        <v>31</v>
      </c>
      <c r="E45" s="5">
        <v>42000</v>
      </c>
      <c r="F45" s="6">
        <v>704.15099999999995</v>
      </c>
      <c r="G45" s="7">
        <v>9.9140200000000008E-3</v>
      </c>
      <c r="H45" s="52"/>
    </row>
    <row r="46" spans="1:8" ht="17.100000000000001" customHeight="1" x14ac:dyDescent="0.2">
      <c r="A46" s="3">
        <v>40</v>
      </c>
      <c r="B46" s="4" t="s">
        <v>108</v>
      </c>
      <c r="C46" s="4" t="s">
        <v>109</v>
      </c>
      <c r="D46" s="4" t="s">
        <v>105</v>
      </c>
      <c r="E46" s="5">
        <v>104000</v>
      </c>
      <c r="F46" s="6">
        <v>703.71600000000001</v>
      </c>
      <c r="G46" s="7">
        <v>9.9078900000000008E-3</v>
      </c>
      <c r="H46" s="52"/>
    </row>
    <row r="47" spans="1:8" ht="17.100000000000001" customHeight="1" x14ac:dyDescent="0.2">
      <c r="A47" s="3">
        <v>41</v>
      </c>
      <c r="B47" s="4" t="s">
        <v>110</v>
      </c>
      <c r="C47" s="4" t="s">
        <v>111</v>
      </c>
      <c r="D47" s="4" t="s">
        <v>105</v>
      </c>
      <c r="E47" s="5">
        <v>129500</v>
      </c>
      <c r="F47" s="6">
        <v>701.24249999999995</v>
      </c>
      <c r="G47" s="7">
        <v>9.8730699999999994E-3</v>
      </c>
      <c r="H47" s="52"/>
    </row>
    <row r="48" spans="1:8" ht="17.100000000000001" customHeight="1" x14ac:dyDescent="0.2">
      <c r="A48" s="3">
        <v>42</v>
      </c>
      <c r="B48" s="4" t="s">
        <v>112</v>
      </c>
      <c r="C48" s="4" t="s">
        <v>113</v>
      </c>
      <c r="D48" s="4" t="s">
        <v>114</v>
      </c>
      <c r="E48" s="5">
        <v>110000</v>
      </c>
      <c r="F48" s="6">
        <v>697.18</v>
      </c>
      <c r="G48" s="7">
        <v>9.8158700000000008E-3</v>
      </c>
      <c r="H48" s="52"/>
    </row>
    <row r="49" spans="1:8" ht="29.1" customHeight="1" x14ac:dyDescent="0.2">
      <c r="A49" s="3">
        <v>43</v>
      </c>
      <c r="B49" s="4" t="s">
        <v>115</v>
      </c>
      <c r="C49" s="4" t="s">
        <v>116</v>
      </c>
      <c r="D49" s="4" t="s">
        <v>25</v>
      </c>
      <c r="E49" s="5">
        <v>22000</v>
      </c>
      <c r="F49" s="6">
        <v>693.88</v>
      </c>
      <c r="G49" s="7">
        <v>9.7694099999999992E-3</v>
      </c>
      <c r="H49" s="52"/>
    </row>
    <row r="50" spans="1:8" ht="17.100000000000001" customHeight="1" x14ac:dyDescent="0.2">
      <c r="A50" s="3">
        <v>44</v>
      </c>
      <c r="B50" s="4" t="s">
        <v>117</v>
      </c>
      <c r="C50" s="4" t="s">
        <v>118</v>
      </c>
      <c r="D50" s="4" t="s">
        <v>43</v>
      </c>
      <c r="E50" s="5">
        <v>277000</v>
      </c>
      <c r="F50" s="6">
        <v>670.89400000000001</v>
      </c>
      <c r="G50" s="7">
        <v>9.4457800000000008E-3</v>
      </c>
      <c r="H50" s="52"/>
    </row>
    <row r="51" spans="1:8" ht="29.1" customHeight="1" x14ac:dyDescent="0.2">
      <c r="A51" s="3">
        <v>45</v>
      </c>
      <c r="B51" s="4" t="s">
        <v>119</v>
      </c>
      <c r="C51" s="4" t="s">
        <v>120</v>
      </c>
      <c r="D51" s="4" t="s">
        <v>36</v>
      </c>
      <c r="E51" s="5">
        <v>25000</v>
      </c>
      <c r="F51" s="6">
        <v>609.71249999999998</v>
      </c>
      <c r="G51" s="7">
        <v>8.5843800000000008E-3</v>
      </c>
      <c r="H51" s="52"/>
    </row>
    <row r="52" spans="1:8" ht="17.100000000000001" customHeight="1" x14ac:dyDescent="0.2">
      <c r="A52" s="3">
        <v>46</v>
      </c>
      <c r="B52" s="4" t="s">
        <v>121</v>
      </c>
      <c r="C52" s="4" t="s">
        <v>122</v>
      </c>
      <c r="D52" s="4" t="s">
        <v>31</v>
      </c>
      <c r="E52" s="5">
        <v>20000</v>
      </c>
      <c r="F52" s="6">
        <v>580.16</v>
      </c>
      <c r="G52" s="7">
        <v>8.1682999999999999E-3</v>
      </c>
      <c r="H52" s="52"/>
    </row>
    <row r="53" spans="1:8" ht="17.100000000000001" customHeight="1" x14ac:dyDescent="0.2">
      <c r="A53" s="3">
        <v>47</v>
      </c>
      <c r="B53" s="4" t="s">
        <v>123</v>
      </c>
      <c r="C53" s="4" t="s">
        <v>124</v>
      </c>
      <c r="D53" s="4" t="s">
        <v>31</v>
      </c>
      <c r="E53" s="5">
        <v>31000</v>
      </c>
      <c r="F53" s="6">
        <v>573.73249999999996</v>
      </c>
      <c r="G53" s="7">
        <v>8.0777999999999996E-3</v>
      </c>
      <c r="H53" s="52"/>
    </row>
    <row r="54" spans="1:8" ht="17.100000000000001" customHeight="1" x14ac:dyDescent="0.2">
      <c r="A54" s="3">
        <v>48</v>
      </c>
      <c r="B54" s="4" t="s">
        <v>125</v>
      </c>
      <c r="C54" s="4" t="s">
        <v>126</v>
      </c>
      <c r="D54" s="4" t="s">
        <v>60</v>
      </c>
      <c r="E54" s="5">
        <v>125000</v>
      </c>
      <c r="F54" s="6">
        <v>442.5625</v>
      </c>
      <c r="G54" s="7">
        <v>6.2310100000000004E-3</v>
      </c>
      <c r="H54" s="52"/>
    </row>
    <row r="55" spans="1:8" ht="17.100000000000001" customHeight="1" x14ac:dyDescent="0.2">
      <c r="A55" s="3">
        <v>49</v>
      </c>
      <c r="B55" s="4" t="s">
        <v>127</v>
      </c>
      <c r="C55" s="4" t="s">
        <v>128</v>
      </c>
      <c r="D55" s="4" t="s">
        <v>52</v>
      </c>
      <c r="E55" s="5">
        <v>203072</v>
      </c>
      <c r="F55" s="6">
        <v>432.34028799999999</v>
      </c>
      <c r="G55" s="7">
        <v>6.0870899999999999E-3</v>
      </c>
      <c r="H55" s="52"/>
    </row>
    <row r="56" spans="1:8" ht="17.100000000000001" customHeight="1" x14ac:dyDescent="0.2">
      <c r="A56" s="3">
        <v>50</v>
      </c>
      <c r="B56" s="4" t="s">
        <v>129</v>
      </c>
      <c r="C56" s="4" t="s">
        <v>130</v>
      </c>
      <c r="D56" s="4" t="s">
        <v>43</v>
      </c>
      <c r="E56" s="5">
        <v>330000</v>
      </c>
      <c r="F56" s="6">
        <v>398.80500000000001</v>
      </c>
      <c r="G56" s="7">
        <v>5.6149299999999997E-3</v>
      </c>
      <c r="H56" s="52"/>
    </row>
    <row r="57" spans="1:8" ht="17.100000000000001" customHeight="1" x14ac:dyDescent="0.2">
      <c r="A57" s="3">
        <v>51</v>
      </c>
      <c r="B57" s="4" t="s">
        <v>131</v>
      </c>
      <c r="C57" s="4" t="s">
        <v>132</v>
      </c>
      <c r="D57" s="4" t="s">
        <v>16</v>
      </c>
      <c r="E57" s="5">
        <v>100000</v>
      </c>
      <c r="F57" s="6">
        <v>349.25</v>
      </c>
      <c r="G57" s="7">
        <v>4.9172299999999999E-3</v>
      </c>
      <c r="H57" s="52"/>
    </row>
    <row r="58" spans="1:8" ht="53.1" customHeight="1" x14ac:dyDescent="0.2">
      <c r="A58" s="3">
        <v>52</v>
      </c>
      <c r="B58" s="4" t="s">
        <v>133</v>
      </c>
      <c r="C58" s="4" t="s">
        <v>134</v>
      </c>
      <c r="D58" s="4" t="s">
        <v>73</v>
      </c>
      <c r="E58" s="5">
        <v>16500</v>
      </c>
      <c r="F58" s="6">
        <v>333.42374999999998</v>
      </c>
      <c r="G58" s="7">
        <v>4.6943999999999996E-3</v>
      </c>
      <c r="H58" s="52"/>
    </row>
    <row r="59" spans="1:8" ht="17.100000000000001" customHeight="1" x14ac:dyDescent="0.2">
      <c r="A59" s="3">
        <v>53</v>
      </c>
      <c r="B59" s="4" t="s">
        <v>135</v>
      </c>
      <c r="C59" s="4" t="s">
        <v>136</v>
      </c>
      <c r="D59" s="4" t="s">
        <v>13</v>
      </c>
      <c r="E59" s="5">
        <v>29000</v>
      </c>
      <c r="F59" s="6">
        <v>324.84350000000001</v>
      </c>
      <c r="G59" s="7">
        <v>4.5735999999999997E-3</v>
      </c>
      <c r="H59" s="52"/>
    </row>
    <row r="60" spans="1:8" ht="17.100000000000001" customHeight="1" x14ac:dyDescent="0.2">
      <c r="A60" s="3">
        <v>54</v>
      </c>
      <c r="B60" s="4" t="s">
        <v>137</v>
      </c>
      <c r="C60" s="4" t="s">
        <v>138</v>
      </c>
      <c r="D60" s="4" t="s">
        <v>52</v>
      </c>
      <c r="E60" s="5">
        <v>83340</v>
      </c>
      <c r="F60" s="6">
        <v>291.56499000000002</v>
      </c>
      <c r="G60" s="7">
        <v>4.1050599999999998E-3</v>
      </c>
      <c r="H60" s="52"/>
    </row>
    <row r="61" spans="1:8" ht="29.1" customHeight="1" x14ac:dyDescent="0.2">
      <c r="A61" s="3">
        <v>55</v>
      </c>
      <c r="B61" s="4" t="s">
        <v>139</v>
      </c>
      <c r="C61" s="4" t="s">
        <v>140</v>
      </c>
      <c r="D61" s="4" t="s">
        <v>141</v>
      </c>
      <c r="E61" s="5">
        <v>142109</v>
      </c>
      <c r="F61" s="6">
        <v>240.9458095</v>
      </c>
      <c r="G61" s="7">
        <v>3.39237E-3</v>
      </c>
      <c r="H61" s="52"/>
    </row>
    <row r="62" spans="1:8" ht="14.1" customHeight="1" x14ac:dyDescent="0.2">
      <c r="A62" s="1"/>
      <c r="B62" s="1"/>
      <c r="C62" s="2" t="s">
        <v>145</v>
      </c>
      <c r="D62" s="1"/>
      <c r="E62" s="1" t="s">
        <v>146</v>
      </c>
      <c r="F62" s="9">
        <v>67799.561311999991</v>
      </c>
      <c r="G62" s="10">
        <v>0.9545764499999998</v>
      </c>
      <c r="H62" s="52"/>
    </row>
    <row r="63" spans="1:8" ht="14.1" customHeight="1" x14ac:dyDescent="0.2">
      <c r="A63" s="1"/>
      <c r="B63" s="1"/>
      <c r="C63" s="11"/>
      <c r="D63" s="1"/>
      <c r="E63" s="1"/>
      <c r="F63" s="12"/>
      <c r="G63" s="12"/>
      <c r="H63" s="52"/>
    </row>
    <row r="64" spans="1:8" ht="14.1" customHeight="1" x14ac:dyDescent="0.2">
      <c r="A64" s="1"/>
      <c r="B64" s="1"/>
      <c r="C64" s="2" t="s">
        <v>147</v>
      </c>
      <c r="D64" s="1"/>
      <c r="E64" s="1"/>
      <c r="F64" s="1"/>
      <c r="G64" s="1"/>
      <c r="H64" s="52"/>
    </row>
    <row r="65" spans="1:8" ht="14.1" customHeight="1" x14ac:dyDescent="0.2">
      <c r="A65" s="1"/>
      <c r="B65" s="1"/>
      <c r="C65" s="2" t="s">
        <v>145</v>
      </c>
      <c r="D65" s="1"/>
      <c r="E65" s="1" t="s">
        <v>146</v>
      </c>
      <c r="F65" s="13" t="s">
        <v>148</v>
      </c>
      <c r="G65" s="10">
        <v>0</v>
      </c>
      <c r="H65" s="52"/>
    </row>
    <row r="66" spans="1:8" ht="14.1" customHeight="1" x14ac:dyDescent="0.2">
      <c r="A66" s="1"/>
      <c r="B66" s="1"/>
      <c r="C66" s="11"/>
      <c r="D66" s="1"/>
      <c r="E66" s="1"/>
      <c r="F66" s="12"/>
      <c r="G66" s="12"/>
      <c r="H66" s="52"/>
    </row>
    <row r="67" spans="1:8" ht="14.1" customHeight="1" x14ac:dyDescent="0.2">
      <c r="A67" s="1"/>
      <c r="B67" s="1"/>
      <c r="C67" s="2" t="s">
        <v>149</v>
      </c>
      <c r="D67" s="1"/>
      <c r="E67" s="1"/>
      <c r="F67" s="1"/>
      <c r="G67" s="1"/>
      <c r="H67" s="52"/>
    </row>
    <row r="68" spans="1:8" ht="17.100000000000001" customHeight="1" x14ac:dyDescent="0.2">
      <c r="A68" s="3">
        <v>1</v>
      </c>
      <c r="B68" s="4" t="s">
        <v>142</v>
      </c>
      <c r="C68" s="39" t="s">
        <v>946</v>
      </c>
      <c r="D68" s="4" t="s">
        <v>143</v>
      </c>
      <c r="E68" s="5">
        <v>559425</v>
      </c>
      <c r="F68" s="6">
        <v>1.1189000000000001E-5</v>
      </c>
      <c r="G68" s="8" t="s">
        <v>144</v>
      </c>
      <c r="H68" s="52"/>
    </row>
    <row r="69" spans="1:8" ht="14.1" customHeight="1" x14ac:dyDescent="0.2">
      <c r="A69" s="1"/>
      <c r="B69" s="1"/>
      <c r="C69" s="2" t="s">
        <v>145</v>
      </c>
      <c r="D69" s="1"/>
      <c r="E69" s="1" t="s">
        <v>146</v>
      </c>
      <c r="F69" s="9">
        <v>1.1189000000000001E-5</v>
      </c>
      <c r="G69" s="10">
        <v>0</v>
      </c>
      <c r="H69" s="52"/>
    </row>
    <row r="70" spans="1:8" ht="14.1" customHeight="1" x14ac:dyDescent="0.2">
      <c r="A70" s="1"/>
      <c r="B70" s="1"/>
      <c r="C70" s="11"/>
      <c r="D70" s="1"/>
      <c r="E70" s="1"/>
      <c r="F70" s="12"/>
      <c r="G70" s="12"/>
      <c r="H70" s="52"/>
    </row>
    <row r="71" spans="1:8" ht="14.1" customHeight="1" x14ac:dyDescent="0.2">
      <c r="A71" s="1"/>
      <c r="B71" s="1"/>
      <c r="C71" s="2" t="s">
        <v>150</v>
      </c>
      <c r="D71" s="1"/>
      <c r="E71" s="1"/>
      <c r="F71" s="1"/>
      <c r="G71" s="1"/>
      <c r="H71" s="52"/>
    </row>
    <row r="72" spans="1:8" ht="14.1" customHeight="1" x14ac:dyDescent="0.2">
      <c r="A72" s="1"/>
      <c r="B72" s="1"/>
      <c r="C72" s="2" t="s">
        <v>145</v>
      </c>
      <c r="D72" s="1"/>
      <c r="E72" s="1" t="s">
        <v>146</v>
      </c>
      <c r="F72" s="13" t="s">
        <v>148</v>
      </c>
      <c r="G72" s="10">
        <v>0</v>
      </c>
      <c r="H72" s="52"/>
    </row>
    <row r="73" spans="1:8" ht="14.1" customHeight="1" x14ac:dyDescent="0.2">
      <c r="A73" s="1"/>
      <c r="B73" s="1"/>
      <c r="C73" s="11"/>
      <c r="D73" s="1"/>
      <c r="E73" s="1"/>
      <c r="F73" s="12"/>
      <c r="G73" s="12"/>
      <c r="H73" s="52"/>
    </row>
    <row r="74" spans="1:8" ht="14.1" customHeight="1" x14ac:dyDescent="0.2">
      <c r="A74" s="1"/>
      <c r="B74" s="1"/>
      <c r="C74" s="2" t="s">
        <v>151</v>
      </c>
      <c r="D74" s="1"/>
      <c r="E74" s="1"/>
      <c r="F74" s="12"/>
      <c r="G74" s="12"/>
      <c r="H74" s="52"/>
    </row>
    <row r="75" spans="1:8" ht="14.1" customHeight="1" x14ac:dyDescent="0.2">
      <c r="A75" s="1"/>
      <c r="B75" s="1"/>
      <c r="C75" s="2" t="s">
        <v>145</v>
      </c>
      <c r="D75" s="1"/>
      <c r="E75" s="1" t="s">
        <v>146</v>
      </c>
      <c r="F75" s="13" t="s">
        <v>148</v>
      </c>
      <c r="G75" s="10">
        <v>0</v>
      </c>
      <c r="H75" s="52"/>
    </row>
    <row r="76" spans="1:8" ht="14.1" customHeight="1" x14ac:dyDescent="0.2">
      <c r="A76" s="1"/>
      <c r="B76" s="1"/>
      <c r="C76" s="11"/>
      <c r="D76" s="1"/>
      <c r="E76" s="1"/>
      <c r="F76" s="12"/>
      <c r="G76" s="12"/>
      <c r="H76" s="52"/>
    </row>
    <row r="77" spans="1:8" ht="14.1" customHeight="1" x14ac:dyDescent="0.2">
      <c r="A77" s="1"/>
      <c r="B77" s="1"/>
      <c r="C77" s="2" t="s">
        <v>152</v>
      </c>
      <c r="D77" s="1"/>
      <c r="E77" s="1"/>
      <c r="F77" s="12"/>
      <c r="G77" s="12"/>
      <c r="H77" s="52"/>
    </row>
    <row r="78" spans="1:8" ht="14.1" customHeight="1" x14ac:dyDescent="0.2">
      <c r="A78" s="1"/>
      <c r="B78" s="1"/>
      <c r="C78" s="2" t="s">
        <v>145</v>
      </c>
      <c r="D78" s="1"/>
      <c r="E78" s="1" t="s">
        <v>146</v>
      </c>
      <c r="F78" s="13" t="s">
        <v>148</v>
      </c>
      <c r="G78" s="10">
        <v>0</v>
      </c>
      <c r="H78" s="52"/>
    </row>
    <row r="79" spans="1:8" ht="14.1" customHeight="1" x14ac:dyDescent="0.2">
      <c r="A79" s="1"/>
      <c r="B79" s="1"/>
      <c r="C79" s="11"/>
      <c r="D79" s="1"/>
      <c r="E79" s="1"/>
      <c r="F79" s="12"/>
      <c r="G79" s="12"/>
      <c r="H79" s="52"/>
    </row>
    <row r="80" spans="1:8" ht="18" customHeight="1" x14ac:dyDescent="0.2">
      <c r="A80" s="1"/>
      <c r="B80" s="1"/>
      <c r="C80" s="2" t="s">
        <v>153</v>
      </c>
      <c r="D80" s="1"/>
      <c r="E80" s="1"/>
      <c r="F80" s="9">
        <v>67799.561323189002</v>
      </c>
      <c r="G80" s="10">
        <v>0.95457645000000002</v>
      </c>
      <c r="H80" s="52"/>
    </row>
    <row r="81" spans="1:8" ht="14.1" customHeight="1" x14ac:dyDescent="0.2">
      <c r="A81" s="1"/>
      <c r="B81" s="1"/>
      <c r="C81" s="11"/>
      <c r="D81" s="1"/>
      <c r="E81" s="1"/>
      <c r="F81" s="12"/>
      <c r="G81" s="12"/>
      <c r="H81" s="52"/>
    </row>
    <row r="82" spans="1:8" ht="14.1" customHeight="1" x14ac:dyDescent="0.2">
      <c r="A82" s="1"/>
      <c r="B82" s="1"/>
      <c r="C82" s="2" t="s">
        <v>154</v>
      </c>
      <c r="D82" s="1"/>
      <c r="E82" s="1"/>
      <c r="F82" s="12"/>
      <c r="G82" s="12"/>
      <c r="H82" s="52"/>
    </row>
    <row r="83" spans="1:8" ht="24" customHeight="1" x14ac:dyDescent="0.2">
      <c r="A83" s="1"/>
      <c r="B83" s="1"/>
      <c r="C83" s="2" t="s">
        <v>10</v>
      </c>
      <c r="D83" s="1"/>
      <c r="E83" s="1"/>
      <c r="F83" s="12"/>
      <c r="G83" s="12"/>
      <c r="H83" s="52"/>
    </row>
    <row r="84" spans="1:8" ht="14.1" customHeight="1" x14ac:dyDescent="0.2">
      <c r="A84" s="1"/>
      <c r="B84" s="1"/>
      <c r="C84" s="2" t="s">
        <v>145</v>
      </c>
      <c r="D84" s="1"/>
      <c r="E84" s="1" t="s">
        <v>146</v>
      </c>
      <c r="F84" s="13" t="s">
        <v>148</v>
      </c>
      <c r="G84" s="10">
        <v>0</v>
      </c>
      <c r="H84" s="52"/>
    </row>
    <row r="85" spans="1:8" ht="14.1" customHeight="1" x14ac:dyDescent="0.2">
      <c r="A85" s="1"/>
      <c r="B85" s="1"/>
      <c r="C85" s="11"/>
      <c r="D85" s="1"/>
      <c r="E85" s="1"/>
      <c r="F85" s="12"/>
      <c r="G85" s="12"/>
      <c r="H85" s="52"/>
    </row>
    <row r="86" spans="1:8" ht="14.1" customHeight="1" x14ac:dyDescent="0.2">
      <c r="A86" s="1"/>
      <c r="B86" s="1"/>
      <c r="C86" s="2" t="s">
        <v>155</v>
      </c>
      <c r="D86" s="1"/>
      <c r="E86" s="1"/>
      <c r="F86" s="1"/>
      <c r="G86" s="1"/>
      <c r="H86" s="52"/>
    </row>
    <row r="87" spans="1:8" ht="14.1" customHeight="1" x14ac:dyDescent="0.2">
      <c r="A87" s="1"/>
      <c r="B87" s="1"/>
      <c r="C87" s="2" t="s">
        <v>145</v>
      </c>
      <c r="D87" s="1"/>
      <c r="E87" s="1" t="s">
        <v>146</v>
      </c>
      <c r="F87" s="13" t="s">
        <v>148</v>
      </c>
      <c r="G87" s="10">
        <v>0</v>
      </c>
      <c r="H87" s="52"/>
    </row>
    <row r="88" spans="1:8" ht="14.1" customHeight="1" x14ac:dyDescent="0.2">
      <c r="A88" s="1"/>
      <c r="B88" s="1"/>
      <c r="C88" s="11"/>
      <c r="D88" s="1"/>
      <c r="E88" s="1"/>
      <c r="F88" s="12"/>
      <c r="G88" s="12"/>
      <c r="H88" s="52"/>
    </row>
    <row r="89" spans="1:8" ht="14.1" customHeight="1" x14ac:dyDescent="0.2">
      <c r="A89" s="1"/>
      <c r="B89" s="1"/>
      <c r="C89" s="2" t="s">
        <v>156</v>
      </c>
      <c r="D89" s="1"/>
      <c r="E89" s="1"/>
      <c r="F89" s="1"/>
      <c r="G89" s="1"/>
      <c r="H89" s="52"/>
    </row>
    <row r="90" spans="1:8" ht="14.1" customHeight="1" x14ac:dyDescent="0.2">
      <c r="A90" s="1"/>
      <c r="B90" s="1"/>
      <c r="C90" s="2" t="s">
        <v>145</v>
      </c>
      <c r="D90" s="1"/>
      <c r="E90" s="1" t="s">
        <v>146</v>
      </c>
      <c r="F90" s="13" t="s">
        <v>148</v>
      </c>
      <c r="G90" s="10">
        <v>0</v>
      </c>
      <c r="H90" s="52"/>
    </row>
    <row r="91" spans="1:8" ht="14.1" customHeight="1" x14ac:dyDescent="0.2">
      <c r="A91" s="1"/>
      <c r="B91" s="1"/>
      <c r="C91" s="11"/>
      <c r="D91" s="1"/>
      <c r="E91" s="1"/>
      <c r="F91" s="12"/>
      <c r="G91" s="12"/>
      <c r="H91" s="52"/>
    </row>
    <row r="92" spans="1:8" ht="14.1" customHeight="1" x14ac:dyDescent="0.2">
      <c r="A92" s="1"/>
      <c r="B92" s="1"/>
      <c r="C92" s="2" t="s">
        <v>157</v>
      </c>
      <c r="D92" s="1"/>
      <c r="E92" s="1"/>
      <c r="F92" s="12"/>
      <c r="G92" s="12"/>
      <c r="H92" s="52"/>
    </row>
    <row r="93" spans="1:8" ht="14.1" customHeight="1" x14ac:dyDescent="0.2">
      <c r="A93" s="1"/>
      <c r="B93" s="1"/>
      <c r="C93" s="2" t="s">
        <v>145</v>
      </c>
      <c r="D93" s="1"/>
      <c r="E93" s="1" t="s">
        <v>146</v>
      </c>
      <c r="F93" s="13" t="s">
        <v>148</v>
      </c>
      <c r="G93" s="10">
        <v>0</v>
      </c>
      <c r="H93" s="52"/>
    </row>
    <row r="94" spans="1:8" ht="14.1" customHeight="1" x14ac:dyDescent="0.2">
      <c r="A94" s="1"/>
      <c r="B94" s="1"/>
      <c r="C94" s="11"/>
      <c r="D94" s="1"/>
      <c r="E94" s="1"/>
      <c r="F94" s="12"/>
      <c r="G94" s="12"/>
      <c r="H94" s="52"/>
    </row>
    <row r="95" spans="1:8" ht="14.1" customHeight="1" x14ac:dyDescent="0.2">
      <c r="A95" s="1"/>
      <c r="B95" s="1"/>
      <c r="C95" s="2" t="s">
        <v>158</v>
      </c>
      <c r="D95" s="1"/>
      <c r="E95" s="1"/>
      <c r="F95" s="9">
        <v>0</v>
      </c>
      <c r="G95" s="10">
        <v>0</v>
      </c>
      <c r="H95" s="52"/>
    </row>
    <row r="96" spans="1:8" ht="14.1" customHeight="1" x14ac:dyDescent="0.2">
      <c r="A96" s="1"/>
      <c r="B96" s="1"/>
      <c r="C96" s="11"/>
      <c r="D96" s="1"/>
      <c r="E96" s="1"/>
      <c r="F96" s="12"/>
      <c r="G96" s="12"/>
      <c r="H96" s="52"/>
    </row>
    <row r="97" spans="1:8" ht="14.1" customHeight="1" x14ac:dyDescent="0.2">
      <c r="A97" s="1"/>
      <c r="B97" s="1"/>
      <c r="C97" s="2" t="s">
        <v>159</v>
      </c>
      <c r="D97" s="1"/>
      <c r="E97" s="1"/>
      <c r="F97" s="12"/>
      <c r="G97" s="12"/>
      <c r="H97" s="52"/>
    </row>
    <row r="98" spans="1:8" ht="14.1" customHeight="1" x14ac:dyDescent="0.2">
      <c r="A98" s="1"/>
      <c r="B98" s="1"/>
      <c r="C98" s="2" t="s">
        <v>160</v>
      </c>
      <c r="D98" s="1"/>
      <c r="E98" s="1"/>
      <c r="F98" s="12"/>
      <c r="G98" s="12"/>
      <c r="H98" s="52"/>
    </row>
    <row r="99" spans="1:8" ht="14.1" customHeight="1" x14ac:dyDescent="0.2">
      <c r="A99" s="1"/>
      <c r="B99" s="1"/>
      <c r="C99" s="2" t="s">
        <v>145</v>
      </c>
      <c r="D99" s="1"/>
      <c r="E99" s="1" t="s">
        <v>146</v>
      </c>
      <c r="F99" s="13" t="s">
        <v>148</v>
      </c>
      <c r="G99" s="10">
        <v>0</v>
      </c>
      <c r="H99" s="52"/>
    </row>
    <row r="100" spans="1:8" ht="14.1" customHeight="1" x14ac:dyDescent="0.2">
      <c r="A100" s="1"/>
      <c r="B100" s="1"/>
      <c r="C100" s="11"/>
      <c r="D100" s="1"/>
      <c r="E100" s="1"/>
      <c r="F100" s="12"/>
      <c r="G100" s="12"/>
      <c r="H100" s="52"/>
    </row>
    <row r="101" spans="1:8" ht="14.1" customHeight="1" x14ac:dyDescent="0.2">
      <c r="A101" s="1"/>
      <c r="B101" s="1"/>
      <c r="C101" s="2" t="s">
        <v>161</v>
      </c>
      <c r="D101" s="1"/>
      <c r="E101" s="1"/>
      <c r="F101" s="12"/>
      <c r="G101" s="12"/>
      <c r="H101" s="52"/>
    </row>
    <row r="102" spans="1:8" ht="14.1" customHeight="1" x14ac:dyDescent="0.2">
      <c r="A102" s="1"/>
      <c r="B102" s="1"/>
      <c r="C102" s="2" t="s">
        <v>145</v>
      </c>
      <c r="D102" s="1"/>
      <c r="E102" s="1" t="s">
        <v>146</v>
      </c>
      <c r="F102" s="13" t="s">
        <v>148</v>
      </c>
      <c r="G102" s="10">
        <v>0</v>
      </c>
      <c r="H102" s="52"/>
    </row>
    <row r="103" spans="1:8" ht="14.1" customHeight="1" x14ac:dyDescent="0.2">
      <c r="A103" s="1"/>
      <c r="B103" s="1"/>
      <c r="C103" s="11"/>
      <c r="D103" s="1"/>
      <c r="E103" s="1"/>
      <c r="F103" s="12"/>
      <c r="G103" s="12"/>
      <c r="H103" s="52"/>
    </row>
    <row r="104" spans="1:8" ht="14.1" customHeight="1" x14ac:dyDescent="0.2">
      <c r="A104" s="1"/>
      <c r="B104" s="1"/>
      <c r="C104" s="2" t="s">
        <v>162</v>
      </c>
      <c r="D104" s="1"/>
      <c r="E104" s="1"/>
      <c r="F104" s="12"/>
      <c r="G104" s="12"/>
      <c r="H104" s="52"/>
    </row>
    <row r="105" spans="1:8" ht="14.1" customHeight="1" x14ac:dyDescent="0.2">
      <c r="A105" s="1"/>
      <c r="B105" s="1"/>
      <c r="C105" s="2" t="s">
        <v>145</v>
      </c>
      <c r="D105" s="1"/>
      <c r="E105" s="1" t="s">
        <v>146</v>
      </c>
      <c r="F105" s="13" t="s">
        <v>148</v>
      </c>
      <c r="G105" s="10">
        <v>0</v>
      </c>
      <c r="H105" s="52"/>
    </row>
    <row r="106" spans="1:8" ht="14.1" customHeight="1" x14ac:dyDescent="0.2">
      <c r="A106" s="1"/>
      <c r="B106" s="1"/>
      <c r="C106" s="11"/>
      <c r="D106" s="1"/>
      <c r="E106" s="1"/>
      <c r="F106" s="12"/>
      <c r="G106" s="12"/>
      <c r="H106" s="52"/>
    </row>
    <row r="107" spans="1:8" ht="14.1" customHeight="1" x14ac:dyDescent="0.2">
      <c r="A107" s="1"/>
      <c r="B107" s="1"/>
      <c r="C107" s="2" t="s">
        <v>163</v>
      </c>
      <c r="D107" s="1"/>
      <c r="E107" s="1"/>
      <c r="F107" s="12"/>
      <c r="G107" s="12"/>
      <c r="H107" s="52"/>
    </row>
    <row r="108" spans="1:8" ht="17.100000000000001" customHeight="1" x14ac:dyDescent="0.2">
      <c r="A108" s="3">
        <v>1</v>
      </c>
      <c r="B108" s="4"/>
      <c r="C108" s="4" t="s">
        <v>164</v>
      </c>
      <c r="D108" s="4"/>
      <c r="E108" s="8"/>
      <c r="F108" s="6">
        <v>3361.1335869919999</v>
      </c>
      <c r="G108" s="7">
        <v>4.7322709999999997E-2</v>
      </c>
      <c r="H108" s="52">
        <v>6.7567375937238596</v>
      </c>
    </row>
    <row r="109" spans="1:8" ht="14.1" customHeight="1" x14ac:dyDescent="0.2">
      <c r="A109" s="1"/>
      <c r="B109" s="1"/>
      <c r="C109" s="2" t="s">
        <v>145</v>
      </c>
      <c r="D109" s="1"/>
      <c r="E109" s="1" t="s">
        <v>146</v>
      </c>
      <c r="F109" s="9">
        <v>3361.1335869919999</v>
      </c>
      <c r="G109" s="10">
        <v>4.7322709999999997E-2</v>
      </c>
      <c r="H109" s="52"/>
    </row>
    <row r="110" spans="1:8" ht="14.1" customHeight="1" x14ac:dyDescent="0.2">
      <c r="A110" s="1"/>
      <c r="B110" s="1"/>
      <c r="C110" s="11"/>
      <c r="D110" s="1"/>
      <c r="E110" s="1"/>
      <c r="F110" s="12"/>
      <c r="G110" s="12"/>
      <c r="H110" s="52"/>
    </row>
    <row r="111" spans="1:8" ht="14.1" customHeight="1" x14ac:dyDescent="0.2">
      <c r="A111" s="1"/>
      <c r="B111" s="1"/>
      <c r="C111" s="2" t="s">
        <v>165</v>
      </c>
      <c r="D111" s="1"/>
      <c r="E111" s="1"/>
      <c r="F111" s="9">
        <v>3361.1335869919999</v>
      </c>
      <c r="G111" s="10">
        <v>4.7322709999999997E-2</v>
      </c>
      <c r="H111" s="52"/>
    </row>
    <row r="112" spans="1:8" ht="14.1" customHeight="1" x14ac:dyDescent="0.2">
      <c r="A112" s="1"/>
      <c r="B112" s="1"/>
      <c r="C112" s="12"/>
      <c r="D112" s="1"/>
      <c r="E112" s="1"/>
      <c r="F112" s="1"/>
      <c r="G112" s="1"/>
      <c r="H112" s="52"/>
    </row>
    <row r="113" spans="1:8" ht="14.1" customHeight="1" x14ac:dyDescent="0.2">
      <c r="A113" s="1"/>
      <c r="B113" s="1"/>
      <c r="C113" s="2" t="s">
        <v>166</v>
      </c>
      <c r="D113" s="1"/>
      <c r="E113" s="1"/>
      <c r="F113" s="1"/>
      <c r="G113" s="1"/>
      <c r="H113" s="52"/>
    </row>
    <row r="114" spans="1:8" ht="14.1" customHeight="1" x14ac:dyDescent="0.2">
      <c r="A114" s="1"/>
      <c r="B114" s="1"/>
      <c r="C114" s="2" t="s">
        <v>167</v>
      </c>
      <c r="D114" s="1"/>
      <c r="E114" s="1"/>
      <c r="F114" s="1"/>
      <c r="G114" s="1"/>
      <c r="H114" s="52"/>
    </row>
    <row r="115" spans="1:8" ht="14.1" customHeight="1" x14ac:dyDescent="0.2">
      <c r="A115" s="1"/>
      <c r="B115" s="1"/>
      <c r="C115" s="2" t="s">
        <v>145</v>
      </c>
      <c r="D115" s="1"/>
      <c r="E115" s="1" t="s">
        <v>146</v>
      </c>
      <c r="F115" s="13" t="s">
        <v>148</v>
      </c>
      <c r="G115" s="10">
        <v>0</v>
      </c>
      <c r="H115" s="52"/>
    </row>
    <row r="116" spans="1:8" ht="14.1" customHeight="1" x14ac:dyDescent="0.2">
      <c r="A116" s="1"/>
      <c r="B116" s="1"/>
      <c r="C116" s="11"/>
      <c r="D116" s="1"/>
      <c r="E116" s="1"/>
      <c r="F116" s="12"/>
      <c r="G116" s="12"/>
      <c r="H116" s="52"/>
    </row>
    <row r="117" spans="1:8" ht="14.1" customHeight="1" x14ac:dyDescent="0.2">
      <c r="A117" s="1"/>
      <c r="B117" s="1"/>
      <c r="C117" s="2" t="s">
        <v>168</v>
      </c>
      <c r="D117" s="1"/>
      <c r="E117" s="1"/>
      <c r="F117" s="1"/>
      <c r="G117" s="1"/>
      <c r="H117" s="52"/>
    </row>
    <row r="118" spans="1:8" ht="14.1" customHeight="1" x14ac:dyDescent="0.2">
      <c r="A118" s="1"/>
      <c r="B118" s="1"/>
      <c r="C118" s="2" t="s">
        <v>169</v>
      </c>
      <c r="D118" s="1"/>
      <c r="E118" s="1"/>
      <c r="F118" s="1"/>
      <c r="G118" s="1"/>
      <c r="H118" s="52"/>
    </row>
    <row r="119" spans="1:8" ht="14.1" customHeight="1" x14ac:dyDescent="0.2">
      <c r="A119" s="1"/>
      <c r="B119" s="1"/>
      <c r="C119" s="2" t="s">
        <v>145</v>
      </c>
      <c r="D119" s="1"/>
      <c r="E119" s="1" t="s">
        <v>146</v>
      </c>
      <c r="F119" s="13" t="s">
        <v>148</v>
      </c>
      <c r="G119" s="10">
        <v>0</v>
      </c>
      <c r="H119" s="52"/>
    </row>
    <row r="120" spans="1:8" ht="14.1" customHeight="1" x14ac:dyDescent="0.2">
      <c r="A120" s="1"/>
      <c r="B120" s="1"/>
      <c r="C120" s="11"/>
      <c r="D120" s="1"/>
      <c r="E120" s="1"/>
      <c r="F120" s="12"/>
      <c r="G120" s="12"/>
      <c r="H120" s="52"/>
    </row>
    <row r="121" spans="1:8" ht="24" customHeight="1" x14ac:dyDescent="0.2">
      <c r="A121" s="1"/>
      <c r="B121" s="1"/>
      <c r="C121" s="2" t="s">
        <v>170</v>
      </c>
      <c r="D121" s="1"/>
      <c r="E121" s="1"/>
      <c r="F121" s="12"/>
      <c r="G121" s="12"/>
      <c r="H121" s="52"/>
    </row>
    <row r="122" spans="1:8" ht="14.1" customHeight="1" x14ac:dyDescent="0.2">
      <c r="A122" s="1"/>
      <c r="B122" s="1"/>
      <c r="C122" s="2" t="s">
        <v>145</v>
      </c>
      <c r="D122" s="1"/>
      <c r="E122" s="1" t="s">
        <v>146</v>
      </c>
      <c r="F122" s="13" t="s">
        <v>148</v>
      </c>
      <c r="G122" s="10">
        <v>0</v>
      </c>
      <c r="H122" s="52"/>
    </row>
    <row r="123" spans="1:8" ht="14.1" customHeight="1" x14ac:dyDescent="0.2">
      <c r="A123" s="1"/>
      <c r="B123" s="1"/>
      <c r="C123" s="11"/>
      <c r="D123" s="1"/>
      <c r="E123" s="1"/>
      <c r="F123" s="12"/>
      <c r="G123" s="12"/>
      <c r="H123" s="52"/>
    </row>
    <row r="124" spans="1:8" ht="14.1" customHeight="1" x14ac:dyDescent="0.2">
      <c r="A124" s="1"/>
      <c r="B124" s="4"/>
      <c r="C124" s="4"/>
      <c r="D124" s="2"/>
      <c r="E124" s="1"/>
      <c r="F124" s="4"/>
      <c r="G124" s="8"/>
      <c r="H124" s="52"/>
    </row>
    <row r="125" spans="1:8" ht="18" customHeight="1" x14ac:dyDescent="0.2">
      <c r="A125" s="8"/>
      <c r="B125" s="4"/>
      <c r="C125" s="4" t="s">
        <v>171</v>
      </c>
      <c r="D125" s="4"/>
      <c r="E125" s="8"/>
      <c r="F125" s="6">
        <v>-134.88516059</v>
      </c>
      <c r="G125" s="7">
        <v>-1.8990999999999999E-3</v>
      </c>
      <c r="H125" s="52"/>
    </row>
    <row r="126" spans="1:8" ht="14.1" customHeight="1" x14ac:dyDescent="0.2">
      <c r="A126" s="11"/>
      <c r="B126" s="11"/>
      <c r="C126" s="40" t="s">
        <v>172</v>
      </c>
      <c r="D126" s="12"/>
      <c r="E126" s="12"/>
      <c r="F126" s="9">
        <v>71025.809749591004</v>
      </c>
      <c r="G126" s="14">
        <v>1.0000000600000001</v>
      </c>
      <c r="H126" s="52"/>
    </row>
    <row r="127" spans="1:8" ht="14.1" customHeight="1" x14ac:dyDescent="0.2">
      <c r="A127" s="15"/>
      <c r="B127" s="15"/>
      <c r="C127" s="15"/>
      <c r="D127" s="16"/>
      <c r="E127" s="16"/>
      <c r="F127" s="16"/>
      <c r="G127" s="16"/>
    </row>
    <row r="128" spans="1:8" ht="17.100000000000001" customHeight="1" x14ac:dyDescent="0.2">
      <c r="A128" s="17"/>
      <c r="B128" s="125" t="s">
        <v>173</v>
      </c>
      <c r="C128" s="126"/>
      <c r="D128" s="126"/>
      <c r="E128" s="126"/>
      <c r="F128" s="126"/>
      <c r="G128" s="19"/>
    </row>
    <row r="129" spans="1:7" ht="14.1" customHeight="1" x14ac:dyDescent="0.2">
      <c r="A129" s="17"/>
      <c r="B129" s="17"/>
      <c r="C129" s="17"/>
      <c r="D129" s="19"/>
      <c r="E129" s="19"/>
      <c r="F129" s="19"/>
      <c r="G129" s="19"/>
    </row>
    <row r="130" spans="1:7" ht="14.1" customHeight="1" x14ac:dyDescent="0.2">
      <c r="A130" s="17"/>
      <c r="B130" s="127" t="s">
        <v>174</v>
      </c>
      <c r="C130" s="128"/>
      <c r="D130" s="129"/>
      <c r="E130" s="20"/>
      <c r="F130" s="19"/>
      <c r="G130" s="19"/>
    </row>
    <row r="131" spans="1:7" ht="29.1" customHeight="1" x14ac:dyDescent="0.2">
      <c r="A131" s="17"/>
      <c r="B131" s="121" t="s">
        <v>175</v>
      </c>
      <c r="C131" s="122"/>
      <c r="D131" s="2" t="s">
        <v>176</v>
      </c>
      <c r="E131" s="20"/>
      <c r="F131" s="19"/>
      <c r="G131" s="19"/>
    </row>
    <row r="132" spans="1:7" ht="17.100000000000001" customHeight="1" x14ac:dyDescent="0.2">
      <c r="A132" s="17"/>
      <c r="B132" s="123" t="s">
        <v>947</v>
      </c>
      <c r="C132" s="124"/>
      <c r="D132" s="40" t="s">
        <v>948</v>
      </c>
      <c r="E132" s="20"/>
      <c r="F132" s="19"/>
      <c r="G132" s="19"/>
    </row>
    <row r="133" spans="1:7" ht="17.100000000000001" customHeight="1" x14ac:dyDescent="0.2">
      <c r="A133" s="17"/>
      <c r="B133" s="121" t="s">
        <v>178</v>
      </c>
      <c r="C133" s="122"/>
      <c r="D133" s="12" t="s">
        <v>146</v>
      </c>
      <c r="E133" s="20"/>
      <c r="F133" s="19"/>
      <c r="G133" s="19"/>
    </row>
    <row r="134" spans="1:7" ht="24" customHeight="1" x14ac:dyDescent="0.2">
      <c r="A134" s="21"/>
      <c r="B134" s="22" t="s">
        <v>146</v>
      </c>
      <c r="C134" s="22" t="s">
        <v>179</v>
      </c>
      <c r="D134" s="22" t="s">
        <v>180</v>
      </c>
      <c r="E134" s="21"/>
      <c r="F134" s="21"/>
      <c r="G134" s="21"/>
    </row>
    <row r="135" spans="1:7" ht="18" customHeight="1" x14ac:dyDescent="0.2">
      <c r="A135" s="21"/>
      <c r="B135" s="23" t="s">
        <v>181</v>
      </c>
      <c r="C135" s="22" t="s">
        <v>182</v>
      </c>
      <c r="D135" s="22" t="s">
        <v>183</v>
      </c>
      <c r="E135" s="21"/>
      <c r="F135" s="21"/>
      <c r="G135" s="21"/>
    </row>
    <row r="136" spans="1:7" ht="17.100000000000001" customHeight="1" x14ac:dyDescent="0.2">
      <c r="A136" s="21"/>
      <c r="B136" s="4" t="s">
        <v>184</v>
      </c>
      <c r="C136" s="24">
        <v>69.436400000000006</v>
      </c>
      <c r="D136" s="24">
        <v>67.215900000000005</v>
      </c>
      <c r="E136" s="21"/>
      <c r="F136" s="18"/>
      <c r="G136" s="25"/>
    </row>
    <row r="137" spans="1:7" ht="17.100000000000001" customHeight="1" x14ac:dyDescent="0.2">
      <c r="A137" s="21"/>
      <c r="B137" s="4" t="s">
        <v>1039</v>
      </c>
      <c r="C137" s="24">
        <v>49.805599999999998</v>
      </c>
      <c r="D137" s="24">
        <v>48.212899999999998</v>
      </c>
      <c r="E137" s="21"/>
      <c r="F137" s="18"/>
      <c r="G137" s="25"/>
    </row>
    <row r="138" spans="1:7" ht="17.100000000000001" customHeight="1" x14ac:dyDescent="0.2">
      <c r="A138" s="21"/>
      <c r="B138" s="4" t="s">
        <v>185</v>
      </c>
      <c r="C138" s="24">
        <v>65.639499999999998</v>
      </c>
      <c r="D138" s="24">
        <v>63.511400000000002</v>
      </c>
      <c r="E138" s="21"/>
      <c r="F138" s="18"/>
      <c r="G138" s="25"/>
    </row>
    <row r="139" spans="1:7" ht="17.100000000000001" customHeight="1" x14ac:dyDescent="0.2">
      <c r="A139" s="21"/>
      <c r="B139" s="4" t="s">
        <v>1040</v>
      </c>
      <c r="C139" s="24">
        <v>46.844499999999996</v>
      </c>
      <c r="D139" s="24">
        <v>45.325699999999998</v>
      </c>
      <c r="E139" s="21"/>
      <c r="F139" s="18"/>
      <c r="G139" s="25"/>
    </row>
    <row r="140" spans="1:7" ht="14.1" customHeight="1" x14ac:dyDescent="0.2">
      <c r="A140" s="21"/>
      <c r="B140" s="21"/>
      <c r="C140" s="21"/>
      <c r="D140" s="21"/>
      <c r="E140" s="21"/>
      <c r="F140" s="21"/>
      <c r="G140" s="21"/>
    </row>
    <row r="141" spans="1:7" ht="17.100000000000001" customHeight="1" x14ac:dyDescent="0.2">
      <c r="A141" s="21"/>
      <c r="B141" s="121" t="s">
        <v>1041</v>
      </c>
      <c r="C141" s="122"/>
      <c r="D141" s="40" t="s">
        <v>176</v>
      </c>
      <c r="E141" s="21"/>
      <c r="F141" s="21"/>
      <c r="G141" s="21"/>
    </row>
    <row r="142" spans="1:7" ht="18" customHeight="1" x14ac:dyDescent="0.2">
      <c r="A142" s="21"/>
      <c r="B142" s="26"/>
      <c r="C142" s="26"/>
      <c r="D142" s="26"/>
      <c r="E142" s="21"/>
      <c r="F142" s="21"/>
      <c r="G142" s="21"/>
    </row>
    <row r="143" spans="1:7" ht="29.1" customHeight="1" x14ac:dyDescent="0.2">
      <c r="A143" s="21"/>
      <c r="B143" s="121" t="s">
        <v>186</v>
      </c>
      <c r="C143" s="122"/>
      <c r="D143" s="2" t="s">
        <v>176</v>
      </c>
      <c r="E143" s="27"/>
      <c r="F143" s="21"/>
      <c r="G143" s="21"/>
    </row>
    <row r="144" spans="1:7" ht="29.1" customHeight="1" x14ac:dyDescent="0.2">
      <c r="A144" s="21"/>
      <c r="B144" s="121" t="s">
        <v>187</v>
      </c>
      <c r="C144" s="122"/>
      <c r="D144" s="2" t="s">
        <v>176</v>
      </c>
      <c r="E144" s="27"/>
      <c r="F144" s="21"/>
      <c r="G144" s="21"/>
    </row>
    <row r="145" spans="1:7" ht="17.100000000000001" customHeight="1" x14ac:dyDescent="0.2">
      <c r="A145" s="21"/>
      <c r="B145" s="121" t="s">
        <v>188</v>
      </c>
      <c r="C145" s="122"/>
      <c r="D145" s="2" t="s">
        <v>176</v>
      </c>
      <c r="E145" s="27"/>
      <c r="F145" s="21"/>
      <c r="G145" s="21"/>
    </row>
    <row r="146" spans="1:7" ht="17.100000000000001" customHeight="1" x14ac:dyDescent="0.2">
      <c r="A146" s="21"/>
      <c r="B146" s="121" t="s">
        <v>189</v>
      </c>
      <c r="C146" s="122"/>
      <c r="D146" s="50">
        <v>0.2399147309863954</v>
      </c>
      <c r="E146" s="21"/>
      <c r="F146" s="18"/>
      <c r="G146" s="25"/>
    </row>
  </sheetData>
  <mergeCells count="14">
    <mergeCell ref="A1:H1"/>
    <mergeCell ref="A2:H2"/>
    <mergeCell ref="A3:H3"/>
    <mergeCell ref="J2:N2"/>
    <mergeCell ref="B146:C146"/>
    <mergeCell ref="B132:C132"/>
    <mergeCell ref="B133:C133"/>
    <mergeCell ref="B141:C141"/>
    <mergeCell ref="B143:C143"/>
    <mergeCell ref="B144:C144"/>
    <mergeCell ref="B145:C145"/>
    <mergeCell ref="B131:C131"/>
    <mergeCell ref="B128:F128"/>
    <mergeCell ref="B130:D130"/>
  </mergeCells>
  <hyperlinks>
    <hyperlink ref="I1" location="Index!B2" display="Index" xr:uid="{6BFF3E7C-6BE4-48DC-8825-A5F5DAB7D6F9}"/>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N91"/>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9" max="9" width="9.140625" style="57"/>
  </cols>
  <sheetData>
    <row r="1" spans="1:14" ht="18" customHeight="1" x14ac:dyDescent="0.2">
      <c r="A1" s="116" t="s">
        <v>0</v>
      </c>
      <c r="B1" s="116"/>
      <c r="C1" s="116"/>
      <c r="D1" s="116"/>
      <c r="E1" s="116"/>
      <c r="F1" s="116"/>
      <c r="G1" s="116"/>
      <c r="H1" s="116"/>
      <c r="I1" s="98" t="s">
        <v>1053</v>
      </c>
      <c r="J1" s="97"/>
      <c r="K1" s="97"/>
      <c r="L1" s="97"/>
      <c r="M1" s="97"/>
      <c r="N1" s="97"/>
    </row>
    <row r="2" spans="1:14" ht="17.100000000000001" customHeight="1" x14ac:dyDescent="0.2">
      <c r="A2" s="117" t="s">
        <v>846</v>
      </c>
      <c r="B2" s="118"/>
      <c r="C2" s="118"/>
      <c r="D2" s="118"/>
      <c r="E2" s="118"/>
      <c r="F2" s="118"/>
      <c r="G2" s="118"/>
      <c r="H2" s="119"/>
      <c r="J2" s="120" t="s">
        <v>1054</v>
      </c>
      <c r="K2" s="120"/>
      <c r="L2" s="120"/>
      <c r="M2" s="120"/>
      <c r="N2" s="120"/>
    </row>
    <row r="3" spans="1:14" ht="21" customHeight="1" x14ac:dyDescent="0.2">
      <c r="A3" s="116" t="s">
        <v>1049</v>
      </c>
      <c r="B3" s="116"/>
      <c r="C3" s="116"/>
      <c r="D3" s="116"/>
      <c r="E3" s="116"/>
      <c r="F3" s="116"/>
      <c r="G3" s="116"/>
      <c r="H3" s="116"/>
      <c r="J3" s="97"/>
      <c r="K3" s="97"/>
      <c r="L3" s="97"/>
      <c r="M3" s="97"/>
      <c r="N3" s="97"/>
    </row>
    <row r="4" spans="1:14" ht="30" x14ac:dyDescent="0.2">
      <c r="A4" s="96" t="s">
        <v>2</v>
      </c>
      <c r="B4" s="96" t="s">
        <v>3</v>
      </c>
      <c r="C4" s="96" t="s">
        <v>4</v>
      </c>
      <c r="D4" s="96" t="s">
        <v>5</v>
      </c>
      <c r="E4" s="96" t="s">
        <v>6</v>
      </c>
      <c r="F4" s="96" t="s">
        <v>7</v>
      </c>
      <c r="G4" s="96" t="s">
        <v>8</v>
      </c>
      <c r="H4" s="51" t="s">
        <v>1002</v>
      </c>
      <c r="I4" s="102"/>
      <c r="J4" s="97"/>
      <c r="K4" s="97"/>
      <c r="L4" s="97"/>
      <c r="M4" s="97"/>
      <c r="N4" s="97"/>
    </row>
    <row r="5" spans="1:14" ht="14.1" customHeight="1" x14ac:dyDescent="0.2">
      <c r="A5" s="1"/>
      <c r="B5" s="1"/>
      <c r="C5" s="2" t="s">
        <v>9</v>
      </c>
      <c r="D5" s="1"/>
      <c r="E5" s="1"/>
      <c r="F5" s="1"/>
      <c r="G5" s="1"/>
      <c r="H5" s="52"/>
      <c r="J5" s="97"/>
      <c r="K5" s="97"/>
      <c r="L5" s="97"/>
      <c r="M5" s="97"/>
      <c r="N5" s="97"/>
    </row>
    <row r="6" spans="1:14" ht="24" customHeight="1" x14ac:dyDescent="0.2">
      <c r="A6" s="1"/>
      <c r="B6" s="1"/>
      <c r="C6" s="2" t="s">
        <v>10</v>
      </c>
      <c r="D6" s="1"/>
      <c r="E6" s="1"/>
      <c r="F6" s="1"/>
      <c r="G6" s="1"/>
      <c r="H6" s="52"/>
      <c r="J6" s="97"/>
      <c r="K6" s="97"/>
      <c r="L6" s="97"/>
      <c r="M6" s="97"/>
      <c r="N6" s="97"/>
    </row>
    <row r="7" spans="1:14" ht="14.1" customHeight="1" x14ac:dyDescent="0.2">
      <c r="A7" s="1"/>
      <c r="B7" s="1"/>
      <c r="C7" s="2" t="s">
        <v>145</v>
      </c>
      <c r="D7" s="1"/>
      <c r="E7" s="1" t="s">
        <v>146</v>
      </c>
      <c r="F7" s="13" t="s">
        <v>148</v>
      </c>
      <c r="G7" s="10">
        <v>0</v>
      </c>
      <c r="H7" s="52"/>
      <c r="J7" s="97"/>
      <c r="K7" s="97"/>
      <c r="L7" s="97"/>
      <c r="M7" s="97"/>
      <c r="N7" s="97"/>
    </row>
    <row r="8" spans="1:14" ht="14.1" customHeight="1" x14ac:dyDescent="0.2">
      <c r="A8" s="1"/>
      <c r="B8" s="1"/>
      <c r="C8" s="11"/>
      <c r="D8" s="1"/>
      <c r="E8" s="1"/>
      <c r="F8" s="12"/>
      <c r="G8" s="12"/>
      <c r="H8" s="52"/>
      <c r="J8" s="97"/>
      <c r="K8" s="97"/>
      <c r="L8" s="97"/>
      <c r="M8" s="97"/>
      <c r="N8" s="97"/>
    </row>
    <row r="9" spans="1:14" ht="14.1" customHeight="1" x14ac:dyDescent="0.2">
      <c r="A9" s="1"/>
      <c r="B9" s="1"/>
      <c r="C9" s="2" t="s">
        <v>147</v>
      </c>
      <c r="D9" s="1"/>
      <c r="E9" s="1"/>
      <c r="F9" s="1"/>
      <c r="G9" s="1"/>
      <c r="H9" s="52"/>
      <c r="J9" s="97"/>
      <c r="K9" s="97"/>
      <c r="L9" s="97"/>
      <c r="M9" s="97"/>
      <c r="N9" s="97"/>
    </row>
    <row r="10" spans="1:14" ht="14.1" customHeight="1" x14ac:dyDescent="0.2">
      <c r="A10" s="1"/>
      <c r="B10" s="1"/>
      <c r="C10" s="2" t="s">
        <v>145</v>
      </c>
      <c r="D10" s="1"/>
      <c r="E10" s="1" t="s">
        <v>146</v>
      </c>
      <c r="F10" s="13" t="s">
        <v>148</v>
      </c>
      <c r="G10" s="10">
        <v>0</v>
      </c>
      <c r="H10" s="52"/>
      <c r="J10" s="97"/>
      <c r="K10" s="97"/>
      <c r="L10" s="97"/>
      <c r="M10" s="97"/>
      <c r="N10" s="97"/>
    </row>
    <row r="11" spans="1:14" ht="14.1" customHeight="1" x14ac:dyDescent="0.2">
      <c r="A11" s="1"/>
      <c r="B11" s="1"/>
      <c r="C11" s="11"/>
      <c r="D11" s="1"/>
      <c r="E11" s="1"/>
      <c r="F11" s="12"/>
      <c r="G11" s="12"/>
      <c r="H11" s="52"/>
      <c r="J11" s="97"/>
      <c r="K11" s="97"/>
      <c r="L11" s="97"/>
      <c r="M11" s="97"/>
      <c r="N11" s="97"/>
    </row>
    <row r="12" spans="1:14" ht="14.1" customHeight="1" x14ac:dyDescent="0.2">
      <c r="A12" s="1"/>
      <c r="B12" s="1"/>
      <c r="C12" s="2" t="s">
        <v>149</v>
      </c>
      <c r="D12" s="1"/>
      <c r="E12" s="1"/>
      <c r="F12" s="1"/>
      <c r="G12" s="1"/>
      <c r="H12" s="52"/>
      <c r="J12" s="97"/>
      <c r="K12" s="97"/>
      <c r="L12" s="97"/>
      <c r="M12" s="97"/>
      <c r="N12" s="97"/>
    </row>
    <row r="13" spans="1:14" ht="14.1" customHeight="1" x14ac:dyDescent="0.2">
      <c r="A13" s="1"/>
      <c r="B13" s="1"/>
      <c r="C13" s="2" t="s">
        <v>145</v>
      </c>
      <c r="D13" s="1"/>
      <c r="E13" s="1" t="s">
        <v>146</v>
      </c>
      <c r="F13" s="13" t="s">
        <v>148</v>
      </c>
      <c r="G13" s="10">
        <v>0</v>
      </c>
      <c r="H13" s="52"/>
      <c r="J13" s="97"/>
      <c r="K13" s="97"/>
      <c r="L13" s="97"/>
      <c r="M13" s="97"/>
      <c r="N13" s="97"/>
    </row>
    <row r="14" spans="1:14" ht="14.1" customHeight="1" x14ac:dyDescent="0.2">
      <c r="A14" s="1"/>
      <c r="B14" s="1"/>
      <c r="C14" s="11"/>
      <c r="D14" s="1"/>
      <c r="E14" s="1"/>
      <c r="F14" s="12"/>
      <c r="G14" s="12"/>
      <c r="H14" s="52"/>
      <c r="J14" s="97"/>
      <c r="K14" s="97"/>
      <c r="L14" s="97"/>
      <c r="M14" s="97"/>
      <c r="N14" s="97"/>
    </row>
    <row r="15" spans="1:14" ht="14.1" customHeight="1" x14ac:dyDescent="0.2">
      <c r="A15" s="1"/>
      <c r="B15" s="1"/>
      <c r="C15" s="2" t="s">
        <v>150</v>
      </c>
      <c r="D15" s="1"/>
      <c r="E15" s="1"/>
      <c r="F15" s="1"/>
      <c r="G15" s="1"/>
      <c r="H15" s="52"/>
      <c r="J15" s="97"/>
      <c r="K15" s="97"/>
      <c r="L15" s="97"/>
      <c r="M15" s="97"/>
      <c r="N15" s="97"/>
    </row>
    <row r="16" spans="1:14" ht="14.1" customHeight="1" x14ac:dyDescent="0.2">
      <c r="A16" s="1"/>
      <c r="B16" s="1"/>
      <c r="C16" s="2" t="s">
        <v>145</v>
      </c>
      <c r="D16" s="1"/>
      <c r="E16" s="1" t="s">
        <v>146</v>
      </c>
      <c r="F16" s="13" t="s">
        <v>148</v>
      </c>
      <c r="G16" s="10">
        <v>0</v>
      </c>
      <c r="H16" s="52"/>
      <c r="J16" s="101" t="s">
        <v>1056</v>
      </c>
      <c r="K16" s="97"/>
      <c r="L16" s="97"/>
      <c r="M16" s="97"/>
      <c r="N16" s="97"/>
    </row>
    <row r="17" spans="1:14" ht="14.1" customHeight="1" x14ac:dyDescent="0.2">
      <c r="A17" s="1"/>
      <c r="B17" s="1"/>
      <c r="C17" s="11"/>
      <c r="D17" s="1"/>
      <c r="E17" s="1"/>
      <c r="F17" s="12"/>
      <c r="G17" s="12"/>
      <c r="H17" s="52"/>
      <c r="J17" s="97"/>
      <c r="K17" s="97"/>
      <c r="L17" s="97"/>
      <c r="M17" s="97"/>
      <c r="N17" s="97"/>
    </row>
    <row r="18" spans="1:14" ht="14.1" customHeight="1" x14ac:dyDescent="0.2">
      <c r="A18" s="1"/>
      <c r="B18" s="1"/>
      <c r="C18" s="2" t="s">
        <v>151</v>
      </c>
      <c r="D18" s="1"/>
      <c r="E18" s="1"/>
      <c r="F18" s="12"/>
      <c r="G18" s="12"/>
      <c r="H18" s="52"/>
      <c r="J18" s="97"/>
      <c r="K18" s="97"/>
      <c r="L18" s="97"/>
      <c r="M18" s="97"/>
      <c r="N18" s="97"/>
    </row>
    <row r="19" spans="1:14" ht="14.1" customHeight="1" x14ac:dyDescent="0.2">
      <c r="A19" s="1"/>
      <c r="B19" s="1"/>
      <c r="C19" s="2" t="s">
        <v>145</v>
      </c>
      <c r="D19" s="1"/>
      <c r="E19" s="1" t="s">
        <v>146</v>
      </c>
      <c r="F19" s="13" t="s">
        <v>148</v>
      </c>
      <c r="G19" s="10">
        <v>0</v>
      </c>
      <c r="H19" s="52"/>
      <c r="J19" s="97"/>
      <c r="K19" s="97"/>
      <c r="L19" s="97"/>
      <c r="M19" s="97"/>
      <c r="N19" s="97"/>
    </row>
    <row r="20" spans="1:14" ht="14.1" customHeight="1" x14ac:dyDescent="0.2">
      <c r="A20" s="1"/>
      <c r="B20" s="1"/>
      <c r="C20" s="11"/>
      <c r="D20" s="1"/>
      <c r="E20" s="1"/>
      <c r="F20" s="12"/>
      <c r="G20" s="12"/>
      <c r="H20" s="52"/>
      <c r="J20" s="97"/>
      <c r="K20" s="97"/>
      <c r="L20" s="97"/>
      <c r="M20" s="97"/>
      <c r="N20" s="97"/>
    </row>
    <row r="21" spans="1:14" ht="14.1" customHeight="1" x14ac:dyDescent="0.2">
      <c r="A21" s="1"/>
      <c r="B21" s="1"/>
      <c r="C21" s="2" t="s">
        <v>152</v>
      </c>
      <c r="D21" s="1"/>
      <c r="E21" s="1"/>
      <c r="F21" s="12"/>
      <c r="G21" s="12"/>
      <c r="H21" s="52"/>
      <c r="J21" s="97"/>
      <c r="K21" s="97"/>
      <c r="L21" s="97"/>
      <c r="M21" s="97"/>
      <c r="N21" s="97"/>
    </row>
    <row r="22" spans="1:14" ht="14.1" customHeight="1" x14ac:dyDescent="0.2">
      <c r="A22" s="1"/>
      <c r="B22" s="1"/>
      <c r="C22" s="2" t="s">
        <v>145</v>
      </c>
      <c r="D22" s="1"/>
      <c r="E22" s="1" t="s">
        <v>146</v>
      </c>
      <c r="F22" s="13" t="s">
        <v>148</v>
      </c>
      <c r="G22" s="10">
        <v>0</v>
      </c>
      <c r="H22" s="52"/>
      <c r="J22" s="97"/>
      <c r="K22" s="97"/>
      <c r="L22" s="97"/>
      <c r="M22" s="97"/>
      <c r="N22" s="97"/>
    </row>
    <row r="23" spans="1:14" ht="14.1" customHeight="1" x14ac:dyDescent="0.2">
      <c r="A23" s="1"/>
      <c r="B23" s="1"/>
      <c r="C23" s="11"/>
      <c r="D23" s="1"/>
      <c r="E23" s="1"/>
      <c r="F23" s="12"/>
      <c r="G23" s="12"/>
      <c r="H23" s="52"/>
      <c r="J23" s="97"/>
      <c r="K23" s="97"/>
      <c r="L23" s="97"/>
      <c r="M23" s="97"/>
      <c r="N23" s="97"/>
    </row>
    <row r="24" spans="1:14" ht="18" customHeight="1" x14ac:dyDescent="0.2">
      <c r="A24" s="1"/>
      <c r="B24" s="1"/>
      <c r="C24" s="2" t="s">
        <v>153</v>
      </c>
      <c r="D24" s="1"/>
      <c r="E24" s="1"/>
      <c r="F24" s="9">
        <v>0</v>
      </c>
      <c r="G24" s="10">
        <v>0</v>
      </c>
      <c r="H24" s="52"/>
      <c r="J24" s="97"/>
      <c r="K24" s="97"/>
      <c r="L24" s="97"/>
      <c r="M24" s="97"/>
      <c r="N24" s="97"/>
    </row>
    <row r="25" spans="1:14" ht="14.1" customHeight="1" x14ac:dyDescent="0.2">
      <c r="A25" s="1"/>
      <c r="B25" s="1"/>
      <c r="C25" s="11"/>
      <c r="D25" s="1"/>
      <c r="E25" s="1"/>
      <c r="F25" s="12"/>
      <c r="G25" s="12"/>
      <c r="H25" s="52"/>
      <c r="J25" s="97"/>
      <c r="K25" s="97"/>
      <c r="L25" s="97"/>
      <c r="M25" s="97"/>
      <c r="N25" s="97"/>
    </row>
    <row r="26" spans="1:14" ht="14.1" customHeight="1" x14ac:dyDescent="0.2">
      <c r="A26" s="1"/>
      <c r="B26" s="1"/>
      <c r="C26" s="2" t="s">
        <v>154</v>
      </c>
      <c r="D26" s="1"/>
      <c r="E26" s="1"/>
      <c r="F26" s="12"/>
      <c r="G26" s="12"/>
      <c r="H26" s="52"/>
      <c r="J26" s="97"/>
      <c r="K26" s="97"/>
      <c r="L26" s="97"/>
      <c r="M26" s="97"/>
      <c r="N26" s="97"/>
    </row>
    <row r="27" spans="1:14" ht="24" customHeight="1" x14ac:dyDescent="0.2">
      <c r="A27" s="1"/>
      <c r="B27" s="1"/>
      <c r="C27" s="2" t="s">
        <v>10</v>
      </c>
      <c r="D27" s="1"/>
      <c r="E27" s="1"/>
      <c r="F27" s="12"/>
      <c r="G27" s="12"/>
      <c r="H27" s="52"/>
      <c r="J27" s="97"/>
      <c r="K27" s="97"/>
      <c r="L27" s="97"/>
      <c r="M27" s="97"/>
      <c r="N27" s="97"/>
    </row>
    <row r="28" spans="1:14" ht="14.1" customHeight="1" x14ac:dyDescent="0.2">
      <c r="A28" s="1"/>
      <c r="B28" s="1"/>
      <c r="C28" s="2" t="s">
        <v>145</v>
      </c>
      <c r="D28" s="1"/>
      <c r="E28" s="1" t="s">
        <v>146</v>
      </c>
      <c r="F28" s="13" t="s">
        <v>148</v>
      </c>
      <c r="G28" s="10">
        <v>0</v>
      </c>
      <c r="H28" s="52"/>
      <c r="J28" s="97"/>
      <c r="K28" s="97"/>
      <c r="L28" s="97"/>
      <c r="M28" s="97"/>
      <c r="N28" s="97"/>
    </row>
    <row r="29" spans="1:14" ht="14.1" customHeight="1" x14ac:dyDescent="0.2">
      <c r="A29" s="1"/>
      <c r="B29" s="1"/>
      <c r="C29" s="11"/>
      <c r="D29" s="1"/>
      <c r="E29" s="1"/>
      <c r="F29" s="12"/>
      <c r="G29" s="12"/>
      <c r="H29" s="52"/>
      <c r="J29" s="97"/>
      <c r="K29" s="97"/>
      <c r="L29" s="97"/>
      <c r="M29" s="97"/>
      <c r="N29" s="97"/>
    </row>
    <row r="30" spans="1:14" ht="14.1" customHeight="1" x14ac:dyDescent="0.2">
      <c r="A30" s="1"/>
      <c r="B30" s="1"/>
      <c r="C30" s="2" t="s">
        <v>155</v>
      </c>
      <c r="D30" s="1"/>
      <c r="E30" s="1"/>
      <c r="F30" s="1"/>
      <c r="G30" s="1"/>
      <c r="H30" s="52"/>
      <c r="J30" s="97"/>
      <c r="K30" s="97"/>
      <c r="L30" s="97"/>
      <c r="M30" s="97"/>
      <c r="N30" s="97"/>
    </row>
    <row r="31" spans="1:14" ht="14.1" customHeight="1" x14ac:dyDescent="0.2">
      <c r="A31" s="1"/>
      <c r="B31" s="1"/>
      <c r="C31" s="2" t="s">
        <v>145</v>
      </c>
      <c r="D31" s="1"/>
      <c r="E31" s="1" t="s">
        <v>146</v>
      </c>
      <c r="F31" s="13" t="s">
        <v>148</v>
      </c>
      <c r="G31" s="10">
        <v>0</v>
      </c>
      <c r="H31" s="52"/>
      <c r="J31" s="97"/>
      <c r="K31" s="97"/>
      <c r="L31" s="97"/>
      <c r="M31" s="97"/>
      <c r="N31" s="97"/>
    </row>
    <row r="32" spans="1:14" ht="14.1" customHeight="1" x14ac:dyDescent="0.2">
      <c r="A32" s="1"/>
      <c r="B32" s="1"/>
      <c r="C32" s="11"/>
      <c r="D32" s="1"/>
      <c r="E32" s="1"/>
      <c r="F32" s="12"/>
      <c r="G32" s="12"/>
      <c r="H32" s="52"/>
      <c r="J32" s="97"/>
      <c r="K32" s="97"/>
      <c r="L32" s="97"/>
      <c r="M32" s="97"/>
      <c r="N32" s="97"/>
    </row>
    <row r="33" spans="1:14" ht="14.1" customHeight="1" x14ac:dyDescent="0.2">
      <c r="A33" s="1"/>
      <c r="B33" s="1"/>
      <c r="C33" s="2" t="s">
        <v>156</v>
      </c>
      <c r="D33" s="1"/>
      <c r="E33" s="1"/>
      <c r="F33" s="1"/>
      <c r="G33" s="1"/>
      <c r="H33" s="52"/>
      <c r="J33" s="97"/>
      <c r="K33" s="97"/>
      <c r="L33" s="97"/>
      <c r="M33" s="97"/>
      <c r="N33" s="97"/>
    </row>
    <row r="34" spans="1:14" ht="14.1" customHeight="1" x14ac:dyDescent="0.2">
      <c r="A34" s="1"/>
      <c r="B34" s="1"/>
      <c r="C34" s="2" t="s">
        <v>145</v>
      </c>
      <c r="D34" s="1"/>
      <c r="E34" s="1" t="s">
        <v>146</v>
      </c>
      <c r="F34" s="13" t="s">
        <v>148</v>
      </c>
      <c r="G34" s="10">
        <v>0</v>
      </c>
      <c r="H34" s="52"/>
      <c r="J34" s="97"/>
      <c r="K34" s="97"/>
      <c r="L34" s="97"/>
      <c r="M34" s="97"/>
      <c r="N34" s="97"/>
    </row>
    <row r="35" spans="1:14" ht="14.1" customHeight="1" x14ac:dyDescent="0.2">
      <c r="A35" s="1"/>
      <c r="B35" s="1"/>
      <c r="C35" s="11"/>
      <c r="D35" s="1"/>
      <c r="E35" s="1"/>
      <c r="F35" s="12"/>
      <c r="G35" s="12"/>
      <c r="H35" s="52"/>
      <c r="J35" s="97"/>
      <c r="K35" s="97"/>
      <c r="L35" s="97"/>
      <c r="M35" s="97"/>
      <c r="N35" s="97"/>
    </row>
    <row r="36" spans="1:14" ht="14.1" customHeight="1" x14ac:dyDescent="0.2">
      <c r="A36" s="1"/>
      <c r="B36" s="1"/>
      <c r="C36" s="2" t="s">
        <v>157</v>
      </c>
      <c r="D36" s="1"/>
      <c r="E36" s="1"/>
      <c r="F36" s="12"/>
      <c r="G36" s="12"/>
      <c r="H36" s="52"/>
      <c r="J36" s="97"/>
      <c r="K36" s="97"/>
      <c r="L36" s="97"/>
      <c r="M36" s="97"/>
      <c r="N36" s="97"/>
    </row>
    <row r="37" spans="1:14" ht="14.1" customHeight="1" x14ac:dyDescent="0.2">
      <c r="A37" s="1"/>
      <c r="B37" s="1"/>
      <c r="C37" s="2" t="s">
        <v>145</v>
      </c>
      <c r="D37" s="1"/>
      <c r="E37" s="1" t="s">
        <v>146</v>
      </c>
      <c r="F37" s="13" t="s">
        <v>148</v>
      </c>
      <c r="G37" s="10">
        <v>0</v>
      </c>
      <c r="H37" s="52"/>
      <c r="J37" s="97"/>
      <c r="K37" s="97"/>
      <c r="L37" s="97"/>
      <c r="M37" s="97"/>
      <c r="N37" s="97"/>
    </row>
    <row r="38" spans="1:14" ht="14.1" customHeight="1" x14ac:dyDescent="0.2">
      <c r="A38" s="1"/>
      <c r="B38" s="1"/>
      <c r="C38" s="11"/>
      <c r="D38" s="1"/>
      <c r="E38" s="1"/>
      <c r="F38" s="12"/>
      <c r="G38" s="12"/>
      <c r="H38" s="52"/>
      <c r="J38" s="97"/>
      <c r="K38" s="97"/>
      <c r="L38" s="97"/>
      <c r="M38" s="97"/>
      <c r="N38" s="97"/>
    </row>
    <row r="39" spans="1:14" ht="14.1" customHeight="1" x14ac:dyDescent="0.2">
      <c r="A39" s="1"/>
      <c r="B39" s="1"/>
      <c r="C39" s="2" t="s">
        <v>158</v>
      </c>
      <c r="D39" s="1"/>
      <c r="E39" s="1"/>
      <c r="F39" s="9">
        <v>0</v>
      </c>
      <c r="G39" s="10">
        <v>0</v>
      </c>
      <c r="H39" s="52"/>
      <c r="J39" s="97"/>
      <c r="K39" s="97"/>
      <c r="L39" s="97"/>
      <c r="M39" s="97"/>
      <c r="N39" s="97"/>
    </row>
    <row r="40" spans="1:14" ht="14.1" customHeight="1" x14ac:dyDescent="0.2">
      <c r="A40" s="1"/>
      <c r="B40" s="1"/>
      <c r="C40" s="11"/>
      <c r="D40" s="1"/>
      <c r="E40" s="1"/>
      <c r="F40" s="12"/>
      <c r="G40" s="12"/>
      <c r="H40" s="52"/>
      <c r="J40" s="97"/>
      <c r="K40" s="97"/>
      <c r="L40" s="97"/>
      <c r="M40" s="97"/>
      <c r="N40" s="97"/>
    </row>
    <row r="41" spans="1:14" ht="14.1" customHeight="1" x14ac:dyDescent="0.2">
      <c r="A41" s="1"/>
      <c r="B41" s="1"/>
      <c r="C41" s="2" t="s">
        <v>159</v>
      </c>
      <c r="D41" s="1"/>
      <c r="E41" s="1"/>
      <c r="F41" s="12"/>
      <c r="G41" s="12"/>
      <c r="H41" s="52"/>
      <c r="J41" s="97"/>
      <c r="K41" s="97"/>
      <c r="L41" s="97"/>
      <c r="M41" s="97"/>
      <c r="N41" s="97"/>
    </row>
    <row r="42" spans="1:14" ht="14.1" customHeight="1" x14ac:dyDescent="0.2">
      <c r="A42" s="1"/>
      <c r="B42" s="1"/>
      <c r="C42" s="2" t="s">
        <v>160</v>
      </c>
      <c r="D42" s="1"/>
      <c r="E42" s="1"/>
      <c r="F42" s="12"/>
      <c r="G42" s="12"/>
      <c r="H42" s="52"/>
      <c r="J42" s="97"/>
      <c r="K42" s="97"/>
      <c r="L42" s="97"/>
      <c r="M42" s="97"/>
      <c r="N42" s="97"/>
    </row>
    <row r="43" spans="1:14" ht="14.1" customHeight="1" x14ac:dyDescent="0.2">
      <c r="A43" s="1"/>
      <c r="B43" s="1"/>
      <c r="C43" s="2" t="s">
        <v>145</v>
      </c>
      <c r="D43" s="1"/>
      <c r="E43" s="1" t="s">
        <v>146</v>
      </c>
      <c r="F43" s="13" t="s">
        <v>148</v>
      </c>
      <c r="G43" s="10">
        <v>0</v>
      </c>
      <c r="H43" s="52"/>
      <c r="J43" s="97"/>
      <c r="K43" s="97"/>
      <c r="L43" s="97"/>
      <c r="M43" s="97"/>
      <c r="N43" s="97"/>
    </row>
    <row r="44" spans="1:14" ht="14.1" customHeight="1" x14ac:dyDescent="0.2">
      <c r="A44" s="1"/>
      <c r="B44" s="1"/>
      <c r="C44" s="11"/>
      <c r="D44" s="1"/>
      <c r="E44" s="1"/>
      <c r="F44" s="12"/>
      <c r="G44" s="12"/>
      <c r="H44" s="52"/>
      <c r="J44" s="97"/>
      <c r="K44" s="97"/>
      <c r="L44" s="97"/>
      <c r="M44" s="97"/>
      <c r="N44" s="97"/>
    </row>
    <row r="45" spans="1:14" ht="14.1" customHeight="1" x14ac:dyDescent="0.2">
      <c r="A45" s="1"/>
      <c r="B45" s="1"/>
      <c r="C45" s="2" t="s">
        <v>161</v>
      </c>
      <c r="D45" s="1"/>
      <c r="E45" s="1"/>
      <c r="F45" s="12"/>
      <c r="G45" s="12"/>
      <c r="H45" s="52"/>
      <c r="J45" s="97"/>
      <c r="K45" s="97"/>
      <c r="L45" s="97"/>
      <c r="M45" s="97"/>
      <c r="N45" s="97"/>
    </row>
    <row r="46" spans="1:14" ht="14.1" customHeight="1" x14ac:dyDescent="0.2">
      <c r="A46" s="1"/>
      <c r="B46" s="1"/>
      <c r="C46" s="2" t="s">
        <v>145</v>
      </c>
      <c r="D46" s="1"/>
      <c r="E46" s="1" t="s">
        <v>146</v>
      </c>
      <c r="F46" s="13" t="s">
        <v>148</v>
      </c>
      <c r="G46" s="10">
        <v>0</v>
      </c>
      <c r="H46" s="52"/>
      <c r="J46" s="97"/>
      <c r="K46" s="97"/>
      <c r="L46" s="97"/>
      <c r="M46" s="97"/>
      <c r="N46" s="97"/>
    </row>
    <row r="47" spans="1:14" ht="14.1" customHeight="1" x14ac:dyDescent="0.2">
      <c r="A47" s="1"/>
      <c r="B47" s="1"/>
      <c r="C47" s="11"/>
      <c r="D47" s="1"/>
      <c r="E47" s="1"/>
      <c r="F47" s="12"/>
      <c r="G47" s="12"/>
      <c r="H47" s="52"/>
      <c r="J47" s="97"/>
      <c r="K47" s="97"/>
      <c r="L47" s="97"/>
      <c r="M47" s="97"/>
      <c r="N47" s="97"/>
    </row>
    <row r="48" spans="1:14" ht="14.1" customHeight="1" x14ac:dyDescent="0.2">
      <c r="A48" s="1"/>
      <c r="B48" s="1"/>
      <c r="C48" s="2" t="s">
        <v>162</v>
      </c>
      <c r="D48" s="1"/>
      <c r="E48" s="1"/>
      <c r="F48" s="12"/>
      <c r="G48" s="12"/>
      <c r="H48" s="52"/>
      <c r="J48" s="97"/>
      <c r="K48" s="97"/>
      <c r="L48" s="97"/>
      <c r="M48" s="97"/>
      <c r="N48" s="97"/>
    </row>
    <row r="49" spans="1:14" ht="14.1" customHeight="1" x14ac:dyDescent="0.2">
      <c r="A49" s="1"/>
      <c r="B49" s="1"/>
      <c r="C49" s="2" t="s">
        <v>145</v>
      </c>
      <c r="D49" s="1"/>
      <c r="E49" s="1" t="s">
        <v>146</v>
      </c>
      <c r="F49" s="13" t="s">
        <v>148</v>
      </c>
      <c r="G49" s="10">
        <v>0</v>
      </c>
      <c r="H49" s="52"/>
      <c r="J49" s="97"/>
      <c r="K49" s="97"/>
      <c r="L49" s="97"/>
      <c r="M49" s="97"/>
      <c r="N49" s="97"/>
    </row>
    <row r="50" spans="1:14" ht="14.1" customHeight="1" x14ac:dyDescent="0.2">
      <c r="A50" s="1"/>
      <c r="B50" s="1"/>
      <c r="C50" s="11"/>
      <c r="D50" s="1"/>
      <c r="E50" s="1"/>
      <c r="F50" s="12"/>
      <c r="G50" s="12"/>
      <c r="H50" s="52"/>
      <c r="J50" s="97"/>
      <c r="K50" s="97"/>
      <c r="L50" s="97"/>
      <c r="M50" s="97"/>
      <c r="N50" s="97"/>
    </row>
    <row r="51" spans="1:14" ht="14.1" customHeight="1" x14ac:dyDescent="0.2">
      <c r="A51" s="1"/>
      <c r="B51" s="1"/>
      <c r="C51" s="2" t="s">
        <v>163</v>
      </c>
      <c r="D51" s="1"/>
      <c r="E51" s="1"/>
      <c r="F51" s="12"/>
      <c r="G51" s="12"/>
      <c r="H51" s="52"/>
      <c r="J51" s="97"/>
      <c r="K51" s="97"/>
      <c r="L51" s="97"/>
      <c r="M51" s="97"/>
      <c r="N51" s="97"/>
    </row>
    <row r="52" spans="1:14" ht="17.100000000000001" customHeight="1" x14ac:dyDescent="0.2">
      <c r="A52" s="3">
        <v>1</v>
      </c>
      <c r="B52" s="4"/>
      <c r="C52" s="4" t="s">
        <v>164</v>
      </c>
      <c r="D52" s="4"/>
      <c r="E52" s="8"/>
      <c r="F52" s="6">
        <v>374.98443899799997</v>
      </c>
      <c r="G52" s="7">
        <v>3.4426640000000001E-2</v>
      </c>
      <c r="H52" s="52">
        <v>6.7567375937238596</v>
      </c>
      <c r="J52" s="97"/>
      <c r="K52" s="97"/>
      <c r="L52" s="97"/>
      <c r="M52" s="97"/>
      <c r="N52" s="97"/>
    </row>
    <row r="53" spans="1:14" ht="14.1" customHeight="1" x14ac:dyDescent="0.2">
      <c r="A53" s="1"/>
      <c r="B53" s="1"/>
      <c r="C53" s="2" t="s">
        <v>145</v>
      </c>
      <c r="D53" s="1"/>
      <c r="E53" s="1" t="s">
        <v>146</v>
      </c>
      <c r="F53" s="9">
        <v>374.98443899799997</v>
      </c>
      <c r="G53" s="10">
        <v>3.4426640000000001E-2</v>
      </c>
      <c r="H53" s="52"/>
      <c r="J53" s="97"/>
      <c r="K53" s="97"/>
      <c r="L53" s="97"/>
      <c r="M53" s="97"/>
      <c r="N53" s="97"/>
    </row>
    <row r="54" spans="1:14" ht="14.1" customHeight="1" x14ac:dyDescent="0.2">
      <c r="A54" s="1"/>
      <c r="B54" s="1"/>
      <c r="C54" s="11"/>
      <c r="D54" s="1"/>
      <c r="E54" s="1"/>
      <c r="F54" s="12"/>
      <c r="G54" s="12"/>
      <c r="H54" s="52"/>
      <c r="J54" s="97"/>
      <c r="K54" s="97"/>
      <c r="L54" s="97"/>
      <c r="M54" s="97"/>
      <c r="N54" s="97"/>
    </row>
    <row r="55" spans="1:14" ht="14.1" customHeight="1" x14ac:dyDescent="0.2">
      <c r="A55" s="1"/>
      <c r="B55" s="1"/>
      <c r="C55" s="2" t="s">
        <v>165</v>
      </c>
      <c r="D55" s="1"/>
      <c r="E55" s="1"/>
      <c r="F55" s="9">
        <v>374.98443899799997</v>
      </c>
      <c r="G55" s="10">
        <v>3.4426640000000001E-2</v>
      </c>
      <c r="H55" s="52"/>
      <c r="J55" s="97"/>
      <c r="K55" s="97"/>
      <c r="L55" s="97"/>
      <c r="M55" s="97"/>
      <c r="N55" s="97"/>
    </row>
    <row r="56" spans="1:14" ht="14.1" customHeight="1" x14ac:dyDescent="0.2">
      <c r="A56" s="1"/>
      <c r="B56" s="1"/>
      <c r="C56" s="12"/>
      <c r="D56" s="1"/>
      <c r="E56" s="1"/>
      <c r="F56" s="1"/>
      <c r="G56" s="1"/>
      <c r="H56" s="52"/>
      <c r="J56" s="97"/>
      <c r="K56" s="97"/>
      <c r="L56" s="97"/>
      <c r="M56" s="97"/>
      <c r="N56" s="97"/>
    </row>
    <row r="57" spans="1:14" ht="14.1" customHeight="1" x14ac:dyDescent="0.2">
      <c r="A57" s="1"/>
      <c r="B57" s="1"/>
      <c r="C57" s="2" t="s">
        <v>166</v>
      </c>
      <c r="D57" s="1"/>
      <c r="E57" s="1"/>
      <c r="F57" s="1"/>
      <c r="G57" s="1"/>
      <c r="H57" s="52"/>
      <c r="J57" s="97"/>
      <c r="K57" s="97"/>
      <c r="L57" s="97"/>
      <c r="M57" s="97"/>
      <c r="N57" s="97"/>
    </row>
    <row r="58" spans="1:14" s="57" customFormat="1" ht="25.5" customHeight="1" x14ac:dyDescent="0.2">
      <c r="A58" s="95"/>
      <c r="B58" s="95"/>
      <c r="C58" s="40" t="s">
        <v>1050</v>
      </c>
      <c r="D58" s="95"/>
      <c r="E58" s="95"/>
      <c r="F58" s="95"/>
      <c r="G58" s="95"/>
      <c r="H58" s="52"/>
      <c r="J58" s="97"/>
      <c r="K58" s="97"/>
      <c r="L58" s="97"/>
      <c r="M58" s="97"/>
      <c r="N58" s="97"/>
    </row>
    <row r="59" spans="1:14" ht="29.1" customHeight="1" x14ac:dyDescent="0.2">
      <c r="A59" s="3">
        <v>1</v>
      </c>
      <c r="B59" s="4" t="s">
        <v>847</v>
      </c>
      <c r="C59" s="4" t="s">
        <v>848</v>
      </c>
      <c r="D59" s="4"/>
      <c r="E59" s="5">
        <v>10432595.022</v>
      </c>
      <c r="F59" s="6">
        <v>10554.873173082</v>
      </c>
      <c r="G59" s="7">
        <v>0.96902372000000003</v>
      </c>
      <c r="H59" s="52"/>
      <c r="J59" s="97"/>
      <c r="K59" s="97"/>
      <c r="L59" s="97"/>
      <c r="M59" s="97"/>
      <c r="N59" s="97"/>
    </row>
    <row r="60" spans="1:14" ht="14.1" customHeight="1" x14ac:dyDescent="0.2">
      <c r="A60" s="1"/>
      <c r="B60" s="1"/>
      <c r="C60" s="2" t="s">
        <v>145</v>
      </c>
      <c r="D60" s="1"/>
      <c r="E60" s="1" t="s">
        <v>146</v>
      </c>
      <c r="F60" s="9">
        <v>10554.873173082</v>
      </c>
      <c r="G60" s="10">
        <v>0.96902372000000003</v>
      </c>
      <c r="H60" s="52"/>
      <c r="J60" s="97"/>
      <c r="K60" s="97"/>
      <c r="L60" s="97"/>
      <c r="M60" s="97"/>
      <c r="N60" s="97"/>
    </row>
    <row r="61" spans="1:14" ht="14.1" customHeight="1" x14ac:dyDescent="0.2">
      <c r="A61" s="1"/>
      <c r="B61" s="1"/>
      <c r="C61" s="11"/>
      <c r="D61" s="1"/>
      <c r="E61" s="1"/>
      <c r="F61" s="12"/>
      <c r="G61" s="12"/>
      <c r="H61" s="52"/>
      <c r="J61" s="97"/>
      <c r="K61" s="97"/>
      <c r="L61" s="97"/>
      <c r="M61" s="97"/>
      <c r="N61" s="97"/>
    </row>
    <row r="62" spans="1:14" ht="14.1" customHeight="1" x14ac:dyDescent="0.2">
      <c r="A62" s="1"/>
      <c r="B62" s="1"/>
      <c r="C62" s="2" t="s">
        <v>168</v>
      </c>
      <c r="D62" s="1"/>
      <c r="E62" s="1"/>
      <c r="F62" s="1"/>
      <c r="G62" s="1"/>
      <c r="H62" s="52"/>
      <c r="J62" s="97"/>
      <c r="K62" s="97"/>
      <c r="L62" s="97"/>
      <c r="M62" s="97"/>
      <c r="N62" s="97"/>
    </row>
    <row r="63" spans="1:14" ht="14.1" customHeight="1" x14ac:dyDescent="0.2">
      <c r="A63" s="1"/>
      <c r="B63" s="1"/>
      <c r="C63" s="2" t="s">
        <v>169</v>
      </c>
      <c r="D63" s="1"/>
      <c r="E63" s="1"/>
      <c r="F63" s="1"/>
      <c r="G63" s="1"/>
      <c r="H63" s="52"/>
      <c r="J63" s="97"/>
      <c r="K63" s="97"/>
      <c r="L63" s="97"/>
      <c r="M63" s="97"/>
      <c r="N63" s="97"/>
    </row>
    <row r="64" spans="1:14" ht="14.1" customHeight="1" x14ac:dyDescent="0.2">
      <c r="A64" s="1"/>
      <c r="B64" s="1"/>
      <c r="C64" s="2" t="s">
        <v>145</v>
      </c>
      <c r="D64" s="1"/>
      <c r="E64" s="1" t="s">
        <v>146</v>
      </c>
      <c r="F64" s="13" t="s">
        <v>148</v>
      </c>
      <c r="G64" s="10">
        <v>0</v>
      </c>
      <c r="H64" s="52"/>
      <c r="J64" s="97"/>
      <c r="K64" s="97"/>
      <c r="L64" s="97"/>
      <c r="M64" s="97"/>
      <c r="N64" s="97"/>
    </row>
    <row r="65" spans="1:14" ht="14.1" customHeight="1" x14ac:dyDescent="0.2">
      <c r="A65" s="1"/>
      <c r="B65" s="1"/>
      <c r="C65" s="11"/>
      <c r="D65" s="1"/>
      <c r="E65" s="1"/>
      <c r="F65" s="12"/>
      <c r="G65" s="12"/>
      <c r="H65" s="52"/>
      <c r="J65" s="97"/>
      <c r="K65" s="97"/>
      <c r="L65" s="97"/>
      <c r="M65" s="97"/>
      <c r="N65" s="97"/>
    </row>
    <row r="66" spans="1:14" ht="24" customHeight="1" x14ac:dyDescent="0.2">
      <c r="A66" s="1"/>
      <c r="B66" s="1"/>
      <c r="C66" s="2" t="s">
        <v>170</v>
      </c>
      <c r="D66" s="1"/>
      <c r="E66" s="1"/>
      <c r="F66" s="12"/>
      <c r="G66" s="12"/>
      <c r="H66" s="52"/>
      <c r="J66" s="97"/>
      <c r="K66" s="97"/>
      <c r="L66" s="97"/>
      <c r="M66" s="97"/>
      <c r="N66" s="97"/>
    </row>
    <row r="67" spans="1:14" ht="14.1" customHeight="1" x14ac:dyDescent="0.2">
      <c r="A67" s="1"/>
      <c r="B67" s="1"/>
      <c r="C67" s="2" t="s">
        <v>145</v>
      </c>
      <c r="D67" s="1"/>
      <c r="E67" s="1" t="s">
        <v>146</v>
      </c>
      <c r="F67" s="13" t="s">
        <v>148</v>
      </c>
      <c r="G67" s="10">
        <v>0</v>
      </c>
      <c r="H67" s="52"/>
      <c r="J67" s="97"/>
      <c r="K67" s="97"/>
      <c r="L67" s="97"/>
      <c r="M67" s="97"/>
      <c r="N67" s="97"/>
    </row>
    <row r="68" spans="1:14" ht="14.1" customHeight="1" x14ac:dyDescent="0.2">
      <c r="A68" s="1"/>
      <c r="B68" s="1"/>
      <c r="C68" s="11"/>
      <c r="D68" s="1"/>
      <c r="E68" s="1"/>
      <c r="F68" s="12"/>
      <c r="G68" s="12"/>
      <c r="H68" s="52"/>
      <c r="J68" s="97"/>
      <c r="K68" s="97"/>
      <c r="L68" s="97"/>
      <c r="M68" s="97"/>
      <c r="N68" s="97"/>
    </row>
    <row r="69" spans="1:14" ht="14.1" customHeight="1" x14ac:dyDescent="0.2">
      <c r="A69" s="1"/>
      <c r="B69" s="4"/>
      <c r="C69" s="4"/>
      <c r="D69" s="2"/>
      <c r="E69" s="1"/>
      <c r="F69" s="4"/>
      <c r="G69" s="8"/>
      <c r="H69" s="52"/>
      <c r="J69" s="97"/>
      <c r="K69" s="97"/>
      <c r="L69" s="97"/>
      <c r="M69" s="97"/>
      <c r="N69" s="97"/>
    </row>
    <row r="70" spans="1:14" ht="18" customHeight="1" x14ac:dyDescent="0.2">
      <c r="A70" s="8"/>
      <c r="B70" s="4"/>
      <c r="C70" s="4" t="s">
        <v>171</v>
      </c>
      <c r="D70" s="4"/>
      <c r="E70" s="8"/>
      <c r="F70" s="6">
        <v>-37.582313020000001</v>
      </c>
      <c r="G70" s="7">
        <v>-3.45036E-3</v>
      </c>
      <c r="H70" s="52"/>
      <c r="J70" s="97"/>
      <c r="K70" s="97"/>
      <c r="L70" s="97"/>
      <c r="M70" s="97"/>
      <c r="N70" s="97"/>
    </row>
    <row r="71" spans="1:14" ht="14.1" customHeight="1" x14ac:dyDescent="0.2">
      <c r="A71" s="11"/>
      <c r="B71" s="11"/>
      <c r="C71" s="2" t="s">
        <v>172</v>
      </c>
      <c r="D71" s="12"/>
      <c r="E71" s="12"/>
      <c r="F71" s="9">
        <v>10892.27529906</v>
      </c>
      <c r="G71" s="14">
        <v>1</v>
      </c>
      <c r="H71" s="52"/>
      <c r="J71" s="97"/>
      <c r="K71" s="97"/>
      <c r="L71" s="97"/>
      <c r="M71" s="97"/>
      <c r="N71" s="97"/>
    </row>
    <row r="72" spans="1:14" ht="14.1" customHeight="1" x14ac:dyDescent="0.2">
      <c r="A72" s="15"/>
      <c r="B72" s="15"/>
      <c r="C72" s="15"/>
      <c r="D72" s="16"/>
      <c r="E72" s="16"/>
      <c r="F72" s="16"/>
      <c r="G72" s="16"/>
      <c r="J72" s="97"/>
      <c r="K72" s="97"/>
      <c r="L72" s="97"/>
      <c r="M72" s="97"/>
      <c r="N72" s="97"/>
    </row>
    <row r="73" spans="1:14" ht="14.1" customHeight="1" x14ac:dyDescent="0.2">
      <c r="A73" s="17"/>
      <c r="B73" s="17"/>
      <c r="C73" s="17"/>
      <c r="D73" s="19"/>
      <c r="E73" s="19"/>
      <c r="F73" s="19"/>
      <c r="G73" s="19"/>
      <c r="J73" s="97"/>
      <c r="K73" s="97"/>
      <c r="L73" s="97"/>
      <c r="M73" s="97"/>
      <c r="N73" s="97"/>
    </row>
    <row r="74" spans="1:14" ht="14.1" customHeight="1" x14ac:dyDescent="0.2">
      <c r="A74" s="17"/>
      <c r="B74" s="127" t="s">
        <v>174</v>
      </c>
      <c r="C74" s="128"/>
      <c r="D74" s="129"/>
      <c r="E74" s="20"/>
      <c r="F74" s="19"/>
      <c r="G74" s="19"/>
      <c r="J74" s="97"/>
      <c r="K74" s="97"/>
      <c r="L74" s="97"/>
      <c r="M74" s="97"/>
      <c r="N74" s="97"/>
    </row>
    <row r="75" spans="1:14" ht="29.1" customHeight="1" x14ac:dyDescent="0.2">
      <c r="A75" s="17"/>
      <c r="B75" s="121" t="s">
        <v>175</v>
      </c>
      <c r="C75" s="122"/>
      <c r="D75" s="2" t="s">
        <v>176</v>
      </c>
      <c r="E75" s="20"/>
      <c r="F75" s="19"/>
      <c r="G75" s="19"/>
      <c r="J75" s="97"/>
      <c r="K75" s="97"/>
      <c r="L75" s="97"/>
      <c r="M75" s="97"/>
      <c r="N75" s="97"/>
    </row>
    <row r="76" spans="1:14" ht="17.100000000000001" customHeight="1" x14ac:dyDescent="0.2">
      <c r="A76" s="17"/>
      <c r="B76" s="121" t="s">
        <v>177</v>
      </c>
      <c r="C76" s="122"/>
      <c r="D76" s="2" t="s">
        <v>176</v>
      </c>
      <c r="E76" s="20"/>
      <c r="F76" s="19"/>
      <c r="G76" s="19"/>
      <c r="J76" s="97"/>
      <c r="K76" s="97"/>
      <c r="L76" s="97"/>
      <c r="M76" s="97"/>
      <c r="N76" s="97"/>
    </row>
    <row r="77" spans="1:14" ht="17.100000000000001" customHeight="1" x14ac:dyDescent="0.2">
      <c r="A77" s="17"/>
      <c r="B77" s="121" t="s">
        <v>178</v>
      </c>
      <c r="C77" s="122"/>
      <c r="D77" s="12" t="s">
        <v>146</v>
      </c>
      <c r="E77" s="20"/>
      <c r="F77" s="19"/>
      <c r="G77" s="19"/>
      <c r="J77" s="97"/>
      <c r="K77" s="97"/>
      <c r="L77" s="97"/>
      <c r="M77" s="97"/>
      <c r="N77" s="97"/>
    </row>
    <row r="78" spans="1:14" ht="24" customHeight="1" x14ac:dyDescent="0.2">
      <c r="A78" s="21"/>
      <c r="B78" s="22" t="s">
        <v>146</v>
      </c>
      <c r="C78" s="22" t="s">
        <v>179</v>
      </c>
      <c r="D78" s="22" t="s">
        <v>180</v>
      </c>
      <c r="E78" s="21"/>
      <c r="F78" s="21"/>
      <c r="G78" s="21"/>
      <c r="J78" s="97"/>
      <c r="K78" s="97"/>
      <c r="L78" s="97"/>
      <c r="M78" s="97"/>
      <c r="N78" s="97"/>
    </row>
    <row r="79" spans="1:14" ht="18" customHeight="1" x14ac:dyDescent="0.2">
      <c r="A79" s="21"/>
      <c r="B79" s="23" t="s">
        <v>181</v>
      </c>
      <c r="C79" s="22" t="s">
        <v>182</v>
      </c>
      <c r="D79" s="22" t="s">
        <v>183</v>
      </c>
      <c r="E79" s="21"/>
      <c r="F79" s="21"/>
      <c r="G79" s="21"/>
      <c r="J79" s="97"/>
      <c r="K79" s="97"/>
      <c r="L79" s="97"/>
      <c r="M79" s="97"/>
      <c r="N79" s="97"/>
    </row>
    <row r="80" spans="1:14" ht="17.100000000000001" customHeight="1" x14ac:dyDescent="0.2">
      <c r="A80" s="21"/>
      <c r="B80" s="4" t="s">
        <v>184</v>
      </c>
      <c r="C80" s="24">
        <v>27.726199999999999</v>
      </c>
      <c r="D80" s="24">
        <v>27.3141</v>
      </c>
      <c r="E80" s="21"/>
      <c r="F80" s="18"/>
      <c r="G80" s="25"/>
      <c r="J80" s="97"/>
      <c r="K80" s="97"/>
      <c r="L80" s="97"/>
      <c r="M80" s="97"/>
      <c r="N80" s="97"/>
    </row>
    <row r="81" spans="1:14" ht="17.100000000000001" customHeight="1" x14ac:dyDescent="0.2">
      <c r="A81" s="21"/>
      <c r="B81" s="4" t="s">
        <v>1039</v>
      </c>
      <c r="C81" s="24">
        <v>24.658000000000001</v>
      </c>
      <c r="D81" s="24">
        <v>24.291499999999999</v>
      </c>
      <c r="E81" s="21"/>
      <c r="F81" s="18"/>
      <c r="G81" s="25"/>
      <c r="J81" s="97"/>
      <c r="K81" s="97"/>
      <c r="L81" s="97"/>
      <c r="M81" s="97"/>
      <c r="N81" s="97"/>
    </row>
    <row r="82" spans="1:14" ht="17.100000000000001" customHeight="1" x14ac:dyDescent="0.2">
      <c r="A82" s="21"/>
      <c r="B82" s="4" t="s">
        <v>185</v>
      </c>
      <c r="C82" s="24">
        <v>25.754000000000001</v>
      </c>
      <c r="D82" s="24">
        <v>25.349499999999999</v>
      </c>
      <c r="E82" s="21"/>
      <c r="F82" s="18"/>
      <c r="G82" s="25"/>
      <c r="J82" s="97"/>
      <c r="K82" s="97"/>
      <c r="L82" s="97"/>
      <c r="M82" s="97"/>
      <c r="N82" s="97"/>
    </row>
    <row r="83" spans="1:14" ht="17.100000000000001" customHeight="1" x14ac:dyDescent="0.2">
      <c r="A83" s="21"/>
      <c r="B83" s="4" t="s">
        <v>1040</v>
      </c>
      <c r="C83" s="24">
        <v>22.069099999999999</v>
      </c>
      <c r="D83" s="24">
        <v>21.7225</v>
      </c>
      <c r="E83" s="21"/>
      <c r="F83" s="18"/>
      <c r="G83" s="25"/>
      <c r="J83" s="97"/>
      <c r="K83" s="97"/>
      <c r="L83" s="97"/>
      <c r="M83" s="97"/>
      <c r="N83" s="97"/>
    </row>
    <row r="84" spans="1:14" ht="14.1" customHeight="1" x14ac:dyDescent="0.2">
      <c r="A84" s="21"/>
      <c r="B84" s="21"/>
      <c r="C84" s="21"/>
      <c r="D84" s="21"/>
      <c r="E84" s="21"/>
      <c r="F84" s="21"/>
      <c r="G84" s="21"/>
      <c r="J84" s="97"/>
      <c r="K84" s="97"/>
      <c r="L84" s="97"/>
      <c r="M84" s="97"/>
      <c r="N84" s="97"/>
    </row>
    <row r="85" spans="1:14" ht="17.100000000000001" customHeight="1" x14ac:dyDescent="0.2">
      <c r="A85" s="21"/>
      <c r="B85" s="121" t="s">
        <v>1041</v>
      </c>
      <c r="C85" s="122"/>
      <c r="D85" s="40" t="s">
        <v>176</v>
      </c>
      <c r="E85" s="21"/>
      <c r="F85" s="21"/>
      <c r="G85" s="21"/>
      <c r="J85" s="97"/>
      <c r="K85" s="97"/>
      <c r="L85" s="97"/>
      <c r="M85" s="97"/>
      <c r="N85" s="97"/>
    </row>
    <row r="86" spans="1:14" ht="18" customHeight="1" x14ac:dyDescent="0.2">
      <c r="A86" s="21"/>
      <c r="B86" s="26"/>
      <c r="C86" s="26"/>
      <c r="D86" s="26"/>
      <c r="E86" s="21"/>
      <c r="F86" s="21"/>
      <c r="G86" s="21"/>
      <c r="J86" s="97"/>
      <c r="K86" s="97"/>
      <c r="L86" s="97"/>
      <c r="M86" s="97"/>
      <c r="N86" s="97"/>
    </row>
    <row r="87" spans="1:14" ht="29.1" customHeight="1" x14ac:dyDescent="0.2">
      <c r="A87" s="21"/>
      <c r="B87" s="121" t="s">
        <v>186</v>
      </c>
      <c r="C87" s="122"/>
      <c r="D87" s="2" t="s">
        <v>176</v>
      </c>
      <c r="E87" s="27"/>
      <c r="F87" s="21"/>
      <c r="G87" s="21"/>
      <c r="J87" s="97"/>
      <c r="K87" s="97"/>
      <c r="L87" s="97"/>
      <c r="M87" s="97"/>
      <c r="N87" s="97"/>
    </row>
    <row r="88" spans="1:14" ht="29.1" customHeight="1" x14ac:dyDescent="0.2">
      <c r="A88" s="21"/>
      <c r="B88" s="121" t="s">
        <v>187</v>
      </c>
      <c r="C88" s="122"/>
      <c r="D88" s="58" t="s">
        <v>1003</v>
      </c>
      <c r="E88" s="27"/>
      <c r="F88" s="21"/>
      <c r="G88" s="21"/>
      <c r="J88" s="97"/>
      <c r="K88" s="97"/>
      <c r="L88" s="97"/>
      <c r="M88" s="97"/>
      <c r="N88" s="97"/>
    </row>
    <row r="89" spans="1:14" ht="17.100000000000001" customHeight="1" x14ac:dyDescent="0.2">
      <c r="A89" s="21"/>
      <c r="B89" s="121" t="s">
        <v>188</v>
      </c>
      <c r="C89" s="122"/>
      <c r="D89" s="2" t="s">
        <v>176</v>
      </c>
      <c r="E89" s="27"/>
      <c r="F89" s="21"/>
      <c r="G89" s="21"/>
      <c r="J89" s="97"/>
      <c r="K89" s="97"/>
      <c r="L89" s="97"/>
      <c r="M89" s="97"/>
      <c r="N89" s="97"/>
    </row>
    <row r="90" spans="1:14" s="57" customFormat="1" ht="17.100000000000001" customHeight="1" x14ac:dyDescent="0.2">
      <c r="A90" s="53"/>
      <c r="B90" s="130" t="s">
        <v>189</v>
      </c>
      <c r="C90" s="131"/>
      <c r="D90" s="54">
        <v>0</v>
      </c>
      <c r="E90" s="53"/>
      <c r="F90" s="55"/>
      <c r="G90" s="56"/>
      <c r="J90" s="97"/>
      <c r="K90" s="97"/>
      <c r="L90" s="97"/>
      <c r="M90" s="97"/>
      <c r="N90" s="97"/>
    </row>
    <row r="91" spans="1:14" x14ac:dyDescent="0.2">
      <c r="J91" s="97"/>
      <c r="K91" s="97"/>
      <c r="L91" s="97"/>
      <c r="M91" s="97"/>
      <c r="N91" s="97"/>
    </row>
  </sheetData>
  <mergeCells count="13">
    <mergeCell ref="J2:N2"/>
    <mergeCell ref="B90:C90"/>
    <mergeCell ref="B89:C89"/>
    <mergeCell ref="B75:C75"/>
    <mergeCell ref="B74:D74"/>
    <mergeCell ref="B85:C85"/>
    <mergeCell ref="B87:C87"/>
    <mergeCell ref="B88:C88"/>
    <mergeCell ref="A1:H1"/>
    <mergeCell ref="A2:H2"/>
    <mergeCell ref="A3:H3"/>
    <mergeCell ref="B76:C76"/>
    <mergeCell ref="B77:C77"/>
  </mergeCells>
  <hyperlinks>
    <hyperlink ref="I1" location="Index!B3" display="Index" xr:uid="{8ED2A6EC-38E8-4B44-A0FA-F9C35D23ADDB}"/>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N166"/>
  <sheetViews>
    <sheetView showGridLines="0" workbookViewId="0">
      <selection activeCell="I1" sqref="I1"/>
    </sheetView>
  </sheetViews>
  <sheetFormatPr defaultRowHeight="12.75" x14ac:dyDescent="0.2"/>
  <cols>
    <col min="1" max="1" width="6.85546875" customWidth="1"/>
    <col min="2" max="2" width="20.5703125" customWidth="1"/>
    <col min="3" max="3" width="36.42578125" customWidth="1"/>
    <col min="4" max="4" width="17.85546875" customWidth="1"/>
    <col min="5" max="6" width="19.140625" customWidth="1"/>
    <col min="7" max="7" width="16.42578125" customWidth="1"/>
    <col min="9" max="9" width="8.85546875" customWidth="1"/>
    <col min="10" max="10" width="9.5703125" bestFit="1" customWidth="1"/>
  </cols>
  <sheetData>
    <row r="1" spans="1:14" ht="18" customHeight="1" x14ac:dyDescent="0.2">
      <c r="A1" s="116" t="s">
        <v>0</v>
      </c>
      <c r="B1" s="116"/>
      <c r="C1" s="116"/>
      <c r="D1" s="116"/>
      <c r="E1" s="116"/>
      <c r="F1" s="116"/>
      <c r="G1" s="116"/>
      <c r="H1" s="116"/>
      <c r="I1" s="103" t="s">
        <v>1053</v>
      </c>
    </row>
    <row r="2" spans="1:14" ht="17.100000000000001" customHeight="1" x14ac:dyDescent="0.2">
      <c r="A2" s="117" t="s">
        <v>190</v>
      </c>
      <c r="B2" s="118"/>
      <c r="C2" s="118"/>
      <c r="D2" s="118"/>
      <c r="E2" s="118"/>
      <c r="F2" s="118"/>
      <c r="G2" s="118"/>
      <c r="H2" s="119"/>
      <c r="J2" s="120" t="s">
        <v>1054</v>
      </c>
      <c r="K2" s="120"/>
      <c r="L2" s="120"/>
      <c r="M2" s="120"/>
      <c r="N2" s="120"/>
    </row>
    <row r="3" spans="1:14" ht="21" customHeight="1" x14ac:dyDescent="0.2">
      <c r="A3" s="116" t="s">
        <v>1049</v>
      </c>
      <c r="B3" s="116"/>
      <c r="C3" s="116"/>
      <c r="D3" s="116"/>
      <c r="E3" s="116"/>
      <c r="F3" s="116"/>
      <c r="G3" s="116"/>
      <c r="H3" s="116"/>
    </row>
    <row r="4" spans="1:14" ht="30" x14ac:dyDescent="0.2">
      <c r="A4" s="96" t="s">
        <v>2</v>
      </c>
      <c r="B4" s="96" t="s">
        <v>3</v>
      </c>
      <c r="C4" s="96" t="s">
        <v>4</v>
      </c>
      <c r="D4" s="96" t="s">
        <v>5</v>
      </c>
      <c r="E4" s="96" t="s">
        <v>6</v>
      </c>
      <c r="F4" s="96" t="s">
        <v>7</v>
      </c>
      <c r="G4" s="96" t="s">
        <v>8</v>
      </c>
      <c r="H4" s="51" t="s">
        <v>1002</v>
      </c>
      <c r="I4" s="99"/>
      <c r="J4" s="99"/>
      <c r="K4" s="99"/>
      <c r="L4" s="99"/>
      <c r="M4" s="99"/>
      <c r="N4" s="99"/>
    </row>
    <row r="5" spans="1:14" ht="14.1" customHeight="1" x14ac:dyDescent="0.2">
      <c r="A5" s="1"/>
      <c r="B5" s="1"/>
      <c r="C5" s="2" t="s">
        <v>9</v>
      </c>
      <c r="D5" s="1"/>
      <c r="E5" s="1"/>
      <c r="F5" s="1"/>
      <c r="G5" s="1"/>
      <c r="H5" s="52"/>
    </row>
    <row r="6" spans="1:14" ht="24" customHeight="1" x14ac:dyDescent="0.2">
      <c r="A6" s="1"/>
      <c r="B6" s="1"/>
      <c r="C6" s="2" t="s">
        <v>10</v>
      </c>
      <c r="D6" s="1"/>
      <c r="E6" s="1"/>
      <c r="F6" s="1"/>
      <c r="G6" s="1"/>
      <c r="H6" s="52"/>
    </row>
    <row r="7" spans="1:14" ht="17.100000000000001" customHeight="1" x14ac:dyDescent="0.2">
      <c r="A7" s="3">
        <v>1</v>
      </c>
      <c r="B7" s="4" t="s">
        <v>191</v>
      </c>
      <c r="C7" s="4" t="s">
        <v>192</v>
      </c>
      <c r="D7" s="4" t="s">
        <v>28</v>
      </c>
      <c r="E7" s="5">
        <v>22120395</v>
      </c>
      <c r="F7" s="6">
        <v>31112.335567499998</v>
      </c>
      <c r="G7" s="7">
        <v>3.6698969999999997E-2</v>
      </c>
      <c r="H7" s="52"/>
    </row>
    <row r="8" spans="1:14" ht="17.100000000000001" customHeight="1" x14ac:dyDescent="0.2">
      <c r="A8" s="3">
        <v>2</v>
      </c>
      <c r="B8" s="4" t="s">
        <v>193</v>
      </c>
      <c r="C8" s="4" t="s">
        <v>194</v>
      </c>
      <c r="D8" s="4" t="s">
        <v>70</v>
      </c>
      <c r="E8" s="5">
        <v>12284897</v>
      </c>
      <c r="F8" s="6">
        <v>30294.556002000001</v>
      </c>
      <c r="G8" s="7">
        <v>3.5734349999999998E-2</v>
      </c>
      <c r="H8" s="52"/>
    </row>
    <row r="9" spans="1:14" ht="17.100000000000001" customHeight="1" x14ac:dyDescent="0.2">
      <c r="A9" s="3">
        <v>3</v>
      </c>
      <c r="B9" s="4" t="s">
        <v>195</v>
      </c>
      <c r="C9" s="4" t="s">
        <v>196</v>
      </c>
      <c r="D9" s="4" t="s">
        <v>70</v>
      </c>
      <c r="E9" s="5">
        <v>1538079</v>
      </c>
      <c r="F9" s="6">
        <v>28913.5780815</v>
      </c>
      <c r="G9" s="7">
        <v>3.4105400000000001E-2</v>
      </c>
      <c r="H9" s="52"/>
    </row>
    <row r="10" spans="1:14" ht="17.100000000000001" customHeight="1" x14ac:dyDescent="0.2">
      <c r="A10" s="3">
        <v>4</v>
      </c>
      <c r="B10" s="4" t="s">
        <v>197</v>
      </c>
      <c r="C10" s="4" t="s">
        <v>198</v>
      </c>
      <c r="D10" s="4" t="s">
        <v>105</v>
      </c>
      <c r="E10" s="5">
        <v>826627</v>
      </c>
      <c r="F10" s="6">
        <v>26040.403753999999</v>
      </c>
      <c r="G10" s="7">
        <v>3.071631E-2</v>
      </c>
      <c r="H10" s="52"/>
    </row>
    <row r="11" spans="1:14" ht="17.100000000000001" customHeight="1" x14ac:dyDescent="0.2">
      <c r="A11" s="3">
        <v>5</v>
      </c>
      <c r="B11" s="4" t="s">
        <v>199</v>
      </c>
      <c r="C11" s="4" t="s">
        <v>200</v>
      </c>
      <c r="D11" s="4" t="s">
        <v>60</v>
      </c>
      <c r="E11" s="5">
        <v>8472361</v>
      </c>
      <c r="F11" s="6">
        <v>24459.706206999999</v>
      </c>
      <c r="G11" s="7">
        <v>2.8851769999999999E-2</v>
      </c>
      <c r="H11" s="52"/>
    </row>
    <row r="12" spans="1:14" ht="17.100000000000001" customHeight="1" x14ac:dyDescent="0.2">
      <c r="A12" s="3">
        <v>6</v>
      </c>
      <c r="B12" s="4" t="s">
        <v>106</v>
      </c>
      <c r="C12" s="4" t="s">
        <v>107</v>
      </c>
      <c r="D12" s="4" t="s">
        <v>31</v>
      </c>
      <c r="E12" s="5">
        <v>1380221</v>
      </c>
      <c r="F12" s="6">
        <v>23140.095175499999</v>
      </c>
      <c r="G12" s="7">
        <v>2.729521E-2</v>
      </c>
      <c r="H12" s="52"/>
    </row>
    <row r="13" spans="1:14" ht="29.1" customHeight="1" x14ac:dyDescent="0.2">
      <c r="A13" s="3">
        <v>7</v>
      </c>
      <c r="B13" s="4" t="s">
        <v>201</v>
      </c>
      <c r="C13" s="4" t="s">
        <v>202</v>
      </c>
      <c r="D13" s="4" t="s">
        <v>70</v>
      </c>
      <c r="E13" s="5">
        <v>1838054</v>
      </c>
      <c r="F13" s="6">
        <v>20904.188141999999</v>
      </c>
      <c r="G13" s="7">
        <v>2.4657809999999999E-2</v>
      </c>
      <c r="H13" s="52"/>
      <c r="J13" s="101" t="s">
        <v>1057</v>
      </c>
    </row>
    <row r="14" spans="1:14" ht="17.100000000000001" customHeight="1" x14ac:dyDescent="0.2">
      <c r="A14" s="3">
        <v>8</v>
      </c>
      <c r="B14" s="4" t="s">
        <v>203</v>
      </c>
      <c r="C14" s="4" t="s">
        <v>204</v>
      </c>
      <c r="D14" s="4" t="s">
        <v>205</v>
      </c>
      <c r="E14" s="5">
        <v>6391007</v>
      </c>
      <c r="F14" s="6">
        <v>20639.757106500001</v>
      </c>
      <c r="G14" s="7">
        <v>2.43459E-2</v>
      </c>
      <c r="H14" s="52"/>
    </row>
    <row r="15" spans="1:14" ht="17.100000000000001" customHeight="1" x14ac:dyDescent="0.2">
      <c r="A15" s="3">
        <v>9</v>
      </c>
      <c r="B15" s="4" t="s">
        <v>206</v>
      </c>
      <c r="C15" s="4" t="s">
        <v>207</v>
      </c>
      <c r="D15" s="4" t="s">
        <v>208</v>
      </c>
      <c r="E15" s="5">
        <v>882784</v>
      </c>
      <c r="F15" s="6">
        <v>19021.346848000001</v>
      </c>
      <c r="G15" s="7">
        <v>2.2436879999999999E-2</v>
      </c>
      <c r="H15" s="52"/>
    </row>
    <row r="16" spans="1:14" ht="29.1" customHeight="1" x14ac:dyDescent="0.2">
      <c r="A16" s="3">
        <v>10</v>
      </c>
      <c r="B16" s="4" t="s">
        <v>63</v>
      </c>
      <c r="C16" s="4" t="s">
        <v>64</v>
      </c>
      <c r="D16" s="4" t="s">
        <v>25</v>
      </c>
      <c r="E16" s="5">
        <v>880062</v>
      </c>
      <c r="F16" s="6">
        <v>18518.704634999998</v>
      </c>
      <c r="G16" s="7">
        <v>2.1843990000000001E-2</v>
      </c>
      <c r="H16" s="52"/>
    </row>
    <row r="17" spans="1:10" ht="29.1" customHeight="1" x14ac:dyDescent="0.2">
      <c r="A17" s="3">
        <v>11</v>
      </c>
      <c r="B17" s="4" t="s">
        <v>209</v>
      </c>
      <c r="C17" s="4" t="s">
        <v>210</v>
      </c>
      <c r="D17" s="4" t="s">
        <v>211</v>
      </c>
      <c r="E17" s="5">
        <v>1773595</v>
      </c>
      <c r="F17" s="6">
        <v>18498.595850000002</v>
      </c>
      <c r="G17" s="7">
        <v>2.1820269999999999E-2</v>
      </c>
      <c r="H17" s="52"/>
    </row>
    <row r="18" spans="1:10" ht="17.100000000000001" customHeight="1" x14ac:dyDescent="0.2">
      <c r="A18" s="3">
        <v>12</v>
      </c>
      <c r="B18" s="4" t="s">
        <v>46</v>
      </c>
      <c r="C18" s="4" t="s">
        <v>47</v>
      </c>
      <c r="D18" s="4" t="s">
        <v>31</v>
      </c>
      <c r="E18" s="5">
        <v>830642</v>
      </c>
      <c r="F18" s="6">
        <v>17812.287047999998</v>
      </c>
      <c r="G18" s="7">
        <v>2.101072E-2</v>
      </c>
      <c r="H18" s="52"/>
    </row>
    <row r="19" spans="1:10" ht="17.100000000000001" customHeight="1" x14ac:dyDescent="0.2">
      <c r="A19" s="3">
        <v>13</v>
      </c>
      <c r="B19" s="4" t="s">
        <v>91</v>
      </c>
      <c r="C19" s="4" t="s">
        <v>92</v>
      </c>
      <c r="D19" s="4" t="s">
        <v>93</v>
      </c>
      <c r="E19" s="5">
        <v>1542010</v>
      </c>
      <c r="F19" s="6">
        <v>17545.760784999999</v>
      </c>
      <c r="G19" s="7">
        <v>2.0696340000000001E-2</v>
      </c>
      <c r="H19" s="52"/>
    </row>
    <row r="20" spans="1:10" ht="17.100000000000001" customHeight="1" x14ac:dyDescent="0.2">
      <c r="A20" s="3">
        <v>14</v>
      </c>
      <c r="B20" s="4" t="s">
        <v>212</v>
      </c>
      <c r="C20" s="4" t="s">
        <v>213</v>
      </c>
      <c r="D20" s="4" t="s">
        <v>888</v>
      </c>
      <c r="E20" s="5">
        <v>270000</v>
      </c>
      <c r="F20" s="6">
        <v>16632.54</v>
      </c>
      <c r="G20" s="7">
        <v>1.9619129999999999E-2</v>
      </c>
      <c r="H20" s="52"/>
    </row>
    <row r="21" spans="1:10" ht="29.1" customHeight="1" x14ac:dyDescent="0.2">
      <c r="A21" s="3">
        <v>15</v>
      </c>
      <c r="B21" s="4" t="s">
        <v>214</v>
      </c>
      <c r="C21" s="4" t="s">
        <v>215</v>
      </c>
      <c r="D21" s="4" t="s">
        <v>216</v>
      </c>
      <c r="E21" s="5">
        <v>462957</v>
      </c>
      <c r="F21" s="6">
        <v>15917.6190525</v>
      </c>
      <c r="G21" s="7">
        <v>1.8775839999999999E-2</v>
      </c>
      <c r="H21" s="52"/>
    </row>
    <row r="22" spans="1:10" ht="17.100000000000001" customHeight="1" x14ac:dyDescent="0.2">
      <c r="A22" s="3">
        <v>16</v>
      </c>
      <c r="B22" s="4" t="s">
        <v>53</v>
      </c>
      <c r="C22" s="4" t="s">
        <v>54</v>
      </c>
      <c r="D22" s="4" t="s">
        <v>31</v>
      </c>
      <c r="E22" s="5">
        <v>321006</v>
      </c>
      <c r="F22" s="6">
        <v>15800.236326</v>
      </c>
      <c r="G22" s="7">
        <v>1.8637379999999999E-2</v>
      </c>
      <c r="H22" s="52"/>
      <c r="J22" s="101" t="s">
        <v>1058</v>
      </c>
    </row>
    <row r="23" spans="1:10" ht="17.100000000000001" customHeight="1" x14ac:dyDescent="0.2">
      <c r="A23" s="3">
        <v>17</v>
      </c>
      <c r="B23" s="4" t="s">
        <v>217</v>
      </c>
      <c r="C23" s="4" t="s">
        <v>218</v>
      </c>
      <c r="D23" s="4" t="s">
        <v>28</v>
      </c>
      <c r="E23" s="5">
        <v>2359135</v>
      </c>
      <c r="F23" s="6">
        <v>15784.972285</v>
      </c>
      <c r="G23" s="7">
        <v>1.8619380000000001E-2</v>
      </c>
      <c r="H23" s="52"/>
    </row>
    <row r="24" spans="1:10" ht="17.100000000000001" customHeight="1" x14ac:dyDescent="0.2">
      <c r="A24" s="3">
        <v>18</v>
      </c>
      <c r="B24" s="4" t="s">
        <v>219</v>
      </c>
      <c r="C24" s="4" t="s">
        <v>220</v>
      </c>
      <c r="D24" s="4" t="s">
        <v>221</v>
      </c>
      <c r="E24" s="5">
        <v>1633013</v>
      </c>
      <c r="F24" s="6">
        <v>14927.371832999999</v>
      </c>
      <c r="G24" s="7">
        <v>1.760778E-2</v>
      </c>
      <c r="H24" s="52"/>
    </row>
    <row r="25" spans="1:10" ht="17.100000000000001" customHeight="1" x14ac:dyDescent="0.2">
      <c r="A25" s="3">
        <v>19</v>
      </c>
      <c r="B25" s="4" t="s">
        <v>68</v>
      </c>
      <c r="C25" s="4" t="s">
        <v>69</v>
      </c>
      <c r="D25" s="4" t="s">
        <v>70</v>
      </c>
      <c r="E25" s="5">
        <v>5126928</v>
      </c>
      <c r="F25" s="6">
        <v>14745.044927999999</v>
      </c>
      <c r="G25" s="7">
        <v>1.7392709999999999E-2</v>
      </c>
      <c r="H25" s="52"/>
    </row>
    <row r="26" spans="1:10" ht="29.1" customHeight="1" x14ac:dyDescent="0.2">
      <c r="A26" s="3">
        <v>20</v>
      </c>
      <c r="B26" s="4" t="s">
        <v>222</v>
      </c>
      <c r="C26" s="4" t="s">
        <v>223</v>
      </c>
      <c r="D26" s="4" t="s">
        <v>105</v>
      </c>
      <c r="E26" s="5">
        <v>92753</v>
      </c>
      <c r="F26" s="6">
        <v>14566.534014499999</v>
      </c>
      <c r="G26" s="7">
        <v>1.718215E-2</v>
      </c>
      <c r="H26" s="52"/>
    </row>
    <row r="27" spans="1:10" ht="29.1" customHeight="1" x14ac:dyDescent="0.2">
      <c r="A27" s="3">
        <v>21</v>
      </c>
      <c r="B27" s="4" t="s">
        <v>224</v>
      </c>
      <c r="C27" s="4" t="s">
        <v>225</v>
      </c>
      <c r="D27" s="4" t="s">
        <v>226</v>
      </c>
      <c r="E27" s="5">
        <v>1229596</v>
      </c>
      <c r="F27" s="6">
        <v>13871.687274</v>
      </c>
      <c r="G27" s="7">
        <v>1.636253E-2</v>
      </c>
      <c r="H27" s="52"/>
    </row>
    <row r="28" spans="1:10" ht="17.100000000000001" customHeight="1" x14ac:dyDescent="0.2">
      <c r="A28" s="3">
        <v>22</v>
      </c>
      <c r="B28" s="4" t="s">
        <v>112</v>
      </c>
      <c r="C28" s="4" t="s">
        <v>113</v>
      </c>
      <c r="D28" s="4" t="s">
        <v>114</v>
      </c>
      <c r="E28" s="5">
        <v>2185000</v>
      </c>
      <c r="F28" s="6">
        <v>13848.53</v>
      </c>
      <c r="G28" s="7">
        <v>1.6335220000000001E-2</v>
      </c>
      <c r="H28" s="52"/>
    </row>
    <row r="29" spans="1:10" ht="17.100000000000001" customHeight="1" x14ac:dyDescent="0.2">
      <c r="A29" s="3">
        <v>23</v>
      </c>
      <c r="B29" s="4" t="s">
        <v>227</v>
      </c>
      <c r="C29" s="4" t="s">
        <v>228</v>
      </c>
      <c r="D29" s="4" t="s">
        <v>76</v>
      </c>
      <c r="E29" s="5">
        <v>5175000</v>
      </c>
      <c r="F29" s="6">
        <v>13843.125</v>
      </c>
      <c r="G29" s="7">
        <v>1.6328840000000001E-2</v>
      </c>
      <c r="H29" s="52"/>
    </row>
    <row r="30" spans="1:10" ht="17.100000000000001" customHeight="1" x14ac:dyDescent="0.2">
      <c r="A30" s="3">
        <v>24</v>
      </c>
      <c r="B30" s="4" t="s">
        <v>103</v>
      </c>
      <c r="C30" s="4" t="s">
        <v>104</v>
      </c>
      <c r="D30" s="4" t="s">
        <v>105</v>
      </c>
      <c r="E30" s="5">
        <v>480602</v>
      </c>
      <c r="F30" s="6">
        <v>13540.480748</v>
      </c>
      <c r="G30" s="7">
        <v>1.5971860000000001E-2</v>
      </c>
      <c r="H30" s="52"/>
    </row>
    <row r="31" spans="1:10" ht="17.100000000000001" customHeight="1" x14ac:dyDescent="0.2">
      <c r="A31" s="3">
        <v>25</v>
      </c>
      <c r="B31" s="4" t="s">
        <v>229</v>
      </c>
      <c r="C31" s="4" t="s">
        <v>230</v>
      </c>
      <c r="D31" s="4" t="s">
        <v>231</v>
      </c>
      <c r="E31" s="5">
        <v>2700754</v>
      </c>
      <c r="F31" s="6">
        <v>13529.427163</v>
      </c>
      <c r="G31" s="7">
        <v>1.5958819999999999E-2</v>
      </c>
      <c r="H31" s="52"/>
    </row>
    <row r="32" spans="1:10" ht="17.100000000000001" customHeight="1" x14ac:dyDescent="0.2">
      <c r="A32" s="3">
        <v>26</v>
      </c>
      <c r="B32" s="4" t="s">
        <v>123</v>
      </c>
      <c r="C32" s="4" t="s">
        <v>124</v>
      </c>
      <c r="D32" s="4" t="s">
        <v>31</v>
      </c>
      <c r="E32" s="5">
        <v>708210</v>
      </c>
      <c r="F32" s="6">
        <v>13107.196575</v>
      </c>
      <c r="G32" s="7">
        <v>1.546077E-2</v>
      </c>
      <c r="H32" s="52"/>
    </row>
    <row r="33" spans="1:8" ht="29.1" customHeight="1" x14ac:dyDescent="0.2">
      <c r="A33" s="3">
        <v>27</v>
      </c>
      <c r="B33" s="4" t="s">
        <v>232</v>
      </c>
      <c r="C33" s="4" t="s">
        <v>233</v>
      </c>
      <c r="D33" s="4" t="s">
        <v>226</v>
      </c>
      <c r="E33" s="5">
        <v>2265500</v>
      </c>
      <c r="F33" s="6">
        <v>12993.775250000001</v>
      </c>
      <c r="G33" s="7">
        <v>1.532698E-2</v>
      </c>
      <c r="H33" s="52"/>
    </row>
    <row r="34" spans="1:8" ht="17.100000000000001" customHeight="1" x14ac:dyDescent="0.2">
      <c r="A34" s="3">
        <v>28</v>
      </c>
      <c r="B34" s="4" t="s">
        <v>234</v>
      </c>
      <c r="C34" s="4" t="s">
        <v>235</v>
      </c>
      <c r="D34" s="4" t="s">
        <v>60</v>
      </c>
      <c r="E34" s="5">
        <v>1499694</v>
      </c>
      <c r="F34" s="6">
        <v>12559.937250000001</v>
      </c>
      <c r="G34" s="7">
        <v>1.481524E-2</v>
      </c>
      <c r="H34" s="52"/>
    </row>
    <row r="35" spans="1:8" ht="29.1" customHeight="1" x14ac:dyDescent="0.2">
      <c r="A35" s="3">
        <v>29</v>
      </c>
      <c r="B35" s="4" t="s">
        <v>34</v>
      </c>
      <c r="C35" s="4" t="s">
        <v>35</v>
      </c>
      <c r="D35" s="4" t="s">
        <v>36</v>
      </c>
      <c r="E35" s="5">
        <v>9343928</v>
      </c>
      <c r="F35" s="6">
        <v>12450.78406</v>
      </c>
      <c r="G35" s="7">
        <v>1.468649E-2</v>
      </c>
      <c r="H35" s="52"/>
    </row>
    <row r="36" spans="1:8" ht="17.100000000000001" customHeight="1" x14ac:dyDescent="0.2">
      <c r="A36" s="3">
        <v>30</v>
      </c>
      <c r="B36" s="4" t="s">
        <v>236</v>
      </c>
      <c r="C36" s="4" t="s">
        <v>237</v>
      </c>
      <c r="D36" s="4" t="s">
        <v>888</v>
      </c>
      <c r="E36" s="5">
        <v>225951</v>
      </c>
      <c r="F36" s="6">
        <v>11261.962717500001</v>
      </c>
      <c r="G36" s="7">
        <v>1.3284199999999999E-2</v>
      </c>
      <c r="H36" s="52"/>
    </row>
    <row r="37" spans="1:8" ht="29.1" customHeight="1" x14ac:dyDescent="0.2">
      <c r="A37" s="3">
        <v>31</v>
      </c>
      <c r="B37" s="4" t="s">
        <v>238</v>
      </c>
      <c r="C37" s="4" t="s">
        <v>239</v>
      </c>
      <c r="D37" s="4" t="s">
        <v>226</v>
      </c>
      <c r="E37" s="5">
        <v>301845</v>
      </c>
      <c r="F37" s="6">
        <v>11234.2181325</v>
      </c>
      <c r="G37" s="7">
        <v>1.325147E-2</v>
      </c>
      <c r="H37" s="52"/>
    </row>
    <row r="38" spans="1:8" ht="17.100000000000001" customHeight="1" x14ac:dyDescent="0.2">
      <c r="A38" s="3">
        <v>32</v>
      </c>
      <c r="B38" s="4" t="s">
        <v>240</v>
      </c>
      <c r="C38" s="4" t="s">
        <v>241</v>
      </c>
      <c r="D38" s="4" t="s">
        <v>242</v>
      </c>
      <c r="E38" s="5">
        <v>962480</v>
      </c>
      <c r="F38" s="6">
        <v>10877.94896</v>
      </c>
      <c r="G38" s="7">
        <v>1.2831230000000001E-2</v>
      </c>
      <c r="H38" s="52"/>
    </row>
    <row r="39" spans="1:8" ht="17.100000000000001" customHeight="1" x14ac:dyDescent="0.2">
      <c r="A39" s="3">
        <v>33</v>
      </c>
      <c r="B39" s="4" t="s">
        <v>243</v>
      </c>
      <c r="C39" s="4" t="s">
        <v>244</v>
      </c>
      <c r="D39" s="4" t="s">
        <v>105</v>
      </c>
      <c r="E39" s="5">
        <v>200000</v>
      </c>
      <c r="F39" s="6">
        <v>10829.3</v>
      </c>
      <c r="G39" s="7">
        <v>1.277385E-2</v>
      </c>
      <c r="H39" s="52"/>
    </row>
    <row r="40" spans="1:8" ht="17.100000000000001" customHeight="1" x14ac:dyDescent="0.2">
      <c r="A40" s="3">
        <v>34</v>
      </c>
      <c r="B40" s="4" t="s">
        <v>245</v>
      </c>
      <c r="C40" s="4" t="s">
        <v>246</v>
      </c>
      <c r="D40" s="4" t="s">
        <v>60</v>
      </c>
      <c r="E40" s="5">
        <v>892091</v>
      </c>
      <c r="F40" s="6">
        <v>10593.580625000001</v>
      </c>
      <c r="G40" s="7">
        <v>1.24958E-2</v>
      </c>
      <c r="H40" s="52"/>
    </row>
    <row r="41" spans="1:8" ht="17.100000000000001" customHeight="1" x14ac:dyDescent="0.2">
      <c r="A41" s="3">
        <v>35</v>
      </c>
      <c r="B41" s="4" t="s">
        <v>247</v>
      </c>
      <c r="C41" s="4" t="s">
        <v>248</v>
      </c>
      <c r="D41" s="4" t="s">
        <v>102</v>
      </c>
      <c r="E41" s="5">
        <v>609596</v>
      </c>
      <c r="F41" s="6">
        <v>9697.453168</v>
      </c>
      <c r="G41" s="7">
        <v>1.1438759999999999E-2</v>
      </c>
      <c r="H41" s="52"/>
    </row>
    <row r="42" spans="1:8" ht="17.100000000000001" customHeight="1" x14ac:dyDescent="0.2">
      <c r="A42" s="3">
        <v>36</v>
      </c>
      <c r="B42" s="4" t="s">
        <v>249</v>
      </c>
      <c r="C42" s="4" t="s">
        <v>250</v>
      </c>
      <c r="D42" s="4" t="s">
        <v>231</v>
      </c>
      <c r="E42" s="5">
        <v>1769363</v>
      </c>
      <c r="F42" s="6">
        <v>9689.9164694999999</v>
      </c>
      <c r="G42" s="7">
        <v>1.142987E-2</v>
      </c>
      <c r="H42" s="52"/>
    </row>
    <row r="43" spans="1:8" ht="17.100000000000001" customHeight="1" x14ac:dyDescent="0.2">
      <c r="A43" s="3">
        <v>37</v>
      </c>
      <c r="B43" s="4" t="s">
        <v>251</v>
      </c>
      <c r="C43" s="4" t="s">
        <v>252</v>
      </c>
      <c r="D43" s="4" t="s">
        <v>70</v>
      </c>
      <c r="E43" s="5">
        <v>830685</v>
      </c>
      <c r="F43" s="6">
        <v>9454.8566699999992</v>
      </c>
      <c r="G43" s="7">
        <v>1.11526E-2</v>
      </c>
      <c r="H43" s="52"/>
    </row>
    <row r="44" spans="1:8" ht="17.100000000000001" customHeight="1" x14ac:dyDescent="0.2">
      <c r="A44" s="3">
        <v>38</v>
      </c>
      <c r="B44" s="4" t="s">
        <v>253</v>
      </c>
      <c r="C44" s="4" t="s">
        <v>254</v>
      </c>
      <c r="D44" s="4" t="s">
        <v>208</v>
      </c>
      <c r="E44" s="5">
        <v>231300</v>
      </c>
      <c r="F44" s="6">
        <v>9446.8702499999999</v>
      </c>
      <c r="G44" s="7">
        <v>1.1143180000000001E-2</v>
      </c>
      <c r="H44" s="52"/>
    </row>
    <row r="45" spans="1:8" ht="17.100000000000001" customHeight="1" x14ac:dyDescent="0.2">
      <c r="A45" s="3">
        <v>39</v>
      </c>
      <c r="B45" s="4" t="s">
        <v>255</v>
      </c>
      <c r="C45" s="4" t="s">
        <v>256</v>
      </c>
      <c r="D45" s="4" t="s">
        <v>22</v>
      </c>
      <c r="E45" s="5">
        <v>1295089</v>
      </c>
      <c r="F45" s="6">
        <v>9414.0019410000004</v>
      </c>
      <c r="G45" s="7">
        <v>1.110441E-2</v>
      </c>
      <c r="H45" s="52"/>
    </row>
    <row r="46" spans="1:8" ht="17.100000000000001" customHeight="1" x14ac:dyDescent="0.2">
      <c r="A46" s="3">
        <v>40</v>
      </c>
      <c r="B46" s="4" t="s">
        <v>50</v>
      </c>
      <c r="C46" s="4" t="s">
        <v>51</v>
      </c>
      <c r="D46" s="4" t="s">
        <v>52</v>
      </c>
      <c r="E46" s="5">
        <v>1300000</v>
      </c>
      <c r="F46" s="6">
        <v>8946.6</v>
      </c>
      <c r="G46" s="7">
        <v>1.0553079999999999E-2</v>
      </c>
      <c r="H46" s="52"/>
    </row>
    <row r="47" spans="1:8" ht="17.100000000000001" customHeight="1" x14ac:dyDescent="0.2">
      <c r="A47" s="3">
        <v>41</v>
      </c>
      <c r="B47" s="4" t="s">
        <v>257</v>
      </c>
      <c r="C47" s="4" t="s">
        <v>258</v>
      </c>
      <c r="D47" s="4" t="s">
        <v>259</v>
      </c>
      <c r="E47" s="5">
        <v>3419650</v>
      </c>
      <c r="F47" s="6">
        <v>8863.7327999999998</v>
      </c>
      <c r="G47" s="7">
        <v>1.0455330000000001E-2</v>
      </c>
      <c r="H47" s="52"/>
    </row>
    <row r="48" spans="1:8" ht="17.100000000000001" customHeight="1" x14ac:dyDescent="0.2">
      <c r="A48" s="3">
        <v>42</v>
      </c>
      <c r="B48" s="4" t="s">
        <v>260</v>
      </c>
      <c r="C48" s="4" t="s">
        <v>261</v>
      </c>
      <c r="D48" s="4" t="s">
        <v>28</v>
      </c>
      <c r="E48" s="5">
        <v>8615503</v>
      </c>
      <c r="F48" s="6">
        <v>8753.3510480000004</v>
      </c>
      <c r="G48" s="7">
        <v>1.032513E-2</v>
      </c>
      <c r="H48" s="52"/>
    </row>
    <row r="49" spans="1:8" ht="17.100000000000001" customHeight="1" x14ac:dyDescent="0.2">
      <c r="A49" s="3">
        <v>43</v>
      </c>
      <c r="B49" s="4" t="s">
        <v>262</v>
      </c>
      <c r="C49" s="4" t="s">
        <v>263</v>
      </c>
      <c r="D49" s="4" t="s">
        <v>52</v>
      </c>
      <c r="E49" s="5">
        <v>2112374</v>
      </c>
      <c r="F49" s="6">
        <v>8731.4979289999992</v>
      </c>
      <c r="G49" s="7">
        <v>1.029936E-2</v>
      </c>
      <c r="H49" s="52"/>
    </row>
    <row r="50" spans="1:8" ht="29.1" customHeight="1" x14ac:dyDescent="0.2">
      <c r="A50" s="3">
        <v>44</v>
      </c>
      <c r="B50" s="4" t="s">
        <v>264</v>
      </c>
      <c r="C50" s="4" t="s">
        <v>265</v>
      </c>
      <c r="D50" s="4" t="s">
        <v>266</v>
      </c>
      <c r="E50" s="5">
        <v>1212082</v>
      </c>
      <c r="F50" s="6">
        <v>8493.0585740000006</v>
      </c>
      <c r="G50" s="7">
        <v>1.00181E-2</v>
      </c>
      <c r="H50" s="52"/>
    </row>
    <row r="51" spans="1:8" ht="17.100000000000001" customHeight="1" x14ac:dyDescent="0.2">
      <c r="A51" s="3">
        <v>45</v>
      </c>
      <c r="B51" s="4" t="s">
        <v>110</v>
      </c>
      <c r="C51" s="4" t="s">
        <v>111</v>
      </c>
      <c r="D51" s="4" t="s">
        <v>105</v>
      </c>
      <c r="E51" s="5">
        <v>1564616</v>
      </c>
      <c r="F51" s="6">
        <v>8472.3956400000006</v>
      </c>
      <c r="G51" s="7">
        <v>9.9937299999999993E-3</v>
      </c>
      <c r="H51" s="52"/>
    </row>
    <row r="52" spans="1:8" ht="53.1" customHeight="1" x14ac:dyDescent="0.2">
      <c r="A52" s="3">
        <v>46</v>
      </c>
      <c r="B52" s="4" t="s">
        <v>71</v>
      </c>
      <c r="C52" s="4" t="s">
        <v>72</v>
      </c>
      <c r="D52" s="4" t="s">
        <v>73</v>
      </c>
      <c r="E52" s="5">
        <v>4854358</v>
      </c>
      <c r="F52" s="6">
        <v>8140.758366</v>
      </c>
      <c r="G52" s="7">
        <v>9.6025399999999997E-3</v>
      </c>
      <c r="H52" s="52"/>
    </row>
    <row r="53" spans="1:8" ht="17.100000000000001" customHeight="1" x14ac:dyDescent="0.2">
      <c r="A53" s="3">
        <v>47</v>
      </c>
      <c r="B53" s="4" t="s">
        <v>267</v>
      </c>
      <c r="C53" s="4" t="s">
        <v>268</v>
      </c>
      <c r="D53" s="4" t="s">
        <v>70</v>
      </c>
      <c r="E53" s="5">
        <v>563092</v>
      </c>
      <c r="F53" s="6">
        <v>7927.2091760000003</v>
      </c>
      <c r="G53" s="7">
        <v>9.3506500000000003E-3</v>
      </c>
      <c r="H53" s="52"/>
    </row>
    <row r="54" spans="1:8" ht="29.1" customHeight="1" x14ac:dyDescent="0.2">
      <c r="A54" s="3">
        <v>48</v>
      </c>
      <c r="B54" s="4" t="s">
        <v>269</v>
      </c>
      <c r="C54" s="4" t="s">
        <v>270</v>
      </c>
      <c r="D54" s="4" t="s">
        <v>226</v>
      </c>
      <c r="E54" s="5">
        <v>3570000</v>
      </c>
      <c r="F54" s="6">
        <v>7841.5050000000001</v>
      </c>
      <c r="G54" s="7">
        <v>9.2495500000000005E-3</v>
      </c>
      <c r="H54" s="52"/>
    </row>
    <row r="55" spans="1:8" ht="29.1" customHeight="1" x14ac:dyDescent="0.2">
      <c r="A55" s="3">
        <v>49</v>
      </c>
      <c r="B55" s="4" t="s">
        <v>271</v>
      </c>
      <c r="C55" s="4" t="s">
        <v>272</v>
      </c>
      <c r="D55" s="4" t="s">
        <v>226</v>
      </c>
      <c r="E55" s="5">
        <v>2119699</v>
      </c>
      <c r="F55" s="6">
        <v>7668.0111324999998</v>
      </c>
      <c r="G55" s="7">
        <v>9.0449099999999998E-3</v>
      </c>
      <c r="H55" s="52"/>
    </row>
    <row r="56" spans="1:8" ht="17.100000000000001" customHeight="1" x14ac:dyDescent="0.2">
      <c r="A56" s="3">
        <v>50</v>
      </c>
      <c r="B56" s="4" t="s">
        <v>273</v>
      </c>
      <c r="C56" s="4" t="s">
        <v>274</v>
      </c>
      <c r="D56" s="4" t="s">
        <v>105</v>
      </c>
      <c r="E56" s="5">
        <v>1275175</v>
      </c>
      <c r="F56" s="6">
        <v>7430.4447250000003</v>
      </c>
      <c r="G56" s="7">
        <v>8.7646800000000004E-3</v>
      </c>
      <c r="H56" s="52"/>
    </row>
    <row r="57" spans="1:8" ht="29.1" customHeight="1" x14ac:dyDescent="0.2">
      <c r="A57" s="3">
        <v>51</v>
      </c>
      <c r="B57" s="4" t="s">
        <v>275</v>
      </c>
      <c r="C57" s="4" t="s">
        <v>276</v>
      </c>
      <c r="D57" s="4" t="s">
        <v>211</v>
      </c>
      <c r="E57" s="5">
        <v>210001</v>
      </c>
      <c r="F57" s="6">
        <v>7142.6590125000002</v>
      </c>
      <c r="G57" s="7">
        <v>8.4252200000000006E-3</v>
      </c>
      <c r="H57" s="52"/>
    </row>
    <row r="58" spans="1:8" ht="17.100000000000001" customHeight="1" x14ac:dyDescent="0.2">
      <c r="A58" s="3">
        <v>52</v>
      </c>
      <c r="B58" s="4" t="s">
        <v>277</v>
      </c>
      <c r="C58" s="4" t="s">
        <v>278</v>
      </c>
      <c r="D58" s="4" t="s">
        <v>60</v>
      </c>
      <c r="E58" s="5">
        <v>556872</v>
      </c>
      <c r="F58" s="6">
        <v>7024.1049720000001</v>
      </c>
      <c r="G58" s="7">
        <v>8.2853800000000002E-3</v>
      </c>
      <c r="H58" s="52"/>
    </row>
    <row r="59" spans="1:8" ht="17.100000000000001" customHeight="1" x14ac:dyDescent="0.2">
      <c r="A59" s="3">
        <v>53</v>
      </c>
      <c r="B59" s="4" t="s">
        <v>279</v>
      </c>
      <c r="C59" s="4" t="s">
        <v>280</v>
      </c>
      <c r="D59" s="4" t="s">
        <v>888</v>
      </c>
      <c r="E59" s="5">
        <v>522275</v>
      </c>
      <c r="F59" s="6">
        <v>6358.9592624999996</v>
      </c>
      <c r="G59" s="7">
        <v>7.5008000000000002E-3</v>
      </c>
      <c r="H59" s="52"/>
    </row>
    <row r="60" spans="1:8" ht="17.100000000000001" customHeight="1" x14ac:dyDescent="0.2">
      <c r="A60" s="3">
        <v>54</v>
      </c>
      <c r="B60" s="4" t="s">
        <v>281</v>
      </c>
      <c r="C60" s="4" t="s">
        <v>282</v>
      </c>
      <c r="D60" s="4" t="s">
        <v>283</v>
      </c>
      <c r="E60" s="5">
        <v>373854</v>
      </c>
      <c r="F60" s="6">
        <v>6038.3028809999996</v>
      </c>
      <c r="G60" s="7">
        <v>7.12256E-3</v>
      </c>
      <c r="H60" s="52"/>
    </row>
    <row r="61" spans="1:8" ht="17.100000000000001" customHeight="1" x14ac:dyDescent="0.2">
      <c r="A61" s="3">
        <v>55</v>
      </c>
      <c r="B61" s="4" t="s">
        <v>61</v>
      </c>
      <c r="C61" s="4" t="s">
        <v>62</v>
      </c>
      <c r="D61" s="4" t="s">
        <v>31</v>
      </c>
      <c r="E61" s="5">
        <v>375331</v>
      </c>
      <c r="F61" s="6">
        <v>5875.0561429999998</v>
      </c>
      <c r="G61" s="7">
        <v>6.9300000000000004E-3</v>
      </c>
      <c r="H61" s="52"/>
    </row>
    <row r="62" spans="1:8" ht="17.100000000000001" customHeight="1" x14ac:dyDescent="0.2">
      <c r="A62" s="3">
        <v>56</v>
      </c>
      <c r="B62" s="4" t="s">
        <v>284</v>
      </c>
      <c r="C62" s="4" t="s">
        <v>285</v>
      </c>
      <c r="D62" s="4" t="s">
        <v>205</v>
      </c>
      <c r="E62" s="5">
        <v>984982</v>
      </c>
      <c r="F62" s="6">
        <v>5651.3342249999996</v>
      </c>
      <c r="G62" s="7">
        <v>6.6661100000000003E-3</v>
      </c>
      <c r="H62" s="52"/>
    </row>
    <row r="63" spans="1:8" ht="17.100000000000001" customHeight="1" x14ac:dyDescent="0.2">
      <c r="A63" s="3">
        <v>57</v>
      </c>
      <c r="B63" s="4" t="s">
        <v>286</v>
      </c>
      <c r="C63" s="4" t="s">
        <v>287</v>
      </c>
      <c r="D63" s="4" t="s">
        <v>288</v>
      </c>
      <c r="E63" s="5">
        <v>1083188</v>
      </c>
      <c r="F63" s="6">
        <v>5523.175612</v>
      </c>
      <c r="G63" s="7">
        <v>6.5149400000000003E-3</v>
      </c>
      <c r="H63" s="52"/>
    </row>
    <row r="64" spans="1:8" ht="17.100000000000001" customHeight="1" x14ac:dyDescent="0.2">
      <c r="A64" s="3">
        <v>58</v>
      </c>
      <c r="B64" s="4" t="s">
        <v>289</v>
      </c>
      <c r="C64" s="4" t="s">
        <v>290</v>
      </c>
      <c r="D64" s="4" t="s">
        <v>16</v>
      </c>
      <c r="E64" s="5">
        <v>2200179</v>
      </c>
      <c r="F64" s="6">
        <v>5449.8433830000004</v>
      </c>
      <c r="G64" s="7">
        <v>6.4284399999999997E-3</v>
      </c>
      <c r="H64" s="52"/>
    </row>
    <row r="65" spans="1:8" ht="17.100000000000001" customHeight="1" x14ac:dyDescent="0.2">
      <c r="A65" s="3">
        <v>59</v>
      </c>
      <c r="B65" s="4" t="s">
        <v>291</v>
      </c>
      <c r="C65" s="4" t="s">
        <v>292</v>
      </c>
      <c r="D65" s="4" t="s">
        <v>76</v>
      </c>
      <c r="E65" s="5">
        <v>1222628</v>
      </c>
      <c r="F65" s="6">
        <v>4674.7181579999997</v>
      </c>
      <c r="G65" s="7">
        <v>5.5141299999999999E-3</v>
      </c>
      <c r="H65" s="52"/>
    </row>
    <row r="66" spans="1:8" ht="17.100000000000001" customHeight="1" x14ac:dyDescent="0.2">
      <c r="A66" s="3">
        <v>60</v>
      </c>
      <c r="B66" s="4" t="s">
        <v>293</v>
      </c>
      <c r="C66" s="4" t="s">
        <v>294</v>
      </c>
      <c r="D66" s="4" t="s">
        <v>28</v>
      </c>
      <c r="E66" s="5">
        <v>1099520</v>
      </c>
      <c r="F66" s="6">
        <v>4618.5337600000003</v>
      </c>
      <c r="G66" s="7">
        <v>5.4478499999999997E-3</v>
      </c>
      <c r="H66" s="52"/>
    </row>
    <row r="67" spans="1:8" ht="29.1" customHeight="1" x14ac:dyDescent="0.2">
      <c r="A67" s="3">
        <v>61</v>
      </c>
      <c r="B67" s="4" t="s">
        <v>295</v>
      </c>
      <c r="C67" s="4" t="s">
        <v>296</v>
      </c>
      <c r="D67" s="4" t="s">
        <v>226</v>
      </c>
      <c r="E67" s="5">
        <v>60062</v>
      </c>
      <c r="F67" s="6">
        <v>4540.8073240000003</v>
      </c>
      <c r="G67" s="7">
        <v>5.3561700000000004E-3</v>
      </c>
      <c r="H67" s="52"/>
    </row>
    <row r="68" spans="1:8" ht="17.100000000000001" customHeight="1" x14ac:dyDescent="0.2">
      <c r="A68" s="3">
        <v>62</v>
      </c>
      <c r="B68" s="4" t="s">
        <v>297</v>
      </c>
      <c r="C68" s="4" t="s">
        <v>298</v>
      </c>
      <c r="D68" s="4" t="s">
        <v>76</v>
      </c>
      <c r="E68" s="5">
        <v>2250000</v>
      </c>
      <c r="F68" s="6">
        <v>4491</v>
      </c>
      <c r="G68" s="7">
        <v>5.2974199999999997E-3</v>
      </c>
      <c r="H68" s="52"/>
    </row>
    <row r="69" spans="1:8" ht="17.100000000000001" customHeight="1" x14ac:dyDescent="0.2">
      <c r="A69" s="3">
        <v>63</v>
      </c>
      <c r="B69" s="4" t="s">
        <v>299</v>
      </c>
      <c r="C69" s="4" t="s">
        <v>300</v>
      </c>
      <c r="D69" s="4" t="s">
        <v>208</v>
      </c>
      <c r="E69" s="5">
        <v>2804684</v>
      </c>
      <c r="F69" s="6">
        <v>3908.3271540000001</v>
      </c>
      <c r="G69" s="7">
        <v>4.6101199999999997E-3</v>
      </c>
      <c r="H69" s="52"/>
    </row>
    <row r="70" spans="1:8" ht="17.100000000000001" customHeight="1" x14ac:dyDescent="0.2">
      <c r="A70" s="3">
        <v>64</v>
      </c>
      <c r="B70" s="4" t="s">
        <v>301</v>
      </c>
      <c r="C70" s="4" t="s">
        <v>302</v>
      </c>
      <c r="D70" s="4" t="s">
        <v>888</v>
      </c>
      <c r="E70" s="5">
        <v>48161</v>
      </c>
      <c r="F70" s="6">
        <v>3672.3725720000002</v>
      </c>
      <c r="G70" s="7">
        <v>4.3318000000000002E-3</v>
      </c>
      <c r="H70" s="52"/>
    </row>
    <row r="71" spans="1:8" ht="17.100000000000001" customHeight="1" x14ac:dyDescent="0.2">
      <c r="A71" s="3">
        <v>65</v>
      </c>
      <c r="B71" s="4" t="s">
        <v>303</v>
      </c>
      <c r="C71" s="4" t="s">
        <v>304</v>
      </c>
      <c r="D71" s="4" t="s">
        <v>105</v>
      </c>
      <c r="E71" s="5">
        <v>100000</v>
      </c>
      <c r="F71" s="6">
        <v>2553.8000000000002</v>
      </c>
      <c r="G71" s="7">
        <v>3.0123699999999999E-3</v>
      </c>
      <c r="H71" s="52"/>
    </row>
    <row r="72" spans="1:8" ht="17.100000000000001" customHeight="1" x14ac:dyDescent="0.2">
      <c r="A72" s="3">
        <v>66</v>
      </c>
      <c r="B72" s="4" t="s">
        <v>305</v>
      </c>
      <c r="C72" s="4" t="s">
        <v>306</v>
      </c>
      <c r="D72" s="4" t="s">
        <v>28</v>
      </c>
      <c r="E72" s="5">
        <v>2474474</v>
      </c>
      <c r="F72" s="6">
        <v>2371.7833289999999</v>
      </c>
      <c r="G72" s="7">
        <v>2.7976699999999999E-3</v>
      </c>
      <c r="H72" s="52"/>
    </row>
    <row r="73" spans="1:8" ht="29.1" customHeight="1" x14ac:dyDescent="0.2">
      <c r="A73" s="3">
        <v>67</v>
      </c>
      <c r="B73" s="4" t="s">
        <v>139</v>
      </c>
      <c r="C73" s="4" t="s">
        <v>140</v>
      </c>
      <c r="D73" s="4" t="s">
        <v>141</v>
      </c>
      <c r="E73" s="5">
        <v>1218420</v>
      </c>
      <c r="F73" s="6">
        <v>2065.8311100000001</v>
      </c>
      <c r="G73" s="7">
        <v>2.4367799999999999E-3</v>
      </c>
      <c r="H73" s="52"/>
    </row>
    <row r="74" spans="1:8" ht="17.100000000000001" customHeight="1" x14ac:dyDescent="0.2">
      <c r="A74" s="3">
        <v>68</v>
      </c>
      <c r="B74" s="4" t="s">
        <v>307</v>
      </c>
      <c r="C74" s="4" t="s">
        <v>308</v>
      </c>
      <c r="D74" s="4" t="s">
        <v>70</v>
      </c>
      <c r="E74" s="5">
        <v>200000</v>
      </c>
      <c r="F74" s="6">
        <v>2042.6</v>
      </c>
      <c r="G74" s="7">
        <v>2.40938E-3</v>
      </c>
      <c r="H74" s="52"/>
    </row>
    <row r="75" spans="1:8" ht="17.100000000000001" customHeight="1" x14ac:dyDescent="0.2">
      <c r="A75" s="3">
        <v>69</v>
      </c>
      <c r="B75" s="4" t="s">
        <v>309</v>
      </c>
      <c r="C75" s="4" t="s">
        <v>310</v>
      </c>
      <c r="D75" s="4" t="s">
        <v>311</v>
      </c>
      <c r="E75" s="5">
        <v>172436</v>
      </c>
      <c r="F75" s="6">
        <v>1388.1960180000001</v>
      </c>
      <c r="G75" s="7">
        <v>1.63747E-3</v>
      </c>
      <c r="H75" s="52"/>
    </row>
    <row r="76" spans="1:8" ht="14.1" customHeight="1" x14ac:dyDescent="0.2">
      <c r="A76" s="1"/>
      <c r="B76" s="1"/>
      <c r="C76" s="2" t="s">
        <v>145</v>
      </c>
      <c r="D76" s="1"/>
      <c r="E76" s="1" t="s">
        <v>146</v>
      </c>
      <c r="F76" s="9">
        <v>804180.65520100005</v>
      </c>
      <c r="G76" s="10">
        <v>0.94858207999999999</v>
      </c>
      <c r="H76" s="52"/>
    </row>
    <row r="77" spans="1:8" ht="14.1" customHeight="1" x14ac:dyDescent="0.2">
      <c r="A77" s="1"/>
      <c r="B77" s="1"/>
      <c r="C77" s="11"/>
      <c r="D77" s="1"/>
      <c r="E77" s="1"/>
      <c r="F77" s="12"/>
      <c r="G77" s="12"/>
      <c r="H77" s="52"/>
    </row>
    <row r="78" spans="1:8" ht="14.1" customHeight="1" x14ac:dyDescent="0.2">
      <c r="A78" s="1"/>
      <c r="B78" s="1"/>
      <c r="C78" s="2" t="s">
        <v>147</v>
      </c>
      <c r="D78" s="1"/>
      <c r="E78" s="1"/>
      <c r="F78" s="1"/>
      <c r="G78" s="1"/>
      <c r="H78" s="52"/>
    </row>
    <row r="79" spans="1:8" ht="14.1" customHeight="1" x14ac:dyDescent="0.2">
      <c r="A79" s="1"/>
      <c r="B79" s="1"/>
      <c r="C79" s="2" t="s">
        <v>145</v>
      </c>
      <c r="D79" s="1"/>
      <c r="E79" s="1" t="s">
        <v>146</v>
      </c>
      <c r="F79" s="13" t="s">
        <v>148</v>
      </c>
      <c r="G79" s="10">
        <v>0</v>
      </c>
      <c r="H79" s="52"/>
    </row>
    <row r="80" spans="1:8" ht="14.1" customHeight="1" x14ac:dyDescent="0.2">
      <c r="A80" s="1"/>
      <c r="B80" s="1"/>
      <c r="C80" s="11"/>
      <c r="D80" s="1"/>
      <c r="E80" s="1"/>
      <c r="F80" s="12"/>
      <c r="G80" s="12"/>
      <c r="H80" s="52"/>
    </row>
    <row r="81" spans="1:8" ht="14.1" customHeight="1" x14ac:dyDescent="0.2">
      <c r="A81" s="1"/>
      <c r="B81" s="1"/>
      <c r="C81" s="2" t="s">
        <v>149</v>
      </c>
      <c r="D81" s="1"/>
      <c r="E81" s="1"/>
      <c r="F81" s="1"/>
      <c r="G81" s="1"/>
      <c r="H81" s="52"/>
    </row>
    <row r="82" spans="1:8" ht="14.1" customHeight="1" x14ac:dyDescent="0.2">
      <c r="A82" s="1"/>
      <c r="B82" s="1"/>
      <c r="C82" s="2" t="s">
        <v>145</v>
      </c>
      <c r="D82" s="1"/>
      <c r="E82" s="1" t="s">
        <v>146</v>
      </c>
      <c r="F82" s="13" t="s">
        <v>148</v>
      </c>
      <c r="G82" s="10">
        <v>0</v>
      </c>
      <c r="H82" s="52"/>
    </row>
    <row r="83" spans="1:8" ht="14.1" customHeight="1" x14ac:dyDescent="0.2">
      <c r="A83" s="1"/>
      <c r="B83" s="1"/>
      <c r="C83" s="11"/>
      <c r="D83" s="1"/>
      <c r="E83" s="1"/>
      <c r="F83" s="12"/>
      <c r="G83" s="12"/>
      <c r="H83" s="52"/>
    </row>
    <row r="84" spans="1:8" ht="14.1" customHeight="1" x14ac:dyDescent="0.2">
      <c r="A84" s="1"/>
      <c r="B84" s="1"/>
      <c r="C84" s="2" t="s">
        <v>150</v>
      </c>
      <c r="D84" s="1"/>
      <c r="E84" s="1"/>
      <c r="F84" s="1"/>
      <c r="G84" s="1"/>
      <c r="H84" s="52"/>
    </row>
    <row r="85" spans="1:8" ht="29.1" customHeight="1" x14ac:dyDescent="0.2">
      <c r="A85" s="3">
        <v>1</v>
      </c>
      <c r="B85" s="4" t="s">
        <v>312</v>
      </c>
      <c r="C85" s="4" t="s">
        <v>949</v>
      </c>
      <c r="D85" s="4" t="s">
        <v>105</v>
      </c>
      <c r="E85" s="5">
        <v>25352032</v>
      </c>
      <c r="F85" s="6">
        <v>2636.611328</v>
      </c>
      <c r="G85" s="7">
        <v>3.1100500000000001E-3</v>
      </c>
      <c r="H85" s="52"/>
    </row>
    <row r="86" spans="1:8" ht="39" customHeight="1" x14ac:dyDescent="0.2">
      <c r="A86" s="3">
        <v>2</v>
      </c>
      <c r="B86" s="4" t="s">
        <v>313</v>
      </c>
      <c r="C86" s="4" t="s">
        <v>950</v>
      </c>
      <c r="D86" s="4" t="s">
        <v>70</v>
      </c>
      <c r="E86" s="5">
        <v>25352</v>
      </c>
      <c r="F86" s="6">
        <v>2.5354535199999999</v>
      </c>
      <c r="G86" s="41" t="s">
        <v>144</v>
      </c>
      <c r="H86" s="52"/>
    </row>
    <row r="87" spans="1:8" ht="14.1" customHeight="1" x14ac:dyDescent="0.2">
      <c r="A87" s="1"/>
      <c r="B87" s="1"/>
      <c r="C87" s="2" t="s">
        <v>145</v>
      </c>
      <c r="D87" s="1"/>
      <c r="E87" s="1" t="s">
        <v>146</v>
      </c>
      <c r="F87" s="9">
        <v>2639.1467815199999</v>
      </c>
      <c r="G87" s="10">
        <v>3.1130400000000001E-3</v>
      </c>
      <c r="H87" s="52"/>
    </row>
    <row r="88" spans="1:8" ht="14.1" customHeight="1" x14ac:dyDescent="0.2">
      <c r="A88" s="1"/>
      <c r="B88" s="1"/>
      <c r="C88" s="11"/>
      <c r="D88" s="1"/>
      <c r="E88" s="1"/>
      <c r="F88" s="12"/>
      <c r="G88" s="12"/>
      <c r="H88" s="52"/>
    </row>
    <row r="89" spans="1:8" ht="14.1" customHeight="1" x14ac:dyDescent="0.2">
      <c r="A89" s="1"/>
      <c r="B89" s="1"/>
      <c r="C89" s="2" t="s">
        <v>151</v>
      </c>
      <c r="D89" s="1"/>
      <c r="E89" s="1"/>
      <c r="F89" s="12"/>
      <c r="G89" s="12"/>
      <c r="H89" s="52"/>
    </row>
    <row r="90" spans="1:8" ht="14.1" customHeight="1" x14ac:dyDescent="0.2">
      <c r="A90" s="1"/>
      <c r="B90" s="1"/>
      <c r="C90" s="2" t="s">
        <v>145</v>
      </c>
      <c r="D90" s="1"/>
      <c r="E90" s="1" t="s">
        <v>146</v>
      </c>
      <c r="F90" s="13" t="s">
        <v>148</v>
      </c>
      <c r="G90" s="10">
        <v>0</v>
      </c>
      <c r="H90" s="52"/>
    </row>
    <row r="91" spans="1:8" ht="14.1" customHeight="1" x14ac:dyDescent="0.2">
      <c r="A91" s="1"/>
      <c r="B91" s="1"/>
      <c r="C91" s="11"/>
      <c r="D91" s="1"/>
      <c r="E91" s="1"/>
      <c r="F91" s="12"/>
      <c r="G91" s="12"/>
      <c r="H91" s="52"/>
    </row>
    <row r="92" spans="1:8" ht="14.1" customHeight="1" x14ac:dyDescent="0.2">
      <c r="A92" s="1"/>
      <c r="B92" s="1"/>
      <c r="C92" s="2" t="s">
        <v>152</v>
      </c>
      <c r="D92" s="1"/>
      <c r="E92" s="1"/>
      <c r="F92" s="12"/>
      <c r="G92" s="12"/>
      <c r="H92" s="52"/>
    </row>
    <row r="93" spans="1:8" ht="17.100000000000001" customHeight="1" x14ac:dyDescent="0.2">
      <c r="A93" s="3">
        <v>1</v>
      </c>
      <c r="B93" s="4"/>
      <c r="C93" s="4" t="s">
        <v>890</v>
      </c>
      <c r="D93" s="4" t="s">
        <v>314</v>
      </c>
      <c r="E93" s="5">
        <v>-195000</v>
      </c>
      <c r="F93" s="6">
        <v>-3651.2775000000001</v>
      </c>
      <c r="G93" s="7">
        <v>-4.3069099999999997E-3</v>
      </c>
      <c r="H93" s="52"/>
    </row>
    <row r="94" spans="1:8" ht="14.1" customHeight="1" x14ac:dyDescent="0.2">
      <c r="A94" s="1"/>
      <c r="B94" s="1"/>
      <c r="C94" s="2" t="s">
        <v>145</v>
      </c>
      <c r="D94" s="1"/>
      <c r="E94" s="1" t="s">
        <v>146</v>
      </c>
      <c r="F94" s="9">
        <v>-3651.2775000000001</v>
      </c>
      <c r="G94" s="10">
        <v>-4.3069099999999997E-3</v>
      </c>
      <c r="H94" s="52"/>
    </row>
    <row r="95" spans="1:8" ht="14.1" customHeight="1" x14ac:dyDescent="0.2">
      <c r="A95" s="1"/>
      <c r="B95" s="1"/>
      <c r="C95" s="11"/>
      <c r="D95" s="1"/>
      <c r="E95" s="1"/>
      <c r="F95" s="12"/>
      <c r="G95" s="12"/>
      <c r="H95" s="52"/>
    </row>
    <row r="96" spans="1:8" ht="18" customHeight="1" x14ac:dyDescent="0.2">
      <c r="A96" s="1"/>
      <c r="B96" s="1"/>
      <c r="C96" s="2" t="s">
        <v>153</v>
      </c>
      <c r="D96" s="1"/>
      <c r="E96" s="1"/>
      <c r="F96" s="9">
        <v>806819.80198252003</v>
      </c>
      <c r="G96" s="10">
        <v>0.95169512000000001</v>
      </c>
      <c r="H96" s="52"/>
    </row>
    <row r="97" spans="1:8" ht="14.1" customHeight="1" x14ac:dyDescent="0.2">
      <c r="A97" s="1"/>
      <c r="B97" s="1"/>
      <c r="C97" s="11"/>
      <c r="D97" s="1"/>
      <c r="E97" s="1"/>
      <c r="F97" s="12"/>
      <c r="G97" s="12"/>
      <c r="H97" s="52"/>
    </row>
    <row r="98" spans="1:8" ht="14.1" customHeight="1" x14ac:dyDescent="0.2">
      <c r="A98" s="1"/>
      <c r="B98" s="1"/>
      <c r="C98" s="2" t="s">
        <v>154</v>
      </c>
      <c r="D98" s="1"/>
      <c r="E98" s="1"/>
      <c r="F98" s="12"/>
      <c r="G98" s="12"/>
      <c r="H98" s="52"/>
    </row>
    <row r="99" spans="1:8" ht="24" customHeight="1" x14ac:dyDescent="0.2">
      <c r="A99" s="1"/>
      <c r="B99" s="1"/>
      <c r="C99" s="2" t="s">
        <v>10</v>
      </c>
      <c r="D99" s="1"/>
      <c r="E99" s="1"/>
      <c r="F99" s="12"/>
      <c r="G99" s="12"/>
      <c r="H99" s="52"/>
    </row>
    <row r="100" spans="1:8" ht="14.1" customHeight="1" x14ac:dyDescent="0.2">
      <c r="A100" s="1"/>
      <c r="B100" s="1"/>
      <c r="C100" s="2" t="s">
        <v>145</v>
      </c>
      <c r="D100" s="1"/>
      <c r="E100" s="1" t="s">
        <v>146</v>
      </c>
      <c r="F100" s="13" t="s">
        <v>148</v>
      </c>
      <c r="G100" s="10">
        <v>0</v>
      </c>
      <c r="H100" s="52"/>
    </row>
    <row r="101" spans="1:8" ht="14.1" customHeight="1" x14ac:dyDescent="0.2">
      <c r="A101" s="1"/>
      <c r="B101" s="1"/>
      <c r="C101" s="11"/>
      <c r="D101" s="1"/>
      <c r="E101" s="1"/>
      <c r="F101" s="12"/>
      <c r="G101" s="12"/>
      <c r="H101" s="52"/>
    </row>
    <row r="102" spans="1:8" ht="14.1" customHeight="1" x14ac:dyDescent="0.2">
      <c r="A102" s="1"/>
      <c r="B102" s="1"/>
      <c r="C102" s="2" t="s">
        <v>155</v>
      </c>
      <c r="D102" s="1"/>
      <c r="E102" s="1"/>
      <c r="F102" s="1"/>
      <c r="G102" s="1"/>
      <c r="H102" s="52"/>
    </row>
    <row r="103" spans="1:8" ht="14.1" customHeight="1" x14ac:dyDescent="0.2">
      <c r="A103" s="1"/>
      <c r="B103" s="1"/>
      <c r="C103" s="2" t="s">
        <v>145</v>
      </c>
      <c r="D103" s="1"/>
      <c r="E103" s="1" t="s">
        <v>146</v>
      </c>
      <c r="F103" s="13" t="s">
        <v>148</v>
      </c>
      <c r="G103" s="10">
        <v>0</v>
      </c>
      <c r="H103" s="52"/>
    </row>
    <row r="104" spans="1:8" ht="14.1" customHeight="1" x14ac:dyDescent="0.2">
      <c r="A104" s="1"/>
      <c r="B104" s="1"/>
      <c r="C104" s="11"/>
      <c r="D104" s="1"/>
      <c r="E104" s="1"/>
      <c r="F104" s="12"/>
      <c r="G104" s="12"/>
      <c r="H104" s="52"/>
    </row>
    <row r="105" spans="1:8" ht="14.1" customHeight="1" x14ac:dyDescent="0.2">
      <c r="A105" s="1"/>
      <c r="B105" s="1"/>
      <c r="C105" s="2" t="s">
        <v>156</v>
      </c>
      <c r="D105" s="1"/>
      <c r="E105" s="1"/>
      <c r="F105" s="1"/>
      <c r="G105" s="1"/>
      <c r="H105" s="52"/>
    </row>
    <row r="106" spans="1:8" ht="14.1" customHeight="1" x14ac:dyDescent="0.2">
      <c r="A106" s="1"/>
      <c r="B106" s="1"/>
      <c r="C106" s="2" t="s">
        <v>145</v>
      </c>
      <c r="D106" s="1"/>
      <c r="E106" s="1" t="s">
        <v>146</v>
      </c>
      <c r="F106" s="13" t="s">
        <v>148</v>
      </c>
      <c r="G106" s="10">
        <v>0</v>
      </c>
      <c r="H106" s="52"/>
    </row>
    <row r="107" spans="1:8" ht="14.1" customHeight="1" x14ac:dyDescent="0.2">
      <c r="A107" s="1"/>
      <c r="B107" s="1"/>
      <c r="C107" s="11"/>
      <c r="D107" s="1"/>
      <c r="E107" s="1"/>
      <c r="F107" s="12"/>
      <c r="G107" s="12"/>
      <c r="H107" s="52"/>
    </row>
    <row r="108" spans="1:8" ht="14.1" customHeight="1" x14ac:dyDescent="0.2">
      <c r="A108" s="1"/>
      <c r="B108" s="1"/>
      <c r="C108" s="2" t="s">
        <v>157</v>
      </c>
      <c r="D108" s="1"/>
      <c r="E108" s="1"/>
      <c r="F108" s="12"/>
      <c r="G108" s="12"/>
      <c r="H108" s="52"/>
    </row>
    <row r="109" spans="1:8" ht="14.1" customHeight="1" x14ac:dyDescent="0.2">
      <c r="A109" s="1"/>
      <c r="B109" s="1"/>
      <c r="C109" s="2" t="s">
        <v>145</v>
      </c>
      <c r="D109" s="1"/>
      <c r="E109" s="1" t="s">
        <v>146</v>
      </c>
      <c r="F109" s="13" t="s">
        <v>148</v>
      </c>
      <c r="G109" s="10">
        <v>0</v>
      </c>
      <c r="H109" s="52"/>
    </row>
    <row r="110" spans="1:8" ht="14.1" customHeight="1" x14ac:dyDescent="0.2">
      <c r="A110" s="1"/>
      <c r="B110" s="1"/>
      <c r="C110" s="11"/>
      <c r="D110" s="1"/>
      <c r="E110" s="1"/>
      <c r="F110" s="12"/>
      <c r="G110" s="12"/>
      <c r="H110" s="52"/>
    </row>
    <row r="111" spans="1:8" ht="14.1" customHeight="1" x14ac:dyDescent="0.2">
      <c r="A111" s="1"/>
      <c r="B111" s="1"/>
      <c r="C111" s="2" t="s">
        <v>158</v>
      </c>
      <c r="D111" s="1"/>
      <c r="E111" s="1"/>
      <c r="F111" s="9">
        <v>0</v>
      </c>
      <c r="G111" s="10">
        <v>0</v>
      </c>
      <c r="H111" s="52"/>
    </row>
    <row r="112" spans="1:8" ht="14.1" customHeight="1" x14ac:dyDescent="0.2">
      <c r="A112" s="1"/>
      <c r="B112" s="1"/>
      <c r="C112" s="11"/>
      <c r="D112" s="1"/>
      <c r="E112" s="1"/>
      <c r="F112" s="12"/>
      <c r="G112" s="12"/>
      <c r="H112" s="52"/>
    </row>
    <row r="113" spans="1:8" ht="14.1" customHeight="1" x14ac:dyDescent="0.2">
      <c r="A113" s="1"/>
      <c r="B113" s="1"/>
      <c r="C113" s="2" t="s">
        <v>159</v>
      </c>
      <c r="D113" s="1"/>
      <c r="E113" s="1"/>
      <c r="F113" s="12"/>
      <c r="G113" s="12"/>
      <c r="H113" s="52"/>
    </row>
    <row r="114" spans="1:8" ht="14.1" customHeight="1" x14ac:dyDescent="0.2">
      <c r="A114" s="1"/>
      <c r="B114" s="1"/>
      <c r="C114" s="2" t="s">
        <v>160</v>
      </c>
      <c r="D114" s="1"/>
      <c r="E114" s="1"/>
      <c r="F114" s="12"/>
      <c r="G114" s="12"/>
      <c r="H114" s="52"/>
    </row>
    <row r="115" spans="1:8" ht="14.1" customHeight="1" x14ac:dyDescent="0.2">
      <c r="A115" s="1"/>
      <c r="B115" s="1"/>
      <c r="C115" s="2" t="s">
        <v>145</v>
      </c>
      <c r="D115" s="1"/>
      <c r="E115" s="1" t="s">
        <v>146</v>
      </c>
      <c r="F115" s="13" t="s">
        <v>148</v>
      </c>
      <c r="G115" s="10">
        <v>0</v>
      </c>
      <c r="H115" s="52"/>
    </row>
    <row r="116" spans="1:8" ht="14.1" customHeight="1" x14ac:dyDescent="0.2">
      <c r="A116" s="1"/>
      <c r="B116" s="1"/>
      <c r="C116" s="11"/>
      <c r="D116" s="1"/>
      <c r="E116" s="1"/>
      <c r="F116" s="12"/>
      <c r="G116" s="12"/>
      <c r="H116" s="52"/>
    </row>
    <row r="117" spans="1:8" ht="14.1" customHeight="1" x14ac:dyDescent="0.2">
      <c r="A117" s="1"/>
      <c r="B117" s="1"/>
      <c r="C117" s="2" t="s">
        <v>161</v>
      </c>
      <c r="D117" s="1"/>
      <c r="E117" s="1"/>
      <c r="F117" s="12"/>
      <c r="G117" s="12"/>
      <c r="H117" s="52"/>
    </row>
    <row r="118" spans="1:8" ht="14.1" customHeight="1" x14ac:dyDescent="0.2">
      <c r="A118" s="1"/>
      <c r="B118" s="1"/>
      <c r="C118" s="2" t="s">
        <v>145</v>
      </c>
      <c r="D118" s="1"/>
      <c r="E118" s="1" t="s">
        <v>146</v>
      </c>
      <c r="F118" s="13" t="s">
        <v>148</v>
      </c>
      <c r="G118" s="10">
        <v>0</v>
      </c>
      <c r="H118" s="52"/>
    </row>
    <row r="119" spans="1:8" ht="14.1" customHeight="1" x14ac:dyDescent="0.2">
      <c r="A119" s="1"/>
      <c r="B119" s="1"/>
      <c r="C119" s="11"/>
      <c r="D119" s="1"/>
      <c r="E119" s="1"/>
      <c r="F119" s="12"/>
      <c r="G119" s="12"/>
      <c r="H119" s="52"/>
    </row>
    <row r="120" spans="1:8" ht="14.1" customHeight="1" x14ac:dyDescent="0.2">
      <c r="A120" s="1"/>
      <c r="B120" s="1"/>
      <c r="C120" s="2" t="s">
        <v>162</v>
      </c>
      <c r="D120" s="1"/>
      <c r="E120" s="1"/>
      <c r="F120" s="12"/>
      <c r="G120" s="12"/>
      <c r="H120" s="52"/>
    </row>
    <row r="121" spans="1:8" ht="14.1" customHeight="1" x14ac:dyDescent="0.2">
      <c r="A121" s="1"/>
      <c r="B121" s="1"/>
      <c r="C121" s="2" t="s">
        <v>145</v>
      </c>
      <c r="D121" s="1"/>
      <c r="E121" s="1" t="s">
        <v>146</v>
      </c>
      <c r="F121" s="13" t="s">
        <v>148</v>
      </c>
      <c r="G121" s="10">
        <v>0</v>
      </c>
      <c r="H121" s="52"/>
    </row>
    <row r="122" spans="1:8" ht="14.1" customHeight="1" x14ac:dyDescent="0.2">
      <c r="A122" s="1"/>
      <c r="B122" s="1"/>
      <c r="C122" s="11"/>
      <c r="D122" s="1"/>
      <c r="E122" s="1"/>
      <c r="F122" s="12"/>
      <c r="G122" s="12"/>
      <c r="H122" s="52"/>
    </row>
    <row r="123" spans="1:8" ht="14.1" customHeight="1" x14ac:dyDescent="0.2">
      <c r="A123" s="1"/>
      <c r="B123" s="1"/>
      <c r="C123" s="2" t="s">
        <v>163</v>
      </c>
      <c r="D123" s="1"/>
      <c r="E123" s="1"/>
      <c r="F123" s="12"/>
      <c r="G123" s="12"/>
      <c r="H123" s="52"/>
    </row>
    <row r="124" spans="1:8" ht="17.100000000000001" customHeight="1" x14ac:dyDescent="0.2">
      <c r="A124" s="3">
        <v>1</v>
      </c>
      <c r="B124" s="4"/>
      <c r="C124" s="4" t="s">
        <v>164</v>
      </c>
      <c r="D124" s="4"/>
      <c r="E124" s="8"/>
      <c r="F124" s="6">
        <v>44507.962762167997</v>
      </c>
      <c r="G124" s="7">
        <v>5.2499959999999998E-2</v>
      </c>
      <c r="H124" s="52">
        <v>6.7567375937238596</v>
      </c>
    </row>
    <row r="125" spans="1:8" ht="14.1" customHeight="1" x14ac:dyDescent="0.2">
      <c r="A125" s="1"/>
      <c r="B125" s="1"/>
      <c r="C125" s="2" t="s">
        <v>145</v>
      </c>
      <c r="D125" s="1"/>
      <c r="E125" s="1" t="s">
        <v>146</v>
      </c>
      <c r="F125" s="9">
        <v>44507.962762167997</v>
      </c>
      <c r="G125" s="10">
        <v>5.2499959999999998E-2</v>
      </c>
      <c r="H125" s="52"/>
    </row>
    <row r="126" spans="1:8" ht="14.1" customHeight="1" x14ac:dyDescent="0.2">
      <c r="A126" s="1"/>
      <c r="B126" s="1"/>
      <c r="C126" s="11"/>
      <c r="D126" s="1"/>
      <c r="E126" s="1"/>
      <c r="F126" s="12"/>
      <c r="G126" s="12"/>
      <c r="H126" s="52"/>
    </row>
    <row r="127" spans="1:8" ht="14.1" customHeight="1" x14ac:dyDescent="0.2">
      <c r="A127" s="1"/>
      <c r="B127" s="1"/>
      <c r="C127" s="2" t="s">
        <v>165</v>
      </c>
      <c r="D127" s="1"/>
      <c r="E127" s="1"/>
      <c r="F127" s="9">
        <v>44507.962762167997</v>
      </c>
      <c r="G127" s="10">
        <v>5.2499959999999998E-2</v>
      </c>
      <c r="H127" s="52"/>
    </row>
    <row r="128" spans="1:8" ht="14.1" customHeight="1" x14ac:dyDescent="0.2">
      <c r="A128" s="1"/>
      <c r="B128" s="1"/>
      <c r="C128" s="12"/>
      <c r="D128" s="1"/>
      <c r="E128" s="1"/>
      <c r="F128" s="1"/>
      <c r="G128" s="1"/>
      <c r="H128" s="52"/>
    </row>
    <row r="129" spans="1:8" ht="14.1" customHeight="1" x14ac:dyDescent="0.2">
      <c r="A129" s="1"/>
      <c r="B129" s="1"/>
      <c r="C129" s="2" t="s">
        <v>166</v>
      </c>
      <c r="D129" s="1"/>
      <c r="E129" s="1"/>
      <c r="F129" s="1"/>
      <c r="G129" s="1"/>
      <c r="H129" s="52"/>
    </row>
    <row r="130" spans="1:8" ht="14.1" customHeight="1" x14ac:dyDescent="0.2">
      <c r="A130" s="1"/>
      <c r="B130" s="1"/>
      <c r="C130" s="2" t="s">
        <v>167</v>
      </c>
      <c r="D130" s="1"/>
      <c r="E130" s="1"/>
      <c r="F130" s="1"/>
      <c r="G130" s="1"/>
      <c r="H130" s="52"/>
    </row>
    <row r="131" spans="1:8" ht="14.1" customHeight="1" x14ac:dyDescent="0.2">
      <c r="A131" s="1"/>
      <c r="B131" s="1"/>
      <c r="C131" s="2" t="s">
        <v>145</v>
      </c>
      <c r="D131" s="1"/>
      <c r="E131" s="1" t="s">
        <v>146</v>
      </c>
      <c r="F131" s="13" t="s">
        <v>148</v>
      </c>
      <c r="G131" s="10">
        <v>0</v>
      </c>
      <c r="H131" s="52"/>
    </row>
    <row r="132" spans="1:8" ht="14.1" customHeight="1" x14ac:dyDescent="0.2">
      <c r="A132" s="1"/>
      <c r="B132" s="1"/>
      <c r="C132" s="11"/>
      <c r="D132" s="1"/>
      <c r="E132" s="1"/>
      <c r="F132" s="12"/>
      <c r="G132" s="12"/>
      <c r="H132" s="52"/>
    </row>
    <row r="133" spans="1:8" ht="14.1" customHeight="1" x14ac:dyDescent="0.2">
      <c r="A133" s="1"/>
      <c r="B133" s="1"/>
      <c r="C133" s="2" t="s">
        <v>168</v>
      </c>
      <c r="D133" s="1"/>
      <c r="E133" s="1"/>
      <c r="F133" s="1"/>
      <c r="G133" s="1"/>
      <c r="H133" s="52"/>
    </row>
    <row r="134" spans="1:8" ht="14.1" customHeight="1" x14ac:dyDescent="0.2">
      <c r="A134" s="1"/>
      <c r="B134" s="1"/>
      <c r="C134" s="2" t="s">
        <v>169</v>
      </c>
      <c r="D134" s="1"/>
      <c r="E134" s="1"/>
      <c r="F134" s="1"/>
      <c r="G134" s="1"/>
      <c r="H134" s="52"/>
    </row>
    <row r="135" spans="1:8" ht="14.1" customHeight="1" x14ac:dyDescent="0.2">
      <c r="A135" s="1"/>
      <c r="B135" s="1"/>
      <c r="C135" s="2" t="s">
        <v>145</v>
      </c>
      <c r="D135" s="1"/>
      <c r="E135" s="1" t="s">
        <v>146</v>
      </c>
      <c r="F135" s="13" t="s">
        <v>148</v>
      </c>
      <c r="G135" s="10">
        <v>0</v>
      </c>
      <c r="H135" s="52"/>
    </row>
    <row r="136" spans="1:8" ht="14.1" customHeight="1" x14ac:dyDescent="0.2">
      <c r="A136" s="1"/>
      <c r="B136" s="1"/>
      <c r="C136" s="11"/>
      <c r="D136" s="1"/>
      <c r="E136" s="1"/>
      <c r="F136" s="12"/>
      <c r="G136" s="12"/>
      <c r="H136" s="52"/>
    </row>
    <row r="137" spans="1:8" ht="24" customHeight="1" x14ac:dyDescent="0.2">
      <c r="A137" s="1"/>
      <c r="B137" s="1"/>
      <c r="C137" s="2" t="s">
        <v>170</v>
      </c>
      <c r="D137" s="1"/>
      <c r="E137" s="1"/>
      <c r="F137" s="12"/>
      <c r="G137" s="12"/>
      <c r="H137" s="52"/>
    </row>
    <row r="138" spans="1:8" ht="14.1" customHeight="1" x14ac:dyDescent="0.2">
      <c r="A138" s="1"/>
      <c r="B138" s="1"/>
      <c r="C138" s="2" t="s">
        <v>145</v>
      </c>
      <c r="D138" s="1"/>
      <c r="E138" s="1" t="s">
        <v>146</v>
      </c>
      <c r="F138" s="13" t="s">
        <v>148</v>
      </c>
      <c r="G138" s="10">
        <v>0</v>
      </c>
      <c r="H138" s="52"/>
    </row>
    <row r="139" spans="1:8" ht="14.1" customHeight="1" x14ac:dyDescent="0.2">
      <c r="A139" s="1"/>
      <c r="B139" s="1"/>
      <c r="C139" s="11"/>
      <c r="D139" s="1"/>
      <c r="E139" s="1"/>
      <c r="F139" s="12"/>
      <c r="G139" s="12"/>
      <c r="H139" s="52"/>
    </row>
    <row r="140" spans="1:8" ht="18" customHeight="1" x14ac:dyDescent="0.2">
      <c r="A140" s="8"/>
      <c r="B140" s="4"/>
      <c r="C140" s="4" t="s">
        <v>315</v>
      </c>
      <c r="D140" s="4"/>
      <c r="E140" s="8"/>
      <c r="F140" s="6">
        <v>3963.6560651</v>
      </c>
      <c r="G140" s="7">
        <v>4.6753799999999998E-3</v>
      </c>
      <c r="H140" s="52"/>
    </row>
    <row r="141" spans="1:8" ht="18" customHeight="1" x14ac:dyDescent="0.2">
      <c r="A141" s="8"/>
      <c r="B141" s="4"/>
      <c r="C141" s="4" t="s">
        <v>171</v>
      </c>
      <c r="D141" s="4"/>
      <c r="E141" s="8"/>
      <c r="F141" s="6">
        <v>-7520.0722365980273</v>
      </c>
      <c r="G141" s="7">
        <v>-8.8704034750004129E-3</v>
      </c>
      <c r="H141" s="52"/>
    </row>
    <row r="142" spans="1:8" ht="14.1" customHeight="1" x14ac:dyDescent="0.2">
      <c r="A142" s="11"/>
      <c r="B142" s="11"/>
      <c r="C142" s="2" t="s">
        <v>172</v>
      </c>
      <c r="D142" s="12"/>
      <c r="E142" s="12"/>
      <c r="F142" s="9">
        <v>847771.34857319004</v>
      </c>
      <c r="G142" s="14">
        <v>1.0000000600000001</v>
      </c>
      <c r="H142" s="52"/>
    </row>
    <row r="143" spans="1:8" ht="14.1" customHeight="1" x14ac:dyDescent="0.2">
      <c r="A143" s="15"/>
      <c r="B143" s="15"/>
      <c r="C143" s="15"/>
      <c r="D143" s="16"/>
      <c r="E143" s="16"/>
      <c r="F143" s="16"/>
      <c r="G143" s="16"/>
    </row>
    <row r="144" spans="1:8" ht="14.1" customHeight="1" x14ac:dyDescent="0.2">
      <c r="A144" s="42"/>
      <c r="B144" s="125" t="s">
        <v>988</v>
      </c>
      <c r="C144" s="125"/>
      <c r="D144" s="125"/>
      <c r="E144" s="125"/>
      <c r="F144" s="125"/>
      <c r="G144" s="43"/>
    </row>
    <row r="145" spans="1:7" ht="17.100000000000001" customHeight="1" x14ac:dyDescent="0.2">
      <c r="A145" s="17"/>
      <c r="B145" s="126" t="s">
        <v>173</v>
      </c>
      <c r="C145" s="126"/>
      <c r="D145" s="126"/>
      <c r="E145" s="126"/>
      <c r="F145" s="126"/>
      <c r="G145" s="19"/>
    </row>
    <row r="146" spans="1:7" ht="14.1" customHeight="1" x14ac:dyDescent="0.2">
      <c r="A146" s="17"/>
      <c r="B146" s="17"/>
      <c r="C146" s="17"/>
      <c r="D146" s="19"/>
      <c r="E146" s="19"/>
      <c r="F146" s="19"/>
      <c r="G146" s="19"/>
    </row>
    <row r="147" spans="1:7" ht="14.1" customHeight="1" x14ac:dyDescent="0.2">
      <c r="A147" s="17"/>
      <c r="B147" s="127" t="s">
        <v>174</v>
      </c>
      <c r="C147" s="128"/>
      <c r="D147" s="129"/>
      <c r="E147" s="20"/>
      <c r="F147" s="19"/>
      <c r="G147" s="19"/>
    </row>
    <row r="148" spans="1:7" ht="29.1" customHeight="1" x14ac:dyDescent="0.2">
      <c r="A148" s="17"/>
      <c r="B148" s="121" t="s">
        <v>175</v>
      </c>
      <c r="C148" s="122"/>
      <c r="D148" s="2" t="s">
        <v>176</v>
      </c>
      <c r="E148" s="20"/>
      <c r="F148" s="19"/>
      <c r="G148" s="19"/>
    </row>
    <row r="149" spans="1:7" ht="16.5" customHeight="1" x14ac:dyDescent="0.2">
      <c r="A149" s="17"/>
      <c r="B149" s="123" t="s">
        <v>953</v>
      </c>
      <c r="C149" s="124"/>
      <c r="D149" s="40" t="s">
        <v>951</v>
      </c>
      <c r="E149" s="20"/>
      <c r="F149" s="19"/>
      <c r="G149" s="19"/>
    </row>
    <row r="150" spans="1:7" ht="17.100000000000001" customHeight="1" x14ac:dyDescent="0.2">
      <c r="A150" s="17"/>
      <c r="B150" s="121" t="s">
        <v>178</v>
      </c>
      <c r="C150" s="122"/>
      <c r="D150" s="12" t="s">
        <v>146</v>
      </c>
      <c r="E150" s="20"/>
      <c r="F150" s="19"/>
      <c r="G150" s="19"/>
    </row>
    <row r="151" spans="1:7" ht="24" customHeight="1" x14ac:dyDescent="0.2">
      <c r="A151" s="21"/>
      <c r="B151" s="22" t="s">
        <v>146</v>
      </c>
      <c r="C151" s="22" t="s">
        <v>179</v>
      </c>
      <c r="D151" s="22" t="s">
        <v>180</v>
      </c>
      <c r="E151" s="21"/>
      <c r="F151" s="21"/>
      <c r="G151" s="21"/>
    </row>
    <row r="152" spans="1:7" ht="18" customHeight="1" x14ac:dyDescent="0.2">
      <c r="A152" s="21"/>
      <c r="B152" s="23" t="s">
        <v>181</v>
      </c>
      <c r="C152" s="22" t="s">
        <v>182</v>
      </c>
      <c r="D152" s="22" t="s">
        <v>183</v>
      </c>
      <c r="E152" s="21"/>
      <c r="F152" s="21"/>
      <c r="G152" s="21"/>
    </row>
    <row r="153" spans="1:7" ht="17.100000000000001" customHeight="1" x14ac:dyDescent="0.2">
      <c r="A153" s="21"/>
      <c r="B153" s="4" t="s">
        <v>184</v>
      </c>
      <c r="C153" s="24">
        <v>985.96079999999995</v>
      </c>
      <c r="D153" s="24">
        <v>958.17229999999995</v>
      </c>
      <c r="E153" s="21"/>
      <c r="F153" s="18"/>
      <c r="G153" s="25"/>
    </row>
    <row r="154" spans="1:7" ht="17.100000000000001" customHeight="1" x14ac:dyDescent="0.2">
      <c r="A154" s="21"/>
      <c r="B154" s="4" t="s">
        <v>1039</v>
      </c>
      <c r="C154" s="24">
        <v>57.553100000000001</v>
      </c>
      <c r="D154" s="24">
        <v>51.991999999999997</v>
      </c>
      <c r="E154" s="21"/>
      <c r="F154" s="18"/>
      <c r="G154" s="25"/>
    </row>
    <row r="155" spans="1:7" ht="17.100000000000001" customHeight="1" x14ac:dyDescent="0.2">
      <c r="A155" s="21"/>
      <c r="B155" s="4" t="s">
        <v>185</v>
      </c>
      <c r="C155" s="24">
        <v>916.66589999999997</v>
      </c>
      <c r="D155" s="24">
        <v>890.20569999999998</v>
      </c>
      <c r="E155" s="21"/>
      <c r="F155" s="18"/>
      <c r="G155" s="25"/>
    </row>
    <row r="156" spans="1:7" ht="17.100000000000001" customHeight="1" x14ac:dyDescent="0.2">
      <c r="A156" s="21"/>
      <c r="B156" s="4" t="s">
        <v>1040</v>
      </c>
      <c r="C156" s="24">
        <v>52.761200000000002</v>
      </c>
      <c r="D156" s="24">
        <v>47.628799999999998</v>
      </c>
      <c r="E156" s="21"/>
      <c r="F156" s="18"/>
      <c r="G156" s="25"/>
    </row>
    <row r="157" spans="1:7" ht="14.1" customHeight="1" x14ac:dyDescent="0.2">
      <c r="A157" s="21"/>
      <c r="B157" s="21"/>
      <c r="C157" s="21"/>
      <c r="D157" s="21"/>
      <c r="E157" s="21"/>
      <c r="F157" s="21"/>
      <c r="G157" s="21"/>
    </row>
    <row r="158" spans="1:7" ht="17.100000000000001" customHeight="1" x14ac:dyDescent="0.2">
      <c r="A158" s="21"/>
      <c r="B158" s="121" t="s">
        <v>1041</v>
      </c>
      <c r="C158" s="122"/>
      <c r="D158" s="2" t="s">
        <v>146</v>
      </c>
      <c r="E158" s="21"/>
      <c r="F158" s="21"/>
      <c r="G158" s="21"/>
    </row>
    <row r="159" spans="1:7" ht="18" customHeight="1" x14ac:dyDescent="0.2">
      <c r="A159" s="21"/>
      <c r="B159" s="28" t="s">
        <v>181</v>
      </c>
      <c r="C159" s="29" t="s">
        <v>316</v>
      </c>
      <c r="D159" s="29" t="s">
        <v>317</v>
      </c>
      <c r="E159" s="21"/>
      <c r="F159" s="21"/>
      <c r="G159" s="21"/>
    </row>
    <row r="160" spans="1:7" ht="17.100000000000001" customHeight="1" x14ac:dyDescent="0.2">
      <c r="A160" s="21"/>
      <c r="B160" s="4" t="s">
        <v>1039</v>
      </c>
      <c r="C160" s="30">
        <v>4.0140000000000002</v>
      </c>
      <c r="D160" s="30">
        <v>4.0140000000000002</v>
      </c>
      <c r="E160" s="21"/>
      <c r="F160" s="18"/>
      <c r="G160" s="25"/>
    </row>
    <row r="161" spans="1:7" ht="17.100000000000001" customHeight="1" x14ac:dyDescent="0.2">
      <c r="A161" s="21"/>
      <c r="B161" s="4" t="s">
        <v>1040</v>
      </c>
      <c r="C161" s="30">
        <v>3.6789999999999998</v>
      </c>
      <c r="D161" s="30">
        <v>3.6789999999999998</v>
      </c>
      <c r="E161" s="21"/>
      <c r="F161" s="18"/>
      <c r="G161" s="25"/>
    </row>
    <row r="162" spans="1:7" ht="14.1" customHeight="1" x14ac:dyDescent="0.2">
      <c r="A162" s="21"/>
      <c r="B162" s="31"/>
      <c r="C162" s="31"/>
      <c r="D162" s="32"/>
      <c r="E162" s="21"/>
      <c r="F162" s="18"/>
      <c r="G162" s="25"/>
    </row>
    <row r="163" spans="1:7" ht="29.1" customHeight="1" x14ac:dyDescent="0.2">
      <c r="A163" s="21"/>
      <c r="B163" s="121" t="s">
        <v>186</v>
      </c>
      <c r="C163" s="122"/>
      <c r="D163" s="2" t="s">
        <v>989</v>
      </c>
      <c r="E163" s="27"/>
      <c r="F163" s="21"/>
      <c r="G163" s="21"/>
    </row>
    <row r="164" spans="1:7" ht="29.1" customHeight="1" x14ac:dyDescent="0.2">
      <c r="A164" s="21"/>
      <c r="B164" s="121" t="s">
        <v>187</v>
      </c>
      <c r="C164" s="122"/>
      <c r="D164" s="2" t="s">
        <v>176</v>
      </c>
      <c r="E164" s="27"/>
      <c r="F164" s="21"/>
      <c r="G164" s="21"/>
    </row>
    <row r="165" spans="1:7" ht="17.100000000000001" customHeight="1" x14ac:dyDescent="0.2">
      <c r="A165" s="21"/>
      <c r="B165" s="121" t="s">
        <v>188</v>
      </c>
      <c r="C165" s="122"/>
      <c r="D165" s="2" t="s">
        <v>176</v>
      </c>
      <c r="E165" s="27"/>
      <c r="F165" s="21"/>
      <c r="G165" s="21"/>
    </row>
    <row r="166" spans="1:7" ht="17.100000000000001" customHeight="1" x14ac:dyDescent="0.2">
      <c r="A166" s="21"/>
      <c r="B166" s="121" t="s">
        <v>189</v>
      </c>
      <c r="C166" s="122"/>
      <c r="D166" s="50">
        <v>0.48967856105033358</v>
      </c>
      <c r="E166" s="21"/>
      <c r="F166" s="18"/>
      <c r="G166" s="25"/>
    </row>
  </sheetData>
  <mergeCells count="15">
    <mergeCell ref="A1:H1"/>
    <mergeCell ref="A2:H2"/>
    <mergeCell ref="A3:H3"/>
    <mergeCell ref="J2:N2"/>
    <mergeCell ref="B166:C166"/>
    <mergeCell ref="B149:C149"/>
    <mergeCell ref="B150:C150"/>
    <mergeCell ref="B158:C158"/>
    <mergeCell ref="B163:C163"/>
    <mergeCell ref="B164:C164"/>
    <mergeCell ref="B165:C165"/>
    <mergeCell ref="B148:C148"/>
    <mergeCell ref="B145:F145"/>
    <mergeCell ref="B147:D147"/>
    <mergeCell ref="B144:F144"/>
  </mergeCells>
  <hyperlinks>
    <hyperlink ref="I1" location="Index!B4" display="Index" xr:uid="{07419EF0-A13E-4C88-A259-2E5CD6A1C139}"/>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N173"/>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116" t="s">
        <v>0</v>
      </c>
      <c r="B1" s="116"/>
      <c r="C1" s="116"/>
      <c r="D1" s="116"/>
      <c r="E1" s="116"/>
      <c r="F1" s="116"/>
      <c r="G1" s="116"/>
      <c r="H1" s="116"/>
      <c r="I1" s="98" t="s">
        <v>1053</v>
      </c>
    </row>
    <row r="2" spans="1:14" ht="17.100000000000001" customHeight="1" x14ac:dyDescent="0.2">
      <c r="A2" s="117" t="s">
        <v>318</v>
      </c>
      <c r="B2" s="118"/>
      <c r="C2" s="118"/>
      <c r="D2" s="118"/>
      <c r="E2" s="118"/>
      <c r="F2" s="118"/>
      <c r="G2" s="118"/>
      <c r="H2" s="119"/>
      <c r="J2" s="120" t="s">
        <v>1054</v>
      </c>
      <c r="K2" s="120"/>
      <c r="L2" s="120"/>
      <c r="M2" s="120"/>
      <c r="N2" s="120"/>
    </row>
    <row r="3" spans="1:14" ht="21" customHeight="1" x14ac:dyDescent="0.2">
      <c r="A3" s="116" t="s">
        <v>1049</v>
      </c>
      <c r="B3" s="116"/>
      <c r="C3" s="116"/>
      <c r="D3" s="116"/>
      <c r="E3" s="116"/>
      <c r="F3" s="116"/>
      <c r="G3" s="116"/>
      <c r="H3" s="116"/>
    </row>
    <row r="4" spans="1:14" ht="30" x14ac:dyDescent="0.2">
      <c r="A4" s="96" t="s">
        <v>2</v>
      </c>
      <c r="B4" s="96" t="s">
        <v>3</v>
      </c>
      <c r="C4" s="96" t="s">
        <v>4</v>
      </c>
      <c r="D4" s="96" t="s">
        <v>5</v>
      </c>
      <c r="E4" s="96" t="s">
        <v>6</v>
      </c>
      <c r="F4" s="96" t="s">
        <v>7</v>
      </c>
      <c r="G4" s="96" t="s">
        <v>8</v>
      </c>
      <c r="H4" s="51" t="s">
        <v>1002</v>
      </c>
      <c r="I4" s="99"/>
      <c r="J4" s="99"/>
      <c r="K4" s="99"/>
      <c r="L4" s="99"/>
      <c r="M4" s="99"/>
      <c r="N4" s="99"/>
    </row>
    <row r="5" spans="1:14" ht="14.1" customHeight="1" x14ac:dyDescent="0.2">
      <c r="A5" s="1"/>
      <c r="B5" s="1"/>
      <c r="C5" s="2" t="s">
        <v>9</v>
      </c>
      <c r="D5" s="1"/>
      <c r="E5" s="1"/>
      <c r="F5" s="1"/>
      <c r="G5" s="1"/>
      <c r="H5" s="52"/>
    </row>
    <row r="6" spans="1:14" ht="24" customHeight="1" x14ac:dyDescent="0.2">
      <c r="A6" s="1"/>
      <c r="B6" s="1"/>
      <c r="C6" s="2" t="s">
        <v>10</v>
      </c>
      <c r="D6" s="1"/>
      <c r="E6" s="1"/>
      <c r="F6" s="1"/>
      <c r="G6" s="1"/>
      <c r="H6" s="52"/>
    </row>
    <row r="7" spans="1:14" ht="17.100000000000001" customHeight="1" x14ac:dyDescent="0.2">
      <c r="A7" s="3">
        <v>1</v>
      </c>
      <c r="B7" s="4" t="s">
        <v>319</v>
      </c>
      <c r="C7" s="4" t="s">
        <v>320</v>
      </c>
      <c r="D7" s="4" t="s">
        <v>28</v>
      </c>
      <c r="E7" s="5">
        <v>1960000</v>
      </c>
      <c r="F7" s="6">
        <v>28939.4</v>
      </c>
      <c r="G7" s="7">
        <v>5.4468200000000001E-2</v>
      </c>
      <c r="H7" s="52"/>
    </row>
    <row r="8" spans="1:14" ht="17.100000000000001" customHeight="1" x14ac:dyDescent="0.2">
      <c r="A8" s="3">
        <v>2</v>
      </c>
      <c r="B8" s="4" t="s">
        <v>26</v>
      </c>
      <c r="C8" s="4" t="s">
        <v>27</v>
      </c>
      <c r="D8" s="4" t="s">
        <v>28</v>
      </c>
      <c r="E8" s="5">
        <v>2740000</v>
      </c>
      <c r="F8" s="6">
        <v>25080.59</v>
      </c>
      <c r="G8" s="7">
        <v>4.720535E-2</v>
      </c>
      <c r="H8" s="52"/>
    </row>
    <row r="9" spans="1:14" ht="17.100000000000001" customHeight="1" x14ac:dyDescent="0.2">
      <c r="A9" s="3">
        <v>3</v>
      </c>
      <c r="B9" s="4" t="s">
        <v>14</v>
      </c>
      <c r="C9" s="4" t="s">
        <v>15</v>
      </c>
      <c r="D9" s="4" t="s">
        <v>16</v>
      </c>
      <c r="E9" s="5">
        <v>870000</v>
      </c>
      <c r="F9" s="6">
        <v>19904.73</v>
      </c>
      <c r="G9" s="7">
        <v>3.7463629999999998E-2</v>
      </c>
      <c r="H9" s="52"/>
    </row>
    <row r="10" spans="1:14" ht="17.100000000000001" customHeight="1" x14ac:dyDescent="0.2">
      <c r="A10" s="3">
        <v>4</v>
      </c>
      <c r="B10" s="4" t="s">
        <v>321</v>
      </c>
      <c r="C10" s="4" t="s">
        <v>322</v>
      </c>
      <c r="D10" s="4" t="s">
        <v>888</v>
      </c>
      <c r="E10" s="5">
        <v>1299690</v>
      </c>
      <c r="F10" s="6">
        <v>17784.95796</v>
      </c>
      <c r="G10" s="7">
        <v>3.3473900000000001E-2</v>
      </c>
      <c r="H10" s="52"/>
    </row>
    <row r="11" spans="1:14" ht="17.100000000000001" customHeight="1" x14ac:dyDescent="0.2">
      <c r="A11" s="3">
        <v>5</v>
      </c>
      <c r="B11" s="4" t="s">
        <v>11</v>
      </c>
      <c r="C11" s="4" t="s">
        <v>12</v>
      </c>
      <c r="D11" s="4" t="s">
        <v>13</v>
      </c>
      <c r="E11" s="5">
        <v>460961</v>
      </c>
      <c r="F11" s="6">
        <v>13501.7781705</v>
      </c>
      <c r="G11" s="7">
        <v>2.541233E-2</v>
      </c>
      <c r="H11" s="52"/>
    </row>
    <row r="12" spans="1:14" ht="17.100000000000001" customHeight="1" x14ac:dyDescent="0.2">
      <c r="A12" s="3">
        <v>6</v>
      </c>
      <c r="B12" s="4" t="s">
        <v>323</v>
      </c>
      <c r="C12" s="4" t="s">
        <v>324</v>
      </c>
      <c r="D12" s="4" t="s">
        <v>28</v>
      </c>
      <c r="E12" s="5">
        <v>1235386</v>
      </c>
      <c r="F12" s="6">
        <v>12129.637441000001</v>
      </c>
      <c r="G12" s="7">
        <v>2.2829760000000001E-2</v>
      </c>
      <c r="H12" s="52"/>
    </row>
    <row r="13" spans="1:14" ht="17.100000000000001" customHeight="1" x14ac:dyDescent="0.2">
      <c r="A13" s="3">
        <v>7</v>
      </c>
      <c r="B13" s="4" t="s">
        <v>39</v>
      </c>
      <c r="C13" s="4" t="s">
        <v>40</v>
      </c>
      <c r="D13" s="4" t="s">
        <v>28</v>
      </c>
      <c r="E13" s="5">
        <v>2144403</v>
      </c>
      <c r="F13" s="6">
        <v>12127.6711665</v>
      </c>
      <c r="G13" s="7">
        <v>2.2826059999999999E-2</v>
      </c>
      <c r="H13" s="52"/>
      <c r="J13" s="101" t="s">
        <v>1059</v>
      </c>
    </row>
    <row r="14" spans="1:14" ht="29.1" customHeight="1" x14ac:dyDescent="0.2">
      <c r="A14" s="3">
        <v>8</v>
      </c>
      <c r="B14" s="4" t="s">
        <v>201</v>
      </c>
      <c r="C14" s="4" t="s">
        <v>202</v>
      </c>
      <c r="D14" s="4" t="s">
        <v>70</v>
      </c>
      <c r="E14" s="5">
        <v>808159</v>
      </c>
      <c r="F14" s="6">
        <v>9191.1923069999993</v>
      </c>
      <c r="G14" s="7">
        <v>1.7299169999999999E-2</v>
      </c>
      <c r="H14" s="52"/>
    </row>
    <row r="15" spans="1:14" ht="17.100000000000001" customHeight="1" x14ac:dyDescent="0.2">
      <c r="A15" s="3">
        <v>9</v>
      </c>
      <c r="B15" s="4" t="s">
        <v>193</v>
      </c>
      <c r="C15" s="4" t="s">
        <v>194</v>
      </c>
      <c r="D15" s="4" t="s">
        <v>70</v>
      </c>
      <c r="E15" s="5">
        <v>3565728</v>
      </c>
      <c r="F15" s="6">
        <v>8793.0852479999994</v>
      </c>
      <c r="G15" s="7">
        <v>1.6549879999999999E-2</v>
      </c>
      <c r="H15" s="52"/>
    </row>
    <row r="16" spans="1:14" ht="17.100000000000001" customHeight="1" x14ac:dyDescent="0.2">
      <c r="A16" s="3">
        <v>10</v>
      </c>
      <c r="B16" s="4" t="s">
        <v>325</v>
      </c>
      <c r="C16" s="4" t="s">
        <v>326</v>
      </c>
      <c r="D16" s="4" t="s">
        <v>888</v>
      </c>
      <c r="E16" s="5">
        <v>257671</v>
      </c>
      <c r="F16" s="6">
        <v>8680.2918124999997</v>
      </c>
      <c r="G16" s="7">
        <v>1.6337580000000001E-2</v>
      </c>
      <c r="H16" s="52"/>
    </row>
    <row r="17" spans="1:10" ht="29.1" customHeight="1" x14ac:dyDescent="0.2">
      <c r="A17" s="3">
        <v>11</v>
      </c>
      <c r="B17" s="4" t="s">
        <v>327</v>
      </c>
      <c r="C17" s="4" t="s">
        <v>328</v>
      </c>
      <c r="D17" s="4" t="s">
        <v>226</v>
      </c>
      <c r="E17" s="5">
        <v>780000</v>
      </c>
      <c r="F17" s="6">
        <v>8491.08</v>
      </c>
      <c r="G17" s="7">
        <v>1.5981459999999999E-2</v>
      </c>
      <c r="H17" s="52"/>
    </row>
    <row r="18" spans="1:10" ht="17.100000000000001" customHeight="1" x14ac:dyDescent="0.2">
      <c r="A18" s="3">
        <v>12</v>
      </c>
      <c r="B18" s="4" t="s">
        <v>20</v>
      </c>
      <c r="C18" s="4" t="s">
        <v>21</v>
      </c>
      <c r="D18" s="4" t="s">
        <v>22</v>
      </c>
      <c r="E18" s="5">
        <v>3600000</v>
      </c>
      <c r="F18" s="6">
        <v>8488.7999999999993</v>
      </c>
      <c r="G18" s="7">
        <v>1.5977169999999999E-2</v>
      </c>
      <c r="H18" s="52"/>
    </row>
    <row r="19" spans="1:10" ht="17.100000000000001" customHeight="1" x14ac:dyDescent="0.2">
      <c r="A19" s="3">
        <v>13</v>
      </c>
      <c r="B19" s="4" t="s">
        <v>329</v>
      </c>
      <c r="C19" s="4" t="s">
        <v>330</v>
      </c>
      <c r="D19" s="4" t="s">
        <v>28</v>
      </c>
      <c r="E19" s="5">
        <v>580000</v>
      </c>
      <c r="F19" s="6">
        <v>8359.5400000000009</v>
      </c>
      <c r="G19" s="7">
        <v>1.5733879999999999E-2</v>
      </c>
      <c r="H19" s="52"/>
    </row>
    <row r="20" spans="1:10" ht="17.100000000000001" customHeight="1" x14ac:dyDescent="0.2">
      <c r="A20" s="3">
        <v>14</v>
      </c>
      <c r="B20" s="4" t="s">
        <v>331</v>
      </c>
      <c r="C20" s="4" t="s">
        <v>332</v>
      </c>
      <c r="D20" s="4" t="s">
        <v>283</v>
      </c>
      <c r="E20" s="5">
        <v>900000</v>
      </c>
      <c r="F20" s="6">
        <v>8179.2</v>
      </c>
      <c r="G20" s="7">
        <v>1.539446E-2</v>
      </c>
      <c r="H20" s="52"/>
    </row>
    <row r="21" spans="1:10" ht="17.100000000000001" customHeight="1" x14ac:dyDescent="0.2">
      <c r="A21" s="3">
        <v>15</v>
      </c>
      <c r="B21" s="4" t="s">
        <v>91</v>
      </c>
      <c r="C21" s="4" t="s">
        <v>92</v>
      </c>
      <c r="D21" s="4" t="s">
        <v>93</v>
      </c>
      <c r="E21" s="5">
        <v>700000</v>
      </c>
      <c r="F21" s="6">
        <v>7964.95</v>
      </c>
      <c r="G21" s="7">
        <v>1.499121E-2</v>
      </c>
      <c r="H21" s="52"/>
    </row>
    <row r="22" spans="1:10" ht="17.100000000000001" customHeight="1" x14ac:dyDescent="0.2">
      <c r="A22" s="3">
        <v>16</v>
      </c>
      <c r="B22" s="4" t="s">
        <v>53</v>
      </c>
      <c r="C22" s="4" t="s">
        <v>54</v>
      </c>
      <c r="D22" s="4" t="s">
        <v>31</v>
      </c>
      <c r="E22" s="5">
        <v>161000</v>
      </c>
      <c r="F22" s="6">
        <v>7924.5810000000001</v>
      </c>
      <c r="G22" s="7">
        <v>1.491523E-2</v>
      </c>
      <c r="H22" s="52"/>
      <c r="J22" s="101" t="s">
        <v>1060</v>
      </c>
    </row>
    <row r="23" spans="1:10" ht="29.1" customHeight="1" x14ac:dyDescent="0.2">
      <c r="A23" s="3">
        <v>17</v>
      </c>
      <c r="B23" s="4" t="s">
        <v>333</v>
      </c>
      <c r="C23" s="4" t="s">
        <v>334</v>
      </c>
      <c r="D23" s="4" t="s">
        <v>226</v>
      </c>
      <c r="E23" s="5">
        <v>145000</v>
      </c>
      <c r="F23" s="6">
        <v>7782.9475000000002</v>
      </c>
      <c r="G23" s="7">
        <v>1.4648649999999999E-2</v>
      </c>
      <c r="H23" s="52"/>
    </row>
    <row r="24" spans="1:10" ht="17.100000000000001" customHeight="1" x14ac:dyDescent="0.2">
      <c r="A24" s="3">
        <v>18</v>
      </c>
      <c r="B24" s="4" t="s">
        <v>50</v>
      </c>
      <c r="C24" s="4" t="s">
        <v>51</v>
      </c>
      <c r="D24" s="4" t="s">
        <v>52</v>
      </c>
      <c r="E24" s="5">
        <v>1105000</v>
      </c>
      <c r="F24" s="6">
        <v>7604.61</v>
      </c>
      <c r="G24" s="7">
        <v>1.4312989999999999E-2</v>
      </c>
      <c r="H24" s="52"/>
    </row>
    <row r="25" spans="1:10" ht="17.100000000000001" customHeight="1" x14ac:dyDescent="0.2">
      <c r="A25" s="3">
        <v>19</v>
      </c>
      <c r="B25" s="4" t="s">
        <v>17</v>
      </c>
      <c r="C25" s="4" t="s">
        <v>18</v>
      </c>
      <c r="D25" s="4" t="s">
        <v>19</v>
      </c>
      <c r="E25" s="5">
        <v>825000</v>
      </c>
      <c r="F25" s="6">
        <v>7543.8</v>
      </c>
      <c r="G25" s="7">
        <v>1.4198540000000001E-2</v>
      </c>
      <c r="H25" s="52"/>
    </row>
    <row r="26" spans="1:10" ht="17.100000000000001" customHeight="1" x14ac:dyDescent="0.2">
      <c r="A26" s="3">
        <v>20</v>
      </c>
      <c r="B26" s="4" t="s">
        <v>273</v>
      </c>
      <c r="C26" s="4" t="s">
        <v>274</v>
      </c>
      <c r="D26" s="4" t="s">
        <v>105</v>
      </c>
      <c r="E26" s="5">
        <v>1258767</v>
      </c>
      <c r="F26" s="6">
        <v>7334.8353090000001</v>
      </c>
      <c r="G26" s="7">
        <v>1.380524E-2</v>
      </c>
      <c r="H26" s="52"/>
    </row>
    <row r="27" spans="1:10" ht="17.100000000000001" customHeight="1" x14ac:dyDescent="0.2">
      <c r="A27" s="3">
        <v>21</v>
      </c>
      <c r="B27" s="4" t="s">
        <v>335</v>
      </c>
      <c r="C27" s="4" t="s">
        <v>336</v>
      </c>
      <c r="D27" s="4" t="s">
        <v>28</v>
      </c>
      <c r="E27" s="5">
        <v>1900000</v>
      </c>
      <c r="F27" s="6">
        <v>7302.65</v>
      </c>
      <c r="G27" s="7">
        <v>1.3744660000000001E-2</v>
      </c>
      <c r="H27" s="52"/>
    </row>
    <row r="28" spans="1:10" ht="17.100000000000001" customHeight="1" x14ac:dyDescent="0.2">
      <c r="A28" s="3">
        <v>22</v>
      </c>
      <c r="B28" s="4" t="s">
        <v>337</v>
      </c>
      <c r="C28" s="4" t="s">
        <v>338</v>
      </c>
      <c r="D28" s="4" t="s">
        <v>208</v>
      </c>
      <c r="E28" s="5">
        <v>6573469</v>
      </c>
      <c r="F28" s="6">
        <v>6908.7159190000002</v>
      </c>
      <c r="G28" s="7">
        <v>1.3003219999999999E-2</v>
      </c>
      <c r="H28" s="52"/>
    </row>
    <row r="29" spans="1:10" ht="17.100000000000001" customHeight="1" x14ac:dyDescent="0.2">
      <c r="A29" s="3">
        <v>23</v>
      </c>
      <c r="B29" s="4" t="s">
        <v>281</v>
      </c>
      <c r="C29" s="4" t="s">
        <v>282</v>
      </c>
      <c r="D29" s="4" t="s">
        <v>283</v>
      </c>
      <c r="E29" s="5">
        <v>427342</v>
      </c>
      <c r="F29" s="6">
        <v>6902.2143130000004</v>
      </c>
      <c r="G29" s="7">
        <v>1.2990979999999999E-2</v>
      </c>
      <c r="H29" s="52"/>
    </row>
    <row r="30" spans="1:10" ht="17.100000000000001" customHeight="1" x14ac:dyDescent="0.2">
      <c r="A30" s="3">
        <v>24</v>
      </c>
      <c r="B30" s="4" t="s">
        <v>339</v>
      </c>
      <c r="C30" s="4" t="s">
        <v>340</v>
      </c>
      <c r="D30" s="4" t="s">
        <v>341</v>
      </c>
      <c r="E30" s="5">
        <v>1499310</v>
      </c>
      <c r="F30" s="6">
        <v>6889.3294500000002</v>
      </c>
      <c r="G30" s="7">
        <v>1.2966729999999999E-2</v>
      </c>
      <c r="H30" s="52"/>
    </row>
    <row r="31" spans="1:10" ht="17.100000000000001" customHeight="1" x14ac:dyDescent="0.2">
      <c r="A31" s="3">
        <v>25</v>
      </c>
      <c r="B31" s="4" t="s">
        <v>58</v>
      </c>
      <c r="C31" s="4" t="s">
        <v>59</v>
      </c>
      <c r="D31" s="4" t="s">
        <v>60</v>
      </c>
      <c r="E31" s="5">
        <v>135000</v>
      </c>
      <c r="F31" s="6">
        <v>6887.16</v>
      </c>
      <c r="G31" s="7">
        <v>1.2962649999999999E-2</v>
      </c>
      <c r="H31" s="52"/>
    </row>
    <row r="32" spans="1:10" ht="17.100000000000001" customHeight="1" x14ac:dyDescent="0.2">
      <c r="A32" s="3">
        <v>26</v>
      </c>
      <c r="B32" s="4" t="s">
        <v>103</v>
      </c>
      <c r="C32" s="4" t="s">
        <v>104</v>
      </c>
      <c r="D32" s="4" t="s">
        <v>105</v>
      </c>
      <c r="E32" s="5">
        <v>235053</v>
      </c>
      <c r="F32" s="6">
        <v>6622.3832220000004</v>
      </c>
      <c r="G32" s="7">
        <v>1.2464299999999999E-2</v>
      </c>
      <c r="H32" s="52"/>
    </row>
    <row r="33" spans="1:8" ht="17.100000000000001" customHeight="1" x14ac:dyDescent="0.2">
      <c r="A33" s="3">
        <v>27</v>
      </c>
      <c r="B33" s="4" t="s">
        <v>342</v>
      </c>
      <c r="C33" s="4" t="s">
        <v>343</v>
      </c>
      <c r="D33" s="4" t="s">
        <v>344</v>
      </c>
      <c r="E33" s="5">
        <v>1545000</v>
      </c>
      <c r="F33" s="6">
        <v>6618.78</v>
      </c>
      <c r="G33" s="7">
        <v>1.245752E-2</v>
      </c>
      <c r="H33" s="52"/>
    </row>
    <row r="34" spans="1:8" ht="17.100000000000001" customHeight="1" x14ac:dyDescent="0.2">
      <c r="A34" s="3">
        <v>28</v>
      </c>
      <c r="B34" s="4" t="s">
        <v>110</v>
      </c>
      <c r="C34" s="4" t="s">
        <v>111</v>
      </c>
      <c r="D34" s="4" t="s">
        <v>105</v>
      </c>
      <c r="E34" s="5">
        <v>1200000</v>
      </c>
      <c r="F34" s="6">
        <v>6498</v>
      </c>
      <c r="G34" s="7">
        <v>1.223019E-2</v>
      </c>
      <c r="H34" s="52"/>
    </row>
    <row r="35" spans="1:8" ht="17.100000000000001" customHeight="1" x14ac:dyDescent="0.2">
      <c r="A35" s="3">
        <v>29</v>
      </c>
      <c r="B35" s="4" t="s">
        <v>212</v>
      </c>
      <c r="C35" s="4" t="s">
        <v>213</v>
      </c>
      <c r="D35" s="4" t="s">
        <v>888</v>
      </c>
      <c r="E35" s="5">
        <v>103500</v>
      </c>
      <c r="F35" s="6">
        <v>6375.8069999999998</v>
      </c>
      <c r="G35" s="7">
        <v>1.2000210000000001E-2</v>
      </c>
      <c r="H35" s="52"/>
    </row>
    <row r="36" spans="1:8" ht="17.100000000000001" customHeight="1" x14ac:dyDescent="0.2">
      <c r="A36" s="3">
        <v>30</v>
      </c>
      <c r="B36" s="4" t="s">
        <v>345</v>
      </c>
      <c r="C36" s="4" t="s">
        <v>346</v>
      </c>
      <c r="D36" s="4" t="s">
        <v>31</v>
      </c>
      <c r="E36" s="5">
        <v>710928</v>
      </c>
      <c r="F36" s="6">
        <v>6331.5247680000002</v>
      </c>
      <c r="G36" s="7">
        <v>1.191686E-2</v>
      </c>
      <c r="H36" s="52"/>
    </row>
    <row r="37" spans="1:8" ht="29.1" customHeight="1" x14ac:dyDescent="0.2">
      <c r="A37" s="3">
        <v>31</v>
      </c>
      <c r="B37" s="4" t="s">
        <v>23</v>
      </c>
      <c r="C37" s="4" t="s">
        <v>24</v>
      </c>
      <c r="D37" s="4" t="s">
        <v>25</v>
      </c>
      <c r="E37" s="5">
        <v>75000</v>
      </c>
      <c r="F37" s="6">
        <v>6316.6875</v>
      </c>
      <c r="G37" s="7">
        <v>1.1888930000000001E-2</v>
      </c>
      <c r="H37" s="52"/>
    </row>
    <row r="38" spans="1:8" ht="17.100000000000001" customHeight="1" x14ac:dyDescent="0.2">
      <c r="A38" s="3">
        <v>32</v>
      </c>
      <c r="B38" s="4" t="s">
        <v>191</v>
      </c>
      <c r="C38" s="4" t="s">
        <v>192</v>
      </c>
      <c r="D38" s="4" t="s">
        <v>28</v>
      </c>
      <c r="E38" s="5">
        <v>4475000</v>
      </c>
      <c r="F38" s="6">
        <v>6294.0874999999996</v>
      </c>
      <c r="G38" s="7">
        <v>1.18464E-2</v>
      </c>
      <c r="H38" s="52"/>
    </row>
    <row r="39" spans="1:8" ht="17.100000000000001" customHeight="1" x14ac:dyDescent="0.2">
      <c r="A39" s="3">
        <v>33</v>
      </c>
      <c r="B39" s="4" t="s">
        <v>347</v>
      </c>
      <c r="C39" s="4" t="s">
        <v>348</v>
      </c>
      <c r="D39" s="4" t="s">
        <v>888</v>
      </c>
      <c r="E39" s="5">
        <v>295000</v>
      </c>
      <c r="F39" s="6">
        <v>6264.03</v>
      </c>
      <c r="G39" s="7">
        <v>1.1789829999999999E-2</v>
      </c>
      <c r="H39" s="52"/>
    </row>
    <row r="40" spans="1:8" ht="17.100000000000001" customHeight="1" x14ac:dyDescent="0.2">
      <c r="A40" s="3">
        <v>34</v>
      </c>
      <c r="B40" s="4" t="s">
        <v>245</v>
      </c>
      <c r="C40" s="4" t="s">
        <v>246</v>
      </c>
      <c r="D40" s="4" t="s">
        <v>60</v>
      </c>
      <c r="E40" s="5">
        <v>527000</v>
      </c>
      <c r="F40" s="6">
        <v>6258.125</v>
      </c>
      <c r="G40" s="7">
        <v>1.177871E-2</v>
      </c>
      <c r="H40" s="52"/>
    </row>
    <row r="41" spans="1:8" ht="17.100000000000001" customHeight="1" x14ac:dyDescent="0.2">
      <c r="A41" s="3">
        <v>35</v>
      </c>
      <c r="B41" s="4" t="s">
        <v>349</v>
      </c>
      <c r="C41" s="4" t="s">
        <v>350</v>
      </c>
      <c r="D41" s="4" t="s">
        <v>70</v>
      </c>
      <c r="E41" s="5">
        <v>83000</v>
      </c>
      <c r="F41" s="6">
        <v>6218.8995000000004</v>
      </c>
      <c r="G41" s="7">
        <v>1.1704880000000001E-2</v>
      </c>
      <c r="H41" s="52"/>
    </row>
    <row r="42" spans="1:8" ht="17.100000000000001" customHeight="1" x14ac:dyDescent="0.2">
      <c r="A42" s="3">
        <v>36</v>
      </c>
      <c r="B42" s="4" t="s">
        <v>351</v>
      </c>
      <c r="C42" s="4" t="s">
        <v>352</v>
      </c>
      <c r="D42" s="4" t="s">
        <v>344</v>
      </c>
      <c r="E42" s="5">
        <v>250000</v>
      </c>
      <c r="F42" s="6">
        <v>6210</v>
      </c>
      <c r="G42" s="7">
        <v>1.168813E-2</v>
      </c>
      <c r="H42" s="52"/>
    </row>
    <row r="43" spans="1:8" ht="17.100000000000001" customHeight="1" x14ac:dyDescent="0.2">
      <c r="A43" s="3">
        <v>37</v>
      </c>
      <c r="B43" s="4" t="s">
        <v>353</v>
      </c>
      <c r="C43" s="4" t="s">
        <v>354</v>
      </c>
      <c r="D43" s="4" t="s">
        <v>888</v>
      </c>
      <c r="E43" s="5">
        <v>117000</v>
      </c>
      <c r="F43" s="6">
        <v>5920.6679999999997</v>
      </c>
      <c r="G43" s="7">
        <v>1.114357E-2</v>
      </c>
      <c r="H43" s="52"/>
    </row>
    <row r="44" spans="1:8" ht="17.100000000000001" customHeight="1" x14ac:dyDescent="0.2">
      <c r="A44" s="3">
        <v>38</v>
      </c>
      <c r="B44" s="4" t="s">
        <v>355</v>
      </c>
      <c r="C44" s="4" t="s">
        <v>356</v>
      </c>
      <c r="D44" s="4" t="s">
        <v>357</v>
      </c>
      <c r="E44" s="5">
        <v>253011</v>
      </c>
      <c r="F44" s="6">
        <v>5897.4333989999996</v>
      </c>
      <c r="G44" s="7">
        <v>1.109984E-2</v>
      </c>
      <c r="H44" s="52"/>
    </row>
    <row r="45" spans="1:8" ht="17.100000000000001" customHeight="1" x14ac:dyDescent="0.2">
      <c r="A45" s="3">
        <v>39</v>
      </c>
      <c r="B45" s="4" t="s">
        <v>358</v>
      </c>
      <c r="C45" s="4" t="s">
        <v>359</v>
      </c>
      <c r="D45" s="4" t="s">
        <v>102</v>
      </c>
      <c r="E45" s="5">
        <v>900000</v>
      </c>
      <c r="F45" s="6">
        <v>5657.85</v>
      </c>
      <c r="G45" s="7">
        <v>1.0648909999999999E-2</v>
      </c>
      <c r="H45" s="52"/>
    </row>
    <row r="46" spans="1:8" ht="17.100000000000001" customHeight="1" x14ac:dyDescent="0.2">
      <c r="A46" s="3">
        <v>40</v>
      </c>
      <c r="B46" s="4" t="s">
        <v>41</v>
      </c>
      <c r="C46" s="4" t="s">
        <v>42</v>
      </c>
      <c r="D46" s="4" t="s">
        <v>43</v>
      </c>
      <c r="E46" s="5">
        <v>135000</v>
      </c>
      <c r="F46" s="6">
        <v>5547.5550000000003</v>
      </c>
      <c r="G46" s="7">
        <v>1.0441310000000001E-2</v>
      </c>
      <c r="H46" s="52"/>
    </row>
    <row r="47" spans="1:8" ht="17.100000000000001" customHeight="1" x14ac:dyDescent="0.2">
      <c r="A47" s="3">
        <v>41</v>
      </c>
      <c r="B47" s="4" t="s">
        <v>253</v>
      </c>
      <c r="C47" s="4" t="s">
        <v>254</v>
      </c>
      <c r="D47" s="4" t="s">
        <v>208</v>
      </c>
      <c r="E47" s="5">
        <v>135000</v>
      </c>
      <c r="F47" s="6">
        <v>5513.7375000000002</v>
      </c>
      <c r="G47" s="7">
        <v>1.037766E-2</v>
      </c>
      <c r="H47" s="52"/>
    </row>
    <row r="48" spans="1:8" ht="17.100000000000001" customHeight="1" x14ac:dyDescent="0.2">
      <c r="A48" s="3">
        <v>42</v>
      </c>
      <c r="B48" s="4" t="s">
        <v>360</v>
      </c>
      <c r="C48" s="4" t="s">
        <v>361</v>
      </c>
      <c r="D48" s="4" t="s">
        <v>60</v>
      </c>
      <c r="E48" s="5">
        <v>170000</v>
      </c>
      <c r="F48" s="6">
        <v>5422.4049999999997</v>
      </c>
      <c r="G48" s="7">
        <v>1.0205759999999999E-2</v>
      </c>
      <c r="H48" s="52"/>
    </row>
    <row r="49" spans="1:8" ht="29.1" customHeight="1" x14ac:dyDescent="0.2">
      <c r="A49" s="3">
        <v>43</v>
      </c>
      <c r="B49" s="4" t="s">
        <v>362</v>
      </c>
      <c r="C49" s="4" t="s">
        <v>363</v>
      </c>
      <c r="D49" s="4" t="s">
        <v>226</v>
      </c>
      <c r="E49" s="5">
        <v>160000</v>
      </c>
      <c r="F49" s="6">
        <v>5421.36</v>
      </c>
      <c r="G49" s="7">
        <v>1.0203800000000001E-2</v>
      </c>
      <c r="H49" s="52"/>
    </row>
    <row r="50" spans="1:8" ht="17.100000000000001" customHeight="1" x14ac:dyDescent="0.2">
      <c r="A50" s="3">
        <v>44</v>
      </c>
      <c r="B50" s="4" t="s">
        <v>197</v>
      </c>
      <c r="C50" s="4" t="s">
        <v>198</v>
      </c>
      <c r="D50" s="4" t="s">
        <v>105</v>
      </c>
      <c r="E50" s="5">
        <v>169137</v>
      </c>
      <c r="F50" s="6">
        <v>5328.1537740000003</v>
      </c>
      <c r="G50" s="7">
        <v>1.002837E-2</v>
      </c>
      <c r="H50" s="52"/>
    </row>
    <row r="51" spans="1:8" ht="17.100000000000001" customHeight="1" x14ac:dyDescent="0.2">
      <c r="A51" s="3">
        <v>45</v>
      </c>
      <c r="B51" s="4" t="s">
        <v>123</v>
      </c>
      <c r="C51" s="4" t="s">
        <v>124</v>
      </c>
      <c r="D51" s="4" t="s">
        <v>31</v>
      </c>
      <c r="E51" s="5">
        <v>285000</v>
      </c>
      <c r="F51" s="6">
        <v>5274.6374999999998</v>
      </c>
      <c r="G51" s="7">
        <v>9.9276399999999997E-3</v>
      </c>
      <c r="H51" s="52"/>
    </row>
    <row r="52" spans="1:8" ht="29.1" customHeight="1" x14ac:dyDescent="0.2">
      <c r="A52" s="3">
        <v>46</v>
      </c>
      <c r="B52" s="4" t="s">
        <v>63</v>
      </c>
      <c r="C52" s="4" t="s">
        <v>64</v>
      </c>
      <c r="D52" s="4" t="s">
        <v>25</v>
      </c>
      <c r="E52" s="5">
        <v>250000</v>
      </c>
      <c r="F52" s="6">
        <v>5260.625</v>
      </c>
      <c r="G52" s="7">
        <v>9.9012700000000002E-3</v>
      </c>
      <c r="H52" s="52"/>
    </row>
    <row r="53" spans="1:8" ht="53.1" customHeight="1" x14ac:dyDescent="0.2">
      <c r="A53" s="3">
        <v>47</v>
      </c>
      <c r="B53" s="4" t="s">
        <v>71</v>
      </c>
      <c r="C53" s="4" t="s">
        <v>72</v>
      </c>
      <c r="D53" s="4" t="s">
        <v>73</v>
      </c>
      <c r="E53" s="5">
        <v>3100000</v>
      </c>
      <c r="F53" s="6">
        <v>5198.7</v>
      </c>
      <c r="G53" s="7">
        <v>9.7847200000000002E-3</v>
      </c>
      <c r="H53" s="52"/>
    </row>
    <row r="54" spans="1:8" ht="17.100000000000001" customHeight="1" x14ac:dyDescent="0.2">
      <c r="A54" s="3">
        <v>48</v>
      </c>
      <c r="B54" s="4" t="s">
        <v>364</v>
      </c>
      <c r="C54" s="4" t="s">
        <v>365</v>
      </c>
      <c r="D54" s="4" t="s">
        <v>208</v>
      </c>
      <c r="E54" s="5">
        <v>400000</v>
      </c>
      <c r="F54" s="6">
        <v>5168.6000000000004</v>
      </c>
      <c r="G54" s="7">
        <v>9.7280600000000002E-3</v>
      </c>
      <c r="H54" s="52"/>
    </row>
    <row r="55" spans="1:8" ht="17.100000000000001" customHeight="1" x14ac:dyDescent="0.2">
      <c r="A55" s="3">
        <v>49</v>
      </c>
      <c r="B55" s="4" t="s">
        <v>203</v>
      </c>
      <c r="C55" s="4" t="s">
        <v>204</v>
      </c>
      <c r="D55" s="4" t="s">
        <v>205</v>
      </c>
      <c r="E55" s="5">
        <v>1600000</v>
      </c>
      <c r="F55" s="6">
        <v>5167.2</v>
      </c>
      <c r="G55" s="7">
        <v>9.7254300000000002E-3</v>
      </c>
      <c r="H55" s="52"/>
    </row>
    <row r="56" spans="1:8" ht="17.100000000000001" customHeight="1" x14ac:dyDescent="0.2">
      <c r="A56" s="3">
        <v>50</v>
      </c>
      <c r="B56" s="4" t="s">
        <v>299</v>
      </c>
      <c r="C56" s="4" t="s">
        <v>300</v>
      </c>
      <c r="D56" s="4" t="s">
        <v>208</v>
      </c>
      <c r="E56" s="5">
        <v>3700000</v>
      </c>
      <c r="F56" s="6">
        <v>5155.95</v>
      </c>
      <c r="G56" s="7">
        <v>9.7042599999999993E-3</v>
      </c>
      <c r="H56" s="52"/>
    </row>
    <row r="57" spans="1:8" ht="29.1" customHeight="1" x14ac:dyDescent="0.2">
      <c r="A57" s="3">
        <v>51</v>
      </c>
      <c r="B57" s="4" t="s">
        <v>275</v>
      </c>
      <c r="C57" s="4" t="s">
        <v>276</v>
      </c>
      <c r="D57" s="4" t="s">
        <v>211</v>
      </c>
      <c r="E57" s="5">
        <v>147000</v>
      </c>
      <c r="F57" s="6">
        <v>4999.8374999999996</v>
      </c>
      <c r="G57" s="7">
        <v>9.4104299999999991E-3</v>
      </c>
      <c r="H57" s="52"/>
    </row>
    <row r="58" spans="1:8" ht="17.100000000000001" customHeight="1" x14ac:dyDescent="0.2">
      <c r="A58" s="3">
        <v>52</v>
      </c>
      <c r="B58" s="4" t="s">
        <v>366</v>
      </c>
      <c r="C58" s="4" t="s">
        <v>367</v>
      </c>
      <c r="D58" s="4" t="s">
        <v>114</v>
      </c>
      <c r="E58" s="5">
        <v>4000000</v>
      </c>
      <c r="F58" s="6">
        <v>4750</v>
      </c>
      <c r="G58" s="7">
        <v>8.9402000000000006E-3</v>
      </c>
      <c r="H58" s="52"/>
    </row>
    <row r="59" spans="1:8" ht="17.100000000000001" customHeight="1" x14ac:dyDescent="0.2">
      <c r="A59" s="3">
        <v>53</v>
      </c>
      <c r="B59" s="4" t="s">
        <v>100</v>
      </c>
      <c r="C59" s="4" t="s">
        <v>101</v>
      </c>
      <c r="D59" s="4" t="s">
        <v>102</v>
      </c>
      <c r="E59" s="5">
        <v>45000</v>
      </c>
      <c r="F59" s="6">
        <v>4676.5349999999999</v>
      </c>
      <c r="G59" s="7">
        <v>8.8019299999999995E-3</v>
      </c>
      <c r="H59" s="52"/>
    </row>
    <row r="60" spans="1:8" ht="17.100000000000001" customHeight="1" x14ac:dyDescent="0.2">
      <c r="A60" s="3">
        <v>54</v>
      </c>
      <c r="B60" s="4" t="s">
        <v>106</v>
      </c>
      <c r="C60" s="4" t="s">
        <v>107</v>
      </c>
      <c r="D60" s="4" t="s">
        <v>31</v>
      </c>
      <c r="E60" s="5">
        <v>275028</v>
      </c>
      <c r="F60" s="6">
        <v>4610.9819340000004</v>
      </c>
      <c r="G60" s="7">
        <v>8.6785500000000002E-3</v>
      </c>
      <c r="H60" s="52"/>
    </row>
    <row r="61" spans="1:8" ht="17.100000000000001" customHeight="1" x14ac:dyDescent="0.2">
      <c r="A61" s="3">
        <v>55</v>
      </c>
      <c r="B61" s="4" t="s">
        <v>368</v>
      </c>
      <c r="C61" s="4" t="s">
        <v>369</v>
      </c>
      <c r="D61" s="4" t="s">
        <v>231</v>
      </c>
      <c r="E61" s="5">
        <v>1200000</v>
      </c>
      <c r="F61" s="6">
        <v>4600.8</v>
      </c>
      <c r="G61" s="7">
        <v>8.6593799999999995E-3</v>
      </c>
      <c r="H61" s="52"/>
    </row>
    <row r="62" spans="1:8" ht="17.100000000000001" customHeight="1" x14ac:dyDescent="0.2">
      <c r="A62" s="3">
        <v>56</v>
      </c>
      <c r="B62" s="4" t="s">
        <v>219</v>
      </c>
      <c r="C62" s="4" t="s">
        <v>220</v>
      </c>
      <c r="D62" s="4" t="s">
        <v>221</v>
      </c>
      <c r="E62" s="5">
        <v>501344</v>
      </c>
      <c r="F62" s="6">
        <v>4582.7855040000004</v>
      </c>
      <c r="G62" s="7">
        <v>8.6254799999999996E-3</v>
      </c>
      <c r="H62" s="52"/>
    </row>
    <row r="63" spans="1:8" ht="17.100000000000001" customHeight="1" x14ac:dyDescent="0.2">
      <c r="A63" s="3">
        <v>57</v>
      </c>
      <c r="B63" s="4" t="s">
        <v>370</v>
      </c>
      <c r="C63" s="4" t="s">
        <v>371</v>
      </c>
      <c r="D63" s="4" t="s">
        <v>208</v>
      </c>
      <c r="E63" s="5">
        <v>126000</v>
      </c>
      <c r="F63" s="6">
        <v>4578.0839999999998</v>
      </c>
      <c r="G63" s="7">
        <v>8.6166300000000001E-3</v>
      </c>
      <c r="H63" s="52"/>
    </row>
    <row r="64" spans="1:8" ht="17.100000000000001" customHeight="1" x14ac:dyDescent="0.2">
      <c r="A64" s="3">
        <v>58</v>
      </c>
      <c r="B64" s="4" t="s">
        <v>277</v>
      </c>
      <c r="C64" s="4" t="s">
        <v>278</v>
      </c>
      <c r="D64" s="4" t="s">
        <v>60</v>
      </c>
      <c r="E64" s="5">
        <v>346000</v>
      </c>
      <c r="F64" s="6">
        <v>4364.2709999999997</v>
      </c>
      <c r="G64" s="7">
        <v>8.2141999999999996E-3</v>
      </c>
      <c r="H64" s="52"/>
    </row>
    <row r="65" spans="1:8" ht="17.100000000000001" customHeight="1" x14ac:dyDescent="0.2">
      <c r="A65" s="3">
        <v>59</v>
      </c>
      <c r="B65" s="4" t="s">
        <v>372</v>
      </c>
      <c r="C65" s="4" t="s">
        <v>373</v>
      </c>
      <c r="D65" s="4" t="s">
        <v>52</v>
      </c>
      <c r="E65" s="5">
        <v>320375</v>
      </c>
      <c r="F65" s="6">
        <v>4236.7991874999998</v>
      </c>
      <c r="G65" s="7">
        <v>7.9742800000000003E-3</v>
      </c>
      <c r="H65" s="52"/>
    </row>
    <row r="66" spans="1:8" ht="17.100000000000001" customHeight="1" x14ac:dyDescent="0.2">
      <c r="A66" s="3">
        <v>60</v>
      </c>
      <c r="B66" s="4" t="s">
        <v>374</v>
      </c>
      <c r="C66" s="4" t="s">
        <v>375</v>
      </c>
      <c r="D66" s="4" t="s">
        <v>105</v>
      </c>
      <c r="E66" s="5">
        <v>328185</v>
      </c>
      <c r="F66" s="6">
        <v>4117.4090100000003</v>
      </c>
      <c r="G66" s="7">
        <v>7.7495699999999999E-3</v>
      </c>
      <c r="H66" s="52"/>
    </row>
    <row r="67" spans="1:8" ht="17.100000000000001" customHeight="1" x14ac:dyDescent="0.2">
      <c r="A67" s="3">
        <v>61</v>
      </c>
      <c r="B67" s="4" t="s">
        <v>376</v>
      </c>
      <c r="C67" s="4" t="s">
        <v>377</v>
      </c>
      <c r="D67" s="4" t="s">
        <v>28</v>
      </c>
      <c r="E67" s="5">
        <v>2093235</v>
      </c>
      <c r="F67" s="6">
        <v>4106.9270699999997</v>
      </c>
      <c r="G67" s="7">
        <v>7.72984E-3</v>
      </c>
      <c r="H67" s="52"/>
    </row>
    <row r="68" spans="1:8" ht="29.1" customHeight="1" x14ac:dyDescent="0.2">
      <c r="A68" s="3">
        <v>62</v>
      </c>
      <c r="B68" s="4" t="s">
        <v>378</v>
      </c>
      <c r="C68" s="4" t="s">
        <v>379</v>
      </c>
      <c r="D68" s="4" t="s">
        <v>226</v>
      </c>
      <c r="E68" s="5">
        <v>450000</v>
      </c>
      <c r="F68" s="6">
        <v>3822.75</v>
      </c>
      <c r="G68" s="7">
        <v>7.1949800000000001E-3</v>
      </c>
      <c r="H68" s="52"/>
    </row>
    <row r="69" spans="1:8" ht="17.100000000000001" customHeight="1" x14ac:dyDescent="0.2">
      <c r="A69" s="3">
        <v>63</v>
      </c>
      <c r="B69" s="4" t="s">
        <v>380</v>
      </c>
      <c r="C69" s="4" t="s">
        <v>381</v>
      </c>
      <c r="D69" s="4" t="s">
        <v>31</v>
      </c>
      <c r="E69" s="5">
        <v>370000</v>
      </c>
      <c r="F69" s="6">
        <v>3771.5949999999998</v>
      </c>
      <c r="G69" s="7">
        <v>7.0987000000000003E-3</v>
      </c>
      <c r="H69" s="52"/>
    </row>
    <row r="70" spans="1:8" ht="17.100000000000001" customHeight="1" x14ac:dyDescent="0.2">
      <c r="A70" s="3">
        <v>64</v>
      </c>
      <c r="B70" s="4" t="s">
        <v>129</v>
      </c>
      <c r="C70" s="4" t="s">
        <v>130</v>
      </c>
      <c r="D70" s="4" t="s">
        <v>43</v>
      </c>
      <c r="E70" s="5">
        <v>2900000</v>
      </c>
      <c r="F70" s="6">
        <v>3504.65</v>
      </c>
      <c r="G70" s="7">
        <v>6.5962700000000004E-3</v>
      </c>
      <c r="H70" s="52"/>
    </row>
    <row r="71" spans="1:8" ht="17.100000000000001" customHeight="1" x14ac:dyDescent="0.2">
      <c r="A71" s="3">
        <v>65</v>
      </c>
      <c r="B71" s="4" t="s">
        <v>382</v>
      </c>
      <c r="C71" s="4" t="s">
        <v>383</v>
      </c>
      <c r="D71" s="4" t="s">
        <v>70</v>
      </c>
      <c r="E71" s="5">
        <v>220000</v>
      </c>
      <c r="F71" s="6">
        <v>3453.01</v>
      </c>
      <c r="G71" s="7">
        <v>6.49907E-3</v>
      </c>
      <c r="H71" s="52"/>
    </row>
    <row r="72" spans="1:8" ht="29.1" customHeight="1" x14ac:dyDescent="0.2">
      <c r="A72" s="3">
        <v>66</v>
      </c>
      <c r="B72" s="4" t="s">
        <v>214</v>
      </c>
      <c r="C72" s="4" t="s">
        <v>215</v>
      </c>
      <c r="D72" s="4" t="s">
        <v>216</v>
      </c>
      <c r="E72" s="5">
        <v>97000</v>
      </c>
      <c r="F72" s="6">
        <v>3335.1025</v>
      </c>
      <c r="G72" s="7">
        <v>6.2771499999999996E-3</v>
      </c>
      <c r="H72" s="52"/>
    </row>
    <row r="73" spans="1:8" ht="17.100000000000001" customHeight="1" x14ac:dyDescent="0.2">
      <c r="A73" s="3">
        <v>67</v>
      </c>
      <c r="B73" s="4" t="s">
        <v>87</v>
      </c>
      <c r="C73" s="4" t="s">
        <v>88</v>
      </c>
      <c r="D73" s="4" t="s">
        <v>43</v>
      </c>
      <c r="E73" s="5">
        <v>881341</v>
      </c>
      <c r="F73" s="6">
        <v>3165.7768719999999</v>
      </c>
      <c r="G73" s="7">
        <v>5.9584599999999996E-3</v>
      </c>
      <c r="H73" s="52"/>
    </row>
    <row r="74" spans="1:8" ht="17.100000000000001" customHeight="1" x14ac:dyDescent="0.2">
      <c r="A74" s="3">
        <v>68</v>
      </c>
      <c r="B74" s="4" t="s">
        <v>68</v>
      </c>
      <c r="C74" s="4" t="s">
        <v>69</v>
      </c>
      <c r="D74" s="4" t="s">
        <v>70</v>
      </c>
      <c r="E74" s="5">
        <v>1100000</v>
      </c>
      <c r="F74" s="6">
        <v>3163.6</v>
      </c>
      <c r="G74" s="7">
        <v>5.9543599999999997E-3</v>
      </c>
      <c r="H74" s="52"/>
    </row>
    <row r="75" spans="1:8" ht="17.100000000000001" customHeight="1" x14ac:dyDescent="0.2">
      <c r="A75" s="3">
        <v>69</v>
      </c>
      <c r="B75" s="4" t="s">
        <v>384</v>
      </c>
      <c r="C75" s="4" t="s">
        <v>385</v>
      </c>
      <c r="D75" s="4" t="s">
        <v>60</v>
      </c>
      <c r="E75" s="5">
        <v>348399</v>
      </c>
      <c r="F75" s="6">
        <v>3128.62302</v>
      </c>
      <c r="G75" s="7">
        <v>5.8885300000000003E-3</v>
      </c>
      <c r="H75" s="52"/>
    </row>
    <row r="76" spans="1:8" ht="29.1" customHeight="1" x14ac:dyDescent="0.2">
      <c r="A76" s="3">
        <v>70</v>
      </c>
      <c r="B76" s="4" t="s">
        <v>238</v>
      </c>
      <c r="C76" s="4" t="s">
        <v>239</v>
      </c>
      <c r="D76" s="4" t="s">
        <v>226</v>
      </c>
      <c r="E76" s="5">
        <v>75000</v>
      </c>
      <c r="F76" s="6">
        <v>2791.3874999999998</v>
      </c>
      <c r="G76" s="7">
        <v>5.2538000000000003E-3</v>
      </c>
      <c r="H76" s="52"/>
    </row>
    <row r="77" spans="1:8" ht="17.100000000000001" customHeight="1" x14ac:dyDescent="0.2">
      <c r="A77" s="3">
        <v>71</v>
      </c>
      <c r="B77" s="4" t="s">
        <v>386</v>
      </c>
      <c r="C77" s="4" t="s">
        <v>387</v>
      </c>
      <c r="D77" s="4" t="s">
        <v>311</v>
      </c>
      <c r="E77" s="5">
        <v>7000</v>
      </c>
      <c r="F77" s="6">
        <v>2647.1480000000001</v>
      </c>
      <c r="G77" s="7">
        <v>4.9823200000000002E-3</v>
      </c>
      <c r="H77" s="52"/>
    </row>
    <row r="78" spans="1:8" ht="29.1" customHeight="1" x14ac:dyDescent="0.2">
      <c r="A78" s="3">
        <v>72</v>
      </c>
      <c r="B78" s="4" t="s">
        <v>388</v>
      </c>
      <c r="C78" s="4" t="s">
        <v>389</v>
      </c>
      <c r="D78" s="4" t="s">
        <v>216</v>
      </c>
      <c r="E78" s="5">
        <v>120000</v>
      </c>
      <c r="F78" s="6">
        <v>2634.36</v>
      </c>
      <c r="G78" s="7">
        <v>4.95825E-3</v>
      </c>
      <c r="H78" s="52"/>
    </row>
    <row r="79" spans="1:8" ht="29.1" customHeight="1" x14ac:dyDescent="0.2">
      <c r="A79" s="3">
        <v>73</v>
      </c>
      <c r="B79" s="4" t="s">
        <v>224</v>
      </c>
      <c r="C79" s="4" t="s">
        <v>225</v>
      </c>
      <c r="D79" s="4" t="s">
        <v>226</v>
      </c>
      <c r="E79" s="5">
        <v>225000</v>
      </c>
      <c r="F79" s="6">
        <v>2538.3375000000001</v>
      </c>
      <c r="G79" s="7">
        <v>4.7775200000000004E-3</v>
      </c>
      <c r="H79" s="52"/>
    </row>
    <row r="80" spans="1:8" ht="29.1" customHeight="1" x14ac:dyDescent="0.2">
      <c r="A80" s="3">
        <v>74</v>
      </c>
      <c r="B80" s="4" t="s">
        <v>271</v>
      </c>
      <c r="C80" s="4" t="s">
        <v>272</v>
      </c>
      <c r="D80" s="4" t="s">
        <v>226</v>
      </c>
      <c r="E80" s="5">
        <v>664603</v>
      </c>
      <c r="F80" s="6">
        <v>2404.2013525000002</v>
      </c>
      <c r="G80" s="7">
        <v>4.52506E-3</v>
      </c>
      <c r="H80" s="52"/>
    </row>
    <row r="81" spans="1:8" ht="29.1" customHeight="1" x14ac:dyDescent="0.2">
      <c r="A81" s="3">
        <v>75</v>
      </c>
      <c r="B81" s="4" t="s">
        <v>390</v>
      </c>
      <c r="C81" s="4" t="s">
        <v>391</v>
      </c>
      <c r="D81" s="4" t="s">
        <v>226</v>
      </c>
      <c r="E81" s="5">
        <v>180000</v>
      </c>
      <c r="F81" s="6">
        <v>2160</v>
      </c>
      <c r="G81" s="7">
        <v>4.06544E-3</v>
      </c>
      <c r="H81" s="52"/>
    </row>
    <row r="82" spans="1:8" ht="17.100000000000001" customHeight="1" x14ac:dyDescent="0.2">
      <c r="A82" s="3">
        <v>76</v>
      </c>
      <c r="B82" s="4" t="s">
        <v>291</v>
      </c>
      <c r="C82" s="4" t="s">
        <v>292</v>
      </c>
      <c r="D82" s="4" t="s">
        <v>76</v>
      </c>
      <c r="E82" s="5">
        <v>540000</v>
      </c>
      <c r="F82" s="6">
        <v>2064.69</v>
      </c>
      <c r="G82" s="7">
        <v>3.8860499999999998E-3</v>
      </c>
      <c r="H82" s="52"/>
    </row>
    <row r="83" spans="1:8" ht="17.100000000000001" customHeight="1" x14ac:dyDescent="0.2">
      <c r="A83" s="3">
        <v>77</v>
      </c>
      <c r="B83" s="4" t="s">
        <v>392</v>
      </c>
      <c r="C83" s="4" t="s">
        <v>393</v>
      </c>
      <c r="D83" s="4" t="s">
        <v>70</v>
      </c>
      <c r="E83" s="5">
        <v>870000</v>
      </c>
      <c r="F83" s="6">
        <v>1905.3</v>
      </c>
      <c r="G83" s="7">
        <v>3.5860499999999999E-3</v>
      </c>
      <c r="H83" s="52"/>
    </row>
    <row r="84" spans="1:8" ht="29.1" customHeight="1" x14ac:dyDescent="0.2">
      <c r="A84" s="3">
        <v>78</v>
      </c>
      <c r="B84" s="4" t="s">
        <v>394</v>
      </c>
      <c r="C84" s="4" t="s">
        <v>395</v>
      </c>
      <c r="D84" s="4" t="s">
        <v>60</v>
      </c>
      <c r="E84" s="5">
        <v>530000</v>
      </c>
      <c r="F84" s="6">
        <v>1494.6</v>
      </c>
      <c r="G84" s="7">
        <v>2.81306E-3</v>
      </c>
      <c r="H84" s="52"/>
    </row>
    <row r="85" spans="1:8" ht="17.100000000000001" customHeight="1" x14ac:dyDescent="0.2">
      <c r="A85" s="3">
        <v>79</v>
      </c>
      <c r="B85" s="4" t="s">
        <v>236</v>
      </c>
      <c r="C85" s="4" t="s">
        <v>237</v>
      </c>
      <c r="D85" s="4" t="s">
        <v>888</v>
      </c>
      <c r="E85" s="5">
        <v>26512</v>
      </c>
      <c r="F85" s="6">
        <v>1321.42436</v>
      </c>
      <c r="G85" s="7">
        <v>2.4871200000000002E-3</v>
      </c>
      <c r="H85" s="52"/>
    </row>
    <row r="86" spans="1:8" ht="29.1" customHeight="1" x14ac:dyDescent="0.2">
      <c r="A86" s="3">
        <v>80</v>
      </c>
      <c r="B86" s="4" t="s">
        <v>139</v>
      </c>
      <c r="C86" s="4" t="s">
        <v>140</v>
      </c>
      <c r="D86" s="4" t="s">
        <v>141</v>
      </c>
      <c r="E86" s="5">
        <v>760536</v>
      </c>
      <c r="F86" s="6">
        <v>1289.4887880000001</v>
      </c>
      <c r="G86" s="7">
        <v>2.4270099999999998E-3</v>
      </c>
      <c r="H86" s="52"/>
    </row>
    <row r="87" spans="1:8" ht="14.1" customHeight="1" x14ac:dyDescent="0.2">
      <c r="A87" s="1"/>
      <c r="B87" s="1"/>
      <c r="C87" s="2" t="s">
        <v>145</v>
      </c>
      <c r="D87" s="1"/>
      <c r="E87" s="1" t="s">
        <v>146</v>
      </c>
      <c r="F87" s="9">
        <v>516861.42235750001</v>
      </c>
      <c r="G87" s="10">
        <v>0.97280918000000005</v>
      </c>
      <c r="H87" s="52"/>
    </row>
    <row r="88" spans="1:8" ht="14.1" customHeight="1" x14ac:dyDescent="0.2">
      <c r="A88" s="1"/>
      <c r="B88" s="1"/>
      <c r="C88" s="11"/>
      <c r="D88" s="1"/>
      <c r="E88" s="1"/>
      <c r="F88" s="12"/>
      <c r="G88" s="12"/>
      <c r="H88" s="52"/>
    </row>
    <row r="89" spans="1:8" ht="14.1" customHeight="1" x14ac:dyDescent="0.2">
      <c r="A89" s="1"/>
      <c r="B89" s="1"/>
      <c r="C89" s="2" t="s">
        <v>147</v>
      </c>
      <c r="D89" s="1"/>
      <c r="E89" s="1"/>
      <c r="F89" s="1"/>
      <c r="G89" s="1"/>
      <c r="H89" s="52"/>
    </row>
    <row r="90" spans="1:8" ht="14.1" customHeight="1" x14ac:dyDescent="0.2">
      <c r="A90" s="1"/>
      <c r="B90" s="1"/>
      <c r="C90" s="2" t="s">
        <v>145</v>
      </c>
      <c r="D90" s="1"/>
      <c r="E90" s="1" t="s">
        <v>146</v>
      </c>
      <c r="F90" s="13" t="s">
        <v>148</v>
      </c>
      <c r="G90" s="10">
        <v>0</v>
      </c>
      <c r="H90" s="52"/>
    </row>
    <row r="91" spans="1:8" ht="14.1" customHeight="1" x14ac:dyDescent="0.2">
      <c r="A91" s="1"/>
      <c r="B91" s="1"/>
      <c r="C91" s="11"/>
      <c r="D91" s="1"/>
      <c r="E91" s="1"/>
      <c r="F91" s="12"/>
      <c r="G91" s="12"/>
      <c r="H91" s="52"/>
    </row>
    <row r="92" spans="1:8" ht="14.1" customHeight="1" x14ac:dyDescent="0.2">
      <c r="A92" s="1"/>
      <c r="B92" s="1"/>
      <c r="C92" s="2" t="s">
        <v>149</v>
      </c>
      <c r="D92" s="1"/>
      <c r="E92" s="1"/>
      <c r="F92" s="1"/>
      <c r="G92" s="1"/>
      <c r="H92" s="52"/>
    </row>
    <row r="93" spans="1:8" ht="14.1" customHeight="1" x14ac:dyDescent="0.2">
      <c r="A93" s="1"/>
      <c r="B93" s="1"/>
      <c r="C93" s="2" t="s">
        <v>145</v>
      </c>
      <c r="D93" s="1"/>
      <c r="E93" s="1" t="s">
        <v>146</v>
      </c>
      <c r="F93" s="13" t="s">
        <v>148</v>
      </c>
      <c r="G93" s="10">
        <v>0</v>
      </c>
      <c r="H93" s="52"/>
    </row>
    <row r="94" spans="1:8" ht="14.1" customHeight="1" x14ac:dyDescent="0.2">
      <c r="A94" s="1"/>
      <c r="B94" s="1"/>
      <c r="C94" s="11"/>
      <c r="D94" s="1"/>
      <c r="E94" s="1"/>
      <c r="F94" s="12"/>
      <c r="G94" s="12"/>
      <c r="H94" s="52"/>
    </row>
    <row r="95" spans="1:8" ht="14.1" customHeight="1" x14ac:dyDescent="0.2">
      <c r="A95" s="1"/>
      <c r="B95" s="1"/>
      <c r="C95" s="2" t="s">
        <v>150</v>
      </c>
      <c r="D95" s="1"/>
      <c r="E95" s="1"/>
      <c r="F95" s="1"/>
      <c r="G95" s="1"/>
      <c r="H95" s="52"/>
    </row>
    <row r="96" spans="1:8" ht="14.1" customHeight="1" x14ac:dyDescent="0.2">
      <c r="A96" s="1"/>
      <c r="B96" s="1"/>
      <c r="C96" s="2" t="s">
        <v>145</v>
      </c>
      <c r="D96" s="1"/>
      <c r="E96" s="1" t="s">
        <v>146</v>
      </c>
      <c r="F96" s="13" t="s">
        <v>148</v>
      </c>
      <c r="G96" s="10">
        <v>0</v>
      </c>
      <c r="H96" s="52"/>
    </row>
    <row r="97" spans="1:8" ht="14.1" customHeight="1" x14ac:dyDescent="0.2">
      <c r="A97" s="1"/>
      <c r="B97" s="1"/>
      <c r="C97" s="11"/>
      <c r="D97" s="1"/>
      <c r="E97" s="1"/>
      <c r="F97" s="12"/>
      <c r="G97" s="12"/>
      <c r="H97" s="52"/>
    </row>
    <row r="98" spans="1:8" ht="14.1" customHeight="1" x14ac:dyDescent="0.2">
      <c r="A98" s="1"/>
      <c r="B98" s="1"/>
      <c r="C98" s="2" t="s">
        <v>151</v>
      </c>
      <c r="D98" s="1"/>
      <c r="E98" s="1"/>
      <c r="F98" s="12"/>
      <c r="G98" s="12"/>
      <c r="H98" s="52"/>
    </row>
    <row r="99" spans="1:8" ht="14.1" customHeight="1" x14ac:dyDescent="0.2">
      <c r="A99" s="1"/>
      <c r="B99" s="1"/>
      <c r="C99" s="2" t="s">
        <v>145</v>
      </c>
      <c r="D99" s="1"/>
      <c r="E99" s="1" t="s">
        <v>146</v>
      </c>
      <c r="F99" s="13" t="s">
        <v>148</v>
      </c>
      <c r="G99" s="10">
        <v>0</v>
      </c>
      <c r="H99" s="52"/>
    </row>
    <row r="100" spans="1:8" ht="14.1" customHeight="1" x14ac:dyDescent="0.2">
      <c r="A100" s="1"/>
      <c r="B100" s="1"/>
      <c r="C100" s="11"/>
      <c r="D100" s="1"/>
      <c r="E100" s="1"/>
      <c r="F100" s="12"/>
      <c r="G100" s="12"/>
      <c r="H100" s="52"/>
    </row>
    <row r="101" spans="1:8" ht="14.1" customHeight="1" x14ac:dyDescent="0.2">
      <c r="A101" s="1"/>
      <c r="B101" s="1"/>
      <c r="C101" s="2" t="s">
        <v>152</v>
      </c>
      <c r="D101" s="1"/>
      <c r="E101" s="1"/>
      <c r="F101" s="12"/>
      <c r="G101" s="12"/>
      <c r="H101" s="52"/>
    </row>
    <row r="102" spans="1:8" ht="14.1" customHeight="1" x14ac:dyDescent="0.2">
      <c r="A102" s="1"/>
      <c r="B102" s="1"/>
      <c r="C102" s="2" t="s">
        <v>145</v>
      </c>
      <c r="D102" s="1"/>
      <c r="E102" s="1" t="s">
        <v>146</v>
      </c>
      <c r="F102" s="13" t="s">
        <v>148</v>
      </c>
      <c r="G102" s="10">
        <v>0</v>
      </c>
      <c r="H102" s="52"/>
    </row>
    <row r="103" spans="1:8" ht="14.1" customHeight="1" x14ac:dyDescent="0.2">
      <c r="A103" s="1"/>
      <c r="B103" s="1"/>
      <c r="C103" s="11"/>
      <c r="D103" s="1"/>
      <c r="E103" s="1"/>
      <c r="F103" s="12"/>
      <c r="G103" s="12"/>
      <c r="H103" s="52"/>
    </row>
    <row r="104" spans="1:8" ht="18" customHeight="1" x14ac:dyDescent="0.2">
      <c r="A104" s="1"/>
      <c r="B104" s="1"/>
      <c r="C104" s="2" t="s">
        <v>153</v>
      </c>
      <c r="D104" s="1"/>
      <c r="E104" s="1"/>
      <c r="F104" s="9">
        <v>516861.42235750001</v>
      </c>
      <c r="G104" s="10">
        <v>0.97280918000000005</v>
      </c>
      <c r="H104" s="52"/>
    </row>
    <row r="105" spans="1:8" ht="14.1" customHeight="1" x14ac:dyDescent="0.2">
      <c r="A105" s="1"/>
      <c r="B105" s="1"/>
      <c r="C105" s="11"/>
      <c r="D105" s="1"/>
      <c r="E105" s="1"/>
      <c r="F105" s="12"/>
      <c r="G105" s="12"/>
      <c r="H105" s="52"/>
    </row>
    <row r="106" spans="1:8" ht="14.1" customHeight="1" x14ac:dyDescent="0.2">
      <c r="A106" s="1"/>
      <c r="B106" s="1"/>
      <c r="C106" s="2" t="s">
        <v>154</v>
      </c>
      <c r="D106" s="1"/>
      <c r="E106" s="1"/>
      <c r="F106" s="12"/>
      <c r="G106" s="12"/>
      <c r="H106" s="52"/>
    </row>
    <row r="107" spans="1:8" ht="24" customHeight="1" x14ac:dyDescent="0.2">
      <c r="A107" s="1"/>
      <c r="B107" s="1"/>
      <c r="C107" s="2" t="s">
        <v>10</v>
      </c>
      <c r="D107" s="1"/>
      <c r="E107" s="1"/>
      <c r="F107" s="12"/>
      <c r="G107" s="12"/>
      <c r="H107" s="52"/>
    </row>
    <row r="108" spans="1:8" ht="14.1" customHeight="1" x14ac:dyDescent="0.2">
      <c r="A108" s="1"/>
      <c r="B108" s="1"/>
      <c r="C108" s="2" t="s">
        <v>145</v>
      </c>
      <c r="D108" s="1"/>
      <c r="E108" s="1" t="s">
        <v>146</v>
      </c>
      <c r="F108" s="13" t="s">
        <v>148</v>
      </c>
      <c r="G108" s="10">
        <v>0</v>
      </c>
      <c r="H108" s="52"/>
    </row>
    <row r="109" spans="1:8" ht="14.1" customHeight="1" x14ac:dyDescent="0.2">
      <c r="A109" s="1"/>
      <c r="B109" s="1"/>
      <c r="C109" s="11"/>
      <c r="D109" s="1"/>
      <c r="E109" s="1"/>
      <c r="F109" s="12"/>
      <c r="G109" s="12"/>
      <c r="H109" s="52"/>
    </row>
    <row r="110" spans="1:8" ht="14.1" customHeight="1" x14ac:dyDescent="0.2">
      <c r="A110" s="1"/>
      <c r="B110" s="1"/>
      <c r="C110" s="2" t="s">
        <v>155</v>
      </c>
      <c r="D110" s="1"/>
      <c r="E110" s="1"/>
      <c r="F110" s="1"/>
      <c r="G110" s="1"/>
      <c r="H110" s="52"/>
    </row>
    <row r="111" spans="1:8" ht="14.1" customHeight="1" x14ac:dyDescent="0.2">
      <c r="A111" s="1"/>
      <c r="B111" s="1"/>
      <c r="C111" s="2" t="s">
        <v>145</v>
      </c>
      <c r="D111" s="1"/>
      <c r="E111" s="1" t="s">
        <v>146</v>
      </c>
      <c r="F111" s="13" t="s">
        <v>148</v>
      </c>
      <c r="G111" s="10">
        <v>0</v>
      </c>
      <c r="H111" s="52"/>
    </row>
    <row r="112" spans="1:8" ht="14.1" customHeight="1" x14ac:dyDescent="0.2">
      <c r="A112" s="1"/>
      <c r="B112" s="1"/>
      <c r="C112" s="11"/>
      <c r="D112" s="1"/>
      <c r="E112" s="1"/>
      <c r="F112" s="12"/>
      <c r="G112" s="12"/>
      <c r="H112" s="52"/>
    </row>
    <row r="113" spans="1:8" ht="14.1" customHeight="1" x14ac:dyDescent="0.2">
      <c r="A113" s="1"/>
      <c r="B113" s="1"/>
      <c r="C113" s="2" t="s">
        <v>156</v>
      </c>
      <c r="D113" s="1"/>
      <c r="E113" s="1"/>
      <c r="F113" s="1"/>
      <c r="G113" s="1"/>
      <c r="H113" s="52"/>
    </row>
    <row r="114" spans="1:8" ht="14.1" customHeight="1" x14ac:dyDescent="0.2">
      <c r="A114" s="1"/>
      <c r="B114" s="1"/>
      <c r="C114" s="2" t="s">
        <v>145</v>
      </c>
      <c r="D114" s="1"/>
      <c r="E114" s="1" t="s">
        <v>146</v>
      </c>
      <c r="F114" s="13" t="s">
        <v>148</v>
      </c>
      <c r="G114" s="10">
        <v>0</v>
      </c>
      <c r="H114" s="52"/>
    </row>
    <row r="115" spans="1:8" ht="14.1" customHeight="1" x14ac:dyDescent="0.2">
      <c r="A115" s="1"/>
      <c r="B115" s="1"/>
      <c r="C115" s="11"/>
      <c r="D115" s="1"/>
      <c r="E115" s="1"/>
      <c r="F115" s="12"/>
      <c r="G115" s="12"/>
      <c r="H115" s="52"/>
    </row>
    <row r="116" spans="1:8" ht="14.1" customHeight="1" x14ac:dyDescent="0.2">
      <c r="A116" s="1"/>
      <c r="B116" s="1"/>
      <c r="C116" s="2" t="s">
        <v>157</v>
      </c>
      <c r="D116" s="1"/>
      <c r="E116" s="1"/>
      <c r="F116" s="12"/>
      <c r="G116" s="12"/>
      <c r="H116" s="52"/>
    </row>
    <row r="117" spans="1:8" ht="14.1" customHeight="1" x14ac:dyDescent="0.2">
      <c r="A117" s="1"/>
      <c r="B117" s="1"/>
      <c r="C117" s="2" t="s">
        <v>145</v>
      </c>
      <c r="D117" s="1"/>
      <c r="E117" s="1" t="s">
        <v>146</v>
      </c>
      <c r="F117" s="13" t="s">
        <v>148</v>
      </c>
      <c r="G117" s="10">
        <v>0</v>
      </c>
      <c r="H117" s="52"/>
    </row>
    <row r="118" spans="1:8" ht="14.1" customHeight="1" x14ac:dyDescent="0.2">
      <c r="A118" s="1"/>
      <c r="B118" s="1"/>
      <c r="C118" s="11"/>
      <c r="D118" s="1"/>
      <c r="E118" s="1"/>
      <c r="F118" s="12"/>
      <c r="G118" s="12"/>
      <c r="H118" s="52"/>
    </row>
    <row r="119" spans="1:8" ht="14.1" customHeight="1" x14ac:dyDescent="0.2">
      <c r="A119" s="1"/>
      <c r="B119" s="1"/>
      <c r="C119" s="2" t="s">
        <v>158</v>
      </c>
      <c r="D119" s="1"/>
      <c r="E119" s="1"/>
      <c r="F119" s="9">
        <v>0</v>
      </c>
      <c r="G119" s="10">
        <v>0</v>
      </c>
      <c r="H119" s="52"/>
    </row>
    <row r="120" spans="1:8" ht="14.1" customHeight="1" x14ac:dyDescent="0.2">
      <c r="A120" s="1"/>
      <c r="B120" s="1"/>
      <c r="C120" s="11"/>
      <c r="D120" s="1"/>
      <c r="E120" s="1"/>
      <c r="F120" s="12"/>
      <c r="G120" s="12"/>
      <c r="H120" s="52"/>
    </row>
    <row r="121" spans="1:8" ht="14.1" customHeight="1" x14ac:dyDescent="0.2">
      <c r="A121" s="1"/>
      <c r="B121" s="1"/>
      <c r="C121" s="2" t="s">
        <v>159</v>
      </c>
      <c r="D121" s="1"/>
      <c r="E121" s="1"/>
      <c r="F121" s="12"/>
      <c r="G121" s="12"/>
      <c r="H121" s="52"/>
    </row>
    <row r="122" spans="1:8" ht="14.1" customHeight="1" x14ac:dyDescent="0.2">
      <c r="A122" s="1"/>
      <c r="B122" s="1"/>
      <c r="C122" s="2" t="s">
        <v>160</v>
      </c>
      <c r="D122" s="1"/>
      <c r="E122" s="1"/>
      <c r="F122" s="12"/>
      <c r="G122" s="12"/>
      <c r="H122" s="52"/>
    </row>
    <row r="123" spans="1:8" ht="14.1" customHeight="1" x14ac:dyDescent="0.2">
      <c r="A123" s="1"/>
      <c r="B123" s="1"/>
      <c r="C123" s="2" t="s">
        <v>145</v>
      </c>
      <c r="D123" s="1"/>
      <c r="E123" s="1" t="s">
        <v>146</v>
      </c>
      <c r="F123" s="13" t="s">
        <v>148</v>
      </c>
      <c r="G123" s="10">
        <v>0</v>
      </c>
      <c r="H123" s="52"/>
    </row>
    <row r="124" spans="1:8" ht="14.1" customHeight="1" x14ac:dyDescent="0.2">
      <c r="A124" s="1"/>
      <c r="B124" s="1"/>
      <c r="C124" s="11"/>
      <c r="D124" s="1"/>
      <c r="E124" s="1"/>
      <c r="F124" s="12"/>
      <c r="G124" s="12"/>
      <c r="H124" s="52"/>
    </row>
    <row r="125" spans="1:8" ht="14.1" customHeight="1" x14ac:dyDescent="0.2">
      <c r="A125" s="1"/>
      <c r="B125" s="1"/>
      <c r="C125" s="2" t="s">
        <v>161</v>
      </c>
      <c r="D125" s="1"/>
      <c r="E125" s="1"/>
      <c r="F125" s="12"/>
      <c r="G125" s="12"/>
      <c r="H125" s="52"/>
    </row>
    <row r="126" spans="1:8" ht="14.1" customHeight="1" x14ac:dyDescent="0.2">
      <c r="A126" s="1"/>
      <c r="B126" s="1"/>
      <c r="C126" s="2" t="s">
        <v>145</v>
      </c>
      <c r="D126" s="1"/>
      <c r="E126" s="1" t="s">
        <v>146</v>
      </c>
      <c r="F126" s="13" t="s">
        <v>148</v>
      </c>
      <c r="G126" s="10">
        <v>0</v>
      </c>
      <c r="H126" s="52"/>
    </row>
    <row r="127" spans="1:8" ht="14.1" customHeight="1" x14ac:dyDescent="0.2">
      <c r="A127" s="1"/>
      <c r="B127" s="1"/>
      <c r="C127" s="11"/>
      <c r="D127" s="1"/>
      <c r="E127" s="1"/>
      <c r="F127" s="12"/>
      <c r="G127" s="12"/>
      <c r="H127" s="52"/>
    </row>
    <row r="128" spans="1:8" ht="14.1" customHeight="1" x14ac:dyDescent="0.2">
      <c r="A128" s="1"/>
      <c r="B128" s="1"/>
      <c r="C128" s="2" t="s">
        <v>162</v>
      </c>
      <c r="D128" s="1"/>
      <c r="E128" s="1"/>
      <c r="F128" s="12"/>
      <c r="G128" s="12"/>
      <c r="H128" s="52"/>
    </row>
    <row r="129" spans="1:14" ht="14.1" customHeight="1" x14ac:dyDescent="0.2">
      <c r="A129" s="1"/>
      <c r="B129" s="1"/>
      <c r="C129" s="2" t="s">
        <v>145</v>
      </c>
      <c r="D129" s="1"/>
      <c r="E129" s="1" t="s">
        <v>146</v>
      </c>
      <c r="F129" s="13" t="s">
        <v>148</v>
      </c>
      <c r="G129" s="10">
        <v>0</v>
      </c>
      <c r="H129" s="52"/>
    </row>
    <row r="130" spans="1:14" ht="14.1" customHeight="1" x14ac:dyDescent="0.2">
      <c r="A130" s="1"/>
      <c r="B130" s="1"/>
      <c r="C130" s="11"/>
      <c r="D130" s="1"/>
      <c r="E130" s="1"/>
      <c r="F130" s="12"/>
      <c r="G130" s="12"/>
      <c r="H130" s="52"/>
    </row>
    <row r="131" spans="1:14" ht="14.1" customHeight="1" x14ac:dyDescent="0.2">
      <c r="A131" s="1"/>
      <c r="B131" s="1"/>
      <c r="C131" s="2" t="s">
        <v>163</v>
      </c>
      <c r="D131" s="1"/>
      <c r="E131" s="1"/>
      <c r="F131" s="12"/>
      <c r="G131" s="12"/>
      <c r="H131" s="52"/>
    </row>
    <row r="132" spans="1:14" ht="17.100000000000001" customHeight="1" x14ac:dyDescent="0.2">
      <c r="A132" s="3">
        <v>1</v>
      </c>
      <c r="B132" s="4"/>
      <c r="C132" s="4" t="s">
        <v>164</v>
      </c>
      <c r="D132" s="4"/>
      <c r="E132" s="8"/>
      <c r="F132" s="6">
        <v>15794.450749932001</v>
      </c>
      <c r="G132" s="7">
        <v>2.9727480000000001E-2</v>
      </c>
      <c r="H132" s="52">
        <v>6.7567375937238596</v>
      </c>
    </row>
    <row r="133" spans="1:14" ht="14.1" customHeight="1" x14ac:dyDescent="0.2">
      <c r="A133" s="1"/>
      <c r="B133" s="1"/>
      <c r="C133" s="2" t="s">
        <v>145</v>
      </c>
      <c r="D133" s="1"/>
      <c r="E133" s="1" t="s">
        <v>146</v>
      </c>
      <c r="F133" s="9">
        <v>15794.450749932001</v>
      </c>
      <c r="G133" s="10">
        <v>2.9727480000000001E-2</v>
      </c>
      <c r="H133" s="52"/>
    </row>
    <row r="134" spans="1:14" ht="14.1" customHeight="1" x14ac:dyDescent="0.2">
      <c r="A134" s="1"/>
      <c r="B134" s="1"/>
      <c r="C134" s="11"/>
      <c r="D134" s="1"/>
      <c r="E134" s="1"/>
      <c r="F134" s="12"/>
      <c r="G134" s="12"/>
      <c r="H134" s="52"/>
    </row>
    <row r="135" spans="1:14" ht="14.1" customHeight="1" x14ac:dyDescent="0.2">
      <c r="A135" s="1"/>
      <c r="B135" s="1"/>
      <c r="C135" s="2" t="s">
        <v>165</v>
      </c>
      <c r="D135" s="1"/>
      <c r="E135" s="1"/>
      <c r="F135" s="9">
        <v>15794.450749932001</v>
      </c>
      <c r="G135" s="10">
        <v>2.9727480000000001E-2</v>
      </c>
      <c r="H135" s="52"/>
    </row>
    <row r="136" spans="1:14" ht="14.1" customHeight="1" x14ac:dyDescent="0.2">
      <c r="A136" s="1"/>
      <c r="B136" s="1"/>
      <c r="C136" s="12"/>
      <c r="D136" s="1"/>
      <c r="E136" s="1"/>
      <c r="F136" s="1"/>
      <c r="G136" s="1"/>
      <c r="H136" s="52"/>
    </row>
    <row r="137" spans="1:14" ht="14.1" customHeight="1" x14ac:dyDescent="0.2">
      <c r="A137" s="1"/>
      <c r="B137" s="1"/>
      <c r="C137" s="2" t="s">
        <v>166</v>
      </c>
      <c r="D137" s="1"/>
      <c r="E137" s="1"/>
      <c r="F137" s="1"/>
      <c r="G137" s="1"/>
      <c r="H137" s="52"/>
      <c r="J137" s="104"/>
      <c r="K137" s="104"/>
      <c r="L137" s="104"/>
      <c r="M137" s="104"/>
      <c r="N137" s="104"/>
    </row>
    <row r="138" spans="1:14" ht="14.1" customHeight="1" x14ac:dyDescent="0.2">
      <c r="A138" s="1"/>
      <c r="B138" s="1"/>
      <c r="C138" s="2" t="s">
        <v>167</v>
      </c>
      <c r="D138" s="1"/>
      <c r="E138" s="1"/>
      <c r="F138" s="1"/>
      <c r="G138" s="1"/>
      <c r="H138" s="52"/>
    </row>
    <row r="139" spans="1:14" ht="14.1" customHeight="1" x14ac:dyDescent="0.2">
      <c r="A139" s="1"/>
      <c r="B139" s="1"/>
      <c r="C139" s="2" t="s">
        <v>145</v>
      </c>
      <c r="D139" s="1"/>
      <c r="E139" s="1" t="s">
        <v>146</v>
      </c>
      <c r="F139" s="13" t="s">
        <v>148</v>
      </c>
      <c r="G139" s="10">
        <v>0</v>
      </c>
      <c r="H139" s="52"/>
    </row>
    <row r="140" spans="1:14" ht="14.1" customHeight="1" x14ac:dyDescent="0.2">
      <c r="A140" s="1"/>
      <c r="B140" s="1"/>
      <c r="C140" s="11"/>
      <c r="D140" s="1"/>
      <c r="E140" s="1"/>
      <c r="F140" s="12"/>
      <c r="G140" s="12"/>
      <c r="H140" s="52"/>
    </row>
    <row r="141" spans="1:14" ht="14.1" customHeight="1" x14ac:dyDescent="0.2">
      <c r="A141" s="1"/>
      <c r="B141" s="1"/>
      <c r="C141" s="2" t="s">
        <v>168</v>
      </c>
      <c r="D141" s="1"/>
      <c r="E141" s="1"/>
      <c r="F141" s="1"/>
      <c r="G141" s="1"/>
      <c r="H141" s="52"/>
    </row>
    <row r="142" spans="1:14" ht="14.1" customHeight="1" x14ac:dyDescent="0.2">
      <c r="A142" s="1"/>
      <c r="B142" s="1"/>
      <c r="C142" s="2" t="s">
        <v>169</v>
      </c>
      <c r="D142" s="1"/>
      <c r="E142" s="1"/>
      <c r="F142" s="1"/>
      <c r="G142" s="1"/>
      <c r="H142" s="52"/>
    </row>
    <row r="143" spans="1:14" ht="14.1" customHeight="1" x14ac:dyDescent="0.2">
      <c r="A143" s="1"/>
      <c r="B143" s="1"/>
      <c r="C143" s="2" t="s">
        <v>145</v>
      </c>
      <c r="D143" s="1"/>
      <c r="E143" s="1" t="s">
        <v>146</v>
      </c>
      <c r="F143" s="13" t="s">
        <v>148</v>
      </c>
      <c r="G143" s="10">
        <v>0</v>
      </c>
      <c r="H143" s="52"/>
    </row>
    <row r="144" spans="1:14" ht="14.1" customHeight="1" x14ac:dyDescent="0.2">
      <c r="A144" s="1"/>
      <c r="B144" s="1"/>
      <c r="C144" s="11"/>
      <c r="D144" s="1"/>
      <c r="E144" s="1"/>
      <c r="F144" s="12"/>
      <c r="G144" s="12"/>
      <c r="H144" s="52"/>
    </row>
    <row r="145" spans="1:8" ht="24" customHeight="1" x14ac:dyDescent="0.2">
      <c r="A145" s="1"/>
      <c r="B145" s="1"/>
      <c r="C145" s="2" t="s">
        <v>170</v>
      </c>
      <c r="D145" s="1"/>
      <c r="E145" s="1"/>
      <c r="F145" s="12"/>
      <c r="G145" s="12"/>
      <c r="H145" s="52"/>
    </row>
    <row r="146" spans="1:8" ht="14.1" customHeight="1" x14ac:dyDescent="0.2">
      <c r="A146" s="1"/>
      <c r="B146" s="1"/>
      <c r="C146" s="2" t="s">
        <v>145</v>
      </c>
      <c r="D146" s="1"/>
      <c r="E146" s="1" t="s">
        <v>146</v>
      </c>
      <c r="F146" s="13" t="s">
        <v>148</v>
      </c>
      <c r="G146" s="10">
        <v>0</v>
      </c>
      <c r="H146" s="52"/>
    </row>
    <row r="147" spans="1:8" ht="14.1" customHeight="1" x14ac:dyDescent="0.2">
      <c r="A147" s="1"/>
      <c r="B147" s="1"/>
      <c r="C147" s="11"/>
      <c r="D147" s="1"/>
      <c r="E147" s="1"/>
      <c r="F147" s="12"/>
      <c r="G147" s="12"/>
      <c r="H147" s="52"/>
    </row>
    <row r="148" spans="1:8" ht="14.1" customHeight="1" x14ac:dyDescent="0.2">
      <c r="A148" s="1"/>
      <c r="B148" s="4"/>
      <c r="C148" s="4"/>
      <c r="D148" s="2"/>
      <c r="E148" s="1"/>
      <c r="F148" s="4"/>
      <c r="G148" s="8"/>
      <c r="H148" s="52"/>
    </row>
    <row r="149" spans="1:8" ht="18" customHeight="1" x14ac:dyDescent="0.2">
      <c r="A149" s="8"/>
      <c r="B149" s="4"/>
      <c r="C149" s="4" t="s">
        <v>171</v>
      </c>
      <c r="D149" s="4"/>
      <c r="E149" s="8"/>
      <c r="F149" s="6">
        <v>-1347.7130234399999</v>
      </c>
      <c r="G149" s="7">
        <v>-2.53659E-3</v>
      </c>
      <c r="H149" s="52"/>
    </row>
    <row r="150" spans="1:8" ht="14.1" customHeight="1" x14ac:dyDescent="0.2">
      <c r="A150" s="11"/>
      <c r="B150" s="11"/>
      <c r="C150" s="2" t="s">
        <v>172</v>
      </c>
      <c r="D150" s="12"/>
      <c r="E150" s="12"/>
      <c r="F150" s="9">
        <v>531308.16008399206</v>
      </c>
      <c r="G150" s="14">
        <v>1.00000007</v>
      </c>
      <c r="H150" s="52"/>
    </row>
    <row r="151" spans="1:8" ht="14.1" customHeight="1" x14ac:dyDescent="0.2">
      <c r="A151" s="15"/>
      <c r="B151" s="15"/>
      <c r="C151" s="15"/>
      <c r="D151" s="16"/>
      <c r="E151" s="16"/>
      <c r="F151" s="16"/>
      <c r="G151" s="16"/>
    </row>
    <row r="152" spans="1:8" ht="14.1" customHeight="1" x14ac:dyDescent="0.2">
      <c r="A152" s="17"/>
      <c r="B152" s="17"/>
      <c r="C152" s="17"/>
      <c r="D152" s="19"/>
      <c r="E152" s="19"/>
      <c r="F152" s="19"/>
      <c r="G152" s="19"/>
    </row>
    <row r="153" spans="1:8" ht="14.1" customHeight="1" x14ac:dyDescent="0.2">
      <c r="A153" s="17"/>
      <c r="B153" s="127" t="s">
        <v>174</v>
      </c>
      <c r="C153" s="128"/>
      <c r="D153" s="129"/>
      <c r="E153" s="20"/>
      <c r="F153" s="19"/>
      <c r="G153" s="19"/>
    </row>
    <row r="154" spans="1:8" ht="29.1" customHeight="1" x14ac:dyDescent="0.2">
      <c r="A154" s="17"/>
      <c r="B154" s="121" t="s">
        <v>175</v>
      </c>
      <c r="C154" s="122"/>
      <c r="D154" s="2" t="s">
        <v>176</v>
      </c>
      <c r="E154" s="20"/>
      <c r="F154" s="19"/>
      <c r="G154" s="19"/>
    </row>
    <row r="155" spans="1:8" ht="17.100000000000001" customHeight="1" x14ac:dyDescent="0.2">
      <c r="A155" s="17"/>
      <c r="B155" s="121" t="s">
        <v>177</v>
      </c>
      <c r="C155" s="122"/>
      <c r="D155" s="2" t="s">
        <v>176</v>
      </c>
      <c r="E155" s="20"/>
      <c r="F155" s="19"/>
      <c r="G155" s="19"/>
    </row>
    <row r="156" spans="1:8" ht="17.100000000000001" customHeight="1" x14ac:dyDescent="0.2">
      <c r="A156" s="17"/>
      <c r="B156" s="121" t="s">
        <v>178</v>
      </c>
      <c r="C156" s="122"/>
      <c r="D156" s="12" t="s">
        <v>146</v>
      </c>
      <c r="E156" s="20"/>
      <c r="F156" s="19"/>
      <c r="G156" s="19"/>
    </row>
    <row r="157" spans="1:8" ht="24" customHeight="1" x14ac:dyDescent="0.2">
      <c r="A157" s="21"/>
      <c r="B157" s="22" t="s">
        <v>146</v>
      </c>
      <c r="C157" s="22" t="s">
        <v>179</v>
      </c>
      <c r="D157" s="22" t="s">
        <v>180</v>
      </c>
      <c r="E157" s="21"/>
      <c r="F157" s="21"/>
      <c r="G157" s="21"/>
    </row>
    <row r="158" spans="1:8" ht="18" customHeight="1" x14ac:dyDescent="0.2">
      <c r="A158" s="21"/>
      <c r="B158" s="23" t="s">
        <v>181</v>
      </c>
      <c r="C158" s="22" t="s">
        <v>182</v>
      </c>
      <c r="D158" s="22" t="s">
        <v>183</v>
      </c>
      <c r="E158" s="21"/>
      <c r="F158" s="21"/>
      <c r="G158" s="21"/>
    </row>
    <row r="159" spans="1:8" ht="17.100000000000001" customHeight="1" x14ac:dyDescent="0.2">
      <c r="A159" s="21"/>
      <c r="B159" s="4" t="s">
        <v>184</v>
      </c>
      <c r="C159" s="24">
        <v>69.589500000000001</v>
      </c>
      <c r="D159" s="24">
        <v>67.232900000000001</v>
      </c>
      <c r="E159" s="21"/>
      <c r="F159" s="18"/>
      <c r="G159" s="25"/>
    </row>
    <row r="160" spans="1:8" ht="17.100000000000001" customHeight="1" x14ac:dyDescent="0.2">
      <c r="A160" s="21"/>
      <c r="B160" s="4" t="s">
        <v>1039</v>
      </c>
      <c r="C160" s="24">
        <v>29.952500000000001</v>
      </c>
      <c r="D160" s="24">
        <v>26.8505</v>
      </c>
      <c r="E160" s="21"/>
      <c r="F160" s="18"/>
      <c r="G160" s="25"/>
    </row>
    <row r="161" spans="1:7" ht="17.100000000000001" customHeight="1" x14ac:dyDescent="0.2">
      <c r="A161" s="21"/>
      <c r="B161" s="4" t="s">
        <v>185</v>
      </c>
      <c r="C161" s="24">
        <v>63.067</v>
      </c>
      <c r="D161" s="24">
        <v>60.874600000000001</v>
      </c>
      <c r="E161" s="21"/>
      <c r="F161" s="18"/>
      <c r="G161" s="25"/>
    </row>
    <row r="162" spans="1:7" ht="17.100000000000001" customHeight="1" x14ac:dyDescent="0.2">
      <c r="A162" s="21"/>
      <c r="B162" s="4" t="s">
        <v>1040</v>
      </c>
      <c r="C162" s="24">
        <v>26.573499999999999</v>
      </c>
      <c r="D162" s="24">
        <v>23.798300000000001</v>
      </c>
      <c r="E162" s="21"/>
      <c r="F162" s="18"/>
      <c r="G162" s="25"/>
    </row>
    <row r="163" spans="1:7" ht="14.1" customHeight="1" x14ac:dyDescent="0.2">
      <c r="A163" s="21"/>
      <c r="B163" s="21"/>
      <c r="C163" s="21"/>
      <c r="D163" s="21"/>
      <c r="E163" s="21"/>
      <c r="F163" s="21"/>
      <c r="G163" s="21"/>
    </row>
    <row r="164" spans="1:7" ht="17.100000000000001" customHeight="1" x14ac:dyDescent="0.2">
      <c r="A164" s="21"/>
      <c r="B164" s="121" t="s">
        <v>1041</v>
      </c>
      <c r="C164" s="122"/>
      <c r="D164" s="2" t="s">
        <v>146</v>
      </c>
      <c r="E164" s="21"/>
      <c r="F164" s="21"/>
      <c r="G164" s="21"/>
    </row>
    <row r="165" spans="1:7" ht="18" customHeight="1" x14ac:dyDescent="0.2">
      <c r="A165" s="21"/>
      <c r="B165" s="28" t="s">
        <v>181</v>
      </c>
      <c r="C165" s="29" t="s">
        <v>316</v>
      </c>
      <c r="D165" s="29" t="s">
        <v>317</v>
      </c>
      <c r="E165" s="21"/>
      <c r="F165" s="21"/>
      <c r="G165" s="21"/>
    </row>
    <row r="166" spans="1:7" ht="17.100000000000001" customHeight="1" x14ac:dyDescent="0.2">
      <c r="A166" s="21"/>
      <c r="B166" s="4" t="s">
        <v>1039</v>
      </c>
      <c r="C166" s="30">
        <v>2.0870000000000002</v>
      </c>
      <c r="D166" s="30">
        <v>2.0870000000000002</v>
      </c>
      <c r="E166" s="21"/>
      <c r="F166" s="18"/>
      <c r="G166" s="25"/>
    </row>
    <row r="167" spans="1:7" ht="17.100000000000001" customHeight="1" x14ac:dyDescent="0.2">
      <c r="A167" s="21"/>
      <c r="B167" s="4" t="s">
        <v>1040</v>
      </c>
      <c r="C167" s="30">
        <v>1.851</v>
      </c>
      <c r="D167" s="30">
        <v>1.851</v>
      </c>
      <c r="E167" s="21"/>
      <c r="F167" s="18"/>
      <c r="G167" s="25"/>
    </row>
    <row r="168" spans="1:7" ht="14.1" customHeight="1" x14ac:dyDescent="0.2">
      <c r="A168" s="21"/>
      <c r="B168" s="31"/>
      <c r="C168" s="31"/>
      <c r="D168" s="32"/>
      <c r="E168" s="21"/>
      <c r="F168" s="18"/>
      <c r="G168" s="25"/>
    </row>
    <row r="169" spans="1:7" ht="14.1" customHeight="1" x14ac:dyDescent="0.2">
      <c r="A169" s="21"/>
      <c r="B169" s="18"/>
      <c r="C169" s="18"/>
      <c r="D169" s="21"/>
      <c r="E169" s="21"/>
      <c r="F169" s="21"/>
      <c r="G169" s="21"/>
    </row>
    <row r="170" spans="1:7" ht="29.1" customHeight="1" x14ac:dyDescent="0.2">
      <c r="A170" s="21"/>
      <c r="B170" s="121" t="s">
        <v>186</v>
      </c>
      <c r="C170" s="122"/>
      <c r="D170" s="2" t="s">
        <v>176</v>
      </c>
      <c r="E170" s="27"/>
      <c r="F170" s="21"/>
      <c r="G170" s="21"/>
    </row>
    <row r="171" spans="1:7" ht="29.1" customHeight="1" x14ac:dyDescent="0.2">
      <c r="A171" s="21"/>
      <c r="B171" s="121" t="s">
        <v>187</v>
      </c>
      <c r="C171" s="122"/>
      <c r="D171" s="2" t="s">
        <v>176</v>
      </c>
      <c r="E171" s="27"/>
      <c r="F171" s="21"/>
      <c r="G171" s="21"/>
    </row>
    <row r="172" spans="1:7" ht="17.100000000000001" customHeight="1" x14ac:dyDescent="0.2">
      <c r="A172" s="21"/>
      <c r="B172" s="121" t="s">
        <v>188</v>
      </c>
      <c r="C172" s="122"/>
      <c r="D172" s="2" t="s">
        <v>176</v>
      </c>
      <c r="E172" s="27"/>
      <c r="F172" s="21"/>
      <c r="G172" s="21"/>
    </row>
    <row r="173" spans="1:7" ht="17.100000000000001" customHeight="1" x14ac:dyDescent="0.2">
      <c r="A173" s="21"/>
      <c r="B173" s="121" t="s">
        <v>189</v>
      </c>
      <c r="C173" s="122"/>
      <c r="D173" s="50">
        <v>0.32800943995862408</v>
      </c>
      <c r="E173" s="21"/>
      <c r="F173" s="18"/>
      <c r="G173" s="25"/>
    </row>
  </sheetData>
  <mergeCells count="13">
    <mergeCell ref="A1:H1"/>
    <mergeCell ref="A2:H2"/>
    <mergeCell ref="A3:H3"/>
    <mergeCell ref="J2:N2"/>
    <mergeCell ref="B173:C173"/>
    <mergeCell ref="B155:C155"/>
    <mergeCell ref="B156:C156"/>
    <mergeCell ref="B164:C164"/>
    <mergeCell ref="B170:C170"/>
    <mergeCell ref="B171:C171"/>
    <mergeCell ref="B172:C172"/>
    <mergeCell ref="B154:C154"/>
    <mergeCell ref="B153:D153"/>
  </mergeCells>
  <hyperlinks>
    <hyperlink ref="I1" location="Index!B5" display="Index" xr:uid="{0A638D97-0C61-48AE-8E70-714FB8E79792}"/>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N158"/>
  <sheetViews>
    <sheetView showGridLines="0" workbookViewId="0">
      <selection activeCell="I1" sqref="I1"/>
    </sheetView>
  </sheetViews>
  <sheetFormatPr defaultRowHeight="12.75" x14ac:dyDescent="0.2"/>
  <cols>
    <col min="1" max="1" width="6.85546875" customWidth="1"/>
    <col min="2" max="2" width="20.5703125" customWidth="1"/>
    <col min="3" max="3" width="35.28515625" customWidth="1"/>
    <col min="4" max="4" width="17.85546875" customWidth="1"/>
    <col min="5" max="6" width="19.140625" customWidth="1"/>
    <col min="7" max="7" width="16.42578125" customWidth="1"/>
  </cols>
  <sheetData>
    <row r="1" spans="1:14" ht="18" customHeight="1" x14ac:dyDescent="0.2">
      <c r="A1" s="116" t="s">
        <v>0</v>
      </c>
      <c r="B1" s="116"/>
      <c r="C1" s="116"/>
      <c r="D1" s="116"/>
      <c r="E1" s="116"/>
      <c r="F1" s="116"/>
      <c r="G1" s="116"/>
      <c r="H1" s="116"/>
      <c r="I1" s="98" t="s">
        <v>1053</v>
      </c>
    </row>
    <row r="2" spans="1:14" ht="17.100000000000001" customHeight="1" x14ac:dyDescent="0.2">
      <c r="A2" s="117" t="s">
        <v>396</v>
      </c>
      <c r="B2" s="118"/>
      <c r="C2" s="118"/>
      <c r="D2" s="118"/>
      <c r="E2" s="118"/>
      <c r="F2" s="118"/>
      <c r="G2" s="118"/>
      <c r="H2" s="119"/>
      <c r="J2" s="120" t="s">
        <v>1054</v>
      </c>
      <c r="K2" s="120"/>
      <c r="L2" s="120"/>
      <c r="M2" s="120"/>
      <c r="N2" s="120"/>
    </row>
    <row r="3" spans="1:14" ht="21" customHeight="1" x14ac:dyDescent="0.2">
      <c r="A3" s="116" t="s">
        <v>1049</v>
      </c>
      <c r="B3" s="116"/>
      <c r="C3" s="116"/>
      <c r="D3" s="116"/>
      <c r="E3" s="116"/>
      <c r="F3" s="116"/>
      <c r="G3" s="116"/>
      <c r="H3" s="116"/>
    </row>
    <row r="4" spans="1:14" ht="30" x14ac:dyDescent="0.2">
      <c r="A4" s="96" t="s">
        <v>2</v>
      </c>
      <c r="B4" s="96" t="s">
        <v>3</v>
      </c>
      <c r="C4" s="96" t="s">
        <v>4</v>
      </c>
      <c r="D4" s="96" t="s">
        <v>5</v>
      </c>
      <c r="E4" s="96" t="s">
        <v>6</v>
      </c>
      <c r="F4" s="96" t="s">
        <v>7</v>
      </c>
      <c r="G4" s="96" t="s">
        <v>8</v>
      </c>
      <c r="H4" s="51" t="s">
        <v>1002</v>
      </c>
      <c r="I4" s="99"/>
      <c r="J4" s="99"/>
      <c r="K4" s="99"/>
      <c r="L4" s="99"/>
      <c r="M4" s="99"/>
      <c r="N4" s="99"/>
    </row>
    <row r="5" spans="1:14" ht="14.1" customHeight="1" x14ac:dyDescent="0.2">
      <c r="A5" s="1"/>
      <c r="B5" s="1"/>
      <c r="C5" s="2" t="s">
        <v>9</v>
      </c>
      <c r="D5" s="1"/>
      <c r="E5" s="1"/>
      <c r="F5" s="1"/>
      <c r="G5" s="1"/>
      <c r="H5" s="52"/>
    </row>
    <row r="6" spans="1:14" ht="24" customHeight="1" x14ac:dyDescent="0.2">
      <c r="A6" s="1"/>
      <c r="B6" s="1"/>
      <c r="C6" s="2" t="s">
        <v>10</v>
      </c>
      <c r="D6" s="1"/>
      <c r="E6" s="1"/>
      <c r="F6" s="1"/>
      <c r="G6" s="1"/>
      <c r="H6" s="52"/>
    </row>
    <row r="7" spans="1:14" ht="17.100000000000001" customHeight="1" x14ac:dyDescent="0.2">
      <c r="A7" s="3">
        <v>1</v>
      </c>
      <c r="B7" s="4" t="s">
        <v>32</v>
      </c>
      <c r="C7" s="4" t="s">
        <v>33</v>
      </c>
      <c r="D7" s="4" t="s">
        <v>31</v>
      </c>
      <c r="E7" s="5">
        <v>5488</v>
      </c>
      <c r="F7" s="6">
        <v>168.02060800000001</v>
      </c>
      <c r="G7" s="7">
        <v>4.9882889999999999E-2</v>
      </c>
      <c r="H7" s="52"/>
    </row>
    <row r="8" spans="1:14" ht="17.100000000000001" customHeight="1" x14ac:dyDescent="0.2">
      <c r="A8" s="3">
        <v>2</v>
      </c>
      <c r="B8" s="4" t="s">
        <v>397</v>
      </c>
      <c r="C8" s="4" t="s">
        <v>398</v>
      </c>
      <c r="D8" s="4" t="s">
        <v>60</v>
      </c>
      <c r="E8" s="5">
        <v>3942</v>
      </c>
      <c r="F8" s="6">
        <v>162.96622199999999</v>
      </c>
      <c r="G8" s="7">
        <v>4.8382309999999998E-2</v>
      </c>
      <c r="H8" s="52"/>
    </row>
    <row r="9" spans="1:14" ht="17.100000000000001" customHeight="1" x14ac:dyDescent="0.2">
      <c r="A9" s="3">
        <v>3</v>
      </c>
      <c r="B9" s="4" t="s">
        <v>48</v>
      </c>
      <c r="C9" s="4" t="s">
        <v>49</v>
      </c>
      <c r="D9" s="4" t="s">
        <v>31</v>
      </c>
      <c r="E9" s="5">
        <v>6058</v>
      </c>
      <c r="F9" s="6">
        <v>145.53739200000001</v>
      </c>
      <c r="G9" s="7">
        <v>4.3207950000000002E-2</v>
      </c>
      <c r="H9" s="52"/>
    </row>
    <row r="10" spans="1:14" ht="17.100000000000001" customHeight="1" x14ac:dyDescent="0.2">
      <c r="A10" s="3">
        <v>4</v>
      </c>
      <c r="B10" s="4" t="s">
        <v>399</v>
      </c>
      <c r="C10" s="4" t="s">
        <v>400</v>
      </c>
      <c r="D10" s="4" t="s">
        <v>28</v>
      </c>
      <c r="E10" s="5">
        <v>152433</v>
      </c>
      <c r="F10" s="6">
        <v>141.3816075</v>
      </c>
      <c r="G10" s="7">
        <v>4.1974150000000002E-2</v>
      </c>
      <c r="H10" s="52"/>
    </row>
    <row r="11" spans="1:14" ht="17.100000000000001" customHeight="1" x14ac:dyDescent="0.2">
      <c r="A11" s="3">
        <v>5</v>
      </c>
      <c r="B11" s="4" t="s">
        <v>125</v>
      </c>
      <c r="C11" s="4" t="s">
        <v>126</v>
      </c>
      <c r="D11" s="4" t="s">
        <v>60</v>
      </c>
      <c r="E11" s="5">
        <v>37034</v>
      </c>
      <c r="F11" s="6">
        <v>131.118877</v>
      </c>
      <c r="G11" s="7">
        <v>3.8927299999999998E-2</v>
      </c>
      <c r="H11" s="52"/>
    </row>
    <row r="12" spans="1:14" ht="17.100000000000001" customHeight="1" x14ac:dyDescent="0.2">
      <c r="A12" s="3">
        <v>6</v>
      </c>
      <c r="B12" s="4" t="s">
        <v>212</v>
      </c>
      <c r="C12" s="4" t="s">
        <v>213</v>
      </c>
      <c r="D12" s="4" t="s">
        <v>888</v>
      </c>
      <c r="E12" s="5">
        <v>1751</v>
      </c>
      <c r="F12" s="6">
        <v>107.86510199999999</v>
      </c>
      <c r="G12" s="7">
        <v>3.2023589999999998E-2</v>
      </c>
      <c r="H12" s="52"/>
    </row>
    <row r="13" spans="1:14" ht="17.100000000000001" customHeight="1" x14ac:dyDescent="0.2">
      <c r="A13" s="3">
        <v>7</v>
      </c>
      <c r="B13" s="4" t="s">
        <v>355</v>
      </c>
      <c r="C13" s="4" t="s">
        <v>356</v>
      </c>
      <c r="D13" s="4" t="s">
        <v>357</v>
      </c>
      <c r="E13" s="5">
        <v>4536</v>
      </c>
      <c r="F13" s="6">
        <v>105.729624</v>
      </c>
      <c r="G13" s="7">
        <v>3.1389599999999997E-2</v>
      </c>
      <c r="H13" s="52"/>
      <c r="J13" s="101" t="s">
        <v>1061</v>
      </c>
    </row>
    <row r="14" spans="1:14" ht="17.100000000000001" customHeight="1" x14ac:dyDescent="0.2">
      <c r="A14" s="3">
        <v>8</v>
      </c>
      <c r="B14" s="4" t="s">
        <v>401</v>
      </c>
      <c r="C14" s="4" t="s">
        <v>402</v>
      </c>
      <c r="D14" s="4" t="s">
        <v>259</v>
      </c>
      <c r="E14" s="5">
        <v>6041</v>
      </c>
      <c r="F14" s="6">
        <v>96.550282499999994</v>
      </c>
      <c r="G14" s="7">
        <v>2.866438E-2</v>
      </c>
      <c r="H14" s="52"/>
    </row>
    <row r="15" spans="1:14" ht="17.100000000000001" customHeight="1" x14ac:dyDescent="0.2">
      <c r="A15" s="3">
        <v>9</v>
      </c>
      <c r="B15" s="4" t="s">
        <v>403</v>
      </c>
      <c r="C15" s="4" t="s">
        <v>404</v>
      </c>
      <c r="D15" s="4" t="s">
        <v>31</v>
      </c>
      <c r="E15" s="5">
        <v>8019</v>
      </c>
      <c r="F15" s="6">
        <v>96.0716295</v>
      </c>
      <c r="G15" s="7">
        <v>2.8522280000000001E-2</v>
      </c>
      <c r="H15" s="52"/>
    </row>
    <row r="16" spans="1:14" ht="17.100000000000001" customHeight="1" x14ac:dyDescent="0.2">
      <c r="A16" s="3">
        <v>10</v>
      </c>
      <c r="B16" s="4" t="s">
        <v>405</v>
      </c>
      <c r="C16" s="4" t="s">
        <v>406</v>
      </c>
      <c r="D16" s="4" t="s">
        <v>357</v>
      </c>
      <c r="E16" s="5">
        <v>3672</v>
      </c>
      <c r="F16" s="6">
        <v>94.809203999999994</v>
      </c>
      <c r="G16" s="7">
        <v>2.8147479999999999E-2</v>
      </c>
      <c r="H16" s="52"/>
    </row>
    <row r="17" spans="1:8" ht="17.100000000000001" customHeight="1" x14ac:dyDescent="0.2">
      <c r="A17" s="3">
        <v>11</v>
      </c>
      <c r="B17" s="4" t="s">
        <v>407</v>
      </c>
      <c r="C17" s="4" t="s">
        <v>408</v>
      </c>
      <c r="D17" s="4" t="s">
        <v>13</v>
      </c>
      <c r="E17" s="5">
        <v>70325</v>
      </c>
      <c r="F17" s="6">
        <v>91.387337500000001</v>
      </c>
      <c r="G17" s="7">
        <v>2.7131579999999999E-2</v>
      </c>
      <c r="H17" s="52"/>
    </row>
    <row r="18" spans="1:8" ht="17.100000000000001" customHeight="1" x14ac:dyDescent="0.2">
      <c r="A18" s="3">
        <v>12</v>
      </c>
      <c r="B18" s="4" t="s">
        <v>409</v>
      </c>
      <c r="C18" s="4" t="s">
        <v>410</v>
      </c>
      <c r="D18" s="4" t="s">
        <v>205</v>
      </c>
      <c r="E18" s="5">
        <v>24416</v>
      </c>
      <c r="F18" s="6">
        <v>90.449072000000001</v>
      </c>
      <c r="G18" s="7">
        <v>2.6853019999999998E-2</v>
      </c>
      <c r="H18" s="52"/>
    </row>
    <row r="19" spans="1:8" ht="17.100000000000001" customHeight="1" x14ac:dyDescent="0.2">
      <c r="A19" s="3">
        <v>13</v>
      </c>
      <c r="B19" s="4" t="s">
        <v>411</v>
      </c>
      <c r="C19" s="4" t="s">
        <v>412</v>
      </c>
      <c r="D19" s="4" t="s">
        <v>70</v>
      </c>
      <c r="E19" s="5">
        <v>11094</v>
      </c>
      <c r="F19" s="6">
        <v>84.697142999999997</v>
      </c>
      <c r="G19" s="7">
        <v>2.5145359999999999E-2</v>
      </c>
      <c r="H19" s="52"/>
    </row>
    <row r="20" spans="1:8" ht="29.1" customHeight="1" x14ac:dyDescent="0.2">
      <c r="A20" s="3">
        <v>14</v>
      </c>
      <c r="B20" s="4" t="s">
        <v>413</v>
      </c>
      <c r="C20" s="4" t="s">
        <v>414</v>
      </c>
      <c r="D20" s="4" t="s">
        <v>226</v>
      </c>
      <c r="E20" s="5">
        <v>5362</v>
      </c>
      <c r="F20" s="6">
        <v>74.974164999999999</v>
      </c>
      <c r="G20" s="7">
        <v>2.2258750000000001E-2</v>
      </c>
      <c r="H20" s="52"/>
    </row>
    <row r="21" spans="1:8" ht="17.100000000000001" customHeight="1" x14ac:dyDescent="0.2">
      <c r="A21" s="3">
        <v>15</v>
      </c>
      <c r="B21" s="4" t="s">
        <v>415</v>
      </c>
      <c r="C21" s="4" t="s">
        <v>416</v>
      </c>
      <c r="D21" s="4" t="s">
        <v>70</v>
      </c>
      <c r="E21" s="5">
        <v>4638</v>
      </c>
      <c r="F21" s="6">
        <v>74.078136000000001</v>
      </c>
      <c r="G21" s="7">
        <v>2.1992729999999999E-2</v>
      </c>
      <c r="H21" s="52"/>
    </row>
    <row r="22" spans="1:8" ht="17.100000000000001" customHeight="1" x14ac:dyDescent="0.2">
      <c r="A22" s="3">
        <v>16</v>
      </c>
      <c r="B22" s="4" t="s">
        <v>417</v>
      </c>
      <c r="C22" s="4" t="s">
        <v>418</v>
      </c>
      <c r="D22" s="4" t="s">
        <v>231</v>
      </c>
      <c r="E22" s="5">
        <v>5630</v>
      </c>
      <c r="F22" s="6">
        <v>72.933835000000002</v>
      </c>
      <c r="G22" s="7">
        <v>2.1652999999999999E-2</v>
      </c>
      <c r="H22" s="52"/>
    </row>
    <row r="23" spans="1:8" ht="17.100000000000001" customHeight="1" x14ac:dyDescent="0.2">
      <c r="A23" s="3">
        <v>17</v>
      </c>
      <c r="B23" s="4" t="s">
        <v>419</v>
      </c>
      <c r="C23" s="4" t="s">
        <v>420</v>
      </c>
      <c r="D23" s="4" t="s">
        <v>70</v>
      </c>
      <c r="E23" s="5">
        <v>59081</v>
      </c>
      <c r="F23" s="6">
        <v>67.647745</v>
      </c>
      <c r="G23" s="7">
        <v>2.008364E-2</v>
      </c>
      <c r="H23" s="52"/>
    </row>
    <row r="24" spans="1:8" ht="17.100000000000001" customHeight="1" x14ac:dyDescent="0.2">
      <c r="A24" s="3">
        <v>18</v>
      </c>
      <c r="B24" s="4" t="s">
        <v>421</v>
      </c>
      <c r="C24" s="4" t="s">
        <v>422</v>
      </c>
      <c r="D24" s="4" t="s">
        <v>60</v>
      </c>
      <c r="E24" s="5">
        <v>6126</v>
      </c>
      <c r="F24" s="6">
        <v>66.491603999999995</v>
      </c>
      <c r="G24" s="7">
        <v>1.9740400000000002E-2</v>
      </c>
      <c r="H24" s="52"/>
    </row>
    <row r="25" spans="1:8" ht="17.100000000000001" customHeight="1" x14ac:dyDescent="0.2">
      <c r="A25" s="3">
        <v>19</v>
      </c>
      <c r="B25" s="4" t="s">
        <v>423</v>
      </c>
      <c r="C25" s="4" t="s">
        <v>424</v>
      </c>
      <c r="D25" s="4" t="s">
        <v>242</v>
      </c>
      <c r="E25" s="5">
        <v>28888</v>
      </c>
      <c r="F25" s="6">
        <v>64.766896000000003</v>
      </c>
      <c r="G25" s="7">
        <v>1.9228350000000002E-2</v>
      </c>
      <c r="H25" s="52"/>
    </row>
    <row r="26" spans="1:8" ht="17.100000000000001" customHeight="1" x14ac:dyDescent="0.2">
      <c r="A26" s="3">
        <v>20</v>
      </c>
      <c r="B26" s="4" t="s">
        <v>425</v>
      </c>
      <c r="C26" s="4" t="s">
        <v>426</v>
      </c>
      <c r="D26" s="4" t="s">
        <v>231</v>
      </c>
      <c r="E26" s="5">
        <v>8151</v>
      </c>
      <c r="F26" s="6">
        <v>64.686335999999997</v>
      </c>
      <c r="G26" s="7">
        <v>1.920444E-2</v>
      </c>
      <c r="H26" s="52"/>
    </row>
    <row r="27" spans="1:8" ht="29.1" customHeight="1" x14ac:dyDescent="0.2">
      <c r="A27" s="3">
        <v>21</v>
      </c>
      <c r="B27" s="4" t="s">
        <v>119</v>
      </c>
      <c r="C27" s="4" t="s">
        <v>120</v>
      </c>
      <c r="D27" s="4" t="s">
        <v>36</v>
      </c>
      <c r="E27" s="5">
        <v>2627</v>
      </c>
      <c r="F27" s="6">
        <v>64.068589500000002</v>
      </c>
      <c r="G27" s="7">
        <v>1.9021039999999999E-2</v>
      </c>
      <c r="H27" s="52"/>
    </row>
    <row r="28" spans="1:8" ht="29.1" customHeight="1" x14ac:dyDescent="0.2">
      <c r="A28" s="3">
        <v>22</v>
      </c>
      <c r="B28" s="4" t="s">
        <v>214</v>
      </c>
      <c r="C28" s="4" t="s">
        <v>215</v>
      </c>
      <c r="D28" s="4" t="s">
        <v>216</v>
      </c>
      <c r="E28" s="5">
        <v>1842</v>
      </c>
      <c r="F28" s="6">
        <v>63.332565000000002</v>
      </c>
      <c r="G28" s="7">
        <v>1.880252E-2</v>
      </c>
      <c r="H28" s="52"/>
    </row>
    <row r="29" spans="1:8" ht="17.100000000000001" customHeight="1" x14ac:dyDescent="0.2">
      <c r="A29" s="3">
        <v>23</v>
      </c>
      <c r="B29" s="4" t="s">
        <v>427</v>
      </c>
      <c r="C29" s="4" t="s">
        <v>428</v>
      </c>
      <c r="D29" s="4" t="s">
        <v>93</v>
      </c>
      <c r="E29" s="5">
        <v>3479</v>
      </c>
      <c r="F29" s="6">
        <v>63.156026500000003</v>
      </c>
      <c r="G29" s="7">
        <v>1.875011E-2</v>
      </c>
      <c r="H29" s="52"/>
    </row>
    <row r="30" spans="1:8" ht="17.100000000000001" customHeight="1" x14ac:dyDescent="0.2">
      <c r="A30" s="3">
        <v>24</v>
      </c>
      <c r="B30" s="4" t="s">
        <v>243</v>
      </c>
      <c r="C30" s="4" t="s">
        <v>244</v>
      </c>
      <c r="D30" s="4" t="s">
        <v>105</v>
      </c>
      <c r="E30" s="5">
        <v>1151</v>
      </c>
      <c r="F30" s="6">
        <v>62.322621499999997</v>
      </c>
      <c r="G30" s="7">
        <v>1.8502689999999999E-2</v>
      </c>
      <c r="H30" s="52"/>
    </row>
    <row r="31" spans="1:8" ht="17.100000000000001" customHeight="1" x14ac:dyDescent="0.2">
      <c r="A31" s="3">
        <v>25</v>
      </c>
      <c r="B31" s="4" t="s">
        <v>98</v>
      </c>
      <c r="C31" s="4" t="s">
        <v>99</v>
      </c>
      <c r="D31" s="4" t="s">
        <v>93</v>
      </c>
      <c r="E31" s="5">
        <v>9950</v>
      </c>
      <c r="F31" s="6">
        <v>61.237274999999997</v>
      </c>
      <c r="G31" s="7">
        <v>1.8180459999999999E-2</v>
      </c>
      <c r="H31" s="52"/>
    </row>
    <row r="32" spans="1:8" ht="29.1" customHeight="1" x14ac:dyDescent="0.2">
      <c r="A32" s="3">
        <v>26</v>
      </c>
      <c r="B32" s="4" t="s">
        <v>271</v>
      </c>
      <c r="C32" s="4" t="s">
        <v>272</v>
      </c>
      <c r="D32" s="4" t="s">
        <v>226</v>
      </c>
      <c r="E32" s="5">
        <v>16491</v>
      </c>
      <c r="F32" s="6">
        <v>59.656192500000003</v>
      </c>
      <c r="G32" s="7">
        <v>1.7711060000000001E-2</v>
      </c>
      <c r="H32" s="52"/>
    </row>
    <row r="33" spans="1:8" ht="29.1" customHeight="1" x14ac:dyDescent="0.2">
      <c r="A33" s="3">
        <v>27</v>
      </c>
      <c r="B33" s="4" t="s">
        <v>115</v>
      </c>
      <c r="C33" s="4" t="s">
        <v>116</v>
      </c>
      <c r="D33" s="4" t="s">
        <v>25</v>
      </c>
      <c r="E33" s="5">
        <v>1823</v>
      </c>
      <c r="F33" s="6">
        <v>57.497419999999998</v>
      </c>
      <c r="G33" s="7">
        <v>1.7070149999999999E-2</v>
      </c>
      <c r="H33" s="52"/>
    </row>
    <row r="34" spans="1:8" ht="17.100000000000001" customHeight="1" x14ac:dyDescent="0.2">
      <c r="A34" s="3">
        <v>28</v>
      </c>
      <c r="B34" s="4" t="s">
        <v>429</v>
      </c>
      <c r="C34" s="4" t="s">
        <v>430</v>
      </c>
      <c r="D34" s="4" t="s">
        <v>311</v>
      </c>
      <c r="E34" s="5">
        <v>6658</v>
      </c>
      <c r="F34" s="6">
        <v>56.932558</v>
      </c>
      <c r="G34" s="7">
        <v>1.6902449999999999E-2</v>
      </c>
      <c r="H34" s="52"/>
    </row>
    <row r="35" spans="1:8" ht="29.1" customHeight="1" x14ac:dyDescent="0.2">
      <c r="A35" s="3">
        <v>29</v>
      </c>
      <c r="B35" s="4" t="s">
        <v>431</v>
      </c>
      <c r="C35" s="4" t="s">
        <v>432</v>
      </c>
      <c r="D35" s="4" t="s">
        <v>57</v>
      </c>
      <c r="E35" s="5">
        <v>2187</v>
      </c>
      <c r="F35" s="6">
        <v>54.353510999999997</v>
      </c>
      <c r="G35" s="7">
        <v>1.6136770000000002E-2</v>
      </c>
      <c r="H35" s="52"/>
    </row>
    <row r="36" spans="1:8" ht="17.100000000000001" customHeight="1" x14ac:dyDescent="0.2">
      <c r="A36" s="3">
        <v>30</v>
      </c>
      <c r="B36" s="4" t="s">
        <v>433</v>
      </c>
      <c r="C36" s="4" t="s">
        <v>434</v>
      </c>
      <c r="D36" s="4" t="s">
        <v>60</v>
      </c>
      <c r="E36" s="5">
        <v>8402</v>
      </c>
      <c r="F36" s="6">
        <v>51.999977999999999</v>
      </c>
      <c r="G36" s="7">
        <v>1.543804E-2</v>
      </c>
      <c r="H36" s="52"/>
    </row>
    <row r="37" spans="1:8" ht="29.1" customHeight="1" x14ac:dyDescent="0.2">
      <c r="A37" s="3">
        <v>31</v>
      </c>
      <c r="B37" s="4" t="s">
        <v>435</v>
      </c>
      <c r="C37" s="4" t="s">
        <v>436</v>
      </c>
      <c r="D37" s="4" t="s">
        <v>437</v>
      </c>
      <c r="E37" s="5">
        <v>34094</v>
      </c>
      <c r="F37" s="6">
        <v>51.703550999999997</v>
      </c>
      <c r="G37" s="7">
        <v>1.5350040000000001E-2</v>
      </c>
      <c r="H37" s="52"/>
    </row>
    <row r="38" spans="1:8" ht="17.100000000000001" customHeight="1" x14ac:dyDescent="0.2">
      <c r="A38" s="3">
        <v>32</v>
      </c>
      <c r="B38" s="4" t="s">
        <v>438</v>
      </c>
      <c r="C38" s="4" t="s">
        <v>439</v>
      </c>
      <c r="D38" s="4" t="s">
        <v>889</v>
      </c>
      <c r="E38" s="5">
        <v>4857</v>
      </c>
      <c r="F38" s="6">
        <v>51.064069500000002</v>
      </c>
      <c r="G38" s="7">
        <v>1.5160180000000001E-2</v>
      </c>
      <c r="H38" s="52"/>
    </row>
    <row r="39" spans="1:8" ht="17.100000000000001" customHeight="1" x14ac:dyDescent="0.2">
      <c r="A39" s="3">
        <v>33</v>
      </c>
      <c r="B39" s="4" t="s">
        <v>46</v>
      </c>
      <c r="C39" s="4" t="s">
        <v>47</v>
      </c>
      <c r="D39" s="4" t="s">
        <v>31</v>
      </c>
      <c r="E39" s="5">
        <v>2356</v>
      </c>
      <c r="F39" s="6">
        <v>50.522064</v>
      </c>
      <c r="G39" s="7">
        <v>1.499927E-2</v>
      </c>
      <c r="H39" s="52"/>
    </row>
    <row r="40" spans="1:8" ht="17.100000000000001" customHeight="1" x14ac:dyDescent="0.2">
      <c r="A40" s="3">
        <v>34</v>
      </c>
      <c r="B40" s="4" t="s">
        <v>279</v>
      </c>
      <c r="C40" s="4" t="s">
        <v>280</v>
      </c>
      <c r="D40" s="4" t="s">
        <v>888</v>
      </c>
      <c r="E40" s="5">
        <v>4049</v>
      </c>
      <c r="F40" s="6">
        <v>49.298599500000002</v>
      </c>
      <c r="G40" s="7">
        <v>1.4636039999999999E-2</v>
      </c>
      <c r="H40" s="52"/>
    </row>
    <row r="41" spans="1:8" ht="29.1" customHeight="1" x14ac:dyDescent="0.2">
      <c r="A41" s="3">
        <v>35</v>
      </c>
      <c r="B41" s="4" t="s">
        <v>440</v>
      </c>
      <c r="C41" s="4" t="s">
        <v>441</v>
      </c>
      <c r="D41" s="4" t="s">
        <v>226</v>
      </c>
      <c r="E41" s="5">
        <v>13550</v>
      </c>
      <c r="F41" s="6">
        <v>43.061900000000001</v>
      </c>
      <c r="G41" s="7">
        <v>1.2784459999999999E-2</v>
      </c>
      <c r="H41" s="52"/>
    </row>
    <row r="42" spans="1:8" ht="17.100000000000001" customHeight="1" x14ac:dyDescent="0.2">
      <c r="A42" s="3">
        <v>36</v>
      </c>
      <c r="B42" s="4" t="s">
        <v>442</v>
      </c>
      <c r="C42" s="4" t="s">
        <v>443</v>
      </c>
      <c r="D42" s="4" t="s">
        <v>70</v>
      </c>
      <c r="E42" s="5">
        <v>4394</v>
      </c>
      <c r="F42" s="6">
        <v>39.644865000000003</v>
      </c>
      <c r="G42" s="7">
        <v>1.1769989999999999E-2</v>
      </c>
      <c r="H42" s="52"/>
    </row>
    <row r="43" spans="1:8" ht="17.100000000000001" customHeight="1" x14ac:dyDescent="0.2">
      <c r="A43" s="3">
        <v>37</v>
      </c>
      <c r="B43" s="4" t="s">
        <v>444</v>
      </c>
      <c r="C43" s="4" t="s">
        <v>445</v>
      </c>
      <c r="D43" s="4" t="s">
        <v>60</v>
      </c>
      <c r="E43" s="5">
        <v>7524</v>
      </c>
      <c r="F43" s="6">
        <v>38.598120000000002</v>
      </c>
      <c r="G43" s="7">
        <v>1.1459220000000001E-2</v>
      </c>
      <c r="H43" s="52"/>
    </row>
    <row r="44" spans="1:8" ht="29.1" customHeight="1" x14ac:dyDescent="0.2">
      <c r="A44" s="3">
        <v>38</v>
      </c>
      <c r="B44" s="4" t="s">
        <v>446</v>
      </c>
      <c r="C44" s="4" t="s">
        <v>447</v>
      </c>
      <c r="D44" s="4" t="s">
        <v>211</v>
      </c>
      <c r="E44" s="5">
        <v>8191</v>
      </c>
      <c r="F44" s="6">
        <v>37.805560499999999</v>
      </c>
      <c r="G44" s="7">
        <v>1.122392E-2</v>
      </c>
      <c r="H44" s="52"/>
    </row>
    <row r="45" spans="1:8" ht="17.100000000000001" customHeight="1" x14ac:dyDescent="0.2">
      <c r="A45" s="3">
        <v>39</v>
      </c>
      <c r="B45" s="4" t="s">
        <v>448</v>
      </c>
      <c r="C45" s="4" t="s">
        <v>449</v>
      </c>
      <c r="D45" s="4" t="s">
        <v>231</v>
      </c>
      <c r="E45" s="5">
        <v>16207</v>
      </c>
      <c r="F45" s="6">
        <v>36.935752999999998</v>
      </c>
      <c r="G45" s="7">
        <v>1.096569E-2</v>
      </c>
      <c r="H45" s="52"/>
    </row>
    <row r="46" spans="1:8" ht="17.100000000000001" customHeight="1" x14ac:dyDescent="0.2">
      <c r="A46" s="3">
        <v>40</v>
      </c>
      <c r="B46" s="4" t="s">
        <v>450</v>
      </c>
      <c r="C46" s="4" t="s">
        <v>451</v>
      </c>
      <c r="D46" s="4" t="s">
        <v>114</v>
      </c>
      <c r="E46" s="5">
        <v>3908</v>
      </c>
      <c r="F46" s="6">
        <v>35.129012000000003</v>
      </c>
      <c r="G46" s="7">
        <v>1.0429300000000001E-2</v>
      </c>
      <c r="H46" s="52"/>
    </row>
    <row r="47" spans="1:8" ht="17.100000000000001" customHeight="1" x14ac:dyDescent="0.2">
      <c r="A47" s="3">
        <v>41</v>
      </c>
      <c r="B47" s="4" t="s">
        <v>452</v>
      </c>
      <c r="C47" s="4" t="s">
        <v>453</v>
      </c>
      <c r="D47" s="4" t="s">
        <v>52</v>
      </c>
      <c r="E47" s="5">
        <v>4036</v>
      </c>
      <c r="F47" s="6">
        <v>33.046768</v>
      </c>
      <c r="G47" s="7">
        <v>9.8111099999999996E-3</v>
      </c>
      <c r="H47" s="52"/>
    </row>
    <row r="48" spans="1:8" ht="17.100000000000001" customHeight="1" x14ac:dyDescent="0.2">
      <c r="A48" s="3">
        <v>42</v>
      </c>
      <c r="B48" s="4" t="s">
        <v>454</v>
      </c>
      <c r="C48" s="4" t="s">
        <v>455</v>
      </c>
      <c r="D48" s="4" t="s">
        <v>31</v>
      </c>
      <c r="E48" s="5">
        <v>3042</v>
      </c>
      <c r="F48" s="6">
        <v>32.608719000000001</v>
      </c>
      <c r="G48" s="7">
        <v>9.68106E-3</v>
      </c>
      <c r="H48" s="52"/>
    </row>
    <row r="49" spans="1:8" ht="29.1" customHeight="1" x14ac:dyDescent="0.2">
      <c r="A49" s="3">
        <v>43</v>
      </c>
      <c r="B49" s="4" t="s">
        <v>456</v>
      </c>
      <c r="C49" s="4" t="s">
        <v>457</v>
      </c>
      <c r="D49" s="4" t="s">
        <v>226</v>
      </c>
      <c r="E49" s="5">
        <v>596</v>
      </c>
      <c r="F49" s="6">
        <v>30.411496</v>
      </c>
      <c r="G49" s="7">
        <v>9.0287300000000004E-3</v>
      </c>
      <c r="H49" s="52"/>
    </row>
    <row r="50" spans="1:8" ht="17.100000000000001" customHeight="1" x14ac:dyDescent="0.2">
      <c r="A50" s="3">
        <v>44</v>
      </c>
      <c r="B50" s="4" t="s">
        <v>89</v>
      </c>
      <c r="C50" s="4" t="s">
        <v>90</v>
      </c>
      <c r="D50" s="4" t="s">
        <v>31</v>
      </c>
      <c r="E50" s="5">
        <v>4198</v>
      </c>
      <c r="F50" s="6">
        <v>28.781488</v>
      </c>
      <c r="G50" s="7">
        <v>8.5448099999999999E-3</v>
      </c>
      <c r="H50" s="52"/>
    </row>
    <row r="51" spans="1:8" ht="17.100000000000001" customHeight="1" x14ac:dyDescent="0.2">
      <c r="A51" s="3">
        <v>45</v>
      </c>
      <c r="B51" s="4" t="s">
        <v>458</v>
      </c>
      <c r="C51" s="4" t="s">
        <v>459</v>
      </c>
      <c r="D51" s="4" t="s">
        <v>31</v>
      </c>
      <c r="E51" s="5">
        <v>2107</v>
      </c>
      <c r="F51" s="6">
        <v>18.329846499999999</v>
      </c>
      <c r="G51" s="7">
        <v>5.4418699999999997E-3</v>
      </c>
      <c r="H51" s="52"/>
    </row>
    <row r="52" spans="1:8" ht="29.1" customHeight="1" x14ac:dyDescent="0.2">
      <c r="A52" s="3">
        <v>46</v>
      </c>
      <c r="B52" s="4" t="s">
        <v>394</v>
      </c>
      <c r="C52" s="4" t="s">
        <v>395</v>
      </c>
      <c r="D52" s="4" t="s">
        <v>60</v>
      </c>
      <c r="E52" s="5">
        <v>5400</v>
      </c>
      <c r="F52" s="6">
        <v>15.228</v>
      </c>
      <c r="G52" s="7">
        <v>4.52097E-3</v>
      </c>
      <c r="H52" s="52"/>
    </row>
    <row r="53" spans="1:8" ht="17.100000000000001" customHeight="1" x14ac:dyDescent="0.2">
      <c r="A53" s="3">
        <v>47</v>
      </c>
      <c r="B53" s="4" t="s">
        <v>307</v>
      </c>
      <c r="C53" s="4" t="s">
        <v>308</v>
      </c>
      <c r="D53" s="4" t="s">
        <v>70</v>
      </c>
      <c r="E53" s="5">
        <v>1151</v>
      </c>
      <c r="F53" s="6">
        <v>11.755163</v>
      </c>
      <c r="G53" s="7">
        <v>3.48994E-3</v>
      </c>
      <c r="H53" s="52"/>
    </row>
    <row r="54" spans="1:8" ht="29.1" customHeight="1" x14ac:dyDescent="0.2">
      <c r="A54" s="3">
        <v>48</v>
      </c>
      <c r="B54" s="4" t="s">
        <v>460</v>
      </c>
      <c r="C54" s="4" t="s">
        <v>461</v>
      </c>
      <c r="D54" s="4" t="s">
        <v>216</v>
      </c>
      <c r="E54" s="5">
        <v>2348</v>
      </c>
      <c r="F54" s="6">
        <v>10.334721999999999</v>
      </c>
      <c r="G54" s="7">
        <v>3.0682299999999999E-3</v>
      </c>
      <c r="H54" s="52"/>
    </row>
    <row r="55" spans="1:8" ht="17.100000000000001" customHeight="1" x14ac:dyDescent="0.2">
      <c r="A55" s="3">
        <v>49</v>
      </c>
      <c r="B55" s="4" t="s">
        <v>462</v>
      </c>
      <c r="C55" s="4" t="s">
        <v>463</v>
      </c>
      <c r="D55" s="4" t="s">
        <v>28</v>
      </c>
      <c r="E55" s="5">
        <v>2318</v>
      </c>
      <c r="F55" s="6">
        <v>7.6586720000000001</v>
      </c>
      <c r="G55" s="7">
        <v>2.2737500000000002E-3</v>
      </c>
      <c r="H55" s="52"/>
    </row>
    <row r="56" spans="1:8" ht="14.1" customHeight="1" x14ac:dyDescent="0.2">
      <c r="A56" s="1"/>
      <c r="B56" s="1"/>
      <c r="C56" s="2" t="s">
        <v>145</v>
      </c>
      <c r="D56" s="1"/>
      <c r="E56" s="1" t="s">
        <v>146</v>
      </c>
      <c r="F56" s="9">
        <v>3218.6379240000001</v>
      </c>
      <c r="G56" s="10">
        <v>0.95556706999999996</v>
      </c>
      <c r="H56" s="52"/>
    </row>
    <row r="57" spans="1:8" ht="14.1" customHeight="1" x14ac:dyDescent="0.2">
      <c r="A57" s="1"/>
      <c r="B57" s="1"/>
      <c r="C57" s="11"/>
      <c r="D57" s="1"/>
      <c r="E57" s="1"/>
      <c r="F57" s="12"/>
      <c r="G57" s="12"/>
      <c r="H57" s="52"/>
    </row>
    <row r="58" spans="1:8" ht="14.1" customHeight="1" x14ac:dyDescent="0.2">
      <c r="A58" s="1"/>
      <c r="B58" s="1"/>
      <c r="C58" s="2" t="s">
        <v>147</v>
      </c>
      <c r="D58" s="1"/>
      <c r="E58" s="1"/>
      <c r="F58" s="1"/>
      <c r="G58" s="1"/>
      <c r="H58" s="52"/>
    </row>
    <row r="59" spans="1:8" ht="14.1" customHeight="1" x14ac:dyDescent="0.2">
      <c r="A59" s="1"/>
      <c r="B59" s="1"/>
      <c r="C59" s="2" t="s">
        <v>145</v>
      </c>
      <c r="D59" s="1"/>
      <c r="E59" s="1" t="s">
        <v>146</v>
      </c>
      <c r="F59" s="13" t="s">
        <v>148</v>
      </c>
      <c r="G59" s="10">
        <v>0</v>
      </c>
      <c r="H59" s="52"/>
    </row>
    <row r="60" spans="1:8" ht="14.1" customHeight="1" x14ac:dyDescent="0.2">
      <c r="A60" s="1"/>
      <c r="B60" s="1"/>
      <c r="C60" s="11"/>
      <c r="D60" s="1"/>
      <c r="E60" s="1"/>
      <c r="F60" s="12"/>
      <c r="G60" s="12"/>
      <c r="H60" s="52"/>
    </row>
    <row r="61" spans="1:8" ht="14.1" customHeight="1" x14ac:dyDescent="0.2">
      <c r="A61" s="1"/>
      <c r="B61" s="1"/>
      <c r="C61" s="2" t="s">
        <v>149</v>
      </c>
      <c r="D61" s="1"/>
      <c r="E61" s="1"/>
      <c r="F61" s="1"/>
      <c r="G61" s="1"/>
      <c r="H61" s="52"/>
    </row>
    <row r="62" spans="1:8" ht="14.1" customHeight="1" x14ac:dyDescent="0.2">
      <c r="A62" s="1"/>
      <c r="B62" s="1"/>
      <c r="C62" s="2" t="s">
        <v>145</v>
      </c>
      <c r="D62" s="1"/>
      <c r="E62" s="1" t="s">
        <v>146</v>
      </c>
      <c r="F62" s="13" t="s">
        <v>148</v>
      </c>
      <c r="G62" s="10">
        <v>0</v>
      </c>
      <c r="H62" s="52"/>
    </row>
    <row r="63" spans="1:8" ht="14.1" customHeight="1" x14ac:dyDescent="0.2">
      <c r="A63" s="1"/>
      <c r="B63" s="1"/>
      <c r="C63" s="11"/>
      <c r="D63" s="1"/>
      <c r="E63" s="1"/>
      <c r="F63" s="12"/>
      <c r="G63" s="12"/>
      <c r="H63" s="52"/>
    </row>
    <row r="64" spans="1:8" ht="14.1" customHeight="1" x14ac:dyDescent="0.2">
      <c r="A64" s="1"/>
      <c r="B64" s="1"/>
      <c r="C64" s="2" t="s">
        <v>150</v>
      </c>
      <c r="D64" s="1"/>
      <c r="E64" s="1"/>
      <c r="F64" s="1"/>
      <c r="G64" s="1"/>
      <c r="H64" s="52"/>
    </row>
    <row r="65" spans="1:8" ht="29.1" customHeight="1" x14ac:dyDescent="0.2">
      <c r="A65" s="3">
        <v>1</v>
      </c>
      <c r="B65" s="4" t="s">
        <v>312</v>
      </c>
      <c r="C65" s="4" t="s">
        <v>949</v>
      </c>
      <c r="D65" s="4" t="s">
        <v>105</v>
      </c>
      <c r="E65" s="5">
        <v>133516</v>
      </c>
      <c r="F65" s="6">
        <v>13.885664</v>
      </c>
      <c r="G65" s="7">
        <v>4.1224499999999997E-3</v>
      </c>
      <c r="H65" s="52"/>
    </row>
    <row r="66" spans="1:8" ht="39.75" customHeight="1" x14ac:dyDescent="0.2">
      <c r="A66" s="3">
        <v>2</v>
      </c>
      <c r="B66" s="4" t="s">
        <v>313</v>
      </c>
      <c r="C66" s="4" t="s">
        <v>950</v>
      </c>
      <c r="D66" s="4" t="s">
        <v>70</v>
      </c>
      <c r="E66" s="5">
        <v>133</v>
      </c>
      <c r="F66" s="6">
        <v>1.330133E-2</v>
      </c>
      <c r="G66" s="41" t="s">
        <v>144</v>
      </c>
      <c r="H66" s="52"/>
    </row>
    <row r="67" spans="1:8" ht="14.1" customHeight="1" x14ac:dyDescent="0.2">
      <c r="A67" s="1"/>
      <c r="B67" s="1"/>
      <c r="C67" s="2" t="s">
        <v>145</v>
      </c>
      <c r="D67" s="1"/>
      <c r="E67" s="1" t="s">
        <v>146</v>
      </c>
      <c r="F67" s="9">
        <v>13.898965329999999</v>
      </c>
      <c r="G67" s="10">
        <v>4.1263999999999997E-3</v>
      </c>
      <c r="H67" s="52"/>
    </row>
    <row r="68" spans="1:8" ht="14.1" customHeight="1" x14ac:dyDescent="0.2">
      <c r="A68" s="1"/>
      <c r="B68" s="1"/>
      <c r="C68" s="11"/>
      <c r="D68" s="1"/>
      <c r="E68" s="1"/>
      <c r="F68" s="12"/>
      <c r="G68" s="12"/>
      <c r="H68" s="52"/>
    </row>
    <row r="69" spans="1:8" ht="14.1" customHeight="1" x14ac:dyDescent="0.2">
      <c r="A69" s="1"/>
      <c r="B69" s="1"/>
      <c r="C69" s="2" t="s">
        <v>151</v>
      </c>
      <c r="D69" s="1"/>
      <c r="E69" s="1"/>
      <c r="F69" s="12"/>
      <c r="G69" s="12"/>
      <c r="H69" s="52"/>
    </row>
    <row r="70" spans="1:8" ht="14.1" customHeight="1" x14ac:dyDescent="0.2">
      <c r="A70" s="1"/>
      <c r="B70" s="1"/>
      <c r="C70" s="2" t="s">
        <v>145</v>
      </c>
      <c r="D70" s="1"/>
      <c r="E70" s="1" t="s">
        <v>146</v>
      </c>
      <c r="F70" s="13" t="s">
        <v>148</v>
      </c>
      <c r="G70" s="10">
        <v>0</v>
      </c>
      <c r="H70" s="52"/>
    </row>
    <row r="71" spans="1:8" ht="14.1" customHeight="1" x14ac:dyDescent="0.2">
      <c r="A71" s="1"/>
      <c r="B71" s="1"/>
      <c r="C71" s="11"/>
      <c r="D71" s="1"/>
      <c r="E71" s="1"/>
      <c r="F71" s="12"/>
      <c r="G71" s="12"/>
      <c r="H71" s="52"/>
    </row>
    <row r="72" spans="1:8" ht="14.1" customHeight="1" x14ac:dyDescent="0.2">
      <c r="A72" s="1"/>
      <c r="B72" s="1"/>
      <c r="C72" s="2" t="s">
        <v>152</v>
      </c>
      <c r="D72" s="1"/>
      <c r="E72" s="1"/>
      <c r="F72" s="12"/>
      <c r="G72" s="12"/>
      <c r="H72" s="52"/>
    </row>
    <row r="73" spans="1:8" ht="14.1" customHeight="1" x14ac:dyDescent="0.2">
      <c r="A73" s="1"/>
      <c r="B73" s="1"/>
      <c r="C73" s="2" t="s">
        <v>145</v>
      </c>
      <c r="D73" s="1"/>
      <c r="E73" s="1" t="s">
        <v>146</v>
      </c>
      <c r="F73" s="13" t="s">
        <v>148</v>
      </c>
      <c r="G73" s="10">
        <v>0</v>
      </c>
      <c r="H73" s="52"/>
    </row>
    <row r="74" spans="1:8" ht="14.1" customHeight="1" x14ac:dyDescent="0.2">
      <c r="A74" s="1"/>
      <c r="B74" s="1"/>
      <c r="C74" s="11"/>
      <c r="D74" s="1"/>
      <c r="E74" s="1"/>
      <c r="F74" s="12"/>
      <c r="G74" s="12"/>
      <c r="H74" s="52"/>
    </row>
    <row r="75" spans="1:8" ht="18" customHeight="1" x14ac:dyDescent="0.2">
      <c r="A75" s="1"/>
      <c r="B75" s="1"/>
      <c r="C75" s="2" t="s">
        <v>153</v>
      </c>
      <c r="D75" s="1"/>
      <c r="E75" s="1"/>
      <c r="F75" s="9">
        <v>3232.5368893300001</v>
      </c>
      <c r="G75" s="10">
        <v>0.95969347000000005</v>
      </c>
      <c r="H75" s="52"/>
    </row>
    <row r="76" spans="1:8" ht="14.1" customHeight="1" x14ac:dyDescent="0.2">
      <c r="A76" s="1"/>
      <c r="B76" s="1"/>
      <c r="C76" s="11"/>
      <c r="D76" s="1"/>
      <c r="E76" s="1"/>
      <c r="F76" s="12"/>
      <c r="G76" s="12"/>
      <c r="H76" s="52"/>
    </row>
    <row r="77" spans="1:8" ht="14.1" customHeight="1" x14ac:dyDescent="0.2">
      <c r="A77" s="1"/>
      <c r="B77" s="1"/>
      <c r="C77" s="2" t="s">
        <v>154</v>
      </c>
      <c r="D77" s="1"/>
      <c r="E77" s="1"/>
      <c r="F77" s="12"/>
      <c r="G77" s="12"/>
      <c r="H77" s="52"/>
    </row>
    <row r="78" spans="1:8" ht="24" customHeight="1" x14ac:dyDescent="0.2">
      <c r="A78" s="1"/>
      <c r="B78" s="1"/>
      <c r="C78" s="2" t="s">
        <v>10</v>
      </c>
      <c r="D78" s="1"/>
      <c r="E78" s="1"/>
      <c r="F78" s="12"/>
      <c r="G78" s="12"/>
      <c r="H78" s="52"/>
    </row>
    <row r="79" spans="1:8" ht="14.1" customHeight="1" x14ac:dyDescent="0.2">
      <c r="A79" s="1"/>
      <c r="B79" s="1"/>
      <c r="C79" s="2" t="s">
        <v>145</v>
      </c>
      <c r="D79" s="1"/>
      <c r="E79" s="1" t="s">
        <v>146</v>
      </c>
      <c r="F79" s="13" t="s">
        <v>148</v>
      </c>
      <c r="G79" s="10">
        <v>0</v>
      </c>
      <c r="H79" s="52"/>
    </row>
    <row r="80" spans="1:8" ht="14.1" customHeight="1" x14ac:dyDescent="0.2">
      <c r="A80" s="1"/>
      <c r="B80" s="1"/>
      <c r="C80" s="11"/>
      <c r="D80" s="1"/>
      <c r="E80" s="1"/>
      <c r="F80" s="12"/>
      <c r="G80" s="12"/>
      <c r="H80" s="52"/>
    </row>
    <row r="81" spans="1:8" ht="14.1" customHeight="1" x14ac:dyDescent="0.2">
      <c r="A81" s="1"/>
      <c r="B81" s="1"/>
      <c r="C81" s="2" t="s">
        <v>155</v>
      </c>
      <c r="D81" s="1"/>
      <c r="E81" s="1"/>
      <c r="F81" s="1"/>
      <c r="G81" s="1"/>
      <c r="H81" s="52"/>
    </row>
    <row r="82" spans="1:8" ht="14.1" customHeight="1" x14ac:dyDescent="0.2">
      <c r="A82" s="1"/>
      <c r="B82" s="1"/>
      <c r="C82" s="2" t="s">
        <v>145</v>
      </c>
      <c r="D82" s="1"/>
      <c r="E82" s="1" t="s">
        <v>146</v>
      </c>
      <c r="F82" s="13" t="s">
        <v>148</v>
      </c>
      <c r="G82" s="10">
        <v>0</v>
      </c>
      <c r="H82" s="52"/>
    </row>
    <row r="83" spans="1:8" ht="14.1" customHeight="1" x14ac:dyDescent="0.2">
      <c r="A83" s="1"/>
      <c r="B83" s="1"/>
      <c r="C83" s="11"/>
      <c r="D83" s="1"/>
      <c r="E83" s="1"/>
      <c r="F83" s="12"/>
      <c r="G83" s="12"/>
      <c r="H83" s="52"/>
    </row>
    <row r="84" spans="1:8" ht="14.1" customHeight="1" x14ac:dyDescent="0.2">
      <c r="A84" s="1"/>
      <c r="B84" s="1"/>
      <c r="C84" s="2" t="s">
        <v>156</v>
      </c>
      <c r="D84" s="1"/>
      <c r="E84" s="1"/>
      <c r="F84" s="1"/>
      <c r="G84" s="1"/>
      <c r="H84" s="52"/>
    </row>
    <row r="85" spans="1:8" ht="14.1" customHeight="1" x14ac:dyDescent="0.2">
      <c r="A85" s="1"/>
      <c r="B85" s="1"/>
      <c r="C85" s="2" t="s">
        <v>145</v>
      </c>
      <c r="D85" s="1"/>
      <c r="E85" s="1" t="s">
        <v>146</v>
      </c>
      <c r="F85" s="13" t="s">
        <v>148</v>
      </c>
      <c r="G85" s="10">
        <v>0</v>
      </c>
      <c r="H85" s="52"/>
    </row>
    <row r="86" spans="1:8" ht="14.1" customHeight="1" x14ac:dyDescent="0.2">
      <c r="A86" s="1"/>
      <c r="B86" s="1"/>
      <c r="C86" s="11"/>
      <c r="D86" s="1"/>
      <c r="E86" s="1"/>
      <c r="F86" s="12"/>
      <c r="G86" s="12"/>
      <c r="H86" s="52"/>
    </row>
    <row r="87" spans="1:8" ht="14.1" customHeight="1" x14ac:dyDescent="0.2">
      <c r="A87" s="1"/>
      <c r="B87" s="1"/>
      <c r="C87" s="2" t="s">
        <v>157</v>
      </c>
      <c r="D87" s="1"/>
      <c r="E87" s="1"/>
      <c r="F87" s="12"/>
      <c r="G87" s="12"/>
      <c r="H87" s="52"/>
    </row>
    <row r="88" spans="1:8" ht="14.1" customHeight="1" x14ac:dyDescent="0.2">
      <c r="A88" s="1"/>
      <c r="B88" s="1"/>
      <c r="C88" s="2" t="s">
        <v>145</v>
      </c>
      <c r="D88" s="1"/>
      <c r="E88" s="1" t="s">
        <v>146</v>
      </c>
      <c r="F88" s="13" t="s">
        <v>148</v>
      </c>
      <c r="G88" s="10">
        <v>0</v>
      </c>
      <c r="H88" s="52"/>
    </row>
    <row r="89" spans="1:8" ht="14.1" customHeight="1" x14ac:dyDescent="0.2">
      <c r="A89" s="1"/>
      <c r="B89" s="1"/>
      <c r="C89" s="11"/>
      <c r="D89" s="1"/>
      <c r="E89" s="1"/>
      <c r="F89" s="12"/>
      <c r="G89" s="12"/>
      <c r="H89" s="52"/>
    </row>
    <row r="90" spans="1:8" ht="14.1" customHeight="1" x14ac:dyDescent="0.2">
      <c r="A90" s="1"/>
      <c r="B90" s="1"/>
      <c r="C90" s="2" t="s">
        <v>158</v>
      </c>
      <c r="D90" s="1"/>
      <c r="E90" s="1"/>
      <c r="F90" s="9">
        <v>0</v>
      </c>
      <c r="G90" s="10">
        <v>0</v>
      </c>
      <c r="H90" s="52"/>
    </row>
    <row r="91" spans="1:8" ht="14.1" customHeight="1" x14ac:dyDescent="0.2">
      <c r="A91" s="1"/>
      <c r="B91" s="1"/>
      <c r="C91" s="11"/>
      <c r="D91" s="1"/>
      <c r="E91" s="1"/>
      <c r="F91" s="12"/>
      <c r="G91" s="12"/>
      <c r="H91" s="52"/>
    </row>
    <row r="92" spans="1:8" ht="14.1" customHeight="1" x14ac:dyDescent="0.2">
      <c r="A92" s="1"/>
      <c r="B92" s="1"/>
      <c r="C92" s="2" t="s">
        <v>159</v>
      </c>
      <c r="D92" s="1"/>
      <c r="E92" s="1"/>
      <c r="F92" s="12"/>
      <c r="G92" s="12"/>
      <c r="H92" s="52"/>
    </row>
    <row r="93" spans="1:8" ht="14.1" customHeight="1" x14ac:dyDescent="0.2">
      <c r="A93" s="1"/>
      <c r="B93" s="1"/>
      <c r="C93" s="2" t="s">
        <v>160</v>
      </c>
      <c r="D93" s="1"/>
      <c r="E93" s="1"/>
      <c r="F93" s="12"/>
      <c r="G93" s="12"/>
      <c r="H93" s="52"/>
    </row>
    <row r="94" spans="1:8" ht="14.1" customHeight="1" x14ac:dyDescent="0.2">
      <c r="A94" s="1"/>
      <c r="B94" s="1"/>
      <c r="C94" s="2" t="s">
        <v>145</v>
      </c>
      <c r="D94" s="1"/>
      <c r="E94" s="1" t="s">
        <v>146</v>
      </c>
      <c r="F94" s="13" t="s">
        <v>148</v>
      </c>
      <c r="G94" s="10">
        <v>0</v>
      </c>
      <c r="H94" s="52"/>
    </row>
    <row r="95" spans="1:8" ht="14.1" customHeight="1" x14ac:dyDescent="0.2">
      <c r="A95" s="1"/>
      <c r="B95" s="1"/>
      <c r="C95" s="11"/>
      <c r="D95" s="1"/>
      <c r="E95" s="1"/>
      <c r="F95" s="12"/>
      <c r="G95" s="12"/>
      <c r="H95" s="52"/>
    </row>
    <row r="96" spans="1:8" ht="14.1" customHeight="1" x14ac:dyDescent="0.2">
      <c r="A96" s="1"/>
      <c r="B96" s="1"/>
      <c r="C96" s="2" t="s">
        <v>161</v>
      </c>
      <c r="D96" s="1"/>
      <c r="E96" s="1"/>
      <c r="F96" s="12"/>
      <c r="G96" s="12"/>
      <c r="H96" s="52"/>
    </row>
    <row r="97" spans="1:8" ht="14.1" customHeight="1" x14ac:dyDescent="0.2">
      <c r="A97" s="1"/>
      <c r="B97" s="1"/>
      <c r="C97" s="2" t="s">
        <v>145</v>
      </c>
      <c r="D97" s="1"/>
      <c r="E97" s="1" t="s">
        <v>146</v>
      </c>
      <c r="F97" s="13" t="s">
        <v>148</v>
      </c>
      <c r="G97" s="10">
        <v>0</v>
      </c>
      <c r="H97" s="52"/>
    </row>
    <row r="98" spans="1:8" ht="14.1" customHeight="1" x14ac:dyDescent="0.2">
      <c r="A98" s="1"/>
      <c r="B98" s="1"/>
      <c r="C98" s="11"/>
      <c r="D98" s="1"/>
      <c r="E98" s="1"/>
      <c r="F98" s="12"/>
      <c r="G98" s="12"/>
      <c r="H98" s="52"/>
    </row>
    <row r="99" spans="1:8" ht="14.1" customHeight="1" x14ac:dyDescent="0.2">
      <c r="A99" s="1"/>
      <c r="B99" s="1"/>
      <c r="C99" s="2" t="s">
        <v>162</v>
      </c>
      <c r="D99" s="1"/>
      <c r="E99" s="1"/>
      <c r="F99" s="12"/>
      <c r="G99" s="12"/>
      <c r="H99" s="52"/>
    </row>
    <row r="100" spans="1:8" ht="14.1" customHeight="1" x14ac:dyDescent="0.2">
      <c r="A100" s="1"/>
      <c r="B100" s="1"/>
      <c r="C100" s="2" t="s">
        <v>145</v>
      </c>
      <c r="D100" s="1"/>
      <c r="E100" s="1" t="s">
        <v>146</v>
      </c>
      <c r="F100" s="13" t="s">
        <v>148</v>
      </c>
      <c r="G100" s="10">
        <v>0</v>
      </c>
      <c r="H100" s="52"/>
    </row>
    <row r="101" spans="1:8" ht="14.1" customHeight="1" x14ac:dyDescent="0.2">
      <c r="A101" s="1"/>
      <c r="B101" s="1"/>
      <c r="C101" s="11"/>
      <c r="D101" s="1"/>
      <c r="E101" s="1"/>
      <c r="F101" s="12"/>
      <c r="G101" s="12"/>
      <c r="H101" s="52"/>
    </row>
    <row r="102" spans="1:8" ht="14.1" customHeight="1" x14ac:dyDescent="0.2">
      <c r="A102" s="1"/>
      <c r="B102" s="1"/>
      <c r="C102" s="2" t="s">
        <v>163</v>
      </c>
      <c r="D102" s="1"/>
      <c r="E102" s="1"/>
      <c r="F102" s="12"/>
      <c r="G102" s="12"/>
      <c r="H102" s="52"/>
    </row>
    <row r="103" spans="1:8" ht="17.100000000000001" customHeight="1" x14ac:dyDescent="0.2">
      <c r="A103" s="3">
        <v>1</v>
      </c>
      <c r="B103" s="4"/>
      <c r="C103" s="4" t="s">
        <v>164</v>
      </c>
      <c r="D103" s="4"/>
      <c r="E103" s="8"/>
      <c r="F103" s="6">
        <v>137.221341</v>
      </c>
      <c r="G103" s="7">
        <v>4.0739030000000002E-2</v>
      </c>
      <c r="H103" s="52">
        <v>6.7567375937238596</v>
      </c>
    </row>
    <row r="104" spans="1:8" ht="14.1" customHeight="1" x14ac:dyDescent="0.2">
      <c r="A104" s="1"/>
      <c r="B104" s="1"/>
      <c r="C104" s="2" t="s">
        <v>145</v>
      </c>
      <c r="D104" s="1"/>
      <c r="E104" s="1" t="s">
        <v>146</v>
      </c>
      <c r="F104" s="9">
        <v>137.221341</v>
      </c>
      <c r="G104" s="10">
        <v>4.0739030000000002E-2</v>
      </c>
      <c r="H104" s="52"/>
    </row>
    <row r="105" spans="1:8" ht="14.1" customHeight="1" x14ac:dyDescent="0.2">
      <c r="A105" s="1"/>
      <c r="B105" s="1"/>
      <c r="C105" s="11"/>
      <c r="D105" s="1"/>
      <c r="E105" s="1"/>
      <c r="F105" s="12"/>
      <c r="G105" s="12"/>
      <c r="H105" s="52"/>
    </row>
    <row r="106" spans="1:8" ht="14.1" customHeight="1" x14ac:dyDescent="0.2">
      <c r="A106" s="1"/>
      <c r="B106" s="1"/>
      <c r="C106" s="2" t="s">
        <v>165</v>
      </c>
      <c r="D106" s="1"/>
      <c r="E106" s="1"/>
      <c r="F106" s="9">
        <v>137.221341</v>
      </c>
      <c r="G106" s="10">
        <v>4.0739030000000002E-2</v>
      </c>
      <c r="H106" s="52"/>
    </row>
    <row r="107" spans="1:8" ht="14.1" customHeight="1" x14ac:dyDescent="0.2">
      <c r="A107" s="1"/>
      <c r="B107" s="1"/>
      <c r="C107" s="12"/>
      <c r="D107" s="1"/>
      <c r="E107" s="1"/>
      <c r="F107" s="1"/>
      <c r="G107" s="1"/>
      <c r="H107" s="52"/>
    </row>
    <row r="108" spans="1:8" ht="14.1" customHeight="1" x14ac:dyDescent="0.2">
      <c r="A108" s="1"/>
      <c r="B108" s="1"/>
      <c r="C108" s="2" t="s">
        <v>166</v>
      </c>
      <c r="D108" s="1"/>
      <c r="E108" s="1"/>
      <c r="F108" s="1"/>
      <c r="G108" s="1"/>
      <c r="H108" s="52"/>
    </row>
    <row r="109" spans="1:8" ht="14.1" customHeight="1" x14ac:dyDescent="0.2">
      <c r="A109" s="1"/>
      <c r="B109" s="1"/>
      <c r="C109" s="2" t="s">
        <v>167</v>
      </c>
      <c r="D109" s="1"/>
      <c r="E109" s="1"/>
      <c r="F109" s="1"/>
      <c r="G109" s="1"/>
      <c r="H109" s="52"/>
    </row>
    <row r="110" spans="1:8" ht="14.1" customHeight="1" x14ac:dyDescent="0.2">
      <c r="A110" s="1"/>
      <c r="B110" s="1"/>
      <c r="C110" s="2" t="s">
        <v>145</v>
      </c>
      <c r="D110" s="1"/>
      <c r="E110" s="1" t="s">
        <v>146</v>
      </c>
      <c r="F110" s="13" t="s">
        <v>148</v>
      </c>
      <c r="G110" s="10">
        <v>0</v>
      </c>
      <c r="H110" s="52"/>
    </row>
    <row r="111" spans="1:8" ht="14.1" customHeight="1" x14ac:dyDescent="0.2">
      <c r="A111" s="1"/>
      <c r="B111" s="1"/>
      <c r="C111" s="11"/>
      <c r="D111" s="1"/>
      <c r="E111" s="1"/>
      <c r="F111" s="12"/>
      <c r="G111" s="12"/>
      <c r="H111" s="52"/>
    </row>
    <row r="112" spans="1:8" ht="14.1" customHeight="1" x14ac:dyDescent="0.2">
      <c r="A112" s="1"/>
      <c r="B112" s="1"/>
      <c r="C112" s="2" t="s">
        <v>168</v>
      </c>
      <c r="D112" s="1"/>
      <c r="E112" s="1"/>
      <c r="F112" s="1"/>
      <c r="G112" s="1"/>
      <c r="H112" s="52"/>
    </row>
    <row r="113" spans="1:8" ht="14.1" customHeight="1" x14ac:dyDescent="0.2">
      <c r="A113" s="1"/>
      <c r="B113" s="1"/>
      <c r="C113" s="2" t="s">
        <v>169</v>
      </c>
      <c r="D113" s="1"/>
      <c r="E113" s="1"/>
      <c r="F113" s="1"/>
      <c r="G113" s="1"/>
      <c r="H113" s="52"/>
    </row>
    <row r="114" spans="1:8" ht="14.1" customHeight="1" x14ac:dyDescent="0.2">
      <c r="A114" s="1"/>
      <c r="B114" s="1"/>
      <c r="C114" s="2" t="s">
        <v>145</v>
      </c>
      <c r="D114" s="1"/>
      <c r="E114" s="1" t="s">
        <v>146</v>
      </c>
      <c r="F114" s="13" t="s">
        <v>148</v>
      </c>
      <c r="G114" s="10">
        <v>0</v>
      </c>
      <c r="H114" s="52"/>
    </row>
    <row r="115" spans="1:8" ht="14.1" customHeight="1" x14ac:dyDescent="0.2">
      <c r="A115" s="1"/>
      <c r="B115" s="1"/>
      <c r="C115" s="11"/>
      <c r="D115" s="1"/>
      <c r="E115" s="1"/>
      <c r="F115" s="12"/>
      <c r="G115" s="12"/>
      <c r="H115" s="52"/>
    </row>
    <row r="116" spans="1:8" ht="24" customHeight="1" x14ac:dyDescent="0.2">
      <c r="A116" s="1"/>
      <c r="B116" s="1"/>
      <c r="C116" s="2" t="s">
        <v>170</v>
      </c>
      <c r="D116" s="1"/>
      <c r="E116" s="1"/>
      <c r="F116" s="12"/>
      <c r="G116" s="12"/>
      <c r="H116" s="52"/>
    </row>
    <row r="117" spans="1:8" ht="14.1" customHeight="1" x14ac:dyDescent="0.2">
      <c r="A117" s="1"/>
      <c r="B117" s="1"/>
      <c r="C117" s="2" t="s">
        <v>145</v>
      </c>
      <c r="D117" s="1"/>
      <c r="E117" s="1" t="s">
        <v>146</v>
      </c>
      <c r="F117" s="13" t="s">
        <v>148</v>
      </c>
      <c r="G117" s="10">
        <v>0</v>
      </c>
      <c r="H117" s="52"/>
    </row>
    <row r="118" spans="1:8" ht="14.1" customHeight="1" x14ac:dyDescent="0.2">
      <c r="A118" s="1"/>
      <c r="B118" s="1"/>
      <c r="C118" s="11"/>
      <c r="D118" s="1"/>
      <c r="E118" s="1"/>
      <c r="F118" s="12"/>
      <c r="G118" s="12"/>
      <c r="H118" s="52"/>
    </row>
    <row r="119" spans="1:8" ht="14.1" customHeight="1" x14ac:dyDescent="0.2">
      <c r="A119" s="1"/>
      <c r="B119" s="4"/>
      <c r="C119" s="4"/>
      <c r="D119" s="2"/>
      <c r="E119" s="1"/>
      <c r="F119" s="4"/>
      <c r="G119" s="8"/>
      <c r="H119" s="52"/>
    </row>
    <row r="120" spans="1:8" ht="18" customHeight="1" x14ac:dyDescent="0.2">
      <c r="A120" s="8"/>
      <c r="B120" s="4"/>
      <c r="C120" s="4" t="s">
        <v>171</v>
      </c>
      <c r="D120" s="4"/>
      <c r="E120" s="8"/>
      <c r="F120" s="6">
        <v>-1.45666433</v>
      </c>
      <c r="G120" s="7">
        <v>-4.3246000000000002E-4</v>
      </c>
      <c r="H120" s="52"/>
    </row>
    <row r="121" spans="1:8" ht="14.1" customHeight="1" x14ac:dyDescent="0.2">
      <c r="A121" s="11"/>
      <c r="B121" s="11"/>
      <c r="C121" s="2" t="s">
        <v>172</v>
      </c>
      <c r="D121" s="12"/>
      <c r="E121" s="12"/>
      <c r="F121" s="9">
        <v>3368.3015660000001</v>
      </c>
      <c r="G121" s="14">
        <v>1.00000004</v>
      </c>
      <c r="H121" s="52"/>
    </row>
    <row r="122" spans="1:8" ht="14.1" customHeight="1" x14ac:dyDescent="0.2">
      <c r="A122" s="15"/>
      <c r="B122" s="15"/>
      <c r="C122" s="15"/>
      <c r="D122" s="16"/>
      <c r="E122" s="16"/>
      <c r="F122" s="16"/>
      <c r="G122" s="16"/>
    </row>
    <row r="123" spans="1:8" ht="14.1" customHeight="1" x14ac:dyDescent="0.2">
      <c r="A123" s="42"/>
      <c r="B123" s="125" t="s">
        <v>988</v>
      </c>
      <c r="C123" s="125"/>
      <c r="D123" s="125"/>
      <c r="E123" s="125"/>
      <c r="F123" s="125"/>
      <c r="G123" s="43"/>
    </row>
    <row r="124" spans="1:8" ht="17.100000000000001" customHeight="1" x14ac:dyDescent="0.2">
      <c r="A124" s="17"/>
      <c r="B124" s="126" t="s">
        <v>173</v>
      </c>
      <c r="C124" s="126"/>
      <c r="D124" s="126"/>
      <c r="E124" s="126"/>
      <c r="F124" s="126"/>
      <c r="G124" s="19"/>
    </row>
    <row r="125" spans="1:8" ht="14.1" customHeight="1" x14ac:dyDescent="0.2">
      <c r="A125" s="17"/>
      <c r="B125" s="17"/>
      <c r="C125" s="17"/>
      <c r="D125" s="19"/>
      <c r="E125" s="19"/>
      <c r="F125" s="19"/>
      <c r="G125" s="19"/>
    </row>
    <row r="126" spans="1:8" ht="14.1" customHeight="1" x14ac:dyDescent="0.2">
      <c r="A126" s="17"/>
      <c r="B126" s="127" t="s">
        <v>174</v>
      </c>
      <c r="C126" s="128"/>
      <c r="D126" s="129"/>
      <c r="E126" s="20"/>
      <c r="F126" s="19"/>
      <c r="G126" s="19"/>
    </row>
    <row r="127" spans="1:8" ht="29.1" customHeight="1" x14ac:dyDescent="0.2">
      <c r="A127" s="17"/>
      <c r="B127" s="121" t="s">
        <v>175</v>
      </c>
      <c r="C127" s="122"/>
      <c r="D127" s="2" t="s">
        <v>176</v>
      </c>
      <c r="E127" s="20"/>
      <c r="F127" s="19"/>
      <c r="G127" s="19"/>
    </row>
    <row r="128" spans="1:8" ht="17.100000000000001" customHeight="1" x14ac:dyDescent="0.2">
      <c r="A128" s="17"/>
      <c r="B128" s="123" t="s">
        <v>953</v>
      </c>
      <c r="C128" s="124"/>
      <c r="D128" s="40" t="s">
        <v>952</v>
      </c>
      <c r="E128" s="20"/>
      <c r="F128" s="19"/>
      <c r="G128" s="19"/>
    </row>
    <row r="129" spans="1:7" ht="17.100000000000001" customHeight="1" x14ac:dyDescent="0.2">
      <c r="A129" s="17"/>
      <c r="B129" s="121" t="s">
        <v>178</v>
      </c>
      <c r="C129" s="122"/>
      <c r="D129" s="12" t="s">
        <v>146</v>
      </c>
      <c r="E129" s="20"/>
      <c r="F129" s="19"/>
      <c r="G129" s="19"/>
    </row>
    <row r="130" spans="1:7" ht="24" customHeight="1" x14ac:dyDescent="0.2">
      <c r="A130" s="21"/>
      <c r="B130" s="22" t="s">
        <v>146</v>
      </c>
      <c r="C130" s="22" t="s">
        <v>179</v>
      </c>
      <c r="D130" s="22" t="s">
        <v>180</v>
      </c>
      <c r="E130" s="21"/>
      <c r="F130" s="21"/>
      <c r="G130" s="21"/>
    </row>
    <row r="131" spans="1:7" ht="18" customHeight="1" x14ac:dyDescent="0.2">
      <c r="A131" s="21"/>
      <c r="B131" s="23" t="s">
        <v>181</v>
      </c>
      <c r="C131" s="22" t="s">
        <v>182</v>
      </c>
      <c r="D131" s="22" t="s">
        <v>183</v>
      </c>
      <c r="E131" s="21"/>
      <c r="F131" s="21"/>
      <c r="G131" s="21"/>
    </row>
    <row r="132" spans="1:7" ht="17.100000000000001" customHeight="1" x14ac:dyDescent="0.2">
      <c r="A132" s="21"/>
      <c r="B132" s="4" t="s">
        <v>184</v>
      </c>
      <c r="C132" s="24">
        <v>22.430299999999999</v>
      </c>
      <c r="D132" s="24">
        <v>22.301400000000001</v>
      </c>
      <c r="E132" s="21"/>
      <c r="F132" s="18"/>
      <c r="G132" s="25"/>
    </row>
    <row r="133" spans="1:7" ht="17.100000000000001" customHeight="1" x14ac:dyDescent="0.2">
      <c r="A133" s="21"/>
      <c r="B133" s="4" t="s">
        <v>1039</v>
      </c>
      <c r="C133" s="24">
        <v>22.430299999999999</v>
      </c>
      <c r="D133" s="24">
        <v>22.301400000000001</v>
      </c>
      <c r="E133" s="21"/>
      <c r="F133" s="18"/>
      <c r="G133" s="25"/>
    </row>
    <row r="134" spans="1:7" ht="17.100000000000001" customHeight="1" x14ac:dyDescent="0.2">
      <c r="A134" s="21"/>
      <c r="B134" s="4" t="s">
        <v>185</v>
      </c>
      <c r="C134" s="24">
        <v>21.819600000000001</v>
      </c>
      <c r="D134" s="24">
        <v>21.689599999999999</v>
      </c>
      <c r="E134" s="21"/>
      <c r="F134" s="18"/>
      <c r="G134" s="25"/>
    </row>
    <row r="135" spans="1:7" ht="17.100000000000001" customHeight="1" x14ac:dyDescent="0.2">
      <c r="A135" s="21"/>
      <c r="B135" s="4" t="s">
        <v>1040</v>
      </c>
      <c r="C135" s="24">
        <v>21.819700000000001</v>
      </c>
      <c r="D135" s="24">
        <v>21.689699999999998</v>
      </c>
      <c r="E135" s="21"/>
      <c r="F135" s="18"/>
      <c r="G135" s="25"/>
    </row>
    <row r="136" spans="1:7" ht="14.1" customHeight="1" x14ac:dyDescent="0.2">
      <c r="A136" s="21"/>
      <c r="B136" s="21"/>
      <c r="C136" s="21"/>
      <c r="D136" s="21"/>
      <c r="E136" s="21"/>
      <c r="F136" s="21"/>
      <c r="G136" s="21"/>
    </row>
    <row r="137" spans="1:7" ht="17.100000000000001" customHeight="1" x14ac:dyDescent="0.2">
      <c r="A137" s="21"/>
      <c r="B137" s="121" t="s">
        <v>1041</v>
      </c>
      <c r="C137" s="122"/>
      <c r="D137" s="2" t="s">
        <v>176</v>
      </c>
      <c r="E137" s="21"/>
      <c r="F137" s="21"/>
      <c r="G137" s="21"/>
    </row>
    <row r="138" spans="1:7" ht="18" customHeight="1" x14ac:dyDescent="0.2">
      <c r="A138" s="21"/>
      <c r="B138" s="26"/>
      <c r="C138" s="26"/>
      <c r="D138" s="26"/>
      <c r="E138" s="21"/>
      <c r="F138" s="21"/>
      <c r="G138" s="21"/>
    </row>
    <row r="139" spans="1:7" ht="29.1" customHeight="1" x14ac:dyDescent="0.2">
      <c r="A139" s="21"/>
      <c r="B139" s="121" t="s">
        <v>186</v>
      </c>
      <c r="C139" s="122"/>
      <c r="D139" s="2" t="s">
        <v>176</v>
      </c>
      <c r="E139" s="27"/>
      <c r="F139" s="21"/>
      <c r="G139" s="21"/>
    </row>
    <row r="140" spans="1:7" ht="29.1" customHeight="1" x14ac:dyDescent="0.2">
      <c r="A140" s="21"/>
      <c r="B140" s="121" t="s">
        <v>187</v>
      </c>
      <c r="C140" s="122"/>
      <c r="D140" s="2" t="s">
        <v>176</v>
      </c>
      <c r="E140" s="27"/>
      <c r="F140" s="21"/>
      <c r="G140" s="21"/>
    </row>
    <row r="141" spans="1:7" ht="17.100000000000001" customHeight="1" x14ac:dyDescent="0.2">
      <c r="A141" s="21"/>
      <c r="B141" s="121" t="s">
        <v>188</v>
      </c>
      <c r="C141" s="122"/>
      <c r="D141" s="2" t="s">
        <v>176</v>
      </c>
      <c r="E141" s="27"/>
      <c r="F141" s="21"/>
      <c r="G141" s="21"/>
    </row>
    <row r="142" spans="1:7" ht="17.100000000000001" customHeight="1" x14ac:dyDescent="0.2">
      <c r="A142" s="21"/>
      <c r="B142" s="121" t="s">
        <v>189</v>
      </c>
      <c r="C142" s="122"/>
      <c r="D142" s="50">
        <v>8.2319418393168392E-2</v>
      </c>
      <c r="E142" s="21"/>
      <c r="F142" s="18"/>
      <c r="G142" s="25"/>
    </row>
    <row r="158" spans="10:14" x14ac:dyDescent="0.2">
      <c r="J158" s="104"/>
      <c r="K158" s="104"/>
      <c r="L158" s="104"/>
      <c r="M158" s="104"/>
      <c r="N158" s="104"/>
    </row>
  </sheetData>
  <mergeCells count="15">
    <mergeCell ref="A1:H1"/>
    <mergeCell ref="A2:H2"/>
    <mergeCell ref="A3:H3"/>
    <mergeCell ref="J2:N2"/>
    <mergeCell ref="B142:C142"/>
    <mergeCell ref="B128:C128"/>
    <mergeCell ref="B129:C129"/>
    <mergeCell ref="B137:C137"/>
    <mergeCell ref="B139:C139"/>
    <mergeCell ref="B140:C140"/>
    <mergeCell ref="B141:C141"/>
    <mergeCell ref="B127:C127"/>
    <mergeCell ref="B124:F124"/>
    <mergeCell ref="B126:D126"/>
    <mergeCell ref="B123:F123"/>
  </mergeCells>
  <hyperlinks>
    <hyperlink ref="I1" location="Index!B6" display="Index" xr:uid="{886555F9-3AB6-45B5-A888-CA45C2E84074}"/>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P155"/>
  <sheetViews>
    <sheetView showGridLines="0" workbookViewId="0">
      <selection activeCell="I1" sqref="I1"/>
    </sheetView>
  </sheetViews>
  <sheetFormatPr defaultRowHeight="12.75" x14ac:dyDescent="0.2"/>
  <cols>
    <col min="1" max="1" width="6.85546875" customWidth="1"/>
    <col min="2" max="2" width="20.5703125" customWidth="1"/>
    <col min="3" max="3" width="35.140625" customWidth="1"/>
    <col min="4" max="4" width="17.85546875" customWidth="1"/>
    <col min="5" max="6" width="19.140625" customWidth="1"/>
    <col min="7" max="7" width="16.42578125" customWidth="1"/>
  </cols>
  <sheetData>
    <row r="1" spans="1:16" ht="18" customHeight="1" x14ac:dyDescent="0.2">
      <c r="A1" s="116" t="s">
        <v>0</v>
      </c>
      <c r="B1" s="116"/>
      <c r="C1" s="116"/>
      <c r="D1" s="116"/>
      <c r="E1" s="116"/>
      <c r="F1" s="116"/>
      <c r="G1" s="116"/>
      <c r="H1" s="116"/>
      <c r="I1" s="98" t="s">
        <v>1053</v>
      </c>
    </row>
    <row r="2" spans="1:16" ht="17.100000000000001" customHeight="1" x14ac:dyDescent="0.2">
      <c r="A2" s="117" t="s">
        <v>464</v>
      </c>
      <c r="B2" s="118"/>
      <c r="C2" s="118"/>
      <c r="D2" s="118"/>
      <c r="E2" s="118"/>
      <c r="F2" s="118"/>
      <c r="G2" s="118"/>
      <c r="H2" s="119"/>
      <c r="J2" s="120" t="s">
        <v>1054</v>
      </c>
      <c r="K2" s="120"/>
      <c r="L2" s="120"/>
      <c r="M2" s="120"/>
      <c r="N2" s="120"/>
    </row>
    <row r="3" spans="1:16" ht="21" customHeight="1" x14ac:dyDescent="0.2">
      <c r="A3" s="116" t="s">
        <v>1049</v>
      </c>
      <c r="B3" s="116"/>
      <c r="C3" s="116"/>
      <c r="D3" s="116"/>
      <c r="E3" s="116"/>
      <c r="F3" s="116"/>
      <c r="G3" s="116"/>
      <c r="H3" s="116"/>
    </row>
    <row r="4" spans="1:16" ht="30" x14ac:dyDescent="0.2">
      <c r="A4" s="96" t="s">
        <v>2</v>
      </c>
      <c r="B4" s="96" t="s">
        <v>3</v>
      </c>
      <c r="C4" s="96" t="s">
        <v>4</v>
      </c>
      <c r="D4" s="96" t="s">
        <v>5</v>
      </c>
      <c r="E4" s="96" t="s">
        <v>6</v>
      </c>
      <c r="F4" s="96" t="s">
        <v>7</v>
      </c>
      <c r="G4" s="96" t="s">
        <v>8</v>
      </c>
      <c r="H4" s="51" t="s">
        <v>1002</v>
      </c>
      <c r="I4" s="99"/>
      <c r="J4" s="99"/>
      <c r="K4" s="99"/>
      <c r="L4" s="99"/>
      <c r="M4" s="99"/>
      <c r="N4" s="99"/>
      <c r="O4" s="99"/>
      <c r="P4" s="99"/>
    </row>
    <row r="5" spans="1:16" ht="14.1" customHeight="1" x14ac:dyDescent="0.2">
      <c r="A5" s="1"/>
      <c r="B5" s="1"/>
      <c r="C5" s="2" t="s">
        <v>9</v>
      </c>
      <c r="D5" s="1"/>
      <c r="E5" s="1"/>
      <c r="F5" s="1"/>
      <c r="G5" s="1"/>
      <c r="H5" s="52"/>
    </row>
    <row r="6" spans="1:16" ht="24" customHeight="1" x14ac:dyDescent="0.2">
      <c r="A6" s="1"/>
      <c r="B6" s="1"/>
      <c r="C6" s="2" t="s">
        <v>10</v>
      </c>
      <c r="D6" s="1"/>
      <c r="E6" s="1"/>
      <c r="F6" s="1"/>
      <c r="G6" s="1"/>
      <c r="H6" s="52"/>
    </row>
    <row r="7" spans="1:16" ht="17.100000000000001" customHeight="1" x14ac:dyDescent="0.2">
      <c r="A7" s="3">
        <v>1</v>
      </c>
      <c r="B7" s="4" t="s">
        <v>397</v>
      </c>
      <c r="C7" s="4" t="s">
        <v>398</v>
      </c>
      <c r="D7" s="4" t="s">
        <v>60</v>
      </c>
      <c r="E7" s="5">
        <v>3134</v>
      </c>
      <c r="F7" s="6">
        <v>129.56269399999999</v>
      </c>
      <c r="G7" s="7">
        <v>5.7714149999999999E-2</v>
      </c>
      <c r="H7" s="52"/>
    </row>
    <row r="8" spans="1:16" ht="17.100000000000001" customHeight="1" x14ac:dyDescent="0.2">
      <c r="A8" s="3">
        <v>2</v>
      </c>
      <c r="B8" s="4" t="s">
        <v>32</v>
      </c>
      <c r="C8" s="4" t="s">
        <v>33</v>
      </c>
      <c r="D8" s="4" t="s">
        <v>31</v>
      </c>
      <c r="E8" s="5">
        <v>3493</v>
      </c>
      <c r="F8" s="6">
        <v>106.941688</v>
      </c>
      <c r="G8" s="7">
        <v>4.7637539999999999E-2</v>
      </c>
      <c r="H8" s="52"/>
    </row>
    <row r="9" spans="1:16" ht="17.100000000000001" customHeight="1" x14ac:dyDescent="0.2">
      <c r="A9" s="3">
        <v>3</v>
      </c>
      <c r="B9" s="4" t="s">
        <v>399</v>
      </c>
      <c r="C9" s="4" t="s">
        <v>400</v>
      </c>
      <c r="D9" s="4" t="s">
        <v>28</v>
      </c>
      <c r="E9" s="5">
        <v>101192</v>
      </c>
      <c r="F9" s="6">
        <v>93.855580000000003</v>
      </c>
      <c r="G9" s="7">
        <v>4.1808289999999998E-2</v>
      </c>
      <c r="H9" s="52"/>
    </row>
    <row r="10" spans="1:16" ht="17.100000000000001" customHeight="1" x14ac:dyDescent="0.2">
      <c r="A10" s="3">
        <v>4</v>
      </c>
      <c r="B10" s="4" t="s">
        <v>48</v>
      </c>
      <c r="C10" s="4" t="s">
        <v>49</v>
      </c>
      <c r="D10" s="4" t="s">
        <v>31</v>
      </c>
      <c r="E10" s="5">
        <v>3854</v>
      </c>
      <c r="F10" s="6">
        <v>92.588496000000006</v>
      </c>
      <c r="G10" s="7">
        <v>4.124386E-2</v>
      </c>
      <c r="H10" s="52"/>
    </row>
    <row r="11" spans="1:16" ht="17.100000000000001" customHeight="1" x14ac:dyDescent="0.2">
      <c r="A11" s="3">
        <v>5</v>
      </c>
      <c r="B11" s="4" t="s">
        <v>125</v>
      </c>
      <c r="C11" s="4" t="s">
        <v>126</v>
      </c>
      <c r="D11" s="4" t="s">
        <v>60</v>
      </c>
      <c r="E11" s="5">
        <v>23786</v>
      </c>
      <c r="F11" s="6">
        <v>84.214332999999996</v>
      </c>
      <c r="G11" s="7">
        <v>3.7513560000000001E-2</v>
      </c>
      <c r="H11" s="52"/>
    </row>
    <row r="12" spans="1:16" ht="17.100000000000001" customHeight="1" x14ac:dyDescent="0.2">
      <c r="A12" s="3">
        <v>6</v>
      </c>
      <c r="B12" s="4" t="s">
        <v>212</v>
      </c>
      <c r="C12" s="4" t="s">
        <v>213</v>
      </c>
      <c r="D12" s="4" t="s">
        <v>888</v>
      </c>
      <c r="E12" s="5">
        <v>1195</v>
      </c>
      <c r="F12" s="6">
        <v>73.61439</v>
      </c>
      <c r="G12" s="7">
        <v>3.279178E-2</v>
      </c>
      <c r="H12" s="52"/>
    </row>
    <row r="13" spans="1:16" ht="17.100000000000001" customHeight="1" x14ac:dyDescent="0.2">
      <c r="A13" s="3">
        <v>7</v>
      </c>
      <c r="B13" s="4" t="s">
        <v>355</v>
      </c>
      <c r="C13" s="4" t="s">
        <v>356</v>
      </c>
      <c r="D13" s="4" t="s">
        <v>357</v>
      </c>
      <c r="E13" s="5">
        <v>2929</v>
      </c>
      <c r="F13" s="6">
        <v>68.272060999999994</v>
      </c>
      <c r="G13" s="7">
        <v>3.0412020000000001E-2</v>
      </c>
      <c r="H13" s="52"/>
    </row>
    <row r="14" spans="1:16" ht="17.100000000000001" customHeight="1" x14ac:dyDescent="0.2">
      <c r="A14" s="3">
        <v>8</v>
      </c>
      <c r="B14" s="4" t="s">
        <v>403</v>
      </c>
      <c r="C14" s="4" t="s">
        <v>404</v>
      </c>
      <c r="D14" s="4" t="s">
        <v>31</v>
      </c>
      <c r="E14" s="5">
        <v>5262</v>
      </c>
      <c r="F14" s="6">
        <v>63.041390999999997</v>
      </c>
      <c r="G14" s="7">
        <v>2.8081999999999999E-2</v>
      </c>
      <c r="H14" s="52"/>
      <c r="J14" s="101" t="s">
        <v>1062</v>
      </c>
    </row>
    <row r="15" spans="1:16" ht="17.100000000000001" customHeight="1" x14ac:dyDescent="0.2">
      <c r="A15" s="3">
        <v>9</v>
      </c>
      <c r="B15" s="4" t="s">
        <v>401</v>
      </c>
      <c r="C15" s="4" t="s">
        <v>402</v>
      </c>
      <c r="D15" s="4" t="s">
        <v>259</v>
      </c>
      <c r="E15" s="5">
        <v>3916</v>
      </c>
      <c r="F15" s="6">
        <v>62.587470000000003</v>
      </c>
      <c r="G15" s="7">
        <v>2.78798E-2</v>
      </c>
      <c r="H15" s="52"/>
    </row>
    <row r="16" spans="1:16" ht="17.100000000000001" customHeight="1" x14ac:dyDescent="0.2">
      <c r="A16" s="3">
        <v>10</v>
      </c>
      <c r="B16" s="4" t="s">
        <v>405</v>
      </c>
      <c r="C16" s="4" t="s">
        <v>406</v>
      </c>
      <c r="D16" s="4" t="s">
        <v>357</v>
      </c>
      <c r="E16" s="5">
        <v>2367</v>
      </c>
      <c r="F16" s="6">
        <v>61.114756499999999</v>
      </c>
      <c r="G16" s="7">
        <v>2.722378E-2</v>
      </c>
      <c r="H16" s="52"/>
    </row>
    <row r="17" spans="1:8" ht="17.100000000000001" customHeight="1" x14ac:dyDescent="0.2">
      <c r="A17" s="3">
        <v>11</v>
      </c>
      <c r="B17" s="4" t="s">
        <v>409</v>
      </c>
      <c r="C17" s="4" t="s">
        <v>410</v>
      </c>
      <c r="D17" s="4" t="s">
        <v>205</v>
      </c>
      <c r="E17" s="5">
        <v>15930</v>
      </c>
      <c r="F17" s="6">
        <v>59.012684999999998</v>
      </c>
      <c r="G17" s="7">
        <v>2.6287399999999999E-2</v>
      </c>
      <c r="H17" s="52"/>
    </row>
    <row r="18" spans="1:8" ht="17.100000000000001" customHeight="1" x14ac:dyDescent="0.2">
      <c r="A18" s="3">
        <v>12</v>
      </c>
      <c r="B18" s="4" t="s">
        <v>415</v>
      </c>
      <c r="C18" s="4" t="s">
        <v>416</v>
      </c>
      <c r="D18" s="4" t="s">
        <v>70</v>
      </c>
      <c r="E18" s="5">
        <v>3328</v>
      </c>
      <c r="F18" s="6">
        <v>53.154815999999997</v>
      </c>
      <c r="G18" s="7">
        <v>2.3678000000000001E-2</v>
      </c>
      <c r="H18" s="52"/>
    </row>
    <row r="19" spans="1:8" ht="17.100000000000001" customHeight="1" x14ac:dyDescent="0.2">
      <c r="A19" s="3">
        <v>13</v>
      </c>
      <c r="B19" s="4" t="s">
        <v>411</v>
      </c>
      <c r="C19" s="4" t="s">
        <v>412</v>
      </c>
      <c r="D19" s="4" t="s">
        <v>70</v>
      </c>
      <c r="E19" s="5">
        <v>6934</v>
      </c>
      <c r="F19" s="6">
        <v>52.937623000000002</v>
      </c>
      <c r="G19" s="7">
        <v>2.3581250000000002E-2</v>
      </c>
      <c r="H19" s="52"/>
    </row>
    <row r="20" spans="1:8" ht="17.100000000000001" customHeight="1" x14ac:dyDescent="0.2">
      <c r="A20" s="3">
        <v>14</v>
      </c>
      <c r="B20" s="4" t="s">
        <v>407</v>
      </c>
      <c r="C20" s="4" t="s">
        <v>408</v>
      </c>
      <c r="D20" s="4" t="s">
        <v>13</v>
      </c>
      <c r="E20" s="5">
        <v>40346</v>
      </c>
      <c r="F20" s="6">
        <v>52.429627000000004</v>
      </c>
      <c r="G20" s="7">
        <v>2.3354960000000001E-2</v>
      </c>
      <c r="H20" s="52"/>
    </row>
    <row r="21" spans="1:8" ht="29.1" customHeight="1" x14ac:dyDescent="0.2">
      <c r="A21" s="3">
        <v>15</v>
      </c>
      <c r="B21" s="4" t="s">
        <v>413</v>
      </c>
      <c r="C21" s="4" t="s">
        <v>414</v>
      </c>
      <c r="D21" s="4" t="s">
        <v>226</v>
      </c>
      <c r="E21" s="5">
        <v>3630</v>
      </c>
      <c r="F21" s="6">
        <v>50.756475000000002</v>
      </c>
      <c r="G21" s="7">
        <v>2.2609649999999998E-2</v>
      </c>
      <c r="H21" s="52"/>
    </row>
    <row r="22" spans="1:8" ht="17.100000000000001" customHeight="1" x14ac:dyDescent="0.2">
      <c r="A22" s="3">
        <v>16</v>
      </c>
      <c r="B22" s="4" t="s">
        <v>417</v>
      </c>
      <c r="C22" s="4" t="s">
        <v>418</v>
      </c>
      <c r="D22" s="4" t="s">
        <v>231</v>
      </c>
      <c r="E22" s="5">
        <v>3795</v>
      </c>
      <c r="F22" s="6">
        <v>49.162327500000004</v>
      </c>
      <c r="G22" s="7">
        <v>2.189953E-2</v>
      </c>
      <c r="H22" s="52"/>
    </row>
    <row r="23" spans="1:8" ht="17.100000000000001" customHeight="1" x14ac:dyDescent="0.2">
      <c r="A23" s="3">
        <v>17</v>
      </c>
      <c r="B23" s="4" t="s">
        <v>98</v>
      </c>
      <c r="C23" s="4" t="s">
        <v>99</v>
      </c>
      <c r="D23" s="4" t="s">
        <v>93</v>
      </c>
      <c r="E23" s="5">
        <v>7883</v>
      </c>
      <c r="F23" s="6">
        <v>48.5159235</v>
      </c>
      <c r="G23" s="7">
        <v>2.161159E-2</v>
      </c>
      <c r="H23" s="52"/>
    </row>
    <row r="24" spans="1:8" ht="17.100000000000001" customHeight="1" x14ac:dyDescent="0.2">
      <c r="A24" s="3">
        <v>18</v>
      </c>
      <c r="B24" s="4" t="s">
        <v>421</v>
      </c>
      <c r="C24" s="4" t="s">
        <v>422</v>
      </c>
      <c r="D24" s="4" t="s">
        <v>60</v>
      </c>
      <c r="E24" s="5">
        <v>4055</v>
      </c>
      <c r="F24" s="6">
        <v>44.012970000000003</v>
      </c>
      <c r="G24" s="7">
        <v>1.9605729999999998E-2</v>
      </c>
      <c r="H24" s="52"/>
    </row>
    <row r="25" spans="1:8" ht="17.100000000000001" customHeight="1" x14ac:dyDescent="0.2">
      <c r="A25" s="3">
        <v>19</v>
      </c>
      <c r="B25" s="4" t="s">
        <v>419</v>
      </c>
      <c r="C25" s="4" t="s">
        <v>420</v>
      </c>
      <c r="D25" s="4" t="s">
        <v>70</v>
      </c>
      <c r="E25" s="5">
        <v>38221</v>
      </c>
      <c r="F25" s="6">
        <v>43.763044999999998</v>
      </c>
      <c r="G25" s="7">
        <v>1.9494399999999999E-2</v>
      </c>
      <c r="H25" s="52"/>
    </row>
    <row r="26" spans="1:8" ht="17.100000000000001" customHeight="1" x14ac:dyDescent="0.2">
      <c r="A26" s="3">
        <v>20</v>
      </c>
      <c r="B26" s="4" t="s">
        <v>423</v>
      </c>
      <c r="C26" s="4" t="s">
        <v>424</v>
      </c>
      <c r="D26" s="4" t="s">
        <v>242</v>
      </c>
      <c r="E26" s="5">
        <v>19328</v>
      </c>
      <c r="F26" s="6">
        <v>43.333376000000001</v>
      </c>
      <c r="G26" s="7">
        <v>1.9303000000000001E-2</v>
      </c>
      <c r="H26" s="52"/>
    </row>
    <row r="27" spans="1:8" ht="29.1" customHeight="1" x14ac:dyDescent="0.2">
      <c r="A27" s="3">
        <v>21</v>
      </c>
      <c r="B27" s="4" t="s">
        <v>214</v>
      </c>
      <c r="C27" s="4" t="s">
        <v>215</v>
      </c>
      <c r="D27" s="4" t="s">
        <v>216</v>
      </c>
      <c r="E27" s="5">
        <v>1246</v>
      </c>
      <c r="F27" s="6">
        <v>42.840595</v>
      </c>
      <c r="G27" s="7">
        <v>1.9083490000000002E-2</v>
      </c>
      <c r="H27" s="52"/>
    </row>
    <row r="28" spans="1:8" ht="29.1" customHeight="1" x14ac:dyDescent="0.2">
      <c r="A28" s="3">
        <v>22</v>
      </c>
      <c r="B28" s="4" t="s">
        <v>435</v>
      </c>
      <c r="C28" s="4" t="s">
        <v>436</v>
      </c>
      <c r="D28" s="4" t="s">
        <v>437</v>
      </c>
      <c r="E28" s="5">
        <v>28099</v>
      </c>
      <c r="F28" s="6">
        <v>42.612133499999999</v>
      </c>
      <c r="G28" s="7">
        <v>1.8981720000000001E-2</v>
      </c>
      <c r="H28" s="52"/>
    </row>
    <row r="29" spans="1:8" ht="17.100000000000001" customHeight="1" x14ac:dyDescent="0.2">
      <c r="A29" s="3">
        <v>23</v>
      </c>
      <c r="B29" s="4" t="s">
        <v>433</v>
      </c>
      <c r="C29" s="4" t="s">
        <v>434</v>
      </c>
      <c r="D29" s="4" t="s">
        <v>60</v>
      </c>
      <c r="E29" s="5">
        <v>6854</v>
      </c>
      <c r="F29" s="6">
        <v>42.419406000000002</v>
      </c>
      <c r="G29" s="7">
        <v>1.8895869999999999E-2</v>
      </c>
      <c r="H29" s="52"/>
    </row>
    <row r="30" spans="1:8" ht="17.100000000000001" customHeight="1" x14ac:dyDescent="0.2">
      <c r="A30" s="3">
        <v>24</v>
      </c>
      <c r="B30" s="4" t="s">
        <v>427</v>
      </c>
      <c r="C30" s="4" t="s">
        <v>428</v>
      </c>
      <c r="D30" s="4" t="s">
        <v>93</v>
      </c>
      <c r="E30" s="5">
        <v>2275</v>
      </c>
      <c r="F30" s="6">
        <v>41.299212500000003</v>
      </c>
      <c r="G30" s="7">
        <v>1.8396880000000001E-2</v>
      </c>
      <c r="H30" s="52"/>
    </row>
    <row r="31" spans="1:8" ht="17.100000000000001" customHeight="1" x14ac:dyDescent="0.2">
      <c r="A31" s="3">
        <v>25</v>
      </c>
      <c r="B31" s="4" t="s">
        <v>46</v>
      </c>
      <c r="C31" s="4" t="s">
        <v>47</v>
      </c>
      <c r="D31" s="4" t="s">
        <v>31</v>
      </c>
      <c r="E31" s="5">
        <v>1906</v>
      </c>
      <c r="F31" s="6">
        <v>40.872264000000001</v>
      </c>
      <c r="G31" s="7">
        <v>1.8206690000000001E-2</v>
      </c>
      <c r="H31" s="52"/>
    </row>
    <row r="32" spans="1:8" ht="29.1" customHeight="1" x14ac:dyDescent="0.2">
      <c r="A32" s="3">
        <v>26</v>
      </c>
      <c r="B32" s="4" t="s">
        <v>119</v>
      </c>
      <c r="C32" s="4" t="s">
        <v>120</v>
      </c>
      <c r="D32" s="4" t="s">
        <v>36</v>
      </c>
      <c r="E32" s="5">
        <v>1669</v>
      </c>
      <c r="F32" s="6">
        <v>40.704406499999997</v>
      </c>
      <c r="G32" s="7">
        <v>1.8131919999999999E-2</v>
      </c>
      <c r="H32" s="52"/>
    </row>
    <row r="33" spans="1:8" ht="17.100000000000001" customHeight="1" x14ac:dyDescent="0.2">
      <c r="A33" s="3">
        <v>27</v>
      </c>
      <c r="B33" s="4" t="s">
        <v>425</v>
      </c>
      <c r="C33" s="4" t="s">
        <v>426</v>
      </c>
      <c r="D33" s="4" t="s">
        <v>231</v>
      </c>
      <c r="E33" s="5">
        <v>5099</v>
      </c>
      <c r="F33" s="6">
        <v>40.465663999999997</v>
      </c>
      <c r="G33" s="7">
        <v>1.8025570000000001E-2</v>
      </c>
      <c r="H33" s="52"/>
    </row>
    <row r="34" spans="1:8" ht="17.100000000000001" customHeight="1" x14ac:dyDescent="0.2">
      <c r="A34" s="3">
        <v>28</v>
      </c>
      <c r="B34" s="4" t="s">
        <v>243</v>
      </c>
      <c r="C34" s="4" t="s">
        <v>244</v>
      </c>
      <c r="D34" s="4" t="s">
        <v>105</v>
      </c>
      <c r="E34" s="5">
        <v>700</v>
      </c>
      <c r="F34" s="6">
        <v>37.902549999999998</v>
      </c>
      <c r="G34" s="7">
        <v>1.6883820000000001E-2</v>
      </c>
      <c r="H34" s="52"/>
    </row>
    <row r="35" spans="1:8" ht="29.1" customHeight="1" x14ac:dyDescent="0.2">
      <c r="A35" s="3">
        <v>29</v>
      </c>
      <c r="B35" s="4" t="s">
        <v>115</v>
      </c>
      <c r="C35" s="4" t="s">
        <v>116</v>
      </c>
      <c r="D35" s="4" t="s">
        <v>25</v>
      </c>
      <c r="E35" s="5">
        <v>1193</v>
      </c>
      <c r="F35" s="6">
        <v>37.627220000000001</v>
      </c>
      <c r="G35" s="7">
        <v>1.6761169999999999E-2</v>
      </c>
      <c r="H35" s="52"/>
    </row>
    <row r="36" spans="1:8" ht="17.100000000000001" customHeight="1" x14ac:dyDescent="0.2">
      <c r="A36" s="3">
        <v>30</v>
      </c>
      <c r="B36" s="4" t="s">
        <v>438</v>
      </c>
      <c r="C36" s="4" t="s">
        <v>439</v>
      </c>
      <c r="D36" s="4" t="s">
        <v>889</v>
      </c>
      <c r="E36" s="5">
        <v>3437</v>
      </c>
      <c r="F36" s="6">
        <v>36.134899500000003</v>
      </c>
      <c r="G36" s="7">
        <v>1.609642E-2</v>
      </c>
      <c r="H36" s="52"/>
    </row>
    <row r="37" spans="1:8" ht="29.1" customHeight="1" x14ac:dyDescent="0.2">
      <c r="A37" s="3">
        <v>31</v>
      </c>
      <c r="B37" s="4" t="s">
        <v>431</v>
      </c>
      <c r="C37" s="4" t="s">
        <v>432</v>
      </c>
      <c r="D37" s="4" t="s">
        <v>57</v>
      </c>
      <c r="E37" s="5">
        <v>1417</v>
      </c>
      <c r="F37" s="6">
        <v>35.216701</v>
      </c>
      <c r="G37" s="7">
        <v>1.5687400000000001E-2</v>
      </c>
      <c r="H37" s="52"/>
    </row>
    <row r="38" spans="1:8" ht="17.100000000000001" customHeight="1" x14ac:dyDescent="0.2">
      <c r="A38" s="3">
        <v>32</v>
      </c>
      <c r="B38" s="4" t="s">
        <v>429</v>
      </c>
      <c r="C38" s="4" t="s">
        <v>430</v>
      </c>
      <c r="D38" s="4" t="s">
        <v>311</v>
      </c>
      <c r="E38" s="5">
        <v>4092</v>
      </c>
      <c r="F38" s="6">
        <v>34.990692000000003</v>
      </c>
      <c r="G38" s="7">
        <v>1.558672E-2</v>
      </c>
      <c r="H38" s="52"/>
    </row>
    <row r="39" spans="1:8" ht="29.1" customHeight="1" x14ac:dyDescent="0.2">
      <c r="A39" s="3">
        <v>33</v>
      </c>
      <c r="B39" s="4" t="s">
        <v>271</v>
      </c>
      <c r="C39" s="4" t="s">
        <v>272</v>
      </c>
      <c r="D39" s="4" t="s">
        <v>226</v>
      </c>
      <c r="E39" s="5">
        <v>9440</v>
      </c>
      <c r="F39" s="6">
        <v>34.1492</v>
      </c>
      <c r="G39" s="7">
        <v>1.5211880000000001E-2</v>
      </c>
      <c r="H39" s="52"/>
    </row>
    <row r="40" spans="1:8" ht="17.100000000000001" customHeight="1" x14ac:dyDescent="0.2">
      <c r="A40" s="3">
        <v>34</v>
      </c>
      <c r="B40" s="4" t="s">
        <v>279</v>
      </c>
      <c r="C40" s="4" t="s">
        <v>280</v>
      </c>
      <c r="D40" s="4" t="s">
        <v>888</v>
      </c>
      <c r="E40" s="5">
        <v>2391</v>
      </c>
      <c r="F40" s="6">
        <v>29.111620500000001</v>
      </c>
      <c r="G40" s="7">
        <v>1.2967869999999999E-2</v>
      </c>
      <c r="H40" s="52"/>
    </row>
    <row r="41" spans="1:8" ht="17.100000000000001" customHeight="1" x14ac:dyDescent="0.2">
      <c r="A41" s="3">
        <v>35</v>
      </c>
      <c r="B41" s="4" t="s">
        <v>442</v>
      </c>
      <c r="C41" s="4" t="s">
        <v>443</v>
      </c>
      <c r="D41" s="4" t="s">
        <v>70</v>
      </c>
      <c r="E41" s="5">
        <v>2752</v>
      </c>
      <c r="F41" s="6">
        <v>24.829920000000001</v>
      </c>
      <c r="G41" s="7">
        <v>1.106057E-2</v>
      </c>
      <c r="H41" s="52"/>
    </row>
    <row r="42" spans="1:8" ht="17.100000000000001" customHeight="1" x14ac:dyDescent="0.2">
      <c r="A42" s="3">
        <v>36</v>
      </c>
      <c r="B42" s="4" t="s">
        <v>454</v>
      </c>
      <c r="C42" s="4" t="s">
        <v>455</v>
      </c>
      <c r="D42" s="4" t="s">
        <v>31</v>
      </c>
      <c r="E42" s="5">
        <v>2300</v>
      </c>
      <c r="F42" s="6">
        <v>24.65485</v>
      </c>
      <c r="G42" s="7">
        <v>1.098259E-2</v>
      </c>
      <c r="H42" s="52"/>
    </row>
    <row r="43" spans="1:8" ht="29.1" customHeight="1" x14ac:dyDescent="0.2">
      <c r="A43" s="3">
        <v>37</v>
      </c>
      <c r="B43" s="4" t="s">
        <v>456</v>
      </c>
      <c r="C43" s="4" t="s">
        <v>457</v>
      </c>
      <c r="D43" s="4" t="s">
        <v>226</v>
      </c>
      <c r="E43" s="5">
        <v>472</v>
      </c>
      <c r="F43" s="6">
        <v>24.084271999999999</v>
      </c>
      <c r="G43" s="7">
        <v>1.0728420000000001E-2</v>
      </c>
      <c r="H43" s="52"/>
    </row>
    <row r="44" spans="1:8" ht="29.1" customHeight="1" x14ac:dyDescent="0.2">
      <c r="A44" s="3">
        <v>38</v>
      </c>
      <c r="B44" s="4" t="s">
        <v>440</v>
      </c>
      <c r="C44" s="4" t="s">
        <v>441</v>
      </c>
      <c r="D44" s="4" t="s">
        <v>226</v>
      </c>
      <c r="E44" s="5">
        <v>7291</v>
      </c>
      <c r="F44" s="6">
        <v>23.170798000000001</v>
      </c>
      <c r="G44" s="7">
        <v>1.0321510000000001E-2</v>
      </c>
      <c r="H44" s="52"/>
    </row>
    <row r="45" spans="1:8" ht="17.100000000000001" customHeight="1" x14ac:dyDescent="0.2">
      <c r="A45" s="3">
        <v>39</v>
      </c>
      <c r="B45" s="4" t="s">
        <v>448</v>
      </c>
      <c r="C45" s="4" t="s">
        <v>449</v>
      </c>
      <c r="D45" s="4" t="s">
        <v>231</v>
      </c>
      <c r="E45" s="5">
        <v>10135</v>
      </c>
      <c r="F45" s="6">
        <v>23.097664999999999</v>
      </c>
      <c r="G45" s="7">
        <v>1.028893E-2</v>
      </c>
      <c r="H45" s="52"/>
    </row>
    <row r="46" spans="1:8" ht="17.100000000000001" customHeight="1" x14ac:dyDescent="0.2">
      <c r="A46" s="3">
        <v>40</v>
      </c>
      <c r="B46" s="4" t="s">
        <v>444</v>
      </c>
      <c r="C46" s="4" t="s">
        <v>445</v>
      </c>
      <c r="D46" s="4" t="s">
        <v>60</v>
      </c>
      <c r="E46" s="5">
        <v>4498</v>
      </c>
      <c r="F46" s="6">
        <v>23.074739999999998</v>
      </c>
      <c r="G46" s="7">
        <v>1.027872E-2</v>
      </c>
      <c r="H46" s="52"/>
    </row>
    <row r="47" spans="1:8" ht="17.100000000000001" customHeight="1" x14ac:dyDescent="0.2">
      <c r="A47" s="3">
        <v>41</v>
      </c>
      <c r="B47" s="4" t="s">
        <v>450</v>
      </c>
      <c r="C47" s="4" t="s">
        <v>451</v>
      </c>
      <c r="D47" s="4" t="s">
        <v>114</v>
      </c>
      <c r="E47" s="5">
        <v>2336</v>
      </c>
      <c r="F47" s="6">
        <v>20.998304000000001</v>
      </c>
      <c r="G47" s="7">
        <v>9.3537700000000008E-3</v>
      </c>
      <c r="H47" s="52"/>
    </row>
    <row r="48" spans="1:8" ht="17.100000000000001" customHeight="1" x14ac:dyDescent="0.2">
      <c r="A48" s="3">
        <v>42</v>
      </c>
      <c r="B48" s="4" t="s">
        <v>452</v>
      </c>
      <c r="C48" s="4" t="s">
        <v>453</v>
      </c>
      <c r="D48" s="4" t="s">
        <v>52</v>
      </c>
      <c r="E48" s="5">
        <v>2557</v>
      </c>
      <c r="F48" s="6">
        <v>20.936716000000001</v>
      </c>
      <c r="G48" s="7">
        <v>9.3263300000000007E-3</v>
      </c>
      <c r="H48" s="52"/>
    </row>
    <row r="49" spans="1:8" ht="17.100000000000001" customHeight="1" x14ac:dyDescent="0.2">
      <c r="A49" s="3">
        <v>43</v>
      </c>
      <c r="B49" s="4" t="s">
        <v>89</v>
      </c>
      <c r="C49" s="4" t="s">
        <v>90</v>
      </c>
      <c r="D49" s="4" t="s">
        <v>31</v>
      </c>
      <c r="E49" s="5">
        <v>2747</v>
      </c>
      <c r="F49" s="6">
        <v>18.833431999999998</v>
      </c>
      <c r="G49" s="7">
        <v>8.3894199999999999E-3</v>
      </c>
      <c r="H49" s="52"/>
    </row>
    <row r="50" spans="1:8" ht="29.1" customHeight="1" x14ac:dyDescent="0.2">
      <c r="A50" s="3">
        <v>44</v>
      </c>
      <c r="B50" s="4" t="s">
        <v>446</v>
      </c>
      <c r="C50" s="4" t="s">
        <v>447</v>
      </c>
      <c r="D50" s="4" t="s">
        <v>211</v>
      </c>
      <c r="E50" s="5">
        <v>3485</v>
      </c>
      <c r="F50" s="6">
        <v>16.085017499999999</v>
      </c>
      <c r="G50" s="7">
        <v>7.1651299999999996E-3</v>
      </c>
      <c r="H50" s="52"/>
    </row>
    <row r="51" spans="1:8" ht="17.100000000000001" customHeight="1" x14ac:dyDescent="0.2">
      <c r="A51" s="3">
        <v>45</v>
      </c>
      <c r="B51" s="4" t="s">
        <v>458</v>
      </c>
      <c r="C51" s="4" t="s">
        <v>459</v>
      </c>
      <c r="D51" s="4" t="s">
        <v>31</v>
      </c>
      <c r="E51" s="5">
        <v>1303</v>
      </c>
      <c r="F51" s="6">
        <v>11.3354485</v>
      </c>
      <c r="G51" s="7">
        <v>5.0494099999999998E-3</v>
      </c>
      <c r="H51" s="52"/>
    </row>
    <row r="52" spans="1:8" ht="29.1" customHeight="1" x14ac:dyDescent="0.2">
      <c r="A52" s="3">
        <v>46</v>
      </c>
      <c r="B52" s="4" t="s">
        <v>394</v>
      </c>
      <c r="C52" s="4" t="s">
        <v>395</v>
      </c>
      <c r="D52" s="4" t="s">
        <v>60</v>
      </c>
      <c r="E52" s="5">
        <v>2931</v>
      </c>
      <c r="F52" s="6">
        <v>8.2654200000000007</v>
      </c>
      <c r="G52" s="7">
        <v>3.6818599999999999E-3</v>
      </c>
      <c r="H52" s="52"/>
    </row>
    <row r="53" spans="1:8" ht="17.100000000000001" customHeight="1" x14ac:dyDescent="0.2">
      <c r="A53" s="3">
        <v>47</v>
      </c>
      <c r="B53" s="4" t="s">
        <v>307</v>
      </c>
      <c r="C53" s="4" t="s">
        <v>308</v>
      </c>
      <c r="D53" s="4" t="s">
        <v>70</v>
      </c>
      <c r="E53" s="5">
        <v>700</v>
      </c>
      <c r="F53" s="6">
        <v>7.1490999999999998</v>
      </c>
      <c r="G53" s="7">
        <v>3.1845900000000002E-3</v>
      </c>
      <c r="H53" s="52"/>
    </row>
    <row r="54" spans="1:8" ht="17.100000000000001" customHeight="1" x14ac:dyDescent="0.2">
      <c r="A54" s="3">
        <v>48</v>
      </c>
      <c r="B54" s="4" t="s">
        <v>462</v>
      </c>
      <c r="C54" s="4" t="s">
        <v>463</v>
      </c>
      <c r="D54" s="4" t="s">
        <v>28</v>
      </c>
      <c r="E54" s="5">
        <v>1611</v>
      </c>
      <c r="F54" s="6">
        <v>5.3227440000000001</v>
      </c>
      <c r="G54" s="7">
        <v>2.37104E-3</v>
      </c>
      <c r="H54" s="52"/>
    </row>
    <row r="55" spans="1:8" ht="29.1" customHeight="1" x14ac:dyDescent="0.2">
      <c r="A55" s="3">
        <v>49</v>
      </c>
      <c r="B55" s="4" t="s">
        <v>460</v>
      </c>
      <c r="C55" s="4" t="s">
        <v>461</v>
      </c>
      <c r="D55" s="4" t="s">
        <v>216</v>
      </c>
      <c r="E55" s="5">
        <v>1125</v>
      </c>
      <c r="F55" s="6">
        <v>4.9516875000000002</v>
      </c>
      <c r="G55" s="7">
        <v>2.2057499999999998E-3</v>
      </c>
      <c r="H55" s="52"/>
    </row>
    <row r="56" spans="1:8" ht="14.1" customHeight="1" x14ac:dyDescent="0.2">
      <c r="A56" s="1"/>
      <c r="B56" s="1"/>
      <c r="C56" s="2" t="s">
        <v>145</v>
      </c>
      <c r="D56" s="1"/>
      <c r="E56" s="1" t="s">
        <v>146</v>
      </c>
      <c r="F56" s="9">
        <v>2126.0084065000001</v>
      </c>
      <c r="G56" s="10">
        <v>0.94703775000000001</v>
      </c>
      <c r="H56" s="52"/>
    </row>
    <row r="57" spans="1:8" ht="14.1" customHeight="1" x14ac:dyDescent="0.2">
      <c r="A57" s="1"/>
      <c r="B57" s="1"/>
      <c r="C57" s="11"/>
      <c r="D57" s="1"/>
      <c r="E57" s="1"/>
      <c r="F57" s="12"/>
      <c r="G57" s="12"/>
      <c r="H57" s="52"/>
    </row>
    <row r="58" spans="1:8" ht="14.1" customHeight="1" x14ac:dyDescent="0.2">
      <c r="A58" s="1"/>
      <c r="B58" s="1"/>
      <c r="C58" s="2" t="s">
        <v>147</v>
      </c>
      <c r="D58" s="1"/>
      <c r="E58" s="1"/>
      <c r="F58" s="1"/>
      <c r="G58" s="1"/>
      <c r="H58" s="52"/>
    </row>
    <row r="59" spans="1:8" ht="14.1" customHeight="1" x14ac:dyDescent="0.2">
      <c r="A59" s="1"/>
      <c r="B59" s="1"/>
      <c r="C59" s="2" t="s">
        <v>145</v>
      </c>
      <c r="D59" s="1"/>
      <c r="E59" s="1" t="s">
        <v>146</v>
      </c>
      <c r="F59" s="13" t="s">
        <v>148</v>
      </c>
      <c r="G59" s="10">
        <v>0</v>
      </c>
      <c r="H59" s="52"/>
    </row>
    <row r="60" spans="1:8" ht="14.1" customHeight="1" x14ac:dyDescent="0.2">
      <c r="A60" s="1"/>
      <c r="B60" s="1"/>
      <c r="C60" s="11"/>
      <c r="D60" s="1"/>
      <c r="E60" s="1"/>
      <c r="F60" s="12"/>
      <c r="G60" s="12"/>
      <c r="H60" s="52"/>
    </row>
    <row r="61" spans="1:8" ht="14.1" customHeight="1" x14ac:dyDescent="0.2">
      <c r="A61" s="1"/>
      <c r="B61" s="1"/>
      <c r="C61" s="2" t="s">
        <v>149</v>
      </c>
      <c r="D61" s="1"/>
      <c r="E61" s="1"/>
      <c r="F61" s="1"/>
      <c r="G61" s="1"/>
      <c r="H61" s="52"/>
    </row>
    <row r="62" spans="1:8" ht="14.1" customHeight="1" x14ac:dyDescent="0.2">
      <c r="A62" s="1"/>
      <c r="B62" s="1"/>
      <c r="C62" s="2" t="s">
        <v>145</v>
      </c>
      <c r="D62" s="1"/>
      <c r="E62" s="1" t="s">
        <v>146</v>
      </c>
      <c r="F62" s="13" t="s">
        <v>148</v>
      </c>
      <c r="G62" s="10">
        <v>0</v>
      </c>
      <c r="H62" s="52"/>
    </row>
    <row r="63" spans="1:8" ht="14.1" customHeight="1" x14ac:dyDescent="0.2">
      <c r="A63" s="1"/>
      <c r="B63" s="1"/>
      <c r="C63" s="11"/>
      <c r="D63" s="1"/>
      <c r="E63" s="1"/>
      <c r="F63" s="12"/>
      <c r="G63" s="12"/>
      <c r="H63" s="52"/>
    </row>
    <row r="64" spans="1:8" ht="14.1" customHeight="1" x14ac:dyDescent="0.2">
      <c r="A64" s="1"/>
      <c r="B64" s="1"/>
      <c r="C64" s="2" t="s">
        <v>150</v>
      </c>
      <c r="D64" s="1"/>
      <c r="E64" s="1"/>
      <c r="F64" s="1"/>
      <c r="G64" s="1"/>
      <c r="H64" s="52"/>
    </row>
    <row r="65" spans="1:8" ht="29.1" customHeight="1" x14ac:dyDescent="0.2">
      <c r="A65" s="3">
        <v>1</v>
      </c>
      <c r="B65" s="4" t="s">
        <v>312</v>
      </c>
      <c r="C65" s="4" t="s">
        <v>949</v>
      </c>
      <c r="D65" s="4" t="s">
        <v>105</v>
      </c>
      <c r="E65" s="5">
        <v>81200</v>
      </c>
      <c r="F65" s="6">
        <v>8.4448000000000008</v>
      </c>
      <c r="G65" s="7">
        <v>3.7617699999999998E-3</v>
      </c>
      <c r="H65" s="52"/>
    </row>
    <row r="66" spans="1:8" ht="40.5" customHeight="1" x14ac:dyDescent="0.2">
      <c r="A66" s="3">
        <v>2</v>
      </c>
      <c r="B66" s="4" t="s">
        <v>313</v>
      </c>
      <c r="C66" s="4" t="s">
        <v>950</v>
      </c>
      <c r="D66" s="4" t="s">
        <v>70</v>
      </c>
      <c r="E66" s="5">
        <v>81</v>
      </c>
      <c r="F66" s="6">
        <v>8.10081E-3</v>
      </c>
      <c r="G66" s="41" t="s">
        <v>144</v>
      </c>
      <c r="H66" s="52"/>
    </row>
    <row r="67" spans="1:8" ht="14.1" customHeight="1" x14ac:dyDescent="0.2">
      <c r="A67" s="1"/>
      <c r="B67" s="1"/>
      <c r="C67" s="2" t="s">
        <v>145</v>
      </c>
      <c r="D67" s="1"/>
      <c r="E67" s="1" t="s">
        <v>146</v>
      </c>
      <c r="F67" s="9">
        <v>8.4529008099999992</v>
      </c>
      <c r="G67" s="10">
        <v>3.76538E-3</v>
      </c>
      <c r="H67" s="52"/>
    </row>
    <row r="68" spans="1:8" ht="14.1" customHeight="1" x14ac:dyDescent="0.2">
      <c r="A68" s="1"/>
      <c r="B68" s="1"/>
      <c r="C68" s="11"/>
      <c r="D68" s="1"/>
      <c r="E68" s="1"/>
      <c r="F68" s="12"/>
      <c r="G68" s="12"/>
      <c r="H68" s="52"/>
    </row>
    <row r="69" spans="1:8" ht="14.1" customHeight="1" x14ac:dyDescent="0.2">
      <c r="A69" s="1"/>
      <c r="B69" s="1"/>
      <c r="C69" s="2" t="s">
        <v>151</v>
      </c>
      <c r="D69" s="1"/>
      <c r="E69" s="1"/>
      <c r="F69" s="12"/>
      <c r="G69" s="12"/>
      <c r="H69" s="52"/>
    </row>
    <row r="70" spans="1:8" ht="14.1" customHeight="1" x14ac:dyDescent="0.2">
      <c r="A70" s="1"/>
      <c r="B70" s="1"/>
      <c r="C70" s="2" t="s">
        <v>145</v>
      </c>
      <c r="D70" s="1"/>
      <c r="E70" s="1" t="s">
        <v>146</v>
      </c>
      <c r="F70" s="13" t="s">
        <v>148</v>
      </c>
      <c r="G70" s="10">
        <v>0</v>
      </c>
      <c r="H70" s="52"/>
    </row>
    <row r="71" spans="1:8" ht="14.1" customHeight="1" x14ac:dyDescent="0.2">
      <c r="A71" s="1"/>
      <c r="B71" s="1"/>
      <c r="C71" s="11"/>
      <c r="D71" s="1"/>
      <c r="E71" s="1"/>
      <c r="F71" s="12"/>
      <c r="G71" s="12"/>
      <c r="H71" s="52"/>
    </row>
    <row r="72" spans="1:8" ht="14.1" customHeight="1" x14ac:dyDescent="0.2">
      <c r="A72" s="1"/>
      <c r="B72" s="1"/>
      <c r="C72" s="2" t="s">
        <v>152</v>
      </c>
      <c r="D72" s="1"/>
      <c r="E72" s="1"/>
      <c r="F72" s="12"/>
      <c r="G72" s="12"/>
      <c r="H72" s="52"/>
    </row>
    <row r="73" spans="1:8" ht="14.1" customHeight="1" x14ac:dyDescent="0.2">
      <c r="A73" s="1"/>
      <c r="B73" s="1"/>
      <c r="C73" s="2" t="s">
        <v>145</v>
      </c>
      <c r="D73" s="1"/>
      <c r="E73" s="1" t="s">
        <v>146</v>
      </c>
      <c r="F73" s="13" t="s">
        <v>148</v>
      </c>
      <c r="G73" s="10">
        <v>0</v>
      </c>
      <c r="H73" s="52"/>
    </row>
    <row r="74" spans="1:8" ht="14.1" customHeight="1" x14ac:dyDescent="0.2">
      <c r="A74" s="1"/>
      <c r="B74" s="1"/>
      <c r="C74" s="11"/>
      <c r="D74" s="1"/>
      <c r="E74" s="1"/>
      <c r="F74" s="12"/>
      <c r="G74" s="12"/>
      <c r="H74" s="52"/>
    </row>
    <row r="75" spans="1:8" ht="18" customHeight="1" x14ac:dyDescent="0.2">
      <c r="A75" s="1"/>
      <c r="B75" s="1"/>
      <c r="C75" s="2" t="s">
        <v>153</v>
      </c>
      <c r="D75" s="1"/>
      <c r="E75" s="1"/>
      <c r="F75" s="9">
        <v>2134.4613073099999</v>
      </c>
      <c r="G75" s="10">
        <v>0.95080313000000005</v>
      </c>
      <c r="H75" s="52"/>
    </row>
    <row r="76" spans="1:8" ht="14.1" customHeight="1" x14ac:dyDescent="0.2">
      <c r="A76" s="1"/>
      <c r="B76" s="1"/>
      <c r="C76" s="11"/>
      <c r="D76" s="1"/>
      <c r="E76" s="1"/>
      <c r="F76" s="12"/>
      <c r="G76" s="12"/>
      <c r="H76" s="52"/>
    </row>
    <row r="77" spans="1:8" ht="14.1" customHeight="1" x14ac:dyDescent="0.2">
      <c r="A77" s="1"/>
      <c r="B77" s="1"/>
      <c r="C77" s="2" t="s">
        <v>154</v>
      </c>
      <c r="D77" s="1"/>
      <c r="E77" s="1"/>
      <c r="F77" s="12"/>
      <c r="G77" s="12"/>
      <c r="H77" s="52"/>
    </row>
    <row r="78" spans="1:8" ht="24" customHeight="1" x14ac:dyDescent="0.2">
      <c r="A78" s="1"/>
      <c r="B78" s="1"/>
      <c r="C78" s="2" t="s">
        <v>10</v>
      </c>
      <c r="D78" s="1"/>
      <c r="E78" s="1"/>
      <c r="F78" s="12"/>
      <c r="G78" s="12"/>
      <c r="H78" s="52"/>
    </row>
    <row r="79" spans="1:8" ht="14.1" customHeight="1" x14ac:dyDescent="0.2">
      <c r="A79" s="1"/>
      <c r="B79" s="1"/>
      <c r="C79" s="2" t="s">
        <v>145</v>
      </c>
      <c r="D79" s="1"/>
      <c r="E79" s="1" t="s">
        <v>146</v>
      </c>
      <c r="F79" s="13" t="s">
        <v>148</v>
      </c>
      <c r="G79" s="10">
        <v>0</v>
      </c>
      <c r="H79" s="52"/>
    </row>
    <row r="80" spans="1:8" ht="14.1" customHeight="1" x14ac:dyDescent="0.2">
      <c r="A80" s="1"/>
      <c r="B80" s="1"/>
      <c r="C80" s="11"/>
      <c r="D80" s="1"/>
      <c r="E80" s="1"/>
      <c r="F80" s="12"/>
      <c r="G80" s="12"/>
      <c r="H80" s="52"/>
    </row>
    <row r="81" spans="1:8" ht="14.1" customHeight="1" x14ac:dyDescent="0.2">
      <c r="A81" s="1"/>
      <c r="B81" s="1"/>
      <c r="C81" s="2" t="s">
        <v>155</v>
      </c>
      <c r="D81" s="1"/>
      <c r="E81" s="1"/>
      <c r="F81" s="1"/>
      <c r="G81" s="1"/>
      <c r="H81" s="52"/>
    </row>
    <row r="82" spans="1:8" ht="14.1" customHeight="1" x14ac:dyDescent="0.2">
      <c r="A82" s="1"/>
      <c r="B82" s="1"/>
      <c r="C82" s="2" t="s">
        <v>145</v>
      </c>
      <c r="D82" s="1"/>
      <c r="E82" s="1" t="s">
        <v>146</v>
      </c>
      <c r="F82" s="13" t="s">
        <v>148</v>
      </c>
      <c r="G82" s="10">
        <v>0</v>
      </c>
      <c r="H82" s="52"/>
    </row>
    <row r="83" spans="1:8" ht="14.1" customHeight="1" x14ac:dyDescent="0.2">
      <c r="A83" s="1"/>
      <c r="B83" s="1"/>
      <c r="C83" s="11"/>
      <c r="D83" s="1"/>
      <c r="E83" s="1"/>
      <c r="F83" s="12"/>
      <c r="G83" s="12"/>
      <c r="H83" s="52"/>
    </row>
    <row r="84" spans="1:8" ht="14.1" customHeight="1" x14ac:dyDescent="0.2">
      <c r="A84" s="1"/>
      <c r="B84" s="1"/>
      <c r="C84" s="2" t="s">
        <v>156</v>
      </c>
      <c r="D84" s="1"/>
      <c r="E84" s="1"/>
      <c r="F84" s="1"/>
      <c r="G84" s="1"/>
      <c r="H84" s="52"/>
    </row>
    <row r="85" spans="1:8" ht="14.1" customHeight="1" x14ac:dyDescent="0.2">
      <c r="A85" s="1"/>
      <c r="B85" s="1"/>
      <c r="C85" s="2" t="s">
        <v>145</v>
      </c>
      <c r="D85" s="1"/>
      <c r="E85" s="1" t="s">
        <v>146</v>
      </c>
      <c r="F85" s="13" t="s">
        <v>148</v>
      </c>
      <c r="G85" s="10">
        <v>0</v>
      </c>
      <c r="H85" s="52"/>
    </row>
    <row r="86" spans="1:8" ht="14.1" customHeight="1" x14ac:dyDescent="0.2">
      <c r="A86" s="1"/>
      <c r="B86" s="1"/>
      <c r="C86" s="11"/>
      <c r="D86" s="1"/>
      <c r="E86" s="1"/>
      <c r="F86" s="12"/>
      <c r="G86" s="12"/>
      <c r="H86" s="52"/>
    </row>
    <row r="87" spans="1:8" ht="14.1" customHeight="1" x14ac:dyDescent="0.2">
      <c r="A87" s="1"/>
      <c r="B87" s="1"/>
      <c r="C87" s="2" t="s">
        <v>157</v>
      </c>
      <c r="D87" s="1"/>
      <c r="E87" s="1"/>
      <c r="F87" s="12"/>
      <c r="G87" s="12"/>
      <c r="H87" s="52"/>
    </row>
    <row r="88" spans="1:8" ht="14.1" customHeight="1" x14ac:dyDescent="0.2">
      <c r="A88" s="1"/>
      <c r="B88" s="1"/>
      <c r="C88" s="2" t="s">
        <v>145</v>
      </c>
      <c r="D88" s="1"/>
      <c r="E88" s="1" t="s">
        <v>146</v>
      </c>
      <c r="F88" s="13" t="s">
        <v>148</v>
      </c>
      <c r="G88" s="10">
        <v>0</v>
      </c>
      <c r="H88" s="52"/>
    </row>
    <row r="89" spans="1:8" ht="14.1" customHeight="1" x14ac:dyDescent="0.2">
      <c r="A89" s="1"/>
      <c r="B89" s="1"/>
      <c r="C89" s="11"/>
      <c r="D89" s="1"/>
      <c r="E89" s="1"/>
      <c r="F89" s="12"/>
      <c r="G89" s="12"/>
      <c r="H89" s="52"/>
    </row>
    <row r="90" spans="1:8" ht="14.1" customHeight="1" x14ac:dyDescent="0.2">
      <c r="A90" s="1"/>
      <c r="B90" s="1"/>
      <c r="C90" s="2" t="s">
        <v>158</v>
      </c>
      <c r="D90" s="1"/>
      <c r="E90" s="1"/>
      <c r="F90" s="9">
        <v>0</v>
      </c>
      <c r="G90" s="10">
        <v>0</v>
      </c>
      <c r="H90" s="52"/>
    </row>
    <row r="91" spans="1:8" ht="14.1" customHeight="1" x14ac:dyDescent="0.2">
      <c r="A91" s="1"/>
      <c r="B91" s="1"/>
      <c r="C91" s="11"/>
      <c r="D91" s="1"/>
      <c r="E91" s="1"/>
      <c r="F91" s="12"/>
      <c r="G91" s="12"/>
      <c r="H91" s="52"/>
    </row>
    <row r="92" spans="1:8" ht="14.1" customHeight="1" x14ac:dyDescent="0.2">
      <c r="A92" s="1"/>
      <c r="B92" s="1"/>
      <c r="C92" s="2" t="s">
        <v>159</v>
      </c>
      <c r="D92" s="1"/>
      <c r="E92" s="1"/>
      <c r="F92" s="12"/>
      <c r="G92" s="12"/>
      <c r="H92" s="52"/>
    </row>
    <row r="93" spans="1:8" ht="14.1" customHeight="1" x14ac:dyDescent="0.2">
      <c r="A93" s="1"/>
      <c r="B93" s="1"/>
      <c r="C93" s="2" t="s">
        <v>160</v>
      </c>
      <c r="D93" s="1"/>
      <c r="E93" s="1"/>
      <c r="F93" s="12"/>
      <c r="G93" s="12"/>
      <c r="H93" s="52"/>
    </row>
    <row r="94" spans="1:8" ht="14.1" customHeight="1" x14ac:dyDescent="0.2">
      <c r="A94" s="1"/>
      <c r="B94" s="1"/>
      <c r="C94" s="2" t="s">
        <v>145</v>
      </c>
      <c r="D94" s="1"/>
      <c r="E94" s="1" t="s">
        <v>146</v>
      </c>
      <c r="F94" s="13" t="s">
        <v>148</v>
      </c>
      <c r="G94" s="10">
        <v>0</v>
      </c>
      <c r="H94" s="52"/>
    </row>
    <row r="95" spans="1:8" ht="14.1" customHeight="1" x14ac:dyDescent="0.2">
      <c r="A95" s="1"/>
      <c r="B95" s="1"/>
      <c r="C95" s="11"/>
      <c r="D95" s="1"/>
      <c r="E95" s="1"/>
      <c r="F95" s="12"/>
      <c r="G95" s="12"/>
      <c r="H95" s="52"/>
    </row>
    <row r="96" spans="1:8" ht="14.1" customHeight="1" x14ac:dyDescent="0.2">
      <c r="A96" s="1"/>
      <c r="B96" s="1"/>
      <c r="C96" s="2" t="s">
        <v>161</v>
      </c>
      <c r="D96" s="1"/>
      <c r="E96" s="1"/>
      <c r="F96" s="12"/>
      <c r="G96" s="12"/>
      <c r="H96" s="52"/>
    </row>
    <row r="97" spans="1:8" ht="14.1" customHeight="1" x14ac:dyDescent="0.2">
      <c r="A97" s="1"/>
      <c r="B97" s="1"/>
      <c r="C97" s="2" t="s">
        <v>145</v>
      </c>
      <c r="D97" s="1"/>
      <c r="E97" s="1" t="s">
        <v>146</v>
      </c>
      <c r="F97" s="13" t="s">
        <v>148</v>
      </c>
      <c r="G97" s="10">
        <v>0</v>
      </c>
      <c r="H97" s="52"/>
    </row>
    <row r="98" spans="1:8" ht="14.1" customHeight="1" x14ac:dyDescent="0.2">
      <c r="A98" s="1"/>
      <c r="B98" s="1"/>
      <c r="C98" s="11"/>
      <c r="D98" s="1"/>
      <c r="E98" s="1"/>
      <c r="F98" s="12"/>
      <c r="G98" s="12"/>
      <c r="H98" s="52"/>
    </row>
    <row r="99" spans="1:8" ht="14.1" customHeight="1" x14ac:dyDescent="0.2">
      <c r="A99" s="1"/>
      <c r="B99" s="1"/>
      <c r="C99" s="2" t="s">
        <v>162</v>
      </c>
      <c r="D99" s="1"/>
      <c r="E99" s="1"/>
      <c r="F99" s="12"/>
      <c r="G99" s="12"/>
      <c r="H99" s="52"/>
    </row>
    <row r="100" spans="1:8" ht="14.1" customHeight="1" x14ac:dyDescent="0.2">
      <c r="A100" s="1"/>
      <c r="B100" s="1"/>
      <c r="C100" s="2" t="s">
        <v>145</v>
      </c>
      <c r="D100" s="1"/>
      <c r="E100" s="1" t="s">
        <v>146</v>
      </c>
      <c r="F100" s="13" t="s">
        <v>148</v>
      </c>
      <c r="G100" s="10">
        <v>0</v>
      </c>
      <c r="H100" s="52"/>
    </row>
    <row r="101" spans="1:8" ht="14.1" customHeight="1" x14ac:dyDescent="0.2">
      <c r="A101" s="1"/>
      <c r="B101" s="1"/>
      <c r="C101" s="11"/>
      <c r="D101" s="1"/>
      <c r="E101" s="1"/>
      <c r="F101" s="12"/>
      <c r="G101" s="12"/>
      <c r="H101" s="52"/>
    </row>
    <row r="102" spans="1:8" ht="14.1" customHeight="1" x14ac:dyDescent="0.2">
      <c r="A102" s="1"/>
      <c r="B102" s="1"/>
      <c r="C102" s="2" t="s">
        <v>163</v>
      </c>
      <c r="D102" s="1"/>
      <c r="E102" s="1"/>
      <c r="F102" s="12"/>
      <c r="G102" s="12"/>
      <c r="H102" s="52"/>
    </row>
    <row r="103" spans="1:8" ht="17.100000000000001" customHeight="1" x14ac:dyDescent="0.2">
      <c r="A103" s="3">
        <v>1</v>
      </c>
      <c r="B103" s="4"/>
      <c r="C103" s="4" t="s">
        <v>164</v>
      </c>
      <c r="D103" s="4"/>
      <c r="E103" s="8"/>
      <c r="F103" s="6">
        <v>113.783554</v>
      </c>
      <c r="G103" s="7">
        <v>5.0685279999999999E-2</v>
      </c>
      <c r="H103" s="52">
        <v>6.7567375937238596</v>
      </c>
    </row>
    <row r="104" spans="1:8" ht="14.1" customHeight="1" x14ac:dyDescent="0.2">
      <c r="A104" s="1"/>
      <c r="B104" s="1"/>
      <c r="C104" s="2" t="s">
        <v>145</v>
      </c>
      <c r="D104" s="1"/>
      <c r="E104" s="1" t="s">
        <v>146</v>
      </c>
      <c r="F104" s="9">
        <v>113.783554</v>
      </c>
      <c r="G104" s="10">
        <v>5.0685279999999999E-2</v>
      </c>
      <c r="H104" s="52"/>
    </row>
    <row r="105" spans="1:8" ht="14.1" customHeight="1" x14ac:dyDescent="0.2">
      <c r="A105" s="1"/>
      <c r="B105" s="1"/>
      <c r="C105" s="11"/>
      <c r="D105" s="1"/>
      <c r="E105" s="1"/>
      <c r="F105" s="12"/>
      <c r="G105" s="12"/>
      <c r="H105" s="52"/>
    </row>
    <row r="106" spans="1:8" ht="14.1" customHeight="1" x14ac:dyDescent="0.2">
      <c r="A106" s="1"/>
      <c r="B106" s="1"/>
      <c r="C106" s="2" t="s">
        <v>165</v>
      </c>
      <c r="D106" s="1"/>
      <c r="E106" s="1"/>
      <c r="F106" s="9">
        <v>113.783554</v>
      </c>
      <c r="G106" s="10">
        <v>5.0685279999999999E-2</v>
      </c>
      <c r="H106" s="52"/>
    </row>
    <row r="107" spans="1:8" ht="14.1" customHeight="1" x14ac:dyDescent="0.2">
      <c r="A107" s="1"/>
      <c r="B107" s="1"/>
      <c r="C107" s="12"/>
      <c r="D107" s="1"/>
      <c r="E107" s="1"/>
      <c r="F107" s="1"/>
      <c r="G107" s="1"/>
      <c r="H107" s="52"/>
    </row>
    <row r="108" spans="1:8" ht="14.1" customHeight="1" x14ac:dyDescent="0.2">
      <c r="A108" s="1"/>
      <c r="B108" s="1"/>
      <c r="C108" s="2" t="s">
        <v>166</v>
      </c>
      <c r="D108" s="1"/>
      <c r="E108" s="1"/>
      <c r="F108" s="1"/>
      <c r="G108" s="1"/>
      <c r="H108" s="52"/>
    </row>
    <row r="109" spans="1:8" ht="14.1" customHeight="1" x14ac:dyDescent="0.2">
      <c r="A109" s="1"/>
      <c r="B109" s="1"/>
      <c r="C109" s="2" t="s">
        <v>167</v>
      </c>
      <c r="D109" s="1"/>
      <c r="E109" s="1"/>
      <c r="F109" s="1"/>
      <c r="G109" s="1"/>
      <c r="H109" s="52"/>
    </row>
    <row r="110" spans="1:8" ht="14.1" customHeight="1" x14ac:dyDescent="0.2">
      <c r="A110" s="1"/>
      <c r="B110" s="1"/>
      <c r="C110" s="2" t="s">
        <v>145</v>
      </c>
      <c r="D110" s="1"/>
      <c r="E110" s="1" t="s">
        <v>146</v>
      </c>
      <c r="F110" s="13" t="s">
        <v>148</v>
      </c>
      <c r="G110" s="10">
        <v>0</v>
      </c>
      <c r="H110" s="52"/>
    </row>
    <row r="111" spans="1:8" ht="14.1" customHeight="1" x14ac:dyDescent="0.2">
      <c r="A111" s="1"/>
      <c r="B111" s="1"/>
      <c r="C111" s="11"/>
      <c r="D111" s="1"/>
      <c r="E111" s="1"/>
      <c r="F111" s="12"/>
      <c r="G111" s="12"/>
      <c r="H111" s="52"/>
    </row>
    <row r="112" spans="1:8" ht="14.1" customHeight="1" x14ac:dyDescent="0.2">
      <c r="A112" s="1"/>
      <c r="B112" s="1"/>
      <c r="C112" s="2" t="s">
        <v>168</v>
      </c>
      <c r="D112" s="1"/>
      <c r="E112" s="1"/>
      <c r="F112" s="1"/>
      <c r="G112" s="1"/>
      <c r="H112" s="52"/>
    </row>
    <row r="113" spans="1:8" ht="14.1" customHeight="1" x14ac:dyDescent="0.2">
      <c r="A113" s="1"/>
      <c r="B113" s="1"/>
      <c r="C113" s="2" t="s">
        <v>169</v>
      </c>
      <c r="D113" s="1"/>
      <c r="E113" s="1"/>
      <c r="F113" s="1"/>
      <c r="G113" s="1"/>
      <c r="H113" s="52"/>
    </row>
    <row r="114" spans="1:8" ht="14.1" customHeight="1" x14ac:dyDescent="0.2">
      <c r="A114" s="1"/>
      <c r="B114" s="1"/>
      <c r="C114" s="2" t="s">
        <v>145</v>
      </c>
      <c r="D114" s="1"/>
      <c r="E114" s="1" t="s">
        <v>146</v>
      </c>
      <c r="F114" s="13" t="s">
        <v>148</v>
      </c>
      <c r="G114" s="10">
        <v>0</v>
      </c>
      <c r="H114" s="52"/>
    </row>
    <row r="115" spans="1:8" ht="14.1" customHeight="1" x14ac:dyDescent="0.2">
      <c r="A115" s="1"/>
      <c r="B115" s="1"/>
      <c r="C115" s="11"/>
      <c r="D115" s="1"/>
      <c r="E115" s="1"/>
      <c r="F115" s="12"/>
      <c r="G115" s="12"/>
      <c r="H115" s="52"/>
    </row>
    <row r="116" spans="1:8" ht="24" customHeight="1" x14ac:dyDescent="0.2">
      <c r="A116" s="1"/>
      <c r="B116" s="1"/>
      <c r="C116" s="2" t="s">
        <v>170</v>
      </c>
      <c r="D116" s="1"/>
      <c r="E116" s="1"/>
      <c r="F116" s="12"/>
      <c r="G116" s="12"/>
      <c r="H116" s="52"/>
    </row>
    <row r="117" spans="1:8" ht="14.1" customHeight="1" x14ac:dyDescent="0.2">
      <c r="A117" s="1"/>
      <c r="B117" s="1"/>
      <c r="C117" s="2" t="s">
        <v>145</v>
      </c>
      <c r="D117" s="1"/>
      <c r="E117" s="1" t="s">
        <v>146</v>
      </c>
      <c r="F117" s="13" t="s">
        <v>148</v>
      </c>
      <c r="G117" s="10">
        <v>0</v>
      </c>
      <c r="H117" s="52"/>
    </row>
    <row r="118" spans="1:8" ht="14.1" customHeight="1" x14ac:dyDescent="0.2">
      <c r="A118" s="1"/>
      <c r="B118" s="1"/>
      <c r="C118" s="11"/>
      <c r="D118" s="1"/>
      <c r="E118" s="1"/>
      <c r="F118" s="12"/>
      <c r="G118" s="12"/>
      <c r="H118" s="52"/>
    </row>
    <row r="119" spans="1:8" ht="14.1" customHeight="1" x14ac:dyDescent="0.2">
      <c r="A119" s="1"/>
      <c r="B119" s="4"/>
      <c r="C119" s="4"/>
      <c r="D119" s="2"/>
      <c r="E119" s="1"/>
      <c r="F119" s="4"/>
      <c r="G119" s="8"/>
      <c r="H119" s="52"/>
    </row>
    <row r="120" spans="1:8" ht="18" customHeight="1" x14ac:dyDescent="0.2">
      <c r="A120" s="8"/>
      <c r="B120" s="4"/>
      <c r="C120" s="4" t="s">
        <v>171</v>
      </c>
      <c r="D120" s="4"/>
      <c r="E120" s="8"/>
      <c r="F120" s="6">
        <v>-3.3413012900000001</v>
      </c>
      <c r="G120" s="7">
        <v>-1.48839E-3</v>
      </c>
      <c r="H120" s="52"/>
    </row>
    <row r="121" spans="1:8" ht="14.1" customHeight="1" x14ac:dyDescent="0.2">
      <c r="A121" s="11"/>
      <c r="B121" s="11"/>
      <c r="C121" s="2" t="s">
        <v>172</v>
      </c>
      <c r="D121" s="12"/>
      <c r="E121" s="12"/>
      <c r="F121" s="9">
        <v>2244.90356002</v>
      </c>
      <c r="G121" s="14">
        <v>1.0000000200000001</v>
      </c>
      <c r="H121" s="52"/>
    </row>
    <row r="122" spans="1:8" ht="14.1" customHeight="1" x14ac:dyDescent="0.2">
      <c r="A122" s="15"/>
      <c r="B122" s="15"/>
      <c r="C122" s="15"/>
      <c r="D122" s="16"/>
      <c r="E122" s="16"/>
      <c r="F122" s="16"/>
      <c r="G122" s="16"/>
    </row>
    <row r="123" spans="1:8" ht="14.1" customHeight="1" x14ac:dyDescent="0.2">
      <c r="A123" s="42"/>
      <c r="B123" s="125" t="s">
        <v>988</v>
      </c>
      <c r="C123" s="125"/>
      <c r="D123" s="125"/>
      <c r="E123" s="125"/>
      <c r="F123" s="125"/>
      <c r="G123" s="43"/>
    </row>
    <row r="124" spans="1:8" ht="17.100000000000001" customHeight="1" x14ac:dyDescent="0.2">
      <c r="A124" s="17"/>
      <c r="B124" s="126" t="s">
        <v>173</v>
      </c>
      <c r="C124" s="126"/>
      <c r="D124" s="126"/>
      <c r="E124" s="126"/>
      <c r="F124" s="126"/>
      <c r="G124" s="19"/>
    </row>
    <row r="125" spans="1:8" ht="14.1" customHeight="1" x14ac:dyDescent="0.2">
      <c r="A125" s="17"/>
      <c r="B125" s="17"/>
      <c r="C125" s="17"/>
      <c r="D125" s="19"/>
      <c r="E125" s="19"/>
      <c r="F125" s="19"/>
      <c r="G125" s="19"/>
    </row>
    <row r="126" spans="1:8" ht="14.1" customHeight="1" x14ac:dyDescent="0.2">
      <c r="A126" s="17"/>
      <c r="B126" s="127" t="s">
        <v>174</v>
      </c>
      <c r="C126" s="128"/>
      <c r="D126" s="129"/>
      <c r="E126" s="20"/>
      <c r="F126" s="19"/>
      <c r="G126" s="19"/>
    </row>
    <row r="127" spans="1:8" ht="29.1" customHeight="1" x14ac:dyDescent="0.2">
      <c r="A127" s="17"/>
      <c r="B127" s="121" t="s">
        <v>175</v>
      </c>
      <c r="C127" s="122"/>
      <c r="D127" s="2" t="s">
        <v>176</v>
      </c>
      <c r="E127" s="20"/>
      <c r="F127" s="19"/>
      <c r="G127" s="19"/>
    </row>
    <row r="128" spans="1:8" ht="17.100000000000001" customHeight="1" x14ac:dyDescent="0.2">
      <c r="A128" s="17"/>
      <c r="B128" s="123" t="s">
        <v>953</v>
      </c>
      <c r="C128" s="124"/>
      <c r="D128" s="40" t="s">
        <v>952</v>
      </c>
      <c r="E128" s="20"/>
      <c r="F128" s="19"/>
      <c r="G128" s="19"/>
    </row>
    <row r="129" spans="1:7" ht="17.100000000000001" customHeight="1" x14ac:dyDescent="0.2">
      <c r="A129" s="17"/>
      <c r="B129" s="121" t="s">
        <v>178</v>
      </c>
      <c r="C129" s="122"/>
      <c r="D129" s="12" t="s">
        <v>146</v>
      </c>
      <c r="E129" s="20"/>
      <c r="F129" s="19"/>
      <c r="G129" s="19"/>
    </row>
    <row r="130" spans="1:7" ht="24" customHeight="1" x14ac:dyDescent="0.2">
      <c r="A130" s="21"/>
      <c r="B130" s="22" t="s">
        <v>146</v>
      </c>
      <c r="C130" s="22" t="s">
        <v>179</v>
      </c>
      <c r="D130" s="22" t="s">
        <v>180</v>
      </c>
      <c r="E130" s="21"/>
      <c r="F130" s="21"/>
      <c r="G130" s="21"/>
    </row>
    <row r="131" spans="1:7" ht="18" customHeight="1" x14ac:dyDescent="0.2">
      <c r="A131" s="21"/>
      <c r="B131" s="23" t="s">
        <v>181</v>
      </c>
      <c r="C131" s="22" t="s">
        <v>182</v>
      </c>
      <c r="D131" s="22" t="s">
        <v>183</v>
      </c>
      <c r="E131" s="21"/>
      <c r="F131" s="21"/>
      <c r="G131" s="21"/>
    </row>
    <row r="132" spans="1:7" ht="17.100000000000001" customHeight="1" x14ac:dyDescent="0.2">
      <c r="A132" s="21"/>
      <c r="B132" s="4" t="s">
        <v>184</v>
      </c>
      <c r="C132" s="24">
        <v>25.631799999999998</v>
      </c>
      <c r="D132" s="24">
        <v>25.535699999999999</v>
      </c>
      <c r="E132" s="21"/>
      <c r="F132" s="18"/>
      <c r="G132" s="25"/>
    </row>
    <row r="133" spans="1:7" ht="17.100000000000001" customHeight="1" x14ac:dyDescent="0.2">
      <c r="A133" s="21"/>
      <c r="B133" s="4" t="s">
        <v>1039</v>
      </c>
      <c r="C133" s="24">
        <v>24.7515</v>
      </c>
      <c r="D133" s="24">
        <v>24.6587</v>
      </c>
      <c r="E133" s="21"/>
      <c r="F133" s="18"/>
      <c r="G133" s="25"/>
    </row>
    <row r="134" spans="1:7" ht="17.100000000000001" customHeight="1" x14ac:dyDescent="0.2">
      <c r="A134" s="21"/>
      <c r="B134" s="4" t="s">
        <v>185</v>
      </c>
      <c r="C134" s="24">
        <v>25.229800000000001</v>
      </c>
      <c r="D134" s="24">
        <v>25.130500000000001</v>
      </c>
      <c r="E134" s="21"/>
      <c r="F134" s="18"/>
      <c r="G134" s="25"/>
    </row>
    <row r="135" spans="1:7" ht="17.100000000000001" customHeight="1" x14ac:dyDescent="0.2">
      <c r="A135" s="21"/>
      <c r="B135" s="4" t="s">
        <v>1040</v>
      </c>
      <c r="C135" s="24">
        <v>24.354399999999998</v>
      </c>
      <c r="D135" s="24">
        <v>24.258600000000001</v>
      </c>
      <c r="E135" s="21"/>
      <c r="F135" s="18"/>
      <c r="G135" s="25"/>
    </row>
    <row r="136" spans="1:7" ht="14.1" customHeight="1" x14ac:dyDescent="0.2">
      <c r="A136" s="21"/>
      <c r="B136" s="21"/>
      <c r="C136" s="21"/>
      <c r="D136" s="21"/>
      <c r="E136" s="21"/>
      <c r="F136" s="21"/>
      <c r="G136" s="21"/>
    </row>
    <row r="137" spans="1:7" ht="17.100000000000001" customHeight="1" x14ac:dyDescent="0.2">
      <c r="A137" s="21"/>
      <c r="B137" s="121" t="s">
        <v>1041</v>
      </c>
      <c r="C137" s="122"/>
      <c r="D137" s="2" t="s">
        <v>176</v>
      </c>
      <c r="E137" s="21"/>
      <c r="F137" s="21"/>
      <c r="G137" s="21"/>
    </row>
    <row r="138" spans="1:7" ht="18" customHeight="1" x14ac:dyDescent="0.2">
      <c r="A138" s="21"/>
      <c r="B138" s="26"/>
      <c r="C138" s="26"/>
      <c r="D138" s="26"/>
      <c r="E138" s="21"/>
      <c r="F138" s="21"/>
      <c r="G138" s="21"/>
    </row>
    <row r="139" spans="1:7" ht="29.1" customHeight="1" x14ac:dyDescent="0.2">
      <c r="A139" s="21"/>
      <c r="B139" s="121" t="s">
        <v>186</v>
      </c>
      <c r="C139" s="122"/>
      <c r="D139" s="2" t="s">
        <v>176</v>
      </c>
      <c r="E139" s="27"/>
      <c r="F139" s="21"/>
      <c r="G139" s="21"/>
    </row>
    <row r="140" spans="1:7" ht="29.1" customHeight="1" x14ac:dyDescent="0.2">
      <c r="A140" s="21"/>
      <c r="B140" s="121" t="s">
        <v>187</v>
      </c>
      <c r="C140" s="122"/>
      <c r="D140" s="2" t="s">
        <v>176</v>
      </c>
      <c r="E140" s="27"/>
      <c r="F140" s="21"/>
      <c r="G140" s="21"/>
    </row>
    <row r="141" spans="1:7" ht="17.100000000000001" customHeight="1" x14ac:dyDescent="0.2">
      <c r="A141" s="21"/>
      <c r="B141" s="121" t="s">
        <v>188</v>
      </c>
      <c r="C141" s="122"/>
      <c r="D141" s="2" t="s">
        <v>176</v>
      </c>
      <c r="E141" s="27"/>
      <c r="F141" s="21"/>
      <c r="G141" s="21"/>
    </row>
    <row r="142" spans="1:7" ht="17.100000000000001" customHeight="1" x14ac:dyDescent="0.2">
      <c r="A142" s="21"/>
      <c r="B142" s="121" t="s">
        <v>189</v>
      </c>
      <c r="C142" s="122"/>
      <c r="D142" s="50">
        <v>7.8146495734148405E-2</v>
      </c>
      <c r="E142" s="21"/>
      <c r="F142" s="18"/>
      <c r="G142" s="25"/>
    </row>
    <row r="155" spans="10:14" x14ac:dyDescent="0.2">
      <c r="J155" s="104"/>
      <c r="K155" s="104"/>
      <c r="L155" s="104"/>
      <c r="M155" s="104"/>
      <c r="N155" s="104"/>
    </row>
  </sheetData>
  <mergeCells count="15">
    <mergeCell ref="A1:H1"/>
    <mergeCell ref="A2:H2"/>
    <mergeCell ref="A3:H3"/>
    <mergeCell ref="J2:N2"/>
    <mergeCell ref="B142:C142"/>
    <mergeCell ref="B128:C128"/>
    <mergeCell ref="B129:C129"/>
    <mergeCell ref="B137:C137"/>
    <mergeCell ref="B139:C139"/>
    <mergeCell ref="B140:C140"/>
    <mergeCell ref="B141:C141"/>
    <mergeCell ref="B127:C127"/>
    <mergeCell ref="B124:F124"/>
    <mergeCell ref="B126:D126"/>
    <mergeCell ref="B123:F123"/>
  </mergeCells>
  <hyperlinks>
    <hyperlink ref="I1" location="Index!B7" display="Index" xr:uid="{00AAEE8C-2017-4317-A669-F66CDABBC33F}"/>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O130"/>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5" ht="18" customHeight="1" x14ac:dyDescent="0.2">
      <c r="A1" s="116" t="s">
        <v>0</v>
      </c>
      <c r="B1" s="116"/>
      <c r="C1" s="116"/>
      <c r="D1" s="116"/>
      <c r="E1" s="116"/>
      <c r="F1" s="116"/>
      <c r="G1" s="116"/>
      <c r="H1" s="116"/>
      <c r="I1" s="98" t="s">
        <v>1053</v>
      </c>
    </row>
    <row r="2" spans="1:15" ht="17.100000000000001" customHeight="1" x14ac:dyDescent="0.2">
      <c r="A2" s="117" t="s">
        <v>465</v>
      </c>
      <c r="B2" s="118"/>
      <c r="C2" s="118"/>
      <c r="D2" s="118"/>
      <c r="E2" s="118"/>
      <c r="F2" s="118"/>
      <c r="G2" s="118"/>
      <c r="H2" s="119"/>
      <c r="J2" s="120" t="s">
        <v>1054</v>
      </c>
      <c r="K2" s="120"/>
      <c r="L2" s="120"/>
      <c r="M2" s="120"/>
      <c r="N2" s="120"/>
    </row>
    <row r="3" spans="1:15" ht="21" customHeight="1" x14ac:dyDescent="0.2">
      <c r="A3" s="116" t="s">
        <v>1049</v>
      </c>
      <c r="B3" s="116"/>
      <c r="C3" s="116"/>
      <c r="D3" s="116"/>
      <c r="E3" s="116"/>
      <c r="F3" s="116"/>
      <c r="G3" s="116"/>
      <c r="H3" s="116"/>
    </row>
    <row r="4" spans="1:15" ht="30" x14ac:dyDescent="0.2">
      <c r="A4" s="96" t="s">
        <v>2</v>
      </c>
      <c r="B4" s="96" t="s">
        <v>3</v>
      </c>
      <c r="C4" s="96" t="s">
        <v>4</v>
      </c>
      <c r="D4" s="96" t="s">
        <v>5</v>
      </c>
      <c r="E4" s="96" t="s">
        <v>6</v>
      </c>
      <c r="F4" s="96" t="s">
        <v>7</v>
      </c>
      <c r="G4" s="96" t="s">
        <v>8</v>
      </c>
      <c r="H4" s="51" t="s">
        <v>1002</v>
      </c>
      <c r="I4" s="99"/>
      <c r="J4" s="99"/>
      <c r="K4" s="99"/>
      <c r="L4" s="99"/>
      <c r="M4" s="99"/>
      <c r="N4" s="99"/>
      <c r="O4" s="99"/>
    </row>
    <row r="5" spans="1:15" ht="14.1" customHeight="1" x14ac:dyDescent="0.2">
      <c r="A5" s="1"/>
      <c r="B5" s="1"/>
      <c r="C5" s="2" t="s">
        <v>9</v>
      </c>
      <c r="D5" s="1"/>
      <c r="E5" s="1"/>
      <c r="F5" s="1"/>
      <c r="G5" s="1"/>
      <c r="H5" s="52"/>
    </row>
    <row r="6" spans="1:15" ht="24" customHeight="1" x14ac:dyDescent="0.2">
      <c r="A6" s="1"/>
      <c r="B6" s="1"/>
      <c r="C6" s="2" t="s">
        <v>10</v>
      </c>
      <c r="D6" s="1"/>
      <c r="E6" s="1"/>
      <c r="F6" s="1"/>
      <c r="G6" s="1"/>
      <c r="H6" s="52"/>
    </row>
    <row r="7" spans="1:15" ht="17.100000000000001" customHeight="1" x14ac:dyDescent="0.2">
      <c r="A7" s="3">
        <v>1</v>
      </c>
      <c r="B7" s="4" t="s">
        <v>26</v>
      </c>
      <c r="C7" s="4" t="s">
        <v>27</v>
      </c>
      <c r="D7" s="4" t="s">
        <v>28</v>
      </c>
      <c r="E7" s="5">
        <v>17852</v>
      </c>
      <c r="F7" s="6">
        <v>163.40828200000001</v>
      </c>
      <c r="G7" s="7">
        <v>9.4421770000000002E-2</v>
      </c>
      <c r="H7" s="52"/>
    </row>
    <row r="8" spans="1:15" ht="17.100000000000001" customHeight="1" x14ac:dyDescent="0.2">
      <c r="A8" s="3">
        <v>2</v>
      </c>
      <c r="B8" s="4" t="s">
        <v>319</v>
      </c>
      <c r="C8" s="4" t="s">
        <v>320</v>
      </c>
      <c r="D8" s="4" t="s">
        <v>28</v>
      </c>
      <c r="E8" s="5">
        <v>10200</v>
      </c>
      <c r="F8" s="6">
        <v>150.60300000000001</v>
      </c>
      <c r="G8" s="7">
        <v>8.7022530000000001E-2</v>
      </c>
      <c r="H8" s="52"/>
    </row>
    <row r="9" spans="1:15" ht="17.100000000000001" customHeight="1" x14ac:dyDescent="0.2">
      <c r="A9" s="3">
        <v>3</v>
      </c>
      <c r="B9" s="4" t="s">
        <v>14</v>
      </c>
      <c r="C9" s="4" t="s">
        <v>15</v>
      </c>
      <c r="D9" s="4" t="s">
        <v>16</v>
      </c>
      <c r="E9" s="5">
        <v>5610</v>
      </c>
      <c r="F9" s="6">
        <v>128.35119</v>
      </c>
      <c r="G9" s="7">
        <v>7.4164830000000001E-2</v>
      </c>
      <c r="H9" s="52"/>
    </row>
    <row r="10" spans="1:15" ht="17.100000000000001" customHeight="1" x14ac:dyDescent="0.2">
      <c r="A10" s="3">
        <v>4</v>
      </c>
      <c r="B10" s="4" t="s">
        <v>321</v>
      </c>
      <c r="C10" s="4" t="s">
        <v>322</v>
      </c>
      <c r="D10" s="4" t="s">
        <v>888</v>
      </c>
      <c r="E10" s="5">
        <v>8300</v>
      </c>
      <c r="F10" s="6">
        <v>113.5772</v>
      </c>
      <c r="G10" s="7">
        <v>6.5628010000000001E-2</v>
      </c>
      <c r="H10" s="52"/>
    </row>
    <row r="11" spans="1:15" ht="17.100000000000001" customHeight="1" x14ac:dyDescent="0.2">
      <c r="A11" s="3">
        <v>5</v>
      </c>
      <c r="B11" s="4" t="s">
        <v>39</v>
      </c>
      <c r="C11" s="4" t="s">
        <v>40</v>
      </c>
      <c r="D11" s="4" t="s">
        <v>28</v>
      </c>
      <c r="E11" s="5">
        <v>16131</v>
      </c>
      <c r="F11" s="6">
        <v>91.228870499999999</v>
      </c>
      <c r="G11" s="7">
        <v>5.2714530000000002E-2</v>
      </c>
      <c r="H11" s="52"/>
    </row>
    <row r="12" spans="1:15" ht="17.100000000000001" customHeight="1" x14ac:dyDescent="0.2">
      <c r="A12" s="3">
        <v>6</v>
      </c>
      <c r="B12" s="4" t="s">
        <v>11</v>
      </c>
      <c r="C12" s="4" t="s">
        <v>12</v>
      </c>
      <c r="D12" s="4" t="s">
        <v>13</v>
      </c>
      <c r="E12" s="5">
        <v>3016</v>
      </c>
      <c r="F12" s="6">
        <v>88.340147999999999</v>
      </c>
      <c r="G12" s="7">
        <v>5.1045350000000003E-2</v>
      </c>
      <c r="H12" s="52"/>
    </row>
    <row r="13" spans="1:15" ht="17.100000000000001" customHeight="1" x14ac:dyDescent="0.2">
      <c r="A13" s="3">
        <v>7</v>
      </c>
      <c r="B13" s="4" t="s">
        <v>323</v>
      </c>
      <c r="C13" s="4" t="s">
        <v>324</v>
      </c>
      <c r="D13" s="4" t="s">
        <v>28</v>
      </c>
      <c r="E13" s="5">
        <v>6893</v>
      </c>
      <c r="F13" s="6">
        <v>67.678920500000004</v>
      </c>
      <c r="G13" s="7">
        <v>3.9106729999999999E-2</v>
      </c>
      <c r="H13" s="52"/>
      <c r="J13" s="101" t="s">
        <v>1061</v>
      </c>
    </row>
    <row r="14" spans="1:15" ht="29.1" customHeight="1" x14ac:dyDescent="0.2">
      <c r="A14" s="3">
        <v>8</v>
      </c>
      <c r="B14" s="4" t="s">
        <v>23</v>
      </c>
      <c r="C14" s="4" t="s">
        <v>24</v>
      </c>
      <c r="D14" s="4" t="s">
        <v>25</v>
      </c>
      <c r="E14" s="5">
        <v>746</v>
      </c>
      <c r="F14" s="6">
        <v>62.829985000000001</v>
      </c>
      <c r="G14" s="7">
        <v>3.6304879999999998E-2</v>
      </c>
      <c r="H14" s="52"/>
    </row>
    <row r="15" spans="1:15" ht="17.100000000000001" customHeight="1" x14ac:dyDescent="0.2">
      <c r="A15" s="3">
        <v>9</v>
      </c>
      <c r="B15" s="4" t="s">
        <v>17</v>
      </c>
      <c r="C15" s="4" t="s">
        <v>18</v>
      </c>
      <c r="D15" s="4" t="s">
        <v>19</v>
      </c>
      <c r="E15" s="5">
        <v>6757</v>
      </c>
      <c r="F15" s="6">
        <v>61.786008000000002</v>
      </c>
      <c r="G15" s="7">
        <v>3.570164E-2</v>
      </c>
      <c r="H15" s="52"/>
    </row>
    <row r="16" spans="1:15" ht="17.100000000000001" customHeight="1" x14ac:dyDescent="0.2">
      <c r="A16" s="3">
        <v>10</v>
      </c>
      <c r="B16" s="4" t="s">
        <v>358</v>
      </c>
      <c r="C16" s="4" t="s">
        <v>359</v>
      </c>
      <c r="D16" s="4" t="s">
        <v>102</v>
      </c>
      <c r="E16" s="5">
        <v>8199</v>
      </c>
      <c r="F16" s="6">
        <v>51.543013500000001</v>
      </c>
      <c r="G16" s="7">
        <v>2.9782960000000001E-2</v>
      </c>
      <c r="H16" s="52"/>
    </row>
    <row r="17" spans="1:8" ht="17.100000000000001" customHeight="1" x14ac:dyDescent="0.2">
      <c r="A17" s="3">
        <v>11</v>
      </c>
      <c r="B17" s="4" t="s">
        <v>409</v>
      </c>
      <c r="C17" s="4" t="s">
        <v>410</v>
      </c>
      <c r="D17" s="4" t="s">
        <v>205</v>
      </c>
      <c r="E17" s="5">
        <v>13359</v>
      </c>
      <c r="F17" s="6">
        <v>49.488415500000002</v>
      </c>
      <c r="G17" s="7">
        <v>2.8595760000000001E-2</v>
      </c>
      <c r="H17" s="52"/>
    </row>
    <row r="18" spans="1:8" ht="17.100000000000001" customHeight="1" x14ac:dyDescent="0.2">
      <c r="A18" s="3">
        <v>12</v>
      </c>
      <c r="B18" s="4" t="s">
        <v>342</v>
      </c>
      <c r="C18" s="4" t="s">
        <v>343</v>
      </c>
      <c r="D18" s="4" t="s">
        <v>344</v>
      </c>
      <c r="E18" s="5">
        <v>11370</v>
      </c>
      <c r="F18" s="6">
        <v>48.70908</v>
      </c>
      <c r="G18" s="7">
        <v>2.8145440000000001E-2</v>
      </c>
      <c r="H18" s="52"/>
    </row>
    <row r="19" spans="1:8" ht="17.100000000000001" customHeight="1" x14ac:dyDescent="0.2">
      <c r="A19" s="3">
        <v>13</v>
      </c>
      <c r="B19" s="4" t="s">
        <v>360</v>
      </c>
      <c r="C19" s="4" t="s">
        <v>361</v>
      </c>
      <c r="D19" s="4" t="s">
        <v>60</v>
      </c>
      <c r="E19" s="5">
        <v>1421</v>
      </c>
      <c r="F19" s="6">
        <v>45.324926499999997</v>
      </c>
      <c r="G19" s="7">
        <v>2.6189980000000002E-2</v>
      </c>
      <c r="H19" s="52"/>
    </row>
    <row r="20" spans="1:8" ht="17.100000000000001" customHeight="1" x14ac:dyDescent="0.2">
      <c r="A20" s="3">
        <v>14</v>
      </c>
      <c r="B20" s="4" t="s">
        <v>466</v>
      </c>
      <c r="C20" s="4" t="s">
        <v>467</v>
      </c>
      <c r="D20" s="4" t="s">
        <v>221</v>
      </c>
      <c r="E20" s="5">
        <v>3200</v>
      </c>
      <c r="F20" s="6">
        <v>43.7712</v>
      </c>
      <c r="G20" s="7">
        <v>2.5292200000000001E-2</v>
      </c>
      <c r="H20" s="52"/>
    </row>
    <row r="21" spans="1:8" ht="29.1" customHeight="1" x14ac:dyDescent="0.2">
      <c r="A21" s="3">
        <v>15</v>
      </c>
      <c r="B21" s="4" t="s">
        <v>209</v>
      </c>
      <c r="C21" s="4" t="s">
        <v>210</v>
      </c>
      <c r="D21" s="4" t="s">
        <v>211</v>
      </c>
      <c r="E21" s="5">
        <v>4000</v>
      </c>
      <c r="F21" s="6">
        <v>41.72</v>
      </c>
      <c r="G21" s="7">
        <v>2.410696E-2</v>
      </c>
      <c r="H21" s="52"/>
    </row>
    <row r="22" spans="1:8" ht="17.100000000000001" customHeight="1" x14ac:dyDescent="0.2">
      <c r="A22" s="3">
        <v>16</v>
      </c>
      <c r="B22" s="4" t="s">
        <v>376</v>
      </c>
      <c r="C22" s="4" t="s">
        <v>377</v>
      </c>
      <c r="D22" s="4" t="s">
        <v>28</v>
      </c>
      <c r="E22" s="5">
        <v>21124</v>
      </c>
      <c r="F22" s="6">
        <v>41.445287999999998</v>
      </c>
      <c r="G22" s="7">
        <v>2.3948219999999999E-2</v>
      </c>
      <c r="H22" s="52"/>
    </row>
    <row r="23" spans="1:8" ht="29.1" customHeight="1" x14ac:dyDescent="0.2">
      <c r="A23" s="3">
        <v>17</v>
      </c>
      <c r="B23" s="4" t="s">
        <v>214</v>
      </c>
      <c r="C23" s="4" t="s">
        <v>215</v>
      </c>
      <c r="D23" s="4" t="s">
        <v>216</v>
      </c>
      <c r="E23" s="5">
        <v>1204</v>
      </c>
      <c r="F23" s="6">
        <v>41.396529999999998</v>
      </c>
      <c r="G23" s="7">
        <v>2.3920050000000002E-2</v>
      </c>
      <c r="H23" s="52"/>
    </row>
    <row r="24" spans="1:8" ht="17.100000000000001" customHeight="1" x14ac:dyDescent="0.2">
      <c r="A24" s="3">
        <v>18</v>
      </c>
      <c r="B24" s="4" t="s">
        <v>468</v>
      </c>
      <c r="C24" s="4" t="s">
        <v>469</v>
      </c>
      <c r="D24" s="4" t="s">
        <v>888</v>
      </c>
      <c r="E24" s="5">
        <v>3000</v>
      </c>
      <c r="F24" s="6">
        <v>38.28</v>
      </c>
      <c r="G24" s="7">
        <v>2.211923E-2</v>
      </c>
      <c r="H24" s="52"/>
    </row>
    <row r="25" spans="1:8" ht="17.100000000000001" customHeight="1" x14ac:dyDescent="0.2">
      <c r="A25" s="3">
        <v>19</v>
      </c>
      <c r="B25" s="4" t="s">
        <v>112</v>
      </c>
      <c r="C25" s="4" t="s">
        <v>113</v>
      </c>
      <c r="D25" s="4" t="s">
        <v>114</v>
      </c>
      <c r="E25" s="5">
        <v>6000</v>
      </c>
      <c r="F25" s="6">
        <v>38.027999999999999</v>
      </c>
      <c r="G25" s="7">
        <v>2.1973619999999999E-2</v>
      </c>
      <c r="H25" s="52"/>
    </row>
    <row r="26" spans="1:8" ht="17.100000000000001" customHeight="1" x14ac:dyDescent="0.2">
      <c r="A26" s="3">
        <v>20</v>
      </c>
      <c r="B26" s="4" t="s">
        <v>103</v>
      </c>
      <c r="C26" s="4" t="s">
        <v>104</v>
      </c>
      <c r="D26" s="4" t="s">
        <v>105</v>
      </c>
      <c r="E26" s="5">
        <v>1240</v>
      </c>
      <c r="F26" s="6">
        <v>34.935760000000002</v>
      </c>
      <c r="G26" s="7">
        <v>2.0186840000000001E-2</v>
      </c>
      <c r="H26" s="52"/>
    </row>
    <row r="27" spans="1:8" ht="17.100000000000001" customHeight="1" x14ac:dyDescent="0.2">
      <c r="A27" s="3">
        <v>21</v>
      </c>
      <c r="B27" s="4" t="s">
        <v>325</v>
      </c>
      <c r="C27" s="4" t="s">
        <v>326</v>
      </c>
      <c r="D27" s="4" t="s">
        <v>888</v>
      </c>
      <c r="E27" s="5">
        <v>960</v>
      </c>
      <c r="F27" s="6">
        <v>32.340000000000003</v>
      </c>
      <c r="G27" s="7">
        <v>1.8686939999999999E-2</v>
      </c>
      <c r="H27" s="52"/>
    </row>
    <row r="28" spans="1:8" ht="29.1" customHeight="1" x14ac:dyDescent="0.2">
      <c r="A28" s="3">
        <v>22</v>
      </c>
      <c r="B28" s="4" t="s">
        <v>327</v>
      </c>
      <c r="C28" s="4" t="s">
        <v>328</v>
      </c>
      <c r="D28" s="4" t="s">
        <v>226</v>
      </c>
      <c r="E28" s="5">
        <v>2650</v>
      </c>
      <c r="F28" s="6">
        <v>28.847899999999999</v>
      </c>
      <c r="G28" s="7">
        <v>1.6669110000000001E-2</v>
      </c>
      <c r="H28" s="52"/>
    </row>
    <row r="29" spans="1:8" ht="29.1" customHeight="1" x14ac:dyDescent="0.2">
      <c r="A29" s="3">
        <v>23</v>
      </c>
      <c r="B29" s="4" t="s">
        <v>85</v>
      </c>
      <c r="C29" s="4" t="s">
        <v>86</v>
      </c>
      <c r="D29" s="4" t="s">
        <v>25</v>
      </c>
      <c r="E29" s="5">
        <v>1871</v>
      </c>
      <c r="F29" s="6">
        <v>23.821572</v>
      </c>
      <c r="G29" s="7">
        <v>1.3764759999999999E-2</v>
      </c>
      <c r="H29" s="52"/>
    </row>
    <row r="30" spans="1:8" ht="17.100000000000001" customHeight="1" x14ac:dyDescent="0.2">
      <c r="A30" s="3">
        <v>24</v>
      </c>
      <c r="B30" s="4" t="s">
        <v>329</v>
      </c>
      <c r="C30" s="4" t="s">
        <v>330</v>
      </c>
      <c r="D30" s="4" t="s">
        <v>28</v>
      </c>
      <c r="E30" s="5">
        <v>1556</v>
      </c>
      <c r="F30" s="6">
        <v>22.426628000000001</v>
      </c>
      <c r="G30" s="7">
        <v>1.295872E-2</v>
      </c>
      <c r="H30" s="52"/>
    </row>
    <row r="31" spans="1:8" ht="17.100000000000001" customHeight="1" x14ac:dyDescent="0.2">
      <c r="A31" s="3">
        <v>25</v>
      </c>
      <c r="B31" s="4" t="s">
        <v>289</v>
      </c>
      <c r="C31" s="4" t="s">
        <v>290</v>
      </c>
      <c r="D31" s="4" t="s">
        <v>16</v>
      </c>
      <c r="E31" s="5">
        <v>8979</v>
      </c>
      <c r="F31" s="6">
        <v>22.240983</v>
      </c>
      <c r="G31" s="7">
        <v>1.285145E-2</v>
      </c>
      <c r="H31" s="52"/>
    </row>
    <row r="32" spans="1:8" ht="29.1" customHeight="1" x14ac:dyDescent="0.2">
      <c r="A32" s="3">
        <v>26</v>
      </c>
      <c r="B32" s="4" t="s">
        <v>390</v>
      </c>
      <c r="C32" s="4" t="s">
        <v>391</v>
      </c>
      <c r="D32" s="4" t="s">
        <v>226</v>
      </c>
      <c r="E32" s="5">
        <v>1814</v>
      </c>
      <c r="F32" s="6">
        <v>21.768000000000001</v>
      </c>
      <c r="G32" s="7">
        <v>1.257815E-2</v>
      </c>
      <c r="H32" s="52"/>
    </row>
    <row r="33" spans="1:8" ht="17.100000000000001" customHeight="1" x14ac:dyDescent="0.2">
      <c r="A33" s="3">
        <v>27</v>
      </c>
      <c r="B33" s="4" t="s">
        <v>470</v>
      </c>
      <c r="C33" s="4" t="s">
        <v>471</v>
      </c>
      <c r="D33" s="4" t="s">
        <v>28</v>
      </c>
      <c r="E33" s="5">
        <v>1239</v>
      </c>
      <c r="F33" s="6">
        <v>21.551165999999998</v>
      </c>
      <c r="G33" s="7">
        <v>1.245285E-2</v>
      </c>
      <c r="H33" s="52"/>
    </row>
    <row r="34" spans="1:8" ht="17.100000000000001" customHeight="1" x14ac:dyDescent="0.2">
      <c r="A34" s="3">
        <v>28</v>
      </c>
      <c r="B34" s="4" t="s">
        <v>131</v>
      </c>
      <c r="C34" s="4" t="s">
        <v>132</v>
      </c>
      <c r="D34" s="4" t="s">
        <v>16</v>
      </c>
      <c r="E34" s="5">
        <v>5912</v>
      </c>
      <c r="F34" s="6">
        <v>20.647659999999998</v>
      </c>
      <c r="G34" s="7">
        <v>1.193078E-2</v>
      </c>
      <c r="H34" s="52"/>
    </row>
    <row r="35" spans="1:8" ht="29.1" customHeight="1" x14ac:dyDescent="0.2">
      <c r="A35" s="3">
        <v>29</v>
      </c>
      <c r="B35" s="4" t="s">
        <v>472</v>
      </c>
      <c r="C35" s="4" t="s">
        <v>473</v>
      </c>
      <c r="D35" s="4" t="s">
        <v>474</v>
      </c>
      <c r="E35" s="5">
        <v>2272</v>
      </c>
      <c r="F35" s="6">
        <v>20.45936</v>
      </c>
      <c r="G35" s="7">
        <v>1.1821979999999999E-2</v>
      </c>
      <c r="H35" s="52"/>
    </row>
    <row r="36" spans="1:8" ht="17.100000000000001" customHeight="1" x14ac:dyDescent="0.2">
      <c r="A36" s="3">
        <v>30</v>
      </c>
      <c r="B36" s="4" t="s">
        <v>351</v>
      </c>
      <c r="C36" s="4" t="s">
        <v>352</v>
      </c>
      <c r="D36" s="4" t="s">
        <v>344</v>
      </c>
      <c r="E36" s="5">
        <v>788</v>
      </c>
      <c r="F36" s="6">
        <v>19.573920000000001</v>
      </c>
      <c r="G36" s="7">
        <v>1.131035E-2</v>
      </c>
      <c r="H36" s="52"/>
    </row>
    <row r="37" spans="1:8" ht="17.100000000000001" customHeight="1" x14ac:dyDescent="0.2">
      <c r="A37" s="3">
        <v>31</v>
      </c>
      <c r="B37" s="4" t="s">
        <v>50</v>
      </c>
      <c r="C37" s="4" t="s">
        <v>51</v>
      </c>
      <c r="D37" s="4" t="s">
        <v>52</v>
      </c>
      <c r="E37" s="5">
        <v>2464</v>
      </c>
      <c r="F37" s="6">
        <v>16.957248</v>
      </c>
      <c r="G37" s="7">
        <v>9.7983600000000007E-3</v>
      </c>
      <c r="H37" s="52"/>
    </row>
    <row r="38" spans="1:8" ht="17.100000000000001" customHeight="1" x14ac:dyDescent="0.2">
      <c r="A38" s="3">
        <v>32</v>
      </c>
      <c r="B38" s="4" t="s">
        <v>339</v>
      </c>
      <c r="C38" s="4" t="s">
        <v>340</v>
      </c>
      <c r="D38" s="4" t="s">
        <v>341</v>
      </c>
      <c r="E38" s="5">
        <v>2289</v>
      </c>
      <c r="F38" s="6">
        <v>10.517955000000001</v>
      </c>
      <c r="G38" s="7">
        <v>6.0775600000000001E-3</v>
      </c>
      <c r="H38" s="52"/>
    </row>
    <row r="39" spans="1:8" ht="17.100000000000001" customHeight="1" x14ac:dyDescent="0.2">
      <c r="A39" s="3">
        <v>33</v>
      </c>
      <c r="B39" s="4" t="s">
        <v>475</v>
      </c>
      <c r="C39" s="4" t="s">
        <v>476</v>
      </c>
      <c r="D39" s="4" t="s">
        <v>888</v>
      </c>
      <c r="E39" s="5">
        <v>2457</v>
      </c>
      <c r="F39" s="6">
        <v>9.3808260000000008</v>
      </c>
      <c r="G39" s="7">
        <v>5.4205E-3</v>
      </c>
      <c r="H39" s="52"/>
    </row>
    <row r="40" spans="1:8" ht="17.100000000000001" customHeight="1" x14ac:dyDescent="0.2">
      <c r="A40" s="3">
        <v>34</v>
      </c>
      <c r="B40" s="4" t="s">
        <v>477</v>
      </c>
      <c r="C40" s="39" t="s">
        <v>982</v>
      </c>
      <c r="D40" s="4" t="s">
        <v>19</v>
      </c>
      <c r="E40" s="5">
        <v>482</v>
      </c>
      <c r="F40" s="6">
        <v>2.5897860000000001</v>
      </c>
      <c r="G40" s="7">
        <v>1.4964500000000001E-3</v>
      </c>
      <c r="H40" s="52"/>
    </row>
    <row r="41" spans="1:8" ht="14.1" customHeight="1" x14ac:dyDescent="0.2">
      <c r="A41" s="1"/>
      <c r="B41" s="1"/>
      <c r="C41" s="2" t="s">
        <v>145</v>
      </c>
      <c r="D41" s="1"/>
      <c r="E41" s="1" t="s">
        <v>146</v>
      </c>
      <c r="F41" s="9">
        <v>1675.5688215</v>
      </c>
      <c r="G41" s="10">
        <v>0.96818949000000021</v>
      </c>
      <c r="H41" s="52"/>
    </row>
    <row r="42" spans="1:8" ht="14.1" customHeight="1" x14ac:dyDescent="0.2">
      <c r="A42" s="1"/>
      <c r="B42" s="1"/>
      <c r="C42" s="11"/>
      <c r="D42" s="1"/>
      <c r="E42" s="1"/>
      <c r="F42" s="12"/>
      <c r="G42" s="12"/>
      <c r="H42" s="52"/>
    </row>
    <row r="43" spans="1:8" ht="14.1" customHeight="1" x14ac:dyDescent="0.2">
      <c r="A43" s="1"/>
      <c r="B43" s="1"/>
      <c r="C43" s="2" t="s">
        <v>147</v>
      </c>
      <c r="D43" s="1"/>
      <c r="E43" s="1"/>
      <c r="F43" s="1"/>
      <c r="G43" s="1"/>
      <c r="H43" s="52"/>
    </row>
    <row r="44" spans="1:8" ht="14.1" customHeight="1" x14ac:dyDescent="0.2">
      <c r="A44" s="1"/>
      <c r="B44" s="1"/>
      <c r="C44" s="2" t="s">
        <v>145</v>
      </c>
      <c r="D44" s="1"/>
      <c r="E44" s="1" t="s">
        <v>146</v>
      </c>
      <c r="F44" s="13" t="s">
        <v>148</v>
      </c>
      <c r="G44" s="10">
        <v>0</v>
      </c>
      <c r="H44" s="52"/>
    </row>
    <row r="45" spans="1:8" ht="14.1" customHeight="1" x14ac:dyDescent="0.2">
      <c r="A45" s="1"/>
      <c r="B45" s="1"/>
      <c r="C45" s="11"/>
      <c r="D45" s="1"/>
      <c r="E45" s="1"/>
      <c r="F45" s="12"/>
      <c r="G45" s="12"/>
      <c r="H45" s="52"/>
    </row>
    <row r="46" spans="1:8" ht="14.1" customHeight="1" x14ac:dyDescent="0.2">
      <c r="A46" s="1"/>
      <c r="B46" s="1"/>
      <c r="C46" s="2" t="s">
        <v>149</v>
      </c>
      <c r="D46" s="1"/>
      <c r="E46" s="1"/>
      <c r="F46" s="1"/>
      <c r="G46" s="1"/>
      <c r="H46" s="52"/>
    </row>
    <row r="47" spans="1:8" ht="14.1" customHeight="1" x14ac:dyDescent="0.2">
      <c r="A47" s="1"/>
      <c r="B47" s="1"/>
      <c r="C47" s="2" t="s">
        <v>145</v>
      </c>
      <c r="D47" s="1"/>
      <c r="E47" s="1" t="s">
        <v>146</v>
      </c>
      <c r="F47" s="13" t="s">
        <v>148</v>
      </c>
      <c r="G47" s="10">
        <v>0</v>
      </c>
      <c r="H47" s="52"/>
    </row>
    <row r="48" spans="1:8" ht="14.1" customHeight="1" x14ac:dyDescent="0.2">
      <c r="A48" s="1"/>
      <c r="B48" s="1"/>
      <c r="C48" s="11"/>
      <c r="D48" s="1"/>
      <c r="E48" s="1"/>
      <c r="F48" s="12"/>
      <c r="G48" s="12"/>
      <c r="H48" s="52"/>
    </row>
    <row r="49" spans="1:8" ht="14.1" customHeight="1" x14ac:dyDescent="0.2">
      <c r="A49" s="1"/>
      <c r="B49" s="1"/>
      <c r="C49" s="2" t="s">
        <v>150</v>
      </c>
      <c r="D49" s="1"/>
      <c r="E49" s="1"/>
      <c r="F49" s="1"/>
      <c r="G49" s="1"/>
      <c r="H49" s="52"/>
    </row>
    <row r="50" spans="1:8" ht="14.1" customHeight="1" x14ac:dyDescent="0.2">
      <c r="A50" s="1"/>
      <c r="B50" s="1"/>
      <c r="C50" s="2" t="s">
        <v>145</v>
      </c>
      <c r="D50" s="1"/>
      <c r="E50" s="1" t="s">
        <v>146</v>
      </c>
      <c r="F50" s="9">
        <v>0</v>
      </c>
      <c r="G50" s="10">
        <v>0</v>
      </c>
      <c r="H50" s="52"/>
    </row>
    <row r="51" spans="1:8" ht="14.1" customHeight="1" x14ac:dyDescent="0.2">
      <c r="A51" s="1"/>
      <c r="B51" s="1"/>
      <c r="C51" s="11"/>
      <c r="D51" s="1"/>
      <c r="E51" s="1"/>
      <c r="F51" s="12"/>
      <c r="G51" s="12"/>
      <c r="H51" s="52"/>
    </row>
    <row r="52" spans="1:8" ht="14.1" customHeight="1" x14ac:dyDescent="0.2">
      <c r="A52" s="1"/>
      <c r="B52" s="1"/>
      <c r="C52" s="2" t="s">
        <v>151</v>
      </c>
      <c r="D52" s="1"/>
      <c r="E52" s="1"/>
      <c r="F52" s="12"/>
      <c r="G52" s="12"/>
      <c r="H52" s="52"/>
    </row>
    <row r="53" spans="1:8" ht="14.1" customHeight="1" x14ac:dyDescent="0.2">
      <c r="A53" s="1"/>
      <c r="B53" s="1"/>
      <c r="C53" s="2" t="s">
        <v>145</v>
      </c>
      <c r="D53" s="1"/>
      <c r="E53" s="1" t="s">
        <v>146</v>
      </c>
      <c r="F53" s="13" t="s">
        <v>148</v>
      </c>
      <c r="G53" s="10">
        <v>0</v>
      </c>
      <c r="H53" s="52"/>
    </row>
    <row r="54" spans="1:8" ht="14.1" customHeight="1" x14ac:dyDescent="0.2">
      <c r="A54" s="1"/>
      <c r="B54" s="1"/>
      <c r="C54" s="11"/>
      <c r="D54" s="1"/>
      <c r="E54" s="1"/>
      <c r="F54" s="12"/>
      <c r="G54" s="12"/>
      <c r="H54" s="52"/>
    </row>
    <row r="55" spans="1:8" ht="14.1" customHeight="1" x14ac:dyDescent="0.2">
      <c r="A55" s="1"/>
      <c r="B55" s="1"/>
      <c r="C55" s="2" t="s">
        <v>152</v>
      </c>
      <c r="D55" s="1"/>
      <c r="E55" s="1"/>
      <c r="F55" s="12"/>
      <c r="G55" s="12"/>
      <c r="H55" s="52"/>
    </row>
    <row r="56" spans="1:8" ht="14.1" customHeight="1" x14ac:dyDescent="0.2">
      <c r="A56" s="1"/>
      <c r="B56" s="1"/>
      <c r="C56" s="2" t="s">
        <v>145</v>
      </c>
      <c r="D56" s="1"/>
      <c r="E56" s="1" t="s">
        <v>146</v>
      </c>
      <c r="F56" s="13" t="s">
        <v>148</v>
      </c>
      <c r="G56" s="10">
        <v>0</v>
      </c>
      <c r="H56" s="52"/>
    </row>
    <row r="57" spans="1:8" ht="14.1" customHeight="1" x14ac:dyDescent="0.2">
      <c r="A57" s="1"/>
      <c r="B57" s="1"/>
      <c r="C57" s="11"/>
      <c r="D57" s="1"/>
      <c r="E57" s="1"/>
      <c r="F57" s="12"/>
      <c r="G57" s="12"/>
      <c r="H57" s="52"/>
    </row>
    <row r="58" spans="1:8" ht="18" customHeight="1" x14ac:dyDescent="0.2">
      <c r="A58" s="1"/>
      <c r="B58" s="1"/>
      <c r="C58" s="2" t="s">
        <v>153</v>
      </c>
      <c r="D58" s="1"/>
      <c r="E58" s="1"/>
      <c r="F58" s="9">
        <v>1675.5688215</v>
      </c>
      <c r="G58" s="10">
        <v>0.96818948999999999</v>
      </c>
      <c r="H58" s="52"/>
    </row>
    <row r="59" spans="1:8" ht="14.1" customHeight="1" x14ac:dyDescent="0.2">
      <c r="A59" s="1"/>
      <c r="B59" s="1"/>
      <c r="C59" s="11"/>
      <c r="D59" s="1"/>
      <c r="E59" s="1"/>
      <c r="F59" s="12"/>
      <c r="G59" s="12"/>
      <c r="H59" s="52"/>
    </row>
    <row r="60" spans="1:8" ht="14.1" customHeight="1" x14ac:dyDescent="0.2">
      <c r="A60" s="1"/>
      <c r="B60" s="1"/>
      <c r="C60" s="2" t="s">
        <v>154</v>
      </c>
      <c r="D60" s="1"/>
      <c r="E60" s="1"/>
      <c r="F60" s="12"/>
      <c r="G60" s="12"/>
      <c r="H60" s="52"/>
    </row>
    <row r="61" spans="1:8" ht="24" customHeight="1" x14ac:dyDescent="0.2">
      <c r="A61" s="1"/>
      <c r="B61" s="1"/>
      <c r="C61" s="2" t="s">
        <v>10</v>
      </c>
      <c r="D61" s="1"/>
      <c r="E61" s="1"/>
      <c r="F61" s="12"/>
      <c r="G61" s="12"/>
      <c r="H61" s="52"/>
    </row>
    <row r="62" spans="1:8" ht="14.1" customHeight="1" x14ac:dyDescent="0.2">
      <c r="A62" s="1"/>
      <c r="B62" s="1"/>
      <c r="C62" s="2" t="s">
        <v>145</v>
      </c>
      <c r="D62" s="1"/>
      <c r="E62" s="1" t="s">
        <v>146</v>
      </c>
      <c r="F62" s="13" t="s">
        <v>148</v>
      </c>
      <c r="G62" s="10">
        <v>0</v>
      </c>
      <c r="H62" s="52"/>
    </row>
    <row r="63" spans="1:8" ht="14.1" customHeight="1" x14ac:dyDescent="0.2">
      <c r="A63" s="1"/>
      <c r="B63" s="1"/>
      <c r="C63" s="11"/>
      <c r="D63" s="1"/>
      <c r="E63" s="1"/>
      <c r="F63" s="12"/>
      <c r="G63" s="12"/>
      <c r="H63" s="52"/>
    </row>
    <row r="64" spans="1:8" ht="14.1" customHeight="1" x14ac:dyDescent="0.2">
      <c r="A64" s="1"/>
      <c r="B64" s="1"/>
      <c r="C64" s="2" t="s">
        <v>155</v>
      </c>
      <c r="D64" s="1"/>
      <c r="E64" s="1"/>
      <c r="F64" s="1"/>
      <c r="G64" s="1"/>
      <c r="H64" s="52"/>
    </row>
    <row r="65" spans="1:8" ht="14.1" customHeight="1" x14ac:dyDescent="0.2">
      <c r="A65" s="1"/>
      <c r="B65" s="1"/>
      <c r="C65" s="2" t="s">
        <v>145</v>
      </c>
      <c r="D65" s="1"/>
      <c r="E65" s="1" t="s">
        <v>146</v>
      </c>
      <c r="F65" s="13" t="s">
        <v>148</v>
      </c>
      <c r="G65" s="10">
        <v>0</v>
      </c>
      <c r="H65" s="52"/>
    </row>
    <row r="66" spans="1:8" ht="14.1" customHeight="1" x14ac:dyDescent="0.2">
      <c r="A66" s="1"/>
      <c r="B66" s="1"/>
      <c r="C66" s="11"/>
      <c r="D66" s="1"/>
      <c r="E66" s="1"/>
      <c r="F66" s="12"/>
      <c r="G66" s="12"/>
      <c r="H66" s="52"/>
    </row>
    <row r="67" spans="1:8" ht="14.1" customHeight="1" x14ac:dyDescent="0.2">
      <c r="A67" s="1"/>
      <c r="B67" s="1"/>
      <c r="C67" s="2" t="s">
        <v>156</v>
      </c>
      <c r="D67" s="1"/>
      <c r="E67" s="1"/>
      <c r="F67" s="1"/>
      <c r="G67" s="1"/>
      <c r="H67" s="52"/>
    </row>
    <row r="68" spans="1:8" ht="14.1" customHeight="1" x14ac:dyDescent="0.2">
      <c r="A68" s="1"/>
      <c r="B68" s="1"/>
      <c r="C68" s="2" t="s">
        <v>145</v>
      </c>
      <c r="D68" s="1"/>
      <c r="E68" s="1" t="s">
        <v>146</v>
      </c>
      <c r="F68" s="13" t="s">
        <v>148</v>
      </c>
      <c r="G68" s="10">
        <v>0</v>
      </c>
      <c r="H68" s="52"/>
    </row>
    <row r="69" spans="1:8" ht="14.1" customHeight="1" x14ac:dyDescent="0.2">
      <c r="A69" s="1"/>
      <c r="B69" s="1"/>
      <c r="C69" s="11"/>
      <c r="D69" s="1"/>
      <c r="E69" s="1"/>
      <c r="F69" s="12"/>
      <c r="G69" s="12"/>
      <c r="H69" s="52"/>
    </row>
    <row r="70" spans="1:8" ht="14.1" customHeight="1" x14ac:dyDescent="0.2">
      <c r="A70" s="1"/>
      <c r="B70" s="1"/>
      <c r="C70" s="2" t="s">
        <v>157</v>
      </c>
      <c r="D70" s="1"/>
      <c r="E70" s="1"/>
      <c r="F70" s="12"/>
      <c r="G70" s="12"/>
      <c r="H70" s="52"/>
    </row>
    <row r="71" spans="1:8" ht="14.1" customHeight="1" x14ac:dyDescent="0.2">
      <c r="A71" s="1"/>
      <c r="B71" s="1"/>
      <c r="C71" s="2" t="s">
        <v>145</v>
      </c>
      <c r="D71" s="1"/>
      <c r="E71" s="1" t="s">
        <v>146</v>
      </c>
      <c r="F71" s="13" t="s">
        <v>148</v>
      </c>
      <c r="G71" s="10">
        <v>0</v>
      </c>
      <c r="H71" s="52"/>
    </row>
    <row r="72" spans="1:8" ht="14.1" customHeight="1" x14ac:dyDescent="0.2">
      <c r="A72" s="1"/>
      <c r="B72" s="1"/>
      <c r="C72" s="11"/>
      <c r="D72" s="1"/>
      <c r="E72" s="1"/>
      <c r="F72" s="12"/>
      <c r="G72" s="12"/>
      <c r="H72" s="52"/>
    </row>
    <row r="73" spans="1:8" ht="14.1" customHeight="1" x14ac:dyDescent="0.2">
      <c r="A73" s="1"/>
      <c r="B73" s="1"/>
      <c r="C73" s="2" t="s">
        <v>158</v>
      </c>
      <c r="D73" s="1"/>
      <c r="E73" s="1"/>
      <c r="F73" s="9">
        <v>0</v>
      </c>
      <c r="G73" s="10">
        <v>0</v>
      </c>
      <c r="H73" s="52"/>
    </row>
    <row r="74" spans="1:8" ht="14.1" customHeight="1" x14ac:dyDescent="0.2">
      <c r="A74" s="1"/>
      <c r="B74" s="1"/>
      <c r="C74" s="11"/>
      <c r="D74" s="1"/>
      <c r="E74" s="1"/>
      <c r="F74" s="12"/>
      <c r="G74" s="12"/>
      <c r="H74" s="52"/>
    </row>
    <row r="75" spans="1:8" ht="14.1" customHeight="1" x14ac:dyDescent="0.2">
      <c r="A75" s="1"/>
      <c r="B75" s="1"/>
      <c r="C75" s="2" t="s">
        <v>159</v>
      </c>
      <c r="D75" s="1"/>
      <c r="E75" s="1"/>
      <c r="F75" s="12"/>
      <c r="G75" s="12"/>
      <c r="H75" s="52"/>
    </row>
    <row r="76" spans="1:8" ht="14.1" customHeight="1" x14ac:dyDescent="0.2">
      <c r="A76" s="1"/>
      <c r="B76" s="1"/>
      <c r="C76" s="2" t="s">
        <v>160</v>
      </c>
      <c r="D76" s="1"/>
      <c r="E76" s="1"/>
      <c r="F76" s="12"/>
      <c r="G76" s="12"/>
      <c r="H76" s="52"/>
    </row>
    <row r="77" spans="1:8" ht="14.1" customHeight="1" x14ac:dyDescent="0.2">
      <c r="A77" s="1"/>
      <c r="B77" s="1"/>
      <c r="C77" s="2" t="s">
        <v>145</v>
      </c>
      <c r="D77" s="1"/>
      <c r="E77" s="1" t="s">
        <v>146</v>
      </c>
      <c r="F77" s="13" t="s">
        <v>148</v>
      </c>
      <c r="G77" s="10">
        <v>0</v>
      </c>
      <c r="H77" s="52"/>
    </row>
    <row r="78" spans="1:8" ht="14.1" customHeight="1" x14ac:dyDescent="0.2">
      <c r="A78" s="1"/>
      <c r="B78" s="1"/>
      <c r="C78" s="11"/>
      <c r="D78" s="1"/>
      <c r="E78" s="1"/>
      <c r="F78" s="12"/>
      <c r="G78" s="12"/>
      <c r="H78" s="52"/>
    </row>
    <row r="79" spans="1:8" ht="14.1" customHeight="1" x14ac:dyDescent="0.2">
      <c r="A79" s="1"/>
      <c r="B79" s="1"/>
      <c r="C79" s="2" t="s">
        <v>161</v>
      </c>
      <c r="D79" s="1"/>
      <c r="E79" s="1"/>
      <c r="F79" s="12"/>
      <c r="G79" s="12"/>
      <c r="H79" s="52"/>
    </row>
    <row r="80" spans="1:8" ht="14.1" customHeight="1" x14ac:dyDescent="0.2">
      <c r="A80" s="1"/>
      <c r="B80" s="1"/>
      <c r="C80" s="2" t="s">
        <v>145</v>
      </c>
      <c r="D80" s="1"/>
      <c r="E80" s="1" t="s">
        <v>146</v>
      </c>
      <c r="F80" s="13" t="s">
        <v>148</v>
      </c>
      <c r="G80" s="10">
        <v>0</v>
      </c>
      <c r="H80" s="52"/>
    </row>
    <row r="81" spans="1:8" ht="14.1" customHeight="1" x14ac:dyDescent="0.2">
      <c r="A81" s="1"/>
      <c r="B81" s="1"/>
      <c r="C81" s="11"/>
      <c r="D81" s="1"/>
      <c r="E81" s="1"/>
      <c r="F81" s="12"/>
      <c r="G81" s="12"/>
      <c r="H81" s="52"/>
    </row>
    <row r="82" spans="1:8" ht="14.1" customHeight="1" x14ac:dyDescent="0.2">
      <c r="A82" s="1"/>
      <c r="B82" s="1"/>
      <c r="C82" s="2" t="s">
        <v>162</v>
      </c>
      <c r="D82" s="1"/>
      <c r="E82" s="1"/>
      <c r="F82" s="12"/>
      <c r="G82" s="12"/>
      <c r="H82" s="52"/>
    </row>
    <row r="83" spans="1:8" ht="14.1" customHeight="1" x14ac:dyDescent="0.2">
      <c r="A83" s="1"/>
      <c r="B83" s="1"/>
      <c r="C83" s="2" t="s">
        <v>145</v>
      </c>
      <c r="D83" s="1"/>
      <c r="E83" s="1" t="s">
        <v>146</v>
      </c>
      <c r="F83" s="13" t="s">
        <v>148</v>
      </c>
      <c r="G83" s="10">
        <v>0</v>
      </c>
      <c r="H83" s="52"/>
    </row>
    <row r="84" spans="1:8" ht="14.1" customHeight="1" x14ac:dyDescent="0.2">
      <c r="A84" s="1"/>
      <c r="B84" s="1"/>
      <c r="C84" s="11"/>
      <c r="D84" s="1"/>
      <c r="E84" s="1"/>
      <c r="F84" s="12"/>
      <c r="G84" s="12"/>
      <c r="H84" s="52"/>
    </row>
    <row r="85" spans="1:8" ht="14.1" customHeight="1" x14ac:dyDescent="0.2">
      <c r="A85" s="1"/>
      <c r="B85" s="1"/>
      <c r="C85" s="2" t="s">
        <v>163</v>
      </c>
      <c r="D85" s="1"/>
      <c r="E85" s="1"/>
      <c r="F85" s="12"/>
      <c r="G85" s="12"/>
      <c r="H85" s="52"/>
    </row>
    <row r="86" spans="1:8" ht="17.100000000000001" customHeight="1" x14ac:dyDescent="0.2">
      <c r="A86" s="3">
        <v>1</v>
      </c>
      <c r="B86" s="4"/>
      <c r="C86" s="4" t="s">
        <v>164</v>
      </c>
      <c r="D86" s="4"/>
      <c r="E86" s="8"/>
      <c r="F86" s="6">
        <v>53.171118999999997</v>
      </c>
      <c r="G86" s="7">
        <v>3.0723730000000001E-2</v>
      </c>
      <c r="H86" s="52">
        <v>6.7567375937238596</v>
      </c>
    </row>
    <row r="87" spans="1:8" ht="14.1" customHeight="1" x14ac:dyDescent="0.2">
      <c r="A87" s="1"/>
      <c r="B87" s="1"/>
      <c r="C87" s="2" t="s">
        <v>145</v>
      </c>
      <c r="D87" s="1"/>
      <c r="E87" s="1" t="s">
        <v>146</v>
      </c>
      <c r="F87" s="9">
        <v>53.171118999999997</v>
      </c>
      <c r="G87" s="10">
        <v>3.0723730000000001E-2</v>
      </c>
      <c r="H87" s="52"/>
    </row>
    <row r="88" spans="1:8" ht="14.1" customHeight="1" x14ac:dyDescent="0.2">
      <c r="A88" s="1"/>
      <c r="B88" s="1"/>
      <c r="C88" s="11"/>
      <c r="D88" s="1"/>
      <c r="E88" s="1"/>
      <c r="F88" s="12"/>
      <c r="G88" s="12"/>
      <c r="H88" s="52"/>
    </row>
    <row r="89" spans="1:8" ht="14.1" customHeight="1" x14ac:dyDescent="0.2">
      <c r="A89" s="1"/>
      <c r="B89" s="1"/>
      <c r="C89" s="2" t="s">
        <v>165</v>
      </c>
      <c r="D89" s="1"/>
      <c r="E89" s="1"/>
      <c r="F89" s="9">
        <v>53.171118999999997</v>
      </c>
      <c r="G89" s="10">
        <v>3.0723730000000001E-2</v>
      </c>
      <c r="H89" s="52"/>
    </row>
    <row r="90" spans="1:8" ht="14.1" customHeight="1" x14ac:dyDescent="0.2">
      <c r="A90" s="1"/>
      <c r="B90" s="1"/>
      <c r="C90" s="12"/>
      <c r="D90" s="1"/>
      <c r="E90" s="1"/>
      <c r="F90" s="1"/>
      <c r="G90" s="1"/>
      <c r="H90" s="52"/>
    </row>
    <row r="91" spans="1:8" ht="14.1" customHeight="1" x14ac:dyDescent="0.2">
      <c r="A91" s="1"/>
      <c r="B91" s="1"/>
      <c r="C91" s="2" t="s">
        <v>166</v>
      </c>
      <c r="D91" s="1"/>
      <c r="E91" s="1"/>
      <c r="F91" s="1"/>
      <c r="G91" s="1"/>
      <c r="H91" s="52"/>
    </row>
    <row r="92" spans="1:8" ht="14.1" customHeight="1" x14ac:dyDescent="0.2">
      <c r="A92" s="1"/>
      <c r="B92" s="1"/>
      <c r="C92" s="2" t="s">
        <v>167</v>
      </c>
      <c r="D92" s="1"/>
      <c r="E92" s="1"/>
      <c r="F92" s="1"/>
      <c r="G92" s="1"/>
      <c r="H92" s="52"/>
    </row>
    <row r="93" spans="1:8" ht="14.1" customHeight="1" x14ac:dyDescent="0.2">
      <c r="A93" s="1"/>
      <c r="B93" s="1"/>
      <c r="C93" s="2" t="s">
        <v>145</v>
      </c>
      <c r="D93" s="1"/>
      <c r="E93" s="1" t="s">
        <v>146</v>
      </c>
      <c r="F93" s="13" t="s">
        <v>148</v>
      </c>
      <c r="G93" s="10">
        <v>0</v>
      </c>
      <c r="H93" s="52"/>
    </row>
    <row r="94" spans="1:8" ht="14.1" customHeight="1" x14ac:dyDescent="0.2">
      <c r="A94" s="1"/>
      <c r="B94" s="1"/>
      <c r="C94" s="11"/>
      <c r="D94" s="1"/>
      <c r="E94" s="1"/>
      <c r="F94" s="12"/>
      <c r="G94" s="12"/>
      <c r="H94" s="52"/>
    </row>
    <row r="95" spans="1:8" ht="14.1" customHeight="1" x14ac:dyDescent="0.2">
      <c r="A95" s="1"/>
      <c r="B95" s="1"/>
      <c r="C95" s="2" t="s">
        <v>168</v>
      </c>
      <c r="D95" s="1"/>
      <c r="E95" s="1"/>
      <c r="F95" s="1"/>
      <c r="G95" s="1"/>
      <c r="H95" s="52"/>
    </row>
    <row r="96" spans="1:8" ht="14.1" customHeight="1" x14ac:dyDescent="0.2">
      <c r="A96" s="1"/>
      <c r="B96" s="1"/>
      <c r="C96" s="2" t="s">
        <v>169</v>
      </c>
      <c r="D96" s="1"/>
      <c r="E96" s="1"/>
      <c r="F96" s="1"/>
      <c r="G96" s="1"/>
      <c r="H96" s="52"/>
    </row>
    <row r="97" spans="1:8" ht="14.1" customHeight="1" x14ac:dyDescent="0.2">
      <c r="A97" s="1"/>
      <c r="B97" s="1"/>
      <c r="C97" s="2" t="s">
        <v>145</v>
      </c>
      <c r="D97" s="1"/>
      <c r="E97" s="1" t="s">
        <v>146</v>
      </c>
      <c r="F97" s="13" t="s">
        <v>148</v>
      </c>
      <c r="G97" s="10">
        <v>0</v>
      </c>
      <c r="H97" s="52"/>
    </row>
    <row r="98" spans="1:8" ht="14.1" customHeight="1" x14ac:dyDescent="0.2">
      <c r="A98" s="1"/>
      <c r="B98" s="1"/>
      <c r="C98" s="11"/>
      <c r="D98" s="1"/>
      <c r="E98" s="1"/>
      <c r="F98" s="12"/>
      <c r="G98" s="12"/>
      <c r="H98" s="52"/>
    </row>
    <row r="99" spans="1:8" ht="24" customHeight="1" x14ac:dyDescent="0.2">
      <c r="A99" s="1"/>
      <c r="B99" s="1"/>
      <c r="C99" s="2" t="s">
        <v>170</v>
      </c>
      <c r="D99" s="1"/>
      <c r="E99" s="1"/>
      <c r="F99" s="12"/>
      <c r="G99" s="12"/>
      <c r="H99" s="52"/>
    </row>
    <row r="100" spans="1:8" ht="14.1" customHeight="1" x14ac:dyDescent="0.2">
      <c r="A100" s="1"/>
      <c r="B100" s="1"/>
      <c r="C100" s="2" t="s">
        <v>145</v>
      </c>
      <c r="D100" s="1"/>
      <c r="E100" s="1" t="s">
        <v>146</v>
      </c>
      <c r="F100" s="13" t="s">
        <v>148</v>
      </c>
      <c r="G100" s="10">
        <v>0</v>
      </c>
      <c r="H100" s="52"/>
    </row>
    <row r="101" spans="1:8" ht="14.1" customHeight="1" x14ac:dyDescent="0.2">
      <c r="A101" s="1"/>
      <c r="B101" s="1"/>
      <c r="C101" s="11"/>
      <c r="D101" s="1"/>
      <c r="E101" s="1"/>
      <c r="F101" s="12"/>
      <c r="G101" s="12"/>
      <c r="H101" s="52"/>
    </row>
    <row r="102" spans="1:8" ht="14.1" customHeight="1" x14ac:dyDescent="0.2">
      <c r="A102" s="1"/>
      <c r="B102" s="4"/>
      <c r="C102" s="4"/>
      <c r="D102" s="2"/>
      <c r="E102" s="1"/>
      <c r="F102" s="4"/>
      <c r="G102" s="8"/>
      <c r="H102" s="52"/>
    </row>
    <row r="103" spans="1:8" ht="18" customHeight="1" x14ac:dyDescent="0.2">
      <c r="A103" s="8"/>
      <c r="B103" s="4"/>
      <c r="C103" s="4" t="s">
        <v>171</v>
      </c>
      <c r="D103" s="4"/>
      <c r="E103" s="8"/>
      <c r="F103" s="6">
        <v>1.8808856700000001</v>
      </c>
      <c r="G103" s="7">
        <v>1.08683E-3</v>
      </c>
      <c r="H103" s="52"/>
    </row>
    <row r="104" spans="1:8" ht="14.1" customHeight="1" x14ac:dyDescent="0.2">
      <c r="A104" s="11"/>
      <c r="B104" s="11"/>
      <c r="C104" s="2" t="s">
        <v>172</v>
      </c>
      <c r="D104" s="12"/>
      <c r="E104" s="12"/>
      <c r="F104" s="9">
        <v>1730.6208261700001</v>
      </c>
      <c r="G104" s="14">
        <v>1.0000000499999999</v>
      </c>
      <c r="H104" s="52"/>
    </row>
    <row r="105" spans="1:8" ht="14.1" customHeight="1" x14ac:dyDescent="0.2">
      <c r="A105" s="15"/>
      <c r="B105" s="15"/>
      <c r="C105" s="15"/>
      <c r="D105" s="16"/>
      <c r="E105" s="16"/>
      <c r="F105" s="16"/>
      <c r="G105" s="16"/>
    </row>
    <row r="106" spans="1:8" ht="15" customHeight="1" x14ac:dyDescent="0.2">
      <c r="A106" s="17"/>
      <c r="B106" s="126" t="s">
        <v>146</v>
      </c>
      <c r="C106" s="126"/>
      <c r="D106" s="126"/>
      <c r="E106" s="126"/>
      <c r="F106" s="126"/>
      <c r="G106" s="19"/>
    </row>
    <row r="107" spans="1:8" ht="14.1" customHeight="1" x14ac:dyDescent="0.2">
      <c r="A107" s="17"/>
      <c r="B107" s="17"/>
      <c r="C107" s="17"/>
      <c r="D107" s="19"/>
      <c r="E107" s="19"/>
      <c r="F107" s="19"/>
      <c r="G107" s="19"/>
    </row>
    <row r="108" spans="1:8" ht="14.1" customHeight="1" x14ac:dyDescent="0.2">
      <c r="A108" s="17"/>
      <c r="B108" s="127" t="s">
        <v>174</v>
      </c>
      <c r="C108" s="128"/>
      <c r="D108" s="129"/>
      <c r="E108" s="20"/>
      <c r="F108" s="19"/>
      <c r="G108" s="19"/>
    </row>
    <row r="109" spans="1:8" ht="29.1" customHeight="1" x14ac:dyDescent="0.2">
      <c r="A109" s="17"/>
      <c r="B109" s="121" t="s">
        <v>175</v>
      </c>
      <c r="C109" s="122"/>
      <c r="D109" s="2" t="s">
        <v>176</v>
      </c>
      <c r="E109" s="20"/>
      <c r="F109" s="19"/>
      <c r="G109" s="19"/>
    </row>
    <row r="110" spans="1:8" ht="17.100000000000001" customHeight="1" x14ac:dyDescent="0.2">
      <c r="A110" s="17"/>
      <c r="B110" s="121" t="s">
        <v>177</v>
      </c>
      <c r="C110" s="122"/>
      <c r="D110" s="2" t="s">
        <v>176</v>
      </c>
      <c r="E110" s="20"/>
      <c r="F110" s="19"/>
      <c r="G110" s="19"/>
    </row>
    <row r="111" spans="1:8" ht="17.100000000000001" customHeight="1" x14ac:dyDescent="0.2">
      <c r="A111" s="17"/>
      <c r="B111" s="121" t="s">
        <v>178</v>
      </c>
      <c r="C111" s="122"/>
      <c r="D111" s="12" t="s">
        <v>146</v>
      </c>
      <c r="E111" s="20"/>
      <c r="F111" s="19"/>
      <c r="G111" s="19"/>
    </row>
    <row r="112" spans="1:8" ht="24" customHeight="1" x14ac:dyDescent="0.2">
      <c r="A112" s="21"/>
      <c r="B112" s="22" t="s">
        <v>146</v>
      </c>
      <c r="C112" s="22" t="s">
        <v>179</v>
      </c>
      <c r="D112" s="22" t="s">
        <v>180</v>
      </c>
      <c r="E112" s="21"/>
      <c r="F112" s="21"/>
      <c r="G112" s="21"/>
    </row>
    <row r="113" spans="1:7" ht="18" customHeight="1" x14ac:dyDescent="0.2">
      <c r="A113" s="21"/>
      <c r="B113" s="23" t="s">
        <v>181</v>
      </c>
      <c r="C113" s="22" t="s">
        <v>182</v>
      </c>
      <c r="D113" s="22" t="s">
        <v>183</v>
      </c>
      <c r="E113" s="21"/>
      <c r="F113" s="21"/>
      <c r="G113" s="21"/>
    </row>
    <row r="114" spans="1:7" ht="17.100000000000001" customHeight="1" x14ac:dyDescent="0.2">
      <c r="A114" s="21"/>
      <c r="B114" s="4" t="s">
        <v>184</v>
      </c>
      <c r="C114" s="24">
        <v>26.0031</v>
      </c>
      <c r="D114" s="24">
        <v>25.2151</v>
      </c>
      <c r="E114" s="21"/>
      <c r="F114" s="18"/>
      <c r="G114" s="25"/>
    </row>
    <row r="115" spans="1:7" ht="17.100000000000001" customHeight="1" x14ac:dyDescent="0.2">
      <c r="A115" s="21"/>
      <c r="B115" s="4" t="s">
        <v>1039</v>
      </c>
      <c r="C115" s="24">
        <v>21.6617</v>
      </c>
      <c r="D115" s="24">
        <v>21.005199999999999</v>
      </c>
      <c r="E115" s="21"/>
      <c r="F115" s="18"/>
      <c r="G115" s="25"/>
    </row>
    <row r="116" spans="1:7" ht="17.100000000000001" customHeight="1" x14ac:dyDescent="0.2">
      <c r="A116" s="21"/>
      <c r="B116" s="4" t="s">
        <v>185</v>
      </c>
      <c r="C116" s="24">
        <v>25.411000000000001</v>
      </c>
      <c r="D116" s="24">
        <v>24.639800000000001</v>
      </c>
      <c r="E116" s="21"/>
      <c r="F116" s="18"/>
      <c r="G116" s="25"/>
    </row>
    <row r="117" spans="1:7" ht="17.100000000000001" customHeight="1" x14ac:dyDescent="0.2">
      <c r="A117" s="21"/>
      <c r="B117" s="4" t="s">
        <v>1040</v>
      </c>
      <c r="C117" s="24">
        <v>21.0961</v>
      </c>
      <c r="D117" s="24">
        <v>20.4559</v>
      </c>
      <c r="E117" s="21"/>
      <c r="F117" s="18"/>
      <c r="G117" s="25"/>
    </row>
    <row r="118" spans="1:7" ht="14.1" customHeight="1" x14ac:dyDescent="0.2">
      <c r="A118" s="21"/>
      <c r="B118" s="21"/>
      <c r="C118" s="21"/>
      <c r="D118" s="21"/>
      <c r="E118" s="21"/>
      <c r="F118" s="21"/>
      <c r="G118" s="21"/>
    </row>
    <row r="119" spans="1:7" ht="17.100000000000001" customHeight="1" x14ac:dyDescent="0.2">
      <c r="A119" s="21"/>
      <c r="B119" s="121" t="s">
        <v>1041</v>
      </c>
      <c r="C119" s="122"/>
      <c r="D119" s="2" t="s">
        <v>176</v>
      </c>
      <c r="E119" s="21"/>
      <c r="F119" s="21"/>
      <c r="G119" s="21"/>
    </row>
    <row r="120" spans="1:7" ht="18" customHeight="1" x14ac:dyDescent="0.2">
      <c r="A120" s="21"/>
      <c r="B120" s="26"/>
      <c r="C120" s="26"/>
      <c r="D120" s="26"/>
      <c r="E120" s="21"/>
      <c r="F120" s="21"/>
      <c r="G120" s="21"/>
    </row>
    <row r="121" spans="1:7" ht="29.1" customHeight="1" x14ac:dyDescent="0.2">
      <c r="A121" s="21"/>
      <c r="B121" s="121" t="s">
        <v>186</v>
      </c>
      <c r="C121" s="122"/>
      <c r="D121" s="2" t="s">
        <v>176</v>
      </c>
      <c r="E121" s="27"/>
      <c r="F121" s="21"/>
      <c r="G121" s="21"/>
    </row>
    <row r="122" spans="1:7" ht="29.1" customHeight="1" x14ac:dyDescent="0.2">
      <c r="A122" s="21"/>
      <c r="B122" s="121" t="s">
        <v>187</v>
      </c>
      <c r="C122" s="122"/>
      <c r="D122" s="2" t="s">
        <v>176</v>
      </c>
      <c r="E122" s="27"/>
      <c r="F122" s="21"/>
      <c r="G122" s="21"/>
    </row>
    <row r="123" spans="1:7" ht="17.100000000000001" customHeight="1" x14ac:dyDescent="0.2">
      <c r="A123" s="21"/>
      <c r="B123" s="121" t="s">
        <v>188</v>
      </c>
      <c r="C123" s="122"/>
      <c r="D123" s="2" t="s">
        <v>176</v>
      </c>
      <c r="E123" s="27"/>
      <c r="F123" s="21"/>
      <c r="G123" s="21"/>
    </row>
    <row r="124" spans="1:7" ht="17.100000000000001" customHeight="1" x14ac:dyDescent="0.2">
      <c r="A124" s="21"/>
      <c r="B124" s="121" t="s">
        <v>189</v>
      </c>
      <c r="C124" s="122"/>
      <c r="D124" s="50">
        <v>0</v>
      </c>
      <c r="E124" s="21"/>
      <c r="F124" s="18"/>
      <c r="G124" s="25"/>
    </row>
    <row r="130" spans="10:14" x14ac:dyDescent="0.2">
      <c r="J130" s="104"/>
      <c r="K130" s="104"/>
      <c r="L130" s="104"/>
      <c r="M130" s="104"/>
      <c r="N130" s="104"/>
    </row>
  </sheetData>
  <mergeCells count="14">
    <mergeCell ref="A1:H1"/>
    <mergeCell ref="A2:H2"/>
    <mergeCell ref="A3:H3"/>
    <mergeCell ref="J2:N2"/>
    <mergeCell ref="B124:C124"/>
    <mergeCell ref="B110:C110"/>
    <mergeCell ref="B111:C111"/>
    <mergeCell ref="B119:C119"/>
    <mergeCell ref="B121:C121"/>
    <mergeCell ref="B122:C122"/>
    <mergeCell ref="B123:C123"/>
    <mergeCell ref="B109:C109"/>
    <mergeCell ref="B106:F106"/>
    <mergeCell ref="B108:D108"/>
  </mergeCells>
  <hyperlinks>
    <hyperlink ref="I1" location="Index!B8" display="Index" xr:uid="{460CC0C9-292C-4084-B0F7-429B54D7384E}"/>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O127"/>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5" ht="18" customHeight="1" x14ac:dyDescent="0.2">
      <c r="A1" s="116" t="s">
        <v>0</v>
      </c>
      <c r="B1" s="116"/>
      <c r="C1" s="116"/>
      <c r="D1" s="116"/>
      <c r="E1" s="116"/>
      <c r="F1" s="116"/>
      <c r="G1" s="116"/>
      <c r="H1" s="116"/>
      <c r="I1" s="98" t="s">
        <v>1053</v>
      </c>
    </row>
    <row r="2" spans="1:15" ht="17.100000000000001" customHeight="1" x14ac:dyDescent="0.2">
      <c r="A2" s="117" t="s">
        <v>478</v>
      </c>
      <c r="B2" s="118"/>
      <c r="C2" s="118"/>
      <c r="D2" s="118"/>
      <c r="E2" s="118"/>
      <c r="F2" s="118"/>
      <c r="G2" s="118"/>
      <c r="H2" s="119"/>
      <c r="J2" s="120" t="s">
        <v>1054</v>
      </c>
      <c r="K2" s="120"/>
      <c r="L2" s="120"/>
      <c r="M2" s="120"/>
      <c r="N2" s="120"/>
    </row>
    <row r="3" spans="1:15" ht="21" customHeight="1" x14ac:dyDescent="0.2">
      <c r="A3" s="116" t="s">
        <v>1049</v>
      </c>
      <c r="B3" s="116"/>
      <c r="C3" s="116"/>
      <c r="D3" s="116"/>
      <c r="E3" s="116"/>
      <c r="F3" s="116"/>
      <c r="G3" s="116"/>
      <c r="H3" s="116"/>
    </row>
    <row r="4" spans="1:15" ht="30" x14ac:dyDescent="0.2">
      <c r="A4" s="96" t="s">
        <v>2</v>
      </c>
      <c r="B4" s="96" t="s">
        <v>3</v>
      </c>
      <c r="C4" s="96" t="s">
        <v>4</v>
      </c>
      <c r="D4" s="96" t="s">
        <v>5</v>
      </c>
      <c r="E4" s="96" t="s">
        <v>6</v>
      </c>
      <c r="F4" s="96" t="s">
        <v>7</v>
      </c>
      <c r="G4" s="96" t="s">
        <v>8</v>
      </c>
      <c r="H4" s="51" t="s">
        <v>1002</v>
      </c>
      <c r="I4" s="99"/>
      <c r="J4" s="99"/>
      <c r="K4" s="99"/>
      <c r="L4" s="99"/>
      <c r="M4" s="99"/>
      <c r="N4" s="99"/>
      <c r="O4" s="99"/>
    </row>
    <row r="5" spans="1:15" ht="14.1" customHeight="1" x14ac:dyDescent="0.2">
      <c r="A5" s="1"/>
      <c r="B5" s="1"/>
      <c r="C5" s="2" t="s">
        <v>9</v>
      </c>
      <c r="D5" s="1"/>
      <c r="E5" s="1"/>
      <c r="F5" s="1"/>
      <c r="G5" s="1"/>
      <c r="H5" s="52"/>
    </row>
    <row r="6" spans="1:15" ht="24" customHeight="1" x14ac:dyDescent="0.2">
      <c r="A6" s="1"/>
      <c r="B6" s="1"/>
      <c r="C6" s="2" t="s">
        <v>10</v>
      </c>
      <c r="D6" s="1"/>
      <c r="E6" s="1"/>
      <c r="F6" s="1"/>
      <c r="G6" s="1"/>
      <c r="H6" s="52"/>
    </row>
    <row r="7" spans="1:15" ht="17.100000000000001" customHeight="1" x14ac:dyDescent="0.2">
      <c r="A7" s="3">
        <v>1</v>
      </c>
      <c r="B7" s="4" t="s">
        <v>26</v>
      </c>
      <c r="C7" s="4" t="s">
        <v>27</v>
      </c>
      <c r="D7" s="4" t="s">
        <v>28</v>
      </c>
      <c r="E7" s="5">
        <v>11277</v>
      </c>
      <c r="F7" s="6">
        <v>103.2240195</v>
      </c>
      <c r="G7" s="7">
        <v>9.2853409999999997E-2</v>
      </c>
      <c r="H7" s="52"/>
    </row>
    <row r="8" spans="1:15" ht="17.100000000000001" customHeight="1" x14ac:dyDescent="0.2">
      <c r="A8" s="3">
        <v>2</v>
      </c>
      <c r="B8" s="4" t="s">
        <v>319</v>
      </c>
      <c r="C8" s="4" t="s">
        <v>320</v>
      </c>
      <c r="D8" s="4" t="s">
        <v>28</v>
      </c>
      <c r="E8" s="5">
        <v>6942</v>
      </c>
      <c r="F8" s="6">
        <v>102.49863000000001</v>
      </c>
      <c r="G8" s="7">
        <v>9.2200900000000002E-2</v>
      </c>
      <c r="H8" s="52"/>
    </row>
    <row r="9" spans="1:15" ht="17.100000000000001" customHeight="1" x14ac:dyDescent="0.2">
      <c r="A9" s="3">
        <v>3</v>
      </c>
      <c r="B9" s="4" t="s">
        <v>14</v>
      </c>
      <c r="C9" s="4" t="s">
        <v>15</v>
      </c>
      <c r="D9" s="4" t="s">
        <v>16</v>
      </c>
      <c r="E9" s="5">
        <v>3489</v>
      </c>
      <c r="F9" s="6">
        <v>79.824831000000003</v>
      </c>
      <c r="G9" s="7">
        <v>7.1805069999999999E-2</v>
      </c>
      <c r="H9" s="52"/>
    </row>
    <row r="10" spans="1:15" ht="17.100000000000001" customHeight="1" x14ac:dyDescent="0.2">
      <c r="A10" s="3">
        <v>4</v>
      </c>
      <c r="B10" s="4" t="s">
        <v>321</v>
      </c>
      <c r="C10" s="4" t="s">
        <v>322</v>
      </c>
      <c r="D10" s="4" t="s">
        <v>888</v>
      </c>
      <c r="E10" s="5">
        <v>5779</v>
      </c>
      <c r="F10" s="6">
        <v>79.079836</v>
      </c>
      <c r="G10" s="7">
        <v>7.1134920000000004E-2</v>
      </c>
      <c r="H10" s="52"/>
    </row>
    <row r="11" spans="1:15" ht="17.100000000000001" customHeight="1" x14ac:dyDescent="0.2">
      <c r="A11" s="3">
        <v>5</v>
      </c>
      <c r="B11" s="4" t="s">
        <v>39</v>
      </c>
      <c r="C11" s="4" t="s">
        <v>40</v>
      </c>
      <c r="D11" s="4" t="s">
        <v>28</v>
      </c>
      <c r="E11" s="5">
        <v>12485</v>
      </c>
      <c r="F11" s="6">
        <v>70.608917500000004</v>
      </c>
      <c r="G11" s="7">
        <v>6.3515050000000003E-2</v>
      </c>
      <c r="H11" s="52"/>
    </row>
    <row r="12" spans="1:15" ht="17.100000000000001" customHeight="1" x14ac:dyDescent="0.2">
      <c r="A12" s="3">
        <v>6</v>
      </c>
      <c r="B12" s="4" t="s">
        <v>11</v>
      </c>
      <c r="C12" s="4" t="s">
        <v>12</v>
      </c>
      <c r="D12" s="4" t="s">
        <v>13</v>
      </c>
      <c r="E12" s="5">
        <v>2017</v>
      </c>
      <c r="F12" s="6">
        <v>59.0789385</v>
      </c>
      <c r="G12" s="7">
        <v>5.3143450000000002E-2</v>
      </c>
      <c r="H12" s="52"/>
    </row>
    <row r="13" spans="1:15" ht="17.100000000000001" customHeight="1" x14ac:dyDescent="0.2">
      <c r="A13" s="3">
        <v>7</v>
      </c>
      <c r="B13" s="4" t="s">
        <v>17</v>
      </c>
      <c r="C13" s="4" t="s">
        <v>18</v>
      </c>
      <c r="D13" s="4" t="s">
        <v>19</v>
      </c>
      <c r="E13" s="5">
        <v>4570</v>
      </c>
      <c r="F13" s="6">
        <v>41.788080000000001</v>
      </c>
      <c r="G13" s="7">
        <v>3.758976E-2</v>
      </c>
      <c r="H13" s="52"/>
      <c r="J13" s="101" t="s">
        <v>1063</v>
      </c>
    </row>
    <row r="14" spans="1:15" ht="17.100000000000001" customHeight="1" x14ac:dyDescent="0.2">
      <c r="A14" s="3">
        <v>8</v>
      </c>
      <c r="B14" s="4" t="s">
        <v>358</v>
      </c>
      <c r="C14" s="4" t="s">
        <v>359</v>
      </c>
      <c r="D14" s="4" t="s">
        <v>102</v>
      </c>
      <c r="E14" s="5">
        <v>6569</v>
      </c>
      <c r="F14" s="6">
        <v>41.296018500000002</v>
      </c>
      <c r="G14" s="7">
        <v>3.714713E-2</v>
      </c>
      <c r="H14" s="52"/>
    </row>
    <row r="15" spans="1:15" ht="29.1" customHeight="1" x14ac:dyDescent="0.2">
      <c r="A15" s="3">
        <v>9</v>
      </c>
      <c r="B15" s="4" t="s">
        <v>23</v>
      </c>
      <c r="C15" s="4" t="s">
        <v>24</v>
      </c>
      <c r="D15" s="4" t="s">
        <v>25</v>
      </c>
      <c r="E15" s="5">
        <v>451</v>
      </c>
      <c r="F15" s="6">
        <v>37.984347499999998</v>
      </c>
      <c r="G15" s="7">
        <v>3.4168169999999998E-2</v>
      </c>
      <c r="H15" s="52"/>
    </row>
    <row r="16" spans="1:15" ht="17.100000000000001" customHeight="1" x14ac:dyDescent="0.2">
      <c r="A16" s="3">
        <v>10</v>
      </c>
      <c r="B16" s="4" t="s">
        <v>323</v>
      </c>
      <c r="C16" s="4" t="s">
        <v>324</v>
      </c>
      <c r="D16" s="4" t="s">
        <v>28</v>
      </c>
      <c r="E16" s="5">
        <v>3854</v>
      </c>
      <c r="F16" s="6">
        <v>37.840499000000001</v>
      </c>
      <c r="G16" s="7">
        <v>3.4038779999999998E-2</v>
      </c>
      <c r="H16" s="52"/>
    </row>
    <row r="17" spans="1:8" ht="17.100000000000001" customHeight="1" x14ac:dyDescent="0.2">
      <c r="A17" s="3">
        <v>11</v>
      </c>
      <c r="B17" s="4" t="s">
        <v>342</v>
      </c>
      <c r="C17" s="4" t="s">
        <v>343</v>
      </c>
      <c r="D17" s="4" t="s">
        <v>344</v>
      </c>
      <c r="E17" s="5">
        <v>7286</v>
      </c>
      <c r="F17" s="6">
        <v>31.213224</v>
      </c>
      <c r="G17" s="7">
        <v>2.8077319999999999E-2</v>
      </c>
      <c r="H17" s="52"/>
    </row>
    <row r="18" spans="1:8" ht="17.100000000000001" customHeight="1" x14ac:dyDescent="0.2">
      <c r="A18" s="3">
        <v>12</v>
      </c>
      <c r="B18" s="4" t="s">
        <v>360</v>
      </c>
      <c r="C18" s="4" t="s">
        <v>361</v>
      </c>
      <c r="D18" s="4" t="s">
        <v>60</v>
      </c>
      <c r="E18" s="5">
        <v>959</v>
      </c>
      <c r="F18" s="6">
        <v>30.5887435</v>
      </c>
      <c r="G18" s="7">
        <v>2.7515580000000001E-2</v>
      </c>
      <c r="H18" s="52"/>
    </row>
    <row r="19" spans="1:8" ht="17.100000000000001" customHeight="1" x14ac:dyDescent="0.2">
      <c r="A19" s="3">
        <v>13</v>
      </c>
      <c r="B19" s="4" t="s">
        <v>466</v>
      </c>
      <c r="C19" s="4" t="s">
        <v>467</v>
      </c>
      <c r="D19" s="4" t="s">
        <v>221</v>
      </c>
      <c r="E19" s="5">
        <v>1859</v>
      </c>
      <c r="F19" s="6">
        <v>25.428331499999999</v>
      </c>
      <c r="G19" s="7">
        <v>2.2873620000000001E-2</v>
      </c>
      <c r="H19" s="52"/>
    </row>
    <row r="20" spans="1:8" ht="17.100000000000001" customHeight="1" x14ac:dyDescent="0.2">
      <c r="A20" s="3">
        <v>14</v>
      </c>
      <c r="B20" s="4" t="s">
        <v>112</v>
      </c>
      <c r="C20" s="4" t="s">
        <v>113</v>
      </c>
      <c r="D20" s="4" t="s">
        <v>114</v>
      </c>
      <c r="E20" s="5">
        <v>3810</v>
      </c>
      <c r="F20" s="6">
        <v>24.147780000000001</v>
      </c>
      <c r="G20" s="7">
        <v>2.172172E-2</v>
      </c>
      <c r="H20" s="52"/>
    </row>
    <row r="21" spans="1:8" ht="17.100000000000001" customHeight="1" x14ac:dyDescent="0.2">
      <c r="A21" s="3">
        <v>15</v>
      </c>
      <c r="B21" s="4" t="s">
        <v>468</v>
      </c>
      <c r="C21" s="4" t="s">
        <v>469</v>
      </c>
      <c r="D21" s="4" t="s">
        <v>888</v>
      </c>
      <c r="E21" s="5">
        <v>1859</v>
      </c>
      <c r="F21" s="6">
        <v>23.720839999999999</v>
      </c>
      <c r="G21" s="7">
        <v>2.1337680000000001E-2</v>
      </c>
      <c r="H21" s="52"/>
    </row>
    <row r="22" spans="1:8" ht="17.100000000000001" customHeight="1" x14ac:dyDescent="0.2">
      <c r="A22" s="3">
        <v>16</v>
      </c>
      <c r="B22" s="4" t="s">
        <v>325</v>
      </c>
      <c r="C22" s="4" t="s">
        <v>326</v>
      </c>
      <c r="D22" s="4" t="s">
        <v>888</v>
      </c>
      <c r="E22" s="5">
        <v>672</v>
      </c>
      <c r="F22" s="6">
        <v>22.638000000000002</v>
      </c>
      <c r="G22" s="7">
        <v>2.0363630000000001E-2</v>
      </c>
      <c r="H22" s="52"/>
    </row>
    <row r="23" spans="1:8" ht="29.1" customHeight="1" x14ac:dyDescent="0.2">
      <c r="A23" s="3">
        <v>17</v>
      </c>
      <c r="B23" s="4" t="s">
        <v>209</v>
      </c>
      <c r="C23" s="4" t="s">
        <v>210</v>
      </c>
      <c r="D23" s="4" t="s">
        <v>211</v>
      </c>
      <c r="E23" s="5">
        <v>2059</v>
      </c>
      <c r="F23" s="6">
        <v>21.475370000000002</v>
      </c>
      <c r="G23" s="7">
        <v>1.93178E-2</v>
      </c>
      <c r="H23" s="52"/>
    </row>
    <row r="24" spans="1:8" ht="17.100000000000001" customHeight="1" x14ac:dyDescent="0.2">
      <c r="A24" s="3">
        <v>18</v>
      </c>
      <c r="B24" s="4" t="s">
        <v>289</v>
      </c>
      <c r="C24" s="4" t="s">
        <v>290</v>
      </c>
      <c r="D24" s="4" t="s">
        <v>16</v>
      </c>
      <c r="E24" s="5">
        <v>8132</v>
      </c>
      <c r="F24" s="6">
        <v>20.142963999999999</v>
      </c>
      <c r="G24" s="7">
        <v>1.8119260000000002E-2</v>
      </c>
      <c r="H24" s="52"/>
    </row>
    <row r="25" spans="1:8" ht="17.100000000000001" customHeight="1" x14ac:dyDescent="0.2">
      <c r="A25" s="3">
        <v>19</v>
      </c>
      <c r="B25" s="4" t="s">
        <v>376</v>
      </c>
      <c r="C25" s="4" t="s">
        <v>377</v>
      </c>
      <c r="D25" s="4" t="s">
        <v>28</v>
      </c>
      <c r="E25" s="5">
        <v>10106</v>
      </c>
      <c r="F25" s="6">
        <v>19.827971999999999</v>
      </c>
      <c r="G25" s="7">
        <v>1.7835920000000002E-2</v>
      </c>
      <c r="H25" s="52"/>
    </row>
    <row r="26" spans="1:8" ht="29.1" customHeight="1" x14ac:dyDescent="0.2">
      <c r="A26" s="3">
        <v>20</v>
      </c>
      <c r="B26" s="4" t="s">
        <v>214</v>
      </c>
      <c r="C26" s="4" t="s">
        <v>215</v>
      </c>
      <c r="D26" s="4" t="s">
        <v>216</v>
      </c>
      <c r="E26" s="5">
        <v>526</v>
      </c>
      <c r="F26" s="6">
        <v>18.085194999999999</v>
      </c>
      <c r="G26" s="7">
        <v>1.6268230000000002E-2</v>
      </c>
      <c r="H26" s="52"/>
    </row>
    <row r="27" spans="1:8" ht="17.100000000000001" customHeight="1" x14ac:dyDescent="0.2">
      <c r="A27" s="3">
        <v>21</v>
      </c>
      <c r="B27" s="4" t="s">
        <v>409</v>
      </c>
      <c r="C27" s="4" t="s">
        <v>410</v>
      </c>
      <c r="D27" s="4" t="s">
        <v>205</v>
      </c>
      <c r="E27" s="5">
        <v>4838</v>
      </c>
      <c r="F27" s="6">
        <v>17.922370999999998</v>
      </c>
      <c r="G27" s="7">
        <v>1.6121759999999999E-2</v>
      </c>
      <c r="H27" s="52"/>
    </row>
    <row r="28" spans="1:8" ht="17.100000000000001" customHeight="1" x14ac:dyDescent="0.2">
      <c r="A28" s="3">
        <v>22</v>
      </c>
      <c r="B28" s="4" t="s">
        <v>103</v>
      </c>
      <c r="C28" s="4" t="s">
        <v>104</v>
      </c>
      <c r="D28" s="4" t="s">
        <v>105</v>
      </c>
      <c r="E28" s="5">
        <v>587</v>
      </c>
      <c r="F28" s="6">
        <v>16.538138</v>
      </c>
      <c r="G28" s="7">
        <v>1.48766E-2</v>
      </c>
      <c r="H28" s="52"/>
    </row>
    <row r="29" spans="1:8" ht="29.1" customHeight="1" x14ac:dyDescent="0.2">
      <c r="A29" s="3">
        <v>23</v>
      </c>
      <c r="B29" s="4" t="s">
        <v>85</v>
      </c>
      <c r="C29" s="4" t="s">
        <v>86</v>
      </c>
      <c r="D29" s="4" t="s">
        <v>25</v>
      </c>
      <c r="E29" s="5">
        <v>1266</v>
      </c>
      <c r="F29" s="6">
        <v>16.118711999999999</v>
      </c>
      <c r="G29" s="7">
        <v>1.449931E-2</v>
      </c>
      <c r="H29" s="52"/>
    </row>
    <row r="30" spans="1:8" ht="17.100000000000001" customHeight="1" x14ac:dyDescent="0.2">
      <c r="A30" s="3">
        <v>24</v>
      </c>
      <c r="B30" s="4" t="s">
        <v>329</v>
      </c>
      <c r="C30" s="4" t="s">
        <v>330</v>
      </c>
      <c r="D30" s="4" t="s">
        <v>28</v>
      </c>
      <c r="E30" s="5">
        <v>1052</v>
      </c>
      <c r="F30" s="6">
        <v>15.162476</v>
      </c>
      <c r="G30" s="7">
        <v>1.3639149999999999E-2</v>
      </c>
      <c r="H30" s="52"/>
    </row>
    <row r="31" spans="1:8" ht="29.1" customHeight="1" x14ac:dyDescent="0.2">
      <c r="A31" s="3">
        <v>25</v>
      </c>
      <c r="B31" s="4" t="s">
        <v>390</v>
      </c>
      <c r="C31" s="4" t="s">
        <v>391</v>
      </c>
      <c r="D31" s="4" t="s">
        <v>226</v>
      </c>
      <c r="E31" s="5">
        <v>1213</v>
      </c>
      <c r="F31" s="6">
        <v>14.555999999999999</v>
      </c>
      <c r="G31" s="7">
        <v>1.30936E-2</v>
      </c>
      <c r="H31" s="52"/>
    </row>
    <row r="32" spans="1:8" ht="17.100000000000001" customHeight="1" x14ac:dyDescent="0.2">
      <c r="A32" s="3">
        <v>26</v>
      </c>
      <c r="B32" s="4" t="s">
        <v>131</v>
      </c>
      <c r="C32" s="4" t="s">
        <v>132</v>
      </c>
      <c r="D32" s="4" t="s">
        <v>16</v>
      </c>
      <c r="E32" s="5">
        <v>3989</v>
      </c>
      <c r="F32" s="6">
        <v>13.931582499999999</v>
      </c>
      <c r="G32" s="7">
        <v>1.253192E-2</v>
      </c>
      <c r="H32" s="52"/>
    </row>
    <row r="33" spans="1:8" ht="29.1" customHeight="1" x14ac:dyDescent="0.2">
      <c r="A33" s="3">
        <v>27</v>
      </c>
      <c r="B33" s="4" t="s">
        <v>472</v>
      </c>
      <c r="C33" s="4" t="s">
        <v>473</v>
      </c>
      <c r="D33" s="4" t="s">
        <v>474</v>
      </c>
      <c r="E33" s="5">
        <v>1535</v>
      </c>
      <c r="F33" s="6">
        <v>13.822675</v>
      </c>
      <c r="G33" s="7">
        <v>1.2433949999999999E-2</v>
      </c>
      <c r="H33" s="52"/>
    </row>
    <row r="34" spans="1:8" ht="17.100000000000001" customHeight="1" x14ac:dyDescent="0.2">
      <c r="A34" s="3">
        <v>28</v>
      </c>
      <c r="B34" s="4" t="s">
        <v>339</v>
      </c>
      <c r="C34" s="4" t="s">
        <v>340</v>
      </c>
      <c r="D34" s="4" t="s">
        <v>341</v>
      </c>
      <c r="E34" s="5">
        <v>2990</v>
      </c>
      <c r="F34" s="6">
        <v>13.739050000000001</v>
      </c>
      <c r="G34" s="7">
        <v>1.235873E-2</v>
      </c>
      <c r="H34" s="52"/>
    </row>
    <row r="35" spans="1:8" ht="17.100000000000001" customHeight="1" x14ac:dyDescent="0.2">
      <c r="A35" s="3">
        <v>29</v>
      </c>
      <c r="B35" s="4" t="s">
        <v>470</v>
      </c>
      <c r="C35" s="4" t="s">
        <v>471</v>
      </c>
      <c r="D35" s="4" t="s">
        <v>28</v>
      </c>
      <c r="E35" s="5">
        <v>778</v>
      </c>
      <c r="F35" s="6">
        <v>13.532532</v>
      </c>
      <c r="G35" s="7">
        <v>1.217296E-2</v>
      </c>
      <c r="H35" s="52"/>
    </row>
    <row r="36" spans="1:8" ht="17.100000000000001" customHeight="1" x14ac:dyDescent="0.2">
      <c r="A36" s="3">
        <v>30</v>
      </c>
      <c r="B36" s="4" t="s">
        <v>351</v>
      </c>
      <c r="C36" s="4" t="s">
        <v>352</v>
      </c>
      <c r="D36" s="4" t="s">
        <v>344</v>
      </c>
      <c r="E36" s="5">
        <v>517</v>
      </c>
      <c r="F36" s="6">
        <v>12.842280000000001</v>
      </c>
      <c r="G36" s="7">
        <v>1.1552049999999999E-2</v>
      </c>
      <c r="H36" s="52"/>
    </row>
    <row r="37" spans="1:8" ht="17.100000000000001" customHeight="1" x14ac:dyDescent="0.2">
      <c r="A37" s="3">
        <v>31</v>
      </c>
      <c r="B37" s="4" t="s">
        <v>50</v>
      </c>
      <c r="C37" s="4" t="s">
        <v>51</v>
      </c>
      <c r="D37" s="4" t="s">
        <v>52</v>
      </c>
      <c r="E37" s="5">
        <v>1593</v>
      </c>
      <c r="F37" s="6">
        <v>10.963025999999999</v>
      </c>
      <c r="G37" s="7">
        <v>9.8615999999999999E-3</v>
      </c>
      <c r="H37" s="52"/>
    </row>
    <row r="38" spans="1:8" ht="17.100000000000001" customHeight="1" x14ac:dyDescent="0.2">
      <c r="A38" s="3">
        <v>32</v>
      </c>
      <c r="B38" s="4" t="s">
        <v>475</v>
      </c>
      <c r="C38" s="4" t="s">
        <v>476</v>
      </c>
      <c r="D38" s="4" t="s">
        <v>888</v>
      </c>
      <c r="E38" s="5">
        <v>1658</v>
      </c>
      <c r="F38" s="6">
        <v>6.3302440000000004</v>
      </c>
      <c r="G38" s="7">
        <v>5.6942599999999996E-3</v>
      </c>
      <c r="H38" s="52"/>
    </row>
    <row r="39" spans="1:8" ht="17.100000000000001" customHeight="1" x14ac:dyDescent="0.2">
      <c r="A39" s="3">
        <v>33</v>
      </c>
      <c r="B39" s="4" t="s">
        <v>477</v>
      </c>
      <c r="C39" s="39" t="s">
        <v>982</v>
      </c>
      <c r="D39" s="4" t="s">
        <v>19</v>
      </c>
      <c r="E39" s="5">
        <v>327</v>
      </c>
      <c r="F39" s="6">
        <v>1.7569710000000001</v>
      </c>
      <c r="G39" s="7">
        <v>1.58045E-3</v>
      </c>
      <c r="H39" s="52"/>
    </row>
    <row r="40" spans="1:8" ht="14.1" customHeight="1" x14ac:dyDescent="0.2">
      <c r="A40" s="1"/>
      <c r="B40" s="1"/>
      <c r="C40" s="2" t="s">
        <v>145</v>
      </c>
      <c r="D40" s="1"/>
      <c r="E40" s="1" t="s">
        <v>146</v>
      </c>
      <c r="F40" s="9">
        <v>1057.7085950000001</v>
      </c>
      <c r="G40" s="10">
        <v>0.95144374000000009</v>
      </c>
      <c r="H40" s="52"/>
    </row>
    <row r="41" spans="1:8" ht="14.1" customHeight="1" x14ac:dyDescent="0.2">
      <c r="A41" s="1"/>
      <c r="B41" s="1"/>
      <c r="C41" s="11"/>
      <c r="D41" s="1"/>
      <c r="E41" s="1"/>
      <c r="F41" s="12"/>
      <c r="G41" s="12"/>
      <c r="H41" s="52"/>
    </row>
    <row r="42" spans="1:8" ht="14.1" customHeight="1" x14ac:dyDescent="0.2">
      <c r="A42" s="1"/>
      <c r="B42" s="1"/>
      <c r="C42" s="2" t="s">
        <v>147</v>
      </c>
      <c r="D42" s="1"/>
      <c r="E42" s="1"/>
      <c r="F42" s="1"/>
      <c r="G42" s="1"/>
      <c r="H42" s="52"/>
    </row>
    <row r="43" spans="1:8" ht="14.1" customHeight="1" x14ac:dyDescent="0.2">
      <c r="A43" s="1"/>
      <c r="B43" s="1"/>
      <c r="C43" s="2" t="s">
        <v>145</v>
      </c>
      <c r="D43" s="1"/>
      <c r="E43" s="1" t="s">
        <v>146</v>
      </c>
      <c r="F43" s="13" t="s">
        <v>148</v>
      </c>
      <c r="G43" s="10">
        <v>0</v>
      </c>
      <c r="H43" s="52"/>
    </row>
    <row r="44" spans="1:8" ht="14.1" customHeight="1" x14ac:dyDescent="0.2">
      <c r="A44" s="1"/>
      <c r="B44" s="1"/>
      <c r="C44" s="11"/>
      <c r="D44" s="1"/>
      <c r="E44" s="1"/>
      <c r="F44" s="12"/>
      <c r="G44" s="12"/>
      <c r="H44" s="52"/>
    </row>
    <row r="45" spans="1:8" ht="14.1" customHeight="1" x14ac:dyDescent="0.2">
      <c r="A45" s="1"/>
      <c r="B45" s="1"/>
      <c r="C45" s="2" t="s">
        <v>149</v>
      </c>
      <c r="D45" s="1"/>
      <c r="E45" s="1"/>
      <c r="F45" s="1"/>
      <c r="G45" s="1"/>
      <c r="H45" s="52"/>
    </row>
    <row r="46" spans="1:8" ht="14.1" customHeight="1" x14ac:dyDescent="0.2">
      <c r="A46" s="1"/>
      <c r="B46" s="1"/>
      <c r="C46" s="2" t="s">
        <v>145</v>
      </c>
      <c r="D46" s="1"/>
      <c r="E46" s="1" t="s">
        <v>146</v>
      </c>
      <c r="F46" s="13" t="s">
        <v>148</v>
      </c>
      <c r="G46" s="10">
        <v>0</v>
      </c>
      <c r="H46" s="52"/>
    </row>
    <row r="47" spans="1:8" ht="14.1" customHeight="1" x14ac:dyDescent="0.2">
      <c r="A47" s="1"/>
      <c r="B47" s="1"/>
      <c r="C47" s="11"/>
      <c r="D47" s="1"/>
      <c r="E47" s="1"/>
      <c r="F47" s="12"/>
      <c r="G47" s="12"/>
      <c r="H47" s="52"/>
    </row>
    <row r="48" spans="1:8" ht="14.1" customHeight="1" x14ac:dyDescent="0.2">
      <c r="A48" s="1"/>
      <c r="B48" s="1"/>
      <c r="C48" s="2" t="s">
        <v>150</v>
      </c>
      <c r="D48" s="1"/>
      <c r="E48" s="1"/>
      <c r="F48" s="1"/>
      <c r="G48" s="1"/>
      <c r="H48" s="52"/>
    </row>
    <row r="49" spans="1:8" ht="14.1" customHeight="1" x14ac:dyDescent="0.2">
      <c r="A49" s="1"/>
      <c r="B49" s="1"/>
      <c r="C49" s="2" t="s">
        <v>145</v>
      </c>
      <c r="D49" s="1"/>
      <c r="E49" s="1" t="s">
        <v>146</v>
      </c>
      <c r="F49" s="9">
        <v>0</v>
      </c>
      <c r="G49" s="10">
        <v>0</v>
      </c>
      <c r="H49" s="52"/>
    </row>
    <row r="50" spans="1:8" ht="14.1" customHeight="1" x14ac:dyDescent="0.2">
      <c r="A50" s="1"/>
      <c r="B50" s="1"/>
      <c r="C50" s="11"/>
      <c r="D50" s="1"/>
      <c r="E50" s="1"/>
      <c r="F50" s="12"/>
      <c r="G50" s="12"/>
      <c r="H50" s="52"/>
    </row>
    <row r="51" spans="1:8" ht="14.1" customHeight="1" x14ac:dyDescent="0.2">
      <c r="A51" s="1"/>
      <c r="B51" s="1"/>
      <c r="C51" s="2" t="s">
        <v>151</v>
      </c>
      <c r="D51" s="1"/>
      <c r="E51" s="1"/>
      <c r="F51" s="12"/>
      <c r="G51" s="12"/>
      <c r="H51" s="52"/>
    </row>
    <row r="52" spans="1:8" ht="14.1" customHeight="1" x14ac:dyDescent="0.2">
      <c r="A52" s="1"/>
      <c r="B52" s="1"/>
      <c r="C52" s="2" t="s">
        <v>145</v>
      </c>
      <c r="D52" s="1"/>
      <c r="E52" s="1" t="s">
        <v>146</v>
      </c>
      <c r="F52" s="13" t="s">
        <v>148</v>
      </c>
      <c r="G52" s="10">
        <v>0</v>
      </c>
      <c r="H52" s="52"/>
    </row>
    <row r="53" spans="1:8" ht="14.1" customHeight="1" x14ac:dyDescent="0.2">
      <c r="A53" s="1"/>
      <c r="B53" s="1"/>
      <c r="C53" s="11"/>
      <c r="D53" s="1"/>
      <c r="E53" s="1"/>
      <c r="F53" s="12"/>
      <c r="G53" s="12"/>
      <c r="H53" s="52"/>
    </row>
    <row r="54" spans="1:8" ht="14.1" customHeight="1" x14ac:dyDescent="0.2">
      <c r="A54" s="1"/>
      <c r="B54" s="1"/>
      <c r="C54" s="2" t="s">
        <v>152</v>
      </c>
      <c r="D54" s="1"/>
      <c r="E54" s="1"/>
      <c r="F54" s="12"/>
      <c r="G54" s="12"/>
      <c r="H54" s="52"/>
    </row>
    <row r="55" spans="1:8" ht="14.1" customHeight="1" x14ac:dyDescent="0.2">
      <c r="A55" s="1"/>
      <c r="B55" s="1"/>
      <c r="C55" s="2" t="s">
        <v>145</v>
      </c>
      <c r="D55" s="1"/>
      <c r="E55" s="1" t="s">
        <v>146</v>
      </c>
      <c r="F55" s="13" t="s">
        <v>148</v>
      </c>
      <c r="G55" s="10">
        <v>0</v>
      </c>
      <c r="H55" s="52"/>
    </row>
    <row r="56" spans="1:8" ht="14.1" customHeight="1" x14ac:dyDescent="0.2">
      <c r="A56" s="1"/>
      <c r="B56" s="1"/>
      <c r="C56" s="11"/>
      <c r="D56" s="1"/>
      <c r="E56" s="1"/>
      <c r="F56" s="12"/>
      <c r="G56" s="12"/>
      <c r="H56" s="52"/>
    </row>
    <row r="57" spans="1:8" ht="18" customHeight="1" x14ac:dyDescent="0.2">
      <c r="A57" s="1"/>
      <c r="B57" s="1"/>
      <c r="C57" s="2" t="s">
        <v>153</v>
      </c>
      <c r="D57" s="1"/>
      <c r="E57" s="1"/>
      <c r="F57" s="9">
        <v>1057.7085950000001</v>
      </c>
      <c r="G57" s="10">
        <v>0.95144373999999998</v>
      </c>
      <c r="H57" s="52"/>
    </row>
    <row r="58" spans="1:8" ht="14.1" customHeight="1" x14ac:dyDescent="0.2">
      <c r="A58" s="1"/>
      <c r="B58" s="1"/>
      <c r="C58" s="11"/>
      <c r="D58" s="1"/>
      <c r="E58" s="1"/>
      <c r="F58" s="12"/>
      <c r="G58" s="12"/>
      <c r="H58" s="52"/>
    </row>
    <row r="59" spans="1:8" ht="14.1" customHeight="1" x14ac:dyDescent="0.2">
      <c r="A59" s="1"/>
      <c r="B59" s="1"/>
      <c r="C59" s="2" t="s">
        <v>154</v>
      </c>
      <c r="D59" s="1"/>
      <c r="E59" s="1"/>
      <c r="F59" s="12"/>
      <c r="G59" s="12"/>
      <c r="H59" s="52"/>
    </row>
    <row r="60" spans="1:8" ht="24" customHeight="1" x14ac:dyDescent="0.2">
      <c r="A60" s="1"/>
      <c r="B60" s="1"/>
      <c r="C60" s="2" t="s">
        <v>10</v>
      </c>
      <c r="D60" s="1"/>
      <c r="E60" s="1"/>
      <c r="F60" s="12"/>
      <c r="G60" s="12"/>
      <c r="H60" s="52"/>
    </row>
    <row r="61" spans="1:8" ht="14.1" customHeight="1" x14ac:dyDescent="0.2">
      <c r="A61" s="1"/>
      <c r="B61" s="1"/>
      <c r="C61" s="2" t="s">
        <v>145</v>
      </c>
      <c r="D61" s="1"/>
      <c r="E61" s="1" t="s">
        <v>146</v>
      </c>
      <c r="F61" s="13" t="s">
        <v>148</v>
      </c>
      <c r="G61" s="10">
        <v>0</v>
      </c>
      <c r="H61" s="52"/>
    </row>
    <row r="62" spans="1:8" ht="14.1" customHeight="1" x14ac:dyDescent="0.2">
      <c r="A62" s="1"/>
      <c r="B62" s="1"/>
      <c r="C62" s="11"/>
      <c r="D62" s="1"/>
      <c r="E62" s="1"/>
      <c r="F62" s="12"/>
      <c r="G62" s="12"/>
      <c r="H62" s="52"/>
    </row>
    <row r="63" spans="1:8" ht="14.1" customHeight="1" x14ac:dyDescent="0.2">
      <c r="A63" s="1"/>
      <c r="B63" s="1"/>
      <c r="C63" s="2" t="s">
        <v>155</v>
      </c>
      <c r="D63" s="1"/>
      <c r="E63" s="1"/>
      <c r="F63" s="1"/>
      <c r="G63" s="1"/>
      <c r="H63" s="52"/>
    </row>
    <row r="64" spans="1:8" ht="14.1" customHeight="1" x14ac:dyDescent="0.2">
      <c r="A64" s="1"/>
      <c r="B64" s="1"/>
      <c r="C64" s="2" t="s">
        <v>145</v>
      </c>
      <c r="D64" s="1"/>
      <c r="E64" s="1" t="s">
        <v>146</v>
      </c>
      <c r="F64" s="13" t="s">
        <v>148</v>
      </c>
      <c r="G64" s="10">
        <v>0</v>
      </c>
      <c r="H64" s="52"/>
    </row>
    <row r="65" spans="1:8" ht="14.1" customHeight="1" x14ac:dyDescent="0.2">
      <c r="A65" s="1"/>
      <c r="B65" s="1"/>
      <c r="C65" s="11"/>
      <c r="D65" s="1"/>
      <c r="E65" s="1"/>
      <c r="F65" s="12"/>
      <c r="G65" s="12"/>
      <c r="H65" s="52"/>
    </row>
    <row r="66" spans="1:8" ht="14.1" customHeight="1" x14ac:dyDescent="0.2">
      <c r="A66" s="1"/>
      <c r="B66" s="1"/>
      <c r="C66" s="2" t="s">
        <v>156</v>
      </c>
      <c r="D66" s="1"/>
      <c r="E66" s="1"/>
      <c r="F66" s="1"/>
      <c r="G66" s="1"/>
      <c r="H66" s="52"/>
    </row>
    <row r="67" spans="1:8" ht="14.1" customHeight="1" x14ac:dyDescent="0.2">
      <c r="A67" s="1"/>
      <c r="B67" s="1"/>
      <c r="C67" s="2" t="s">
        <v>145</v>
      </c>
      <c r="D67" s="1"/>
      <c r="E67" s="1" t="s">
        <v>146</v>
      </c>
      <c r="F67" s="13" t="s">
        <v>148</v>
      </c>
      <c r="G67" s="10">
        <v>0</v>
      </c>
      <c r="H67" s="52"/>
    </row>
    <row r="68" spans="1:8" ht="14.1" customHeight="1" x14ac:dyDescent="0.2">
      <c r="A68" s="1"/>
      <c r="B68" s="1"/>
      <c r="C68" s="11"/>
      <c r="D68" s="1"/>
      <c r="E68" s="1"/>
      <c r="F68" s="12"/>
      <c r="G68" s="12"/>
      <c r="H68" s="52"/>
    </row>
    <row r="69" spans="1:8" ht="14.1" customHeight="1" x14ac:dyDescent="0.2">
      <c r="A69" s="1"/>
      <c r="B69" s="1"/>
      <c r="C69" s="2" t="s">
        <v>157</v>
      </c>
      <c r="D69" s="1"/>
      <c r="E69" s="1"/>
      <c r="F69" s="12"/>
      <c r="G69" s="12"/>
      <c r="H69" s="52"/>
    </row>
    <row r="70" spans="1:8" ht="14.1" customHeight="1" x14ac:dyDescent="0.2">
      <c r="A70" s="1"/>
      <c r="B70" s="1"/>
      <c r="C70" s="2" t="s">
        <v>145</v>
      </c>
      <c r="D70" s="1"/>
      <c r="E70" s="1" t="s">
        <v>146</v>
      </c>
      <c r="F70" s="13" t="s">
        <v>148</v>
      </c>
      <c r="G70" s="10">
        <v>0</v>
      </c>
      <c r="H70" s="52"/>
    </row>
    <row r="71" spans="1:8" ht="14.1" customHeight="1" x14ac:dyDescent="0.2">
      <c r="A71" s="1"/>
      <c r="B71" s="1"/>
      <c r="C71" s="11"/>
      <c r="D71" s="1"/>
      <c r="E71" s="1"/>
      <c r="F71" s="12"/>
      <c r="G71" s="12"/>
      <c r="H71" s="52"/>
    </row>
    <row r="72" spans="1:8" ht="14.1" customHeight="1" x14ac:dyDescent="0.2">
      <c r="A72" s="1"/>
      <c r="B72" s="1"/>
      <c r="C72" s="2" t="s">
        <v>158</v>
      </c>
      <c r="D72" s="1"/>
      <c r="E72" s="1"/>
      <c r="F72" s="9">
        <v>0</v>
      </c>
      <c r="G72" s="10">
        <v>0</v>
      </c>
      <c r="H72" s="52"/>
    </row>
    <row r="73" spans="1:8" ht="14.1" customHeight="1" x14ac:dyDescent="0.2">
      <c r="A73" s="1"/>
      <c r="B73" s="1"/>
      <c r="C73" s="11"/>
      <c r="D73" s="1"/>
      <c r="E73" s="1"/>
      <c r="F73" s="12"/>
      <c r="G73" s="12"/>
      <c r="H73" s="52"/>
    </row>
    <row r="74" spans="1:8" ht="14.1" customHeight="1" x14ac:dyDescent="0.2">
      <c r="A74" s="1"/>
      <c r="B74" s="1"/>
      <c r="C74" s="2" t="s">
        <v>159</v>
      </c>
      <c r="D74" s="1"/>
      <c r="E74" s="1"/>
      <c r="F74" s="12"/>
      <c r="G74" s="12"/>
      <c r="H74" s="52"/>
    </row>
    <row r="75" spans="1:8" ht="14.1" customHeight="1" x14ac:dyDescent="0.2">
      <c r="A75" s="1"/>
      <c r="B75" s="1"/>
      <c r="C75" s="2" t="s">
        <v>160</v>
      </c>
      <c r="D75" s="1"/>
      <c r="E75" s="1"/>
      <c r="F75" s="12"/>
      <c r="G75" s="12"/>
      <c r="H75" s="52"/>
    </row>
    <row r="76" spans="1:8" ht="14.1" customHeight="1" x14ac:dyDescent="0.2">
      <c r="A76" s="1"/>
      <c r="B76" s="1"/>
      <c r="C76" s="2" t="s">
        <v>145</v>
      </c>
      <c r="D76" s="1"/>
      <c r="E76" s="1" t="s">
        <v>146</v>
      </c>
      <c r="F76" s="13" t="s">
        <v>148</v>
      </c>
      <c r="G76" s="10">
        <v>0</v>
      </c>
      <c r="H76" s="52"/>
    </row>
    <row r="77" spans="1:8" ht="14.1" customHeight="1" x14ac:dyDescent="0.2">
      <c r="A77" s="1"/>
      <c r="B77" s="1"/>
      <c r="C77" s="11"/>
      <c r="D77" s="1"/>
      <c r="E77" s="1"/>
      <c r="F77" s="12"/>
      <c r="G77" s="12"/>
      <c r="H77" s="52"/>
    </row>
    <row r="78" spans="1:8" ht="14.1" customHeight="1" x14ac:dyDescent="0.2">
      <c r="A78" s="1"/>
      <c r="B78" s="1"/>
      <c r="C78" s="2" t="s">
        <v>161</v>
      </c>
      <c r="D78" s="1"/>
      <c r="E78" s="1"/>
      <c r="F78" s="12"/>
      <c r="G78" s="12"/>
      <c r="H78" s="52"/>
    </row>
    <row r="79" spans="1:8" ht="14.1" customHeight="1" x14ac:dyDescent="0.2">
      <c r="A79" s="1"/>
      <c r="B79" s="1"/>
      <c r="C79" s="2" t="s">
        <v>145</v>
      </c>
      <c r="D79" s="1"/>
      <c r="E79" s="1" t="s">
        <v>146</v>
      </c>
      <c r="F79" s="13" t="s">
        <v>148</v>
      </c>
      <c r="G79" s="10">
        <v>0</v>
      </c>
      <c r="H79" s="52"/>
    </row>
    <row r="80" spans="1:8" ht="14.1" customHeight="1" x14ac:dyDescent="0.2">
      <c r="A80" s="1"/>
      <c r="B80" s="1"/>
      <c r="C80" s="11"/>
      <c r="D80" s="1"/>
      <c r="E80" s="1"/>
      <c r="F80" s="12"/>
      <c r="G80" s="12"/>
      <c r="H80" s="52"/>
    </row>
    <row r="81" spans="1:8" ht="14.1" customHeight="1" x14ac:dyDescent="0.2">
      <c r="A81" s="1"/>
      <c r="B81" s="1"/>
      <c r="C81" s="2" t="s">
        <v>162</v>
      </c>
      <c r="D81" s="1"/>
      <c r="E81" s="1"/>
      <c r="F81" s="12"/>
      <c r="G81" s="12"/>
      <c r="H81" s="52"/>
    </row>
    <row r="82" spans="1:8" ht="14.1" customHeight="1" x14ac:dyDescent="0.2">
      <c r="A82" s="1"/>
      <c r="B82" s="1"/>
      <c r="C82" s="2" t="s">
        <v>145</v>
      </c>
      <c r="D82" s="1"/>
      <c r="E82" s="1" t="s">
        <v>146</v>
      </c>
      <c r="F82" s="13" t="s">
        <v>148</v>
      </c>
      <c r="G82" s="10">
        <v>0</v>
      </c>
      <c r="H82" s="52"/>
    </row>
    <row r="83" spans="1:8" ht="14.1" customHeight="1" x14ac:dyDescent="0.2">
      <c r="A83" s="1"/>
      <c r="B83" s="1"/>
      <c r="C83" s="11"/>
      <c r="D83" s="1"/>
      <c r="E83" s="1"/>
      <c r="F83" s="12"/>
      <c r="G83" s="12"/>
      <c r="H83" s="52"/>
    </row>
    <row r="84" spans="1:8" ht="14.1" customHeight="1" x14ac:dyDescent="0.2">
      <c r="A84" s="1"/>
      <c r="B84" s="1"/>
      <c r="C84" s="2" t="s">
        <v>163</v>
      </c>
      <c r="D84" s="1"/>
      <c r="E84" s="1"/>
      <c r="F84" s="12"/>
      <c r="G84" s="12"/>
      <c r="H84" s="52"/>
    </row>
    <row r="85" spans="1:8" ht="17.100000000000001" customHeight="1" x14ac:dyDescent="0.2">
      <c r="A85" s="3">
        <v>1</v>
      </c>
      <c r="B85" s="4"/>
      <c r="C85" s="4" t="s">
        <v>164</v>
      </c>
      <c r="D85" s="4"/>
      <c r="E85" s="8"/>
      <c r="F85" s="6">
        <v>51.599935000000002</v>
      </c>
      <c r="G85" s="7">
        <v>4.641584E-2</v>
      </c>
      <c r="H85" s="52">
        <v>6.7567375937238596</v>
      </c>
    </row>
    <row r="86" spans="1:8" ht="14.1" customHeight="1" x14ac:dyDescent="0.2">
      <c r="A86" s="1"/>
      <c r="B86" s="1"/>
      <c r="C86" s="2" t="s">
        <v>145</v>
      </c>
      <c r="D86" s="1"/>
      <c r="E86" s="1" t="s">
        <v>146</v>
      </c>
      <c r="F86" s="9">
        <v>51.599935000000002</v>
      </c>
      <c r="G86" s="10">
        <v>4.641584E-2</v>
      </c>
      <c r="H86" s="52"/>
    </row>
    <row r="87" spans="1:8" ht="14.1" customHeight="1" x14ac:dyDescent="0.2">
      <c r="A87" s="1"/>
      <c r="B87" s="1"/>
      <c r="C87" s="11"/>
      <c r="D87" s="1"/>
      <c r="E87" s="1"/>
      <c r="F87" s="12"/>
      <c r="G87" s="12"/>
      <c r="H87" s="52"/>
    </row>
    <row r="88" spans="1:8" ht="14.1" customHeight="1" x14ac:dyDescent="0.2">
      <c r="A88" s="1"/>
      <c r="B88" s="1"/>
      <c r="C88" s="2" t="s">
        <v>165</v>
      </c>
      <c r="D88" s="1"/>
      <c r="E88" s="1"/>
      <c r="F88" s="9">
        <v>51.599935000000002</v>
      </c>
      <c r="G88" s="10">
        <v>4.641584E-2</v>
      </c>
      <c r="H88" s="52"/>
    </row>
    <row r="89" spans="1:8" ht="14.1" customHeight="1" x14ac:dyDescent="0.2">
      <c r="A89" s="1"/>
      <c r="B89" s="1"/>
      <c r="C89" s="12"/>
      <c r="D89" s="1"/>
      <c r="E89" s="1"/>
      <c r="F89" s="1"/>
      <c r="G89" s="1"/>
      <c r="H89" s="52"/>
    </row>
    <row r="90" spans="1:8" ht="14.1" customHeight="1" x14ac:dyDescent="0.2">
      <c r="A90" s="1"/>
      <c r="B90" s="1"/>
      <c r="C90" s="2" t="s">
        <v>166</v>
      </c>
      <c r="D90" s="1"/>
      <c r="E90" s="1"/>
      <c r="F90" s="1"/>
      <c r="G90" s="1"/>
      <c r="H90" s="52"/>
    </row>
    <row r="91" spans="1:8" ht="14.1" customHeight="1" x14ac:dyDescent="0.2">
      <c r="A91" s="1"/>
      <c r="B91" s="1"/>
      <c r="C91" s="2" t="s">
        <v>167</v>
      </c>
      <c r="D91" s="1"/>
      <c r="E91" s="1"/>
      <c r="F91" s="1"/>
      <c r="G91" s="1"/>
      <c r="H91" s="52"/>
    </row>
    <row r="92" spans="1:8" ht="14.1" customHeight="1" x14ac:dyDescent="0.2">
      <c r="A92" s="1"/>
      <c r="B92" s="1"/>
      <c r="C92" s="2" t="s">
        <v>145</v>
      </c>
      <c r="D92" s="1"/>
      <c r="E92" s="1" t="s">
        <v>146</v>
      </c>
      <c r="F92" s="13" t="s">
        <v>148</v>
      </c>
      <c r="G92" s="10">
        <v>0</v>
      </c>
      <c r="H92" s="52"/>
    </row>
    <row r="93" spans="1:8" ht="14.1" customHeight="1" x14ac:dyDescent="0.2">
      <c r="A93" s="1"/>
      <c r="B93" s="1"/>
      <c r="C93" s="11"/>
      <c r="D93" s="1"/>
      <c r="E93" s="1"/>
      <c r="F93" s="12"/>
      <c r="G93" s="12"/>
      <c r="H93" s="52"/>
    </row>
    <row r="94" spans="1:8" ht="14.1" customHeight="1" x14ac:dyDescent="0.2">
      <c r="A94" s="1"/>
      <c r="B94" s="1"/>
      <c r="C94" s="2" t="s">
        <v>168</v>
      </c>
      <c r="D94" s="1"/>
      <c r="E94" s="1"/>
      <c r="F94" s="1"/>
      <c r="G94" s="1"/>
      <c r="H94" s="52"/>
    </row>
    <row r="95" spans="1:8" ht="14.1" customHeight="1" x14ac:dyDescent="0.2">
      <c r="A95" s="1"/>
      <c r="B95" s="1"/>
      <c r="C95" s="2" t="s">
        <v>169</v>
      </c>
      <c r="D95" s="1"/>
      <c r="E95" s="1"/>
      <c r="F95" s="1"/>
      <c r="G95" s="1"/>
      <c r="H95" s="52"/>
    </row>
    <row r="96" spans="1:8" ht="14.1" customHeight="1" x14ac:dyDescent="0.2">
      <c r="A96" s="1"/>
      <c r="B96" s="1"/>
      <c r="C96" s="2" t="s">
        <v>145</v>
      </c>
      <c r="D96" s="1"/>
      <c r="E96" s="1" t="s">
        <v>146</v>
      </c>
      <c r="F96" s="13" t="s">
        <v>148</v>
      </c>
      <c r="G96" s="10">
        <v>0</v>
      </c>
      <c r="H96" s="52"/>
    </row>
    <row r="97" spans="1:8" ht="14.1" customHeight="1" x14ac:dyDescent="0.2">
      <c r="A97" s="1"/>
      <c r="B97" s="1"/>
      <c r="C97" s="11"/>
      <c r="D97" s="1"/>
      <c r="E97" s="1"/>
      <c r="F97" s="12"/>
      <c r="G97" s="12"/>
      <c r="H97" s="52"/>
    </row>
    <row r="98" spans="1:8" ht="24" customHeight="1" x14ac:dyDescent="0.2">
      <c r="A98" s="1"/>
      <c r="B98" s="1"/>
      <c r="C98" s="2" t="s">
        <v>170</v>
      </c>
      <c r="D98" s="1"/>
      <c r="E98" s="1"/>
      <c r="F98" s="12"/>
      <c r="G98" s="12"/>
      <c r="H98" s="52"/>
    </row>
    <row r="99" spans="1:8" ht="14.1" customHeight="1" x14ac:dyDescent="0.2">
      <c r="A99" s="1"/>
      <c r="B99" s="1"/>
      <c r="C99" s="2" t="s">
        <v>145</v>
      </c>
      <c r="D99" s="1"/>
      <c r="E99" s="1" t="s">
        <v>146</v>
      </c>
      <c r="F99" s="13" t="s">
        <v>148</v>
      </c>
      <c r="G99" s="10">
        <v>0</v>
      </c>
      <c r="H99" s="52"/>
    </row>
    <row r="100" spans="1:8" ht="14.1" customHeight="1" x14ac:dyDescent="0.2">
      <c r="A100" s="1"/>
      <c r="B100" s="1"/>
      <c r="C100" s="11"/>
      <c r="D100" s="1"/>
      <c r="E100" s="1"/>
      <c r="F100" s="12"/>
      <c r="G100" s="12"/>
      <c r="H100" s="52"/>
    </row>
    <row r="101" spans="1:8" ht="14.1" customHeight="1" x14ac:dyDescent="0.2">
      <c r="A101" s="1"/>
      <c r="B101" s="4"/>
      <c r="C101" s="4"/>
      <c r="D101" s="2"/>
      <c r="E101" s="1"/>
      <c r="F101" s="4"/>
      <c r="G101" s="8"/>
      <c r="H101" s="52"/>
    </row>
    <row r="102" spans="1:8" ht="18" customHeight="1" x14ac:dyDescent="0.2">
      <c r="A102" s="8"/>
      <c r="B102" s="4"/>
      <c r="C102" s="4" t="s">
        <v>171</v>
      </c>
      <c r="D102" s="4"/>
      <c r="E102" s="8"/>
      <c r="F102" s="6">
        <v>2.37945867</v>
      </c>
      <c r="G102" s="7">
        <v>2.1404000000000002E-3</v>
      </c>
      <c r="H102" s="52"/>
    </row>
    <row r="103" spans="1:8" ht="14.1" customHeight="1" x14ac:dyDescent="0.2">
      <c r="A103" s="11"/>
      <c r="B103" s="11"/>
      <c r="C103" s="2" t="s">
        <v>172</v>
      </c>
      <c r="D103" s="12"/>
      <c r="E103" s="12"/>
      <c r="F103" s="9">
        <v>1111.6879886700001</v>
      </c>
      <c r="G103" s="14">
        <v>0.99999998000000001</v>
      </c>
      <c r="H103" s="52"/>
    </row>
    <row r="104" spans="1:8" ht="14.1" customHeight="1" x14ac:dyDescent="0.2">
      <c r="A104" s="15"/>
      <c r="B104" s="15"/>
      <c r="C104" s="15"/>
      <c r="D104" s="16"/>
      <c r="E104" s="16"/>
      <c r="F104" s="16"/>
      <c r="G104" s="16"/>
    </row>
    <row r="105" spans="1:8" ht="15" customHeight="1" x14ac:dyDescent="0.2">
      <c r="A105" s="17"/>
      <c r="B105" s="126" t="s">
        <v>146</v>
      </c>
      <c r="C105" s="126"/>
      <c r="D105" s="126"/>
      <c r="E105" s="126"/>
      <c r="F105" s="126"/>
      <c r="G105" s="19"/>
    </row>
    <row r="106" spans="1:8" ht="14.1" customHeight="1" x14ac:dyDescent="0.2">
      <c r="A106" s="17"/>
      <c r="B106" s="17"/>
      <c r="C106" s="17"/>
      <c r="D106" s="19"/>
      <c r="E106" s="19"/>
      <c r="F106" s="19"/>
      <c r="G106" s="19"/>
    </row>
    <row r="107" spans="1:8" ht="14.1" customHeight="1" x14ac:dyDescent="0.2">
      <c r="A107" s="17"/>
      <c r="B107" s="127" t="s">
        <v>174</v>
      </c>
      <c r="C107" s="128"/>
      <c r="D107" s="129"/>
      <c r="E107" s="20"/>
      <c r="F107" s="19"/>
      <c r="G107" s="19"/>
    </row>
    <row r="108" spans="1:8" ht="29.1" customHeight="1" x14ac:dyDescent="0.2">
      <c r="A108" s="17"/>
      <c r="B108" s="121" t="s">
        <v>175</v>
      </c>
      <c r="C108" s="122"/>
      <c r="D108" s="2" t="s">
        <v>176</v>
      </c>
      <c r="E108" s="20"/>
      <c r="F108" s="19"/>
      <c r="G108" s="19"/>
    </row>
    <row r="109" spans="1:8" ht="17.100000000000001" customHeight="1" x14ac:dyDescent="0.2">
      <c r="A109" s="17"/>
      <c r="B109" s="121" t="s">
        <v>177</v>
      </c>
      <c r="C109" s="122"/>
      <c r="D109" s="2" t="s">
        <v>176</v>
      </c>
      <c r="E109" s="20"/>
      <c r="F109" s="19"/>
      <c r="G109" s="19"/>
    </row>
    <row r="110" spans="1:8" ht="17.100000000000001" customHeight="1" x14ac:dyDescent="0.2">
      <c r="A110" s="17"/>
      <c r="B110" s="121" t="s">
        <v>178</v>
      </c>
      <c r="C110" s="122"/>
      <c r="D110" s="12" t="s">
        <v>146</v>
      </c>
      <c r="E110" s="20"/>
      <c r="F110" s="19"/>
      <c r="G110" s="19"/>
    </row>
    <row r="111" spans="1:8" ht="24" customHeight="1" x14ac:dyDescent="0.2">
      <c r="A111" s="21"/>
      <c r="B111" s="22" t="s">
        <v>146</v>
      </c>
      <c r="C111" s="22" t="s">
        <v>179</v>
      </c>
      <c r="D111" s="22" t="s">
        <v>180</v>
      </c>
      <c r="E111" s="21"/>
      <c r="F111" s="21"/>
      <c r="G111" s="21"/>
    </row>
    <row r="112" spans="1:8" ht="18" customHeight="1" x14ac:dyDescent="0.2">
      <c r="A112" s="21"/>
      <c r="B112" s="23" t="s">
        <v>181</v>
      </c>
      <c r="C112" s="22" t="s">
        <v>182</v>
      </c>
      <c r="D112" s="22" t="s">
        <v>183</v>
      </c>
      <c r="E112" s="21"/>
      <c r="F112" s="21"/>
      <c r="G112" s="21"/>
    </row>
    <row r="113" spans="1:14" ht="17.100000000000001" customHeight="1" x14ac:dyDescent="0.2">
      <c r="A113" s="21"/>
      <c r="B113" s="4" t="s">
        <v>184</v>
      </c>
      <c r="C113" s="24">
        <v>28.236599999999999</v>
      </c>
      <c r="D113" s="24">
        <v>27.4374</v>
      </c>
      <c r="E113" s="21"/>
      <c r="F113" s="18"/>
      <c r="G113" s="25"/>
    </row>
    <row r="114" spans="1:14" ht="17.100000000000001" customHeight="1" x14ac:dyDescent="0.2">
      <c r="A114" s="21"/>
      <c r="B114" s="4" t="s">
        <v>1039</v>
      </c>
      <c r="C114" s="24">
        <v>22.878299999999999</v>
      </c>
      <c r="D114" s="24">
        <v>22.230699999999999</v>
      </c>
      <c r="E114" s="21"/>
      <c r="F114" s="18"/>
      <c r="G114" s="25"/>
    </row>
    <row r="115" spans="1:14" ht="17.100000000000001" customHeight="1" x14ac:dyDescent="0.2">
      <c r="A115" s="21"/>
      <c r="B115" s="4" t="s">
        <v>185</v>
      </c>
      <c r="C115" s="24">
        <v>27.492999999999999</v>
      </c>
      <c r="D115" s="24">
        <v>26.710100000000001</v>
      </c>
      <c r="E115" s="21"/>
      <c r="F115" s="18"/>
      <c r="G115" s="25"/>
    </row>
    <row r="116" spans="1:14" ht="17.100000000000001" customHeight="1" x14ac:dyDescent="0.2">
      <c r="A116" s="21"/>
      <c r="B116" s="4" t="s">
        <v>1040</v>
      </c>
      <c r="C116" s="24">
        <v>22.190300000000001</v>
      </c>
      <c r="D116" s="24">
        <v>21.558499999999999</v>
      </c>
      <c r="E116" s="21"/>
      <c r="F116" s="18"/>
      <c r="G116" s="25"/>
    </row>
    <row r="117" spans="1:14" ht="14.1" customHeight="1" x14ac:dyDescent="0.2">
      <c r="A117" s="21"/>
      <c r="B117" s="21"/>
      <c r="C117" s="21"/>
      <c r="D117" s="21"/>
      <c r="E117" s="21"/>
      <c r="F117" s="21"/>
      <c r="G117" s="21"/>
    </row>
    <row r="118" spans="1:14" ht="17.100000000000001" customHeight="1" x14ac:dyDescent="0.2">
      <c r="A118" s="21"/>
      <c r="B118" s="121" t="s">
        <v>1041</v>
      </c>
      <c r="C118" s="122"/>
      <c r="D118" s="2" t="s">
        <v>176</v>
      </c>
      <c r="E118" s="21"/>
      <c r="F118" s="21"/>
      <c r="G118" s="21"/>
    </row>
    <row r="119" spans="1:14" ht="18" customHeight="1" x14ac:dyDescent="0.2">
      <c r="A119" s="21"/>
      <c r="B119" s="26"/>
      <c r="C119" s="26"/>
      <c r="D119" s="26"/>
      <c r="E119" s="21"/>
      <c r="F119" s="21"/>
      <c r="G119" s="21"/>
    </row>
    <row r="120" spans="1:14" ht="29.1" customHeight="1" x14ac:dyDescent="0.2">
      <c r="A120" s="21"/>
      <c r="B120" s="121" t="s">
        <v>186</v>
      </c>
      <c r="C120" s="122"/>
      <c r="D120" s="2" t="s">
        <v>176</v>
      </c>
      <c r="E120" s="27"/>
      <c r="F120" s="21"/>
      <c r="G120" s="21"/>
    </row>
    <row r="121" spans="1:14" ht="29.1" customHeight="1" x14ac:dyDescent="0.2">
      <c r="A121" s="21"/>
      <c r="B121" s="121" t="s">
        <v>187</v>
      </c>
      <c r="C121" s="122"/>
      <c r="D121" s="2" t="s">
        <v>176</v>
      </c>
      <c r="E121" s="27"/>
      <c r="F121" s="21"/>
      <c r="G121" s="21"/>
    </row>
    <row r="122" spans="1:14" ht="17.100000000000001" customHeight="1" x14ac:dyDescent="0.2">
      <c r="A122" s="21"/>
      <c r="B122" s="121" t="s">
        <v>188</v>
      </c>
      <c r="C122" s="122"/>
      <c r="D122" s="2" t="s">
        <v>176</v>
      </c>
      <c r="E122" s="27"/>
      <c r="F122" s="21"/>
      <c r="G122" s="21"/>
    </row>
    <row r="123" spans="1:14" ht="17.100000000000001" customHeight="1" x14ac:dyDescent="0.2">
      <c r="A123" s="21"/>
      <c r="B123" s="121" t="s">
        <v>189</v>
      </c>
      <c r="C123" s="122"/>
      <c r="D123" s="50">
        <v>0</v>
      </c>
      <c r="E123" s="21"/>
      <c r="F123" s="18"/>
      <c r="G123" s="25"/>
    </row>
    <row r="127" spans="1:14" x14ac:dyDescent="0.2">
      <c r="J127" s="104"/>
      <c r="K127" s="104"/>
      <c r="L127" s="104"/>
      <c r="M127" s="104"/>
      <c r="N127" s="104"/>
    </row>
  </sheetData>
  <mergeCells count="14">
    <mergeCell ref="A1:H1"/>
    <mergeCell ref="A2:H2"/>
    <mergeCell ref="A3:H3"/>
    <mergeCell ref="J2:N2"/>
    <mergeCell ref="B123:C123"/>
    <mergeCell ref="B109:C109"/>
    <mergeCell ref="B110:C110"/>
    <mergeCell ref="B118:C118"/>
    <mergeCell ref="B120:C120"/>
    <mergeCell ref="B121:C121"/>
    <mergeCell ref="B122:C122"/>
    <mergeCell ref="B108:C108"/>
    <mergeCell ref="B105:F105"/>
    <mergeCell ref="B107:D107"/>
  </mergeCells>
  <hyperlinks>
    <hyperlink ref="I1" location="Index!B9" display="Index" xr:uid="{25EB2BCE-F0CF-4005-8A02-F4272B96AD4B}"/>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O157"/>
  <sheetViews>
    <sheetView showGridLines="0" workbookViewId="0">
      <selection activeCell="I1" sqref="I1"/>
    </sheetView>
  </sheetViews>
  <sheetFormatPr defaultRowHeight="12.75" x14ac:dyDescent="0.2"/>
  <cols>
    <col min="1" max="1" width="6.85546875" customWidth="1"/>
    <col min="2" max="2" width="20.5703125" customWidth="1"/>
    <col min="3" max="3" width="35.5703125" customWidth="1"/>
    <col min="4" max="4" width="17.85546875" customWidth="1"/>
    <col min="5" max="6" width="19.140625" customWidth="1"/>
    <col min="7" max="7" width="16.42578125" customWidth="1"/>
  </cols>
  <sheetData>
    <row r="1" spans="1:15" ht="18" customHeight="1" x14ac:dyDescent="0.2">
      <c r="A1" s="116" t="s">
        <v>0</v>
      </c>
      <c r="B1" s="116"/>
      <c r="C1" s="116"/>
      <c r="D1" s="116"/>
      <c r="E1" s="116"/>
      <c r="F1" s="116"/>
      <c r="G1" s="116"/>
      <c r="H1" s="116"/>
      <c r="I1" s="98" t="s">
        <v>1053</v>
      </c>
    </row>
    <row r="2" spans="1:15" ht="17.100000000000001" customHeight="1" x14ac:dyDescent="0.2">
      <c r="A2" s="117" t="s">
        <v>479</v>
      </c>
      <c r="B2" s="118"/>
      <c r="C2" s="118"/>
      <c r="D2" s="118"/>
      <c r="E2" s="118"/>
      <c r="F2" s="118"/>
      <c r="G2" s="118"/>
      <c r="H2" s="119"/>
      <c r="J2" s="120" t="s">
        <v>1054</v>
      </c>
      <c r="K2" s="120"/>
      <c r="L2" s="120"/>
      <c r="M2" s="120"/>
      <c r="N2" s="120"/>
    </row>
    <row r="3" spans="1:15" ht="21" customHeight="1" x14ac:dyDescent="0.2">
      <c r="A3" s="116" t="s">
        <v>1049</v>
      </c>
      <c r="B3" s="116"/>
      <c r="C3" s="116"/>
      <c r="D3" s="116"/>
      <c r="E3" s="116"/>
      <c r="F3" s="116"/>
      <c r="G3" s="116"/>
      <c r="H3" s="116"/>
    </row>
    <row r="4" spans="1:15" ht="30" x14ac:dyDescent="0.2">
      <c r="A4" s="96" t="s">
        <v>2</v>
      </c>
      <c r="B4" s="96" t="s">
        <v>3</v>
      </c>
      <c r="C4" s="96" t="s">
        <v>4</v>
      </c>
      <c r="D4" s="96" t="s">
        <v>5</v>
      </c>
      <c r="E4" s="96" t="s">
        <v>6</v>
      </c>
      <c r="F4" s="96" t="s">
        <v>7</v>
      </c>
      <c r="G4" s="96" t="s">
        <v>8</v>
      </c>
      <c r="H4" s="51" t="s">
        <v>1002</v>
      </c>
      <c r="I4" s="99"/>
      <c r="J4" s="99"/>
      <c r="K4" s="99"/>
      <c r="L4" s="99"/>
      <c r="M4" s="99"/>
      <c r="N4" s="99"/>
      <c r="O4" s="99"/>
    </row>
    <row r="5" spans="1:15" ht="14.1" customHeight="1" x14ac:dyDescent="0.2">
      <c r="A5" s="1"/>
      <c r="B5" s="1"/>
      <c r="C5" s="2" t="s">
        <v>9</v>
      </c>
      <c r="D5" s="1"/>
      <c r="E5" s="1"/>
      <c r="F5" s="1"/>
      <c r="G5" s="1"/>
      <c r="H5" s="52"/>
    </row>
    <row r="6" spans="1:15" ht="24" customHeight="1" x14ac:dyDescent="0.2">
      <c r="A6" s="1"/>
      <c r="B6" s="1"/>
      <c r="C6" s="2" t="s">
        <v>10</v>
      </c>
      <c r="D6" s="1"/>
      <c r="E6" s="1"/>
      <c r="F6" s="1"/>
      <c r="G6" s="1"/>
      <c r="H6" s="52"/>
    </row>
    <row r="7" spans="1:15" ht="17.100000000000001" customHeight="1" x14ac:dyDescent="0.2">
      <c r="A7" s="3">
        <v>1</v>
      </c>
      <c r="B7" s="4" t="s">
        <v>405</v>
      </c>
      <c r="C7" s="4" t="s">
        <v>406</v>
      </c>
      <c r="D7" s="4" t="s">
        <v>357</v>
      </c>
      <c r="E7" s="5">
        <v>16028</v>
      </c>
      <c r="F7" s="6">
        <v>413.834946</v>
      </c>
      <c r="G7" s="7">
        <v>5.3653550000000001E-2</v>
      </c>
      <c r="H7" s="52"/>
    </row>
    <row r="8" spans="1:15" ht="17.100000000000001" customHeight="1" x14ac:dyDescent="0.2">
      <c r="A8" s="3">
        <v>2</v>
      </c>
      <c r="B8" s="4" t="s">
        <v>397</v>
      </c>
      <c r="C8" s="4" t="s">
        <v>398</v>
      </c>
      <c r="D8" s="4" t="s">
        <v>60</v>
      </c>
      <c r="E8" s="5">
        <v>9918</v>
      </c>
      <c r="F8" s="6">
        <v>410.020038</v>
      </c>
      <c r="G8" s="7">
        <v>5.3158950000000003E-2</v>
      </c>
      <c r="H8" s="52"/>
    </row>
    <row r="9" spans="1:15" ht="17.100000000000001" customHeight="1" x14ac:dyDescent="0.2">
      <c r="A9" s="3">
        <v>3</v>
      </c>
      <c r="B9" s="4" t="s">
        <v>399</v>
      </c>
      <c r="C9" s="4" t="s">
        <v>400</v>
      </c>
      <c r="D9" s="4" t="s">
        <v>28</v>
      </c>
      <c r="E9" s="5">
        <v>382570</v>
      </c>
      <c r="F9" s="6">
        <v>354.83367500000003</v>
      </c>
      <c r="G9" s="7">
        <v>4.6004049999999998E-2</v>
      </c>
      <c r="H9" s="52"/>
    </row>
    <row r="10" spans="1:15" ht="17.100000000000001" customHeight="1" x14ac:dyDescent="0.2">
      <c r="A10" s="3">
        <v>4</v>
      </c>
      <c r="B10" s="4" t="s">
        <v>32</v>
      </c>
      <c r="C10" s="4" t="s">
        <v>33</v>
      </c>
      <c r="D10" s="4" t="s">
        <v>31</v>
      </c>
      <c r="E10" s="5">
        <v>11388</v>
      </c>
      <c r="F10" s="6">
        <v>348.65500800000001</v>
      </c>
      <c r="G10" s="7">
        <v>4.5202989999999998E-2</v>
      </c>
      <c r="H10" s="52"/>
    </row>
    <row r="11" spans="1:15" ht="17.100000000000001" customHeight="1" x14ac:dyDescent="0.2">
      <c r="A11" s="3">
        <v>5</v>
      </c>
      <c r="B11" s="4" t="s">
        <v>48</v>
      </c>
      <c r="C11" s="4" t="s">
        <v>49</v>
      </c>
      <c r="D11" s="4" t="s">
        <v>31</v>
      </c>
      <c r="E11" s="5">
        <v>13792</v>
      </c>
      <c r="F11" s="6">
        <v>331.33900799999998</v>
      </c>
      <c r="G11" s="7">
        <v>4.295798E-2</v>
      </c>
      <c r="H11" s="52"/>
    </row>
    <row r="12" spans="1:15" ht="17.100000000000001" customHeight="1" x14ac:dyDescent="0.2">
      <c r="A12" s="3">
        <v>6</v>
      </c>
      <c r="B12" s="4" t="s">
        <v>125</v>
      </c>
      <c r="C12" s="4" t="s">
        <v>126</v>
      </c>
      <c r="D12" s="4" t="s">
        <v>60</v>
      </c>
      <c r="E12" s="5">
        <v>88376</v>
      </c>
      <c r="F12" s="6">
        <v>312.89522799999997</v>
      </c>
      <c r="G12" s="7">
        <v>4.0566749999999999E-2</v>
      </c>
      <c r="H12" s="52"/>
    </row>
    <row r="13" spans="1:15" ht="17.100000000000001" customHeight="1" x14ac:dyDescent="0.2">
      <c r="A13" s="3">
        <v>7</v>
      </c>
      <c r="B13" s="4" t="s">
        <v>409</v>
      </c>
      <c r="C13" s="4" t="s">
        <v>410</v>
      </c>
      <c r="D13" s="4" t="s">
        <v>205</v>
      </c>
      <c r="E13" s="5">
        <v>72529</v>
      </c>
      <c r="F13" s="6">
        <v>268.68368049999998</v>
      </c>
      <c r="G13" s="7">
        <v>3.4834740000000003E-2</v>
      </c>
      <c r="H13" s="52"/>
      <c r="J13" s="101" t="s">
        <v>1064</v>
      </c>
    </row>
    <row r="14" spans="1:15" ht="17.100000000000001" customHeight="1" x14ac:dyDescent="0.2">
      <c r="A14" s="3">
        <v>8</v>
      </c>
      <c r="B14" s="4" t="s">
        <v>98</v>
      </c>
      <c r="C14" s="4" t="s">
        <v>99</v>
      </c>
      <c r="D14" s="4" t="s">
        <v>93</v>
      </c>
      <c r="E14" s="5">
        <v>40332</v>
      </c>
      <c r="F14" s="6">
        <v>248.22329400000001</v>
      </c>
      <c r="G14" s="7">
        <v>3.2182059999999998E-2</v>
      </c>
      <c r="H14" s="52"/>
    </row>
    <row r="15" spans="1:15" ht="17.100000000000001" customHeight="1" x14ac:dyDescent="0.2">
      <c r="A15" s="3">
        <v>9</v>
      </c>
      <c r="B15" s="4" t="s">
        <v>355</v>
      </c>
      <c r="C15" s="4" t="s">
        <v>356</v>
      </c>
      <c r="D15" s="4" t="s">
        <v>357</v>
      </c>
      <c r="E15" s="5">
        <v>9937</v>
      </c>
      <c r="F15" s="6">
        <v>231.621533</v>
      </c>
      <c r="G15" s="7">
        <v>3.0029650000000001E-2</v>
      </c>
      <c r="H15" s="52"/>
    </row>
    <row r="16" spans="1:15" ht="17.100000000000001" customHeight="1" x14ac:dyDescent="0.2">
      <c r="A16" s="3">
        <v>10</v>
      </c>
      <c r="B16" s="4" t="s">
        <v>46</v>
      </c>
      <c r="C16" s="4" t="s">
        <v>47</v>
      </c>
      <c r="D16" s="4" t="s">
        <v>31</v>
      </c>
      <c r="E16" s="5">
        <v>10116</v>
      </c>
      <c r="F16" s="6">
        <v>216.927504</v>
      </c>
      <c r="G16" s="7">
        <v>2.8124570000000002E-2</v>
      </c>
      <c r="H16" s="52"/>
    </row>
    <row r="17" spans="1:8" ht="17.100000000000001" customHeight="1" x14ac:dyDescent="0.2">
      <c r="A17" s="3">
        <v>11</v>
      </c>
      <c r="B17" s="4" t="s">
        <v>279</v>
      </c>
      <c r="C17" s="4" t="s">
        <v>280</v>
      </c>
      <c r="D17" s="4" t="s">
        <v>888</v>
      </c>
      <c r="E17" s="5">
        <v>17726</v>
      </c>
      <c r="F17" s="6">
        <v>215.822913</v>
      </c>
      <c r="G17" s="7">
        <v>2.798136E-2</v>
      </c>
      <c r="H17" s="52"/>
    </row>
    <row r="18" spans="1:8" ht="17.100000000000001" customHeight="1" x14ac:dyDescent="0.2">
      <c r="A18" s="3">
        <v>12</v>
      </c>
      <c r="B18" s="4" t="s">
        <v>411</v>
      </c>
      <c r="C18" s="4" t="s">
        <v>412</v>
      </c>
      <c r="D18" s="4" t="s">
        <v>70</v>
      </c>
      <c r="E18" s="5">
        <v>26340</v>
      </c>
      <c r="F18" s="6">
        <v>201.09272999999999</v>
      </c>
      <c r="G18" s="7">
        <v>2.60716E-2</v>
      </c>
      <c r="H18" s="52"/>
    </row>
    <row r="19" spans="1:8" ht="17.100000000000001" customHeight="1" x14ac:dyDescent="0.2">
      <c r="A19" s="3">
        <v>13</v>
      </c>
      <c r="B19" s="4" t="s">
        <v>401</v>
      </c>
      <c r="C19" s="4" t="s">
        <v>402</v>
      </c>
      <c r="D19" s="4" t="s">
        <v>259</v>
      </c>
      <c r="E19" s="5">
        <v>11089</v>
      </c>
      <c r="F19" s="6">
        <v>177.22994249999999</v>
      </c>
      <c r="G19" s="7">
        <v>2.29778E-2</v>
      </c>
      <c r="H19" s="52"/>
    </row>
    <row r="20" spans="1:8" ht="17.100000000000001" customHeight="1" x14ac:dyDescent="0.2">
      <c r="A20" s="3">
        <v>14</v>
      </c>
      <c r="B20" s="4" t="s">
        <v>423</v>
      </c>
      <c r="C20" s="4" t="s">
        <v>424</v>
      </c>
      <c r="D20" s="4" t="s">
        <v>242</v>
      </c>
      <c r="E20" s="5">
        <v>76918</v>
      </c>
      <c r="F20" s="6">
        <v>172.45015599999999</v>
      </c>
      <c r="G20" s="7">
        <v>2.2358099999999999E-2</v>
      </c>
      <c r="H20" s="52"/>
    </row>
    <row r="21" spans="1:8" ht="29.1" customHeight="1" x14ac:dyDescent="0.2">
      <c r="A21" s="3">
        <v>15</v>
      </c>
      <c r="B21" s="4" t="s">
        <v>214</v>
      </c>
      <c r="C21" s="4" t="s">
        <v>215</v>
      </c>
      <c r="D21" s="4" t="s">
        <v>216</v>
      </c>
      <c r="E21" s="5">
        <v>4936</v>
      </c>
      <c r="F21" s="6">
        <v>169.71202</v>
      </c>
      <c r="G21" s="7">
        <v>2.2003100000000001E-2</v>
      </c>
      <c r="H21" s="52"/>
    </row>
    <row r="22" spans="1:8" ht="29.1" customHeight="1" x14ac:dyDescent="0.2">
      <c r="A22" s="3">
        <v>16</v>
      </c>
      <c r="B22" s="4" t="s">
        <v>431</v>
      </c>
      <c r="C22" s="4" t="s">
        <v>432</v>
      </c>
      <c r="D22" s="4" t="s">
        <v>57</v>
      </c>
      <c r="E22" s="5">
        <v>6607</v>
      </c>
      <c r="F22" s="6">
        <v>164.20377099999999</v>
      </c>
      <c r="G22" s="7">
        <v>2.1288959999999999E-2</v>
      </c>
      <c r="H22" s="52"/>
    </row>
    <row r="23" spans="1:8" ht="17.100000000000001" customHeight="1" x14ac:dyDescent="0.2">
      <c r="A23" s="3">
        <v>17</v>
      </c>
      <c r="B23" s="4" t="s">
        <v>417</v>
      </c>
      <c r="C23" s="4" t="s">
        <v>418</v>
      </c>
      <c r="D23" s="4" t="s">
        <v>231</v>
      </c>
      <c r="E23" s="5">
        <v>12562</v>
      </c>
      <c r="F23" s="6">
        <v>162.73442900000001</v>
      </c>
      <c r="G23" s="7">
        <v>2.1098459999999999E-2</v>
      </c>
      <c r="H23" s="52"/>
    </row>
    <row r="24" spans="1:8" ht="29.1" customHeight="1" x14ac:dyDescent="0.2">
      <c r="A24" s="3">
        <v>18</v>
      </c>
      <c r="B24" s="4" t="s">
        <v>119</v>
      </c>
      <c r="C24" s="4" t="s">
        <v>120</v>
      </c>
      <c r="D24" s="4" t="s">
        <v>36</v>
      </c>
      <c r="E24" s="5">
        <v>6367</v>
      </c>
      <c r="F24" s="6">
        <v>155.28157949999999</v>
      </c>
      <c r="G24" s="7">
        <v>2.0132199999999999E-2</v>
      </c>
      <c r="H24" s="52"/>
    </row>
    <row r="25" spans="1:8" ht="17.100000000000001" customHeight="1" x14ac:dyDescent="0.2">
      <c r="A25" s="3">
        <v>19</v>
      </c>
      <c r="B25" s="4" t="s">
        <v>433</v>
      </c>
      <c r="C25" s="4" t="s">
        <v>434</v>
      </c>
      <c r="D25" s="4" t="s">
        <v>60</v>
      </c>
      <c r="E25" s="5">
        <v>24979</v>
      </c>
      <c r="F25" s="6">
        <v>154.59503100000001</v>
      </c>
      <c r="G25" s="7">
        <v>2.0043189999999999E-2</v>
      </c>
      <c r="H25" s="52"/>
    </row>
    <row r="26" spans="1:8" ht="17.100000000000001" customHeight="1" x14ac:dyDescent="0.2">
      <c r="A26" s="3">
        <v>20</v>
      </c>
      <c r="B26" s="4" t="s">
        <v>448</v>
      </c>
      <c r="C26" s="4" t="s">
        <v>449</v>
      </c>
      <c r="D26" s="4" t="s">
        <v>231</v>
      </c>
      <c r="E26" s="5">
        <v>65797</v>
      </c>
      <c r="F26" s="6">
        <v>149.95136299999999</v>
      </c>
      <c r="G26" s="7">
        <v>1.9441139999999999E-2</v>
      </c>
      <c r="H26" s="52"/>
    </row>
    <row r="27" spans="1:8" ht="17.100000000000001" customHeight="1" x14ac:dyDescent="0.2">
      <c r="A27" s="3">
        <v>21</v>
      </c>
      <c r="B27" s="4" t="s">
        <v>425</v>
      </c>
      <c r="C27" s="4" t="s">
        <v>426</v>
      </c>
      <c r="D27" s="4" t="s">
        <v>231</v>
      </c>
      <c r="E27" s="5">
        <v>18794</v>
      </c>
      <c r="F27" s="6">
        <v>149.14918399999999</v>
      </c>
      <c r="G27" s="7">
        <v>1.9337139999999999E-2</v>
      </c>
      <c r="H27" s="52"/>
    </row>
    <row r="28" spans="1:8" ht="29.1" customHeight="1" x14ac:dyDescent="0.2">
      <c r="A28" s="3">
        <v>22</v>
      </c>
      <c r="B28" s="4" t="s">
        <v>435</v>
      </c>
      <c r="C28" s="4" t="s">
        <v>436</v>
      </c>
      <c r="D28" s="4" t="s">
        <v>437</v>
      </c>
      <c r="E28" s="5">
        <v>96813</v>
      </c>
      <c r="F28" s="6">
        <v>146.8169145</v>
      </c>
      <c r="G28" s="7">
        <v>1.9034760000000001E-2</v>
      </c>
      <c r="H28" s="52"/>
    </row>
    <row r="29" spans="1:8" ht="17.100000000000001" customHeight="1" x14ac:dyDescent="0.2">
      <c r="A29" s="3">
        <v>23</v>
      </c>
      <c r="B29" s="4" t="s">
        <v>419</v>
      </c>
      <c r="C29" s="4" t="s">
        <v>420</v>
      </c>
      <c r="D29" s="4" t="s">
        <v>70</v>
      </c>
      <c r="E29" s="5">
        <v>124593</v>
      </c>
      <c r="F29" s="6">
        <v>142.658985</v>
      </c>
      <c r="G29" s="7">
        <v>1.849568E-2</v>
      </c>
      <c r="H29" s="52"/>
    </row>
    <row r="30" spans="1:8" ht="17.100000000000001" customHeight="1" x14ac:dyDescent="0.2">
      <c r="A30" s="3">
        <v>24</v>
      </c>
      <c r="B30" s="4" t="s">
        <v>442</v>
      </c>
      <c r="C30" s="4" t="s">
        <v>443</v>
      </c>
      <c r="D30" s="4" t="s">
        <v>70</v>
      </c>
      <c r="E30" s="5">
        <v>15340</v>
      </c>
      <c r="F30" s="6">
        <v>138.40514999999999</v>
      </c>
      <c r="G30" s="7">
        <v>1.7944180000000001E-2</v>
      </c>
      <c r="H30" s="52"/>
    </row>
    <row r="31" spans="1:8" ht="29.1" customHeight="1" x14ac:dyDescent="0.2">
      <c r="A31" s="3">
        <v>25</v>
      </c>
      <c r="B31" s="4" t="s">
        <v>115</v>
      </c>
      <c r="C31" s="4" t="s">
        <v>116</v>
      </c>
      <c r="D31" s="4" t="s">
        <v>25</v>
      </c>
      <c r="E31" s="5">
        <v>4362</v>
      </c>
      <c r="F31" s="6">
        <v>137.57748000000001</v>
      </c>
      <c r="G31" s="7">
        <v>1.7836870000000001E-2</v>
      </c>
      <c r="H31" s="52"/>
    </row>
    <row r="32" spans="1:8" ht="17.100000000000001" customHeight="1" x14ac:dyDescent="0.2">
      <c r="A32" s="3">
        <v>26</v>
      </c>
      <c r="B32" s="4" t="s">
        <v>407</v>
      </c>
      <c r="C32" s="4" t="s">
        <v>408</v>
      </c>
      <c r="D32" s="4" t="s">
        <v>13</v>
      </c>
      <c r="E32" s="5">
        <v>104608</v>
      </c>
      <c r="F32" s="6">
        <v>135.938096</v>
      </c>
      <c r="G32" s="7">
        <v>1.7624319999999999E-2</v>
      </c>
      <c r="H32" s="52"/>
    </row>
    <row r="33" spans="1:8" ht="17.100000000000001" customHeight="1" x14ac:dyDescent="0.2">
      <c r="A33" s="3">
        <v>27</v>
      </c>
      <c r="B33" s="4" t="s">
        <v>421</v>
      </c>
      <c r="C33" s="4" t="s">
        <v>422</v>
      </c>
      <c r="D33" s="4" t="s">
        <v>60</v>
      </c>
      <c r="E33" s="5">
        <v>11192</v>
      </c>
      <c r="F33" s="6">
        <v>121.477968</v>
      </c>
      <c r="G33" s="7">
        <v>1.5749570000000001E-2</v>
      </c>
      <c r="H33" s="52"/>
    </row>
    <row r="34" spans="1:8" ht="29.1" customHeight="1" x14ac:dyDescent="0.2">
      <c r="A34" s="3">
        <v>28</v>
      </c>
      <c r="B34" s="4" t="s">
        <v>440</v>
      </c>
      <c r="C34" s="4" t="s">
        <v>441</v>
      </c>
      <c r="D34" s="4" t="s">
        <v>226</v>
      </c>
      <c r="E34" s="5">
        <v>36034</v>
      </c>
      <c r="F34" s="6">
        <v>114.516052</v>
      </c>
      <c r="G34" s="7">
        <v>1.4846959999999999E-2</v>
      </c>
      <c r="H34" s="52"/>
    </row>
    <row r="35" spans="1:8" ht="17.100000000000001" customHeight="1" x14ac:dyDescent="0.2">
      <c r="A35" s="3">
        <v>29</v>
      </c>
      <c r="B35" s="4" t="s">
        <v>438</v>
      </c>
      <c r="C35" s="4" t="s">
        <v>439</v>
      </c>
      <c r="D35" s="4" t="s">
        <v>889</v>
      </c>
      <c r="E35" s="5">
        <v>10759</v>
      </c>
      <c r="F35" s="6">
        <v>113.1147465</v>
      </c>
      <c r="G35" s="7">
        <v>1.4665289999999999E-2</v>
      </c>
      <c r="H35" s="52"/>
    </row>
    <row r="36" spans="1:8" ht="29.1" customHeight="1" x14ac:dyDescent="0.2">
      <c r="A36" s="3">
        <v>30</v>
      </c>
      <c r="B36" s="4" t="s">
        <v>480</v>
      </c>
      <c r="C36" s="4" t="s">
        <v>481</v>
      </c>
      <c r="D36" s="4" t="s">
        <v>474</v>
      </c>
      <c r="E36" s="5">
        <v>18519</v>
      </c>
      <c r="F36" s="6">
        <v>109.2898785</v>
      </c>
      <c r="G36" s="7">
        <v>1.416939E-2</v>
      </c>
      <c r="H36" s="52"/>
    </row>
    <row r="37" spans="1:8" ht="29.1" customHeight="1" x14ac:dyDescent="0.2">
      <c r="A37" s="3">
        <v>31</v>
      </c>
      <c r="B37" s="4" t="s">
        <v>482</v>
      </c>
      <c r="C37" s="4" t="s">
        <v>483</v>
      </c>
      <c r="D37" s="4" t="s">
        <v>36</v>
      </c>
      <c r="E37" s="5">
        <v>23329</v>
      </c>
      <c r="F37" s="6">
        <v>108.596495</v>
      </c>
      <c r="G37" s="7">
        <v>1.40795E-2</v>
      </c>
      <c r="H37" s="52"/>
    </row>
    <row r="38" spans="1:8" ht="17.100000000000001" customHeight="1" x14ac:dyDescent="0.2">
      <c r="A38" s="3">
        <v>32</v>
      </c>
      <c r="B38" s="4" t="s">
        <v>444</v>
      </c>
      <c r="C38" s="4" t="s">
        <v>445</v>
      </c>
      <c r="D38" s="4" t="s">
        <v>60</v>
      </c>
      <c r="E38" s="5">
        <v>20256</v>
      </c>
      <c r="F38" s="6">
        <v>103.91328</v>
      </c>
      <c r="G38" s="7">
        <v>1.3472319999999999E-2</v>
      </c>
      <c r="H38" s="52"/>
    </row>
    <row r="39" spans="1:8" ht="17.100000000000001" customHeight="1" x14ac:dyDescent="0.2">
      <c r="A39" s="3">
        <v>33</v>
      </c>
      <c r="B39" s="4" t="s">
        <v>429</v>
      </c>
      <c r="C39" s="4" t="s">
        <v>430</v>
      </c>
      <c r="D39" s="4" t="s">
        <v>311</v>
      </c>
      <c r="E39" s="5">
        <v>11065</v>
      </c>
      <c r="F39" s="6">
        <v>94.616815000000003</v>
      </c>
      <c r="G39" s="7">
        <v>1.226704E-2</v>
      </c>
      <c r="H39" s="52"/>
    </row>
    <row r="40" spans="1:8" ht="29.1" customHeight="1" x14ac:dyDescent="0.2">
      <c r="A40" s="3">
        <v>34</v>
      </c>
      <c r="B40" s="4" t="s">
        <v>446</v>
      </c>
      <c r="C40" s="4" t="s">
        <v>447</v>
      </c>
      <c r="D40" s="4" t="s">
        <v>211</v>
      </c>
      <c r="E40" s="5">
        <v>18954</v>
      </c>
      <c r="F40" s="6">
        <v>87.482186999999996</v>
      </c>
      <c r="G40" s="7">
        <v>1.1342029999999999E-2</v>
      </c>
      <c r="H40" s="52"/>
    </row>
    <row r="41" spans="1:8" ht="17.100000000000001" customHeight="1" x14ac:dyDescent="0.2">
      <c r="A41" s="3">
        <v>35</v>
      </c>
      <c r="B41" s="4" t="s">
        <v>462</v>
      </c>
      <c r="C41" s="4" t="s">
        <v>463</v>
      </c>
      <c r="D41" s="4" t="s">
        <v>28</v>
      </c>
      <c r="E41" s="5">
        <v>25918</v>
      </c>
      <c r="F41" s="6">
        <v>85.633071999999999</v>
      </c>
      <c r="G41" s="7">
        <v>1.1102300000000001E-2</v>
      </c>
      <c r="H41" s="52"/>
    </row>
    <row r="42" spans="1:8" ht="17.100000000000001" customHeight="1" x14ac:dyDescent="0.2">
      <c r="A42" s="3">
        <v>36</v>
      </c>
      <c r="B42" s="4" t="s">
        <v>484</v>
      </c>
      <c r="C42" s="4" t="s">
        <v>485</v>
      </c>
      <c r="D42" s="4" t="s">
        <v>13</v>
      </c>
      <c r="E42" s="5">
        <v>12092</v>
      </c>
      <c r="F42" s="6">
        <v>80.182051999999999</v>
      </c>
      <c r="G42" s="7">
        <v>1.039557E-2</v>
      </c>
      <c r="H42" s="52"/>
    </row>
    <row r="43" spans="1:8" ht="29.1" customHeight="1" x14ac:dyDescent="0.2">
      <c r="A43" s="3">
        <v>37</v>
      </c>
      <c r="B43" s="4" t="s">
        <v>486</v>
      </c>
      <c r="C43" s="4" t="s">
        <v>487</v>
      </c>
      <c r="D43" s="4" t="s">
        <v>488</v>
      </c>
      <c r="E43" s="5">
        <v>18905</v>
      </c>
      <c r="F43" s="6">
        <v>77.935862499999999</v>
      </c>
      <c r="G43" s="7">
        <v>1.010436E-2</v>
      </c>
      <c r="H43" s="52"/>
    </row>
    <row r="44" spans="1:8" ht="17.100000000000001" customHeight="1" x14ac:dyDescent="0.2">
      <c r="A44" s="3">
        <v>38</v>
      </c>
      <c r="B44" s="4" t="s">
        <v>243</v>
      </c>
      <c r="C44" s="4" t="s">
        <v>244</v>
      </c>
      <c r="D44" s="4" t="s">
        <v>105</v>
      </c>
      <c r="E44" s="5">
        <v>1412</v>
      </c>
      <c r="F44" s="6">
        <v>76.454858000000002</v>
      </c>
      <c r="G44" s="7">
        <v>9.9123400000000004E-3</v>
      </c>
      <c r="H44" s="52"/>
    </row>
    <row r="45" spans="1:8" ht="17.100000000000001" customHeight="1" x14ac:dyDescent="0.2">
      <c r="A45" s="3">
        <v>39</v>
      </c>
      <c r="B45" s="4" t="s">
        <v>450</v>
      </c>
      <c r="C45" s="4" t="s">
        <v>451</v>
      </c>
      <c r="D45" s="4" t="s">
        <v>114</v>
      </c>
      <c r="E45" s="5">
        <v>7165</v>
      </c>
      <c r="F45" s="6">
        <v>64.406184999999994</v>
      </c>
      <c r="G45" s="7">
        <v>8.3502400000000001E-3</v>
      </c>
      <c r="H45" s="52"/>
    </row>
    <row r="46" spans="1:8" ht="17.100000000000001" customHeight="1" x14ac:dyDescent="0.2">
      <c r="A46" s="3">
        <v>40</v>
      </c>
      <c r="B46" s="4" t="s">
        <v>89</v>
      </c>
      <c r="C46" s="4" t="s">
        <v>90</v>
      </c>
      <c r="D46" s="4" t="s">
        <v>31</v>
      </c>
      <c r="E46" s="5">
        <v>9276</v>
      </c>
      <c r="F46" s="6">
        <v>63.596255999999997</v>
      </c>
      <c r="G46" s="7">
        <v>8.2452299999999992E-3</v>
      </c>
      <c r="H46" s="52"/>
    </row>
    <row r="47" spans="1:8" ht="29.1" customHeight="1" x14ac:dyDescent="0.2">
      <c r="A47" s="3">
        <v>41</v>
      </c>
      <c r="B47" s="4" t="s">
        <v>489</v>
      </c>
      <c r="C47" s="4" t="s">
        <v>490</v>
      </c>
      <c r="D47" s="4" t="s">
        <v>60</v>
      </c>
      <c r="E47" s="5">
        <v>5046</v>
      </c>
      <c r="F47" s="6">
        <v>54.655749</v>
      </c>
      <c r="G47" s="7">
        <v>7.0860999999999997E-3</v>
      </c>
      <c r="H47" s="52"/>
    </row>
    <row r="48" spans="1:8" ht="29.1" customHeight="1" x14ac:dyDescent="0.2">
      <c r="A48" s="3">
        <v>42</v>
      </c>
      <c r="B48" s="4" t="s">
        <v>456</v>
      </c>
      <c r="C48" s="4" t="s">
        <v>457</v>
      </c>
      <c r="D48" s="4" t="s">
        <v>226</v>
      </c>
      <c r="E48" s="5">
        <v>1052</v>
      </c>
      <c r="F48" s="6">
        <v>53.679352000000002</v>
      </c>
      <c r="G48" s="7">
        <v>6.9595100000000003E-3</v>
      </c>
      <c r="H48" s="52"/>
    </row>
    <row r="49" spans="1:8" ht="17.100000000000001" customHeight="1" x14ac:dyDescent="0.2">
      <c r="A49" s="3">
        <v>43</v>
      </c>
      <c r="B49" s="4" t="s">
        <v>491</v>
      </c>
      <c r="C49" s="4" t="s">
        <v>492</v>
      </c>
      <c r="D49" s="4" t="s">
        <v>93</v>
      </c>
      <c r="E49" s="5">
        <v>45125</v>
      </c>
      <c r="F49" s="6">
        <v>40.7704375</v>
      </c>
      <c r="G49" s="7">
        <v>5.2858699999999998E-3</v>
      </c>
      <c r="H49" s="52"/>
    </row>
    <row r="50" spans="1:8" ht="17.100000000000001" customHeight="1" x14ac:dyDescent="0.2">
      <c r="A50" s="3">
        <v>44</v>
      </c>
      <c r="B50" s="4" t="s">
        <v>458</v>
      </c>
      <c r="C50" s="4" t="s">
        <v>459</v>
      </c>
      <c r="D50" s="4" t="s">
        <v>31</v>
      </c>
      <c r="E50" s="5">
        <v>4443</v>
      </c>
      <c r="F50" s="6">
        <v>38.651878500000002</v>
      </c>
      <c r="G50" s="7">
        <v>5.0112000000000004E-3</v>
      </c>
      <c r="H50" s="52"/>
    </row>
    <row r="51" spans="1:8" ht="29.1" customHeight="1" x14ac:dyDescent="0.2">
      <c r="A51" s="3">
        <v>45</v>
      </c>
      <c r="B51" s="4" t="s">
        <v>460</v>
      </c>
      <c r="C51" s="4" t="s">
        <v>461</v>
      </c>
      <c r="D51" s="4" t="s">
        <v>216</v>
      </c>
      <c r="E51" s="5">
        <v>3563</v>
      </c>
      <c r="F51" s="6">
        <v>15.682544500000001</v>
      </c>
      <c r="G51" s="7">
        <v>2.03324E-3</v>
      </c>
      <c r="H51" s="52"/>
    </row>
    <row r="52" spans="1:8" ht="17.100000000000001" customHeight="1" x14ac:dyDescent="0.2">
      <c r="A52" s="3">
        <v>46</v>
      </c>
      <c r="B52" s="4" t="s">
        <v>307</v>
      </c>
      <c r="C52" s="4" t="s">
        <v>308</v>
      </c>
      <c r="D52" s="4" t="s">
        <v>70</v>
      </c>
      <c r="E52" s="5">
        <v>1412</v>
      </c>
      <c r="F52" s="6">
        <v>14.420756000000001</v>
      </c>
      <c r="G52" s="7">
        <v>1.86965E-3</v>
      </c>
      <c r="H52" s="52"/>
    </row>
    <row r="53" spans="1:8" ht="14.1" customHeight="1" x14ac:dyDescent="0.2">
      <c r="A53" s="1"/>
      <c r="B53" s="1"/>
      <c r="C53" s="2" t="s">
        <v>145</v>
      </c>
      <c r="D53" s="1"/>
      <c r="E53" s="1" t="s">
        <v>146</v>
      </c>
      <c r="F53" s="9">
        <v>7229.7300839999998</v>
      </c>
      <c r="G53" s="10">
        <v>0.93733186000000002</v>
      </c>
      <c r="H53" s="52"/>
    </row>
    <row r="54" spans="1:8" ht="14.1" customHeight="1" x14ac:dyDescent="0.2">
      <c r="A54" s="1"/>
      <c r="B54" s="1"/>
      <c r="C54" s="11"/>
      <c r="D54" s="1"/>
      <c r="E54" s="1"/>
      <c r="F54" s="12"/>
      <c r="G54" s="12"/>
      <c r="H54" s="52"/>
    </row>
    <row r="55" spans="1:8" ht="14.1" customHeight="1" x14ac:dyDescent="0.2">
      <c r="A55" s="1"/>
      <c r="B55" s="1"/>
      <c r="C55" s="2" t="s">
        <v>147</v>
      </c>
      <c r="D55" s="1"/>
      <c r="E55" s="1"/>
      <c r="F55" s="1"/>
      <c r="G55" s="1"/>
      <c r="H55" s="52"/>
    </row>
    <row r="56" spans="1:8" ht="14.1" customHeight="1" x14ac:dyDescent="0.2">
      <c r="A56" s="1"/>
      <c r="B56" s="1"/>
      <c r="C56" s="2" t="s">
        <v>145</v>
      </c>
      <c r="D56" s="1"/>
      <c r="E56" s="1" t="s">
        <v>146</v>
      </c>
      <c r="F56" s="13" t="s">
        <v>148</v>
      </c>
      <c r="G56" s="10">
        <v>0</v>
      </c>
      <c r="H56" s="52"/>
    </row>
    <row r="57" spans="1:8" ht="14.1" customHeight="1" x14ac:dyDescent="0.2">
      <c r="A57" s="1"/>
      <c r="B57" s="1"/>
      <c r="C57" s="11"/>
      <c r="D57" s="1"/>
      <c r="E57" s="1"/>
      <c r="F57" s="12"/>
      <c r="G57" s="12"/>
      <c r="H57" s="52"/>
    </row>
    <row r="58" spans="1:8" ht="14.1" customHeight="1" x14ac:dyDescent="0.2">
      <c r="A58" s="1"/>
      <c r="B58" s="1"/>
      <c r="C58" s="2" t="s">
        <v>149</v>
      </c>
      <c r="D58" s="1"/>
      <c r="E58" s="1"/>
      <c r="F58" s="1"/>
      <c r="G58" s="1"/>
      <c r="H58" s="52"/>
    </row>
    <row r="59" spans="1:8" ht="14.1" customHeight="1" x14ac:dyDescent="0.2">
      <c r="A59" s="1"/>
      <c r="B59" s="1"/>
      <c r="C59" s="2" t="s">
        <v>145</v>
      </c>
      <c r="D59" s="1"/>
      <c r="E59" s="1" t="s">
        <v>146</v>
      </c>
      <c r="F59" s="13" t="s">
        <v>148</v>
      </c>
      <c r="G59" s="10">
        <v>0</v>
      </c>
      <c r="H59" s="52"/>
    </row>
    <row r="60" spans="1:8" ht="14.1" customHeight="1" x14ac:dyDescent="0.2">
      <c r="A60" s="1"/>
      <c r="B60" s="1"/>
      <c r="C60" s="11"/>
      <c r="D60" s="1"/>
      <c r="E60" s="1"/>
      <c r="F60" s="12"/>
      <c r="G60" s="12"/>
      <c r="H60" s="52"/>
    </row>
    <row r="61" spans="1:8" ht="14.1" customHeight="1" x14ac:dyDescent="0.2">
      <c r="A61" s="1"/>
      <c r="B61" s="1"/>
      <c r="C61" s="2" t="s">
        <v>150</v>
      </c>
      <c r="D61" s="1"/>
      <c r="E61" s="1"/>
      <c r="F61" s="1"/>
      <c r="G61" s="1"/>
      <c r="H61" s="52"/>
    </row>
    <row r="62" spans="1:8" ht="29.1" customHeight="1" x14ac:dyDescent="0.2">
      <c r="A62" s="3">
        <v>1</v>
      </c>
      <c r="B62" s="4" t="s">
        <v>312</v>
      </c>
      <c r="C62" s="4" t="s">
        <v>949</v>
      </c>
      <c r="D62" s="4" t="s">
        <v>105</v>
      </c>
      <c r="E62" s="5">
        <v>163792</v>
      </c>
      <c r="F62" s="6">
        <v>17.034368000000001</v>
      </c>
      <c r="G62" s="7">
        <v>2.2085E-3</v>
      </c>
      <c r="H62" s="52"/>
    </row>
    <row r="63" spans="1:8" ht="37.5" customHeight="1" x14ac:dyDescent="0.2">
      <c r="A63" s="3">
        <v>2</v>
      </c>
      <c r="B63" s="4" t="s">
        <v>313</v>
      </c>
      <c r="C63" s="4" t="s">
        <v>950</v>
      </c>
      <c r="D63" s="4" t="s">
        <v>70</v>
      </c>
      <c r="E63" s="5">
        <v>163</v>
      </c>
      <c r="F63" s="6">
        <v>1.6301630000000001E-2</v>
      </c>
      <c r="G63" s="41" t="s">
        <v>144</v>
      </c>
      <c r="H63" s="52"/>
    </row>
    <row r="64" spans="1:8" ht="14.1" customHeight="1" x14ac:dyDescent="0.2">
      <c r="A64" s="1"/>
      <c r="B64" s="1"/>
      <c r="C64" s="2" t="s">
        <v>145</v>
      </c>
      <c r="D64" s="1"/>
      <c r="E64" s="1" t="s">
        <v>146</v>
      </c>
      <c r="F64" s="9">
        <v>17.050669630000002</v>
      </c>
      <c r="G64" s="10">
        <v>2.21061E-3</v>
      </c>
      <c r="H64" s="52"/>
    </row>
    <row r="65" spans="1:8" ht="14.1" customHeight="1" x14ac:dyDescent="0.2">
      <c r="A65" s="1"/>
      <c r="B65" s="1"/>
      <c r="C65" s="11"/>
      <c r="D65" s="1"/>
      <c r="E65" s="1"/>
      <c r="F65" s="12"/>
      <c r="G65" s="12"/>
      <c r="H65" s="52"/>
    </row>
    <row r="66" spans="1:8" ht="14.1" customHeight="1" x14ac:dyDescent="0.2">
      <c r="A66" s="1"/>
      <c r="B66" s="1"/>
      <c r="C66" s="2" t="s">
        <v>151</v>
      </c>
      <c r="D66" s="1"/>
      <c r="E66" s="1"/>
      <c r="F66" s="12"/>
      <c r="G66" s="12"/>
      <c r="H66" s="52"/>
    </row>
    <row r="67" spans="1:8" ht="14.1" customHeight="1" x14ac:dyDescent="0.2">
      <c r="A67" s="1"/>
      <c r="B67" s="1"/>
      <c r="C67" s="2" t="s">
        <v>145</v>
      </c>
      <c r="D67" s="1"/>
      <c r="E67" s="1" t="s">
        <v>146</v>
      </c>
      <c r="F67" s="13" t="s">
        <v>148</v>
      </c>
      <c r="G67" s="10">
        <v>0</v>
      </c>
      <c r="H67" s="52"/>
    </row>
    <row r="68" spans="1:8" ht="14.1" customHeight="1" x14ac:dyDescent="0.2">
      <c r="A68" s="1"/>
      <c r="B68" s="1"/>
      <c r="C68" s="11"/>
      <c r="D68" s="1"/>
      <c r="E68" s="1"/>
      <c r="F68" s="12"/>
      <c r="G68" s="12"/>
      <c r="H68" s="52"/>
    </row>
    <row r="69" spans="1:8" ht="14.1" customHeight="1" x14ac:dyDescent="0.2">
      <c r="A69" s="1"/>
      <c r="B69" s="1"/>
      <c r="C69" s="2" t="s">
        <v>152</v>
      </c>
      <c r="D69" s="1"/>
      <c r="E69" s="1"/>
      <c r="F69" s="12"/>
      <c r="G69" s="12"/>
      <c r="H69" s="52"/>
    </row>
    <row r="70" spans="1:8" ht="14.1" customHeight="1" x14ac:dyDescent="0.2">
      <c r="A70" s="1"/>
      <c r="B70" s="1"/>
      <c r="C70" s="2" t="s">
        <v>145</v>
      </c>
      <c r="D70" s="1"/>
      <c r="E70" s="1" t="s">
        <v>146</v>
      </c>
      <c r="F70" s="13" t="s">
        <v>148</v>
      </c>
      <c r="G70" s="10">
        <v>0</v>
      </c>
      <c r="H70" s="52"/>
    </row>
    <row r="71" spans="1:8" ht="14.1" customHeight="1" x14ac:dyDescent="0.2">
      <c r="A71" s="1"/>
      <c r="B71" s="1"/>
      <c r="C71" s="11"/>
      <c r="D71" s="1"/>
      <c r="E71" s="1"/>
      <c r="F71" s="12"/>
      <c r="G71" s="12"/>
      <c r="H71" s="52"/>
    </row>
    <row r="72" spans="1:8" ht="18" customHeight="1" x14ac:dyDescent="0.2">
      <c r="A72" s="1"/>
      <c r="B72" s="1"/>
      <c r="C72" s="2" t="s">
        <v>153</v>
      </c>
      <c r="D72" s="1"/>
      <c r="E72" s="1"/>
      <c r="F72" s="9">
        <v>7246.7807536299997</v>
      </c>
      <c r="G72" s="10">
        <v>0.93954247000000002</v>
      </c>
      <c r="H72" s="52"/>
    </row>
    <row r="73" spans="1:8" ht="14.1" customHeight="1" x14ac:dyDescent="0.2">
      <c r="A73" s="1"/>
      <c r="B73" s="1"/>
      <c r="C73" s="11"/>
      <c r="D73" s="1"/>
      <c r="E73" s="1"/>
      <c r="F73" s="12"/>
      <c r="G73" s="12"/>
      <c r="H73" s="52"/>
    </row>
    <row r="74" spans="1:8" ht="14.1" customHeight="1" x14ac:dyDescent="0.2">
      <c r="A74" s="1"/>
      <c r="B74" s="1"/>
      <c r="C74" s="2" t="s">
        <v>154</v>
      </c>
      <c r="D74" s="1"/>
      <c r="E74" s="1"/>
      <c r="F74" s="12"/>
      <c r="G74" s="12"/>
      <c r="H74" s="52"/>
    </row>
    <row r="75" spans="1:8" ht="24" customHeight="1" x14ac:dyDescent="0.2">
      <c r="A75" s="1"/>
      <c r="B75" s="1"/>
      <c r="C75" s="2" t="s">
        <v>10</v>
      </c>
      <c r="D75" s="1"/>
      <c r="E75" s="1"/>
      <c r="F75" s="12"/>
      <c r="G75" s="12"/>
      <c r="H75" s="52"/>
    </row>
    <row r="76" spans="1:8" ht="14.1" customHeight="1" x14ac:dyDescent="0.2">
      <c r="A76" s="1"/>
      <c r="B76" s="1"/>
      <c r="C76" s="2" t="s">
        <v>145</v>
      </c>
      <c r="D76" s="1"/>
      <c r="E76" s="1" t="s">
        <v>146</v>
      </c>
      <c r="F76" s="13" t="s">
        <v>148</v>
      </c>
      <c r="G76" s="10">
        <v>0</v>
      </c>
      <c r="H76" s="52"/>
    </row>
    <row r="77" spans="1:8" ht="14.1" customHeight="1" x14ac:dyDescent="0.2">
      <c r="A77" s="1"/>
      <c r="B77" s="1"/>
      <c r="C77" s="11"/>
      <c r="D77" s="1"/>
      <c r="E77" s="1"/>
      <c r="F77" s="12"/>
      <c r="G77" s="12"/>
      <c r="H77" s="52"/>
    </row>
    <row r="78" spans="1:8" ht="14.1" customHeight="1" x14ac:dyDescent="0.2">
      <c r="A78" s="1"/>
      <c r="B78" s="1"/>
      <c r="C78" s="2" t="s">
        <v>155</v>
      </c>
      <c r="D78" s="1"/>
      <c r="E78" s="1"/>
      <c r="F78" s="1"/>
      <c r="G78" s="1"/>
      <c r="H78" s="52"/>
    </row>
    <row r="79" spans="1:8" ht="14.1" customHeight="1" x14ac:dyDescent="0.2">
      <c r="A79" s="1"/>
      <c r="B79" s="1"/>
      <c r="C79" s="2" t="s">
        <v>145</v>
      </c>
      <c r="D79" s="1"/>
      <c r="E79" s="1" t="s">
        <v>146</v>
      </c>
      <c r="F79" s="13" t="s">
        <v>148</v>
      </c>
      <c r="G79" s="10">
        <v>0</v>
      </c>
      <c r="H79" s="52"/>
    </row>
    <row r="80" spans="1:8" ht="14.1" customHeight="1" x14ac:dyDescent="0.2">
      <c r="A80" s="1"/>
      <c r="B80" s="1"/>
      <c r="C80" s="11"/>
      <c r="D80" s="1"/>
      <c r="E80" s="1"/>
      <c r="F80" s="12"/>
      <c r="G80" s="12"/>
      <c r="H80" s="52"/>
    </row>
    <row r="81" spans="1:8" ht="14.1" customHeight="1" x14ac:dyDescent="0.2">
      <c r="A81" s="1"/>
      <c r="B81" s="1"/>
      <c r="C81" s="2" t="s">
        <v>156</v>
      </c>
      <c r="D81" s="1"/>
      <c r="E81" s="1"/>
      <c r="F81" s="1"/>
      <c r="G81" s="1"/>
      <c r="H81" s="52"/>
    </row>
    <row r="82" spans="1:8" ht="14.1" customHeight="1" x14ac:dyDescent="0.2">
      <c r="A82" s="1"/>
      <c r="B82" s="1"/>
      <c r="C82" s="2" t="s">
        <v>145</v>
      </c>
      <c r="D82" s="1"/>
      <c r="E82" s="1" t="s">
        <v>146</v>
      </c>
      <c r="F82" s="13" t="s">
        <v>148</v>
      </c>
      <c r="G82" s="10">
        <v>0</v>
      </c>
      <c r="H82" s="52"/>
    </row>
    <row r="83" spans="1:8" ht="14.1" customHeight="1" x14ac:dyDescent="0.2">
      <c r="A83" s="1"/>
      <c r="B83" s="1"/>
      <c r="C83" s="11"/>
      <c r="D83" s="1"/>
      <c r="E83" s="1"/>
      <c r="F83" s="12"/>
      <c r="G83" s="12"/>
      <c r="H83" s="52"/>
    </row>
    <row r="84" spans="1:8" ht="14.1" customHeight="1" x14ac:dyDescent="0.2">
      <c r="A84" s="1"/>
      <c r="B84" s="1"/>
      <c r="C84" s="2" t="s">
        <v>157</v>
      </c>
      <c r="D84" s="1"/>
      <c r="E84" s="1"/>
      <c r="F84" s="12"/>
      <c r="G84" s="12"/>
      <c r="H84" s="52"/>
    </row>
    <row r="85" spans="1:8" ht="14.1" customHeight="1" x14ac:dyDescent="0.2">
      <c r="A85" s="1"/>
      <c r="B85" s="1"/>
      <c r="C85" s="2" t="s">
        <v>145</v>
      </c>
      <c r="D85" s="1"/>
      <c r="E85" s="1" t="s">
        <v>146</v>
      </c>
      <c r="F85" s="13" t="s">
        <v>148</v>
      </c>
      <c r="G85" s="10">
        <v>0</v>
      </c>
      <c r="H85" s="52"/>
    </row>
    <row r="86" spans="1:8" ht="14.1" customHeight="1" x14ac:dyDescent="0.2">
      <c r="A86" s="1"/>
      <c r="B86" s="1"/>
      <c r="C86" s="11"/>
      <c r="D86" s="1"/>
      <c r="E86" s="1"/>
      <c r="F86" s="12"/>
      <c r="G86" s="12"/>
      <c r="H86" s="52"/>
    </row>
    <row r="87" spans="1:8" ht="14.1" customHeight="1" x14ac:dyDescent="0.2">
      <c r="A87" s="1"/>
      <c r="B87" s="1"/>
      <c r="C87" s="2" t="s">
        <v>158</v>
      </c>
      <c r="D87" s="1"/>
      <c r="E87" s="1"/>
      <c r="F87" s="9">
        <v>0</v>
      </c>
      <c r="G87" s="10">
        <v>0</v>
      </c>
      <c r="H87" s="52"/>
    </row>
    <row r="88" spans="1:8" ht="14.1" customHeight="1" x14ac:dyDescent="0.2">
      <c r="A88" s="1"/>
      <c r="B88" s="1"/>
      <c r="C88" s="11"/>
      <c r="D88" s="1"/>
      <c r="E88" s="1"/>
      <c r="F88" s="12"/>
      <c r="G88" s="12"/>
      <c r="H88" s="52"/>
    </row>
    <row r="89" spans="1:8" ht="14.1" customHeight="1" x14ac:dyDescent="0.2">
      <c r="A89" s="1"/>
      <c r="B89" s="1"/>
      <c r="C89" s="2" t="s">
        <v>159</v>
      </c>
      <c r="D89" s="1"/>
      <c r="E89" s="1"/>
      <c r="F89" s="12"/>
      <c r="G89" s="12"/>
      <c r="H89" s="52"/>
    </row>
    <row r="90" spans="1:8" ht="14.1" customHeight="1" x14ac:dyDescent="0.2">
      <c r="A90" s="1"/>
      <c r="B90" s="1"/>
      <c r="C90" s="2" t="s">
        <v>160</v>
      </c>
      <c r="D90" s="1"/>
      <c r="E90" s="1"/>
      <c r="F90" s="12"/>
      <c r="G90" s="12"/>
      <c r="H90" s="52"/>
    </row>
    <row r="91" spans="1:8" ht="14.1" customHeight="1" x14ac:dyDescent="0.2">
      <c r="A91" s="1"/>
      <c r="B91" s="1"/>
      <c r="C91" s="2" t="s">
        <v>145</v>
      </c>
      <c r="D91" s="1"/>
      <c r="E91" s="1" t="s">
        <v>146</v>
      </c>
      <c r="F91" s="13" t="s">
        <v>148</v>
      </c>
      <c r="G91" s="10">
        <v>0</v>
      </c>
      <c r="H91" s="52"/>
    </row>
    <row r="92" spans="1:8" ht="14.1" customHeight="1" x14ac:dyDescent="0.2">
      <c r="A92" s="1"/>
      <c r="B92" s="1"/>
      <c r="C92" s="11"/>
      <c r="D92" s="1"/>
      <c r="E92" s="1"/>
      <c r="F92" s="12"/>
      <c r="G92" s="12"/>
      <c r="H92" s="52"/>
    </row>
    <row r="93" spans="1:8" ht="14.1" customHeight="1" x14ac:dyDescent="0.2">
      <c r="A93" s="1"/>
      <c r="B93" s="1"/>
      <c r="C93" s="2" t="s">
        <v>161</v>
      </c>
      <c r="D93" s="1"/>
      <c r="E93" s="1"/>
      <c r="F93" s="12"/>
      <c r="G93" s="12"/>
      <c r="H93" s="52"/>
    </row>
    <row r="94" spans="1:8" ht="14.1" customHeight="1" x14ac:dyDescent="0.2">
      <c r="A94" s="1"/>
      <c r="B94" s="1"/>
      <c r="C94" s="2" t="s">
        <v>145</v>
      </c>
      <c r="D94" s="1"/>
      <c r="E94" s="1" t="s">
        <v>146</v>
      </c>
      <c r="F94" s="13" t="s">
        <v>148</v>
      </c>
      <c r="G94" s="10">
        <v>0</v>
      </c>
      <c r="H94" s="52"/>
    </row>
    <row r="95" spans="1:8" ht="14.1" customHeight="1" x14ac:dyDescent="0.2">
      <c r="A95" s="1"/>
      <c r="B95" s="1"/>
      <c r="C95" s="11"/>
      <c r="D95" s="1"/>
      <c r="E95" s="1"/>
      <c r="F95" s="12"/>
      <c r="G95" s="12"/>
      <c r="H95" s="52"/>
    </row>
    <row r="96" spans="1:8" ht="14.1" customHeight="1" x14ac:dyDescent="0.2">
      <c r="A96" s="1"/>
      <c r="B96" s="1"/>
      <c r="C96" s="2" t="s">
        <v>162</v>
      </c>
      <c r="D96" s="1"/>
      <c r="E96" s="1"/>
      <c r="F96" s="12"/>
      <c r="G96" s="12"/>
      <c r="H96" s="52"/>
    </row>
    <row r="97" spans="1:8" ht="14.1" customHeight="1" x14ac:dyDescent="0.2">
      <c r="A97" s="1"/>
      <c r="B97" s="1"/>
      <c r="C97" s="2" t="s">
        <v>145</v>
      </c>
      <c r="D97" s="1"/>
      <c r="E97" s="1" t="s">
        <v>146</v>
      </c>
      <c r="F97" s="13" t="s">
        <v>148</v>
      </c>
      <c r="G97" s="10">
        <v>0</v>
      </c>
      <c r="H97" s="52"/>
    </row>
    <row r="98" spans="1:8" ht="14.1" customHeight="1" x14ac:dyDescent="0.2">
      <c r="A98" s="1"/>
      <c r="B98" s="1"/>
      <c r="C98" s="11"/>
      <c r="D98" s="1"/>
      <c r="E98" s="1"/>
      <c r="F98" s="12"/>
      <c r="G98" s="12"/>
      <c r="H98" s="52"/>
    </row>
    <row r="99" spans="1:8" ht="14.1" customHeight="1" x14ac:dyDescent="0.2">
      <c r="A99" s="1"/>
      <c r="B99" s="1"/>
      <c r="C99" s="2" t="s">
        <v>163</v>
      </c>
      <c r="D99" s="1"/>
      <c r="E99" s="1"/>
      <c r="F99" s="12"/>
      <c r="G99" s="12"/>
      <c r="H99" s="52"/>
    </row>
    <row r="100" spans="1:8" ht="17.100000000000001" customHeight="1" x14ac:dyDescent="0.2">
      <c r="A100" s="3">
        <v>1</v>
      </c>
      <c r="B100" s="4"/>
      <c r="C100" s="4" t="s">
        <v>164</v>
      </c>
      <c r="D100" s="4"/>
      <c r="E100" s="8"/>
      <c r="F100" s="6">
        <v>475.98005099800002</v>
      </c>
      <c r="G100" s="7">
        <v>6.1710639999999997E-2</v>
      </c>
      <c r="H100" s="52">
        <v>6.7567375937238596</v>
      </c>
    </row>
    <row r="101" spans="1:8" ht="14.1" customHeight="1" x14ac:dyDescent="0.2">
      <c r="A101" s="1"/>
      <c r="B101" s="1"/>
      <c r="C101" s="2" t="s">
        <v>145</v>
      </c>
      <c r="D101" s="1"/>
      <c r="E101" s="1" t="s">
        <v>146</v>
      </c>
      <c r="F101" s="9">
        <v>475.98005099800002</v>
      </c>
      <c r="G101" s="10">
        <v>6.1710639999999997E-2</v>
      </c>
      <c r="H101" s="52"/>
    </row>
    <row r="102" spans="1:8" ht="14.1" customHeight="1" x14ac:dyDescent="0.2">
      <c r="A102" s="1"/>
      <c r="B102" s="1"/>
      <c r="C102" s="11"/>
      <c r="D102" s="1"/>
      <c r="E102" s="1"/>
      <c r="F102" s="12"/>
      <c r="G102" s="12"/>
      <c r="H102" s="52"/>
    </row>
    <row r="103" spans="1:8" ht="14.1" customHeight="1" x14ac:dyDescent="0.2">
      <c r="A103" s="1"/>
      <c r="B103" s="1"/>
      <c r="C103" s="2" t="s">
        <v>165</v>
      </c>
      <c r="D103" s="1"/>
      <c r="E103" s="1"/>
      <c r="F103" s="9">
        <v>475.98005099800002</v>
      </c>
      <c r="G103" s="10">
        <v>6.1710639999999997E-2</v>
      </c>
      <c r="H103" s="52"/>
    </row>
    <row r="104" spans="1:8" ht="14.1" customHeight="1" x14ac:dyDescent="0.2">
      <c r="A104" s="1"/>
      <c r="B104" s="1"/>
      <c r="C104" s="12"/>
      <c r="D104" s="1"/>
      <c r="E104" s="1"/>
      <c r="F104" s="1"/>
      <c r="G104" s="1"/>
      <c r="H104" s="52"/>
    </row>
    <row r="105" spans="1:8" ht="14.1" customHeight="1" x14ac:dyDescent="0.2">
      <c r="A105" s="1"/>
      <c r="B105" s="1"/>
      <c r="C105" s="2" t="s">
        <v>166</v>
      </c>
      <c r="D105" s="1"/>
      <c r="E105" s="1"/>
      <c r="F105" s="1"/>
      <c r="G105" s="1"/>
      <c r="H105" s="52"/>
    </row>
    <row r="106" spans="1:8" ht="14.1" customHeight="1" x14ac:dyDescent="0.2">
      <c r="A106" s="1"/>
      <c r="B106" s="1"/>
      <c r="C106" s="2" t="s">
        <v>167</v>
      </c>
      <c r="D106" s="1"/>
      <c r="E106" s="1"/>
      <c r="F106" s="1"/>
      <c r="G106" s="1"/>
      <c r="H106" s="52"/>
    </row>
    <row r="107" spans="1:8" ht="14.1" customHeight="1" x14ac:dyDescent="0.2">
      <c r="A107" s="1"/>
      <c r="B107" s="1"/>
      <c r="C107" s="2" t="s">
        <v>145</v>
      </c>
      <c r="D107" s="1"/>
      <c r="E107" s="1" t="s">
        <v>146</v>
      </c>
      <c r="F107" s="13" t="s">
        <v>148</v>
      </c>
      <c r="G107" s="10">
        <v>0</v>
      </c>
      <c r="H107" s="52"/>
    </row>
    <row r="108" spans="1:8" ht="14.1" customHeight="1" x14ac:dyDescent="0.2">
      <c r="A108" s="1"/>
      <c r="B108" s="1"/>
      <c r="C108" s="11"/>
      <c r="D108" s="1"/>
      <c r="E108" s="1"/>
      <c r="F108" s="12"/>
      <c r="G108" s="12"/>
      <c r="H108" s="52"/>
    </row>
    <row r="109" spans="1:8" ht="14.1" customHeight="1" x14ac:dyDescent="0.2">
      <c r="A109" s="1"/>
      <c r="B109" s="1"/>
      <c r="C109" s="2" t="s">
        <v>168</v>
      </c>
      <c r="D109" s="1"/>
      <c r="E109" s="1"/>
      <c r="F109" s="1"/>
      <c r="G109" s="1"/>
      <c r="H109" s="52"/>
    </row>
    <row r="110" spans="1:8" ht="14.1" customHeight="1" x14ac:dyDescent="0.2">
      <c r="A110" s="1"/>
      <c r="B110" s="1"/>
      <c r="C110" s="2" t="s">
        <v>169</v>
      </c>
      <c r="D110" s="1"/>
      <c r="E110" s="1"/>
      <c r="F110" s="1"/>
      <c r="G110" s="1"/>
      <c r="H110" s="52"/>
    </row>
    <row r="111" spans="1:8" ht="14.1" customHeight="1" x14ac:dyDescent="0.2">
      <c r="A111" s="1"/>
      <c r="B111" s="1"/>
      <c r="C111" s="2" t="s">
        <v>145</v>
      </c>
      <c r="D111" s="1"/>
      <c r="E111" s="1" t="s">
        <v>146</v>
      </c>
      <c r="F111" s="13" t="s">
        <v>148</v>
      </c>
      <c r="G111" s="10">
        <v>0</v>
      </c>
      <c r="H111" s="52"/>
    </row>
    <row r="112" spans="1:8" ht="14.1" customHeight="1" x14ac:dyDescent="0.2">
      <c r="A112" s="1"/>
      <c r="B112" s="1"/>
      <c r="C112" s="11"/>
      <c r="D112" s="1"/>
      <c r="E112" s="1"/>
      <c r="F112" s="12"/>
      <c r="G112" s="12"/>
      <c r="H112" s="52"/>
    </row>
    <row r="113" spans="1:8" ht="24" customHeight="1" x14ac:dyDescent="0.2">
      <c r="A113" s="1"/>
      <c r="B113" s="1"/>
      <c r="C113" s="2" t="s">
        <v>170</v>
      </c>
      <c r="D113" s="1"/>
      <c r="E113" s="1"/>
      <c r="F113" s="12"/>
      <c r="G113" s="12"/>
      <c r="H113" s="52"/>
    </row>
    <row r="114" spans="1:8" ht="14.1" customHeight="1" x14ac:dyDescent="0.2">
      <c r="A114" s="1"/>
      <c r="B114" s="1"/>
      <c r="C114" s="2" t="s">
        <v>145</v>
      </c>
      <c r="D114" s="1"/>
      <c r="E114" s="1" t="s">
        <v>146</v>
      </c>
      <c r="F114" s="13" t="s">
        <v>148</v>
      </c>
      <c r="G114" s="10">
        <v>0</v>
      </c>
      <c r="H114" s="52"/>
    </row>
    <row r="115" spans="1:8" ht="14.1" customHeight="1" x14ac:dyDescent="0.2">
      <c r="A115" s="1"/>
      <c r="B115" s="1"/>
      <c r="C115" s="11"/>
      <c r="D115" s="1"/>
      <c r="E115" s="1"/>
      <c r="F115" s="12"/>
      <c r="G115" s="12"/>
      <c r="H115" s="52"/>
    </row>
    <row r="116" spans="1:8" ht="14.1" customHeight="1" x14ac:dyDescent="0.2">
      <c r="A116" s="1"/>
      <c r="B116" s="4"/>
      <c r="C116" s="4"/>
      <c r="D116" s="2"/>
      <c r="E116" s="1"/>
      <c r="F116" s="4"/>
      <c r="G116" s="8"/>
      <c r="H116" s="52"/>
    </row>
    <row r="117" spans="1:8" ht="18" customHeight="1" x14ac:dyDescent="0.2">
      <c r="A117" s="8"/>
      <c r="B117" s="4"/>
      <c r="C117" s="4" t="s">
        <v>171</v>
      </c>
      <c r="D117" s="4"/>
      <c r="E117" s="8"/>
      <c r="F117" s="6">
        <v>-9.6649421199999992</v>
      </c>
      <c r="G117" s="7">
        <v>-1.2530600000000001E-3</v>
      </c>
      <c r="H117" s="52"/>
    </row>
    <row r="118" spans="1:8" ht="14.1" customHeight="1" x14ac:dyDescent="0.2">
      <c r="A118" s="11"/>
      <c r="B118" s="11"/>
      <c r="C118" s="2" t="s">
        <v>172</v>
      </c>
      <c r="D118" s="12"/>
      <c r="E118" s="12"/>
      <c r="F118" s="9">
        <v>7713.0958625080002</v>
      </c>
      <c r="G118" s="14">
        <v>1.0000000499999999</v>
      </c>
      <c r="H118" s="52"/>
    </row>
    <row r="119" spans="1:8" ht="14.1" customHeight="1" x14ac:dyDescent="0.2">
      <c r="A119" s="15"/>
      <c r="B119" s="15"/>
      <c r="C119" s="15"/>
      <c r="D119" s="16"/>
      <c r="E119" s="16"/>
      <c r="F119" s="16"/>
      <c r="G119" s="16"/>
    </row>
    <row r="120" spans="1:8" ht="14.1" customHeight="1" x14ac:dyDescent="0.2">
      <c r="A120" s="42"/>
      <c r="B120" s="125" t="s">
        <v>988</v>
      </c>
      <c r="C120" s="125"/>
      <c r="D120" s="125"/>
      <c r="E120" s="125"/>
      <c r="F120" s="125"/>
      <c r="G120" s="43"/>
    </row>
    <row r="121" spans="1:8" ht="17.100000000000001" customHeight="1" x14ac:dyDescent="0.2">
      <c r="A121" s="17"/>
      <c r="B121" s="126" t="s">
        <v>173</v>
      </c>
      <c r="C121" s="126"/>
      <c r="D121" s="126"/>
      <c r="E121" s="126"/>
      <c r="F121" s="126"/>
      <c r="G121" s="19"/>
    </row>
    <row r="122" spans="1:8" ht="14.1" customHeight="1" x14ac:dyDescent="0.2">
      <c r="A122" s="17"/>
      <c r="B122" s="17"/>
      <c r="C122" s="17"/>
      <c r="D122" s="19"/>
      <c r="E122" s="19"/>
      <c r="F122" s="19"/>
      <c r="G122" s="19"/>
    </row>
    <row r="123" spans="1:8" ht="14.1" customHeight="1" x14ac:dyDescent="0.2">
      <c r="A123" s="17"/>
      <c r="B123" s="127" t="s">
        <v>174</v>
      </c>
      <c r="C123" s="128"/>
      <c r="D123" s="129"/>
      <c r="E123" s="20"/>
      <c r="F123" s="19"/>
      <c r="G123" s="19"/>
    </row>
    <row r="124" spans="1:8" ht="29.1" customHeight="1" x14ac:dyDescent="0.2">
      <c r="A124" s="17"/>
      <c r="B124" s="121" t="s">
        <v>175</v>
      </c>
      <c r="C124" s="122"/>
      <c r="D124" s="2" t="s">
        <v>176</v>
      </c>
      <c r="E124" s="20"/>
      <c r="F124" s="19"/>
      <c r="G124" s="19"/>
    </row>
    <row r="125" spans="1:8" ht="17.100000000000001" customHeight="1" x14ac:dyDescent="0.2">
      <c r="A125" s="17"/>
      <c r="B125" s="123" t="s">
        <v>953</v>
      </c>
      <c r="C125" s="124"/>
      <c r="D125" s="40" t="s">
        <v>954</v>
      </c>
      <c r="E125" s="20"/>
      <c r="F125" s="19"/>
      <c r="G125" s="19"/>
    </row>
    <row r="126" spans="1:8" ht="17.100000000000001" customHeight="1" x14ac:dyDescent="0.2">
      <c r="A126" s="17"/>
      <c r="B126" s="121" t="s">
        <v>178</v>
      </c>
      <c r="C126" s="122"/>
      <c r="D126" s="12" t="s">
        <v>146</v>
      </c>
      <c r="E126" s="20"/>
      <c r="F126" s="19"/>
      <c r="G126" s="19"/>
    </row>
    <row r="127" spans="1:8" ht="24" customHeight="1" x14ac:dyDescent="0.2">
      <c r="A127" s="21"/>
      <c r="B127" s="22" t="s">
        <v>146</v>
      </c>
      <c r="C127" s="22" t="s">
        <v>179</v>
      </c>
      <c r="D127" s="22" t="s">
        <v>180</v>
      </c>
      <c r="E127" s="21"/>
      <c r="F127" s="21"/>
      <c r="G127" s="21"/>
    </row>
    <row r="128" spans="1:8" ht="18" customHeight="1" x14ac:dyDescent="0.2">
      <c r="A128" s="21"/>
      <c r="B128" s="23" t="s">
        <v>181</v>
      </c>
      <c r="C128" s="22" t="s">
        <v>182</v>
      </c>
      <c r="D128" s="22" t="s">
        <v>183</v>
      </c>
      <c r="E128" s="21"/>
      <c r="F128" s="21"/>
      <c r="G128" s="21"/>
    </row>
    <row r="129" spans="1:7" ht="17.100000000000001" customHeight="1" x14ac:dyDescent="0.2">
      <c r="A129" s="21"/>
      <c r="B129" s="4" t="s">
        <v>184</v>
      </c>
      <c r="C129" s="24">
        <v>26.238700000000001</v>
      </c>
      <c r="D129" s="24">
        <v>26.213999999999999</v>
      </c>
      <c r="E129" s="21"/>
      <c r="F129" s="18"/>
      <c r="G129" s="25"/>
    </row>
    <row r="130" spans="1:7" ht="17.100000000000001" customHeight="1" x14ac:dyDescent="0.2">
      <c r="A130" s="21"/>
      <c r="B130" s="4" t="s">
        <v>1039</v>
      </c>
      <c r="C130" s="24">
        <v>24.1677</v>
      </c>
      <c r="D130" s="24">
        <v>24.1449</v>
      </c>
      <c r="E130" s="21"/>
      <c r="F130" s="18"/>
      <c r="G130" s="25"/>
    </row>
    <row r="131" spans="1:7" ht="17.100000000000001" customHeight="1" x14ac:dyDescent="0.2">
      <c r="A131" s="21"/>
      <c r="B131" s="4" t="s">
        <v>185</v>
      </c>
      <c r="C131" s="24">
        <v>25.564</v>
      </c>
      <c r="D131" s="24">
        <v>25.536100000000001</v>
      </c>
      <c r="E131" s="21"/>
      <c r="F131" s="18"/>
      <c r="G131" s="25"/>
    </row>
    <row r="132" spans="1:7" ht="17.100000000000001" customHeight="1" x14ac:dyDescent="0.2">
      <c r="A132" s="21"/>
      <c r="B132" s="4" t="s">
        <v>1040</v>
      </c>
      <c r="C132" s="24">
        <v>23.5243</v>
      </c>
      <c r="D132" s="24">
        <v>23.4985</v>
      </c>
      <c r="E132" s="21"/>
      <c r="F132" s="18"/>
      <c r="G132" s="25"/>
    </row>
    <row r="133" spans="1:7" ht="14.1" customHeight="1" x14ac:dyDescent="0.2">
      <c r="A133" s="21"/>
      <c r="B133" s="21"/>
      <c r="C133" s="21"/>
      <c r="D133" s="21"/>
      <c r="E133" s="21"/>
      <c r="F133" s="21"/>
      <c r="G133" s="21"/>
    </row>
    <row r="134" spans="1:7" ht="17.100000000000001" customHeight="1" x14ac:dyDescent="0.2">
      <c r="A134" s="21"/>
      <c r="B134" s="121" t="s">
        <v>1041</v>
      </c>
      <c r="C134" s="122"/>
      <c r="D134" s="2" t="s">
        <v>176</v>
      </c>
      <c r="E134" s="21"/>
      <c r="F134" s="21"/>
      <c r="G134" s="21"/>
    </row>
    <row r="135" spans="1:7" ht="18" customHeight="1" x14ac:dyDescent="0.2">
      <c r="A135" s="21"/>
      <c r="B135" s="26"/>
      <c r="C135" s="26"/>
      <c r="D135" s="26"/>
      <c r="E135" s="21"/>
      <c r="F135" s="21"/>
      <c r="G135" s="21"/>
    </row>
    <row r="136" spans="1:7" ht="29.1" customHeight="1" x14ac:dyDescent="0.2">
      <c r="A136" s="21"/>
      <c r="B136" s="121" t="s">
        <v>186</v>
      </c>
      <c r="C136" s="122"/>
      <c r="D136" s="2" t="s">
        <v>176</v>
      </c>
      <c r="E136" s="27"/>
      <c r="F136" s="21"/>
      <c r="G136" s="21"/>
    </row>
    <row r="137" spans="1:7" ht="29.1" customHeight="1" x14ac:dyDescent="0.2">
      <c r="A137" s="21"/>
      <c r="B137" s="121" t="s">
        <v>187</v>
      </c>
      <c r="C137" s="122"/>
      <c r="D137" s="2" t="s">
        <v>176</v>
      </c>
      <c r="E137" s="27"/>
      <c r="F137" s="21"/>
      <c r="G137" s="21"/>
    </row>
    <row r="138" spans="1:7" ht="17.100000000000001" customHeight="1" x14ac:dyDescent="0.2">
      <c r="A138" s="21"/>
      <c r="B138" s="121" t="s">
        <v>188</v>
      </c>
      <c r="C138" s="122"/>
      <c r="D138" s="2" t="s">
        <v>176</v>
      </c>
      <c r="E138" s="27"/>
      <c r="F138" s="21"/>
      <c r="G138" s="21"/>
    </row>
    <row r="139" spans="1:7" ht="17.100000000000001" customHeight="1" x14ac:dyDescent="0.2">
      <c r="A139" s="21"/>
      <c r="B139" s="121" t="s">
        <v>189</v>
      </c>
      <c r="C139" s="122"/>
      <c r="D139" s="50">
        <v>7.5911693055006321E-2</v>
      </c>
      <c r="E139" s="21"/>
      <c r="F139" s="18"/>
      <c r="G139" s="25"/>
    </row>
    <row r="157" spans="10:14" x14ac:dyDescent="0.2">
      <c r="J157" s="104"/>
      <c r="K157" s="104"/>
      <c r="L157" s="104"/>
      <c r="M157" s="104"/>
      <c r="N157" s="104"/>
    </row>
  </sheetData>
  <mergeCells count="15">
    <mergeCell ref="A1:H1"/>
    <mergeCell ref="A2:H2"/>
    <mergeCell ref="A3:H3"/>
    <mergeCell ref="J2:N2"/>
    <mergeCell ref="B139:C139"/>
    <mergeCell ref="B125:C125"/>
    <mergeCell ref="B126:C126"/>
    <mergeCell ref="B134:C134"/>
    <mergeCell ref="B136:C136"/>
    <mergeCell ref="B137:C137"/>
    <mergeCell ref="B138:C138"/>
    <mergeCell ref="B124:C124"/>
    <mergeCell ref="B121:F121"/>
    <mergeCell ref="B123:D123"/>
    <mergeCell ref="B120:F120"/>
  </mergeCells>
  <hyperlinks>
    <hyperlink ref="I1" location="Index!B10" display="Index" xr:uid="{9121EA3C-4548-49E6-A7AD-F66E9D73DAC0}"/>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O156"/>
  <sheetViews>
    <sheetView showGridLines="0" workbookViewId="0">
      <selection activeCell="I1" sqref="I1"/>
    </sheetView>
  </sheetViews>
  <sheetFormatPr defaultRowHeight="12.75" x14ac:dyDescent="0.2"/>
  <cols>
    <col min="1" max="1" width="6.85546875" customWidth="1"/>
    <col min="2" max="2" width="20.5703125" customWidth="1"/>
    <col min="3" max="3" width="35.7109375" customWidth="1"/>
    <col min="4" max="4" width="17.85546875" customWidth="1"/>
    <col min="5" max="6" width="19.140625" customWidth="1"/>
    <col min="7" max="7" width="16.42578125" customWidth="1"/>
  </cols>
  <sheetData>
    <row r="1" spans="1:15" ht="18" customHeight="1" x14ac:dyDescent="0.2">
      <c r="A1" s="116" t="s">
        <v>0</v>
      </c>
      <c r="B1" s="116"/>
      <c r="C1" s="116"/>
      <c r="D1" s="116"/>
      <c r="E1" s="116"/>
      <c r="F1" s="116"/>
      <c r="G1" s="116"/>
      <c r="H1" s="116"/>
      <c r="I1" s="98" t="s">
        <v>1053</v>
      </c>
    </row>
    <row r="2" spans="1:15" ht="17.100000000000001" customHeight="1" x14ac:dyDescent="0.2">
      <c r="A2" s="117" t="s">
        <v>493</v>
      </c>
      <c r="B2" s="118"/>
      <c r="C2" s="118"/>
      <c r="D2" s="118"/>
      <c r="E2" s="118"/>
      <c r="F2" s="118"/>
      <c r="G2" s="118"/>
      <c r="H2" s="119"/>
      <c r="J2" s="120" t="s">
        <v>1054</v>
      </c>
      <c r="K2" s="120"/>
      <c r="L2" s="120"/>
      <c r="M2" s="120"/>
      <c r="N2" s="120"/>
    </row>
    <row r="3" spans="1:15" ht="21" customHeight="1" x14ac:dyDescent="0.2">
      <c r="A3" s="116" t="s">
        <v>1049</v>
      </c>
      <c r="B3" s="116"/>
      <c r="C3" s="116"/>
      <c r="D3" s="116"/>
      <c r="E3" s="116"/>
      <c r="F3" s="116"/>
      <c r="G3" s="116"/>
      <c r="H3" s="116"/>
    </row>
    <row r="4" spans="1:15" ht="30" x14ac:dyDescent="0.2">
      <c r="A4" s="96" t="s">
        <v>2</v>
      </c>
      <c r="B4" s="96" t="s">
        <v>3</v>
      </c>
      <c r="C4" s="96" t="s">
        <v>4</v>
      </c>
      <c r="D4" s="96" t="s">
        <v>5</v>
      </c>
      <c r="E4" s="96" t="s">
        <v>6</v>
      </c>
      <c r="F4" s="96" t="s">
        <v>7</v>
      </c>
      <c r="G4" s="96" t="s">
        <v>8</v>
      </c>
      <c r="H4" s="51" t="s">
        <v>1002</v>
      </c>
      <c r="I4" s="99"/>
      <c r="J4" s="99"/>
      <c r="K4" s="99"/>
      <c r="L4" s="99"/>
      <c r="M4" s="99"/>
      <c r="N4" s="99"/>
      <c r="O4" s="99"/>
    </row>
    <row r="5" spans="1:15" ht="14.1" customHeight="1" x14ac:dyDescent="0.2">
      <c r="A5" s="1"/>
      <c r="B5" s="1"/>
      <c r="C5" s="2" t="s">
        <v>9</v>
      </c>
      <c r="D5" s="1"/>
      <c r="E5" s="1"/>
      <c r="F5" s="1"/>
      <c r="G5" s="1"/>
      <c r="H5" s="52"/>
    </row>
    <row r="6" spans="1:15" ht="24" customHeight="1" x14ac:dyDescent="0.2">
      <c r="A6" s="1"/>
      <c r="B6" s="1"/>
      <c r="C6" s="2" t="s">
        <v>10</v>
      </c>
      <c r="D6" s="1"/>
      <c r="E6" s="1"/>
      <c r="F6" s="1"/>
      <c r="G6" s="1"/>
      <c r="H6" s="52"/>
    </row>
    <row r="7" spans="1:15" ht="17.100000000000001" customHeight="1" x14ac:dyDescent="0.2">
      <c r="A7" s="3">
        <v>1</v>
      </c>
      <c r="B7" s="4" t="s">
        <v>397</v>
      </c>
      <c r="C7" s="4" t="s">
        <v>398</v>
      </c>
      <c r="D7" s="4" t="s">
        <v>60</v>
      </c>
      <c r="E7" s="5">
        <v>5646</v>
      </c>
      <c r="F7" s="6">
        <v>233.41128599999999</v>
      </c>
      <c r="G7" s="7">
        <v>6.1556880000000001E-2</v>
      </c>
      <c r="H7" s="52"/>
    </row>
    <row r="8" spans="1:15" ht="17.100000000000001" customHeight="1" x14ac:dyDescent="0.2">
      <c r="A8" s="3">
        <v>2</v>
      </c>
      <c r="B8" s="4" t="s">
        <v>405</v>
      </c>
      <c r="C8" s="4" t="s">
        <v>406</v>
      </c>
      <c r="D8" s="4" t="s">
        <v>357</v>
      </c>
      <c r="E8" s="5">
        <v>7740</v>
      </c>
      <c r="F8" s="6">
        <v>199.84293</v>
      </c>
      <c r="G8" s="7">
        <v>5.2704000000000001E-2</v>
      </c>
      <c r="H8" s="52"/>
    </row>
    <row r="9" spans="1:15" ht="17.100000000000001" customHeight="1" x14ac:dyDescent="0.2">
      <c r="A9" s="3">
        <v>3</v>
      </c>
      <c r="B9" s="4" t="s">
        <v>399</v>
      </c>
      <c r="C9" s="4" t="s">
        <v>400</v>
      </c>
      <c r="D9" s="4" t="s">
        <v>28</v>
      </c>
      <c r="E9" s="5">
        <v>205102</v>
      </c>
      <c r="F9" s="6">
        <v>190.23210499999999</v>
      </c>
      <c r="G9" s="7">
        <v>5.0169360000000003E-2</v>
      </c>
      <c r="H9" s="52"/>
    </row>
    <row r="10" spans="1:15" ht="17.100000000000001" customHeight="1" x14ac:dyDescent="0.2">
      <c r="A10" s="3">
        <v>4</v>
      </c>
      <c r="B10" s="4" t="s">
        <v>32</v>
      </c>
      <c r="C10" s="4" t="s">
        <v>33</v>
      </c>
      <c r="D10" s="4" t="s">
        <v>31</v>
      </c>
      <c r="E10" s="5">
        <v>5766</v>
      </c>
      <c r="F10" s="6">
        <v>176.531856</v>
      </c>
      <c r="G10" s="7">
        <v>4.6556239999999999E-2</v>
      </c>
      <c r="H10" s="52"/>
    </row>
    <row r="11" spans="1:15" ht="17.100000000000001" customHeight="1" x14ac:dyDescent="0.2">
      <c r="A11" s="3">
        <v>5</v>
      </c>
      <c r="B11" s="4" t="s">
        <v>48</v>
      </c>
      <c r="C11" s="4" t="s">
        <v>49</v>
      </c>
      <c r="D11" s="4" t="s">
        <v>31</v>
      </c>
      <c r="E11" s="5">
        <v>6789</v>
      </c>
      <c r="F11" s="6">
        <v>163.09893600000001</v>
      </c>
      <c r="G11" s="7">
        <v>4.3013610000000001E-2</v>
      </c>
      <c r="H11" s="52"/>
    </row>
    <row r="12" spans="1:15" ht="17.100000000000001" customHeight="1" x14ac:dyDescent="0.2">
      <c r="A12" s="3">
        <v>6</v>
      </c>
      <c r="B12" s="4" t="s">
        <v>125</v>
      </c>
      <c r="C12" s="4" t="s">
        <v>126</v>
      </c>
      <c r="D12" s="4" t="s">
        <v>60</v>
      </c>
      <c r="E12" s="5">
        <v>43069</v>
      </c>
      <c r="F12" s="6">
        <v>152.4857945</v>
      </c>
      <c r="G12" s="7">
        <v>4.0214640000000003E-2</v>
      </c>
      <c r="H12" s="52"/>
    </row>
    <row r="13" spans="1:15" ht="17.100000000000001" customHeight="1" x14ac:dyDescent="0.2">
      <c r="A13" s="3">
        <v>7</v>
      </c>
      <c r="B13" s="4" t="s">
        <v>409</v>
      </c>
      <c r="C13" s="4" t="s">
        <v>410</v>
      </c>
      <c r="D13" s="4" t="s">
        <v>205</v>
      </c>
      <c r="E13" s="5">
        <v>35324</v>
      </c>
      <c r="F13" s="6">
        <v>130.85775799999999</v>
      </c>
      <c r="G13" s="7">
        <v>3.4510739999999998E-2</v>
      </c>
      <c r="H13" s="52"/>
    </row>
    <row r="14" spans="1:15" ht="17.100000000000001" customHeight="1" x14ac:dyDescent="0.2">
      <c r="A14" s="3">
        <v>8</v>
      </c>
      <c r="B14" s="4" t="s">
        <v>98</v>
      </c>
      <c r="C14" s="4" t="s">
        <v>99</v>
      </c>
      <c r="D14" s="4" t="s">
        <v>93</v>
      </c>
      <c r="E14" s="5">
        <v>18429</v>
      </c>
      <c r="F14" s="6">
        <v>113.42128049999999</v>
      </c>
      <c r="G14" s="7">
        <v>2.9912270000000001E-2</v>
      </c>
      <c r="H14" s="52"/>
      <c r="J14" s="101" t="s">
        <v>1065</v>
      </c>
    </row>
    <row r="15" spans="1:15" ht="17.100000000000001" customHeight="1" x14ac:dyDescent="0.2">
      <c r="A15" s="3">
        <v>9</v>
      </c>
      <c r="B15" s="4" t="s">
        <v>355</v>
      </c>
      <c r="C15" s="4" t="s">
        <v>356</v>
      </c>
      <c r="D15" s="4" t="s">
        <v>357</v>
      </c>
      <c r="E15" s="5">
        <v>4793</v>
      </c>
      <c r="F15" s="6">
        <v>111.720037</v>
      </c>
      <c r="G15" s="7">
        <v>2.94636E-2</v>
      </c>
      <c r="H15" s="52"/>
    </row>
    <row r="16" spans="1:15" ht="17.100000000000001" customHeight="1" x14ac:dyDescent="0.2">
      <c r="A16" s="3">
        <v>10</v>
      </c>
      <c r="B16" s="4" t="s">
        <v>46</v>
      </c>
      <c r="C16" s="4" t="s">
        <v>47</v>
      </c>
      <c r="D16" s="4" t="s">
        <v>31</v>
      </c>
      <c r="E16" s="5">
        <v>4869</v>
      </c>
      <c r="F16" s="6">
        <v>104.410836</v>
      </c>
      <c r="G16" s="7">
        <v>2.753597E-2</v>
      </c>
      <c r="H16" s="52"/>
    </row>
    <row r="17" spans="1:8" ht="17.100000000000001" customHeight="1" x14ac:dyDescent="0.2">
      <c r="A17" s="3">
        <v>11</v>
      </c>
      <c r="B17" s="4" t="s">
        <v>279</v>
      </c>
      <c r="C17" s="4" t="s">
        <v>280</v>
      </c>
      <c r="D17" s="4" t="s">
        <v>888</v>
      </c>
      <c r="E17" s="5">
        <v>8295</v>
      </c>
      <c r="F17" s="6">
        <v>100.9957725</v>
      </c>
      <c r="G17" s="7">
        <v>2.6635320000000001E-2</v>
      </c>
      <c r="H17" s="52"/>
    </row>
    <row r="18" spans="1:8" ht="17.100000000000001" customHeight="1" x14ac:dyDescent="0.2">
      <c r="A18" s="3">
        <v>12</v>
      </c>
      <c r="B18" s="4" t="s">
        <v>411</v>
      </c>
      <c r="C18" s="4" t="s">
        <v>412</v>
      </c>
      <c r="D18" s="4" t="s">
        <v>70</v>
      </c>
      <c r="E18" s="5">
        <v>12457</v>
      </c>
      <c r="F18" s="6">
        <v>95.102966499999994</v>
      </c>
      <c r="G18" s="7">
        <v>2.5081229999999999E-2</v>
      </c>
      <c r="H18" s="52"/>
    </row>
    <row r="19" spans="1:8" ht="17.100000000000001" customHeight="1" x14ac:dyDescent="0.2">
      <c r="A19" s="3">
        <v>13</v>
      </c>
      <c r="B19" s="4" t="s">
        <v>401</v>
      </c>
      <c r="C19" s="4" t="s">
        <v>402</v>
      </c>
      <c r="D19" s="4" t="s">
        <v>259</v>
      </c>
      <c r="E19" s="5">
        <v>5434</v>
      </c>
      <c r="F19" s="6">
        <v>86.848905000000002</v>
      </c>
      <c r="G19" s="7">
        <v>2.290441E-2</v>
      </c>
      <c r="H19" s="52"/>
    </row>
    <row r="20" spans="1:8" ht="29.1" customHeight="1" x14ac:dyDescent="0.2">
      <c r="A20" s="3">
        <v>14</v>
      </c>
      <c r="B20" s="4" t="s">
        <v>214</v>
      </c>
      <c r="C20" s="4" t="s">
        <v>215</v>
      </c>
      <c r="D20" s="4" t="s">
        <v>216</v>
      </c>
      <c r="E20" s="5">
        <v>2356</v>
      </c>
      <c r="F20" s="6">
        <v>81.005170000000007</v>
      </c>
      <c r="G20" s="7">
        <v>2.1363259999999999E-2</v>
      </c>
      <c r="H20" s="52"/>
    </row>
    <row r="21" spans="1:8" ht="17.100000000000001" customHeight="1" x14ac:dyDescent="0.2">
      <c r="A21" s="3">
        <v>15</v>
      </c>
      <c r="B21" s="4" t="s">
        <v>423</v>
      </c>
      <c r="C21" s="4" t="s">
        <v>424</v>
      </c>
      <c r="D21" s="4" t="s">
        <v>242</v>
      </c>
      <c r="E21" s="5">
        <v>35822</v>
      </c>
      <c r="F21" s="6">
        <v>80.312923999999995</v>
      </c>
      <c r="G21" s="7">
        <v>2.11807E-2</v>
      </c>
      <c r="H21" s="52"/>
    </row>
    <row r="22" spans="1:8" ht="17.100000000000001" customHeight="1" x14ac:dyDescent="0.2">
      <c r="A22" s="3">
        <v>16</v>
      </c>
      <c r="B22" s="4" t="s">
        <v>417</v>
      </c>
      <c r="C22" s="4" t="s">
        <v>418</v>
      </c>
      <c r="D22" s="4" t="s">
        <v>231</v>
      </c>
      <c r="E22" s="5">
        <v>6161</v>
      </c>
      <c r="F22" s="6">
        <v>79.8126745</v>
      </c>
      <c r="G22" s="7">
        <v>2.1048770000000001E-2</v>
      </c>
      <c r="H22" s="52"/>
    </row>
    <row r="23" spans="1:8" ht="29.1" customHeight="1" x14ac:dyDescent="0.2">
      <c r="A23" s="3">
        <v>17</v>
      </c>
      <c r="B23" s="4" t="s">
        <v>431</v>
      </c>
      <c r="C23" s="4" t="s">
        <v>432</v>
      </c>
      <c r="D23" s="4" t="s">
        <v>57</v>
      </c>
      <c r="E23" s="5">
        <v>3181</v>
      </c>
      <c r="F23" s="6">
        <v>79.057393000000005</v>
      </c>
      <c r="G23" s="7">
        <v>2.084958E-2</v>
      </c>
      <c r="H23" s="52"/>
    </row>
    <row r="24" spans="1:8" ht="29.1" customHeight="1" x14ac:dyDescent="0.2">
      <c r="A24" s="3">
        <v>18</v>
      </c>
      <c r="B24" s="4" t="s">
        <v>115</v>
      </c>
      <c r="C24" s="4" t="s">
        <v>116</v>
      </c>
      <c r="D24" s="4" t="s">
        <v>25</v>
      </c>
      <c r="E24" s="5">
        <v>2480</v>
      </c>
      <c r="F24" s="6">
        <v>78.219200000000001</v>
      </c>
      <c r="G24" s="7">
        <v>2.0628520000000001E-2</v>
      </c>
      <c r="H24" s="52"/>
    </row>
    <row r="25" spans="1:8" ht="29.1" customHeight="1" x14ac:dyDescent="0.2">
      <c r="A25" s="3">
        <v>19</v>
      </c>
      <c r="B25" s="4" t="s">
        <v>119</v>
      </c>
      <c r="C25" s="4" t="s">
        <v>120</v>
      </c>
      <c r="D25" s="4" t="s">
        <v>36</v>
      </c>
      <c r="E25" s="5">
        <v>3088</v>
      </c>
      <c r="F25" s="6">
        <v>75.311688000000004</v>
      </c>
      <c r="G25" s="7">
        <v>1.9861730000000001E-2</v>
      </c>
      <c r="H25" s="52"/>
    </row>
    <row r="26" spans="1:8" ht="17.100000000000001" customHeight="1" x14ac:dyDescent="0.2">
      <c r="A26" s="3">
        <v>20</v>
      </c>
      <c r="B26" s="4" t="s">
        <v>433</v>
      </c>
      <c r="C26" s="4" t="s">
        <v>434</v>
      </c>
      <c r="D26" s="4" t="s">
        <v>60</v>
      </c>
      <c r="E26" s="5">
        <v>11837</v>
      </c>
      <c r="F26" s="6">
        <v>73.259192999999996</v>
      </c>
      <c r="G26" s="7">
        <v>1.9320440000000001E-2</v>
      </c>
      <c r="H26" s="52"/>
    </row>
    <row r="27" spans="1:8" ht="17.100000000000001" customHeight="1" x14ac:dyDescent="0.2">
      <c r="A27" s="3">
        <v>21</v>
      </c>
      <c r="B27" s="4" t="s">
        <v>425</v>
      </c>
      <c r="C27" s="4" t="s">
        <v>426</v>
      </c>
      <c r="D27" s="4" t="s">
        <v>231</v>
      </c>
      <c r="E27" s="5">
        <v>9165</v>
      </c>
      <c r="F27" s="6">
        <v>72.733440000000002</v>
      </c>
      <c r="G27" s="7">
        <v>1.9181779999999999E-2</v>
      </c>
      <c r="H27" s="52"/>
    </row>
    <row r="28" spans="1:8" ht="17.100000000000001" customHeight="1" x14ac:dyDescent="0.2">
      <c r="A28" s="3">
        <v>22</v>
      </c>
      <c r="B28" s="4" t="s">
        <v>448</v>
      </c>
      <c r="C28" s="4" t="s">
        <v>449</v>
      </c>
      <c r="D28" s="4" t="s">
        <v>231</v>
      </c>
      <c r="E28" s="5">
        <v>31256</v>
      </c>
      <c r="F28" s="6">
        <v>71.232423999999995</v>
      </c>
      <c r="G28" s="7">
        <v>1.8785920000000001E-2</v>
      </c>
      <c r="H28" s="52"/>
    </row>
    <row r="29" spans="1:8" ht="17.100000000000001" customHeight="1" x14ac:dyDescent="0.2">
      <c r="A29" s="3">
        <v>23</v>
      </c>
      <c r="B29" s="4" t="s">
        <v>419</v>
      </c>
      <c r="C29" s="4" t="s">
        <v>420</v>
      </c>
      <c r="D29" s="4" t="s">
        <v>70</v>
      </c>
      <c r="E29" s="5">
        <v>60160</v>
      </c>
      <c r="F29" s="6">
        <v>68.883200000000002</v>
      </c>
      <c r="G29" s="7">
        <v>1.8166370000000001E-2</v>
      </c>
      <c r="H29" s="52"/>
    </row>
    <row r="30" spans="1:8" ht="17.100000000000001" customHeight="1" x14ac:dyDescent="0.2">
      <c r="A30" s="3">
        <v>24</v>
      </c>
      <c r="B30" s="4" t="s">
        <v>407</v>
      </c>
      <c r="C30" s="4" t="s">
        <v>408</v>
      </c>
      <c r="D30" s="4" t="s">
        <v>13</v>
      </c>
      <c r="E30" s="5">
        <v>50158</v>
      </c>
      <c r="F30" s="6">
        <v>65.180321000000006</v>
      </c>
      <c r="G30" s="7">
        <v>1.7189820000000001E-2</v>
      </c>
      <c r="H30" s="52"/>
    </row>
    <row r="31" spans="1:8" ht="17.100000000000001" customHeight="1" x14ac:dyDescent="0.2">
      <c r="A31" s="3">
        <v>25</v>
      </c>
      <c r="B31" s="4" t="s">
        <v>442</v>
      </c>
      <c r="C31" s="4" t="s">
        <v>443</v>
      </c>
      <c r="D31" s="4" t="s">
        <v>70</v>
      </c>
      <c r="E31" s="5">
        <v>7127</v>
      </c>
      <c r="F31" s="6">
        <v>64.303357500000004</v>
      </c>
      <c r="G31" s="7">
        <v>1.6958540000000001E-2</v>
      </c>
      <c r="H31" s="52"/>
    </row>
    <row r="32" spans="1:8" ht="17.100000000000001" customHeight="1" x14ac:dyDescent="0.2">
      <c r="A32" s="3">
        <v>26</v>
      </c>
      <c r="B32" s="4" t="s">
        <v>421</v>
      </c>
      <c r="C32" s="4" t="s">
        <v>422</v>
      </c>
      <c r="D32" s="4" t="s">
        <v>60</v>
      </c>
      <c r="E32" s="5">
        <v>5528</v>
      </c>
      <c r="F32" s="6">
        <v>60.000912</v>
      </c>
      <c r="G32" s="7">
        <v>1.582387E-2</v>
      </c>
      <c r="H32" s="52"/>
    </row>
    <row r="33" spans="1:8" ht="17.100000000000001" customHeight="1" x14ac:dyDescent="0.2">
      <c r="A33" s="3">
        <v>27</v>
      </c>
      <c r="B33" s="4" t="s">
        <v>484</v>
      </c>
      <c r="C33" s="4" t="s">
        <v>485</v>
      </c>
      <c r="D33" s="4" t="s">
        <v>13</v>
      </c>
      <c r="E33" s="5">
        <v>8885</v>
      </c>
      <c r="F33" s="6">
        <v>58.916435</v>
      </c>
      <c r="G33" s="7">
        <v>1.5537860000000001E-2</v>
      </c>
      <c r="H33" s="52"/>
    </row>
    <row r="34" spans="1:8" ht="29.1" customHeight="1" x14ac:dyDescent="0.2">
      <c r="A34" s="3">
        <v>28</v>
      </c>
      <c r="B34" s="4" t="s">
        <v>440</v>
      </c>
      <c r="C34" s="4" t="s">
        <v>441</v>
      </c>
      <c r="D34" s="4" t="s">
        <v>226</v>
      </c>
      <c r="E34" s="5">
        <v>18366</v>
      </c>
      <c r="F34" s="6">
        <v>58.367148</v>
      </c>
      <c r="G34" s="7">
        <v>1.5393E-2</v>
      </c>
      <c r="H34" s="52"/>
    </row>
    <row r="35" spans="1:8" ht="17.100000000000001" customHeight="1" x14ac:dyDescent="0.2">
      <c r="A35" s="3">
        <v>29</v>
      </c>
      <c r="B35" s="4" t="s">
        <v>438</v>
      </c>
      <c r="C35" s="4" t="s">
        <v>439</v>
      </c>
      <c r="D35" s="4" t="s">
        <v>889</v>
      </c>
      <c r="E35" s="5">
        <v>5354</v>
      </c>
      <c r="F35" s="6">
        <v>56.289279000000001</v>
      </c>
      <c r="G35" s="7">
        <v>1.484501E-2</v>
      </c>
      <c r="H35" s="52"/>
    </row>
    <row r="36" spans="1:8" ht="29.1" customHeight="1" x14ac:dyDescent="0.2">
      <c r="A36" s="3">
        <v>30</v>
      </c>
      <c r="B36" s="4" t="s">
        <v>435</v>
      </c>
      <c r="C36" s="4" t="s">
        <v>436</v>
      </c>
      <c r="D36" s="4" t="s">
        <v>437</v>
      </c>
      <c r="E36" s="5">
        <v>35853</v>
      </c>
      <c r="F36" s="6">
        <v>54.371074499999999</v>
      </c>
      <c r="G36" s="7">
        <v>1.433913E-2</v>
      </c>
      <c r="H36" s="52"/>
    </row>
    <row r="37" spans="1:8" ht="29.1" customHeight="1" x14ac:dyDescent="0.2">
      <c r="A37" s="3">
        <v>31</v>
      </c>
      <c r="B37" s="4" t="s">
        <v>482</v>
      </c>
      <c r="C37" s="4" t="s">
        <v>483</v>
      </c>
      <c r="D37" s="4" t="s">
        <v>36</v>
      </c>
      <c r="E37" s="5">
        <v>11643</v>
      </c>
      <c r="F37" s="6">
        <v>54.198165000000003</v>
      </c>
      <c r="G37" s="7">
        <v>1.429353E-2</v>
      </c>
      <c r="H37" s="52"/>
    </row>
    <row r="38" spans="1:8" ht="17.100000000000001" customHeight="1" x14ac:dyDescent="0.2">
      <c r="A38" s="3">
        <v>32</v>
      </c>
      <c r="B38" s="4" t="s">
        <v>444</v>
      </c>
      <c r="C38" s="4" t="s">
        <v>445</v>
      </c>
      <c r="D38" s="4" t="s">
        <v>60</v>
      </c>
      <c r="E38" s="5">
        <v>10328</v>
      </c>
      <c r="F38" s="6">
        <v>52.982640000000004</v>
      </c>
      <c r="G38" s="7">
        <v>1.397296E-2</v>
      </c>
      <c r="H38" s="52"/>
    </row>
    <row r="39" spans="1:8" ht="29.1" customHeight="1" x14ac:dyDescent="0.2">
      <c r="A39" s="3">
        <v>33</v>
      </c>
      <c r="B39" s="4" t="s">
        <v>480</v>
      </c>
      <c r="C39" s="4" t="s">
        <v>481</v>
      </c>
      <c r="D39" s="4" t="s">
        <v>474</v>
      </c>
      <c r="E39" s="5">
        <v>8921</v>
      </c>
      <c r="F39" s="6">
        <v>52.647281499999998</v>
      </c>
      <c r="G39" s="7">
        <v>1.3884519999999999E-2</v>
      </c>
      <c r="H39" s="52"/>
    </row>
    <row r="40" spans="1:8" ht="17.100000000000001" customHeight="1" x14ac:dyDescent="0.2">
      <c r="A40" s="3">
        <v>34</v>
      </c>
      <c r="B40" s="4" t="s">
        <v>429</v>
      </c>
      <c r="C40" s="4" t="s">
        <v>430</v>
      </c>
      <c r="D40" s="4" t="s">
        <v>311</v>
      </c>
      <c r="E40" s="5">
        <v>5116</v>
      </c>
      <c r="F40" s="6">
        <v>43.746915999999999</v>
      </c>
      <c r="G40" s="7">
        <v>1.1537250000000001E-2</v>
      </c>
      <c r="H40" s="52"/>
    </row>
    <row r="41" spans="1:8" ht="17.100000000000001" customHeight="1" x14ac:dyDescent="0.2">
      <c r="A41" s="3">
        <v>35</v>
      </c>
      <c r="B41" s="4" t="s">
        <v>462</v>
      </c>
      <c r="C41" s="4" t="s">
        <v>463</v>
      </c>
      <c r="D41" s="4" t="s">
        <v>28</v>
      </c>
      <c r="E41" s="5">
        <v>12767</v>
      </c>
      <c r="F41" s="6">
        <v>42.182167999999997</v>
      </c>
      <c r="G41" s="7">
        <v>1.112458E-2</v>
      </c>
      <c r="H41" s="52"/>
    </row>
    <row r="42" spans="1:8" ht="29.1" customHeight="1" x14ac:dyDescent="0.2">
      <c r="A42" s="3">
        <v>36</v>
      </c>
      <c r="B42" s="4" t="s">
        <v>446</v>
      </c>
      <c r="C42" s="4" t="s">
        <v>447</v>
      </c>
      <c r="D42" s="4" t="s">
        <v>211</v>
      </c>
      <c r="E42" s="5">
        <v>8645</v>
      </c>
      <c r="F42" s="6">
        <v>39.900997500000003</v>
      </c>
      <c r="G42" s="7">
        <v>1.052297E-2</v>
      </c>
      <c r="H42" s="52"/>
    </row>
    <row r="43" spans="1:8" ht="17.100000000000001" customHeight="1" x14ac:dyDescent="0.2">
      <c r="A43" s="3">
        <v>37</v>
      </c>
      <c r="B43" s="4" t="s">
        <v>243</v>
      </c>
      <c r="C43" s="4" t="s">
        <v>244</v>
      </c>
      <c r="D43" s="4" t="s">
        <v>105</v>
      </c>
      <c r="E43" s="5">
        <v>692</v>
      </c>
      <c r="F43" s="6">
        <v>37.469377999999999</v>
      </c>
      <c r="G43" s="7">
        <v>9.8816900000000003E-3</v>
      </c>
      <c r="H43" s="52"/>
    </row>
    <row r="44" spans="1:8" ht="29.1" customHeight="1" x14ac:dyDescent="0.2">
      <c r="A44" s="3">
        <v>38</v>
      </c>
      <c r="B44" s="4" t="s">
        <v>486</v>
      </c>
      <c r="C44" s="4" t="s">
        <v>487</v>
      </c>
      <c r="D44" s="4" t="s">
        <v>488</v>
      </c>
      <c r="E44" s="5">
        <v>8672</v>
      </c>
      <c r="F44" s="6">
        <v>35.750320000000002</v>
      </c>
      <c r="G44" s="7">
        <v>9.4283300000000004E-3</v>
      </c>
      <c r="H44" s="52"/>
    </row>
    <row r="45" spans="1:8" ht="17.100000000000001" customHeight="1" x14ac:dyDescent="0.2">
      <c r="A45" s="3">
        <v>39</v>
      </c>
      <c r="B45" s="4" t="s">
        <v>89</v>
      </c>
      <c r="C45" s="4" t="s">
        <v>90</v>
      </c>
      <c r="D45" s="4" t="s">
        <v>31</v>
      </c>
      <c r="E45" s="5">
        <v>4549</v>
      </c>
      <c r="F45" s="6">
        <v>31.187944000000002</v>
      </c>
      <c r="G45" s="7">
        <v>8.2251100000000008E-3</v>
      </c>
      <c r="H45" s="52"/>
    </row>
    <row r="46" spans="1:8" ht="17.100000000000001" customHeight="1" x14ac:dyDescent="0.2">
      <c r="A46" s="3">
        <v>40</v>
      </c>
      <c r="B46" s="4" t="s">
        <v>450</v>
      </c>
      <c r="C46" s="4" t="s">
        <v>451</v>
      </c>
      <c r="D46" s="4" t="s">
        <v>114</v>
      </c>
      <c r="E46" s="5">
        <v>3248</v>
      </c>
      <c r="F46" s="6">
        <v>29.196272</v>
      </c>
      <c r="G46" s="7">
        <v>7.6998500000000003E-3</v>
      </c>
      <c r="H46" s="52"/>
    </row>
    <row r="47" spans="1:8" ht="29.1" customHeight="1" x14ac:dyDescent="0.2">
      <c r="A47" s="3">
        <v>41</v>
      </c>
      <c r="B47" s="4" t="s">
        <v>489</v>
      </c>
      <c r="C47" s="4" t="s">
        <v>490</v>
      </c>
      <c r="D47" s="4" t="s">
        <v>60</v>
      </c>
      <c r="E47" s="5">
        <v>2514</v>
      </c>
      <c r="F47" s="6">
        <v>27.230391000000001</v>
      </c>
      <c r="G47" s="7">
        <v>7.1813900000000002E-3</v>
      </c>
      <c r="H47" s="52"/>
    </row>
    <row r="48" spans="1:8" ht="29.1" customHeight="1" x14ac:dyDescent="0.2">
      <c r="A48" s="3">
        <v>42</v>
      </c>
      <c r="B48" s="4" t="s">
        <v>456</v>
      </c>
      <c r="C48" s="4" t="s">
        <v>457</v>
      </c>
      <c r="D48" s="4" t="s">
        <v>226</v>
      </c>
      <c r="E48" s="5">
        <v>482</v>
      </c>
      <c r="F48" s="6">
        <v>24.594532000000001</v>
      </c>
      <c r="G48" s="7">
        <v>6.4862499999999998E-3</v>
      </c>
      <c r="H48" s="52"/>
    </row>
    <row r="49" spans="1:8" ht="17.100000000000001" customHeight="1" x14ac:dyDescent="0.2">
      <c r="A49" s="3">
        <v>43</v>
      </c>
      <c r="B49" s="4" t="s">
        <v>491</v>
      </c>
      <c r="C49" s="4" t="s">
        <v>492</v>
      </c>
      <c r="D49" s="4" t="s">
        <v>93</v>
      </c>
      <c r="E49" s="5">
        <v>21625</v>
      </c>
      <c r="F49" s="6">
        <v>19.538187499999999</v>
      </c>
      <c r="G49" s="7">
        <v>5.1527500000000002E-3</v>
      </c>
      <c r="H49" s="52"/>
    </row>
    <row r="50" spans="1:8" ht="17.100000000000001" customHeight="1" x14ac:dyDescent="0.2">
      <c r="A50" s="3">
        <v>44</v>
      </c>
      <c r="B50" s="4" t="s">
        <v>458</v>
      </c>
      <c r="C50" s="4" t="s">
        <v>459</v>
      </c>
      <c r="D50" s="4" t="s">
        <v>31</v>
      </c>
      <c r="E50" s="5">
        <v>2157</v>
      </c>
      <c r="F50" s="6">
        <v>18.7648215</v>
      </c>
      <c r="G50" s="7">
        <v>4.9487899999999998E-3</v>
      </c>
      <c r="H50" s="52"/>
    </row>
    <row r="51" spans="1:8" ht="29.1" customHeight="1" x14ac:dyDescent="0.2">
      <c r="A51" s="3">
        <v>45</v>
      </c>
      <c r="B51" s="4" t="s">
        <v>460</v>
      </c>
      <c r="C51" s="4" t="s">
        <v>461</v>
      </c>
      <c r="D51" s="4" t="s">
        <v>216</v>
      </c>
      <c r="E51" s="5">
        <v>1745</v>
      </c>
      <c r="F51" s="6">
        <v>7.6806175000000003</v>
      </c>
      <c r="G51" s="7">
        <v>2.0255899999999999E-3</v>
      </c>
      <c r="H51" s="52"/>
    </row>
    <row r="52" spans="1:8" ht="17.100000000000001" customHeight="1" x14ac:dyDescent="0.2">
      <c r="A52" s="3">
        <v>46</v>
      </c>
      <c r="B52" s="4" t="s">
        <v>307</v>
      </c>
      <c r="C52" s="4" t="s">
        <v>308</v>
      </c>
      <c r="D52" s="4" t="s">
        <v>70</v>
      </c>
      <c r="E52" s="5">
        <v>692</v>
      </c>
      <c r="F52" s="6">
        <v>7.0673959999999996</v>
      </c>
      <c r="G52" s="7">
        <v>1.86386E-3</v>
      </c>
      <c r="H52" s="52"/>
    </row>
    <row r="53" spans="1:8" ht="14.1" customHeight="1" x14ac:dyDescent="0.2">
      <c r="A53" s="1"/>
      <c r="B53" s="1"/>
      <c r="C53" s="2" t="s">
        <v>145</v>
      </c>
      <c r="D53" s="1"/>
      <c r="E53" s="1" t="s">
        <v>146</v>
      </c>
      <c r="F53" s="9">
        <v>3560.3543239999999</v>
      </c>
      <c r="G53" s="10">
        <v>0.93896199000000002</v>
      </c>
      <c r="H53" s="52"/>
    </row>
    <row r="54" spans="1:8" ht="14.1" customHeight="1" x14ac:dyDescent="0.2">
      <c r="A54" s="1"/>
      <c r="B54" s="1"/>
      <c r="C54" s="11"/>
      <c r="D54" s="1"/>
      <c r="E54" s="1"/>
      <c r="F54" s="12"/>
      <c r="G54" s="12"/>
      <c r="H54" s="52"/>
    </row>
    <row r="55" spans="1:8" ht="14.1" customHeight="1" x14ac:dyDescent="0.2">
      <c r="A55" s="1"/>
      <c r="B55" s="1"/>
      <c r="C55" s="2" t="s">
        <v>147</v>
      </c>
      <c r="D55" s="1"/>
      <c r="E55" s="1"/>
      <c r="F55" s="1"/>
      <c r="G55" s="1"/>
      <c r="H55" s="52"/>
    </row>
    <row r="56" spans="1:8" ht="14.1" customHeight="1" x14ac:dyDescent="0.2">
      <c r="A56" s="1"/>
      <c r="B56" s="1"/>
      <c r="C56" s="2" t="s">
        <v>145</v>
      </c>
      <c r="D56" s="1"/>
      <c r="E56" s="1" t="s">
        <v>146</v>
      </c>
      <c r="F56" s="13" t="s">
        <v>148</v>
      </c>
      <c r="G56" s="10">
        <v>0</v>
      </c>
      <c r="H56" s="52"/>
    </row>
    <row r="57" spans="1:8" ht="14.1" customHeight="1" x14ac:dyDescent="0.2">
      <c r="A57" s="1"/>
      <c r="B57" s="1"/>
      <c r="C57" s="11"/>
      <c r="D57" s="1"/>
      <c r="E57" s="1"/>
      <c r="F57" s="12"/>
      <c r="G57" s="12"/>
      <c r="H57" s="52"/>
    </row>
    <row r="58" spans="1:8" ht="14.1" customHeight="1" x14ac:dyDescent="0.2">
      <c r="A58" s="1"/>
      <c r="B58" s="1"/>
      <c r="C58" s="2" t="s">
        <v>149</v>
      </c>
      <c r="D58" s="1"/>
      <c r="E58" s="1"/>
      <c r="F58" s="1"/>
      <c r="G58" s="1"/>
      <c r="H58" s="52"/>
    </row>
    <row r="59" spans="1:8" ht="14.1" customHeight="1" x14ac:dyDescent="0.2">
      <c r="A59" s="1"/>
      <c r="B59" s="1"/>
      <c r="C59" s="2" t="s">
        <v>145</v>
      </c>
      <c r="D59" s="1"/>
      <c r="E59" s="1" t="s">
        <v>146</v>
      </c>
      <c r="F59" s="13" t="s">
        <v>148</v>
      </c>
      <c r="G59" s="10">
        <v>0</v>
      </c>
      <c r="H59" s="52"/>
    </row>
    <row r="60" spans="1:8" ht="14.1" customHeight="1" x14ac:dyDescent="0.2">
      <c r="A60" s="1"/>
      <c r="B60" s="1"/>
      <c r="C60" s="11"/>
      <c r="D60" s="1"/>
      <c r="E60" s="1"/>
      <c r="F60" s="12"/>
      <c r="G60" s="12"/>
      <c r="H60" s="52"/>
    </row>
    <row r="61" spans="1:8" ht="14.1" customHeight="1" x14ac:dyDescent="0.2">
      <c r="A61" s="1"/>
      <c r="B61" s="1"/>
      <c r="C61" s="2" t="s">
        <v>150</v>
      </c>
      <c r="D61" s="1"/>
      <c r="E61" s="1"/>
      <c r="F61" s="1"/>
      <c r="G61" s="1"/>
      <c r="H61" s="52"/>
    </row>
    <row r="62" spans="1:8" ht="29.1" customHeight="1" x14ac:dyDescent="0.2">
      <c r="A62" s="3">
        <v>1</v>
      </c>
      <c r="B62" s="4" t="s">
        <v>312</v>
      </c>
      <c r="C62" s="4" t="s">
        <v>949</v>
      </c>
      <c r="D62" s="4" t="s">
        <v>105</v>
      </c>
      <c r="E62" s="5">
        <v>80272</v>
      </c>
      <c r="F62" s="6">
        <v>8.3482880000000002</v>
      </c>
      <c r="G62" s="7">
        <v>2.2016700000000002E-3</v>
      </c>
      <c r="H62" s="52"/>
    </row>
    <row r="63" spans="1:8" ht="41.25" customHeight="1" x14ac:dyDescent="0.2">
      <c r="A63" s="3">
        <v>2</v>
      </c>
      <c r="B63" s="4" t="s">
        <v>313</v>
      </c>
      <c r="C63" s="4" t="s">
        <v>950</v>
      </c>
      <c r="D63" s="4" t="s">
        <v>70</v>
      </c>
      <c r="E63" s="5">
        <v>80</v>
      </c>
      <c r="F63" s="6">
        <v>8.0008000000000006E-3</v>
      </c>
      <c r="G63" s="41" t="s">
        <v>144</v>
      </c>
      <c r="H63" s="52"/>
    </row>
    <row r="64" spans="1:8" ht="14.1" customHeight="1" x14ac:dyDescent="0.2">
      <c r="A64" s="1"/>
      <c r="B64" s="1"/>
      <c r="C64" s="2" t="s">
        <v>145</v>
      </c>
      <c r="D64" s="1"/>
      <c r="E64" s="1" t="s">
        <v>146</v>
      </c>
      <c r="F64" s="9">
        <v>8.3562887999999997</v>
      </c>
      <c r="G64" s="10">
        <v>2.2037799999999998E-3</v>
      </c>
      <c r="H64" s="52"/>
    </row>
    <row r="65" spans="1:8" ht="14.1" customHeight="1" x14ac:dyDescent="0.2">
      <c r="A65" s="1"/>
      <c r="B65" s="1"/>
      <c r="C65" s="11"/>
      <c r="D65" s="1"/>
      <c r="E65" s="1"/>
      <c r="F65" s="12"/>
      <c r="G65" s="12"/>
      <c r="H65" s="52"/>
    </row>
    <row r="66" spans="1:8" ht="14.1" customHeight="1" x14ac:dyDescent="0.2">
      <c r="A66" s="1"/>
      <c r="B66" s="1"/>
      <c r="C66" s="2" t="s">
        <v>151</v>
      </c>
      <c r="D66" s="1"/>
      <c r="E66" s="1"/>
      <c r="F66" s="12"/>
      <c r="G66" s="12"/>
      <c r="H66" s="52"/>
    </row>
    <row r="67" spans="1:8" ht="14.1" customHeight="1" x14ac:dyDescent="0.2">
      <c r="A67" s="1"/>
      <c r="B67" s="1"/>
      <c r="C67" s="2" t="s">
        <v>145</v>
      </c>
      <c r="D67" s="1"/>
      <c r="E67" s="1" t="s">
        <v>146</v>
      </c>
      <c r="F67" s="13" t="s">
        <v>148</v>
      </c>
      <c r="G67" s="10">
        <v>0</v>
      </c>
      <c r="H67" s="52"/>
    </row>
    <row r="68" spans="1:8" ht="14.1" customHeight="1" x14ac:dyDescent="0.2">
      <c r="A68" s="1"/>
      <c r="B68" s="1"/>
      <c r="C68" s="11"/>
      <c r="D68" s="1"/>
      <c r="E68" s="1"/>
      <c r="F68" s="12"/>
      <c r="G68" s="12"/>
      <c r="H68" s="52"/>
    </row>
    <row r="69" spans="1:8" ht="14.1" customHeight="1" x14ac:dyDescent="0.2">
      <c r="A69" s="1"/>
      <c r="B69" s="1"/>
      <c r="C69" s="2" t="s">
        <v>152</v>
      </c>
      <c r="D69" s="1"/>
      <c r="E69" s="1"/>
      <c r="F69" s="12"/>
      <c r="G69" s="12"/>
      <c r="H69" s="52"/>
    </row>
    <row r="70" spans="1:8" ht="14.1" customHeight="1" x14ac:dyDescent="0.2">
      <c r="A70" s="1"/>
      <c r="B70" s="1"/>
      <c r="C70" s="2" t="s">
        <v>145</v>
      </c>
      <c r="D70" s="1"/>
      <c r="E70" s="1" t="s">
        <v>146</v>
      </c>
      <c r="F70" s="13" t="s">
        <v>148</v>
      </c>
      <c r="G70" s="10">
        <v>0</v>
      </c>
      <c r="H70" s="52"/>
    </row>
    <row r="71" spans="1:8" ht="14.1" customHeight="1" x14ac:dyDescent="0.2">
      <c r="A71" s="1"/>
      <c r="B71" s="1"/>
      <c r="C71" s="11"/>
      <c r="D71" s="1"/>
      <c r="E71" s="1"/>
      <c r="F71" s="12"/>
      <c r="G71" s="12"/>
      <c r="H71" s="52"/>
    </row>
    <row r="72" spans="1:8" ht="18" customHeight="1" x14ac:dyDescent="0.2">
      <c r="A72" s="1"/>
      <c r="B72" s="1"/>
      <c r="C72" s="2" t="s">
        <v>153</v>
      </c>
      <c r="D72" s="1"/>
      <c r="E72" s="1"/>
      <c r="F72" s="9">
        <v>3568.7106128</v>
      </c>
      <c r="G72" s="10">
        <v>0.94116577000000001</v>
      </c>
      <c r="H72" s="52"/>
    </row>
    <row r="73" spans="1:8" ht="14.1" customHeight="1" x14ac:dyDescent="0.2">
      <c r="A73" s="1"/>
      <c r="B73" s="1"/>
      <c r="C73" s="11"/>
      <c r="D73" s="1"/>
      <c r="E73" s="1"/>
      <c r="F73" s="12"/>
      <c r="G73" s="12"/>
      <c r="H73" s="52"/>
    </row>
    <row r="74" spans="1:8" ht="14.1" customHeight="1" x14ac:dyDescent="0.2">
      <c r="A74" s="1"/>
      <c r="B74" s="1"/>
      <c r="C74" s="2" t="s">
        <v>154</v>
      </c>
      <c r="D74" s="1"/>
      <c r="E74" s="1"/>
      <c r="F74" s="12"/>
      <c r="G74" s="12"/>
      <c r="H74" s="52"/>
    </row>
    <row r="75" spans="1:8" ht="24" customHeight="1" x14ac:dyDescent="0.2">
      <c r="A75" s="1"/>
      <c r="B75" s="1"/>
      <c r="C75" s="2" t="s">
        <v>10</v>
      </c>
      <c r="D75" s="1"/>
      <c r="E75" s="1"/>
      <c r="F75" s="12"/>
      <c r="G75" s="12"/>
      <c r="H75" s="52"/>
    </row>
    <row r="76" spans="1:8" ht="14.1" customHeight="1" x14ac:dyDescent="0.2">
      <c r="A76" s="1"/>
      <c r="B76" s="1"/>
      <c r="C76" s="2" t="s">
        <v>145</v>
      </c>
      <c r="D76" s="1"/>
      <c r="E76" s="1" t="s">
        <v>146</v>
      </c>
      <c r="F76" s="13" t="s">
        <v>148</v>
      </c>
      <c r="G76" s="10">
        <v>0</v>
      </c>
      <c r="H76" s="52"/>
    </row>
    <row r="77" spans="1:8" ht="14.1" customHeight="1" x14ac:dyDescent="0.2">
      <c r="A77" s="1"/>
      <c r="B77" s="1"/>
      <c r="C77" s="11"/>
      <c r="D77" s="1"/>
      <c r="E77" s="1"/>
      <c r="F77" s="12"/>
      <c r="G77" s="12"/>
      <c r="H77" s="52"/>
    </row>
    <row r="78" spans="1:8" ht="14.1" customHeight="1" x14ac:dyDescent="0.2">
      <c r="A78" s="1"/>
      <c r="B78" s="1"/>
      <c r="C78" s="2" t="s">
        <v>155</v>
      </c>
      <c r="D78" s="1"/>
      <c r="E78" s="1"/>
      <c r="F78" s="1"/>
      <c r="G78" s="1"/>
      <c r="H78" s="52"/>
    </row>
    <row r="79" spans="1:8" ht="14.1" customHeight="1" x14ac:dyDescent="0.2">
      <c r="A79" s="1"/>
      <c r="B79" s="1"/>
      <c r="C79" s="2" t="s">
        <v>145</v>
      </c>
      <c r="D79" s="1"/>
      <c r="E79" s="1" t="s">
        <v>146</v>
      </c>
      <c r="F79" s="13" t="s">
        <v>148</v>
      </c>
      <c r="G79" s="10">
        <v>0</v>
      </c>
      <c r="H79" s="52"/>
    </row>
    <row r="80" spans="1:8" ht="14.1" customHeight="1" x14ac:dyDescent="0.2">
      <c r="A80" s="1"/>
      <c r="B80" s="1"/>
      <c r="C80" s="11"/>
      <c r="D80" s="1"/>
      <c r="E80" s="1"/>
      <c r="F80" s="12"/>
      <c r="G80" s="12"/>
      <c r="H80" s="52"/>
    </row>
    <row r="81" spans="1:8" ht="14.1" customHeight="1" x14ac:dyDescent="0.2">
      <c r="A81" s="1"/>
      <c r="B81" s="1"/>
      <c r="C81" s="2" t="s">
        <v>156</v>
      </c>
      <c r="D81" s="1"/>
      <c r="E81" s="1"/>
      <c r="F81" s="1"/>
      <c r="G81" s="1"/>
      <c r="H81" s="52"/>
    </row>
    <row r="82" spans="1:8" ht="14.1" customHeight="1" x14ac:dyDescent="0.2">
      <c r="A82" s="1"/>
      <c r="B82" s="1"/>
      <c r="C82" s="2" t="s">
        <v>145</v>
      </c>
      <c r="D82" s="1"/>
      <c r="E82" s="1" t="s">
        <v>146</v>
      </c>
      <c r="F82" s="13" t="s">
        <v>148</v>
      </c>
      <c r="G82" s="10">
        <v>0</v>
      </c>
      <c r="H82" s="52"/>
    </row>
    <row r="83" spans="1:8" ht="14.1" customHeight="1" x14ac:dyDescent="0.2">
      <c r="A83" s="1"/>
      <c r="B83" s="1"/>
      <c r="C83" s="11"/>
      <c r="D83" s="1"/>
      <c r="E83" s="1"/>
      <c r="F83" s="12"/>
      <c r="G83" s="12"/>
      <c r="H83" s="52"/>
    </row>
    <row r="84" spans="1:8" ht="14.1" customHeight="1" x14ac:dyDescent="0.2">
      <c r="A84" s="1"/>
      <c r="B84" s="1"/>
      <c r="C84" s="2" t="s">
        <v>157</v>
      </c>
      <c r="D84" s="1"/>
      <c r="E84" s="1"/>
      <c r="F84" s="12"/>
      <c r="G84" s="12"/>
      <c r="H84" s="52"/>
    </row>
    <row r="85" spans="1:8" ht="14.1" customHeight="1" x14ac:dyDescent="0.2">
      <c r="A85" s="1"/>
      <c r="B85" s="1"/>
      <c r="C85" s="2" t="s">
        <v>145</v>
      </c>
      <c r="D85" s="1"/>
      <c r="E85" s="1" t="s">
        <v>146</v>
      </c>
      <c r="F85" s="13" t="s">
        <v>148</v>
      </c>
      <c r="G85" s="10">
        <v>0</v>
      </c>
      <c r="H85" s="52"/>
    </row>
    <row r="86" spans="1:8" ht="14.1" customHeight="1" x14ac:dyDescent="0.2">
      <c r="A86" s="1"/>
      <c r="B86" s="1"/>
      <c r="C86" s="11"/>
      <c r="D86" s="1"/>
      <c r="E86" s="1"/>
      <c r="F86" s="12"/>
      <c r="G86" s="12"/>
      <c r="H86" s="52"/>
    </row>
    <row r="87" spans="1:8" ht="14.1" customHeight="1" x14ac:dyDescent="0.2">
      <c r="A87" s="1"/>
      <c r="B87" s="1"/>
      <c r="C87" s="2" t="s">
        <v>158</v>
      </c>
      <c r="D87" s="1"/>
      <c r="E87" s="1"/>
      <c r="F87" s="9">
        <v>0</v>
      </c>
      <c r="G87" s="10">
        <v>0</v>
      </c>
      <c r="H87" s="52"/>
    </row>
    <row r="88" spans="1:8" ht="14.1" customHeight="1" x14ac:dyDescent="0.2">
      <c r="A88" s="1"/>
      <c r="B88" s="1"/>
      <c r="C88" s="11"/>
      <c r="D88" s="1"/>
      <c r="E88" s="1"/>
      <c r="F88" s="12"/>
      <c r="G88" s="12"/>
      <c r="H88" s="52"/>
    </row>
    <row r="89" spans="1:8" ht="14.1" customHeight="1" x14ac:dyDescent="0.2">
      <c r="A89" s="1"/>
      <c r="B89" s="1"/>
      <c r="C89" s="2" t="s">
        <v>159</v>
      </c>
      <c r="D89" s="1"/>
      <c r="E89" s="1"/>
      <c r="F89" s="12"/>
      <c r="G89" s="12"/>
      <c r="H89" s="52"/>
    </row>
    <row r="90" spans="1:8" ht="14.1" customHeight="1" x14ac:dyDescent="0.2">
      <c r="A90" s="1"/>
      <c r="B90" s="1"/>
      <c r="C90" s="2" t="s">
        <v>160</v>
      </c>
      <c r="D90" s="1"/>
      <c r="E90" s="1"/>
      <c r="F90" s="12"/>
      <c r="G90" s="12"/>
      <c r="H90" s="52"/>
    </row>
    <row r="91" spans="1:8" ht="14.1" customHeight="1" x14ac:dyDescent="0.2">
      <c r="A91" s="1"/>
      <c r="B91" s="1"/>
      <c r="C91" s="2" t="s">
        <v>145</v>
      </c>
      <c r="D91" s="1"/>
      <c r="E91" s="1" t="s">
        <v>146</v>
      </c>
      <c r="F91" s="13" t="s">
        <v>148</v>
      </c>
      <c r="G91" s="10">
        <v>0</v>
      </c>
      <c r="H91" s="52"/>
    </row>
    <row r="92" spans="1:8" ht="14.1" customHeight="1" x14ac:dyDescent="0.2">
      <c r="A92" s="1"/>
      <c r="B92" s="1"/>
      <c r="C92" s="11"/>
      <c r="D92" s="1"/>
      <c r="E92" s="1"/>
      <c r="F92" s="12"/>
      <c r="G92" s="12"/>
      <c r="H92" s="52"/>
    </row>
    <row r="93" spans="1:8" ht="14.1" customHeight="1" x14ac:dyDescent="0.2">
      <c r="A93" s="1"/>
      <c r="B93" s="1"/>
      <c r="C93" s="2" t="s">
        <v>161</v>
      </c>
      <c r="D93" s="1"/>
      <c r="E93" s="1"/>
      <c r="F93" s="12"/>
      <c r="G93" s="12"/>
      <c r="H93" s="52"/>
    </row>
    <row r="94" spans="1:8" ht="14.1" customHeight="1" x14ac:dyDescent="0.2">
      <c r="A94" s="1"/>
      <c r="B94" s="1"/>
      <c r="C94" s="2" t="s">
        <v>145</v>
      </c>
      <c r="D94" s="1"/>
      <c r="E94" s="1" t="s">
        <v>146</v>
      </c>
      <c r="F94" s="13" t="s">
        <v>148</v>
      </c>
      <c r="G94" s="10">
        <v>0</v>
      </c>
      <c r="H94" s="52"/>
    </row>
    <row r="95" spans="1:8" ht="14.1" customHeight="1" x14ac:dyDescent="0.2">
      <c r="A95" s="1"/>
      <c r="B95" s="1"/>
      <c r="C95" s="11"/>
      <c r="D95" s="1"/>
      <c r="E95" s="1"/>
      <c r="F95" s="12"/>
      <c r="G95" s="12"/>
      <c r="H95" s="52"/>
    </row>
    <row r="96" spans="1:8" ht="14.1" customHeight="1" x14ac:dyDescent="0.2">
      <c r="A96" s="1"/>
      <c r="B96" s="1"/>
      <c r="C96" s="2" t="s">
        <v>162</v>
      </c>
      <c r="D96" s="1"/>
      <c r="E96" s="1"/>
      <c r="F96" s="12"/>
      <c r="G96" s="12"/>
      <c r="H96" s="52"/>
    </row>
    <row r="97" spans="1:8" ht="14.1" customHeight="1" x14ac:dyDescent="0.2">
      <c r="A97" s="1"/>
      <c r="B97" s="1"/>
      <c r="C97" s="2" t="s">
        <v>145</v>
      </c>
      <c r="D97" s="1"/>
      <c r="E97" s="1" t="s">
        <v>146</v>
      </c>
      <c r="F97" s="13" t="s">
        <v>148</v>
      </c>
      <c r="G97" s="10">
        <v>0</v>
      </c>
      <c r="H97" s="52"/>
    </row>
    <row r="98" spans="1:8" ht="14.1" customHeight="1" x14ac:dyDescent="0.2">
      <c r="A98" s="1"/>
      <c r="B98" s="1"/>
      <c r="C98" s="11"/>
      <c r="D98" s="1"/>
      <c r="E98" s="1"/>
      <c r="F98" s="12"/>
      <c r="G98" s="12"/>
      <c r="H98" s="52"/>
    </row>
    <row r="99" spans="1:8" ht="14.1" customHeight="1" x14ac:dyDescent="0.2">
      <c r="A99" s="1"/>
      <c r="B99" s="1"/>
      <c r="C99" s="2" t="s">
        <v>163</v>
      </c>
      <c r="D99" s="1"/>
      <c r="E99" s="1"/>
      <c r="F99" s="12"/>
      <c r="G99" s="12"/>
      <c r="H99" s="52"/>
    </row>
    <row r="100" spans="1:8" ht="17.100000000000001" customHeight="1" x14ac:dyDescent="0.2">
      <c r="A100" s="3">
        <v>1</v>
      </c>
      <c r="B100" s="4"/>
      <c r="C100" s="4" t="s">
        <v>164</v>
      </c>
      <c r="D100" s="4"/>
      <c r="E100" s="8"/>
      <c r="F100" s="6">
        <v>225.902615</v>
      </c>
      <c r="G100" s="7">
        <v>5.957664E-2</v>
      </c>
      <c r="H100" s="52">
        <v>6.7567375937238596</v>
      </c>
    </row>
    <row r="101" spans="1:8" ht="14.1" customHeight="1" x14ac:dyDescent="0.2">
      <c r="A101" s="1"/>
      <c r="B101" s="1"/>
      <c r="C101" s="2" t="s">
        <v>145</v>
      </c>
      <c r="D101" s="1"/>
      <c r="E101" s="1" t="s">
        <v>146</v>
      </c>
      <c r="F101" s="9">
        <v>225.902615</v>
      </c>
      <c r="G101" s="10">
        <v>5.957664E-2</v>
      </c>
      <c r="H101" s="52"/>
    </row>
    <row r="102" spans="1:8" ht="14.1" customHeight="1" x14ac:dyDescent="0.2">
      <c r="A102" s="1"/>
      <c r="B102" s="1"/>
      <c r="C102" s="11"/>
      <c r="D102" s="1"/>
      <c r="E102" s="1"/>
      <c r="F102" s="12"/>
      <c r="G102" s="12"/>
      <c r="H102" s="52"/>
    </row>
    <row r="103" spans="1:8" ht="14.1" customHeight="1" x14ac:dyDescent="0.2">
      <c r="A103" s="1"/>
      <c r="B103" s="1"/>
      <c r="C103" s="2" t="s">
        <v>165</v>
      </c>
      <c r="D103" s="1"/>
      <c r="E103" s="1"/>
      <c r="F103" s="9">
        <v>225.902615</v>
      </c>
      <c r="G103" s="10">
        <v>5.957664E-2</v>
      </c>
      <c r="H103" s="52"/>
    </row>
    <row r="104" spans="1:8" ht="14.1" customHeight="1" x14ac:dyDescent="0.2">
      <c r="A104" s="1"/>
      <c r="B104" s="1"/>
      <c r="C104" s="12"/>
      <c r="D104" s="1"/>
      <c r="E104" s="1"/>
      <c r="F104" s="1"/>
      <c r="G104" s="1"/>
      <c r="H104" s="52"/>
    </row>
    <row r="105" spans="1:8" ht="14.1" customHeight="1" x14ac:dyDescent="0.2">
      <c r="A105" s="1"/>
      <c r="B105" s="1"/>
      <c r="C105" s="2" t="s">
        <v>166</v>
      </c>
      <c r="D105" s="1"/>
      <c r="E105" s="1"/>
      <c r="F105" s="1"/>
      <c r="G105" s="1"/>
      <c r="H105" s="52"/>
    </row>
    <row r="106" spans="1:8" ht="14.1" customHeight="1" x14ac:dyDescent="0.2">
      <c r="A106" s="1"/>
      <c r="B106" s="1"/>
      <c r="C106" s="2" t="s">
        <v>167</v>
      </c>
      <c r="D106" s="1"/>
      <c r="E106" s="1"/>
      <c r="F106" s="1"/>
      <c r="G106" s="1"/>
      <c r="H106" s="52"/>
    </row>
    <row r="107" spans="1:8" ht="14.1" customHeight="1" x14ac:dyDescent="0.2">
      <c r="A107" s="1"/>
      <c r="B107" s="1"/>
      <c r="C107" s="2" t="s">
        <v>145</v>
      </c>
      <c r="D107" s="1"/>
      <c r="E107" s="1" t="s">
        <v>146</v>
      </c>
      <c r="F107" s="13" t="s">
        <v>148</v>
      </c>
      <c r="G107" s="10">
        <v>0</v>
      </c>
      <c r="H107" s="52"/>
    </row>
    <row r="108" spans="1:8" ht="14.1" customHeight="1" x14ac:dyDescent="0.2">
      <c r="A108" s="1"/>
      <c r="B108" s="1"/>
      <c r="C108" s="11"/>
      <c r="D108" s="1"/>
      <c r="E108" s="1"/>
      <c r="F108" s="12"/>
      <c r="G108" s="12"/>
      <c r="H108" s="52"/>
    </row>
    <row r="109" spans="1:8" ht="14.1" customHeight="1" x14ac:dyDescent="0.2">
      <c r="A109" s="1"/>
      <c r="B109" s="1"/>
      <c r="C109" s="2" t="s">
        <v>168</v>
      </c>
      <c r="D109" s="1"/>
      <c r="E109" s="1"/>
      <c r="F109" s="1"/>
      <c r="G109" s="1"/>
      <c r="H109" s="52"/>
    </row>
    <row r="110" spans="1:8" ht="14.1" customHeight="1" x14ac:dyDescent="0.2">
      <c r="A110" s="1"/>
      <c r="B110" s="1"/>
      <c r="C110" s="2" t="s">
        <v>169</v>
      </c>
      <c r="D110" s="1"/>
      <c r="E110" s="1"/>
      <c r="F110" s="1"/>
      <c r="G110" s="1"/>
      <c r="H110" s="52"/>
    </row>
    <row r="111" spans="1:8" ht="14.1" customHeight="1" x14ac:dyDescent="0.2">
      <c r="A111" s="1"/>
      <c r="B111" s="1"/>
      <c r="C111" s="2" t="s">
        <v>145</v>
      </c>
      <c r="D111" s="1"/>
      <c r="E111" s="1" t="s">
        <v>146</v>
      </c>
      <c r="F111" s="13" t="s">
        <v>148</v>
      </c>
      <c r="G111" s="10">
        <v>0</v>
      </c>
      <c r="H111" s="52"/>
    </row>
    <row r="112" spans="1:8" ht="14.1" customHeight="1" x14ac:dyDescent="0.2">
      <c r="A112" s="1"/>
      <c r="B112" s="1"/>
      <c r="C112" s="11"/>
      <c r="D112" s="1"/>
      <c r="E112" s="1"/>
      <c r="F112" s="12"/>
      <c r="G112" s="12"/>
      <c r="H112" s="52"/>
    </row>
    <row r="113" spans="1:8" ht="24" customHeight="1" x14ac:dyDescent="0.2">
      <c r="A113" s="1"/>
      <c r="B113" s="1"/>
      <c r="C113" s="2" t="s">
        <v>170</v>
      </c>
      <c r="D113" s="1"/>
      <c r="E113" s="1"/>
      <c r="F113" s="12"/>
      <c r="G113" s="12"/>
      <c r="H113" s="52"/>
    </row>
    <row r="114" spans="1:8" ht="14.1" customHeight="1" x14ac:dyDescent="0.2">
      <c r="A114" s="1"/>
      <c r="B114" s="1"/>
      <c r="C114" s="2" t="s">
        <v>145</v>
      </c>
      <c r="D114" s="1"/>
      <c r="E114" s="1" t="s">
        <v>146</v>
      </c>
      <c r="F114" s="13" t="s">
        <v>148</v>
      </c>
      <c r="G114" s="10">
        <v>0</v>
      </c>
      <c r="H114" s="52"/>
    </row>
    <row r="115" spans="1:8" ht="14.1" customHeight="1" x14ac:dyDescent="0.2">
      <c r="A115" s="1"/>
      <c r="B115" s="1"/>
      <c r="C115" s="11"/>
      <c r="D115" s="1"/>
      <c r="E115" s="1"/>
      <c r="F115" s="12"/>
      <c r="G115" s="12"/>
      <c r="H115" s="52"/>
    </row>
    <row r="116" spans="1:8" ht="14.1" customHeight="1" x14ac:dyDescent="0.2">
      <c r="A116" s="1"/>
      <c r="B116" s="4"/>
      <c r="C116" s="4"/>
      <c r="D116" s="2"/>
      <c r="E116" s="1"/>
      <c r="F116" s="4"/>
      <c r="G116" s="8"/>
      <c r="H116" s="52"/>
    </row>
    <row r="117" spans="1:8" ht="18" customHeight="1" x14ac:dyDescent="0.2">
      <c r="A117" s="8"/>
      <c r="B117" s="4"/>
      <c r="C117" s="4" t="s">
        <v>171</v>
      </c>
      <c r="D117" s="4"/>
      <c r="E117" s="8"/>
      <c r="F117" s="6">
        <v>-2.8148535400000001</v>
      </c>
      <c r="G117" s="7">
        <v>-7.4235000000000002E-4</v>
      </c>
      <c r="H117" s="52"/>
    </row>
    <row r="118" spans="1:8" ht="14.1" customHeight="1" x14ac:dyDescent="0.2">
      <c r="A118" s="11"/>
      <c r="B118" s="11"/>
      <c r="C118" s="2" t="s">
        <v>172</v>
      </c>
      <c r="D118" s="12"/>
      <c r="E118" s="12"/>
      <c r="F118" s="9">
        <v>3791.7983742599999</v>
      </c>
      <c r="G118" s="14">
        <v>1.0000000600000001</v>
      </c>
      <c r="H118" s="52"/>
    </row>
    <row r="119" spans="1:8" ht="14.1" customHeight="1" x14ac:dyDescent="0.2">
      <c r="A119" s="15"/>
      <c r="B119" s="15"/>
      <c r="C119" s="15"/>
      <c r="D119" s="16"/>
      <c r="E119" s="16"/>
      <c r="F119" s="16"/>
      <c r="G119" s="16"/>
    </row>
    <row r="120" spans="1:8" ht="14.1" customHeight="1" x14ac:dyDescent="0.2">
      <c r="A120" s="42"/>
      <c r="B120" s="125" t="s">
        <v>988</v>
      </c>
      <c r="C120" s="125"/>
      <c r="D120" s="125"/>
      <c r="E120" s="125"/>
      <c r="F120" s="125"/>
      <c r="G120" s="43"/>
    </row>
    <row r="121" spans="1:8" ht="17.100000000000001" customHeight="1" x14ac:dyDescent="0.2">
      <c r="A121" s="17"/>
      <c r="B121" s="126" t="s">
        <v>173</v>
      </c>
      <c r="C121" s="126"/>
      <c r="D121" s="126"/>
      <c r="E121" s="126"/>
      <c r="F121" s="126"/>
      <c r="G121" s="19"/>
    </row>
    <row r="122" spans="1:8" ht="14.1" customHeight="1" x14ac:dyDescent="0.2">
      <c r="A122" s="17"/>
      <c r="B122" s="17"/>
      <c r="C122" s="17"/>
      <c r="D122" s="19"/>
      <c r="E122" s="19"/>
      <c r="F122" s="19"/>
      <c r="G122" s="19"/>
    </row>
    <row r="123" spans="1:8" ht="14.1" customHeight="1" x14ac:dyDescent="0.2">
      <c r="A123" s="17"/>
      <c r="B123" s="127" t="s">
        <v>174</v>
      </c>
      <c r="C123" s="128"/>
      <c r="D123" s="129"/>
      <c r="E123" s="20"/>
      <c r="F123" s="19"/>
      <c r="G123" s="19"/>
    </row>
    <row r="124" spans="1:8" ht="29.1" customHeight="1" x14ac:dyDescent="0.2">
      <c r="A124" s="17"/>
      <c r="B124" s="121" t="s">
        <v>175</v>
      </c>
      <c r="C124" s="122"/>
      <c r="D124" s="2" t="s">
        <v>176</v>
      </c>
      <c r="E124" s="20"/>
      <c r="F124" s="19"/>
      <c r="G124" s="19"/>
    </row>
    <row r="125" spans="1:8" ht="17.100000000000001" customHeight="1" x14ac:dyDescent="0.2">
      <c r="A125" s="17"/>
      <c r="B125" s="123" t="s">
        <v>953</v>
      </c>
      <c r="C125" s="124"/>
      <c r="D125" s="40" t="s">
        <v>952</v>
      </c>
      <c r="E125" s="20"/>
      <c r="F125" s="19"/>
      <c r="G125" s="19"/>
    </row>
    <row r="126" spans="1:8" ht="17.100000000000001" customHeight="1" x14ac:dyDescent="0.2">
      <c r="A126" s="17"/>
      <c r="B126" s="121" t="s">
        <v>178</v>
      </c>
      <c r="C126" s="122"/>
      <c r="D126" s="12" t="s">
        <v>146</v>
      </c>
      <c r="E126" s="20"/>
      <c r="F126" s="19"/>
      <c r="G126" s="19"/>
    </row>
    <row r="127" spans="1:8" ht="24" customHeight="1" x14ac:dyDescent="0.2">
      <c r="A127" s="21"/>
      <c r="B127" s="22" t="s">
        <v>146</v>
      </c>
      <c r="C127" s="22" t="s">
        <v>179</v>
      </c>
      <c r="D127" s="22" t="s">
        <v>180</v>
      </c>
      <c r="E127" s="21"/>
      <c r="F127" s="21"/>
      <c r="G127" s="21"/>
    </row>
    <row r="128" spans="1:8" ht="18" customHeight="1" x14ac:dyDescent="0.2">
      <c r="A128" s="21"/>
      <c r="B128" s="23" t="s">
        <v>181</v>
      </c>
      <c r="C128" s="22" t="s">
        <v>182</v>
      </c>
      <c r="D128" s="22" t="s">
        <v>183</v>
      </c>
      <c r="E128" s="21"/>
      <c r="F128" s="21"/>
      <c r="G128" s="21"/>
    </row>
    <row r="129" spans="1:7" ht="17.100000000000001" customHeight="1" x14ac:dyDescent="0.2">
      <c r="A129" s="21"/>
      <c r="B129" s="4" t="s">
        <v>184</v>
      </c>
      <c r="C129" s="24">
        <v>22.610600000000002</v>
      </c>
      <c r="D129" s="24">
        <v>22.6203</v>
      </c>
      <c r="E129" s="21"/>
      <c r="F129" s="18"/>
      <c r="G129" s="25"/>
    </row>
    <row r="130" spans="1:7" ht="17.100000000000001" customHeight="1" x14ac:dyDescent="0.2">
      <c r="A130" s="21"/>
      <c r="B130" s="4" t="s">
        <v>1039</v>
      </c>
      <c r="C130" s="24">
        <v>22.610600000000002</v>
      </c>
      <c r="D130" s="24">
        <v>22.6203</v>
      </c>
      <c r="E130" s="21"/>
      <c r="F130" s="18"/>
      <c r="G130" s="25"/>
    </row>
    <row r="131" spans="1:7" ht="17.100000000000001" customHeight="1" x14ac:dyDescent="0.2">
      <c r="A131" s="21"/>
      <c r="B131" s="4" t="s">
        <v>185</v>
      </c>
      <c r="C131" s="24">
        <v>22.158000000000001</v>
      </c>
      <c r="D131" s="24">
        <v>22.165400000000002</v>
      </c>
      <c r="E131" s="21"/>
      <c r="F131" s="18"/>
      <c r="G131" s="25"/>
    </row>
    <row r="132" spans="1:7" ht="17.100000000000001" customHeight="1" x14ac:dyDescent="0.2">
      <c r="A132" s="21"/>
      <c r="B132" s="4" t="s">
        <v>1040</v>
      </c>
      <c r="C132" s="24">
        <v>22.157699999999998</v>
      </c>
      <c r="D132" s="24">
        <v>22.165099999999999</v>
      </c>
      <c r="E132" s="21"/>
      <c r="F132" s="18"/>
      <c r="G132" s="25"/>
    </row>
    <row r="133" spans="1:7" ht="14.1" customHeight="1" x14ac:dyDescent="0.2">
      <c r="A133" s="21"/>
      <c r="B133" s="21"/>
      <c r="C133" s="21"/>
      <c r="D133" s="21"/>
      <c r="E133" s="21"/>
      <c r="F133" s="21"/>
      <c r="G133" s="21"/>
    </row>
    <row r="134" spans="1:7" ht="17.100000000000001" customHeight="1" x14ac:dyDescent="0.2">
      <c r="A134" s="21"/>
      <c r="B134" s="121" t="s">
        <v>1041</v>
      </c>
      <c r="C134" s="122"/>
      <c r="D134" s="2" t="s">
        <v>176</v>
      </c>
      <c r="E134" s="21"/>
      <c r="F134" s="21"/>
      <c r="G134" s="21"/>
    </row>
    <row r="135" spans="1:7" ht="18" customHeight="1" x14ac:dyDescent="0.2">
      <c r="A135" s="21"/>
      <c r="B135" s="26"/>
      <c r="C135" s="26"/>
      <c r="D135" s="26"/>
      <c r="E135" s="21"/>
      <c r="F135" s="21"/>
      <c r="G135" s="21"/>
    </row>
    <row r="136" spans="1:7" ht="29.1" customHeight="1" x14ac:dyDescent="0.2">
      <c r="A136" s="21"/>
      <c r="B136" s="121" t="s">
        <v>186</v>
      </c>
      <c r="C136" s="122"/>
      <c r="D136" s="2" t="s">
        <v>176</v>
      </c>
      <c r="E136" s="27"/>
      <c r="F136" s="21"/>
      <c r="G136" s="21"/>
    </row>
    <row r="137" spans="1:7" ht="29.1" customHeight="1" x14ac:dyDescent="0.2">
      <c r="A137" s="21"/>
      <c r="B137" s="121" t="s">
        <v>187</v>
      </c>
      <c r="C137" s="122"/>
      <c r="D137" s="2" t="s">
        <v>176</v>
      </c>
      <c r="E137" s="27"/>
      <c r="F137" s="21"/>
      <c r="G137" s="21"/>
    </row>
    <row r="138" spans="1:7" ht="17.100000000000001" customHeight="1" x14ac:dyDescent="0.2">
      <c r="A138" s="21"/>
      <c r="B138" s="121" t="s">
        <v>188</v>
      </c>
      <c r="C138" s="122"/>
      <c r="D138" s="2" t="s">
        <v>176</v>
      </c>
      <c r="E138" s="27"/>
      <c r="F138" s="21"/>
      <c r="G138" s="21"/>
    </row>
    <row r="139" spans="1:7" ht="17.100000000000001" customHeight="1" x14ac:dyDescent="0.2">
      <c r="A139" s="21"/>
      <c r="B139" s="121" t="s">
        <v>189</v>
      </c>
      <c r="C139" s="122"/>
      <c r="D139" s="50">
        <v>7.5865022922827915E-2</v>
      </c>
      <c r="E139" s="21"/>
      <c r="F139" s="18"/>
      <c r="G139" s="25"/>
    </row>
    <row r="156" spans="10:14" x14ac:dyDescent="0.2">
      <c r="J156" s="104"/>
      <c r="K156" s="104"/>
      <c r="L156" s="104"/>
      <c r="M156" s="104"/>
      <c r="N156" s="104"/>
    </row>
  </sheetData>
  <mergeCells count="15">
    <mergeCell ref="A1:H1"/>
    <mergeCell ref="A2:H2"/>
    <mergeCell ref="A3:H3"/>
    <mergeCell ref="J2:N2"/>
    <mergeCell ref="B139:C139"/>
    <mergeCell ref="B125:C125"/>
    <mergeCell ref="B126:C126"/>
    <mergeCell ref="B134:C134"/>
    <mergeCell ref="B136:C136"/>
    <mergeCell ref="B137:C137"/>
    <mergeCell ref="B138:C138"/>
    <mergeCell ref="B124:C124"/>
    <mergeCell ref="B121:F121"/>
    <mergeCell ref="B123:D123"/>
    <mergeCell ref="B120:F120"/>
  </mergeCells>
  <hyperlinks>
    <hyperlink ref="I1" location="Index!B11" display="Index" xr:uid="{416C99AE-44C9-43A7-BA58-A20B4740A049}"/>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O155"/>
  <sheetViews>
    <sheetView showGridLines="0" workbookViewId="0">
      <selection activeCell="I1" sqref="I1"/>
    </sheetView>
  </sheetViews>
  <sheetFormatPr defaultRowHeight="12.75" x14ac:dyDescent="0.2"/>
  <cols>
    <col min="1" max="1" width="6.85546875" customWidth="1"/>
    <col min="2" max="2" width="20.5703125" customWidth="1"/>
    <col min="3" max="3" width="35.85546875" customWidth="1"/>
    <col min="4" max="4" width="17.85546875" customWidth="1"/>
    <col min="5" max="6" width="19.140625" customWidth="1"/>
    <col min="7" max="7" width="16.42578125" customWidth="1"/>
  </cols>
  <sheetData>
    <row r="1" spans="1:15" ht="18" customHeight="1" x14ac:dyDescent="0.2">
      <c r="A1" s="116" t="s">
        <v>0</v>
      </c>
      <c r="B1" s="116"/>
      <c r="C1" s="116"/>
      <c r="D1" s="116"/>
      <c r="E1" s="116"/>
      <c r="F1" s="116"/>
      <c r="G1" s="116"/>
      <c r="H1" s="116"/>
      <c r="I1" s="98" t="s">
        <v>1053</v>
      </c>
    </row>
    <row r="2" spans="1:15" ht="17.100000000000001" customHeight="1" x14ac:dyDescent="0.2">
      <c r="A2" s="117" t="s">
        <v>494</v>
      </c>
      <c r="B2" s="118"/>
      <c r="C2" s="118"/>
      <c r="D2" s="118"/>
      <c r="E2" s="118"/>
      <c r="F2" s="118"/>
      <c r="G2" s="118"/>
      <c r="H2" s="119"/>
      <c r="J2" s="120" t="s">
        <v>1054</v>
      </c>
      <c r="K2" s="120"/>
      <c r="L2" s="120"/>
      <c r="M2" s="120"/>
      <c r="N2" s="120"/>
    </row>
    <row r="3" spans="1:15" ht="21" customHeight="1" x14ac:dyDescent="0.2">
      <c r="A3" s="116" t="s">
        <v>1049</v>
      </c>
      <c r="B3" s="116"/>
      <c r="C3" s="116"/>
      <c r="D3" s="116"/>
      <c r="E3" s="116"/>
      <c r="F3" s="116"/>
      <c r="G3" s="116"/>
      <c r="H3" s="116"/>
    </row>
    <row r="4" spans="1:15" ht="30" x14ac:dyDescent="0.2">
      <c r="A4" s="96" t="s">
        <v>2</v>
      </c>
      <c r="B4" s="96" t="s">
        <v>3</v>
      </c>
      <c r="C4" s="96" t="s">
        <v>4</v>
      </c>
      <c r="D4" s="96" t="s">
        <v>5</v>
      </c>
      <c r="E4" s="96" t="s">
        <v>6</v>
      </c>
      <c r="F4" s="96" t="s">
        <v>7</v>
      </c>
      <c r="G4" s="96" t="s">
        <v>8</v>
      </c>
      <c r="H4" s="51" t="s">
        <v>1002</v>
      </c>
      <c r="I4" s="99"/>
      <c r="J4" s="99"/>
      <c r="K4" s="99"/>
      <c r="L4" s="99"/>
      <c r="M4" s="99"/>
      <c r="N4" s="99"/>
      <c r="O4" s="99"/>
    </row>
    <row r="5" spans="1:15" ht="14.1" customHeight="1" x14ac:dyDescent="0.2">
      <c r="A5" s="1"/>
      <c r="B5" s="1"/>
      <c r="C5" s="2" t="s">
        <v>9</v>
      </c>
      <c r="D5" s="1"/>
      <c r="E5" s="1"/>
      <c r="F5" s="1"/>
      <c r="G5" s="1"/>
      <c r="H5" s="52"/>
    </row>
    <row r="6" spans="1:15" ht="24" customHeight="1" x14ac:dyDescent="0.2">
      <c r="A6" s="1"/>
      <c r="B6" s="1"/>
      <c r="C6" s="2" t="s">
        <v>10</v>
      </c>
      <c r="D6" s="1"/>
      <c r="E6" s="1"/>
      <c r="F6" s="1"/>
      <c r="G6" s="1"/>
      <c r="H6" s="52"/>
    </row>
    <row r="7" spans="1:15" ht="17.100000000000001" customHeight="1" x14ac:dyDescent="0.2">
      <c r="A7" s="3">
        <v>1</v>
      </c>
      <c r="B7" s="4" t="s">
        <v>397</v>
      </c>
      <c r="C7" s="4" t="s">
        <v>398</v>
      </c>
      <c r="D7" s="4" t="s">
        <v>60</v>
      </c>
      <c r="E7" s="5">
        <v>4278</v>
      </c>
      <c r="F7" s="6">
        <v>176.856798</v>
      </c>
      <c r="G7" s="7">
        <v>5.6072990000000003E-2</v>
      </c>
      <c r="H7" s="52"/>
    </row>
    <row r="8" spans="1:15" ht="17.100000000000001" customHeight="1" x14ac:dyDescent="0.2">
      <c r="A8" s="3">
        <v>2</v>
      </c>
      <c r="B8" s="4" t="s">
        <v>405</v>
      </c>
      <c r="C8" s="4" t="s">
        <v>406</v>
      </c>
      <c r="D8" s="4" t="s">
        <v>357</v>
      </c>
      <c r="E8" s="5">
        <v>6432</v>
      </c>
      <c r="F8" s="6">
        <v>166.07102399999999</v>
      </c>
      <c r="G8" s="7">
        <v>5.2653329999999998E-2</v>
      </c>
      <c r="H8" s="52"/>
    </row>
    <row r="9" spans="1:15" ht="17.100000000000001" customHeight="1" x14ac:dyDescent="0.2">
      <c r="A9" s="3">
        <v>3</v>
      </c>
      <c r="B9" s="4" t="s">
        <v>32</v>
      </c>
      <c r="C9" s="4" t="s">
        <v>33</v>
      </c>
      <c r="D9" s="4" t="s">
        <v>31</v>
      </c>
      <c r="E9" s="5">
        <v>5066</v>
      </c>
      <c r="F9" s="6">
        <v>155.10065599999999</v>
      </c>
      <c r="G9" s="7">
        <v>4.9175139999999999E-2</v>
      </c>
      <c r="H9" s="52"/>
    </row>
    <row r="10" spans="1:15" ht="17.100000000000001" customHeight="1" x14ac:dyDescent="0.2">
      <c r="A10" s="3">
        <v>4</v>
      </c>
      <c r="B10" s="4" t="s">
        <v>399</v>
      </c>
      <c r="C10" s="4" t="s">
        <v>400</v>
      </c>
      <c r="D10" s="4" t="s">
        <v>28</v>
      </c>
      <c r="E10" s="5">
        <v>166497</v>
      </c>
      <c r="F10" s="6">
        <v>154.42596750000001</v>
      </c>
      <c r="G10" s="7">
        <v>4.896122E-2</v>
      </c>
      <c r="H10" s="52"/>
    </row>
    <row r="11" spans="1:15" ht="17.100000000000001" customHeight="1" x14ac:dyDescent="0.2">
      <c r="A11" s="3">
        <v>5</v>
      </c>
      <c r="B11" s="4" t="s">
        <v>125</v>
      </c>
      <c r="C11" s="4" t="s">
        <v>126</v>
      </c>
      <c r="D11" s="4" t="s">
        <v>60</v>
      </c>
      <c r="E11" s="5">
        <v>36188</v>
      </c>
      <c r="F11" s="6">
        <v>128.123614</v>
      </c>
      <c r="G11" s="7">
        <v>4.0621980000000002E-2</v>
      </c>
      <c r="H11" s="52"/>
    </row>
    <row r="12" spans="1:15" ht="17.100000000000001" customHeight="1" x14ac:dyDescent="0.2">
      <c r="A12" s="3">
        <v>6</v>
      </c>
      <c r="B12" s="4" t="s">
        <v>48</v>
      </c>
      <c r="C12" s="4" t="s">
        <v>49</v>
      </c>
      <c r="D12" s="4" t="s">
        <v>31</v>
      </c>
      <c r="E12" s="5">
        <v>5130</v>
      </c>
      <c r="F12" s="6">
        <v>123.24312</v>
      </c>
      <c r="G12" s="7">
        <v>3.9074610000000003E-2</v>
      </c>
      <c r="H12" s="52"/>
    </row>
    <row r="13" spans="1:15" ht="17.100000000000001" customHeight="1" x14ac:dyDescent="0.2">
      <c r="A13" s="3">
        <v>7</v>
      </c>
      <c r="B13" s="4" t="s">
        <v>98</v>
      </c>
      <c r="C13" s="4" t="s">
        <v>99</v>
      </c>
      <c r="D13" s="4" t="s">
        <v>93</v>
      </c>
      <c r="E13" s="5">
        <v>16682</v>
      </c>
      <c r="F13" s="6">
        <v>102.669369</v>
      </c>
      <c r="G13" s="7">
        <v>3.255164E-2</v>
      </c>
      <c r="H13" s="52"/>
    </row>
    <row r="14" spans="1:15" ht="17.100000000000001" customHeight="1" x14ac:dyDescent="0.2">
      <c r="A14" s="3">
        <v>8</v>
      </c>
      <c r="B14" s="4" t="s">
        <v>355</v>
      </c>
      <c r="C14" s="4" t="s">
        <v>356</v>
      </c>
      <c r="D14" s="4" t="s">
        <v>357</v>
      </c>
      <c r="E14" s="5">
        <v>4116</v>
      </c>
      <c r="F14" s="6">
        <v>95.939843999999994</v>
      </c>
      <c r="G14" s="7">
        <v>3.041802E-2</v>
      </c>
      <c r="H14" s="52"/>
      <c r="J14" s="101" t="s">
        <v>1066</v>
      </c>
    </row>
    <row r="15" spans="1:15" ht="17.100000000000001" customHeight="1" x14ac:dyDescent="0.2">
      <c r="A15" s="3">
        <v>9</v>
      </c>
      <c r="B15" s="4" t="s">
        <v>401</v>
      </c>
      <c r="C15" s="4" t="s">
        <v>402</v>
      </c>
      <c r="D15" s="4" t="s">
        <v>259</v>
      </c>
      <c r="E15" s="5">
        <v>5857</v>
      </c>
      <c r="F15" s="6">
        <v>93.609502500000005</v>
      </c>
      <c r="G15" s="7">
        <v>2.9679179999999999E-2</v>
      </c>
      <c r="H15" s="52"/>
    </row>
    <row r="16" spans="1:15" ht="17.100000000000001" customHeight="1" x14ac:dyDescent="0.2">
      <c r="A16" s="3">
        <v>10</v>
      </c>
      <c r="B16" s="4" t="s">
        <v>411</v>
      </c>
      <c r="C16" s="4" t="s">
        <v>412</v>
      </c>
      <c r="D16" s="4" t="s">
        <v>70</v>
      </c>
      <c r="E16" s="5">
        <v>12229</v>
      </c>
      <c r="F16" s="6">
        <v>93.362300500000003</v>
      </c>
      <c r="G16" s="7">
        <v>2.96008E-2</v>
      </c>
      <c r="H16" s="52"/>
    </row>
    <row r="17" spans="1:8" ht="17.100000000000001" customHeight="1" x14ac:dyDescent="0.2">
      <c r="A17" s="3">
        <v>11</v>
      </c>
      <c r="B17" s="4" t="s">
        <v>409</v>
      </c>
      <c r="C17" s="4" t="s">
        <v>410</v>
      </c>
      <c r="D17" s="4" t="s">
        <v>205</v>
      </c>
      <c r="E17" s="5">
        <v>24965</v>
      </c>
      <c r="F17" s="6">
        <v>92.482842500000004</v>
      </c>
      <c r="G17" s="7">
        <v>2.9321969999999999E-2</v>
      </c>
      <c r="H17" s="52"/>
    </row>
    <row r="18" spans="1:8" ht="17.100000000000001" customHeight="1" x14ac:dyDescent="0.2">
      <c r="A18" s="3">
        <v>12</v>
      </c>
      <c r="B18" s="4" t="s">
        <v>448</v>
      </c>
      <c r="C18" s="4" t="s">
        <v>449</v>
      </c>
      <c r="D18" s="4" t="s">
        <v>231</v>
      </c>
      <c r="E18" s="5">
        <v>33431</v>
      </c>
      <c r="F18" s="6">
        <v>76.189249000000004</v>
      </c>
      <c r="G18" s="7">
        <v>2.4156029999999998E-2</v>
      </c>
      <c r="H18" s="52"/>
    </row>
    <row r="19" spans="1:8" ht="29.1" customHeight="1" x14ac:dyDescent="0.2">
      <c r="A19" s="3">
        <v>13</v>
      </c>
      <c r="B19" s="4" t="s">
        <v>119</v>
      </c>
      <c r="C19" s="4" t="s">
        <v>120</v>
      </c>
      <c r="D19" s="4" t="s">
        <v>36</v>
      </c>
      <c r="E19" s="5">
        <v>3057</v>
      </c>
      <c r="F19" s="6">
        <v>74.5556445</v>
      </c>
      <c r="G19" s="7">
        <v>2.3638099999999999E-2</v>
      </c>
      <c r="H19" s="52"/>
    </row>
    <row r="20" spans="1:8" ht="17.100000000000001" customHeight="1" x14ac:dyDescent="0.2">
      <c r="A20" s="3">
        <v>14</v>
      </c>
      <c r="B20" s="4" t="s">
        <v>417</v>
      </c>
      <c r="C20" s="4" t="s">
        <v>418</v>
      </c>
      <c r="D20" s="4" t="s">
        <v>231</v>
      </c>
      <c r="E20" s="5">
        <v>5601</v>
      </c>
      <c r="F20" s="6">
        <v>72.558154500000001</v>
      </c>
      <c r="G20" s="7">
        <v>2.3004779999999999E-2</v>
      </c>
      <c r="H20" s="52"/>
    </row>
    <row r="21" spans="1:8" ht="17.100000000000001" customHeight="1" x14ac:dyDescent="0.2">
      <c r="A21" s="3">
        <v>15</v>
      </c>
      <c r="B21" s="4" t="s">
        <v>423</v>
      </c>
      <c r="C21" s="4" t="s">
        <v>424</v>
      </c>
      <c r="D21" s="4" t="s">
        <v>242</v>
      </c>
      <c r="E21" s="5">
        <v>31050</v>
      </c>
      <c r="F21" s="6">
        <v>69.614099999999993</v>
      </c>
      <c r="G21" s="7">
        <v>2.2071360000000002E-2</v>
      </c>
      <c r="H21" s="52"/>
    </row>
    <row r="22" spans="1:8" ht="17.100000000000001" customHeight="1" x14ac:dyDescent="0.2">
      <c r="A22" s="3">
        <v>16</v>
      </c>
      <c r="B22" s="4" t="s">
        <v>407</v>
      </c>
      <c r="C22" s="4" t="s">
        <v>408</v>
      </c>
      <c r="D22" s="4" t="s">
        <v>13</v>
      </c>
      <c r="E22" s="5">
        <v>51989</v>
      </c>
      <c r="F22" s="6">
        <v>67.559705500000007</v>
      </c>
      <c r="G22" s="7">
        <v>2.142001E-2</v>
      </c>
      <c r="H22" s="52"/>
    </row>
    <row r="23" spans="1:8" ht="17.100000000000001" customHeight="1" x14ac:dyDescent="0.2">
      <c r="A23" s="3">
        <v>17</v>
      </c>
      <c r="B23" s="4" t="s">
        <v>46</v>
      </c>
      <c r="C23" s="4" t="s">
        <v>47</v>
      </c>
      <c r="D23" s="4" t="s">
        <v>31</v>
      </c>
      <c r="E23" s="5">
        <v>3026</v>
      </c>
      <c r="F23" s="6">
        <v>64.889544000000001</v>
      </c>
      <c r="G23" s="7">
        <v>2.057343E-2</v>
      </c>
      <c r="H23" s="52"/>
    </row>
    <row r="24" spans="1:8" ht="17.100000000000001" customHeight="1" x14ac:dyDescent="0.2">
      <c r="A24" s="3">
        <v>18</v>
      </c>
      <c r="B24" s="4" t="s">
        <v>425</v>
      </c>
      <c r="C24" s="4" t="s">
        <v>426</v>
      </c>
      <c r="D24" s="4" t="s">
        <v>231</v>
      </c>
      <c r="E24" s="5">
        <v>8090</v>
      </c>
      <c r="F24" s="6">
        <v>64.202240000000003</v>
      </c>
      <c r="G24" s="7">
        <v>2.0355519999999998E-2</v>
      </c>
      <c r="H24" s="52"/>
    </row>
    <row r="25" spans="1:8" ht="29.1" customHeight="1" x14ac:dyDescent="0.2">
      <c r="A25" s="3">
        <v>19</v>
      </c>
      <c r="B25" s="4" t="s">
        <v>214</v>
      </c>
      <c r="C25" s="4" t="s">
        <v>215</v>
      </c>
      <c r="D25" s="4" t="s">
        <v>216</v>
      </c>
      <c r="E25" s="5">
        <v>1852</v>
      </c>
      <c r="F25" s="6">
        <v>63.676389999999998</v>
      </c>
      <c r="G25" s="7">
        <v>2.0188790000000002E-2</v>
      </c>
      <c r="H25" s="52"/>
    </row>
    <row r="26" spans="1:8" ht="17.100000000000001" customHeight="1" x14ac:dyDescent="0.2">
      <c r="A26" s="3">
        <v>20</v>
      </c>
      <c r="B26" s="4" t="s">
        <v>433</v>
      </c>
      <c r="C26" s="4" t="s">
        <v>434</v>
      </c>
      <c r="D26" s="4" t="s">
        <v>60</v>
      </c>
      <c r="E26" s="5">
        <v>9198</v>
      </c>
      <c r="F26" s="6">
        <v>56.926422000000002</v>
      </c>
      <c r="G26" s="7">
        <v>1.8048700000000001E-2</v>
      </c>
      <c r="H26" s="52"/>
    </row>
    <row r="27" spans="1:8" ht="29.1" customHeight="1" x14ac:dyDescent="0.2">
      <c r="A27" s="3">
        <v>21</v>
      </c>
      <c r="B27" s="4" t="s">
        <v>440</v>
      </c>
      <c r="C27" s="4" t="s">
        <v>441</v>
      </c>
      <c r="D27" s="4" t="s">
        <v>226</v>
      </c>
      <c r="E27" s="5">
        <v>17579</v>
      </c>
      <c r="F27" s="6">
        <v>55.866061999999999</v>
      </c>
      <c r="G27" s="7">
        <v>1.7712510000000001E-2</v>
      </c>
      <c r="H27" s="52"/>
    </row>
    <row r="28" spans="1:8" ht="29.1" customHeight="1" x14ac:dyDescent="0.2">
      <c r="A28" s="3">
        <v>22</v>
      </c>
      <c r="B28" s="4" t="s">
        <v>431</v>
      </c>
      <c r="C28" s="4" t="s">
        <v>432</v>
      </c>
      <c r="D28" s="4" t="s">
        <v>57</v>
      </c>
      <c r="E28" s="5">
        <v>2217</v>
      </c>
      <c r="F28" s="6">
        <v>55.099100999999997</v>
      </c>
      <c r="G28" s="7">
        <v>1.746934E-2</v>
      </c>
      <c r="H28" s="52"/>
    </row>
    <row r="29" spans="1:8" ht="17.100000000000001" customHeight="1" x14ac:dyDescent="0.2">
      <c r="A29" s="3">
        <v>23</v>
      </c>
      <c r="B29" s="4" t="s">
        <v>442</v>
      </c>
      <c r="C29" s="4" t="s">
        <v>443</v>
      </c>
      <c r="D29" s="4" t="s">
        <v>70</v>
      </c>
      <c r="E29" s="5">
        <v>6095</v>
      </c>
      <c r="F29" s="6">
        <v>54.992137499999998</v>
      </c>
      <c r="G29" s="7">
        <v>1.7435429999999998E-2</v>
      </c>
      <c r="H29" s="52"/>
    </row>
    <row r="30" spans="1:8" ht="29.1" customHeight="1" x14ac:dyDescent="0.2">
      <c r="A30" s="3">
        <v>24</v>
      </c>
      <c r="B30" s="4" t="s">
        <v>271</v>
      </c>
      <c r="C30" s="4" t="s">
        <v>272</v>
      </c>
      <c r="D30" s="4" t="s">
        <v>226</v>
      </c>
      <c r="E30" s="5">
        <v>15078</v>
      </c>
      <c r="F30" s="6">
        <v>54.544665000000002</v>
      </c>
      <c r="G30" s="7">
        <v>1.7293550000000001E-2</v>
      </c>
      <c r="H30" s="52"/>
    </row>
    <row r="31" spans="1:8" ht="17.100000000000001" customHeight="1" x14ac:dyDescent="0.2">
      <c r="A31" s="3">
        <v>25</v>
      </c>
      <c r="B31" s="4" t="s">
        <v>421</v>
      </c>
      <c r="C31" s="4" t="s">
        <v>422</v>
      </c>
      <c r="D31" s="4" t="s">
        <v>60</v>
      </c>
      <c r="E31" s="5">
        <v>4636</v>
      </c>
      <c r="F31" s="6">
        <v>50.319144000000001</v>
      </c>
      <c r="G31" s="7">
        <v>1.595384E-2</v>
      </c>
      <c r="H31" s="52"/>
    </row>
    <row r="32" spans="1:8" ht="17.100000000000001" customHeight="1" x14ac:dyDescent="0.2">
      <c r="A32" s="3">
        <v>26</v>
      </c>
      <c r="B32" s="4" t="s">
        <v>438</v>
      </c>
      <c r="C32" s="4" t="s">
        <v>439</v>
      </c>
      <c r="D32" s="4" t="s">
        <v>889</v>
      </c>
      <c r="E32" s="5">
        <v>4552</v>
      </c>
      <c r="F32" s="6">
        <v>47.857452000000002</v>
      </c>
      <c r="G32" s="7">
        <v>1.517335E-2</v>
      </c>
      <c r="H32" s="52"/>
    </row>
    <row r="33" spans="1:8" ht="17.100000000000001" customHeight="1" x14ac:dyDescent="0.2">
      <c r="A33" s="3">
        <v>27</v>
      </c>
      <c r="B33" s="4" t="s">
        <v>444</v>
      </c>
      <c r="C33" s="4" t="s">
        <v>445</v>
      </c>
      <c r="D33" s="4" t="s">
        <v>60</v>
      </c>
      <c r="E33" s="5">
        <v>9015</v>
      </c>
      <c r="F33" s="6">
        <v>46.246949999999998</v>
      </c>
      <c r="G33" s="7">
        <v>1.466274E-2</v>
      </c>
      <c r="H33" s="52"/>
    </row>
    <row r="34" spans="1:8" ht="17.100000000000001" customHeight="1" x14ac:dyDescent="0.2">
      <c r="A34" s="3">
        <v>28</v>
      </c>
      <c r="B34" s="4" t="s">
        <v>484</v>
      </c>
      <c r="C34" s="4" t="s">
        <v>485</v>
      </c>
      <c r="D34" s="4" t="s">
        <v>13</v>
      </c>
      <c r="E34" s="5">
        <v>6941</v>
      </c>
      <c r="F34" s="6">
        <v>46.025770999999999</v>
      </c>
      <c r="G34" s="7">
        <v>1.4592610000000001E-2</v>
      </c>
      <c r="H34" s="52"/>
    </row>
    <row r="35" spans="1:8" ht="17.100000000000001" customHeight="1" x14ac:dyDescent="0.2">
      <c r="A35" s="3">
        <v>29</v>
      </c>
      <c r="B35" s="4" t="s">
        <v>419</v>
      </c>
      <c r="C35" s="4" t="s">
        <v>420</v>
      </c>
      <c r="D35" s="4" t="s">
        <v>70</v>
      </c>
      <c r="E35" s="5">
        <v>38726</v>
      </c>
      <c r="F35" s="6">
        <v>44.341270000000002</v>
      </c>
      <c r="G35" s="7">
        <v>1.405854E-2</v>
      </c>
      <c r="H35" s="52"/>
    </row>
    <row r="36" spans="1:8" ht="29.1" customHeight="1" x14ac:dyDescent="0.2">
      <c r="A36" s="3">
        <v>30</v>
      </c>
      <c r="B36" s="4" t="s">
        <v>435</v>
      </c>
      <c r="C36" s="4" t="s">
        <v>436</v>
      </c>
      <c r="D36" s="4" t="s">
        <v>437</v>
      </c>
      <c r="E36" s="5">
        <v>29151</v>
      </c>
      <c r="F36" s="6">
        <v>44.207491500000003</v>
      </c>
      <c r="G36" s="7">
        <v>1.401612E-2</v>
      </c>
      <c r="H36" s="52"/>
    </row>
    <row r="37" spans="1:8" ht="17.100000000000001" customHeight="1" x14ac:dyDescent="0.2">
      <c r="A37" s="3">
        <v>31</v>
      </c>
      <c r="B37" s="4" t="s">
        <v>212</v>
      </c>
      <c r="C37" s="4" t="s">
        <v>213</v>
      </c>
      <c r="D37" s="4" t="s">
        <v>888</v>
      </c>
      <c r="E37" s="5">
        <v>717</v>
      </c>
      <c r="F37" s="6">
        <v>44.168633999999997</v>
      </c>
      <c r="G37" s="7">
        <v>1.40038E-2</v>
      </c>
      <c r="H37" s="52"/>
    </row>
    <row r="38" spans="1:8" ht="17.100000000000001" customHeight="1" x14ac:dyDescent="0.2">
      <c r="A38" s="3">
        <v>32</v>
      </c>
      <c r="B38" s="4" t="s">
        <v>429</v>
      </c>
      <c r="C38" s="4" t="s">
        <v>430</v>
      </c>
      <c r="D38" s="4" t="s">
        <v>311</v>
      </c>
      <c r="E38" s="5">
        <v>4877</v>
      </c>
      <c r="F38" s="6">
        <v>41.703226999999998</v>
      </c>
      <c r="G38" s="7">
        <v>1.322214E-2</v>
      </c>
      <c r="H38" s="52"/>
    </row>
    <row r="39" spans="1:8" ht="29.1" customHeight="1" x14ac:dyDescent="0.2">
      <c r="A39" s="3">
        <v>33</v>
      </c>
      <c r="B39" s="4" t="s">
        <v>413</v>
      </c>
      <c r="C39" s="4" t="s">
        <v>414</v>
      </c>
      <c r="D39" s="4" t="s">
        <v>226</v>
      </c>
      <c r="E39" s="5">
        <v>2978</v>
      </c>
      <c r="F39" s="6">
        <v>41.639885</v>
      </c>
      <c r="G39" s="7">
        <v>1.320205E-2</v>
      </c>
      <c r="H39" s="52"/>
    </row>
    <row r="40" spans="1:8" ht="29.1" customHeight="1" x14ac:dyDescent="0.2">
      <c r="A40" s="3">
        <v>34</v>
      </c>
      <c r="B40" s="4" t="s">
        <v>486</v>
      </c>
      <c r="C40" s="4" t="s">
        <v>487</v>
      </c>
      <c r="D40" s="4" t="s">
        <v>488</v>
      </c>
      <c r="E40" s="5">
        <v>9641</v>
      </c>
      <c r="F40" s="6">
        <v>39.745022499999997</v>
      </c>
      <c r="G40" s="7">
        <v>1.2601279999999999E-2</v>
      </c>
      <c r="H40" s="52"/>
    </row>
    <row r="41" spans="1:8" ht="29.1" customHeight="1" x14ac:dyDescent="0.2">
      <c r="A41" s="3">
        <v>35</v>
      </c>
      <c r="B41" s="4" t="s">
        <v>115</v>
      </c>
      <c r="C41" s="4" t="s">
        <v>116</v>
      </c>
      <c r="D41" s="4" t="s">
        <v>25</v>
      </c>
      <c r="E41" s="5">
        <v>1255</v>
      </c>
      <c r="F41" s="6">
        <v>39.582700000000003</v>
      </c>
      <c r="G41" s="7">
        <v>1.254982E-2</v>
      </c>
      <c r="H41" s="52"/>
    </row>
    <row r="42" spans="1:8" ht="17.100000000000001" customHeight="1" x14ac:dyDescent="0.2">
      <c r="A42" s="3">
        <v>36</v>
      </c>
      <c r="B42" s="4" t="s">
        <v>462</v>
      </c>
      <c r="C42" s="4" t="s">
        <v>463</v>
      </c>
      <c r="D42" s="4" t="s">
        <v>28</v>
      </c>
      <c r="E42" s="5">
        <v>10993</v>
      </c>
      <c r="F42" s="6">
        <v>36.320872000000001</v>
      </c>
      <c r="G42" s="7">
        <v>1.1515640000000001E-2</v>
      </c>
      <c r="H42" s="52"/>
    </row>
    <row r="43" spans="1:8" ht="29.1" customHeight="1" x14ac:dyDescent="0.2">
      <c r="A43" s="3">
        <v>37</v>
      </c>
      <c r="B43" s="4" t="s">
        <v>480</v>
      </c>
      <c r="C43" s="4" t="s">
        <v>481</v>
      </c>
      <c r="D43" s="4" t="s">
        <v>474</v>
      </c>
      <c r="E43" s="5">
        <v>6151</v>
      </c>
      <c r="F43" s="6">
        <v>36.300126499999998</v>
      </c>
      <c r="G43" s="7">
        <v>1.150907E-2</v>
      </c>
      <c r="H43" s="52"/>
    </row>
    <row r="44" spans="1:8" ht="17.100000000000001" customHeight="1" x14ac:dyDescent="0.2">
      <c r="A44" s="3">
        <v>38</v>
      </c>
      <c r="B44" s="4" t="s">
        <v>243</v>
      </c>
      <c r="C44" s="4" t="s">
        <v>244</v>
      </c>
      <c r="D44" s="4" t="s">
        <v>105</v>
      </c>
      <c r="E44" s="5">
        <v>601</v>
      </c>
      <c r="F44" s="6">
        <v>32.542046499999998</v>
      </c>
      <c r="G44" s="7">
        <v>1.031756E-2</v>
      </c>
      <c r="H44" s="52"/>
    </row>
    <row r="45" spans="1:8" ht="29.1" customHeight="1" x14ac:dyDescent="0.2">
      <c r="A45" s="3">
        <v>39</v>
      </c>
      <c r="B45" s="4" t="s">
        <v>456</v>
      </c>
      <c r="C45" s="4" t="s">
        <v>457</v>
      </c>
      <c r="D45" s="4" t="s">
        <v>226</v>
      </c>
      <c r="E45" s="5">
        <v>536</v>
      </c>
      <c r="F45" s="6">
        <v>27.349936</v>
      </c>
      <c r="G45" s="7">
        <v>8.6713799999999994E-3</v>
      </c>
      <c r="H45" s="52"/>
    </row>
    <row r="46" spans="1:8" ht="17.100000000000001" customHeight="1" x14ac:dyDescent="0.2">
      <c r="A46" s="3">
        <v>40</v>
      </c>
      <c r="B46" s="4" t="s">
        <v>89</v>
      </c>
      <c r="C46" s="4" t="s">
        <v>90</v>
      </c>
      <c r="D46" s="4" t="s">
        <v>31</v>
      </c>
      <c r="E46" s="5">
        <v>3949</v>
      </c>
      <c r="F46" s="6">
        <v>27.074344</v>
      </c>
      <c r="G46" s="7">
        <v>8.5839999999999996E-3</v>
      </c>
      <c r="H46" s="52"/>
    </row>
    <row r="47" spans="1:8" ht="29.1" customHeight="1" x14ac:dyDescent="0.2">
      <c r="A47" s="3">
        <v>41</v>
      </c>
      <c r="B47" s="4" t="s">
        <v>489</v>
      </c>
      <c r="C47" s="4" t="s">
        <v>490</v>
      </c>
      <c r="D47" s="4" t="s">
        <v>60</v>
      </c>
      <c r="E47" s="5">
        <v>2262</v>
      </c>
      <c r="F47" s="6">
        <v>24.500852999999999</v>
      </c>
      <c r="G47" s="7">
        <v>7.7680700000000002E-3</v>
      </c>
      <c r="H47" s="52"/>
    </row>
    <row r="48" spans="1:8" ht="17.100000000000001" customHeight="1" x14ac:dyDescent="0.2">
      <c r="A48" s="3">
        <v>42</v>
      </c>
      <c r="B48" s="4" t="s">
        <v>279</v>
      </c>
      <c r="C48" s="4" t="s">
        <v>280</v>
      </c>
      <c r="D48" s="4" t="s">
        <v>888</v>
      </c>
      <c r="E48" s="5">
        <v>2001</v>
      </c>
      <c r="F48" s="6">
        <v>24.363175500000001</v>
      </c>
      <c r="G48" s="7">
        <v>7.7244200000000001E-3</v>
      </c>
      <c r="H48" s="52"/>
    </row>
    <row r="49" spans="1:8" ht="17.100000000000001" customHeight="1" x14ac:dyDescent="0.2">
      <c r="A49" s="3">
        <v>43</v>
      </c>
      <c r="B49" s="4" t="s">
        <v>450</v>
      </c>
      <c r="C49" s="4" t="s">
        <v>451</v>
      </c>
      <c r="D49" s="4" t="s">
        <v>114</v>
      </c>
      <c r="E49" s="5">
        <v>2470</v>
      </c>
      <c r="F49" s="6">
        <v>22.202829999999999</v>
      </c>
      <c r="G49" s="7">
        <v>7.0394799999999999E-3</v>
      </c>
      <c r="H49" s="52"/>
    </row>
    <row r="50" spans="1:8" ht="17.100000000000001" customHeight="1" x14ac:dyDescent="0.2">
      <c r="A50" s="3">
        <v>44</v>
      </c>
      <c r="B50" s="4" t="s">
        <v>458</v>
      </c>
      <c r="C50" s="4" t="s">
        <v>459</v>
      </c>
      <c r="D50" s="4" t="s">
        <v>31</v>
      </c>
      <c r="E50" s="5">
        <v>2121</v>
      </c>
      <c r="F50" s="6">
        <v>18.451639499999999</v>
      </c>
      <c r="G50" s="7">
        <v>5.8501500000000001E-3</v>
      </c>
      <c r="H50" s="52"/>
    </row>
    <row r="51" spans="1:8" ht="29.1" customHeight="1" x14ac:dyDescent="0.2">
      <c r="A51" s="3">
        <v>45</v>
      </c>
      <c r="B51" s="4" t="s">
        <v>394</v>
      </c>
      <c r="C51" s="4" t="s">
        <v>395</v>
      </c>
      <c r="D51" s="4" t="s">
        <v>60</v>
      </c>
      <c r="E51" s="5">
        <v>6110</v>
      </c>
      <c r="F51" s="6">
        <v>17.2302</v>
      </c>
      <c r="G51" s="7">
        <v>5.4628899999999998E-3</v>
      </c>
      <c r="H51" s="52"/>
    </row>
    <row r="52" spans="1:8" ht="29.1" customHeight="1" x14ac:dyDescent="0.2">
      <c r="A52" s="3">
        <v>46</v>
      </c>
      <c r="B52" s="4" t="s">
        <v>446</v>
      </c>
      <c r="C52" s="4" t="s">
        <v>447</v>
      </c>
      <c r="D52" s="4" t="s">
        <v>211</v>
      </c>
      <c r="E52" s="5">
        <v>2505</v>
      </c>
      <c r="F52" s="6">
        <v>11.5618275</v>
      </c>
      <c r="G52" s="7">
        <v>3.66571E-3</v>
      </c>
      <c r="H52" s="52"/>
    </row>
    <row r="53" spans="1:8" ht="29.1" customHeight="1" x14ac:dyDescent="0.2">
      <c r="A53" s="3">
        <v>47</v>
      </c>
      <c r="B53" s="4" t="s">
        <v>460</v>
      </c>
      <c r="C53" s="4" t="s">
        <v>461</v>
      </c>
      <c r="D53" s="4" t="s">
        <v>216</v>
      </c>
      <c r="E53" s="5">
        <v>1926</v>
      </c>
      <c r="F53" s="6">
        <v>8.4772890000000007</v>
      </c>
      <c r="G53" s="7">
        <v>2.68775E-3</v>
      </c>
      <c r="H53" s="52"/>
    </row>
    <row r="54" spans="1:8" ht="17.100000000000001" customHeight="1" x14ac:dyDescent="0.2">
      <c r="A54" s="3">
        <v>48</v>
      </c>
      <c r="B54" s="4" t="s">
        <v>307</v>
      </c>
      <c r="C54" s="4" t="s">
        <v>308</v>
      </c>
      <c r="D54" s="4" t="s">
        <v>70</v>
      </c>
      <c r="E54" s="5">
        <v>601</v>
      </c>
      <c r="F54" s="6">
        <v>6.1380129999999999</v>
      </c>
      <c r="G54" s="7">
        <v>1.94608E-3</v>
      </c>
      <c r="H54" s="52"/>
    </row>
    <row r="55" spans="1:8" ht="14.1" customHeight="1" x14ac:dyDescent="0.2">
      <c r="A55" s="1"/>
      <c r="B55" s="1"/>
      <c r="C55" s="2" t="s">
        <v>145</v>
      </c>
      <c r="D55" s="1"/>
      <c r="E55" s="1" t="s">
        <v>146</v>
      </c>
      <c r="F55" s="9">
        <v>2990.9091524999999</v>
      </c>
      <c r="G55" s="10">
        <v>0.94827691999999997</v>
      </c>
      <c r="H55" s="52"/>
    </row>
    <row r="56" spans="1:8" ht="14.1" customHeight="1" x14ac:dyDescent="0.2">
      <c r="A56" s="1"/>
      <c r="B56" s="1"/>
      <c r="C56" s="11"/>
      <c r="D56" s="1"/>
      <c r="E56" s="1"/>
      <c r="F56" s="12"/>
      <c r="G56" s="12"/>
      <c r="H56" s="52"/>
    </row>
    <row r="57" spans="1:8" ht="14.1" customHeight="1" x14ac:dyDescent="0.2">
      <c r="A57" s="1"/>
      <c r="B57" s="1"/>
      <c r="C57" s="2" t="s">
        <v>147</v>
      </c>
      <c r="D57" s="1"/>
      <c r="E57" s="1"/>
      <c r="F57" s="1"/>
      <c r="G57" s="1"/>
      <c r="H57" s="52"/>
    </row>
    <row r="58" spans="1:8" ht="14.1" customHeight="1" x14ac:dyDescent="0.2">
      <c r="A58" s="1"/>
      <c r="B58" s="1"/>
      <c r="C58" s="2" t="s">
        <v>145</v>
      </c>
      <c r="D58" s="1"/>
      <c r="E58" s="1" t="s">
        <v>146</v>
      </c>
      <c r="F58" s="13" t="s">
        <v>148</v>
      </c>
      <c r="G58" s="10">
        <v>0</v>
      </c>
      <c r="H58" s="52"/>
    </row>
    <row r="59" spans="1:8" ht="14.1" customHeight="1" x14ac:dyDescent="0.2">
      <c r="A59" s="1"/>
      <c r="B59" s="1"/>
      <c r="C59" s="11"/>
      <c r="D59" s="1"/>
      <c r="E59" s="1"/>
      <c r="F59" s="12"/>
      <c r="G59" s="12"/>
      <c r="H59" s="52"/>
    </row>
    <row r="60" spans="1:8" ht="14.1" customHeight="1" x14ac:dyDescent="0.2">
      <c r="A60" s="1"/>
      <c r="B60" s="1"/>
      <c r="C60" s="2" t="s">
        <v>149</v>
      </c>
      <c r="D60" s="1"/>
      <c r="E60" s="1"/>
      <c r="F60" s="1"/>
      <c r="G60" s="1"/>
      <c r="H60" s="52"/>
    </row>
    <row r="61" spans="1:8" ht="14.1" customHeight="1" x14ac:dyDescent="0.2">
      <c r="A61" s="1"/>
      <c r="B61" s="1"/>
      <c r="C61" s="2" t="s">
        <v>145</v>
      </c>
      <c r="D61" s="1"/>
      <c r="E61" s="1" t="s">
        <v>146</v>
      </c>
      <c r="F61" s="13" t="s">
        <v>148</v>
      </c>
      <c r="G61" s="10">
        <v>0</v>
      </c>
      <c r="H61" s="52"/>
    </row>
    <row r="62" spans="1:8" ht="14.1" customHeight="1" x14ac:dyDescent="0.2">
      <c r="A62" s="1"/>
      <c r="B62" s="1"/>
      <c r="C62" s="11"/>
      <c r="D62" s="1"/>
      <c r="E62" s="1"/>
      <c r="F62" s="12"/>
      <c r="G62" s="12"/>
      <c r="H62" s="52"/>
    </row>
    <row r="63" spans="1:8" ht="14.1" customHeight="1" x14ac:dyDescent="0.2">
      <c r="A63" s="1"/>
      <c r="B63" s="1"/>
      <c r="C63" s="2" t="s">
        <v>150</v>
      </c>
      <c r="D63" s="1"/>
      <c r="E63" s="1"/>
      <c r="F63" s="1"/>
      <c r="G63" s="1"/>
      <c r="H63" s="52"/>
    </row>
    <row r="64" spans="1:8" ht="29.1" customHeight="1" x14ac:dyDescent="0.2">
      <c r="A64" s="3">
        <v>1</v>
      </c>
      <c r="B64" s="4" t="s">
        <v>312</v>
      </c>
      <c r="C64" s="4" t="s">
        <v>949</v>
      </c>
      <c r="D64" s="4" t="s">
        <v>105</v>
      </c>
      <c r="E64" s="5">
        <v>69716</v>
      </c>
      <c r="F64" s="6">
        <v>7.250464</v>
      </c>
      <c r="G64" s="7">
        <v>2.2987799999999998E-3</v>
      </c>
      <c r="H64" s="52"/>
    </row>
    <row r="65" spans="1:8" ht="39.75" customHeight="1" x14ac:dyDescent="0.2">
      <c r="A65" s="3">
        <v>2</v>
      </c>
      <c r="B65" s="4" t="s">
        <v>313</v>
      </c>
      <c r="C65" s="4" t="s">
        <v>950</v>
      </c>
      <c r="D65" s="4" t="s">
        <v>70</v>
      </c>
      <c r="E65" s="5">
        <v>69</v>
      </c>
      <c r="F65" s="6">
        <v>6.9006900000000001E-3</v>
      </c>
      <c r="G65" s="41" t="s">
        <v>144</v>
      </c>
      <c r="H65" s="52"/>
    </row>
    <row r="66" spans="1:8" ht="14.1" customHeight="1" x14ac:dyDescent="0.2">
      <c r="A66" s="1"/>
      <c r="B66" s="1"/>
      <c r="C66" s="2" t="s">
        <v>145</v>
      </c>
      <c r="D66" s="1"/>
      <c r="E66" s="1" t="s">
        <v>146</v>
      </c>
      <c r="F66" s="9">
        <v>7.2573646900000002</v>
      </c>
      <c r="G66" s="10">
        <v>2.3009699999999998E-3</v>
      </c>
      <c r="H66" s="52"/>
    </row>
    <row r="67" spans="1:8" ht="14.1" customHeight="1" x14ac:dyDescent="0.2">
      <c r="A67" s="1"/>
      <c r="B67" s="1"/>
      <c r="C67" s="11"/>
      <c r="D67" s="1"/>
      <c r="E67" s="1"/>
      <c r="F67" s="12"/>
      <c r="G67" s="12"/>
      <c r="H67" s="52"/>
    </row>
    <row r="68" spans="1:8" ht="14.1" customHeight="1" x14ac:dyDescent="0.2">
      <c r="A68" s="1"/>
      <c r="B68" s="1"/>
      <c r="C68" s="2" t="s">
        <v>151</v>
      </c>
      <c r="D68" s="1"/>
      <c r="E68" s="1"/>
      <c r="F68" s="12"/>
      <c r="G68" s="12"/>
      <c r="H68" s="52"/>
    </row>
    <row r="69" spans="1:8" ht="14.1" customHeight="1" x14ac:dyDescent="0.2">
      <c r="A69" s="1"/>
      <c r="B69" s="1"/>
      <c r="C69" s="2" t="s">
        <v>145</v>
      </c>
      <c r="D69" s="1"/>
      <c r="E69" s="1" t="s">
        <v>146</v>
      </c>
      <c r="F69" s="13" t="s">
        <v>148</v>
      </c>
      <c r="G69" s="10">
        <v>0</v>
      </c>
      <c r="H69" s="52"/>
    </row>
    <row r="70" spans="1:8" ht="14.1" customHeight="1" x14ac:dyDescent="0.2">
      <c r="A70" s="1"/>
      <c r="B70" s="1"/>
      <c r="C70" s="11"/>
      <c r="D70" s="1"/>
      <c r="E70" s="1"/>
      <c r="F70" s="12"/>
      <c r="G70" s="12"/>
      <c r="H70" s="52"/>
    </row>
    <row r="71" spans="1:8" ht="14.1" customHeight="1" x14ac:dyDescent="0.2">
      <c r="A71" s="1"/>
      <c r="B71" s="1"/>
      <c r="C71" s="2" t="s">
        <v>152</v>
      </c>
      <c r="D71" s="1"/>
      <c r="E71" s="1"/>
      <c r="F71" s="12"/>
      <c r="G71" s="12"/>
      <c r="H71" s="52"/>
    </row>
    <row r="72" spans="1:8" ht="14.1" customHeight="1" x14ac:dyDescent="0.2">
      <c r="A72" s="1"/>
      <c r="B72" s="1"/>
      <c r="C72" s="2" t="s">
        <v>145</v>
      </c>
      <c r="D72" s="1"/>
      <c r="E72" s="1" t="s">
        <v>146</v>
      </c>
      <c r="F72" s="13" t="s">
        <v>148</v>
      </c>
      <c r="G72" s="10">
        <v>0</v>
      </c>
      <c r="H72" s="52"/>
    </row>
    <row r="73" spans="1:8" ht="14.1" customHeight="1" x14ac:dyDescent="0.2">
      <c r="A73" s="1"/>
      <c r="B73" s="1"/>
      <c r="C73" s="11"/>
      <c r="D73" s="1"/>
      <c r="E73" s="1"/>
      <c r="F73" s="12"/>
      <c r="G73" s="12"/>
      <c r="H73" s="52"/>
    </row>
    <row r="74" spans="1:8" ht="18" customHeight="1" x14ac:dyDescent="0.2">
      <c r="A74" s="1"/>
      <c r="B74" s="1"/>
      <c r="C74" s="2" t="s">
        <v>153</v>
      </c>
      <c r="D74" s="1"/>
      <c r="E74" s="1"/>
      <c r="F74" s="9">
        <v>2998.1665171899999</v>
      </c>
      <c r="G74" s="10">
        <v>0.95057789000000004</v>
      </c>
      <c r="H74" s="52"/>
    </row>
    <row r="75" spans="1:8" ht="14.1" customHeight="1" x14ac:dyDescent="0.2">
      <c r="A75" s="1"/>
      <c r="B75" s="1"/>
      <c r="C75" s="11"/>
      <c r="D75" s="1"/>
      <c r="E75" s="1"/>
      <c r="F75" s="12"/>
      <c r="G75" s="12"/>
      <c r="H75" s="52"/>
    </row>
    <row r="76" spans="1:8" ht="14.1" customHeight="1" x14ac:dyDescent="0.2">
      <c r="A76" s="1"/>
      <c r="B76" s="1"/>
      <c r="C76" s="2" t="s">
        <v>154</v>
      </c>
      <c r="D76" s="1"/>
      <c r="E76" s="1"/>
      <c r="F76" s="12"/>
      <c r="G76" s="12"/>
      <c r="H76" s="52"/>
    </row>
    <row r="77" spans="1:8" ht="24" customHeight="1" x14ac:dyDescent="0.2">
      <c r="A77" s="1"/>
      <c r="B77" s="1"/>
      <c r="C77" s="2" t="s">
        <v>10</v>
      </c>
      <c r="D77" s="1"/>
      <c r="E77" s="1"/>
      <c r="F77" s="12"/>
      <c r="G77" s="12"/>
      <c r="H77" s="52"/>
    </row>
    <row r="78" spans="1:8" ht="14.1" customHeight="1" x14ac:dyDescent="0.2">
      <c r="A78" s="1"/>
      <c r="B78" s="1"/>
      <c r="C78" s="2" t="s">
        <v>145</v>
      </c>
      <c r="D78" s="1"/>
      <c r="E78" s="1" t="s">
        <v>146</v>
      </c>
      <c r="F78" s="13" t="s">
        <v>148</v>
      </c>
      <c r="G78" s="10">
        <v>0</v>
      </c>
      <c r="H78" s="52"/>
    </row>
    <row r="79" spans="1:8" ht="14.1" customHeight="1" x14ac:dyDescent="0.2">
      <c r="A79" s="1"/>
      <c r="B79" s="1"/>
      <c r="C79" s="11"/>
      <c r="D79" s="1"/>
      <c r="E79" s="1"/>
      <c r="F79" s="12"/>
      <c r="G79" s="12"/>
      <c r="H79" s="52"/>
    </row>
    <row r="80" spans="1:8" ht="14.1" customHeight="1" x14ac:dyDescent="0.2">
      <c r="A80" s="1"/>
      <c r="B80" s="1"/>
      <c r="C80" s="2" t="s">
        <v>155</v>
      </c>
      <c r="D80" s="1"/>
      <c r="E80" s="1"/>
      <c r="F80" s="1"/>
      <c r="G80" s="1"/>
      <c r="H80" s="52"/>
    </row>
    <row r="81" spans="1:8" ht="14.1" customHeight="1" x14ac:dyDescent="0.2">
      <c r="A81" s="1"/>
      <c r="B81" s="1"/>
      <c r="C81" s="2" t="s">
        <v>145</v>
      </c>
      <c r="D81" s="1"/>
      <c r="E81" s="1" t="s">
        <v>146</v>
      </c>
      <c r="F81" s="13" t="s">
        <v>148</v>
      </c>
      <c r="G81" s="10">
        <v>0</v>
      </c>
      <c r="H81" s="52"/>
    </row>
    <row r="82" spans="1:8" ht="14.1" customHeight="1" x14ac:dyDescent="0.2">
      <c r="A82" s="1"/>
      <c r="B82" s="1"/>
      <c r="C82" s="11"/>
      <c r="D82" s="1"/>
      <c r="E82" s="1"/>
      <c r="F82" s="12"/>
      <c r="G82" s="12"/>
      <c r="H82" s="52"/>
    </row>
    <row r="83" spans="1:8" ht="14.1" customHeight="1" x14ac:dyDescent="0.2">
      <c r="A83" s="1"/>
      <c r="B83" s="1"/>
      <c r="C83" s="2" t="s">
        <v>156</v>
      </c>
      <c r="D83" s="1"/>
      <c r="E83" s="1"/>
      <c r="F83" s="1"/>
      <c r="G83" s="1"/>
      <c r="H83" s="52"/>
    </row>
    <row r="84" spans="1:8" ht="14.1" customHeight="1" x14ac:dyDescent="0.2">
      <c r="A84" s="1"/>
      <c r="B84" s="1"/>
      <c r="C84" s="2" t="s">
        <v>145</v>
      </c>
      <c r="D84" s="1"/>
      <c r="E84" s="1" t="s">
        <v>146</v>
      </c>
      <c r="F84" s="13" t="s">
        <v>148</v>
      </c>
      <c r="G84" s="10">
        <v>0</v>
      </c>
      <c r="H84" s="52"/>
    </row>
    <row r="85" spans="1:8" ht="14.1" customHeight="1" x14ac:dyDescent="0.2">
      <c r="A85" s="1"/>
      <c r="B85" s="1"/>
      <c r="C85" s="11"/>
      <c r="D85" s="1"/>
      <c r="E85" s="1"/>
      <c r="F85" s="12"/>
      <c r="G85" s="12"/>
      <c r="H85" s="52"/>
    </row>
    <row r="86" spans="1:8" ht="14.1" customHeight="1" x14ac:dyDescent="0.2">
      <c r="A86" s="1"/>
      <c r="B86" s="1"/>
      <c r="C86" s="2" t="s">
        <v>157</v>
      </c>
      <c r="D86" s="1"/>
      <c r="E86" s="1"/>
      <c r="F86" s="12"/>
      <c r="G86" s="12"/>
      <c r="H86" s="52"/>
    </row>
    <row r="87" spans="1:8" ht="14.1" customHeight="1" x14ac:dyDescent="0.2">
      <c r="A87" s="1"/>
      <c r="B87" s="1"/>
      <c r="C87" s="2" t="s">
        <v>145</v>
      </c>
      <c r="D87" s="1"/>
      <c r="E87" s="1" t="s">
        <v>146</v>
      </c>
      <c r="F87" s="13" t="s">
        <v>148</v>
      </c>
      <c r="G87" s="10">
        <v>0</v>
      </c>
      <c r="H87" s="52"/>
    </row>
    <row r="88" spans="1:8" ht="14.1" customHeight="1" x14ac:dyDescent="0.2">
      <c r="A88" s="1"/>
      <c r="B88" s="1"/>
      <c r="C88" s="11"/>
      <c r="D88" s="1"/>
      <c r="E88" s="1"/>
      <c r="F88" s="12"/>
      <c r="G88" s="12"/>
      <c r="H88" s="52"/>
    </row>
    <row r="89" spans="1:8" ht="14.1" customHeight="1" x14ac:dyDescent="0.2">
      <c r="A89" s="1"/>
      <c r="B89" s="1"/>
      <c r="C89" s="2" t="s">
        <v>158</v>
      </c>
      <c r="D89" s="1"/>
      <c r="E89" s="1"/>
      <c r="F89" s="9">
        <v>0</v>
      </c>
      <c r="G89" s="10">
        <v>0</v>
      </c>
      <c r="H89" s="52"/>
    </row>
    <row r="90" spans="1:8" ht="14.1" customHeight="1" x14ac:dyDescent="0.2">
      <c r="A90" s="1"/>
      <c r="B90" s="1"/>
      <c r="C90" s="11"/>
      <c r="D90" s="1"/>
      <c r="E90" s="1"/>
      <c r="F90" s="12"/>
      <c r="G90" s="12"/>
      <c r="H90" s="52"/>
    </row>
    <row r="91" spans="1:8" ht="14.1" customHeight="1" x14ac:dyDescent="0.2">
      <c r="A91" s="1"/>
      <c r="B91" s="1"/>
      <c r="C91" s="2" t="s">
        <v>159</v>
      </c>
      <c r="D91" s="1"/>
      <c r="E91" s="1"/>
      <c r="F91" s="12"/>
      <c r="G91" s="12"/>
      <c r="H91" s="52"/>
    </row>
    <row r="92" spans="1:8" ht="14.1" customHeight="1" x14ac:dyDescent="0.2">
      <c r="A92" s="1"/>
      <c r="B92" s="1"/>
      <c r="C92" s="2" t="s">
        <v>160</v>
      </c>
      <c r="D92" s="1"/>
      <c r="E92" s="1"/>
      <c r="F92" s="12"/>
      <c r="G92" s="12"/>
      <c r="H92" s="52"/>
    </row>
    <row r="93" spans="1:8" ht="14.1" customHeight="1" x14ac:dyDescent="0.2">
      <c r="A93" s="1"/>
      <c r="B93" s="1"/>
      <c r="C93" s="2" t="s">
        <v>145</v>
      </c>
      <c r="D93" s="1"/>
      <c r="E93" s="1" t="s">
        <v>146</v>
      </c>
      <c r="F93" s="13" t="s">
        <v>148</v>
      </c>
      <c r="G93" s="10">
        <v>0</v>
      </c>
      <c r="H93" s="52"/>
    </row>
    <row r="94" spans="1:8" ht="14.1" customHeight="1" x14ac:dyDescent="0.2">
      <c r="A94" s="1"/>
      <c r="B94" s="1"/>
      <c r="C94" s="11"/>
      <c r="D94" s="1"/>
      <c r="E94" s="1"/>
      <c r="F94" s="12"/>
      <c r="G94" s="12"/>
      <c r="H94" s="52"/>
    </row>
    <row r="95" spans="1:8" ht="14.1" customHeight="1" x14ac:dyDescent="0.2">
      <c r="A95" s="1"/>
      <c r="B95" s="1"/>
      <c r="C95" s="2" t="s">
        <v>161</v>
      </c>
      <c r="D95" s="1"/>
      <c r="E95" s="1"/>
      <c r="F95" s="12"/>
      <c r="G95" s="12"/>
      <c r="H95" s="52"/>
    </row>
    <row r="96" spans="1:8" ht="14.1" customHeight="1" x14ac:dyDescent="0.2">
      <c r="A96" s="1"/>
      <c r="B96" s="1"/>
      <c r="C96" s="2" t="s">
        <v>145</v>
      </c>
      <c r="D96" s="1"/>
      <c r="E96" s="1" t="s">
        <v>146</v>
      </c>
      <c r="F96" s="13" t="s">
        <v>148</v>
      </c>
      <c r="G96" s="10">
        <v>0</v>
      </c>
      <c r="H96" s="52"/>
    </row>
    <row r="97" spans="1:8" ht="14.1" customHeight="1" x14ac:dyDescent="0.2">
      <c r="A97" s="1"/>
      <c r="B97" s="1"/>
      <c r="C97" s="11"/>
      <c r="D97" s="1"/>
      <c r="E97" s="1"/>
      <c r="F97" s="12"/>
      <c r="G97" s="12"/>
      <c r="H97" s="52"/>
    </row>
    <row r="98" spans="1:8" ht="14.1" customHeight="1" x14ac:dyDescent="0.2">
      <c r="A98" s="1"/>
      <c r="B98" s="1"/>
      <c r="C98" s="2" t="s">
        <v>162</v>
      </c>
      <c r="D98" s="1"/>
      <c r="E98" s="1"/>
      <c r="F98" s="12"/>
      <c r="G98" s="12"/>
      <c r="H98" s="52"/>
    </row>
    <row r="99" spans="1:8" ht="14.1" customHeight="1" x14ac:dyDescent="0.2">
      <c r="A99" s="1"/>
      <c r="B99" s="1"/>
      <c r="C99" s="2" t="s">
        <v>145</v>
      </c>
      <c r="D99" s="1"/>
      <c r="E99" s="1" t="s">
        <v>146</v>
      </c>
      <c r="F99" s="13" t="s">
        <v>148</v>
      </c>
      <c r="G99" s="10">
        <v>0</v>
      </c>
      <c r="H99" s="52"/>
    </row>
    <row r="100" spans="1:8" ht="14.1" customHeight="1" x14ac:dyDescent="0.2">
      <c r="A100" s="1"/>
      <c r="B100" s="1"/>
      <c r="C100" s="11"/>
      <c r="D100" s="1"/>
      <c r="E100" s="1"/>
      <c r="F100" s="12"/>
      <c r="G100" s="12"/>
      <c r="H100" s="52"/>
    </row>
    <row r="101" spans="1:8" ht="14.1" customHeight="1" x14ac:dyDescent="0.2">
      <c r="A101" s="1"/>
      <c r="B101" s="1"/>
      <c r="C101" s="2" t="s">
        <v>163</v>
      </c>
      <c r="D101" s="1"/>
      <c r="E101" s="1"/>
      <c r="F101" s="12"/>
      <c r="G101" s="12"/>
      <c r="H101" s="52"/>
    </row>
    <row r="102" spans="1:8" ht="17.100000000000001" customHeight="1" x14ac:dyDescent="0.2">
      <c r="A102" s="3">
        <v>1</v>
      </c>
      <c r="B102" s="4"/>
      <c r="C102" s="4" t="s">
        <v>164</v>
      </c>
      <c r="D102" s="4"/>
      <c r="E102" s="8"/>
      <c r="F102" s="6">
        <v>160.91333700000001</v>
      </c>
      <c r="G102" s="7">
        <v>5.1018069999999999E-2</v>
      </c>
      <c r="H102" s="52">
        <v>6.7567375937238596</v>
      </c>
    </row>
    <row r="103" spans="1:8" ht="14.1" customHeight="1" x14ac:dyDescent="0.2">
      <c r="A103" s="1"/>
      <c r="B103" s="1"/>
      <c r="C103" s="2" t="s">
        <v>145</v>
      </c>
      <c r="D103" s="1"/>
      <c r="E103" s="1" t="s">
        <v>146</v>
      </c>
      <c r="F103" s="9">
        <v>160.91333700000001</v>
      </c>
      <c r="G103" s="10">
        <v>5.1018069999999999E-2</v>
      </c>
      <c r="H103" s="52"/>
    </row>
    <row r="104" spans="1:8" ht="14.1" customHeight="1" x14ac:dyDescent="0.2">
      <c r="A104" s="1"/>
      <c r="B104" s="1"/>
      <c r="C104" s="11"/>
      <c r="D104" s="1"/>
      <c r="E104" s="1"/>
      <c r="F104" s="12"/>
      <c r="G104" s="12"/>
      <c r="H104" s="52"/>
    </row>
    <row r="105" spans="1:8" ht="14.1" customHeight="1" x14ac:dyDescent="0.2">
      <c r="A105" s="1"/>
      <c r="B105" s="1"/>
      <c r="C105" s="2" t="s">
        <v>165</v>
      </c>
      <c r="D105" s="1"/>
      <c r="E105" s="1"/>
      <c r="F105" s="9">
        <v>160.91333700000001</v>
      </c>
      <c r="G105" s="10">
        <v>5.1018069999999999E-2</v>
      </c>
      <c r="H105" s="52"/>
    </row>
    <row r="106" spans="1:8" ht="14.1" customHeight="1" x14ac:dyDescent="0.2">
      <c r="A106" s="1"/>
      <c r="B106" s="1"/>
      <c r="C106" s="12"/>
      <c r="D106" s="1"/>
      <c r="E106" s="1"/>
      <c r="F106" s="1"/>
      <c r="G106" s="1"/>
      <c r="H106" s="52"/>
    </row>
    <row r="107" spans="1:8" ht="14.1" customHeight="1" x14ac:dyDescent="0.2">
      <c r="A107" s="1"/>
      <c r="B107" s="1"/>
      <c r="C107" s="2" t="s">
        <v>166</v>
      </c>
      <c r="D107" s="1"/>
      <c r="E107" s="1"/>
      <c r="F107" s="1"/>
      <c r="G107" s="1"/>
      <c r="H107" s="52"/>
    </row>
    <row r="108" spans="1:8" ht="14.1" customHeight="1" x14ac:dyDescent="0.2">
      <c r="A108" s="1"/>
      <c r="B108" s="1"/>
      <c r="C108" s="2" t="s">
        <v>167</v>
      </c>
      <c r="D108" s="1"/>
      <c r="E108" s="1"/>
      <c r="F108" s="1"/>
      <c r="G108" s="1"/>
      <c r="H108" s="52"/>
    </row>
    <row r="109" spans="1:8" ht="14.1" customHeight="1" x14ac:dyDescent="0.2">
      <c r="A109" s="1"/>
      <c r="B109" s="1"/>
      <c r="C109" s="2" t="s">
        <v>145</v>
      </c>
      <c r="D109" s="1"/>
      <c r="E109" s="1" t="s">
        <v>146</v>
      </c>
      <c r="F109" s="13" t="s">
        <v>148</v>
      </c>
      <c r="G109" s="10">
        <v>0</v>
      </c>
      <c r="H109" s="52"/>
    </row>
    <row r="110" spans="1:8" ht="14.1" customHeight="1" x14ac:dyDescent="0.2">
      <c r="A110" s="1"/>
      <c r="B110" s="1"/>
      <c r="C110" s="11"/>
      <c r="D110" s="1"/>
      <c r="E110" s="1"/>
      <c r="F110" s="12"/>
      <c r="G110" s="12"/>
      <c r="H110" s="52"/>
    </row>
    <row r="111" spans="1:8" ht="14.1" customHeight="1" x14ac:dyDescent="0.2">
      <c r="A111" s="1"/>
      <c r="B111" s="1"/>
      <c r="C111" s="2" t="s">
        <v>168</v>
      </c>
      <c r="D111" s="1"/>
      <c r="E111" s="1"/>
      <c r="F111" s="1"/>
      <c r="G111" s="1"/>
      <c r="H111" s="52"/>
    </row>
    <row r="112" spans="1:8" ht="14.1" customHeight="1" x14ac:dyDescent="0.2">
      <c r="A112" s="1"/>
      <c r="B112" s="1"/>
      <c r="C112" s="2" t="s">
        <v>169</v>
      </c>
      <c r="D112" s="1"/>
      <c r="E112" s="1"/>
      <c r="F112" s="1"/>
      <c r="G112" s="1"/>
      <c r="H112" s="52"/>
    </row>
    <row r="113" spans="1:8" ht="14.1" customHeight="1" x14ac:dyDescent="0.2">
      <c r="A113" s="1"/>
      <c r="B113" s="1"/>
      <c r="C113" s="2" t="s">
        <v>145</v>
      </c>
      <c r="D113" s="1"/>
      <c r="E113" s="1" t="s">
        <v>146</v>
      </c>
      <c r="F113" s="13" t="s">
        <v>148</v>
      </c>
      <c r="G113" s="10">
        <v>0</v>
      </c>
      <c r="H113" s="52"/>
    </row>
    <row r="114" spans="1:8" ht="14.1" customHeight="1" x14ac:dyDescent="0.2">
      <c r="A114" s="1"/>
      <c r="B114" s="1"/>
      <c r="C114" s="11"/>
      <c r="D114" s="1"/>
      <c r="E114" s="1"/>
      <c r="F114" s="12"/>
      <c r="G114" s="12"/>
      <c r="H114" s="52"/>
    </row>
    <row r="115" spans="1:8" ht="24" customHeight="1" x14ac:dyDescent="0.2">
      <c r="A115" s="1"/>
      <c r="B115" s="1"/>
      <c r="C115" s="2" t="s">
        <v>170</v>
      </c>
      <c r="D115" s="1"/>
      <c r="E115" s="1"/>
      <c r="F115" s="12"/>
      <c r="G115" s="12"/>
      <c r="H115" s="52"/>
    </row>
    <row r="116" spans="1:8" ht="14.1" customHeight="1" x14ac:dyDescent="0.2">
      <c r="A116" s="1"/>
      <c r="B116" s="1"/>
      <c r="C116" s="2" t="s">
        <v>145</v>
      </c>
      <c r="D116" s="1"/>
      <c r="E116" s="1" t="s">
        <v>146</v>
      </c>
      <c r="F116" s="13" t="s">
        <v>148</v>
      </c>
      <c r="G116" s="10">
        <v>0</v>
      </c>
      <c r="H116" s="52"/>
    </row>
    <row r="117" spans="1:8" ht="14.1" customHeight="1" x14ac:dyDescent="0.2">
      <c r="A117" s="1"/>
      <c r="B117" s="1"/>
      <c r="C117" s="11"/>
      <c r="D117" s="1"/>
      <c r="E117" s="1"/>
      <c r="F117" s="12"/>
      <c r="G117" s="12"/>
      <c r="H117" s="52"/>
    </row>
    <row r="118" spans="1:8" ht="14.1" customHeight="1" x14ac:dyDescent="0.2">
      <c r="A118" s="1"/>
      <c r="B118" s="4"/>
      <c r="C118" s="4"/>
      <c r="D118" s="2"/>
      <c r="E118" s="1"/>
      <c r="F118" s="4"/>
      <c r="G118" s="8"/>
      <c r="H118" s="52"/>
    </row>
    <row r="119" spans="1:8" ht="18" customHeight="1" x14ac:dyDescent="0.2">
      <c r="A119" s="8"/>
      <c r="B119" s="4"/>
      <c r="C119" s="4" t="s">
        <v>171</v>
      </c>
      <c r="D119" s="4"/>
      <c r="E119" s="8"/>
      <c r="F119" s="6">
        <v>-5.0335833900000004</v>
      </c>
      <c r="G119" s="7">
        <v>-1.5959100000000001E-3</v>
      </c>
      <c r="H119" s="52"/>
    </row>
    <row r="120" spans="1:8" ht="14.1" customHeight="1" x14ac:dyDescent="0.2">
      <c r="A120" s="11"/>
      <c r="B120" s="11"/>
      <c r="C120" s="2" t="s">
        <v>172</v>
      </c>
      <c r="D120" s="12"/>
      <c r="E120" s="12"/>
      <c r="F120" s="9">
        <v>3154.0462708</v>
      </c>
      <c r="G120" s="14">
        <v>1.0000000499999999</v>
      </c>
      <c r="H120" s="52"/>
    </row>
    <row r="121" spans="1:8" ht="14.1" customHeight="1" x14ac:dyDescent="0.2">
      <c r="A121" s="15"/>
      <c r="B121" s="15"/>
      <c r="C121" s="15"/>
      <c r="D121" s="16"/>
      <c r="E121" s="16"/>
      <c r="F121" s="16"/>
      <c r="G121" s="16"/>
    </row>
    <row r="122" spans="1:8" ht="14.1" customHeight="1" x14ac:dyDescent="0.2">
      <c r="A122" s="42"/>
      <c r="B122" s="125" t="s">
        <v>988</v>
      </c>
      <c r="C122" s="125"/>
      <c r="D122" s="125"/>
      <c r="E122" s="125"/>
      <c r="F122" s="125"/>
      <c r="G122" s="43"/>
    </row>
    <row r="123" spans="1:8" ht="17.100000000000001" customHeight="1" x14ac:dyDescent="0.2">
      <c r="A123" s="17"/>
      <c r="B123" s="126" t="s">
        <v>173</v>
      </c>
      <c r="C123" s="126"/>
      <c r="D123" s="126"/>
      <c r="E123" s="126"/>
      <c r="F123" s="126"/>
      <c r="G123" s="19"/>
    </row>
    <row r="124" spans="1:8" ht="14.1" customHeight="1" x14ac:dyDescent="0.2">
      <c r="A124" s="17"/>
      <c r="B124" s="17"/>
      <c r="C124" s="17"/>
      <c r="D124" s="19"/>
      <c r="E124" s="19"/>
      <c r="F124" s="19"/>
      <c r="G124" s="19"/>
    </row>
    <row r="125" spans="1:8" ht="14.1" customHeight="1" x14ac:dyDescent="0.2">
      <c r="A125" s="17"/>
      <c r="B125" s="127" t="s">
        <v>174</v>
      </c>
      <c r="C125" s="128"/>
      <c r="D125" s="129"/>
      <c r="E125" s="20"/>
      <c r="F125" s="19"/>
      <c r="G125" s="19"/>
    </row>
    <row r="126" spans="1:8" ht="29.1" customHeight="1" x14ac:dyDescent="0.2">
      <c r="A126" s="17"/>
      <c r="B126" s="121" t="s">
        <v>175</v>
      </c>
      <c r="C126" s="122"/>
      <c r="D126" s="2" t="s">
        <v>176</v>
      </c>
      <c r="E126" s="20"/>
      <c r="F126" s="19"/>
      <c r="G126" s="19"/>
    </row>
    <row r="127" spans="1:8" ht="17.100000000000001" customHeight="1" x14ac:dyDescent="0.2">
      <c r="A127" s="17"/>
      <c r="B127" s="123" t="s">
        <v>953</v>
      </c>
      <c r="C127" s="124"/>
      <c r="D127" s="40" t="s">
        <v>952</v>
      </c>
      <c r="E127" s="20"/>
      <c r="F127" s="19"/>
      <c r="G127" s="19"/>
    </row>
    <row r="128" spans="1:8" ht="17.100000000000001" customHeight="1" x14ac:dyDescent="0.2">
      <c r="A128" s="17"/>
      <c r="B128" s="121" t="s">
        <v>178</v>
      </c>
      <c r="C128" s="122"/>
      <c r="D128" s="12" t="s">
        <v>146</v>
      </c>
      <c r="E128" s="20"/>
      <c r="F128" s="19"/>
      <c r="G128" s="19"/>
    </row>
    <row r="129" spans="1:7" ht="24" customHeight="1" x14ac:dyDescent="0.2">
      <c r="A129" s="21"/>
      <c r="B129" s="22" t="s">
        <v>146</v>
      </c>
      <c r="C129" s="22" t="s">
        <v>179</v>
      </c>
      <c r="D129" s="22" t="s">
        <v>180</v>
      </c>
      <c r="E129" s="21"/>
      <c r="F129" s="21"/>
      <c r="G129" s="21"/>
    </row>
    <row r="130" spans="1:7" ht="18" customHeight="1" x14ac:dyDescent="0.2">
      <c r="A130" s="21"/>
      <c r="B130" s="23" t="s">
        <v>181</v>
      </c>
      <c r="C130" s="22" t="s">
        <v>182</v>
      </c>
      <c r="D130" s="22" t="s">
        <v>183</v>
      </c>
      <c r="E130" s="21"/>
      <c r="F130" s="21"/>
      <c r="G130" s="21"/>
    </row>
    <row r="131" spans="1:7" ht="17.100000000000001" customHeight="1" x14ac:dyDescent="0.2">
      <c r="A131" s="21"/>
      <c r="B131" s="4" t="s">
        <v>184</v>
      </c>
      <c r="C131" s="24">
        <v>21.8764</v>
      </c>
      <c r="D131" s="24">
        <v>21.796099999999999</v>
      </c>
      <c r="E131" s="21"/>
      <c r="F131" s="18"/>
      <c r="G131" s="25"/>
    </row>
    <row r="132" spans="1:7" ht="17.100000000000001" customHeight="1" x14ac:dyDescent="0.2">
      <c r="A132" s="21"/>
      <c r="B132" s="4" t="s">
        <v>1039</v>
      </c>
      <c r="C132" s="24">
        <v>21.8764</v>
      </c>
      <c r="D132" s="24">
        <v>21.796099999999999</v>
      </c>
      <c r="E132" s="21"/>
      <c r="F132" s="18"/>
      <c r="G132" s="25"/>
    </row>
    <row r="133" spans="1:7" ht="17.100000000000001" customHeight="1" x14ac:dyDescent="0.2">
      <c r="A133" s="21"/>
      <c r="B133" s="4" t="s">
        <v>185</v>
      </c>
      <c r="C133" s="24">
        <v>21.3552</v>
      </c>
      <c r="D133" s="24">
        <v>21.2728</v>
      </c>
      <c r="E133" s="21"/>
      <c r="F133" s="18"/>
      <c r="G133" s="25"/>
    </row>
    <row r="134" spans="1:7" ht="17.100000000000001" customHeight="1" x14ac:dyDescent="0.2">
      <c r="A134" s="21"/>
      <c r="B134" s="4" t="s">
        <v>1040</v>
      </c>
      <c r="C134" s="24">
        <v>21.3552</v>
      </c>
      <c r="D134" s="24">
        <v>21.2728</v>
      </c>
      <c r="E134" s="21"/>
      <c r="F134" s="18"/>
      <c r="G134" s="25"/>
    </row>
    <row r="135" spans="1:7" ht="14.1" customHeight="1" x14ac:dyDescent="0.2">
      <c r="A135" s="21"/>
      <c r="B135" s="21"/>
      <c r="C135" s="21"/>
      <c r="D135" s="21"/>
      <c r="E135" s="21"/>
      <c r="F135" s="21"/>
      <c r="G135" s="21"/>
    </row>
    <row r="136" spans="1:7" ht="17.100000000000001" customHeight="1" x14ac:dyDescent="0.2">
      <c r="A136" s="21"/>
      <c r="B136" s="121" t="s">
        <v>1041</v>
      </c>
      <c r="C136" s="122"/>
      <c r="D136" s="2" t="s">
        <v>176</v>
      </c>
      <c r="E136" s="21"/>
      <c r="F136" s="21"/>
      <c r="G136" s="21"/>
    </row>
    <row r="137" spans="1:7" ht="18" customHeight="1" x14ac:dyDescent="0.2">
      <c r="A137" s="21"/>
      <c r="B137" s="26"/>
      <c r="C137" s="26"/>
      <c r="D137" s="26"/>
      <c r="E137" s="21"/>
      <c r="F137" s="21"/>
      <c r="G137" s="21"/>
    </row>
    <row r="138" spans="1:7" ht="29.1" customHeight="1" x14ac:dyDescent="0.2">
      <c r="A138" s="21"/>
      <c r="B138" s="121" t="s">
        <v>186</v>
      </c>
      <c r="C138" s="122"/>
      <c r="D138" s="2" t="s">
        <v>176</v>
      </c>
      <c r="E138" s="27"/>
      <c r="F138" s="21"/>
      <c r="G138" s="21"/>
    </row>
    <row r="139" spans="1:7" ht="29.1" customHeight="1" x14ac:dyDescent="0.2">
      <c r="A139" s="21"/>
      <c r="B139" s="121" t="s">
        <v>187</v>
      </c>
      <c r="C139" s="122"/>
      <c r="D139" s="2" t="s">
        <v>176</v>
      </c>
      <c r="E139" s="27"/>
      <c r="F139" s="21"/>
      <c r="G139" s="21"/>
    </row>
    <row r="140" spans="1:7" ht="17.100000000000001" customHeight="1" x14ac:dyDescent="0.2">
      <c r="A140" s="21"/>
      <c r="B140" s="121" t="s">
        <v>188</v>
      </c>
      <c r="C140" s="122"/>
      <c r="D140" s="2" t="s">
        <v>176</v>
      </c>
      <c r="E140" s="27"/>
      <c r="F140" s="21"/>
      <c r="G140" s="21"/>
    </row>
    <row r="141" spans="1:7" ht="17.100000000000001" customHeight="1" x14ac:dyDescent="0.2">
      <c r="A141" s="21"/>
      <c r="B141" s="121" t="s">
        <v>189</v>
      </c>
      <c r="C141" s="122"/>
      <c r="D141" s="50">
        <v>8.136697810450666E-2</v>
      </c>
      <c r="E141" s="21"/>
      <c r="F141" s="18"/>
      <c r="G141" s="25"/>
    </row>
    <row r="155" spans="10:14" x14ac:dyDescent="0.2">
      <c r="J155" s="104"/>
      <c r="K155" s="104"/>
      <c r="L155" s="104"/>
      <c r="M155" s="104"/>
      <c r="N155" s="104"/>
    </row>
  </sheetData>
  <mergeCells count="15">
    <mergeCell ref="A1:H1"/>
    <mergeCell ref="A2:H2"/>
    <mergeCell ref="A3:H3"/>
    <mergeCell ref="J2:N2"/>
    <mergeCell ref="B141:C141"/>
    <mergeCell ref="B127:C127"/>
    <mergeCell ref="B128:C128"/>
    <mergeCell ref="B136:C136"/>
    <mergeCell ref="B138:C138"/>
    <mergeCell ref="B139:C139"/>
    <mergeCell ref="B140:C140"/>
    <mergeCell ref="B126:C126"/>
    <mergeCell ref="B123:F123"/>
    <mergeCell ref="B125:D125"/>
    <mergeCell ref="B122:F122"/>
  </mergeCells>
  <hyperlinks>
    <hyperlink ref="I1" location="Index!B12" display="Index" xr:uid="{42526E82-9B05-4FCC-87D2-8BE82D6175B1}"/>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O158"/>
  <sheetViews>
    <sheetView showGridLines="0" workbookViewId="0">
      <selection sqref="A1:H1"/>
    </sheetView>
  </sheetViews>
  <sheetFormatPr defaultRowHeight="12.75" x14ac:dyDescent="0.2"/>
  <cols>
    <col min="1" max="1" width="6.85546875" customWidth="1"/>
    <col min="2" max="2" width="20.5703125" customWidth="1"/>
    <col min="3" max="3" width="36" customWidth="1"/>
    <col min="4" max="4" width="17.85546875" customWidth="1"/>
    <col min="5" max="6" width="19.140625" customWidth="1"/>
    <col min="7" max="7" width="16.42578125" customWidth="1"/>
  </cols>
  <sheetData>
    <row r="1" spans="1:15" ht="18" customHeight="1" x14ac:dyDescent="0.2">
      <c r="A1" s="116" t="s">
        <v>0</v>
      </c>
      <c r="B1" s="116"/>
      <c r="C1" s="116"/>
      <c r="D1" s="116"/>
      <c r="E1" s="116"/>
      <c r="F1" s="116"/>
      <c r="G1" s="116"/>
      <c r="H1" s="116"/>
      <c r="I1" s="98" t="s">
        <v>1053</v>
      </c>
    </row>
    <row r="2" spans="1:15" ht="17.100000000000001" customHeight="1" x14ac:dyDescent="0.2">
      <c r="A2" s="117" t="s">
        <v>495</v>
      </c>
      <c r="B2" s="118"/>
      <c r="C2" s="118"/>
      <c r="D2" s="118"/>
      <c r="E2" s="118"/>
      <c r="F2" s="118"/>
      <c r="G2" s="118"/>
      <c r="H2" s="119"/>
      <c r="J2" s="120" t="s">
        <v>1054</v>
      </c>
      <c r="K2" s="120"/>
      <c r="L2" s="120"/>
      <c r="M2" s="120"/>
      <c r="N2" s="120"/>
    </row>
    <row r="3" spans="1:15" ht="21" customHeight="1" x14ac:dyDescent="0.2">
      <c r="A3" s="116" t="s">
        <v>1049</v>
      </c>
      <c r="B3" s="116"/>
      <c r="C3" s="116"/>
      <c r="D3" s="116"/>
      <c r="E3" s="116"/>
      <c r="F3" s="116"/>
      <c r="G3" s="116"/>
      <c r="H3" s="116"/>
    </row>
    <row r="4" spans="1:15" ht="30" x14ac:dyDescent="0.2">
      <c r="A4" s="96" t="s">
        <v>2</v>
      </c>
      <c r="B4" s="96" t="s">
        <v>3</v>
      </c>
      <c r="C4" s="96" t="s">
        <v>4</v>
      </c>
      <c r="D4" s="96" t="s">
        <v>5</v>
      </c>
      <c r="E4" s="96" t="s">
        <v>6</v>
      </c>
      <c r="F4" s="96" t="s">
        <v>7</v>
      </c>
      <c r="G4" s="96" t="s">
        <v>8</v>
      </c>
      <c r="H4" s="51" t="s">
        <v>1002</v>
      </c>
      <c r="I4" s="99"/>
      <c r="J4" s="99"/>
      <c r="K4" s="99"/>
      <c r="L4" s="99"/>
      <c r="M4" s="99"/>
      <c r="N4" s="99"/>
      <c r="O4" s="99"/>
    </row>
    <row r="5" spans="1:15" ht="14.1" customHeight="1" x14ac:dyDescent="0.2">
      <c r="A5" s="1"/>
      <c r="B5" s="1"/>
      <c r="C5" s="2" t="s">
        <v>9</v>
      </c>
      <c r="D5" s="1"/>
      <c r="E5" s="1"/>
      <c r="F5" s="1"/>
      <c r="G5" s="1"/>
      <c r="H5" s="52"/>
    </row>
    <row r="6" spans="1:15" ht="24" customHeight="1" x14ac:dyDescent="0.2">
      <c r="A6" s="1"/>
      <c r="B6" s="1"/>
      <c r="C6" s="2" t="s">
        <v>10</v>
      </c>
      <c r="D6" s="1"/>
      <c r="E6" s="1"/>
      <c r="F6" s="1"/>
      <c r="G6" s="1"/>
      <c r="H6" s="52"/>
    </row>
    <row r="7" spans="1:15" ht="17.100000000000001" customHeight="1" x14ac:dyDescent="0.2">
      <c r="A7" s="3">
        <v>1</v>
      </c>
      <c r="B7" s="4" t="s">
        <v>397</v>
      </c>
      <c r="C7" s="4" t="s">
        <v>398</v>
      </c>
      <c r="D7" s="4" t="s">
        <v>60</v>
      </c>
      <c r="E7" s="5">
        <v>5017</v>
      </c>
      <c r="F7" s="6">
        <v>207.40779699999999</v>
      </c>
      <c r="G7" s="7">
        <v>5.4683299999999997E-2</v>
      </c>
      <c r="H7" s="52"/>
    </row>
    <row r="8" spans="1:15" ht="17.100000000000001" customHeight="1" x14ac:dyDescent="0.2">
      <c r="A8" s="3">
        <v>2</v>
      </c>
      <c r="B8" s="4" t="s">
        <v>32</v>
      </c>
      <c r="C8" s="4" t="s">
        <v>33</v>
      </c>
      <c r="D8" s="4" t="s">
        <v>31</v>
      </c>
      <c r="E8" s="5">
        <v>5959</v>
      </c>
      <c r="F8" s="6">
        <v>182.440744</v>
      </c>
      <c r="G8" s="7">
        <v>4.8100709999999998E-2</v>
      </c>
      <c r="H8" s="52"/>
    </row>
    <row r="9" spans="1:15" ht="17.100000000000001" customHeight="1" x14ac:dyDescent="0.2">
      <c r="A9" s="3">
        <v>3</v>
      </c>
      <c r="B9" s="4" t="s">
        <v>399</v>
      </c>
      <c r="C9" s="4" t="s">
        <v>400</v>
      </c>
      <c r="D9" s="4" t="s">
        <v>28</v>
      </c>
      <c r="E9" s="5">
        <v>180840</v>
      </c>
      <c r="F9" s="6">
        <v>167.72909999999999</v>
      </c>
      <c r="G9" s="7">
        <v>4.4221969999999999E-2</v>
      </c>
      <c r="H9" s="52"/>
    </row>
    <row r="10" spans="1:15" ht="17.100000000000001" customHeight="1" x14ac:dyDescent="0.2">
      <c r="A10" s="3">
        <v>4</v>
      </c>
      <c r="B10" s="4" t="s">
        <v>405</v>
      </c>
      <c r="C10" s="4" t="s">
        <v>406</v>
      </c>
      <c r="D10" s="4" t="s">
        <v>357</v>
      </c>
      <c r="E10" s="5">
        <v>6199</v>
      </c>
      <c r="F10" s="6">
        <v>160.0550805</v>
      </c>
      <c r="G10" s="7">
        <v>4.219871E-2</v>
      </c>
      <c r="H10" s="52"/>
    </row>
    <row r="11" spans="1:15" ht="17.100000000000001" customHeight="1" x14ac:dyDescent="0.2">
      <c r="A11" s="3">
        <v>5</v>
      </c>
      <c r="B11" s="4" t="s">
        <v>48</v>
      </c>
      <c r="C11" s="4" t="s">
        <v>49</v>
      </c>
      <c r="D11" s="4" t="s">
        <v>31</v>
      </c>
      <c r="E11" s="5">
        <v>6471</v>
      </c>
      <c r="F11" s="6">
        <v>155.459304</v>
      </c>
      <c r="G11" s="7">
        <v>4.0987019999999999E-2</v>
      </c>
      <c r="H11" s="52"/>
    </row>
    <row r="12" spans="1:15" ht="17.100000000000001" customHeight="1" x14ac:dyDescent="0.2">
      <c r="A12" s="3">
        <v>6</v>
      </c>
      <c r="B12" s="4" t="s">
        <v>125</v>
      </c>
      <c r="C12" s="4" t="s">
        <v>126</v>
      </c>
      <c r="D12" s="4" t="s">
        <v>60</v>
      </c>
      <c r="E12" s="5">
        <v>39326</v>
      </c>
      <c r="F12" s="6">
        <v>139.23370299999999</v>
      </c>
      <c r="G12" s="7">
        <v>3.670913E-2</v>
      </c>
      <c r="H12" s="52"/>
    </row>
    <row r="13" spans="1:15" ht="17.100000000000001" customHeight="1" x14ac:dyDescent="0.2">
      <c r="A13" s="3">
        <v>7</v>
      </c>
      <c r="B13" s="4" t="s">
        <v>409</v>
      </c>
      <c r="C13" s="4" t="s">
        <v>410</v>
      </c>
      <c r="D13" s="4" t="s">
        <v>205</v>
      </c>
      <c r="E13" s="5">
        <v>32339</v>
      </c>
      <c r="F13" s="6">
        <v>119.7998255</v>
      </c>
      <c r="G13" s="7">
        <v>3.158536E-2</v>
      </c>
      <c r="H13" s="52"/>
    </row>
    <row r="14" spans="1:15" ht="17.100000000000001" customHeight="1" x14ac:dyDescent="0.2">
      <c r="A14" s="3">
        <v>8</v>
      </c>
      <c r="B14" s="4" t="s">
        <v>355</v>
      </c>
      <c r="C14" s="4" t="s">
        <v>356</v>
      </c>
      <c r="D14" s="4" t="s">
        <v>357</v>
      </c>
      <c r="E14" s="5">
        <v>4750</v>
      </c>
      <c r="F14" s="6">
        <v>110.71775</v>
      </c>
      <c r="G14" s="7">
        <v>2.9190859999999999E-2</v>
      </c>
      <c r="H14" s="52"/>
      <c r="J14" s="101" t="s">
        <v>1067</v>
      </c>
    </row>
    <row r="15" spans="1:15" ht="17.100000000000001" customHeight="1" x14ac:dyDescent="0.2">
      <c r="A15" s="3">
        <v>9</v>
      </c>
      <c r="B15" s="4" t="s">
        <v>98</v>
      </c>
      <c r="C15" s="4" t="s">
        <v>99</v>
      </c>
      <c r="D15" s="4" t="s">
        <v>93</v>
      </c>
      <c r="E15" s="5">
        <v>17357</v>
      </c>
      <c r="F15" s="6">
        <v>106.8236565</v>
      </c>
      <c r="G15" s="7">
        <v>2.816418E-2</v>
      </c>
      <c r="H15" s="52"/>
    </row>
    <row r="16" spans="1:15" ht="17.100000000000001" customHeight="1" x14ac:dyDescent="0.2">
      <c r="A16" s="3">
        <v>10</v>
      </c>
      <c r="B16" s="4" t="s">
        <v>401</v>
      </c>
      <c r="C16" s="4" t="s">
        <v>402</v>
      </c>
      <c r="D16" s="4" t="s">
        <v>259</v>
      </c>
      <c r="E16" s="5">
        <v>6584</v>
      </c>
      <c r="F16" s="6">
        <v>105.22878</v>
      </c>
      <c r="G16" s="7">
        <v>2.7743690000000001E-2</v>
      </c>
      <c r="H16" s="52"/>
    </row>
    <row r="17" spans="1:8" ht="17.100000000000001" customHeight="1" x14ac:dyDescent="0.2">
      <c r="A17" s="3">
        <v>11</v>
      </c>
      <c r="B17" s="4" t="s">
        <v>403</v>
      </c>
      <c r="C17" s="4" t="s">
        <v>404</v>
      </c>
      <c r="D17" s="4" t="s">
        <v>31</v>
      </c>
      <c r="E17" s="5">
        <v>8741</v>
      </c>
      <c r="F17" s="6">
        <v>104.72155050000001</v>
      </c>
      <c r="G17" s="7">
        <v>2.7609959999999999E-2</v>
      </c>
      <c r="H17" s="52"/>
    </row>
    <row r="18" spans="1:8" ht="17.100000000000001" customHeight="1" x14ac:dyDescent="0.2">
      <c r="A18" s="3">
        <v>12</v>
      </c>
      <c r="B18" s="4" t="s">
        <v>212</v>
      </c>
      <c r="C18" s="4" t="s">
        <v>213</v>
      </c>
      <c r="D18" s="4" t="s">
        <v>888</v>
      </c>
      <c r="E18" s="5">
        <v>1654</v>
      </c>
      <c r="F18" s="6">
        <v>101.889708</v>
      </c>
      <c r="G18" s="7">
        <v>2.6863339999999999E-2</v>
      </c>
      <c r="H18" s="52"/>
    </row>
    <row r="19" spans="1:8" ht="17.100000000000001" customHeight="1" x14ac:dyDescent="0.2">
      <c r="A19" s="3">
        <v>13</v>
      </c>
      <c r="B19" s="4" t="s">
        <v>411</v>
      </c>
      <c r="C19" s="4" t="s">
        <v>412</v>
      </c>
      <c r="D19" s="4" t="s">
        <v>70</v>
      </c>
      <c r="E19" s="5">
        <v>11039</v>
      </c>
      <c r="F19" s="6">
        <v>84.277245500000006</v>
      </c>
      <c r="G19" s="7">
        <v>2.221979E-2</v>
      </c>
      <c r="H19" s="52"/>
    </row>
    <row r="20" spans="1:8" ht="17.100000000000001" customHeight="1" x14ac:dyDescent="0.2">
      <c r="A20" s="3">
        <v>14</v>
      </c>
      <c r="B20" s="4" t="s">
        <v>423</v>
      </c>
      <c r="C20" s="4" t="s">
        <v>424</v>
      </c>
      <c r="D20" s="4" t="s">
        <v>242</v>
      </c>
      <c r="E20" s="5">
        <v>37340</v>
      </c>
      <c r="F20" s="6">
        <v>83.716279999999998</v>
      </c>
      <c r="G20" s="7">
        <v>2.207189E-2</v>
      </c>
      <c r="H20" s="52"/>
    </row>
    <row r="21" spans="1:8" ht="17.100000000000001" customHeight="1" x14ac:dyDescent="0.2">
      <c r="A21" s="3">
        <v>15</v>
      </c>
      <c r="B21" s="4" t="s">
        <v>417</v>
      </c>
      <c r="C21" s="4" t="s">
        <v>418</v>
      </c>
      <c r="D21" s="4" t="s">
        <v>231</v>
      </c>
      <c r="E21" s="5">
        <v>6371</v>
      </c>
      <c r="F21" s="6">
        <v>82.533119499999998</v>
      </c>
      <c r="G21" s="7">
        <v>2.175995E-2</v>
      </c>
      <c r="H21" s="52"/>
    </row>
    <row r="22" spans="1:8" ht="29.1" customHeight="1" x14ac:dyDescent="0.2">
      <c r="A22" s="3">
        <v>16</v>
      </c>
      <c r="B22" s="4" t="s">
        <v>119</v>
      </c>
      <c r="C22" s="4" t="s">
        <v>120</v>
      </c>
      <c r="D22" s="4" t="s">
        <v>36</v>
      </c>
      <c r="E22" s="5">
        <v>3200</v>
      </c>
      <c r="F22" s="6">
        <v>78.043199999999999</v>
      </c>
      <c r="G22" s="7">
        <v>2.0576179999999999E-2</v>
      </c>
      <c r="H22" s="52"/>
    </row>
    <row r="23" spans="1:8" ht="17.100000000000001" customHeight="1" x14ac:dyDescent="0.2">
      <c r="A23" s="3">
        <v>17</v>
      </c>
      <c r="B23" s="4" t="s">
        <v>425</v>
      </c>
      <c r="C23" s="4" t="s">
        <v>426</v>
      </c>
      <c r="D23" s="4" t="s">
        <v>231</v>
      </c>
      <c r="E23" s="5">
        <v>9506</v>
      </c>
      <c r="F23" s="6">
        <v>75.439616000000001</v>
      </c>
      <c r="G23" s="7">
        <v>1.988974E-2</v>
      </c>
      <c r="H23" s="52"/>
    </row>
    <row r="24" spans="1:8" ht="17.100000000000001" customHeight="1" x14ac:dyDescent="0.2">
      <c r="A24" s="3">
        <v>18</v>
      </c>
      <c r="B24" s="4" t="s">
        <v>279</v>
      </c>
      <c r="C24" s="4" t="s">
        <v>280</v>
      </c>
      <c r="D24" s="4" t="s">
        <v>888</v>
      </c>
      <c r="E24" s="5">
        <v>6048</v>
      </c>
      <c r="F24" s="6">
        <v>73.637423999999996</v>
      </c>
      <c r="G24" s="7">
        <v>1.9414589999999999E-2</v>
      </c>
      <c r="H24" s="52"/>
    </row>
    <row r="25" spans="1:8" ht="29.1" customHeight="1" x14ac:dyDescent="0.2">
      <c r="A25" s="3">
        <v>19</v>
      </c>
      <c r="B25" s="4" t="s">
        <v>214</v>
      </c>
      <c r="C25" s="4" t="s">
        <v>215</v>
      </c>
      <c r="D25" s="4" t="s">
        <v>216</v>
      </c>
      <c r="E25" s="5">
        <v>2136</v>
      </c>
      <c r="F25" s="6">
        <v>73.441019999999995</v>
      </c>
      <c r="G25" s="7">
        <v>1.9362810000000001E-2</v>
      </c>
      <c r="H25" s="52"/>
    </row>
    <row r="26" spans="1:8" ht="17.100000000000001" customHeight="1" x14ac:dyDescent="0.2">
      <c r="A26" s="3">
        <v>20</v>
      </c>
      <c r="B26" s="4" t="s">
        <v>448</v>
      </c>
      <c r="C26" s="4" t="s">
        <v>449</v>
      </c>
      <c r="D26" s="4" t="s">
        <v>231</v>
      </c>
      <c r="E26" s="5">
        <v>32152</v>
      </c>
      <c r="F26" s="6">
        <v>73.274407999999994</v>
      </c>
      <c r="G26" s="7">
        <v>1.931888E-2</v>
      </c>
      <c r="H26" s="52"/>
    </row>
    <row r="27" spans="1:8" ht="29.1" customHeight="1" x14ac:dyDescent="0.2">
      <c r="A27" s="3">
        <v>21</v>
      </c>
      <c r="B27" s="4" t="s">
        <v>431</v>
      </c>
      <c r="C27" s="4" t="s">
        <v>432</v>
      </c>
      <c r="D27" s="4" t="s">
        <v>57</v>
      </c>
      <c r="E27" s="5">
        <v>2903</v>
      </c>
      <c r="F27" s="6">
        <v>72.148258999999996</v>
      </c>
      <c r="G27" s="7">
        <v>1.9021969999999999E-2</v>
      </c>
      <c r="H27" s="52"/>
    </row>
    <row r="28" spans="1:8" ht="17.100000000000001" customHeight="1" x14ac:dyDescent="0.2">
      <c r="A28" s="3">
        <v>22</v>
      </c>
      <c r="B28" s="4" t="s">
        <v>419</v>
      </c>
      <c r="C28" s="4" t="s">
        <v>420</v>
      </c>
      <c r="D28" s="4" t="s">
        <v>70</v>
      </c>
      <c r="E28" s="5">
        <v>62770</v>
      </c>
      <c r="F28" s="6">
        <v>71.871650000000002</v>
      </c>
      <c r="G28" s="7">
        <v>1.894904E-2</v>
      </c>
      <c r="H28" s="52"/>
    </row>
    <row r="29" spans="1:8" ht="29.1" customHeight="1" x14ac:dyDescent="0.2">
      <c r="A29" s="3">
        <v>23</v>
      </c>
      <c r="B29" s="4" t="s">
        <v>115</v>
      </c>
      <c r="C29" s="4" t="s">
        <v>116</v>
      </c>
      <c r="D29" s="4" t="s">
        <v>25</v>
      </c>
      <c r="E29" s="5">
        <v>2267</v>
      </c>
      <c r="F29" s="6">
        <v>71.501180000000005</v>
      </c>
      <c r="G29" s="7">
        <v>1.8851369999999999E-2</v>
      </c>
      <c r="H29" s="52"/>
    </row>
    <row r="30" spans="1:8" ht="17.100000000000001" customHeight="1" x14ac:dyDescent="0.2">
      <c r="A30" s="3">
        <v>24</v>
      </c>
      <c r="B30" s="4" t="s">
        <v>484</v>
      </c>
      <c r="C30" s="4" t="s">
        <v>485</v>
      </c>
      <c r="D30" s="4" t="s">
        <v>13</v>
      </c>
      <c r="E30" s="5">
        <v>10323</v>
      </c>
      <c r="F30" s="6">
        <v>68.451813000000001</v>
      </c>
      <c r="G30" s="7">
        <v>1.8047400000000002E-2</v>
      </c>
      <c r="H30" s="52"/>
    </row>
    <row r="31" spans="1:8" ht="17.100000000000001" customHeight="1" x14ac:dyDescent="0.2">
      <c r="A31" s="3">
        <v>25</v>
      </c>
      <c r="B31" s="4" t="s">
        <v>433</v>
      </c>
      <c r="C31" s="4" t="s">
        <v>434</v>
      </c>
      <c r="D31" s="4" t="s">
        <v>60</v>
      </c>
      <c r="E31" s="5">
        <v>10705</v>
      </c>
      <c r="F31" s="6">
        <v>66.253245000000007</v>
      </c>
      <c r="G31" s="7">
        <v>1.7467739999999999E-2</v>
      </c>
      <c r="H31" s="52"/>
    </row>
    <row r="32" spans="1:8" ht="17.100000000000001" customHeight="1" x14ac:dyDescent="0.2">
      <c r="A32" s="3">
        <v>26</v>
      </c>
      <c r="B32" s="4" t="s">
        <v>407</v>
      </c>
      <c r="C32" s="4" t="s">
        <v>408</v>
      </c>
      <c r="D32" s="4" t="s">
        <v>13</v>
      </c>
      <c r="E32" s="5">
        <v>48779</v>
      </c>
      <c r="F32" s="6">
        <v>63.388310500000003</v>
      </c>
      <c r="G32" s="7">
        <v>1.6712399999999999E-2</v>
      </c>
      <c r="H32" s="52"/>
    </row>
    <row r="33" spans="1:8" ht="29.1" customHeight="1" x14ac:dyDescent="0.2">
      <c r="A33" s="3">
        <v>27</v>
      </c>
      <c r="B33" s="4" t="s">
        <v>435</v>
      </c>
      <c r="C33" s="4" t="s">
        <v>436</v>
      </c>
      <c r="D33" s="4" t="s">
        <v>437</v>
      </c>
      <c r="E33" s="5">
        <v>39723</v>
      </c>
      <c r="F33" s="6">
        <v>60.239929500000002</v>
      </c>
      <c r="G33" s="7">
        <v>1.588233E-2</v>
      </c>
      <c r="H33" s="52"/>
    </row>
    <row r="34" spans="1:8" ht="17.100000000000001" customHeight="1" x14ac:dyDescent="0.2">
      <c r="A34" s="3">
        <v>28</v>
      </c>
      <c r="B34" s="4" t="s">
        <v>421</v>
      </c>
      <c r="C34" s="4" t="s">
        <v>422</v>
      </c>
      <c r="D34" s="4" t="s">
        <v>60</v>
      </c>
      <c r="E34" s="5">
        <v>5457</v>
      </c>
      <c r="F34" s="6">
        <v>59.230277999999998</v>
      </c>
      <c r="G34" s="7">
        <v>1.5616130000000001E-2</v>
      </c>
      <c r="H34" s="52"/>
    </row>
    <row r="35" spans="1:8" ht="17.100000000000001" customHeight="1" x14ac:dyDescent="0.2">
      <c r="A35" s="3">
        <v>29</v>
      </c>
      <c r="B35" s="4" t="s">
        <v>442</v>
      </c>
      <c r="C35" s="4" t="s">
        <v>443</v>
      </c>
      <c r="D35" s="4" t="s">
        <v>70</v>
      </c>
      <c r="E35" s="5">
        <v>6413</v>
      </c>
      <c r="F35" s="6">
        <v>57.861292499999998</v>
      </c>
      <c r="G35" s="7">
        <v>1.52552E-2</v>
      </c>
      <c r="H35" s="52"/>
    </row>
    <row r="36" spans="1:8" ht="17.100000000000001" customHeight="1" x14ac:dyDescent="0.2">
      <c r="A36" s="3">
        <v>30</v>
      </c>
      <c r="B36" s="4" t="s">
        <v>444</v>
      </c>
      <c r="C36" s="4" t="s">
        <v>445</v>
      </c>
      <c r="D36" s="4" t="s">
        <v>60</v>
      </c>
      <c r="E36" s="5">
        <v>11129</v>
      </c>
      <c r="F36" s="6">
        <v>57.091769999999997</v>
      </c>
      <c r="G36" s="7">
        <v>1.5052309999999999E-2</v>
      </c>
      <c r="H36" s="52"/>
    </row>
    <row r="37" spans="1:8" ht="17.100000000000001" customHeight="1" x14ac:dyDescent="0.2">
      <c r="A37" s="3">
        <v>31</v>
      </c>
      <c r="B37" s="4" t="s">
        <v>438</v>
      </c>
      <c r="C37" s="4" t="s">
        <v>439</v>
      </c>
      <c r="D37" s="4" t="s">
        <v>889</v>
      </c>
      <c r="E37" s="5">
        <v>5426</v>
      </c>
      <c r="F37" s="6">
        <v>57.046250999999998</v>
      </c>
      <c r="G37" s="7">
        <v>1.5040309999999999E-2</v>
      </c>
      <c r="H37" s="52"/>
    </row>
    <row r="38" spans="1:8" ht="29.1" customHeight="1" x14ac:dyDescent="0.2">
      <c r="A38" s="3">
        <v>32</v>
      </c>
      <c r="B38" s="4" t="s">
        <v>440</v>
      </c>
      <c r="C38" s="4" t="s">
        <v>441</v>
      </c>
      <c r="D38" s="4" t="s">
        <v>226</v>
      </c>
      <c r="E38" s="5">
        <v>17769</v>
      </c>
      <c r="F38" s="6">
        <v>56.469881999999998</v>
      </c>
      <c r="G38" s="7">
        <v>1.488835E-2</v>
      </c>
      <c r="H38" s="52"/>
    </row>
    <row r="39" spans="1:8" ht="29.1" customHeight="1" x14ac:dyDescent="0.2">
      <c r="A39" s="3">
        <v>33</v>
      </c>
      <c r="B39" s="4" t="s">
        <v>480</v>
      </c>
      <c r="C39" s="4" t="s">
        <v>481</v>
      </c>
      <c r="D39" s="4" t="s">
        <v>474</v>
      </c>
      <c r="E39" s="5">
        <v>9296</v>
      </c>
      <c r="F39" s="6">
        <v>54.860343999999998</v>
      </c>
      <c r="G39" s="7">
        <v>1.4463989999999999E-2</v>
      </c>
      <c r="H39" s="52"/>
    </row>
    <row r="40" spans="1:8" ht="29.1" customHeight="1" x14ac:dyDescent="0.2">
      <c r="A40" s="3">
        <v>34</v>
      </c>
      <c r="B40" s="4" t="s">
        <v>271</v>
      </c>
      <c r="C40" s="4" t="s">
        <v>272</v>
      </c>
      <c r="D40" s="4" t="s">
        <v>226</v>
      </c>
      <c r="E40" s="5">
        <v>14944</v>
      </c>
      <c r="F40" s="6">
        <v>54.059919999999998</v>
      </c>
      <c r="G40" s="7">
        <v>1.425296E-2</v>
      </c>
      <c r="H40" s="52"/>
    </row>
    <row r="41" spans="1:8" ht="29.1" customHeight="1" x14ac:dyDescent="0.2">
      <c r="A41" s="3">
        <v>35</v>
      </c>
      <c r="B41" s="4" t="s">
        <v>482</v>
      </c>
      <c r="C41" s="4" t="s">
        <v>483</v>
      </c>
      <c r="D41" s="4" t="s">
        <v>36</v>
      </c>
      <c r="E41" s="5">
        <v>11058</v>
      </c>
      <c r="F41" s="6">
        <v>51.474989999999998</v>
      </c>
      <c r="G41" s="7">
        <v>1.3571440000000001E-2</v>
      </c>
      <c r="H41" s="52"/>
    </row>
    <row r="42" spans="1:8" ht="29.1" customHeight="1" x14ac:dyDescent="0.2">
      <c r="A42" s="3">
        <v>36</v>
      </c>
      <c r="B42" s="4" t="s">
        <v>413</v>
      </c>
      <c r="C42" s="4" t="s">
        <v>414</v>
      </c>
      <c r="D42" s="4" t="s">
        <v>226</v>
      </c>
      <c r="E42" s="5">
        <v>3650</v>
      </c>
      <c r="F42" s="6">
        <v>51.036124999999998</v>
      </c>
      <c r="G42" s="7">
        <v>1.3455730000000001E-2</v>
      </c>
      <c r="H42" s="52"/>
    </row>
    <row r="43" spans="1:8" ht="17.100000000000001" customHeight="1" x14ac:dyDescent="0.2">
      <c r="A43" s="3">
        <v>37</v>
      </c>
      <c r="B43" s="4" t="s">
        <v>462</v>
      </c>
      <c r="C43" s="4" t="s">
        <v>463</v>
      </c>
      <c r="D43" s="4" t="s">
        <v>28</v>
      </c>
      <c r="E43" s="5">
        <v>12704</v>
      </c>
      <c r="F43" s="6">
        <v>41.974015999999999</v>
      </c>
      <c r="G43" s="7">
        <v>1.10665E-2</v>
      </c>
      <c r="H43" s="52"/>
    </row>
    <row r="44" spans="1:8" ht="29.1" customHeight="1" x14ac:dyDescent="0.2">
      <c r="A44" s="3">
        <v>38</v>
      </c>
      <c r="B44" s="4" t="s">
        <v>486</v>
      </c>
      <c r="C44" s="4" t="s">
        <v>487</v>
      </c>
      <c r="D44" s="4" t="s">
        <v>488</v>
      </c>
      <c r="E44" s="5">
        <v>9760</v>
      </c>
      <c r="F44" s="6">
        <v>40.235599999999998</v>
      </c>
      <c r="G44" s="7">
        <v>1.060816E-2</v>
      </c>
      <c r="H44" s="52"/>
    </row>
    <row r="45" spans="1:8" ht="17.100000000000001" customHeight="1" x14ac:dyDescent="0.2">
      <c r="A45" s="3">
        <v>39</v>
      </c>
      <c r="B45" s="4" t="s">
        <v>243</v>
      </c>
      <c r="C45" s="4" t="s">
        <v>244</v>
      </c>
      <c r="D45" s="4" t="s">
        <v>105</v>
      </c>
      <c r="E45" s="5">
        <v>707</v>
      </c>
      <c r="F45" s="6">
        <v>38.281575500000002</v>
      </c>
      <c r="G45" s="7">
        <v>1.009298E-2</v>
      </c>
      <c r="H45" s="52"/>
    </row>
    <row r="46" spans="1:8" ht="17.100000000000001" customHeight="1" x14ac:dyDescent="0.2">
      <c r="A46" s="3">
        <v>40</v>
      </c>
      <c r="B46" s="4" t="s">
        <v>89</v>
      </c>
      <c r="C46" s="4" t="s">
        <v>90</v>
      </c>
      <c r="D46" s="4" t="s">
        <v>31</v>
      </c>
      <c r="E46" s="5">
        <v>4646</v>
      </c>
      <c r="F46" s="6">
        <v>31.852976000000002</v>
      </c>
      <c r="G46" s="7">
        <v>8.3980700000000005E-3</v>
      </c>
      <c r="H46" s="52"/>
    </row>
    <row r="47" spans="1:8" ht="29.1" customHeight="1" x14ac:dyDescent="0.2">
      <c r="A47" s="3">
        <v>41</v>
      </c>
      <c r="B47" s="4" t="s">
        <v>456</v>
      </c>
      <c r="C47" s="4" t="s">
        <v>457</v>
      </c>
      <c r="D47" s="4" t="s">
        <v>226</v>
      </c>
      <c r="E47" s="5">
        <v>546</v>
      </c>
      <c r="F47" s="6">
        <v>27.860195999999998</v>
      </c>
      <c r="G47" s="7">
        <v>7.3453700000000004E-3</v>
      </c>
      <c r="H47" s="52"/>
    </row>
    <row r="48" spans="1:8" ht="29.1" customHeight="1" x14ac:dyDescent="0.2">
      <c r="A48" s="3">
        <v>42</v>
      </c>
      <c r="B48" s="4" t="s">
        <v>446</v>
      </c>
      <c r="C48" s="4" t="s">
        <v>447</v>
      </c>
      <c r="D48" s="4" t="s">
        <v>211</v>
      </c>
      <c r="E48" s="5">
        <v>5842</v>
      </c>
      <c r="F48" s="6">
        <v>26.963750999999998</v>
      </c>
      <c r="G48" s="7">
        <v>7.1090199999999997E-3</v>
      </c>
      <c r="H48" s="52"/>
    </row>
    <row r="49" spans="1:8" ht="29.1" customHeight="1" x14ac:dyDescent="0.2">
      <c r="A49" s="3">
        <v>43</v>
      </c>
      <c r="B49" s="4" t="s">
        <v>489</v>
      </c>
      <c r="C49" s="4" t="s">
        <v>490</v>
      </c>
      <c r="D49" s="4" t="s">
        <v>60</v>
      </c>
      <c r="E49" s="5">
        <v>2285</v>
      </c>
      <c r="F49" s="6">
        <v>24.7499775</v>
      </c>
      <c r="G49" s="7">
        <v>6.52536E-3</v>
      </c>
      <c r="H49" s="52"/>
    </row>
    <row r="50" spans="1:8" ht="17.100000000000001" customHeight="1" x14ac:dyDescent="0.2">
      <c r="A50" s="3">
        <v>44</v>
      </c>
      <c r="B50" s="4" t="s">
        <v>491</v>
      </c>
      <c r="C50" s="4" t="s">
        <v>492</v>
      </c>
      <c r="D50" s="4" t="s">
        <v>93</v>
      </c>
      <c r="E50" s="5">
        <v>22625</v>
      </c>
      <c r="F50" s="6">
        <v>20.4416875</v>
      </c>
      <c r="G50" s="7">
        <v>5.3894700000000004E-3</v>
      </c>
      <c r="H50" s="52"/>
    </row>
    <row r="51" spans="1:8" ht="17.100000000000001" customHeight="1" x14ac:dyDescent="0.2">
      <c r="A51" s="3">
        <v>45</v>
      </c>
      <c r="B51" s="4" t="s">
        <v>458</v>
      </c>
      <c r="C51" s="4" t="s">
        <v>459</v>
      </c>
      <c r="D51" s="4" t="s">
        <v>31</v>
      </c>
      <c r="E51" s="5">
        <v>2302</v>
      </c>
      <c r="F51" s="6">
        <v>20.026249</v>
      </c>
      <c r="G51" s="7">
        <v>5.2799400000000003E-3</v>
      </c>
      <c r="H51" s="52"/>
    </row>
    <row r="52" spans="1:8" ht="29.1" customHeight="1" x14ac:dyDescent="0.2">
      <c r="A52" s="3">
        <v>46</v>
      </c>
      <c r="B52" s="4" t="s">
        <v>394</v>
      </c>
      <c r="C52" s="4" t="s">
        <v>395</v>
      </c>
      <c r="D52" s="4" t="s">
        <v>60</v>
      </c>
      <c r="E52" s="5">
        <v>4172</v>
      </c>
      <c r="F52" s="6">
        <v>11.765040000000001</v>
      </c>
      <c r="G52" s="7">
        <v>3.1018700000000001E-3</v>
      </c>
      <c r="H52" s="52"/>
    </row>
    <row r="53" spans="1:8" ht="29.1" customHeight="1" x14ac:dyDescent="0.2">
      <c r="A53" s="3">
        <v>47</v>
      </c>
      <c r="B53" s="4" t="s">
        <v>460</v>
      </c>
      <c r="C53" s="4" t="s">
        <v>461</v>
      </c>
      <c r="D53" s="4" t="s">
        <v>216</v>
      </c>
      <c r="E53" s="5">
        <v>1792</v>
      </c>
      <c r="F53" s="6">
        <v>7.8874880000000003</v>
      </c>
      <c r="G53" s="7">
        <v>2.0795499999999999E-3</v>
      </c>
      <c r="H53" s="52"/>
    </row>
    <row r="54" spans="1:8" ht="17.100000000000001" customHeight="1" x14ac:dyDescent="0.2">
      <c r="A54" s="3">
        <v>48</v>
      </c>
      <c r="B54" s="4" t="s">
        <v>307</v>
      </c>
      <c r="C54" s="4" t="s">
        <v>308</v>
      </c>
      <c r="D54" s="4" t="s">
        <v>70</v>
      </c>
      <c r="E54" s="5">
        <v>707</v>
      </c>
      <c r="F54" s="6">
        <v>7.2205909999999998</v>
      </c>
      <c r="G54" s="7">
        <v>1.90372E-3</v>
      </c>
      <c r="H54" s="52"/>
    </row>
    <row r="55" spans="1:8" ht="14.1" customHeight="1" x14ac:dyDescent="0.2">
      <c r="A55" s="1"/>
      <c r="B55" s="1"/>
      <c r="C55" s="2" t="s">
        <v>145</v>
      </c>
      <c r="D55" s="1"/>
      <c r="E55" s="1" t="s">
        <v>146</v>
      </c>
      <c r="F55" s="9">
        <v>3558.113699</v>
      </c>
      <c r="G55" s="10">
        <v>0.93810073999999999</v>
      </c>
      <c r="H55" s="52"/>
    </row>
    <row r="56" spans="1:8" ht="14.1" customHeight="1" x14ac:dyDescent="0.2">
      <c r="A56" s="1"/>
      <c r="B56" s="1"/>
      <c r="C56" s="11"/>
      <c r="D56" s="1"/>
      <c r="E56" s="1"/>
      <c r="F56" s="12"/>
      <c r="G56" s="12"/>
      <c r="H56" s="52"/>
    </row>
    <row r="57" spans="1:8" ht="14.1" customHeight="1" x14ac:dyDescent="0.2">
      <c r="A57" s="1"/>
      <c r="B57" s="1"/>
      <c r="C57" s="2" t="s">
        <v>147</v>
      </c>
      <c r="D57" s="1"/>
      <c r="E57" s="1"/>
      <c r="F57" s="1"/>
      <c r="G57" s="1"/>
      <c r="H57" s="52"/>
    </row>
    <row r="58" spans="1:8" ht="14.1" customHeight="1" x14ac:dyDescent="0.2">
      <c r="A58" s="1"/>
      <c r="B58" s="1"/>
      <c r="C58" s="2" t="s">
        <v>145</v>
      </c>
      <c r="D58" s="1"/>
      <c r="E58" s="1" t="s">
        <v>146</v>
      </c>
      <c r="F58" s="13" t="s">
        <v>148</v>
      </c>
      <c r="G58" s="10">
        <v>0</v>
      </c>
      <c r="H58" s="52"/>
    </row>
    <row r="59" spans="1:8" ht="14.1" customHeight="1" x14ac:dyDescent="0.2">
      <c r="A59" s="1"/>
      <c r="B59" s="1"/>
      <c r="C59" s="11"/>
      <c r="D59" s="1"/>
      <c r="E59" s="1"/>
      <c r="F59" s="12"/>
      <c r="G59" s="12"/>
      <c r="H59" s="52"/>
    </row>
    <row r="60" spans="1:8" ht="14.1" customHeight="1" x14ac:dyDescent="0.2">
      <c r="A60" s="1"/>
      <c r="B60" s="1"/>
      <c r="C60" s="2" t="s">
        <v>149</v>
      </c>
      <c r="D60" s="1"/>
      <c r="E60" s="1"/>
      <c r="F60" s="1"/>
      <c r="G60" s="1"/>
      <c r="H60" s="52"/>
    </row>
    <row r="61" spans="1:8" ht="14.1" customHeight="1" x14ac:dyDescent="0.2">
      <c r="A61" s="1"/>
      <c r="B61" s="1"/>
      <c r="C61" s="2" t="s">
        <v>145</v>
      </c>
      <c r="D61" s="1"/>
      <c r="E61" s="1" t="s">
        <v>146</v>
      </c>
      <c r="F61" s="13" t="s">
        <v>148</v>
      </c>
      <c r="G61" s="10">
        <v>0</v>
      </c>
      <c r="H61" s="52"/>
    </row>
    <row r="62" spans="1:8" ht="14.1" customHeight="1" x14ac:dyDescent="0.2">
      <c r="A62" s="1"/>
      <c r="B62" s="1"/>
      <c r="C62" s="11"/>
      <c r="D62" s="1"/>
      <c r="E62" s="1"/>
      <c r="F62" s="12"/>
      <c r="G62" s="12"/>
      <c r="H62" s="52"/>
    </row>
    <row r="63" spans="1:8" ht="14.1" customHeight="1" x14ac:dyDescent="0.2">
      <c r="A63" s="1"/>
      <c r="B63" s="1"/>
      <c r="C63" s="2" t="s">
        <v>150</v>
      </c>
      <c r="D63" s="1"/>
      <c r="E63" s="1"/>
      <c r="F63" s="1"/>
      <c r="G63" s="1"/>
      <c r="H63" s="52"/>
    </row>
    <row r="64" spans="1:8" ht="29.1" customHeight="1" x14ac:dyDescent="0.2">
      <c r="A64" s="3">
        <v>1</v>
      </c>
      <c r="B64" s="4" t="s">
        <v>312</v>
      </c>
      <c r="C64" s="4" t="s">
        <v>949</v>
      </c>
      <c r="D64" s="4" t="s">
        <v>105</v>
      </c>
      <c r="E64" s="5">
        <v>82012</v>
      </c>
      <c r="F64" s="6">
        <v>8.5292480000000008</v>
      </c>
      <c r="G64" s="7">
        <v>2.2487499999999999E-3</v>
      </c>
      <c r="H64" s="52"/>
    </row>
    <row r="65" spans="1:8" ht="39" customHeight="1" x14ac:dyDescent="0.2">
      <c r="A65" s="3">
        <v>2</v>
      </c>
      <c r="B65" s="4" t="s">
        <v>313</v>
      </c>
      <c r="C65" s="4" t="s">
        <v>950</v>
      </c>
      <c r="D65" s="4" t="s">
        <v>70</v>
      </c>
      <c r="E65" s="5">
        <v>82</v>
      </c>
      <c r="F65" s="6">
        <v>8.2008199999999993E-3</v>
      </c>
      <c r="G65" s="41" t="s">
        <v>144</v>
      </c>
      <c r="H65" s="52"/>
    </row>
    <row r="66" spans="1:8" ht="14.1" customHeight="1" x14ac:dyDescent="0.2">
      <c r="A66" s="1"/>
      <c r="B66" s="1"/>
      <c r="C66" s="2" t="s">
        <v>145</v>
      </c>
      <c r="D66" s="1"/>
      <c r="E66" s="1" t="s">
        <v>146</v>
      </c>
      <c r="F66" s="9">
        <v>8.5374488199999998</v>
      </c>
      <c r="G66" s="10">
        <v>2.2509100000000001E-3</v>
      </c>
      <c r="H66" s="52"/>
    </row>
    <row r="67" spans="1:8" ht="14.1" customHeight="1" x14ac:dyDescent="0.2">
      <c r="A67" s="1"/>
      <c r="B67" s="1"/>
      <c r="C67" s="11"/>
      <c r="D67" s="1"/>
      <c r="E67" s="1"/>
      <c r="F67" s="12"/>
      <c r="G67" s="12"/>
      <c r="H67" s="52"/>
    </row>
    <row r="68" spans="1:8" ht="14.1" customHeight="1" x14ac:dyDescent="0.2">
      <c r="A68" s="1"/>
      <c r="B68" s="1"/>
      <c r="C68" s="2" t="s">
        <v>151</v>
      </c>
      <c r="D68" s="1"/>
      <c r="E68" s="1"/>
      <c r="F68" s="12"/>
      <c r="G68" s="12"/>
      <c r="H68" s="52"/>
    </row>
    <row r="69" spans="1:8" ht="14.1" customHeight="1" x14ac:dyDescent="0.2">
      <c r="A69" s="1"/>
      <c r="B69" s="1"/>
      <c r="C69" s="2" t="s">
        <v>145</v>
      </c>
      <c r="D69" s="1"/>
      <c r="E69" s="1" t="s">
        <v>146</v>
      </c>
      <c r="F69" s="13" t="s">
        <v>148</v>
      </c>
      <c r="G69" s="10">
        <v>0</v>
      </c>
      <c r="H69" s="52"/>
    </row>
    <row r="70" spans="1:8" ht="14.1" customHeight="1" x14ac:dyDescent="0.2">
      <c r="A70" s="1"/>
      <c r="B70" s="1"/>
      <c r="C70" s="11"/>
      <c r="D70" s="1"/>
      <c r="E70" s="1"/>
      <c r="F70" s="12"/>
      <c r="G70" s="12"/>
      <c r="H70" s="52"/>
    </row>
    <row r="71" spans="1:8" ht="14.1" customHeight="1" x14ac:dyDescent="0.2">
      <c r="A71" s="1"/>
      <c r="B71" s="1"/>
      <c r="C71" s="2" t="s">
        <v>152</v>
      </c>
      <c r="D71" s="1"/>
      <c r="E71" s="1"/>
      <c r="F71" s="12"/>
      <c r="G71" s="12"/>
      <c r="H71" s="52"/>
    </row>
    <row r="72" spans="1:8" ht="14.1" customHeight="1" x14ac:dyDescent="0.2">
      <c r="A72" s="1"/>
      <c r="B72" s="1"/>
      <c r="C72" s="2" t="s">
        <v>145</v>
      </c>
      <c r="D72" s="1"/>
      <c r="E72" s="1" t="s">
        <v>146</v>
      </c>
      <c r="F72" s="13" t="s">
        <v>148</v>
      </c>
      <c r="G72" s="10">
        <v>0</v>
      </c>
      <c r="H72" s="52"/>
    </row>
    <row r="73" spans="1:8" ht="14.1" customHeight="1" x14ac:dyDescent="0.2">
      <c r="A73" s="1"/>
      <c r="B73" s="1"/>
      <c r="C73" s="11"/>
      <c r="D73" s="1"/>
      <c r="E73" s="1"/>
      <c r="F73" s="12"/>
      <c r="G73" s="12"/>
      <c r="H73" s="52"/>
    </row>
    <row r="74" spans="1:8" ht="18" customHeight="1" x14ac:dyDescent="0.2">
      <c r="A74" s="1"/>
      <c r="B74" s="1"/>
      <c r="C74" s="2" t="s">
        <v>153</v>
      </c>
      <c r="D74" s="1"/>
      <c r="E74" s="1"/>
      <c r="F74" s="9">
        <v>3566.65114782</v>
      </c>
      <c r="G74" s="10">
        <v>0.94035164999999998</v>
      </c>
      <c r="H74" s="52"/>
    </row>
    <row r="75" spans="1:8" ht="14.1" customHeight="1" x14ac:dyDescent="0.2">
      <c r="A75" s="1"/>
      <c r="B75" s="1"/>
      <c r="C75" s="11"/>
      <c r="D75" s="1"/>
      <c r="E75" s="1"/>
      <c r="F75" s="12"/>
      <c r="G75" s="12"/>
      <c r="H75" s="52"/>
    </row>
    <row r="76" spans="1:8" ht="14.1" customHeight="1" x14ac:dyDescent="0.2">
      <c r="A76" s="1"/>
      <c r="B76" s="1"/>
      <c r="C76" s="2" t="s">
        <v>154</v>
      </c>
      <c r="D76" s="1"/>
      <c r="E76" s="1"/>
      <c r="F76" s="12"/>
      <c r="G76" s="12"/>
      <c r="H76" s="52"/>
    </row>
    <row r="77" spans="1:8" ht="24" customHeight="1" x14ac:dyDescent="0.2">
      <c r="A77" s="1"/>
      <c r="B77" s="1"/>
      <c r="C77" s="2" t="s">
        <v>10</v>
      </c>
      <c r="D77" s="1"/>
      <c r="E77" s="1"/>
      <c r="F77" s="12"/>
      <c r="G77" s="12"/>
      <c r="H77" s="52"/>
    </row>
    <row r="78" spans="1:8" ht="14.1" customHeight="1" x14ac:dyDescent="0.2">
      <c r="A78" s="1"/>
      <c r="B78" s="1"/>
      <c r="C78" s="2" t="s">
        <v>145</v>
      </c>
      <c r="D78" s="1"/>
      <c r="E78" s="1" t="s">
        <v>146</v>
      </c>
      <c r="F78" s="13" t="s">
        <v>148</v>
      </c>
      <c r="G78" s="10">
        <v>0</v>
      </c>
      <c r="H78" s="52"/>
    </row>
    <row r="79" spans="1:8" ht="14.1" customHeight="1" x14ac:dyDescent="0.2">
      <c r="A79" s="1"/>
      <c r="B79" s="1"/>
      <c r="C79" s="11"/>
      <c r="D79" s="1"/>
      <c r="E79" s="1"/>
      <c r="F79" s="12"/>
      <c r="G79" s="12"/>
      <c r="H79" s="52"/>
    </row>
    <row r="80" spans="1:8" ht="14.1" customHeight="1" x14ac:dyDescent="0.2">
      <c r="A80" s="1"/>
      <c r="B80" s="1"/>
      <c r="C80" s="2" t="s">
        <v>155</v>
      </c>
      <c r="D80" s="1"/>
      <c r="E80" s="1"/>
      <c r="F80" s="1"/>
      <c r="G80" s="1"/>
      <c r="H80" s="52"/>
    </row>
    <row r="81" spans="1:8" ht="14.1" customHeight="1" x14ac:dyDescent="0.2">
      <c r="A81" s="1"/>
      <c r="B81" s="1"/>
      <c r="C81" s="2" t="s">
        <v>145</v>
      </c>
      <c r="D81" s="1"/>
      <c r="E81" s="1" t="s">
        <v>146</v>
      </c>
      <c r="F81" s="13" t="s">
        <v>148</v>
      </c>
      <c r="G81" s="10">
        <v>0</v>
      </c>
      <c r="H81" s="52"/>
    </row>
    <row r="82" spans="1:8" ht="14.1" customHeight="1" x14ac:dyDescent="0.2">
      <c r="A82" s="1"/>
      <c r="B82" s="1"/>
      <c r="C82" s="11"/>
      <c r="D82" s="1"/>
      <c r="E82" s="1"/>
      <c r="F82" s="12"/>
      <c r="G82" s="12"/>
      <c r="H82" s="52"/>
    </row>
    <row r="83" spans="1:8" ht="14.1" customHeight="1" x14ac:dyDescent="0.2">
      <c r="A83" s="1"/>
      <c r="B83" s="1"/>
      <c r="C83" s="2" t="s">
        <v>156</v>
      </c>
      <c r="D83" s="1"/>
      <c r="E83" s="1"/>
      <c r="F83" s="1"/>
      <c r="G83" s="1"/>
      <c r="H83" s="52"/>
    </row>
    <row r="84" spans="1:8" ht="14.1" customHeight="1" x14ac:dyDescent="0.2">
      <c r="A84" s="1"/>
      <c r="B84" s="1"/>
      <c r="C84" s="2" t="s">
        <v>145</v>
      </c>
      <c r="D84" s="1"/>
      <c r="E84" s="1" t="s">
        <v>146</v>
      </c>
      <c r="F84" s="13" t="s">
        <v>148</v>
      </c>
      <c r="G84" s="10">
        <v>0</v>
      </c>
      <c r="H84" s="52"/>
    </row>
    <row r="85" spans="1:8" ht="14.1" customHeight="1" x14ac:dyDescent="0.2">
      <c r="A85" s="1"/>
      <c r="B85" s="1"/>
      <c r="C85" s="11"/>
      <c r="D85" s="1"/>
      <c r="E85" s="1"/>
      <c r="F85" s="12"/>
      <c r="G85" s="12"/>
      <c r="H85" s="52"/>
    </row>
    <row r="86" spans="1:8" ht="14.1" customHeight="1" x14ac:dyDescent="0.2">
      <c r="A86" s="1"/>
      <c r="B86" s="1"/>
      <c r="C86" s="2" t="s">
        <v>157</v>
      </c>
      <c r="D86" s="1"/>
      <c r="E86" s="1"/>
      <c r="F86" s="12"/>
      <c r="G86" s="12"/>
      <c r="H86" s="52"/>
    </row>
    <row r="87" spans="1:8" ht="14.1" customHeight="1" x14ac:dyDescent="0.2">
      <c r="A87" s="1"/>
      <c r="B87" s="1"/>
      <c r="C87" s="2" t="s">
        <v>145</v>
      </c>
      <c r="D87" s="1"/>
      <c r="E87" s="1" t="s">
        <v>146</v>
      </c>
      <c r="F87" s="13" t="s">
        <v>148</v>
      </c>
      <c r="G87" s="10">
        <v>0</v>
      </c>
      <c r="H87" s="52"/>
    </row>
    <row r="88" spans="1:8" ht="14.1" customHeight="1" x14ac:dyDescent="0.2">
      <c r="A88" s="1"/>
      <c r="B88" s="1"/>
      <c r="C88" s="11"/>
      <c r="D88" s="1"/>
      <c r="E88" s="1"/>
      <c r="F88" s="12"/>
      <c r="G88" s="12"/>
      <c r="H88" s="52"/>
    </row>
    <row r="89" spans="1:8" ht="14.1" customHeight="1" x14ac:dyDescent="0.2">
      <c r="A89" s="1"/>
      <c r="B89" s="1"/>
      <c r="C89" s="2" t="s">
        <v>158</v>
      </c>
      <c r="D89" s="1"/>
      <c r="E89" s="1"/>
      <c r="F89" s="9">
        <v>0</v>
      </c>
      <c r="G89" s="10">
        <v>0</v>
      </c>
      <c r="H89" s="52"/>
    </row>
    <row r="90" spans="1:8" ht="14.1" customHeight="1" x14ac:dyDescent="0.2">
      <c r="A90" s="1"/>
      <c r="B90" s="1"/>
      <c r="C90" s="11"/>
      <c r="D90" s="1"/>
      <c r="E90" s="1"/>
      <c r="F90" s="12"/>
      <c r="G90" s="12"/>
      <c r="H90" s="52"/>
    </row>
    <row r="91" spans="1:8" ht="14.1" customHeight="1" x14ac:dyDescent="0.2">
      <c r="A91" s="1"/>
      <c r="B91" s="1"/>
      <c r="C91" s="2" t="s">
        <v>159</v>
      </c>
      <c r="D91" s="1"/>
      <c r="E91" s="1"/>
      <c r="F91" s="12"/>
      <c r="G91" s="12"/>
      <c r="H91" s="52"/>
    </row>
    <row r="92" spans="1:8" ht="14.1" customHeight="1" x14ac:dyDescent="0.2">
      <c r="A92" s="1"/>
      <c r="B92" s="1"/>
      <c r="C92" s="2" t="s">
        <v>160</v>
      </c>
      <c r="D92" s="1"/>
      <c r="E92" s="1"/>
      <c r="F92" s="12"/>
      <c r="G92" s="12"/>
      <c r="H92" s="52"/>
    </row>
    <row r="93" spans="1:8" ht="14.1" customHeight="1" x14ac:dyDescent="0.2">
      <c r="A93" s="1"/>
      <c r="B93" s="1"/>
      <c r="C93" s="2" t="s">
        <v>145</v>
      </c>
      <c r="D93" s="1"/>
      <c r="E93" s="1" t="s">
        <v>146</v>
      </c>
      <c r="F93" s="13" t="s">
        <v>148</v>
      </c>
      <c r="G93" s="10">
        <v>0</v>
      </c>
      <c r="H93" s="52"/>
    </row>
    <row r="94" spans="1:8" ht="14.1" customHeight="1" x14ac:dyDescent="0.2">
      <c r="A94" s="1"/>
      <c r="B94" s="1"/>
      <c r="C94" s="11"/>
      <c r="D94" s="1"/>
      <c r="E94" s="1"/>
      <c r="F94" s="12"/>
      <c r="G94" s="12"/>
      <c r="H94" s="52"/>
    </row>
    <row r="95" spans="1:8" ht="14.1" customHeight="1" x14ac:dyDescent="0.2">
      <c r="A95" s="1"/>
      <c r="B95" s="1"/>
      <c r="C95" s="2" t="s">
        <v>161</v>
      </c>
      <c r="D95" s="1"/>
      <c r="E95" s="1"/>
      <c r="F95" s="12"/>
      <c r="G95" s="12"/>
      <c r="H95" s="52"/>
    </row>
    <row r="96" spans="1:8" ht="14.1" customHeight="1" x14ac:dyDescent="0.2">
      <c r="A96" s="1"/>
      <c r="B96" s="1"/>
      <c r="C96" s="2" t="s">
        <v>145</v>
      </c>
      <c r="D96" s="1"/>
      <c r="E96" s="1" t="s">
        <v>146</v>
      </c>
      <c r="F96" s="13" t="s">
        <v>148</v>
      </c>
      <c r="G96" s="10">
        <v>0</v>
      </c>
      <c r="H96" s="52"/>
    </row>
    <row r="97" spans="1:8" ht="14.1" customHeight="1" x14ac:dyDescent="0.2">
      <c r="A97" s="1"/>
      <c r="B97" s="1"/>
      <c r="C97" s="11"/>
      <c r="D97" s="1"/>
      <c r="E97" s="1"/>
      <c r="F97" s="12"/>
      <c r="G97" s="12"/>
      <c r="H97" s="52"/>
    </row>
    <row r="98" spans="1:8" ht="14.1" customHeight="1" x14ac:dyDescent="0.2">
      <c r="A98" s="1"/>
      <c r="B98" s="1"/>
      <c r="C98" s="2" t="s">
        <v>162</v>
      </c>
      <c r="D98" s="1"/>
      <c r="E98" s="1"/>
      <c r="F98" s="12"/>
      <c r="G98" s="12"/>
      <c r="H98" s="52"/>
    </row>
    <row r="99" spans="1:8" ht="14.1" customHeight="1" x14ac:dyDescent="0.2">
      <c r="A99" s="1"/>
      <c r="B99" s="1"/>
      <c r="C99" s="2" t="s">
        <v>145</v>
      </c>
      <c r="D99" s="1"/>
      <c r="E99" s="1" t="s">
        <v>146</v>
      </c>
      <c r="F99" s="13" t="s">
        <v>148</v>
      </c>
      <c r="G99" s="10">
        <v>0</v>
      </c>
      <c r="H99" s="52"/>
    </row>
    <row r="100" spans="1:8" ht="14.1" customHeight="1" x14ac:dyDescent="0.2">
      <c r="A100" s="1"/>
      <c r="B100" s="1"/>
      <c r="C100" s="11"/>
      <c r="D100" s="1"/>
      <c r="E100" s="1"/>
      <c r="F100" s="12"/>
      <c r="G100" s="12"/>
      <c r="H100" s="52"/>
    </row>
    <row r="101" spans="1:8" ht="14.1" customHeight="1" x14ac:dyDescent="0.2">
      <c r="A101" s="1"/>
      <c r="B101" s="1"/>
      <c r="C101" s="2" t="s">
        <v>163</v>
      </c>
      <c r="D101" s="1"/>
      <c r="E101" s="1"/>
      <c r="F101" s="12"/>
      <c r="G101" s="12"/>
      <c r="H101" s="52"/>
    </row>
    <row r="102" spans="1:8" ht="17.100000000000001" customHeight="1" x14ac:dyDescent="0.2">
      <c r="A102" s="3">
        <v>1</v>
      </c>
      <c r="B102" s="4"/>
      <c r="C102" s="4" t="s">
        <v>164</v>
      </c>
      <c r="D102" s="4"/>
      <c r="E102" s="8"/>
      <c r="F102" s="6">
        <v>229.42828100099999</v>
      </c>
      <c r="G102" s="7">
        <v>6.0489029999999999E-2</v>
      </c>
      <c r="H102" s="52">
        <v>6.7567375937238596</v>
      </c>
    </row>
    <row r="103" spans="1:8" ht="14.1" customHeight="1" x14ac:dyDescent="0.2">
      <c r="A103" s="1"/>
      <c r="B103" s="1"/>
      <c r="C103" s="2" t="s">
        <v>145</v>
      </c>
      <c r="D103" s="1"/>
      <c r="E103" s="1" t="s">
        <v>146</v>
      </c>
      <c r="F103" s="9">
        <v>229.42828100099999</v>
      </c>
      <c r="G103" s="10">
        <v>6.0489029999999999E-2</v>
      </c>
      <c r="H103" s="52"/>
    </row>
    <row r="104" spans="1:8" ht="14.1" customHeight="1" x14ac:dyDescent="0.2">
      <c r="A104" s="1"/>
      <c r="B104" s="1"/>
      <c r="C104" s="11"/>
      <c r="D104" s="1"/>
      <c r="E104" s="1"/>
      <c r="F104" s="12"/>
      <c r="G104" s="12"/>
      <c r="H104" s="52"/>
    </row>
    <row r="105" spans="1:8" ht="14.1" customHeight="1" x14ac:dyDescent="0.2">
      <c r="A105" s="1"/>
      <c r="B105" s="1"/>
      <c r="C105" s="2" t="s">
        <v>165</v>
      </c>
      <c r="D105" s="1"/>
      <c r="E105" s="1"/>
      <c r="F105" s="9">
        <v>229.42828100099999</v>
      </c>
      <c r="G105" s="10">
        <v>6.0489029999999999E-2</v>
      </c>
      <c r="H105" s="52"/>
    </row>
    <row r="106" spans="1:8" ht="14.1" customHeight="1" x14ac:dyDescent="0.2">
      <c r="A106" s="1"/>
      <c r="B106" s="1"/>
      <c r="C106" s="12"/>
      <c r="D106" s="1"/>
      <c r="E106" s="1"/>
      <c r="F106" s="1"/>
      <c r="G106" s="1"/>
      <c r="H106" s="52"/>
    </row>
    <row r="107" spans="1:8" ht="14.1" customHeight="1" x14ac:dyDescent="0.2">
      <c r="A107" s="1"/>
      <c r="B107" s="1"/>
      <c r="C107" s="2" t="s">
        <v>166</v>
      </c>
      <c r="D107" s="1"/>
      <c r="E107" s="1"/>
      <c r="F107" s="1"/>
      <c r="G107" s="1"/>
      <c r="H107" s="52"/>
    </row>
    <row r="108" spans="1:8" ht="14.1" customHeight="1" x14ac:dyDescent="0.2">
      <c r="A108" s="1"/>
      <c r="B108" s="1"/>
      <c r="C108" s="2" t="s">
        <v>167</v>
      </c>
      <c r="D108" s="1"/>
      <c r="E108" s="1"/>
      <c r="F108" s="1"/>
      <c r="G108" s="1"/>
      <c r="H108" s="52"/>
    </row>
    <row r="109" spans="1:8" ht="14.1" customHeight="1" x14ac:dyDescent="0.2">
      <c r="A109" s="1"/>
      <c r="B109" s="1"/>
      <c r="C109" s="2" t="s">
        <v>145</v>
      </c>
      <c r="D109" s="1"/>
      <c r="E109" s="1" t="s">
        <v>146</v>
      </c>
      <c r="F109" s="13" t="s">
        <v>148</v>
      </c>
      <c r="G109" s="10">
        <v>0</v>
      </c>
      <c r="H109" s="52"/>
    </row>
    <row r="110" spans="1:8" ht="14.1" customHeight="1" x14ac:dyDescent="0.2">
      <c r="A110" s="1"/>
      <c r="B110" s="1"/>
      <c r="C110" s="11"/>
      <c r="D110" s="1"/>
      <c r="E110" s="1"/>
      <c r="F110" s="12"/>
      <c r="G110" s="12"/>
      <c r="H110" s="52"/>
    </row>
    <row r="111" spans="1:8" ht="14.1" customHeight="1" x14ac:dyDescent="0.2">
      <c r="A111" s="1"/>
      <c r="B111" s="1"/>
      <c r="C111" s="2" t="s">
        <v>168</v>
      </c>
      <c r="D111" s="1"/>
      <c r="E111" s="1"/>
      <c r="F111" s="1"/>
      <c r="G111" s="1"/>
      <c r="H111" s="52"/>
    </row>
    <row r="112" spans="1:8" ht="14.1" customHeight="1" x14ac:dyDescent="0.2">
      <c r="A112" s="1"/>
      <c r="B112" s="1"/>
      <c r="C112" s="2" t="s">
        <v>169</v>
      </c>
      <c r="D112" s="1"/>
      <c r="E112" s="1"/>
      <c r="F112" s="1"/>
      <c r="G112" s="1"/>
      <c r="H112" s="52"/>
    </row>
    <row r="113" spans="1:8" ht="14.1" customHeight="1" x14ac:dyDescent="0.2">
      <c r="A113" s="1"/>
      <c r="B113" s="1"/>
      <c r="C113" s="2" t="s">
        <v>145</v>
      </c>
      <c r="D113" s="1"/>
      <c r="E113" s="1" t="s">
        <v>146</v>
      </c>
      <c r="F113" s="13" t="s">
        <v>148</v>
      </c>
      <c r="G113" s="10">
        <v>0</v>
      </c>
      <c r="H113" s="52"/>
    </row>
    <row r="114" spans="1:8" ht="14.1" customHeight="1" x14ac:dyDescent="0.2">
      <c r="A114" s="1"/>
      <c r="B114" s="1"/>
      <c r="C114" s="11"/>
      <c r="D114" s="1"/>
      <c r="E114" s="1"/>
      <c r="F114" s="12"/>
      <c r="G114" s="12"/>
      <c r="H114" s="52"/>
    </row>
    <row r="115" spans="1:8" ht="24" customHeight="1" x14ac:dyDescent="0.2">
      <c r="A115" s="1"/>
      <c r="B115" s="1"/>
      <c r="C115" s="2" t="s">
        <v>170</v>
      </c>
      <c r="D115" s="1"/>
      <c r="E115" s="1"/>
      <c r="F115" s="12"/>
      <c r="G115" s="12"/>
      <c r="H115" s="52"/>
    </row>
    <row r="116" spans="1:8" ht="14.1" customHeight="1" x14ac:dyDescent="0.2">
      <c r="A116" s="1"/>
      <c r="B116" s="1"/>
      <c r="C116" s="2" t="s">
        <v>145</v>
      </c>
      <c r="D116" s="1"/>
      <c r="E116" s="1" t="s">
        <v>146</v>
      </c>
      <c r="F116" s="13" t="s">
        <v>148</v>
      </c>
      <c r="G116" s="10">
        <v>0</v>
      </c>
      <c r="H116" s="52"/>
    </row>
    <row r="117" spans="1:8" ht="14.1" customHeight="1" x14ac:dyDescent="0.2">
      <c r="A117" s="1"/>
      <c r="B117" s="1"/>
      <c r="C117" s="11"/>
      <c r="D117" s="1"/>
      <c r="E117" s="1"/>
      <c r="F117" s="12"/>
      <c r="G117" s="12"/>
      <c r="H117" s="52"/>
    </row>
    <row r="118" spans="1:8" ht="14.1" customHeight="1" x14ac:dyDescent="0.2">
      <c r="A118" s="1"/>
      <c r="B118" s="4"/>
      <c r="C118" s="4"/>
      <c r="D118" s="2"/>
      <c r="E118" s="1"/>
      <c r="F118" s="4"/>
      <c r="G118" s="8"/>
      <c r="H118" s="52"/>
    </row>
    <row r="119" spans="1:8" ht="18" customHeight="1" x14ac:dyDescent="0.2">
      <c r="A119" s="8"/>
      <c r="B119" s="4"/>
      <c r="C119" s="4" t="s">
        <v>171</v>
      </c>
      <c r="D119" s="4"/>
      <c r="E119" s="8"/>
      <c r="F119" s="6">
        <v>-3.1887090800000002</v>
      </c>
      <c r="G119" s="7">
        <v>-8.4071000000000005E-4</v>
      </c>
      <c r="H119" s="52"/>
    </row>
    <row r="120" spans="1:8" ht="14.1" customHeight="1" x14ac:dyDescent="0.2">
      <c r="A120" s="11"/>
      <c r="B120" s="11"/>
      <c r="C120" s="2" t="s">
        <v>172</v>
      </c>
      <c r="D120" s="12"/>
      <c r="E120" s="12"/>
      <c r="F120" s="9">
        <v>3792.8907197409999</v>
      </c>
      <c r="G120" s="14">
        <v>0.99999996999999996</v>
      </c>
      <c r="H120" s="52"/>
    </row>
    <row r="121" spans="1:8" ht="14.1" customHeight="1" x14ac:dyDescent="0.2">
      <c r="A121" s="15"/>
      <c r="B121" s="15"/>
      <c r="C121" s="15"/>
      <c r="D121" s="16"/>
      <c r="E121" s="16"/>
      <c r="F121" s="16"/>
      <c r="G121" s="16"/>
    </row>
    <row r="122" spans="1:8" ht="14.1" customHeight="1" x14ac:dyDescent="0.2">
      <c r="A122" s="42"/>
      <c r="B122" s="125" t="s">
        <v>988</v>
      </c>
      <c r="C122" s="125"/>
      <c r="D122" s="125"/>
      <c r="E122" s="125"/>
      <c r="F122" s="125"/>
      <c r="G122" s="43"/>
    </row>
    <row r="123" spans="1:8" ht="17.100000000000001" customHeight="1" x14ac:dyDescent="0.2">
      <c r="A123" s="17"/>
      <c r="B123" s="126" t="s">
        <v>173</v>
      </c>
      <c r="C123" s="126"/>
      <c r="D123" s="126"/>
      <c r="E123" s="126"/>
      <c r="F123" s="126"/>
      <c r="G123" s="19"/>
    </row>
    <row r="124" spans="1:8" ht="14.1" customHeight="1" x14ac:dyDescent="0.2">
      <c r="A124" s="17"/>
      <c r="B124" s="17"/>
      <c r="C124" s="17"/>
      <c r="D124" s="19"/>
      <c r="E124" s="19"/>
      <c r="F124" s="19"/>
      <c r="G124" s="19"/>
    </row>
    <row r="125" spans="1:8" ht="14.1" customHeight="1" x14ac:dyDescent="0.2">
      <c r="A125" s="17"/>
      <c r="B125" s="127" t="s">
        <v>174</v>
      </c>
      <c r="C125" s="128"/>
      <c r="D125" s="129"/>
      <c r="E125" s="20"/>
      <c r="F125" s="19"/>
      <c r="G125" s="19"/>
    </row>
    <row r="126" spans="1:8" ht="29.1" customHeight="1" x14ac:dyDescent="0.2">
      <c r="A126" s="17"/>
      <c r="B126" s="121" t="s">
        <v>175</v>
      </c>
      <c r="C126" s="122"/>
      <c r="D126" s="2" t="s">
        <v>176</v>
      </c>
      <c r="E126" s="20"/>
      <c r="F126" s="19"/>
      <c r="G126" s="19"/>
    </row>
    <row r="127" spans="1:8" ht="17.100000000000001" customHeight="1" x14ac:dyDescent="0.2">
      <c r="A127" s="17"/>
      <c r="B127" s="123" t="s">
        <v>953</v>
      </c>
      <c r="C127" s="124"/>
      <c r="D127" s="40" t="s">
        <v>952</v>
      </c>
      <c r="E127" s="20"/>
      <c r="F127" s="19"/>
      <c r="G127" s="19"/>
    </row>
    <row r="128" spans="1:8" ht="17.100000000000001" customHeight="1" x14ac:dyDescent="0.2">
      <c r="A128" s="17"/>
      <c r="B128" s="121" t="s">
        <v>178</v>
      </c>
      <c r="C128" s="122"/>
      <c r="D128" s="12" t="s">
        <v>146</v>
      </c>
      <c r="E128" s="20"/>
      <c r="F128" s="19"/>
      <c r="G128" s="19"/>
    </row>
    <row r="129" spans="1:7" ht="24" customHeight="1" x14ac:dyDescent="0.2">
      <c r="A129" s="21"/>
      <c r="B129" s="22" t="s">
        <v>146</v>
      </c>
      <c r="C129" s="22" t="s">
        <v>179</v>
      </c>
      <c r="D129" s="22" t="s">
        <v>180</v>
      </c>
      <c r="E129" s="21"/>
      <c r="F129" s="21"/>
      <c r="G129" s="21"/>
    </row>
    <row r="130" spans="1:7" ht="18" customHeight="1" x14ac:dyDescent="0.2">
      <c r="A130" s="21"/>
      <c r="B130" s="23" t="s">
        <v>181</v>
      </c>
      <c r="C130" s="22" t="s">
        <v>182</v>
      </c>
      <c r="D130" s="22" t="s">
        <v>183</v>
      </c>
      <c r="E130" s="21"/>
      <c r="F130" s="21"/>
      <c r="G130" s="21"/>
    </row>
    <row r="131" spans="1:7" ht="17.100000000000001" customHeight="1" x14ac:dyDescent="0.2">
      <c r="A131" s="21"/>
      <c r="B131" s="4" t="s">
        <v>184</v>
      </c>
      <c r="C131" s="24">
        <v>21.347000000000001</v>
      </c>
      <c r="D131" s="24">
        <v>21.2654</v>
      </c>
      <c r="E131" s="21"/>
      <c r="F131" s="18"/>
      <c r="G131" s="25"/>
    </row>
    <row r="132" spans="1:7" ht="17.100000000000001" customHeight="1" x14ac:dyDescent="0.2">
      <c r="A132" s="21"/>
      <c r="B132" s="4" t="s">
        <v>1039</v>
      </c>
      <c r="C132" s="24">
        <v>21.347000000000001</v>
      </c>
      <c r="D132" s="24">
        <v>21.2654</v>
      </c>
      <c r="E132" s="21"/>
      <c r="F132" s="18"/>
      <c r="G132" s="25"/>
    </row>
    <row r="133" spans="1:7" ht="17.100000000000001" customHeight="1" x14ac:dyDescent="0.2">
      <c r="A133" s="21"/>
      <c r="B133" s="4" t="s">
        <v>185</v>
      </c>
      <c r="C133" s="24">
        <v>20.454000000000001</v>
      </c>
      <c r="D133" s="24">
        <v>20.371600000000001</v>
      </c>
      <c r="E133" s="21"/>
      <c r="F133" s="18"/>
      <c r="G133" s="25"/>
    </row>
    <row r="134" spans="1:7" ht="17.100000000000001" customHeight="1" x14ac:dyDescent="0.2">
      <c r="A134" s="21"/>
      <c r="B134" s="4" t="s">
        <v>1040</v>
      </c>
      <c r="C134" s="24">
        <v>20.453900000000001</v>
      </c>
      <c r="D134" s="24">
        <v>20.371600000000001</v>
      </c>
      <c r="E134" s="21"/>
      <c r="F134" s="18"/>
      <c r="G134" s="25"/>
    </row>
    <row r="135" spans="1:7" ht="14.1" customHeight="1" x14ac:dyDescent="0.2">
      <c r="A135" s="21"/>
      <c r="B135" s="21"/>
      <c r="C135" s="21"/>
      <c r="D135" s="21"/>
      <c r="E135" s="21"/>
      <c r="F135" s="21"/>
      <c r="G135" s="21"/>
    </row>
    <row r="136" spans="1:7" ht="17.100000000000001" customHeight="1" x14ac:dyDescent="0.2">
      <c r="A136" s="21"/>
      <c r="B136" s="121" t="s">
        <v>1041</v>
      </c>
      <c r="C136" s="122"/>
      <c r="D136" s="2" t="s">
        <v>176</v>
      </c>
      <c r="E136" s="21"/>
      <c r="F136" s="21"/>
      <c r="G136" s="21"/>
    </row>
    <row r="137" spans="1:7" ht="18" customHeight="1" x14ac:dyDescent="0.2">
      <c r="A137" s="21"/>
      <c r="B137" s="26"/>
      <c r="C137" s="26"/>
      <c r="D137" s="26"/>
      <c r="E137" s="21"/>
      <c r="F137" s="21"/>
      <c r="G137" s="21"/>
    </row>
    <row r="138" spans="1:7" ht="29.1" customHeight="1" x14ac:dyDescent="0.2">
      <c r="A138" s="21"/>
      <c r="B138" s="121" t="s">
        <v>186</v>
      </c>
      <c r="C138" s="122"/>
      <c r="D138" s="2" t="s">
        <v>176</v>
      </c>
      <c r="E138" s="27"/>
      <c r="F138" s="21"/>
      <c r="G138" s="21"/>
    </row>
    <row r="139" spans="1:7" ht="29.1" customHeight="1" x14ac:dyDescent="0.2">
      <c r="A139" s="21"/>
      <c r="B139" s="121" t="s">
        <v>187</v>
      </c>
      <c r="C139" s="122"/>
      <c r="D139" s="2" t="s">
        <v>176</v>
      </c>
      <c r="E139" s="27"/>
      <c r="F139" s="21"/>
      <c r="G139" s="21"/>
    </row>
    <row r="140" spans="1:7" ht="17.100000000000001" customHeight="1" x14ac:dyDescent="0.2">
      <c r="A140" s="21"/>
      <c r="B140" s="121" t="s">
        <v>188</v>
      </c>
      <c r="C140" s="122"/>
      <c r="D140" s="2" t="s">
        <v>176</v>
      </c>
      <c r="E140" s="27"/>
      <c r="F140" s="21"/>
      <c r="G140" s="21"/>
    </row>
    <row r="141" spans="1:7" ht="17.100000000000001" customHeight="1" x14ac:dyDescent="0.2">
      <c r="A141" s="21"/>
      <c r="B141" s="121" t="s">
        <v>189</v>
      </c>
      <c r="C141" s="122"/>
      <c r="D141" s="50">
        <v>8.9005924819722984E-2</v>
      </c>
      <c r="E141" s="21"/>
      <c r="F141" s="18"/>
      <c r="G141" s="25"/>
    </row>
    <row r="158" spans="10:14" x14ac:dyDescent="0.2">
      <c r="J158" s="104"/>
      <c r="K158" s="104"/>
      <c r="L158" s="104"/>
      <c r="M158" s="104"/>
      <c r="N158" s="104"/>
    </row>
  </sheetData>
  <mergeCells count="15">
    <mergeCell ref="A1:H1"/>
    <mergeCell ref="A2:H2"/>
    <mergeCell ref="A3:H3"/>
    <mergeCell ref="J2:N2"/>
    <mergeCell ref="B141:C141"/>
    <mergeCell ref="B127:C127"/>
    <mergeCell ref="B128:C128"/>
    <mergeCell ref="B136:C136"/>
    <mergeCell ref="B138:C138"/>
    <mergeCell ref="B139:C139"/>
    <mergeCell ref="B140:C140"/>
    <mergeCell ref="B126:C126"/>
    <mergeCell ref="B123:F123"/>
    <mergeCell ref="B125:D125"/>
    <mergeCell ref="B122:F122"/>
  </mergeCells>
  <hyperlinks>
    <hyperlink ref="I1" location="Index!B13" display="Index" xr:uid="{70F0F428-7220-4D7D-A680-DAFF66B53F79}"/>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O169"/>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5" ht="18" customHeight="1" x14ac:dyDescent="0.2">
      <c r="A1" s="116" t="s">
        <v>0</v>
      </c>
      <c r="B1" s="116"/>
      <c r="C1" s="116"/>
      <c r="D1" s="116"/>
      <c r="E1" s="116"/>
      <c r="F1" s="116"/>
      <c r="G1" s="116"/>
      <c r="H1" s="116"/>
      <c r="I1" s="98" t="s">
        <v>1053</v>
      </c>
    </row>
    <row r="2" spans="1:15" ht="17.100000000000001" customHeight="1" x14ac:dyDescent="0.2">
      <c r="A2" s="117" t="s">
        <v>496</v>
      </c>
      <c r="B2" s="118"/>
      <c r="C2" s="118"/>
      <c r="D2" s="118"/>
      <c r="E2" s="118"/>
      <c r="F2" s="118"/>
      <c r="G2" s="118"/>
      <c r="H2" s="119"/>
      <c r="J2" s="120" t="s">
        <v>1054</v>
      </c>
      <c r="K2" s="120"/>
      <c r="L2" s="120"/>
      <c r="M2" s="120"/>
      <c r="N2" s="120"/>
    </row>
    <row r="3" spans="1:15" ht="21" customHeight="1" x14ac:dyDescent="0.2">
      <c r="A3" s="116" t="s">
        <v>1049</v>
      </c>
      <c r="B3" s="116"/>
      <c r="C3" s="116"/>
      <c r="D3" s="116"/>
      <c r="E3" s="116"/>
      <c r="F3" s="116"/>
      <c r="G3" s="116"/>
      <c r="H3" s="116"/>
    </row>
    <row r="4" spans="1:15" ht="30" x14ac:dyDescent="0.2">
      <c r="A4" s="96" t="s">
        <v>2</v>
      </c>
      <c r="B4" s="96" t="s">
        <v>3</v>
      </c>
      <c r="C4" s="96" t="s">
        <v>4</v>
      </c>
      <c r="D4" s="96" t="s">
        <v>5</v>
      </c>
      <c r="E4" s="96" t="s">
        <v>6</v>
      </c>
      <c r="F4" s="96" t="s">
        <v>7</v>
      </c>
      <c r="G4" s="96" t="s">
        <v>8</v>
      </c>
      <c r="H4" s="51" t="s">
        <v>1002</v>
      </c>
      <c r="I4" s="99"/>
      <c r="J4" s="99"/>
      <c r="K4" s="99"/>
      <c r="L4" s="99"/>
      <c r="M4" s="99"/>
      <c r="N4" s="99"/>
      <c r="O4" s="99"/>
    </row>
    <row r="5" spans="1:15" ht="14.1" customHeight="1" x14ac:dyDescent="0.2">
      <c r="A5" s="1"/>
      <c r="B5" s="1"/>
      <c r="C5" s="2" t="s">
        <v>9</v>
      </c>
      <c r="D5" s="1"/>
      <c r="E5" s="1"/>
      <c r="F5" s="1"/>
      <c r="G5" s="1"/>
      <c r="H5" s="52"/>
    </row>
    <row r="6" spans="1:15" ht="24" customHeight="1" x14ac:dyDescent="0.2">
      <c r="A6" s="1"/>
      <c r="B6" s="1"/>
      <c r="C6" s="2" t="s">
        <v>10</v>
      </c>
      <c r="D6" s="1"/>
      <c r="E6" s="1"/>
      <c r="F6" s="1"/>
      <c r="G6" s="1"/>
      <c r="H6" s="52"/>
    </row>
    <row r="7" spans="1:15" ht="17.100000000000001" customHeight="1" x14ac:dyDescent="0.2">
      <c r="A7" s="3">
        <v>1</v>
      </c>
      <c r="B7" s="4" t="s">
        <v>411</v>
      </c>
      <c r="C7" s="4" t="s">
        <v>412</v>
      </c>
      <c r="D7" s="4" t="s">
        <v>70</v>
      </c>
      <c r="E7" s="5">
        <v>1102494</v>
      </c>
      <c r="F7" s="6">
        <v>8416.9904430000006</v>
      </c>
      <c r="G7" s="7">
        <v>3.2043620000000002E-2</v>
      </c>
      <c r="H7" s="52"/>
    </row>
    <row r="8" spans="1:15" ht="17.100000000000001" customHeight="1" x14ac:dyDescent="0.2">
      <c r="A8" s="3">
        <v>2</v>
      </c>
      <c r="B8" s="4" t="s">
        <v>355</v>
      </c>
      <c r="C8" s="4" t="s">
        <v>356</v>
      </c>
      <c r="D8" s="4" t="s">
        <v>357</v>
      </c>
      <c r="E8" s="5">
        <v>348370</v>
      </c>
      <c r="F8" s="6">
        <v>8120.1563299999998</v>
      </c>
      <c r="G8" s="7">
        <v>3.091356E-2</v>
      </c>
      <c r="H8" s="52"/>
    </row>
    <row r="9" spans="1:15" ht="29.1" customHeight="1" x14ac:dyDescent="0.2">
      <c r="A9" s="3">
        <v>3</v>
      </c>
      <c r="B9" s="4" t="s">
        <v>497</v>
      </c>
      <c r="C9" s="4" t="s">
        <v>498</v>
      </c>
      <c r="D9" s="4" t="s">
        <v>226</v>
      </c>
      <c r="E9" s="5">
        <v>1401534</v>
      </c>
      <c r="F9" s="6">
        <v>8110.6772579999997</v>
      </c>
      <c r="G9" s="7">
        <v>3.0877479999999999E-2</v>
      </c>
      <c r="H9" s="52"/>
    </row>
    <row r="10" spans="1:15" ht="17.100000000000001" customHeight="1" x14ac:dyDescent="0.2">
      <c r="A10" s="3">
        <v>4</v>
      </c>
      <c r="B10" s="4" t="s">
        <v>32</v>
      </c>
      <c r="C10" s="4" t="s">
        <v>33</v>
      </c>
      <c r="D10" s="4" t="s">
        <v>31</v>
      </c>
      <c r="E10" s="5">
        <v>261294</v>
      </c>
      <c r="F10" s="6">
        <v>7999.7771039999998</v>
      </c>
      <c r="G10" s="7">
        <v>3.0455280000000001E-2</v>
      </c>
      <c r="H10" s="52"/>
    </row>
    <row r="11" spans="1:15" ht="17.100000000000001" customHeight="1" x14ac:dyDescent="0.2">
      <c r="A11" s="3">
        <v>5</v>
      </c>
      <c r="B11" s="4" t="s">
        <v>48</v>
      </c>
      <c r="C11" s="4" t="s">
        <v>49</v>
      </c>
      <c r="D11" s="4" t="s">
        <v>31</v>
      </c>
      <c r="E11" s="5">
        <v>316388</v>
      </c>
      <c r="F11" s="6">
        <v>7600.9053119999999</v>
      </c>
      <c r="G11" s="7">
        <v>2.8936770000000001E-2</v>
      </c>
      <c r="H11" s="52"/>
    </row>
    <row r="12" spans="1:15" ht="17.100000000000001" customHeight="1" x14ac:dyDescent="0.2">
      <c r="A12" s="3">
        <v>6</v>
      </c>
      <c r="B12" s="4" t="s">
        <v>397</v>
      </c>
      <c r="C12" s="4" t="s">
        <v>398</v>
      </c>
      <c r="D12" s="4" t="s">
        <v>60</v>
      </c>
      <c r="E12" s="5">
        <v>167503</v>
      </c>
      <c r="F12" s="6">
        <v>6924.7415229999997</v>
      </c>
      <c r="G12" s="7">
        <v>2.63626E-2</v>
      </c>
      <c r="H12" s="52"/>
    </row>
    <row r="13" spans="1:15" ht="17.100000000000001" customHeight="1" x14ac:dyDescent="0.2">
      <c r="A13" s="3">
        <v>7</v>
      </c>
      <c r="B13" s="4" t="s">
        <v>251</v>
      </c>
      <c r="C13" s="4" t="s">
        <v>252</v>
      </c>
      <c r="D13" s="4" t="s">
        <v>70</v>
      </c>
      <c r="E13" s="5">
        <v>557219</v>
      </c>
      <c r="F13" s="6">
        <v>6342.2666579999996</v>
      </c>
      <c r="G13" s="7">
        <v>2.4145110000000001E-2</v>
      </c>
      <c r="H13" s="52"/>
      <c r="J13" s="101" t="s">
        <v>1068</v>
      </c>
    </row>
    <row r="14" spans="1:15" ht="17.100000000000001" customHeight="1" x14ac:dyDescent="0.2">
      <c r="A14" s="3">
        <v>8</v>
      </c>
      <c r="B14" s="4" t="s">
        <v>425</v>
      </c>
      <c r="C14" s="4" t="s">
        <v>426</v>
      </c>
      <c r="D14" s="4" t="s">
        <v>231</v>
      </c>
      <c r="E14" s="5">
        <v>722140</v>
      </c>
      <c r="F14" s="6">
        <v>5730.9030400000001</v>
      </c>
      <c r="G14" s="7">
        <v>2.1817639999999999E-2</v>
      </c>
      <c r="H14" s="52"/>
    </row>
    <row r="15" spans="1:15" ht="17.100000000000001" customHeight="1" x14ac:dyDescent="0.2">
      <c r="A15" s="3">
        <v>9</v>
      </c>
      <c r="B15" s="4" t="s">
        <v>499</v>
      </c>
      <c r="C15" s="4" t="s">
        <v>500</v>
      </c>
      <c r="D15" s="4" t="s">
        <v>283</v>
      </c>
      <c r="E15" s="5">
        <v>425000</v>
      </c>
      <c r="F15" s="6">
        <v>5171.8249999999998</v>
      </c>
      <c r="G15" s="7">
        <v>1.968922E-2</v>
      </c>
      <c r="H15" s="52"/>
    </row>
    <row r="16" spans="1:15" ht="17.100000000000001" customHeight="1" x14ac:dyDescent="0.2">
      <c r="A16" s="3">
        <v>10</v>
      </c>
      <c r="B16" s="4" t="s">
        <v>501</v>
      </c>
      <c r="C16" s="4" t="s">
        <v>502</v>
      </c>
      <c r="D16" s="4" t="s">
        <v>889</v>
      </c>
      <c r="E16" s="5">
        <v>303808</v>
      </c>
      <c r="F16" s="6">
        <v>4825.8381760000002</v>
      </c>
      <c r="G16" s="7">
        <v>1.8372039999999999E-2</v>
      </c>
      <c r="H16" s="52"/>
    </row>
    <row r="17" spans="1:10" ht="17.100000000000001" customHeight="1" x14ac:dyDescent="0.2">
      <c r="A17" s="3">
        <v>11</v>
      </c>
      <c r="B17" s="4" t="s">
        <v>39</v>
      </c>
      <c r="C17" s="4" t="s">
        <v>40</v>
      </c>
      <c r="D17" s="4" t="s">
        <v>28</v>
      </c>
      <c r="E17" s="5">
        <v>842743</v>
      </c>
      <c r="F17" s="6">
        <v>4766.1330365000003</v>
      </c>
      <c r="G17" s="7">
        <v>1.8144739999999999E-2</v>
      </c>
      <c r="H17" s="52"/>
    </row>
    <row r="18" spans="1:10" ht="17.100000000000001" customHeight="1" x14ac:dyDescent="0.2">
      <c r="A18" s="3">
        <v>12</v>
      </c>
      <c r="B18" s="4" t="s">
        <v>503</v>
      </c>
      <c r="C18" s="4" t="s">
        <v>504</v>
      </c>
      <c r="D18" s="4" t="s">
        <v>357</v>
      </c>
      <c r="E18" s="5">
        <v>85868</v>
      </c>
      <c r="F18" s="6">
        <v>4686.8901100000003</v>
      </c>
      <c r="G18" s="7">
        <v>1.7843060000000001E-2</v>
      </c>
      <c r="H18" s="52"/>
    </row>
    <row r="19" spans="1:10" ht="17.100000000000001" customHeight="1" x14ac:dyDescent="0.2">
      <c r="A19" s="3">
        <v>13</v>
      </c>
      <c r="B19" s="4" t="s">
        <v>279</v>
      </c>
      <c r="C19" s="4" t="s">
        <v>280</v>
      </c>
      <c r="D19" s="4" t="s">
        <v>888</v>
      </c>
      <c r="E19" s="5">
        <v>381392</v>
      </c>
      <c r="F19" s="6">
        <v>4643.6382960000001</v>
      </c>
      <c r="G19" s="7">
        <v>1.76784E-2</v>
      </c>
      <c r="H19" s="52"/>
    </row>
    <row r="20" spans="1:10" ht="17.100000000000001" customHeight="1" x14ac:dyDescent="0.2">
      <c r="A20" s="3">
        <v>14</v>
      </c>
      <c r="B20" s="4" t="s">
        <v>26</v>
      </c>
      <c r="C20" s="4" t="s">
        <v>27</v>
      </c>
      <c r="D20" s="4" t="s">
        <v>28</v>
      </c>
      <c r="E20" s="5">
        <v>500809</v>
      </c>
      <c r="F20" s="6">
        <v>4584.1551815000003</v>
      </c>
      <c r="G20" s="7">
        <v>1.7451950000000001E-2</v>
      </c>
      <c r="H20" s="52"/>
    </row>
    <row r="21" spans="1:10" ht="17.100000000000001" customHeight="1" x14ac:dyDescent="0.2">
      <c r="A21" s="3">
        <v>15</v>
      </c>
      <c r="B21" s="4" t="s">
        <v>505</v>
      </c>
      <c r="C21" s="4" t="s">
        <v>506</v>
      </c>
      <c r="D21" s="4" t="s">
        <v>70</v>
      </c>
      <c r="E21" s="5">
        <v>845368</v>
      </c>
      <c r="F21" s="6">
        <v>4524.4095360000001</v>
      </c>
      <c r="G21" s="7">
        <v>1.72245E-2</v>
      </c>
      <c r="H21" s="52"/>
    </row>
    <row r="22" spans="1:10" ht="17.100000000000001" customHeight="1" x14ac:dyDescent="0.2">
      <c r="A22" s="3">
        <v>16</v>
      </c>
      <c r="B22" s="4" t="s">
        <v>319</v>
      </c>
      <c r="C22" s="4" t="s">
        <v>320</v>
      </c>
      <c r="D22" s="4" t="s">
        <v>28</v>
      </c>
      <c r="E22" s="5">
        <v>299417</v>
      </c>
      <c r="F22" s="6">
        <v>4420.8920049999997</v>
      </c>
      <c r="G22" s="7">
        <v>1.6830410000000001E-2</v>
      </c>
      <c r="H22" s="52"/>
    </row>
    <row r="23" spans="1:10" ht="29.1" customHeight="1" x14ac:dyDescent="0.2">
      <c r="A23" s="3">
        <v>17</v>
      </c>
      <c r="B23" s="4" t="s">
        <v>413</v>
      </c>
      <c r="C23" s="4" t="s">
        <v>414</v>
      </c>
      <c r="D23" s="4" t="s">
        <v>226</v>
      </c>
      <c r="E23" s="5">
        <v>311732</v>
      </c>
      <c r="F23" s="6">
        <v>4358.7926900000002</v>
      </c>
      <c r="G23" s="7">
        <v>1.6593989999999999E-2</v>
      </c>
      <c r="H23" s="52"/>
    </row>
    <row r="24" spans="1:10" ht="17.100000000000001" customHeight="1" x14ac:dyDescent="0.2">
      <c r="A24" s="3">
        <v>18</v>
      </c>
      <c r="B24" s="4" t="s">
        <v>399</v>
      </c>
      <c r="C24" s="4" t="s">
        <v>400</v>
      </c>
      <c r="D24" s="4" t="s">
        <v>28</v>
      </c>
      <c r="E24" s="5">
        <v>4681817</v>
      </c>
      <c r="F24" s="6">
        <v>4342.3852674999998</v>
      </c>
      <c r="G24" s="7">
        <v>1.6531529999999999E-2</v>
      </c>
      <c r="H24" s="52"/>
      <c r="J24" s="101" t="s">
        <v>1069</v>
      </c>
    </row>
    <row r="25" spans="1:10" ht="17.100000000000001" customHeight="1" x14ac:dyDescent="0.2">
      <c r="A25" s="3">
        <v>19</v>
      </c>
      <c r="B25" s="4" t="s">
        <v>193</v>
      </c>
      <c r="C25" s="4" t="s">
        <v>194</v>
      </c>
      <c r="D25" s="4" t="s">
        <v>70</v>
      </c>
      <c r="E25" s="5">
        <v>1754986</v>
      </c>
      <c r="F25" s="6">
        <v>4327.7954760000002</v>
      </c>
      <c r="G25" s="7">
        <v>1.6475989999999999E-2</v>
      </c>
      <c r="H25" s="52"/>
    </row>
    <row r="26" spans="1:10" ht="17.100000000000001" customHeight="1" x14ac:dyDescent="0.2">
      <c r="A26" s="3">
        <v>20</v>
      </c>
      <c r="B26" s="4" t="s">
        <v>98</v>
      </c>
      <c r="C26" s="4" t="s">
        <v>99</v>
      </c>
      <c r="D26" s="4" t="s">
        <v>93</v>
      </c>
      <c r="E26" s="5">
        <v>698780</v>
      </c>
      <c r="F26" s="6">
        <v>4300.6415100000004</v>
      </c>
      <c r="G26" s="7">
        <v>1.6372609999999999E-2</v>
      </c>
      <c r="H26" s="52"/>
    </row>
    <row r="27" spans="1:10" ht="29.1" customHeight="1" x14ac:dyDescent="0.2">
      <c r="A27" s="3">
        <v>21</v>
      </c>
      <c r="B27" s="4" t="s">
        <v>507</v>
      </c>
      <c r="C27" s="4" t="s">
        <v>508</v>
      </c>
      <c r="D27" s="4" t="s">
        <v>216</v>
      </c>
      <c r="E27" s="5">
        <v>265529</v>
      </c>
      <c r="F27" s="6">
        <v>4225.2302124999997</v>
      </c>
      <c r="G27" s="7">
        <v>1.6085519999999999E-2</v>
      </c>
      <c r="H27" s="52"/>
    </row>
    <row r="28" spans="1:10" ht="17.100000000000001" customHeight="1" x14ac:dyDescent="0.2">
      <c r="A28" s="3">
        <v>22</v>
      </c>
      <c r="B28" s="4" t="s">
        <v>236</v>
      </c>
      <c r="C28" s="4" t="s">
        <v>237</v>
      </c>
      <c r="D28" s="4" t="s">
        <v>888</v>
      </c>
      <c r="E28" s="5">
        <v>82662</v>
      </c>
      <c r="F28" s="6">
        <v>4120.0807349999995</v>
      </c>
      <c r="G28" s="7">
        <v>1.5685210000000002E-2</v>
      </c>
      <c r="H28" s="52"/>
    </row>
    <row r="29" spans="1:10" ht="17.100000000000001" customHeight="1" x14ac:dyDescent="0.2">
      <c r="A29" s="3">
        <v>23</v>
      </c>
      <c r="B29" s="4" t="s">
        <v>401</v>
      </c>
      <c r="C29" s="4" t="s">
        <v>402</v>
      </c>
      <c r="D29" s="4" t="s">
        <v>259</v>
      </c>
      <c r="E29" s="5">
        <v>245495</v>
      </c>
      <c r="F29" s="6">
        <v>3923.6238374999998</v>
      </c>
      <c r="G29" s="7">
        <v>1.4937300000000001E-2</v>
      </c>
      <c r="H29" s="52"/>
    </row>
    <row r="30" spans="1:10" ht="29.1" customHeight="1" x14ac:dyDescent="0.2">
      <c r="A30" s="3">
        <v>24</v>
      </c>
      <c r="B30" s="4" t="s">
        <v>456</v>
      </c>
      <c r="C30" s="4" t="s">
        <v>457</v>
      </c>
      <c r="D30" s="4" t="s">
        <v>226</v>
      </c>
      <c r="E30" s="5">
        <v>74554</v>
      </c>
      <c r="F30" s="6">
        <v>3804.1924039999999</v>
      </c>
      <c r="G30" s="7">
        <v>1.448262E-2</v>
      </c>
      <c r="H30" s="52"/>
    </row>
    <row r="31" spans="1:10" ht="17.100000000000001" customHeight="1" x14ac:dyDescent="0.2">
      <c r="A31" s="3">
        <v>25</v>
      </c>
      <c r="B31" s="4" t="s">
        <v>125</v>
      </c>
      <c r="C31" s="4" t="s">
        <v>126</v>
      </c>
      <c r="D31" s="4" t="s">
        <v>60</v>
      </c>
      <c r="E31" s="5">
        <v>1030000</v>
      </c>
      <c r="F31" s="6">
        <v>3646.7150000000001</v>
      </c>
      <c r="G31" s="7">
        <v>1.3883100000000001E-2</v>
      </c>
      <c r="H31" s="52"/>
    </row>
    <row r="32" spans="1:10" ht="17.100000000000001" customHeight="1" x14ac:dyDescent="0.2">
      <c r="A32" s="3">
        <v>26</v>
      </c>
      <c r="B32" s="4" t="s">
        <v>309</v>
      </c>
      <c r="C32" s="4" t="s">
        <v>310</v>
      </c>
      <c r="D32" s="4" t="s">
        <v>311</v>
      </c>
      <c r="E32" s="5">
        <v>452552</v>
      </c>
      <c r="F32" s="6">
        <v>3643.2698759999998</v>
      </c>
      <c r="G32" s="7">
        <v>1.386999E-2</v>
      </c>
      <c r="H32" s="52"/>
    </row>
    <row r="33" spans="1:8" ht="17.100000000000001" customHeight="1" x14ac:dyDescent="0.2">
      <c r="A33" s="3">
        <v>27</v>
      </c>
      <c r="B33" s="4" t="s">
        <v>454</v>
      </c>
      <c r="C33" s="4" t="s">
        <v>455</v>
      </c>
      <c r="D33" s="4" t="s">
        <v>31</v>
      </c>
      <c r="E33" s="5">
        <v>333607</v>
      </c>
      <c r="F33" s="6">
        <v>3576.1002364999999</v>
      </c>
      <c r="G33" s="7">
        <v>1.3614269999999999E-2</v>
      </c>
      <c r="H33" s="52"/>
    </row>
    <row r="34" spans="1:8" ht="29.1" customHeight="1" x14ac:dyDescent="0.2">
      <c r="A34" s="3">
        <v>28</v>
      </c>
      <c r="B34" s="4" t="s">
        <v>85</v>
      </c>
      <c r="C34" s="4" t="s">
        <v>86</v>
      </c>
      <c r="D34" s="4" t="s">
        <v>25</v>
      </c>
      <c r="E34" s="5">
        <v>274747</v>
      </c>
      <c r="F34" s="6">
        <v>3498.0788040000002</v>
      </c>
      <c r="G34" s="7">
        <v>1.3317239999999999E-2</v>
      </c>
      <c r="H34" s="52"/>
    </row>
    <row r="35" spans="1:8" ht="17.100000000000001" customHeight="1" x14ac:dyDescent="0.2">
      <c r="A35" s="3">
        <v>29</v>
      </c>
      <c r="B35" s="4" t="s">
        <v>89</v>
      </c>
      <c r="C35" s="4" t="s">
        <v>90</v>
      </c>
      <c r="D35" s="4" t="s">
        <v>31</v>
      </c>
      <c r="E35" s="5">
        <v>496826</v>
      </c>
      <c r="F35" s="6">
        <v>3406.2390559999999</v>
      </c>
      <c r="G35" s="7">
        <v>1.2967609999999999E-2</v>
      </c>
      <c r="H35" s="52"/>
    </row>
    <row r="36" spans="1:8" ht="29.1" customHeight="1" x14ac:dyDescent="0.2">
      <c r="A36" s="3">
        <v>30</v>
      </c>
      <c r="B36" s="4" t="s">
        <v>119</v>
      </c>
      <c r="C36" s="4" t="s">
        <v>120</v>
      </c>
      <c r="D36" s="4" t="s">
        <v>36</v>
      </c>
      <c r="E36" s="5">
        <v>133616</v>
      </c>
      <c r="F36" s="6">
        <v>3258.693816</v>
      </c>
      <c r="G36" s="7">
        <v>1.2405899999999999E-2</v>
      </c>
      <c r="H36" s="52"/>
    </row>
    <row r="37" spans="1:8" ht="17.100000000000001" customHeight="1" x14ac:dyDescent="0.2">
      <c r="A37" s="3">
        <v>31</v>
      </c>
      <c r="B37" s="4" t="s">
        <v>249</v>
      </c>
      <c r="C37" s="4" t="s">
        <v>250</v>
      </c>
      <c r="D37" s="4" t="s">
        <v>231</v>
      </c>
      <c r="E37" s="5">
        <v>592238</v>
      </c>
      <c r="F37" s="6">
        <v>3243.3914070000001</v>
      </c>
      <c r="G37" s="7">
        <v>1.234764E-2</v>
      </c>
      <c r="H37" s="52"/>
    </row>
    <row r="38" spans="1:8" ht="29.1" customHeight="1" x14ac:dyDescent="0.2">
      <c r="A38" s="3">
        <v>32</v>
      </c>
      <c r="B38" s="4" t="s">
        <v>509</v>
      </c>
      <c r="C38" s="4" t="s">
        <v>510</v>
      </c>
      <c r="D38" s="4" t="s">
        <v>488</v>
      </c>
      <c r="E38" s="5">
        <v>2058571</v>
      </c>
      <c r="F38" s="6">
        <v>3212.4000455</v>
      </c>
      <c r="G38" s="7">
        <v>1.222966E-2</v>
      </c>
      <c r="H38" s="52"/>
    </row>
    <row r="39" spans="1:8" ht="17.100000000000001" customHeight="1" x14ac:dyDescent="0.2">
      <c r="A39" s="3">
        <v>33</v>
      </c>
      <c r="B39" s="4" t="s">
        <v>438</v>
      </c>
      <c r="C39" s="4" t="s">
        <v>439</v>
      </c>
      <c r="D39" s="4" t="s">
        <v>889</v>
      </c>
      <c r="E39" s="5">
        <v>303175</v>
      </c>
      <c r="F39" s="6">
        <v>3187.4303624999998</v>
      </c>
      <c r="G39" s="7">
        <v>1.2134600000000001E-2</v>
      </c>
      <c r="H39" s="52"/>
    </row>
    <row r="40" spans="1:8" ht="17.100000000000001" customHeight="1" x14ac:dyDescent="0.2">
      <c r="A40" s="3">
        <v>34</v>
      </c>
      <c r="B40" s="4" t="s">
        <v>353</v>
      </c>
      <c r="C40" s="4" t="s">
        <v>354</v>
      </c>
      <c r="D40" s="4" t="s">
        <v>888</v>
      </c>
      <c r="E40" s="5">
        <v>60512</v>
      </c>
      <c r="F40" s="6">
        <v>3062.1492480000002</v>
      </c>
      <c r="G40" s="7">
        <v>1.165765E-2</v>
      </c>
      <c r="H40" s="52"/>
    </row>
    <row r="41" spans="1:8" ht="17.100000000000001" customHeight="1" x14ac:dyDescent="0.2">
      <c r="A41" s="3">
        <v>35</v>
      </c>
      <c r="B41" s="4" t="s">
        <v>227</v>
      </c>
      <c r="C41" s="4" t="s">
        <v>228</v>
      </c>
      <c r="D41" s="4" t="s">
        <v>76</v>
      </c>
      <c r="E41" s="5">
        <v>1129242</v>
      </c>
      <c r="F41" s="6">
        <v>3020.72235</v>
      </c>
      <c r="G41" s="7">
        <v>1.149994E-2</v>
      </c>
      <c r="H41" s="52"/>
    </row>
    <row r="42" spans="1:8" ht="17.100000000000001" customHeight="1" x14ac:dyDescent="0.2">
      <c r="A42" s="3">
        <v>36</v>
      </c>
      <c r="B42" s="4" t="s">
        <v>349</v>
      </c>
      <c r="C42" s="4" t="s">
        <v>350</v>
      </c>
      <c r="D42" s="4" t="s">
        <v>70</v>
      </c>
      <c r="E42" s="5">
        <v>40208</v>
      </c>
      <c r="F42" s="6">
        <v>3012.6447119999998</v>
      </c>
      <c r="G42" s="7">
        <v>1.1469190000000001E-2</v>
      </c>
      <c r="H42" s="52"/>
    </row>
    <row r="43" spans="1:8" ht="29.1" customHeight="1" x14ac:dyDescent="0.2">
      <c r="A43" s="3">
        <v>37</v>
      </c>
      <c r="B43" s="4" t="s">
        <v>511</v>
      </c>
      <c r="C43" s="4" t="s">
        <v>512</v>
      </c>
      <c r="D43" s="4" t="s">
        <v>226</v>
      </c>
      <c r="E43" s="5">
        <v>484538</v>
      </c>
      <c r="F43" s="6">
        <v>2890.26917</v>
      </c>
      <c r="G43" s="7">
        <v>1.1003300000000001E-2</v>
      </c>
      <c r="H43" s="52"/>
    </row>
    <row r="44" spans="1:8" ht="17.100000000000001" customHeight="1" x14ac:dyDescent="0.2">
      <c r="A44" s="3">
        <v>38</v>
      </c>
      <c r="B44" s="4" t="s">
        <v>462</v>
      </c>
      <c r="C44" s="4" t="s">
        <v>463</v>
      </c>
      <c r="D44" s="4" t="s">
        <v>28</v>
      </c>
      <c r="E44" s="5">
        <v>862569</v>
      </c>
      <c r="F44" s="6">
        <v>2849.9279759999999</v>
      </c>
      <c r="G44" s="7">
        <v>1.084972E-2</v>
      </c>
      <c r="H44" s="52"/>
    </row>
    <row r="45" spans="1:8" ht="17.100000000000001" customHeight="1" x14ac:dyDescent="0.2">
      <c r="A45" s="3">
        <v>39</v>
      </c>
      <c r="B45" s="4" t="s">
        <v>513</v>
      </c>
      <c r="C45" s="4" t="s">
        <v>514</v>
      </c>
      <c r="D45" s="4" t="s">
        <v>288</v>
      </c>
      <c r="E45" s="5">
        <v>45640</v>
      </c>
      <c r="F45" s="6">
        <v>2795.1305200000002</v>
      </c>
      <c r="G45" s="7">
        <v>1.064111E-2</v>
      </c>
      <c r="H45" s="52"/>
    </row>
    <row r="46" spans="1:8" ht="17.100000000000001" customHeight="1" x14ac:dyDescent="0.2">
      <c r="A46" s="3">
        <v>40</v>
      </c>
      <c r="B46" s="4" t="s">
        <v>515</v>
      </c>
      <c r="C46" s="4" t="s">
        <v>516</v>
      </c>
      <c r="D46" s="4" t="s">
        <v>888</v>
      </c>
      <c r="E46" s="5">
        <v>498569</v>
      </c>
      <c r="F46" s="6">
        <v>2730.4131284999999</v>
      </c>
      <c r="G46" s="7">
        <v>1.039473E-2</v>
      </c>
      <c r="H46" s="52"/>
    </row>
    <row r="47" spans="1:8" ht="17.100000000000001" customHeight="1" x14ac:dyDescent="0.2">
      <c r="A47" s="3">
        <v>41</v>
      </c>
      <c r="B47" s="4" t="s">
        <v>108</v>
      </c>
      <c r="C47" s="4" t="s">
        <v>109</v>
      </c>
      <c r="D47" s="4" t="s">
        <v>105</v>
      </c>
      <c r="E47" s="5">
        <v>402291</v>
      </c>
      <c r="F47" s="6">
        <v>2722.1020515</v>
      </c>
      <c r="G47" s="7">
        <v>1.036309E-2</v>
      </c>
      <c r="H47" s="52"/>
    </row>
    <row r="48" spans="1:8" ht="29.1" customHeight="1" x14ac:dyDescent="0.2">
      <c r="A48" s="3">
        <v>42</v>
      </c>
      <c r="B48" s="4" t="s">
        <v>517</v>
      </c>
      <c r="C48" s="4" t="s">
        <v>518</v>
      </c>
      <c r="D48" s="4" t="s">
        <v>474</v>
      </c>
      <c r="E48" s="5">
        <v>647749</v>
      </c>
      <c r="F48" s="6">
        <v>2676.1749934999998</v>
      </c>
      <c r="G48" s="7">
        <v>1.0188239999999999E-2</v>
      </c>
      <c r="H48" s="52"/>
    </row>
    <row r="49" spans="1:8" ht="17.100000000000001" customHeight="1" x14ac:dyDescent="0.2">
      <c r="A49" s="3">
        <v>43</v>
      </c>
      <c r="B49" s="4" t="s">
        <v>117</v>
      </c>
      <c r="C49" s="4" t="s">
        <v>118</v>
      </c>
      <c r="D49" s="4" t="s">
        <v>43</v>
      </c>
      <c r="E49" s="5">
        <v>1099317</v>
      </c>
      <c r="F49" s="6">
        <v>2662.5457740000002</v>
      </c>
      <c r="G49" s="7">
        <v>1.0136350000000001E-2</v>
      </c>
      <c r="H49" s="52"/>
    </row>
    <row r="50" spans="1:8" ht="17.100000000000001" customHeight="1" x14ac:dyDescent="0.2">
      <c r="A50" s="3">
        <v>44</v>
      </c>
      <c r="B50" s="4" t="s">
        <v>519</v>
      </c>
      <c r="C50" s="4" t="s">
        <v>520</v>
      </c>
      <c r="D50" s="4" t="s">
        <v>888</v>
      </c>
      <c r="E50" s="5">
        <v>420673</v>
      </c>
      <c r="F50" s="6">
        <v>2625.6305295000002</v>
      </c>
      <c r="G50" s="7">
        <v>9.9958200000000007E-3</v>
      </c>
      <c r="H50" s="52"/>
    </row>
    <row r="51" spans="1:8" ht="17.100000000000001" customHeight="1" x14ac:dyDescent="0.2">
      <c r="A51" s="3">
        <v>45</v>
      </c>
      <c r="B51" s="4" t="s">
        <v>197</v>
      </c>
      <c r="C51" s="4" t="s">
        <v>198</v>
      </c>
      <c r="D51" s="4" t="s">
        <v>105</v>
      </c>
      <c r="E51" s="5">
        <v>82456</v>
      </c>
      <c r="F51" s="6">
        <v>2597.5289120000002</v>
      </c>
      <c r="G51" s="7">
        <v>9.8888299999999995E-3</v>
      </c>
      <c r="H51" s="52"/>
    </row>
    <row r="52" spans="1:8" ht="17.100000000000001" customHeight="1" x14ac:dyDescent="0.2">
      <c r="A52" s="3">
        <v>46</v>
      </c>
      <c r="B52" s="4" t="s">
        <v>521</v>
      </c>
      <c r="C52" s="39" t="s">
        <v>994</v>
      </c>
      <c r="D52" s="4" t="s">
        <v>102</v>
      </c>
      <c r="E52" s="5">
        <v>618162</v>
      </c>
      <c r="F52" s="6">
        <v>2596.8985619999999</v>
      </c>
      <c r="G52" s="7">
        <v>9.8864299999999999E-3</v>
      </c>
      <c r="H52" s="52"/>
    </row>
    <row r="53" spans="1:8" ht="17.100000000000001" customHeight="1" x14ac:dyDescent="0.2">
      <c r="A53" s="3">
        <v>47</v>
      </c>
      <c r="B53" s="4" t="s">
        <v>522</v>
      </c>
      <c r="C53" s="4" t="s">
        <v>523</v>
      </c>
      <c r="D53" s="4" t="s">
        <v>888</v>
      </c>
      <c r="E53" s="5">
        <v>122105</v>
      </c>
      <c r="F53" s="6">
        <v>2543.325045</v>
      </c>
      <c r="G53" s="7">
        <v>9.6824800000000003E-3</v>
      </c>
      <c r="H53" s="52"/>
    </row>
    <row r="54" spans="1:8" ht="17.100000000000001" customHeight="1" x14ac:dyDescent="0.2">
      <c r="A54" s="3">
        <v>48</v>
      </c>
      <c r="B54" s="4" t="s">
        <v>524</v>
      </c>
      <c r="C54" s="4" t="s">
        <v>525</v>
      </c>
      <c r="D54" s="4" t="s">
        <v>357</v>
      </c>
      <c r="E54" s="5">
        <v>394223</v>
      </c>
      <c r="F54" s="6">
        <v>2519.4791930000001</v>
      </c>
      <c r="G54" s="7">
        <v>9.5916999999999999E-3</v>
      </c>
      <c r="H54" s="52"/>
    </row>
    <row r="55" spans="1:8" ht="17.100000000000001" customHeight="1" x14ac:dyDescent="0.2">
      <c r="A55" s="3">
        <v>49</v>
      </c>
      <c r="B55" s="4" t="s">
        <v>526</v>
      </c>
      <c r="C55" s="4" t="s">
        <v>527</v>
      </c>
      <c r="D55" s="4" t="s">
        <v>205</v>
      </c>
      <c r="E55" s="5">
        <v>94501</v>
      </c>
      <c r="F55" s="6">
        <v>2406.6569669999999</v>
      </c>
      <c r="G55" s="7">
        <v>9.1621800000000007E-3</v>
      </c>
      <c r="H55" s="52"/>
    </row>
    <row r="56" spans="1:8" ht="17.100000000000001" customHeight="1" x14ac:dyDescent="0.2">
      <c r="A56" s="3">
        <v>50</v>
      </c>
      <c r="B56" s="4" t="s">
        <v>364</v>
      </c>
      <c r="C56" s="4" t="s">
        <v>365</v>
      </c>
      <c r="D56" s="4" t="s">
        <v>208</v>
      </c>
      <c r="E56" s="5">
        <v>183894</v>
      </c>
      <c r="F56" s="6">
        <v>2376.1863210000001</v>
      </c>
      <c r="G56" s="7">
        <v>9.0461799999999992E-3</v>
      </c>
      <c r="H56" s="52"/>
    </row>
    <row r="57" spans="1:8" ht="17.100000000000001" customHeight="1" x14ac:dyDescent="0.2">
      <c r="A57" s="3">
        <v>51</v>
      </c>
      <c r="B57" s="4" t="s">
        <v>528</v>
      </c>
      <c r="C57" s="4" t="s">
        <v>529</v>
      </c>
      <c r="D57" s="4" t="s">
        <v>357</v>
      </c>
      <c r="E57" s="5">
        <v>311824</v>
      </c>
      <c r="F57" s="6">
        <v>2345.851952</v>
      </c>
      <c r="G57" s="7">
        <v>8.9306999999999997E-3</v>
      </c>
      <c r="H57" s="52"/>
    </row>
    <row r="58" spans="1:8" ht="17.100000000000001" customHeight="1" x14ac:dyDescent="0.2">
      <c r="A58" s="3">
        <v>52</v>
      </c>
      <c r="B58" s="4" t="s">
        <v>530</v>
      </c>
      <c r="C58" s="4" t="s">
        <v>531</v>
      </c>
      <c r="D58" s="4" t="s">
        <v>357</v>
      </c>
      <c r="E58" s="5">
        <v>160942</v>
      </c>
      <c r="F58" s="6">
        <v>2343.5569329999998</v>
      </c>
      <c r="G58" s="7">
        <v>8.9219599999999996E-3</v>
      </c>
      <c r="H58" s="52"/>
    </row>
    <row r="59" spans="1:8" ht="29.1" customHeight="1" x14ac:dyDescent="0.2">
      <c r="A59" s="3">
        <v>53</v>
      </c>
      <c r="B59" s="4" t="s">
        <v>115</v>
      </c>
      <c r="C59" s="4" t="s">
        <v>116</v>
      </c>
      <c r="D59" s="4" t="s">
        <v>25</v>
      </c>
      <c r="E59" s="5">
        <v>74011</v>
      </c>
      <c r="F59" s="6">
        <v>2334.3069399999999</v>
      </c>
      <c r="G59" s="7">
        <v>8.8867400000000006E-3</v>
      </c>
      <c r="H59" s="52"/>
    </row>
    <row r="60" spans="1:8" ht="17.100000000000001" customHeight="1" x14ac:dyDescent="0.2">
      <c r="A60" s="3">
        <v>54</v>
      </c>
      <c r="B60" s="4" t="s">
        <v>44</v>
      </c>
      <c r="C60" s="4" t="s">
        <v>45</v>
      </c>
      <c r="D60" s="4" t="s">
        <v>13</v>
      </c>
      <c r="E60" s="5">
        <v>690873</v>
      </c>
      <c r="F60" s="6">
        <v>2308.2066930000001</v>
      </c>
      <c r="G60" s="7">
        <v>8.7873799999999992E-3</v>
      </c>
      <c r="H60" s="52"/>
    </row>
    <row r="61" spans="1:8" ht="17.100000000000001" customHeight="1" x14ac:dyDescent="0.2">
      <c r="A61" s="3">
        <v>55</v>
      </c>
      <c r="B61" s="4" t="s">
        <v>345</v>
      </c>
      <c r="C61" s="4" t="s">
        <v>346</v>
      </c>
      <c r="D61" s="4" t="s">
        <v>31</v>
      </c>
      <c r="E61" s="5">
        <v>255189</v>
      </c>
      <c r="F61" s="6">
        <v>2272.7132339999998</v>
      </c>
      <c r="G61" s="7">
        <v>8.6522600000000002E-3</v>
      </c>
      <c r="H61" s="52"/>
    </row>
    <row r="62" spans="1:8" ht="17.100000000000001" customHeight="1" x14ac:dyDescent="0.2">
      <c r="A62" s="3">
        <v>56</v>
      </c>
      <c r="B62" s="4" t="s">
        <v>532</v>
      </c>
      <c r="C62" s="4" t="s">
        <v>533</v>
      </c>
      <c r="D62" s="4" t="s">
        <v>93</v>
      </c>
      <c r="E62" s="5">
        <v>302110</v>
      </c>
      <c r="F62" s="6">
        <v>2153.5911350000001</v>
      </c>
      <c r="G62" s="7">
        <v>8.1987599999999994E-3</v>
      </c>
      <c r="H62" s="52"/>
    </row>
    <row r="63" spans="1:8" ht="29.1" customHeight="1" x14ac:dyDescent="0.2">
      <c r="A63" s="3">
        <v>57</v>
      </c>
      <c r="B63" s="4" t="s">
        <v>214</v>
      </c>
      <c r="C63" s="4" t="s">
        <v>215</v>
      </c>
      <c r="D63" s="4" t="s">
        <v>216</v>
      </c>
      <c r="E63" s="5">
        <v>60055</v>
      </c>
      <c r="F63" s="6">
        <v>2064.8410374999999</v>
      </c>
      <c r="G63" s="7">
        <v>7.8608800000000006E-3</v>
      </c>
      <c r="H63" s="52"/>
    </row>
    <row r="64" spans="1:8" ht="17.100000000000001" customHeight="1" x14ac:dyDescent="0.2">
      <c r="A64" s="3">
        <v>58</v>
      </c>
      <c r="B64" s="4" t="s">
        <v>534</v>
      </c>
      <c r="C64" s="4" t="s">
        <v>535</v>
      </c>
      <c r="D64" s="4" t="s">
        <v>60</v>
      </c>
      <c r="E64" s="5">
        <v>884000</v>
      </c>
      <c r="F64" s="6">
        <v>1923.5840000000001</v>
      </c>
      <c r="G64" s="7">
        <v>7.3231099999999999E-3</v>
      </c>
      <c r="H64" s="52"/>
    </row>
    <row r="65" spans="1:8" ht="17.100000000000001" customHeight="1" x14ac:dyDescent="0.2">
      <c r="A65" s="3">
        <v>59</v>
      </c>
      <c r="B65" s="4" t="s">
        <v>405</v>
      </c>
      <c r="C65" s="4" t="s">
        <v>406</v>
      </c>
      <c r="D65" s="4" t="s">
        <v>357</v>
      </c>
      <c r="E65" s="5">
        <v>74172</v>
      </c>
      <c r="F65" s="6">
        <v>1915.0839539999999</v>
      </c>
      <c r="G65" s="7">
        <v>7.2907600000000003E-3</v>
      </c>
      <c r="H65" s="52"/>
    </row>
    <row r="66" spans="1:8" ht="17.100000000000001" customHeight="1" x14ac:dyDescent="0.2">
      <c r="A66" s="3">
        <v>60</v>
      </c>
      <c r="B66" s="4" t="s">
        <v>536</v>
      </c>
      <c r="C66" s="4" t="s">
        <v>537</v>
      </c>
      <c r="D66" s="4" t="s">
        <v>357</v>
      </c>
      <c r="E66" s="5">
        <v>80661</v>
      </c>
      <c r="F66" s="6">
        <v>1812.3720089999999</v>
      </c>
      <c r="G66" s="7">
        <v>6.8997299999999998E-3</v>
      </c>
      <c r="H66" s="52"/>
    </row>
    <row r="67" spans="1:8" ht="17.100000000000001" customHeight="1" x14ac:dyDescent="0.2">
      <c r="A67" s="3">
        <v>61</v>
      </c>
      <c r="B67" s="4" t="s">
        <v>110</v>
      </c>
      <c r="C67" s="4" t="s">
        <v>111</v>
      </c>
      <c r="D67" s="4" t="s">
        <v>105</v>
      </c>
      <c r="E67" s="5">
        <v>328271</v>
      </c>
      <c r="F67" s="6">
        <v>1777.5874650000001</v>
      </c>
      <c r="G67" s="7">
        <v>6.7673000000000004E-3</v>
      </c>
      <c r="H67" s="52"/>
    </row>
    <row r="68" spans="1:8" ht="17.100000000000001" customHeight="1" x14ac:dyDescent="0.2">
      <c r="A68" s="3">
        <v>62</v>
      </c>
      <c r="B68" s="4" t="s">
        <v>87</v>
      </c>
      <c r="C68" s="4" t="s">
        <v>88</v>
      </c>
      <c r="D68" s="4" t="s">
        <v>43</v>
      </c>
      <c r="E68" s="5">
        <v>482872</v>
      </c>
      <c r="F68" s="6">
        <v>1734.476224</v>
      </c>
      <c r="G68" s="7">
        <v>6.6031800000000002E-3</v>
      </c>
      <c r="H68" s="52"/>
    </row>
    <row r="69" spans="1:8" ht="17.100000000000001" customHeight="1" x14ac:dyDescent="0.2">
      <c r="A69" s="3">
        <v>63</v>
      </c>
      <c r="B69" s="4" t="s">
        <v>538</v>
      </c>
      <c r="C69" s="4" t="s">
        <v>539</v>
      </c>
      <c r="D69" s="4" t="s">
        <v>357</v>
      </c>
      <c r="E69" s="5">
        <v>143442</v>
      </c>
      <c r="F69" s="6">
        <v>1720.2281849999999</v>
      </c>
      <c r="G69" s="7">
        <v>6.5489399999999996E-3</v>
      </c>
      <c r="H69" s="52"/>
    </row>
    <row r="70" spans="1:8" ht="17.100000000000001" customHeight="1" x14ac:dyDescent="0.2">
      <c r="A70" s="3">
        <v>64</v>
      </c>
      <c r="B70" s="4" t="s">
        <v>58</v>
      </c>
      <c r="C70" s="4" t="s">
        <v>59</v>
      </c>
      <c r="D70" s="4" t="s">
        <v>60</v>
      </c>
      <c r="E70" s="5">
        <v>33458</v>
      </c>
      <c r="F70" s="6">
        <v>1706.8933280000001</v>
      </c>
      <c r="G70" s="7">
        <v>6.4981700000000002E-3</v>
      </c>
      <c r="H70" s="52"/>
    </row>
    <row r="71" spans="1:8" ht="17.100000000000001" customHeight="1" x14ac:dyDescent="0.2">
      <c r="A71" s="3">
        <v>65</v>
      </c>
      <c r="B71" s="4" t="s">
        <v>77</v>
      </c>
      <c r="C71" s="4" t="s">
        <v>78</v>
      </c>
      <c r="D71" s="4" t="s">
        <v>13</v>
      </c>
      <c r="E71" s="5">
        <v>634000</v>
      </c>
      <c r="F71" s="6">
        <v>1673.443</v>
      </c>
      <c r="G71" s="7">
        <v>6.3708200000000001E-3</v>
      </c>
      <c r="H71" s="52"/>
    </row>
    <row r="72" spans="1:8" ht="17.100000000000001" customHeight="1" x14ac:dyDescent="0.2">
      <c r="A72" s="3">
        <v>66</v>
      </c>
      <c r="B72" s="4" t="s">
        <v>540</v>
      </c>
      <c r="C72" s="4" t="s">
        <v>541</v>
      </c>
      <c r="D72" s="4" t="s">
        <v>102</v>
      </c>
      <c r="E72" s="5">
        <v>46514</v>
      </c>
      <c r="F72" s="6">
        <v>1596.430251</v>
      </c>
      <c r="G72" s="7">
        <v>6.0776399999999996E-3</v>
      </c>
      <c r="H72" s="52"/>
    </row>
    <row r="73" spans="1:8" ht="29.1" customHeight="1" x14ac:dyDescent="0.2">
      <c r="A73" s="3">
        <v>67</v>
      </c>
      <c r="B73" s="4" t="s">
        <v>542</v>
      </c>
      <c r="C73" s="4" t="s">
        <v>543</v>
      </c>
      <c r="D73" s="4" t="s">
        <v>544</v>
      </c>
      <c r="E73" s="5">
        <v>402431</v>
      </c>
      <c r="F73" s="6">
        <v>1568.8772535000001</v>
      </c>
      <c r="G73" s="7">
        <v>5.9727399999999998E-3</v>
      </c>
      <c r="H73" s="52"/>
    </row>
    <row r="74" spans="1:8" ht="17.100000000000001" customHeight="1" x14ac:dyDescent="0.2">
      <c r="A74" s="3">
        <v>68</v>
      </c>
      <c r="B74" s="4" t="s">
        <v>421</v>
      </c>
      <c r="C74" s="4" t="s">
        <v>422</v>
      </c>
      <c r="D74" s="4" t="s">
        <v>60</v>
      </c>
      <c r="E74" s="5">
        <v>143771</v>
      </c>
      <c r="F74" s="6">
        <v>1560.4904340000001</v>
      </c>
      <c r="G74" s="7">
        <v>5.9408100000000004E-3</v>
      </c>
      <c r="H74" s="52"/>
    </row>
    <row r="75" spans="1:8" ht="17.100000000000001" customHeight="1" x14ac:dyDescent="0.2">
      <c r="A75" s="3">
        <v>69</v>
      </c>
      <c r="B75" s="4" t="s">
        <v>245</v>
      </c>
      <c r="C75" s="4" t="s">
        <v>246</v>
      </c>
      <c r="D75" s="4" t="s">
        <v>60</v>
      </c>
      <c r="E75" s="5">
        <v>113524</v>
      </c>
      <c r="F75" s="6">
        <v>1348.0975000000001</v>
      </c>
      <c r="G75" s="7">
        <v>5.1322299999999998E-3</v>
      </c>
      <c r="H75" s="52"/>
    </row>
    <row r="76" spans="1:8" ht="17.100000000000001" customHeight="1" x14ac:dyDescent="0.2">
      <c r="A76" s="3">
        <v>70</v>
      </c>
      <c r="B76" s="4" t="s">
        <v>372</v>
      </c>
      <c r="C76" s="4" t="s">
        <v>373</v>
      </c>
      <c r="D76" s="4" t="s">
        <v>52</v>
      </c>
      <c r="E76" s="5">
        <v>98055</v>
      </c>
      <c r="F76" s="6">
        <v>1296.7283474999999</v>
      </c>
      <c r="G76" s="7">
        <v>4.9366699999999998E-3</v>
      </c>
      <c r="H76" s="52"/>
    </row>
    <row r="77" spans="1:8" ht="17.100000000000001" customHeight="1" x14ac:dyDescent="0.2">
      <c r="A77" s="3">
        <v>71</v>
      </c>
      <c r="B77" s="4" t="s">
        <v>458</v>
      </c>
      <c r="C77" s="4" t="s">
        <v>459</v>
      </c>
      <c r="D77" s="4" t="s">
        <v>31</v>
      </c>
      <c r="E77" s="5">
        <v>143119</v>
      </c>
      <c r="F77" s="6">
        <v>1245.0637405</v>
      </c>
      <c r="G77" s="7">
        <v>4.7399800000000004E-3</v>
      </c>
      <c r="H77" s="52"/>
    </row>
    <row r="78" spans="1:8" ht="17.100000000000001" customHeight="1" x14ac:dyDescent="0.2">
      <c r="A78" s="3">
        <v>72</v>
      </c>
      <c r="B78" s="4" t="s">
        <v>545</v>
      </c>
      <c r="C78" s="4" t="s">
        <v>546</v>
      </c>
      <c r="D78" s="4" t="s">
        <v>60</v>
      </c>
      <c r="E78" s="5">
        <v>14430</v>
      </c>
      <c r="F78" s="6">
        <v>1224.1401900000001</v>
      </c>
      <c r="G78" s="7">
        <v>4.6603199999999999E-3</v>
      </c>
      <c r="H78" s="52"/>
    </row>
    <row r="79" spans="1:8" ht="17.100000000000001" customHeight="1" x14ac:dyDescent="0.2">
      <c r="A79" s="3">
        <v>73</v>
      </c>
      <c r="B79" s="4" t="s">
        <v>212</v>
      </c>
      <c r="C79" s="4" t="s">
        <v>213</v>
      </c>
      <c r="D79" s="4" t="s">
        <v>888</v>
      </c>
      <c r="E79" s="5">
        <v>19772</v>
      </c>
      <c r="F79" s="6">
        <v>1217.9947440000001</v>
      </c>
      <c r="G79" s="7">
        <v>4.63693E-3</v>
      </c>
      <c r="H79" s="52"/>
    </row>
    <row r="80" spans="1:8" ht="17.100000000000001" customHeight="1" x14ac:dyDescent="0.2">
      <c r="A80" s="3">
        <v>74</v>
      </c>
      <c r="B80" s="4" t="s">
        <v>547</v>
      </c>
      <c r="C80" s="4" t="s">
        <v>548</v>
      </c>
      <c r="D80" s="4" t="s">
        <v>208</v>
      </c>
      <c r="E80" s="5">
        <v>83703</v>
      </c>
      <c r="F80" s="6">
        <v>1037.331279</v>
      </c>
      <c r="G80" s="7">
        <v>3.9491400000000003E-3</v>
      </c>
      <c r="H80" s="52"/>
    </row>
    <row r="81" spans="1:8" ht="17.100000000000001" customHeight="1" x14ac:dyDescent="0.2">
      <c r="A81" s="3">
        <v>75</v>
      </c>
      <c r="B81" s="4" t="s">
        <v>549</v>
      </c>
      <c r="C81" s="4" t="s">
        <v>550</v>
      </c>
      <c r="D81" s="4" t="s">
        <v>70</v>
      </c>
      <c r="E81" s="5">
        <v>630505</v>
      </c>
      <c r="F81" s="6">
        <v>521.11238249999997</v>
      </c>
      <c r="G81" s="7">
        <v>1.9838799999999999E-3</v>
      </c>
      <c r="H81" s="52"/>
    </row>
    <row r="82" spans="1:8" ht="14.1" customHeight="1" x14ac:dyDescent="0.2">
      <c r="A82" s="1"/>
      <c r="B82" s="1"/>
      <c r="C82" s="2" t="s">
        <v>145</v>
      </c>
      <c r="D82" s="1"/>
      <c r="E82" s="1" t="s">
        <v>146</v>
      </c>
      <c r="F82" s="9">
        <v>249736.0474095</v>
      </c>
      <c r="G82" s="10">
        <v>0.95074912999999994</v>
      </c>
      <c r="H82" s="52"/>
    </row>
    <row r="83" spans="1:8" ht="14.1" customHeight="1" x14ac:dyDescent="0.2">
      <c r="A83" s="1"/>
      <c r="B83" s="1"/>
      <c r="C83" s="11"/>
      <c r="D83" s="1"/>
      <c r="E83" s="1"/>
      <c r="F83" s="12"/>
      <c r="G83" s="12"/>
      <c r="H83" s="52"/>
    </row>
    <row r="84" spans="1:8" ht="14.1" customHeight="1" x14ac:dyDescent="0.2">
      <c r="A84" s="1"/>
      <c r="B84" s="1"/>
      <c r="C84" s="2" t="s">
        <v>147</v>
      </c>
      <c r="D84" s="1"/>
      <c r="E84" s="1"/>
      <c r="F84" s="1"/>
      <c r="G84" s="1"/>
      <c r="H84" s="52"/>
    </row>
    <row r="85" spans="1:8" ht="14.1" customHeight="1" x14ac:dyDescent="0.2">
      <c r="A85" s="1"/>
      <c r="B85" s="1"/>
      <c r="C85" s="2" t="s">
        <v>145</v>
      </c>
      <c r="D85" s="1"/>
      <c r="E85" s="1" t="s">
        <v>146</v>
      </c>
      <c r="F85" s="13" t="s">
        <v>148</v>
      </c>
      <c r="G85" s="10">
        <v>0</v>
      </c>
      <c r="H85" s="52"/>
    </row>
    <row r="86" spans="1:8" ht="14.1" customHeight="1" x14ac:dyDescent="0.2">
      <c r="A86" s="1"/>
      <c r="B86" s="1"/>
      <c r="C86" s="11"/>
      <c r="D86" s="1"/>
      <c r="E86" s="1"/>
      <c r="F86" s="12"/>
      <c r="G86" s="12"/>
      <c r="H86" s="52"/>
    </row>
    <row r="87" spans="1:8" ht="14.1" customHeight="1" x14ac:dyDescent="0.2">
      <c r="A87" s="1"/>
      <c r="B87" s="1"/>
      <c r="C87" s="2" t="s">
        <v>149</v>
      </c>
      <c r="D87" s="1"/>
      <c r="E87" s="1"/>
      <c r="F87" s="1"/>
      <c r="G87" s="1"/>
      <c r="H87" s="52"/>
    </row>
    <row r="88" spans="1:8" ht="17.100000000000001" customHeight="1" x14ac:dyDescent="0.2">
      <c r="A88" s="3">
        <v>1</v>
      </c>
      <c r="B88" s="4" t="s">
        <v>142</v>
      </c>
      <c r="C88" s="39" t="s">
        <v>946</v>
      </c>
      <c r="D88" s="4" t="s">
        <v>143</v>
      </c>
      <c r="E88" s="5">
        <v>375961</v>
      </c>
      <c r="F88" s="6">
        <v>7.5190000000000003E-6</v>
      </c>
      <c r="G88" s="8" t="s">
        <v>144</v>
      </c>
      <c r="H88" s="52"/>
    </row>
    <row r="89" spans="1:8" ht="14.1" customHeight="1" x14ac:dyDescent="0.2">
      <c r="A89" s="1"/>
      <c r="B89" s="1"/>
      <c r="C89" s="2" t="s">
        <v>145</v>
      </c>
      <c r="D89" s="1"/>
      <c r="E89" s="1" t="s">
        <v>146</v>
      </c>
      <c r="F89" s="9">
        <v>7.5190000000000003E-6</v>
      </c>
      <c r="G89" s="10">
        <v>0</v>
      </c>
      <c r="H89" s="52"/>
    </row>
    <row r="90" spans="1:8" ht="14.1" customHeight="1" x14ac:dyDescent="0.2">
      <c r="A90" s="1"/>
      <c r="B90" s="1"/>
      <c r="C90" s="11"/>
      <c r="D90" s="1"/>
      <c r="E90" s="1"/>
      <c r="F90" s="12"/>
      <c r="G90" s="12"/>
      <c r="H90" s="52"/>
    </row>
    <row r="91" spans="1:8" ht="14.1" customHeight="1" x14ac:dyDescent="0.2">
      <c r="A91" s="1"/>
      <c r="B91" s="1"/>
      <c r="C91" s="2" t="s">
        <v>150</v>
      </c>
      <c r="D91" s="1"/>
      <c r="E91" s="1"/>
      <c r="F91" s="1"/>
      <c r="G91" s="1"/>
      <c r="H91" s="52"/>
    </row>
    <row r="92" spans="1:8" ht="14.1" customHeight="1" x14ac:dyDescent="0.2">
      <c r="A92" s="1"/>
      <c r="B92" s="1"/>
      <c r="C92" s="2" t="s">
        <v>145</v>
      </c>
      <c r="D92" s="1"/>
      <c r="E92" s="1" t="s">
        <v>146</v>
      </c>
      <c r="F92" s="13" t="s">
        <v>148</v>
      </c>
      <c r="G92" s="10">
        <v>0</v>
      </c>
      <c r="H92" s="52"/>
    </row>
    <row r="93" spans="1:8" ht="14.1" customHeight="1" x14ac:dyDescent="0.2">
      <c r="A93" s="1"/>
      <c r="B93" s="1"/>
      <c r="C93" s="11"/>
      <c r="D93" s="1"/>
      <c r="E93" s="1"/>
      <c r="F93" s="12"/>
      <c r="G93" s="12"/>
      <c r="H93" s="52"/>
    </row>
    <row r="94" spans="1:8" ht="14.1" customHeight="1" x14ac:dyDescent="0.2">
      <c r="A94" s="1"/>
      <c r="B94" s="1"/>
      <c r="C94" s="2" t="s">
        <v>151</v>
      </c>
      <c r="D94" s="1"/>
      <c r="E94" s="1"/>
      <c r="F94" s="12"/>
      <c r="G94" s="12"/>
      <c r="H94" s="52"/>
    </row>
    <row r="95" spans="1:8" ht="14.1" customHeight="1" x14ac:dyDescent="0.2">
      <c r="A95" s="1"/>
      <c r="B95" s="1"/>
      <c r="C95" s="2" t="s">
        <v>145</v>
      </c>
      <c r="D95" s="1"/>
      <c r="E95" s="1" t="s">
        <v>146</v>
      </c>
      <c r="F95" s="13" t="s">
        <v>148</v>
      </c>
      <c r="G95" s="10">
        <v>0</v>
      </c>
      <c r="H95" s="52"/>
    </row>
    <row r="96" spans="1:8" ht="14.1" customHeight="1" x14ac:dyDescent="0.2">
      <c r="A96" s="1"/>
      <c r="B96" s="1"/>
      <c r="C96" s="11"/>
      <c r="D96" s="1"/>
      <c r="E96" s="1"/>
      <c r="F96" s="12"/>
      <c r="G96" s="12"/>
      <c r="H96" s="52"/>
    </row>
    <row r="97" spans="1:8" ht="14.1" customHeight="1" x14ac:dyDescent="0.2">
      <c r="A97" s="1"/>
      <c r="B97" s="1"/>
      <c r="C97" s="2" t="s">
        <v>152</v>
      </c>
      <c r="D97" s="1"/>
      <c r="E97" s="1"/>
      <c r="F97" s="12"/>
      <c r="G97" s="12"/>
      <c r="H97" s="52"/>
    </row>
    <row r="98" spans="1:8" ht="14.1" customHeight="1" x14ac:dyDescent="0.2">
      <c r="A98" s="1"/>
      <c r="B98" s="1"/>
      <c r="C98" s="2" t="s">
        <v>145</v>
      </c>
      <c r="D98" s="1"/>
      <c r="E98" s="1" t="s">
        <v>146</v>
      </c>
      <c r="F98" s="13" t="s">
        <v>148</v>
      </c>
      <c r="G98" s="10">
        <v>0</v>
      </c>
      <c r="H98" s="52"/>
    </row>
    <row r="99" spans="1:8" ht="14.1" customHeight="1" x14ac:dyDescent="0.2">
      <c r="A99" s="1"/>
      <c r="B99" s="1"/>
      <c r="C99" s="11"/>
      <c r="D99" s="1"/>
      <c r="E99" s="1"/>
      <c r="F99" s="12"/>
      <c r="G99" s="12"/>
      <c r="H99" s="52"/>
    </row>
    <row r="100" spans="1:8" ht="18" customHeight="1" x14ac:dyDescent="0.2">
      <c r="A100" s="1"/>
      <c r="B100" s="1"/>
      <c r="C100" s="2" t="s">
        <v>153</v>
      </c>
      <c r="D100" s="1"/>
      <c r="E100" s="1"/>
      <c r="F100" s="9">
        <v>249736.047417019</v>
      </c>
      <c r="G100" s="10">
        <v>0.95074913000000005</v>
      </c>
      <c r="H100" s="52"/>
    </row>
    <row r="101" spans="1:8" ht="14.1" customHeight="1" x14ac:dyDescent="0.2">
      <c r="A101" s="1"/>
      <c r="B101" s="1"/>
      <c r="C101" s="11"/>
      <c r="D101" s="1"/>
      <c r="E101" s="1"/>
      <c r="F101" s="12"/>
      <c r="G101" s="12"/>
      <c r="H101" s="52"/>
    </row>
    <row r="102" spans="1:8" ht="14.1" customHeight="1" x14ac:dyDescent="0.2">
      <c r="A102" s="1"/>
      <c r="B102" s="1"/>
      <c r="C102" s="2" t="s">
        <v>154</v>
      </c>
      <c r="D102" s="1"/>
      <c r="E102" s="1"/>
      <c r="F102" s="12"/>
      <c r="G102" s="12"/>
      <c r="H102" s="52"/>
    </row>
    <row r="103" spans="1:8" ht="24" customHeight="1" x14ac:dyDescent="0.2">
      <c r="A103" s="1"/>
      <c r="B103" s="1"/>
      <c r="C103" s="2" t="s">
        <v>10</v>
      </c>
      <c r="D103" s="1"/>
      <c r="E103" s="1"/>
      <c r="F103" s="12"/>
      <c r="G103" s="12"/>
      <c r="H103" s="52"/>
    </row>
    <row r="104" spans="1:8" ht="14.1" customHeight="1" x14ac:dyDescent="0.2">
      <c r="A104" s="1"/>
      <c r="B104" s="1"/>
      <c r="C104" s="2" t="s">
        <v>145</v>
      </c>
      <c r="D104" s="1"/>
      <c r="E104" s="1" t="s">
        <v>146</v>
      </c>
      <c r="F104" s="13" t="s">
        <v>148</v>
      </c>
      <c r="G104" s="10">
        <v>0</v>
      </c>
      <c r="H104" s="52"/>
    </row>
    <row r="105" spans="1:8" ht="14.1" customHeight="1" x14ac:dyDescent="0.2">
      <c r="A105" s="1"/>
      <c r="B105" s="1"/>
      <c r="C105" s="11"/>
      <c r="D105" s="1"/>
      <c r="E105" s="1"/>
      <c r="F105" s="12"/>
      <c r="G105" s="12"/>
      <c r="H105" s="52"/>
    </row>
    <row r="106" spans="1:8" ht="14.1" customHeight="1" x14ac:dyDescent="0.2">
      <c r="A106" s="1"/>
      <c r="B106" s="1"/>
      <c r="C106" s="2" t="s">
        <v>155</v>
      </c>
      <c r="D106" s="1"/>
      <c r="E106" s="1"/>
      <c r="F106" s="1"/>
      <c r="G106" s="1"/>
      <c r="H106" s="52"/>
    </row>
    <row r="107" spans="1:8" ht="14.1" customHeight="1" x14ac:dyDescent="0.2">
      <c r="A107" s="1"/>
      <c r="B107" s="1"/>
      <c r="C107" s="2" t="s">
        <v>145</v>
      </c>
      <c r="D107" s="1"/>
      <c r="E107" s="1" t="s">
        <v>146</v>
      </c>
      <c r="F107" s="13" t="s">
        <v>148</v>
      </c>
      <c r="G107" s="10">
        <v>0</v>
      </c>
      <c r="H107" s="52"/>
    </row>
    <row r="108" spans="1:8" ht="14.1" customHeight="1" x14ac:dyDescent="0.2">
      <c r="A108" s="1"/>
      <c r="B108" s="1"/>
      <c r="C108" s="11"/>
      <c r="D108" s="1"/>
      <c r="E108" s="1"/>
      <c r="F108" s="12"/>
      <c r="G108" s="12"/>
      <c r="H108" s="52"/>
    </row>
    <row r="109" spans="1:8" ht="14.1" customHeight="1" x14ac:dyDescent="0.2">
      <c r="A109" s="1"/>
      <c r="B109" s="1"/>
      <c r="C109" s="2" t="s">
        <v>156</v>
      </c>
      <c r="D109" s="1"/>
      <c r="E109" s="1"/>
      <c r="F109" s="1"/>
      <c r="G109" s="1"/>
      <c r="H109" s="52"/>
    </row>
    <row r="110" spans="1:8" ht="14.1" customHeight="1" x14ac:dyDescent="0.2">
      <c r="A110" s="1"/>
      <c r="B110" s="1"/>
      <c r="C110" s="2" t="s">
        <v>145</v>
      </c>
      <c r="D110" s="1"/>
      <c r="E110" s="1" t="s">
        <v>146</v>
      </c>
      <c r="F110" s="13" t="s">
        <v>148</v>
      </c>
      <c r="G110" s="10">
        <v>0</v>
      </c>
      <c r="H110" s="52"/>
    </row>
    <row r="111" spans="1:8" ht="14.1" customHeight="1" x14ac:dyDescent="0.2">
      <c r="A111" s="1"/>
      <c r="B111" s="1"/>
      <c r="C111" s="11"/>
      <c r="D111" s="1"/>
      <c r="E111" s="1"/>
      <c r="F111" s="12"/>
      <c r="G111" s="12"/>
      <c r="H111" s="52"/>
    </row>
    <row r="112" spans="1:8" ht="14.1" customHeight="1" x14ac:dyDescent="0.2">
      <c r="A112" s="1"/>
      <c r="B112" s="1"/>
      <c r="C112" s="2" t="s">
        <v>157</v>
      </c>
      <c r="D112" s="1"/>
      <c r="E112" s="1"/>
      <c r="F112" s="12"/>
      <c r="G112" s="12"/>
      <c r="H112" s="52"/>
    </row>
    <row r="113" spans="1:8" ht="14.1" customHeight="1" x14ac:dyDescent="0.2">
      <c r="A113" s="1"/>
      <c r="B113" s="1"/>
      <c r="C113" s="2" t="s">
        <v>145</v>
      </c>
      <c r="D113" s="1"/>
      <c r="E113" s="1" t="s">
        <v>146</v>
      </c>
      <c r="F113" s="13" t="s">
        <v>148</v>
      </c>
      <c r="G113" s="10">
        <v>0</v>
      </c>
      <c r="H113" s="52"/>
    </row>
    <row r="114" spans="1:8" ht="14.1" customHeight="1" x14ac:dyDescent="0.2">
      <c r="A114" s="1"/>
      <c r="B114" s="1"/>
      <c r="C114" s="11"/>
      <c r="D114" s="1"/>
      <c r="E114" s="1"/>
      <c r="F114" s="12"/>
      <c r="G114" s="12"/>
      <c r="H114" s="52"/>
    </row>
    <row r="115" spans="1:8" ht="14.1" customHeight="1" x14ac:dyDescent="0.2">
      <c r="A115" s="1"/>
      <c r="B115" s="1"/>
      <c r="C115" s="2" t="s">
        <v>158</v>
      </c>
      <c r="D115" s="1"/>
      <c r="E115" s="1"/>
      <c r="F115" s="9">
        <v>0</v>
      </c>
      <c r="G115" s="10">
        <v>0</v>
      </c>
      <c r="H115" s="52"/>
    </row>
    <row r="116" spans="1:8" ht="14.1" customHeight="1" x14ac:dyDescent="0.2">
      <c r="A116" s="1"/>
      <c r="B116" s="1"/>
      <c r="C116" s="11"/>
      <c r="D116" s="1"/>
      <c r="E116" s="1"/>
      <c r="F116" s="12"/>
      <c r="G116" s="12"/>
      <c r="H116" s="52"/>
    </row>
    <row r="117" spans="1:8" ht="14.1" customHeight="1" x14ac:dyDescent="0.2">
      <c r="A117" s="1"/>
      <c r="B117" s="1"/>
      <c r="C117" s="2" t="s">
        <v>159</v>
      </c>
      <c r="D117" s="1"/>
      <c r="E117" s="1"/>
      <c r="F117" s="12"/>
      <c r="G117" s="12"/>
      <c r="H117" s="52"/>
    </row>
    <row r="118" spans="1:8" ht="14.1" customHeight="1" x14ac:dyDescent="0.2">
      <c r="A118" s="1"/>
      <c r="B118" s="1"/>
      <c r="C118" s="2" t="s">
        <v>160</v>
      </c>
      <c r="D118" s="1"/>
      <c r="E118" s="1"/>
      <c r="F118" s="12"/>
      <c r="G118" s="12"/>
      <c r="H118" s="52"/>
    </row>
    <row r="119" spans="1:8" ht="14.1" customHeight="1" x14ac:dyDescent="0.2">
      <c r="A119" s="1"/>
      <c r="B119" s="1"/>
      <c r="C119" s="2" t="s">
        <v>145</v>
      </c>
      <c r="D119" s="1"/>
      <c r="E119" s="1" t="s">
        <v>146</v>
      </c>
      <c r="F119" s="13" t="s">
        <v>148</v>
      </c>
      <c r="G119" s="10">
        <v>0</v>
      </c>
      <c r="H119" s="52"/>
    </row>
    <row r="120" spans="1:8" ht="14.1" customHeight="1" x14ac:dyDescent="0.2">
      <c r="A120" s="1"/>
      <c r="B120" s="1"/>
      <c r="C120" s="11"/>
      <c r="D120" s="1"/>
      <c r="E120" s="1"/>
      <c r="F120" s="12"/>
      <c r="G120" s="12"/>
      <c r="H120" s="52"/>
    </row>
    <row r="121" spans="1:8" ht="14.1" customHeight="1" x14ac:dyDescent="0.2">
      <c r="A121" s="1"/>
      <c r="B121" s="1"/>
      <c r="C121" s="2" t="s">
        <v>161</v>
      </c>
      <c r="D121" s="1"/>
      <c r="E121" s="1"/>
      <c r="F121" s="12"/>
      <c r="G121" s="12"/>
      <c r="H121" s="52"/>
    </row>
    <row r="122" spans="1:8" ht="14.1" customHeight="1" x14ac:dyDescent="0.2">
      <c r="A122" s="1"/>
      <c r="B122" s="1"/>
      <c r="C122" s="2" t="s">
        <v>145</v>
      </c>
      <c r="D122" s="1"/>
      <c r="E122" s="1" t="s">
        <v>146</v>
      </c>
      <c r="F122" s="13" t="s">
        <v>148</v>
      </c>
      <c r="G122" s="10">
        <v>0</v>
      </c>
      <c r="H122" s="52"/>
    </row>
    <row r="123" spans="1:8" ht="14.1" customHeight="1" x14ac:dyDescent="0.2">
      <c r="A123" s="1"/>
      <c r="B123" s="1"/>
      <c r="C123" s="11"/>
      <c r="D123" s="1"/>
      <c r="E123" s="1"/>
      <c r="F123" s="12"/>
      <c r="G123" s="12"/>
      <c r="H123" s="52"/>
    </row>
    <row r="124" spans="1:8" ht="14.1" customHeight="1" x14ac:dyDescent="0.2">
      <c r="A124" s="1"/>
      <c r="B124" s="1"/>
      <c r="C124" s="2" t="s">
        <v>162</v>
      </c>
      <c r="D124" s="1"/>
      <c r="E124" s="1"/>
      <c r="F124" s="12"/>
      <c r="G124" s="12"/>
      <c r="H124" s="52"/>
    </row>
    <row r="125" spans="1:8" ht="14.1" customHeight="1" x14ac:dyDescent="0.2">
      <c r="A125" s="1"/>
      <c r="B125" s="1"/>
      <c r="C125" s="2" t="s">
        <v>145</v>
      </c>
      <c r="D125" s="1"/>
      <c r="E125" s="1" t="s">
        <v>146</v>
      </c>
      <c r="F125" s="13" t="s">
        <v>148</v>
      </c>
      <c r="G125" s="10">
        <v>0</v>
      </c>
      <c r="H125" s="52"/>
    </row>
    <row r="126" spans="1:8" ht="14.1" customHeight="1" x14ac:dyDescent="0.2">
      <c r="A126" s="1"/>
      <c r="B126" s="1"/>
      <c r="C126" s="11"/>
      <c r="D126" s="1"/>
      <c r="E126" s="1"/>
      <c r="F126" s="12"/>
      <c r="G126" s="12"/>
      <c r="H126" s="52"/>
    </row>
    <row r="127" spans="1:8" ht="14.1" customHeight="1" x14ac:dyDescent="0.2">
      <c r="A127" s="1"/>
      <c r="B127" s="1"/>
      <c r="C127" s="2" t="s">
        <v>163</v>
      </c>
      <c r="D127" s="1"/>
      <c r="E127" s="1"/>
      <c r="F127" s="12"/>
      <c r="G127" s="12"/>
      <c r="H127" s="52"/>
    </row>
    <row r="128" spans="1:8" ht="17.100000000000001" customHeight="1" x14ac:dyDescent="0.2">
      <c r="A128" s="3">
        <v>1</v>
      </c>
      <c r="B128" s="4"/>
      <c r="C128" s="4" t="s">
        <v>164</v>
      </c>
      <c r="D128" s="4"/>
      <c r="E128" s="8"/>
      <c r="F128" s="6">
        <v>14636.611616978</v>
      </c>
      <c r="G128" s="7">
        <v>5.5721809999999997E-2</v>
      </c>
      <c r="H128" s="52">
        <v>6.7567375937238596</v>
      </c>
    </row>
    <row r="129" spans="1:8" ht="14.1" customHeight="1" x14ac:dyDescent="0.2">
      <c r="A129" s="1"/>
      <c r="B129" s="1"/>
      <c r="C129" s="2" t="s">
        <v>145</v>
      </c>
      <c r="D129" s="1"/>
      <c r="E129" s="1" t="s">
        <v>146</v>
      </c>
      <c r="F129" s="9">
        <v>14636.611616978</v>
      </c>
      <c r="G129" s="10">
        <v>5.5721809999999997E-2</v>
      </c>
      <c r="H129" s="52"/>
    </row>
    <row r="130" spans="1:8" ht="14.1" customHeight="1" x14ac:dyDescent="0.2">
      <c r="A130" s="1"/>
      <c r="B130" s="1"/>
      <c r="C130" s="11"/>
      <c r="D130" s="1"/>
      <c r="E130" s="1"/>
      <c r="F130" s="12"/>
      <c r="G130" s="12"/>
      <c r="H130" s="52"/>
    </row>
    <row r="131" spans="1:8" ht="14.1" customHeight="1" x14ac:dyDescent="0.2">
      <c r="A131" s="1"/>
      <c r="B131" s="1"/>
      <c r="C131" s="2" t="s">
        <v>165</v>
      </c>
      <c r="D131" s="1"/>
      <c r="E131" s="1"/>
      <c r="F131" s="9">
        <v>14636.611616978</v>
      </c>
      <c r="G131" s="10">
        <v>5.5721809999999997E-2</v>
      </c>
      <c r="H131" s="52"/>
    </row>
    <row r="132" spans="1:8" ht="14.1" customHeight="1" x14ac:dyDescent="0.2">
      <c r="A132" s="1"/>
      <c r="B132" s="1"/>
      <c r="C132" s="12"/>
      <c r="D132" s="1"/>
      <c r="E132" s="1"/>
      <c r="F132" s="1"/>
      <c r="G132" s="1"/>
      <c r="H132" s="52"/>
    </row>
    <row r="133" spans="1:8" ht="14.1" customHeight="1" x14ac:dyDescent="0.2">
      <c r="A133" s="1"/>
      <c r="B133" s="1"/>
      <c r="C133" s="2" t="s">
        <v>166</v>
      </c>
      <c r="D133" s="1"/>
      <c r="E133" s="1"/>
      <c r="F133" s="1"/>
      <c r="G133" s="1"/>
      <c r="H133" s="52"/>
    </row>
    <row r="134" spans="1:8" ht="14.1" customHeight="1" x14ac:dyDescent="0.2">
      <c r="A134" s="1"/>
      <c r="B134" s="1"/>
      <c r="C134" s="2" t="s">
        <v>167</v>
      </c>
      <c r="D134" s="1"/>
      <c r="E134" s="1"/>
      <c r="F134" s="1"/>
      <c r="G134" s="1"/>
      <c r="H134" s="52"/>
    </row>
    <row r="135" spans="1:8" ht="14.1" customHeight="1" x14ac:dyDescent="0.2">
      <c r="A135" s="1"/>
      <c r="B135" s="1"/>
      <c r="C135" s="2" t="s">
        <v>145</v>
      </c>
      <c r="D135" s="1"/>
      <c r="E135" s="1" t="s">
        <v>146</v>
      </c>
      <c r="F135" s="13" t="s">
        <v>148</v>
      </c>
      <c r="G135" s="10">
        <v>0</v>
      </c>
      <c r="H135" s="52"/>
    </row>
    <row r="136" spans="1:8" ht="14.1" customHeight="1" x14ac:dyDescent="0.2">
      <c r="A136" s="1"/>
      <c r="B136" s="1"/>
      <c r="C136" s="11"/>
      <c r="D136" s="1"/>
      <c r="E136" s="1"/>
      <c r="F136" s="12"/>
      <c r="G136" s="12"/>
      <c r="H136" s="52"/>
    </row>
    <row r="137" spans="1:8" ht="14.1" customHeight="1" x14ac:dyDescent="0.2">
      <c r="A137" s="1"/>
      <c r="B137" s="1"/>
      <c r="C137" s="2" t="s">
        <v>168</v>
      </c>
      <c r="D137" s="1"/>
      <c r="E137" s="1"/>
      <c r="F137" s="1"/>
      <c r="G137" s="1"/>
      <c r="H137" s="52"/>
    </row>
    <row r="138" spans="1:8" ht="14.1" customHeight="1" x14ac:dyDescent="0.2">
      <c r="A138" s="1"/>
      <c r="B138" s="1"/>
      <c r="C138" s="2" t="s">
        <v>169</v>
      </c>
      <c r="D138" s="1"/>
      <c r="E138" s="1"/>
      <c r="F138" s="1"/>
      <c r="G138" s="1"/>
      <c r="H138" s="52"/>
    </row>
    <row r="139" spans="1:8" ht="14.1" customHeight="1" x14ac:dyDescent="0.2">
      <c r="A139" s="1"/>
      <c r="B139" s="1"/>
      <c r="C139" s="2" t="s">
        <v>145</v>
      </c>
      <c r="D139" s="1"/>
      <c r="E139" s="1" t="s">
        <v>146</v>
      </c>
      <c r="F139" s="13" t="s">
        <v>148</v>
      </c>
      <c r="G139" s="10">
        <v>0</v>
      </c>
      <c r="H139" s="52"/>
    </row>
    <row r="140" spans="1:8" ht="14.1" customHeight="1" x14ac:dyDescent="0.2">
      <c r="A140" s="1"/>
      <c r="B140" s="1"/>
      <c r="C140" s="11"/>
      <c r="D140" s="1"/>
      <c r="E140" s="1"/>
      <c r="F140" s="12"/>
      <c r="G140" s="12"/>
      <c r="H140" s="52"/>
    </row>
    <row r="141" spans="1:8" ht="24" customHeight="1" x14ac:dyDescent="0.2">
      <c r="A141" s="1"/>
      <c r="B141" s="1"/>
      <c r="C141" s="2" t="s">
        <v>170</v>
      </c>
      <c r="D141" s="1"/>
      <c r="E141" s="1"/>
      <c r="F141" s="12"/>
      <c r="G141" s="12"/>
      <c r="H141" s="52"/>
    </row>
    <row r="142" spans="1:8" ht="14.1" customHeight="1" x14ac:dyDescent="0.2">
      <c r="A142" s="1"/>
      <c r="B142" s="1"/>
      <c r="C142" s="2" t="s">
        <v>145</v>
      </c>
      <c r="D142" s="1"/>
      <c r="E142" s="1" t="s">
        <v>146</v>
      </c>
      <c r="F142" s="13" t="s">
        <v>148</v>
      </c>
      <c r="G142" s="10">
        <v>0</v>
      </c>
      <c r="H142" s="52"/>
    </row>
    <row r="143" spans="1:8" ht="14.1" customHeight="1" x14ac:dyDescent="0.2">
      <c r="A143" s="1"/>
      <c r="B143" s="1"/>
      <c r="C143" s="11"/>
      <c r="D143" s="1"/>
      <c r="E143" s="1"/>
      <c r="F143" s="12"/>
      <c r="G143" s="12"/>
      <c r="H143" s="52"/>
    </row>
    <row r="144" spans="1:8" ht="14.1" customHeight="1" x14ac:dyDescent="0.2">
      <c r="A144" s="1"/>
      <c r="B144" s="4"/>
      <c r="C144" s="4"/>
      <c r="D144" s="2"/>
      <c r="E144" s="1"/>
      <c r="F144" s="4"/>
      <c r="G144" s="8"/>
      <c r="H144" s="52"/>
    </row>
    <row r="145" spans="1:14" ht="18" customHeight="1" x14ac:dyDescent="0.2">
      <c r="A145" s="8"/>
      <c r="B145" s="4"/>
      <c r="C145" s="4" t="s">
        <v>171</v>
      </c>
      <c r="D145" s="4"/>
      <c r="E145" s="8"/>
      <c r="F145" s="6">
        <v>-1699.7188126069773</v>
      </c>
      <c r="G145" s="7">
        <v>-6.4708600000000002E-3</v>
      </c>
      <c r="H145" s="52"/>
    </row>
    <row r="146" spans="1:14" ht="14.1" customHeight="1" x14ac:dyDescent="0.2">
      <c r="A146" s="11"/>
      <c r="B146" s="11"/>
      <c r="C146" s="2" t="s">
        <v>172</v>
      </c>
      <c r="D146" s="12"/>
      <c r="E146" s="12"/>
      <c r="F146" s="9">
        <v>262672.94022138999</v>
      </c>
      <c r="G146" s="14">
        <v>1.00000008</v>
      </c>
      <c r="H146" s="52"/>
    </row>
    <row r="147" spans="1:14" ht="14.1" customHeight="1" x14ac:dyDescent="0.2">
      <c r="A147" s="15"/>
      <c r="B147" s="15"/>
      <c r="C147" s="15"/>
      <c r="D147" s="16"/>
      <c r="E147" s="16"/>
      <c r="F147" s="16"/>
      <c r="G147" s="16"/>
    </row>
    <row r="148" spans="1:14" ht="17.100000000000001" customHeight="1" x14ac:dyDescent="0.2">
      <c r="A148" s="17"/>
      <c r="B148" s="126" t="s">
        <v>173</v>
      </c>
      <c r="C148" s="126"/>
      <c r="D148" s="126"/>
      <c r="E148" s="126"/>
      <c r="F148" s="126"/>
      <c r="G148" s="19"/>
    </row>
    <row r="149" spans="1:14" ht="14.1" customHeight="1" x14ac:dyDescent="0.2">
      <c r="A149" s="17"/>
      <c r="B149" s="17"/>
      <c r="C149" s="17"/>
      <c r="D149" s="19"/>
      <c r="E149" s="19"/>
      <c r="F149" s="19"/>
      <c r="G149" s="19"/>
    </row>
    <row r="150" spans="1:14" ht="14.1" customHeight="1" x14ac:dyDescent="0.2">
      <c r="A150" s="17"/>
      <c r="B150" s="127" t="s">
        <v>174</v>
      </c>
      <c r="C150" s="128"/>
      <c r="D150" s="129"/>
      <c r="E150" s="20"/>
      <c r="F150" s="19"/>
      <c r="G150" s="19"/>
    </row>
    <row r="151" spans="1:14" ht="29.1" customHeight="1" x14ac:dyDescent="0.2">
      <c r="A151" s="17"/>
      <c r="B151" s="121" t="s">
        <v>175</v>
      </c>
      <c r="C151" s="122"/>
      <c r="D151" s="2" t="s">
        <v>176</v>
      </c>
      <c r="E151" s="20"/>
      <c r="F151" s="19"/>
      <c r="G151" s="19"/>
    </row>
    <row r="152" spans="1:14" ht="17.100000000000001" customHeight="1" x14ac:dyDescent="0.2">
      <c r="A152" s="17"/>
      <c r="B152" s="123" t="s">
        <v>947</v>
      </c>
      <c r="C152" s="124"/>
      <c r="D152" s="40" t="s">
        <v>948</v>
      </c>
      <c r="E152" s="20"/>
      <c r="F152" s="19"/>
      <c r="G152" s="19"/>
    </row>
    <row r="153" spans="1:14" ht="17.100000000000001" customHeight="1" x14ac:dyDescent="0.2">
      <c r="A153" s="17"/>
      <c r="B153" s="121" t="s">
        <v>178</v>
      </c>
      <c r="C153" s="122"/>
      <c r="D153" s="12" t="s">
        <v>146</v>
      </c>
      <c r="E153" s="20"/>
      <c r="F153" s="19"/>
      <c r="G153" s="19"/>
    </row>
    <row r="154" spans="1:14" ht="24" customHeight="1" x14ac:dyDescent="0.2">
      <c r="A154" s="21"/>
      <c r="B154" s="22" t="s">
        <v>146</v>
      </c>
      <c r="C154" s="22" t="s">
        <v>179</v>
      </c>
      <c r="D154" s="22" t="s">
        <v>180</v>
      </c>
      <c r="E154" s="21"/>
      <c r="F154" s="21"/>
      <c r="G154" s="21"/>
    </row>
    <row r="155" spans="1:14" ht="18" customHeight="1" x14ac:dyDescent="0.2">
      <c r="A155" s="21"/>
      <c r="B155" s="23" t="s">
        <v>181</v>
      </c>
      <c r="C155" s="22" t="s">
        <v>182</v>
      </c>
      <c r="D155" s="22" t="s">
        <v>183</v>
      </c>
      <c r="E155" s="21"/>
      <c r="F155" s="21"/>
      <c r="G155" s="21"/>
      <c r="J155" s="104"/>
      <c r="K155" s="104"/>
      <c r="L155" s="104"/>
      <c r="M155" s="104"/>
      <c r="N155" s="104"/>
    </row>
    <row r="156" spans="1:14" ht="17.100000000000001" customHeight="1" x14ac:dyDescent="0.2">
      <c r="A156" s="21"/>
      <c r="B156" s="4" t="s">
        <v>184</v>
      </c>
      <c r="C156" s="24">
        <v>209.07749999999999</v>
      </c>
      <c r="D156" s="24">
        <v>205.94210000000001</v>
      </c>
      <c r="E156" s="21"/>
      <c r="F156" s="18"/>
      <c r="G156" s="25"/>
    </row>
    <row r="157" spans="1:14" ht="17.100000000000001" customHeight="1" x14ac:dyDescent="0.2">
      <c r="A157" s="21"/>
      <c r="B157" s="4" t="s">
        <v>1039</v>
      </c>
      <c r="C157" s="24">
        <v>34.1038</v>
      </c>
      <c r="D157" s="24">
        <v>31.172799999999999</v>
      </c>
      <c r="E157" s="21"/>
      <c r="F157" s="18"/>
      <c r="G157" s="25"/>
    </row>
    <row r="158" spans="1:14" ht="17.100000000000001" customHeight="1" x14ac:dyDescent="0.2">
      <c r="A158" s="21"/>
      <c r="B158" s="4" t="s">
        <v>185</v>
      </c>
      <c r="C158" s="24">
        <v>192.6217</v>
      </c>
      <c r="D158" s="24">
        <v>189.55340000000001</v>
      </c>
      <c r="E158" s="21"/>
      <c r="F158" s="18"/>
      <c r="G158" s="25"/>
    </row>
    <row r="159" spans="1:14" ht="17.100000000000001" customHeight="1" x14ac:dyDescent="0.2">
      <c r="A159" s="21"/>
      <c r="B159" s="4" t="s">
        <v>1040</v>
      </c>
      <c r="C159" s="24">
        <v>30.578199999999999</v>
      </c>
      <c r="D159" s="24">
        <v>27.921600000000002</v>
      </c>
      <c r="E159" s="21"/>
      <c r="F159" s="18"/>
      <c r="G159" s="25"/>
    </row>
    <row r="160" spans="1:14" ht="14.1" customHeight="1" x14ac:dyDescent="0.2">
      <c r="A160" s="21"/>
      <c r="B160" s="21"/>
      <c r="C160" s="21"/>
      <c r="D160" s="21"/>
      <c r="E160" s="21"/>
      <c r="F160" s="21"/>
      <c r="G160" s="21"/>
    </row>
    <row r="161" spans="1:7" ht="17.100000000000001" customHeight="1" x14ac:dyDescent="0.2">
      <c r="A161" s="21"/>
      <c r="B161" s="121" t="s">
        <v>1041</v>
      </c>
      <c r="C161" s="122"/>
      <c r="D161" s="2" t="s">
        <v>146</v>
      </c>
      <c r="E161" s="21"/>
      <c r="F161" s="21"/>
      <c r="G161" s="21"/>
    </row>
    <row r="162" spans="1:7" ht="18" customHeight="1" x14ac:dyDescent="0.2">
      <c r="A162" s="21"/>
      <c r="B162" s="28" t="s">
        <v>181</v>
      </c>
      <c r="C162" s="29" t="s">
        <v>316</v>
      </c>
      <c r="D162" s="29" t="s">
        <v>317</v>
      </c>
      <c r="E162" s="21"/>
      <c r="F162" s="21"/>
      <c r="G162" s="21"/>
    </row>
    <row r="163" spans="1:7" ht="17.100000000000001" customHeight="1" x14ac:dyDescent="0.2">
      <c r="A163" s="21"/>
      <c r="B163" s="4" t="s">
        <v>1039</v>
      </c>
      <c r="C163" s="30">
        <v>2.4119999999999999</v>
      </c>
      <c r="D163" s="8" t="s">
        <v>551</v>
      </c>
      <c r="E163" s="21"/>
      <c r="F163" s="18"/>
      <c r="G163" s="25"/>
    </row>
    <row r="164" spans="1:7" ht="17.100000000000001" customHeight="1" x14ac:dyDescent="0.2">
      <c r="A164" s="21"/>
      <c r="B164" s="4" t="s">
        <v>1040</v>
      </c>
      <c r="C164" s="30">
        <v>2.1629999999999998</v>
      </c>
      <c r="D164" s="30">
        <v>2.1629999999999998</v>
      </c>
      <c r="E164" s="21"/>
      <c r="F164" s="18"/>
      <c r="G164" s="25"/>
    </row>
    <row r="165" spans="1:7" ht="14.1" customHeight="1" x14ac:dyDescent="0.2">
      <c r="A165" s="21"/>
      <c r="B165" s="31"/>
      <c r="C165" s="31"/>
      <c r="D165" s="32"/>
      <c r="E165" s="21"/>
      <c r="F165" s="18"/>
      <c r="G165" s="25"/>
    </row>
    <row r="166" spans="1:7" ht="29.1" customHeight="1" x14ac:dyDescent="0.2">
      <c r="A166" s="21"/>
      <c r="B166" s="121" t="s">
        <v>186</v>
      </c>
      <c r="C166" s="122"/>
      <c r="D166" s="2" t="s">
        <v>176</v>
      </c>
      <c r="E166" s="27"/>
      <c r="F166" s="21"/>
      <c r="G166" s="21"/>
    </row>
    <row r="167" spans="1:7" ht="29.1" customHeight="1" x14ac:dyDescent="0.2">
      <c r="A167" s="21"/>
      <c r="B167" s="121" t="s">
        <v>187</v>
      </c>
      <c r="C167" s="122"/>
      <c r="D167" s="2" t="s">
        <v>176</v>
      </c>
      <c r="E167" s="27"/>
      <c r="F167" s="21"/>
      <c r="G167" s="21"/>
    </row>
    <row r="168" spans="1:7" ht="17.100000000000001" customHeight="1" x14ac:dyDescent="0.2">
      <c r="A168" s="21"/>
      <c r="B168" s="121" t="s">
        <v>188</v>
      </c>
      <c r="C168" s="122"/>
      <c r="D168" s="2" t="s">
        <v>176</v>
      </c>
      <c r="E168" s="27"/>
      <c r="F168" s="21"/>
      <c r="G168" s="21"/>
    </row>
    <row r="169" spans="1:7" ht="17.100000000000001" customHeight="1" x14ac:dyDescent="0.2">
      <c r="A169" s="21"/>
      <c r="B169" s="121" t="s">
        <v>189</v>
      </c>
      <c r="C169" s="122"/>
      <c r="D169" s="50">
        <v>0.43792164601045502</v>
      </c>
      <c r="E169" s="21"/>
      <c r="F169" s="18"/>
      <c r="G169" s="25"/>
    </row>
  </sheetData>
  <mergeCells count="14">
    <mergeCell ref="A1:H1"/>
    <mergeCell ref="A2:H2"/>
    <mergeCell ref="A3:H3"/>
    <mergeCell ref="J2:N2"/>
    <mergeCell ref="B169:C169"/>
    <mergeCell ref="B152:C152"/>
    <mergeCell ref="B153:C153"/>
    <mergeCell ref="B161:C161"/>
    <mergeCell ref="B166:C166"/>
    <mergeCell ref="B167:C167"/>
    <mergeCell ref="B168:C168"/>
    <mergeCell ref="B151:C151"/>
    <mergeCell ref="B148:F148"/>
    <mergeCell ref="B150:D150"/>
  </mergeCells>
  <hyperlinks>
    <hyperlink ref="I1" location="Index!B14" display="Index" xr:uid="{8C46C0CA-2311-41E9-B761-71957A970550}"/>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P249"/>
  <sheetViews>
    <sheetView showGridLines="0" workbookViewId="0">
      <selection sqref="A1:I1"/>
    </sheetView>
  </sheetViews>
  <sheetFormatPr defaultRowHeight="12.75" x14ac:dyDescent="0.2"/>
  <cols>
    <col min="1" max="1" width="6.85546875" customWidth="1"/>
    <col min="2" max="2" width="20.5703125" customWidth="1"/>
    <col min="3" max="3" width="35.42578125" customWidth="1"/>
    <col min="4" max="4" width="17.85546875" customWidth="1"/>
    <col min="5" max="6" width="19.140625" customWidth="1"/>
    <col min="7" max="7" width="14" bestFit="1" customWidth="1"/>
    <col min="8" max="8" width="16.28515625" bestFit="1" customWidth="1"/>
    <col min="9" max="9" width="9.5703125" customWidth="1"/>
    <col min="11" max="11" width="16.7109375" bestFit="1" customWidth="1"/>
  </cols>
  <sheetData>
    <row r="1" spans="1:16" ht="18" customHeight="1" x14ac:dyDescent="0.2">
      <c r="A1" s="116" t="s">
        <v>0</v>
      </c>
      <c r="B1" s="116"/>
      <c r="C1" s="116"/>
      <c r="D1" s="116"/>
      <c r="E1" s="116"/>
      <c r="F1" s="116"/>
      <c r="G1" s="116"/>
      <c r="H1" s="116"/>
      <c r="I1" s="116"/>
      <c r="J1" s="98" t="s">
        <v>1053</v>
      </c>
      <c r="K1" s="57"/>
      <c r="L1" s="57"/>
      <c r="M1" s="57"/>
      <c r="N1" s="57"/>
      <c r="O1" s="57"/>
    </row>
    <row r="2" spans="1:16" ht="17.100000000000001" customHeight="1" x14ac:dyDescent="0.2">
      <c r="A2" s="116" t="s">
        <v>552</v>
      </c>
      <c r="B2" s="132"/>
      <c r="C2" s="132"/>
      <c r="D2" s="132"/>
      <c r="E2" s="132"/>
      <c r="F2" s="132"/>
      <c r="G2" s="132"/>
      <c r="H2" s="132"/>
      <c r="I2" s="132"/>
      <c r="K2" s="120" t="s">
        <v>1054</v>
      </c>
      <c r="L2" s="120"/>
      <c r="M2" s="120"/>
      <c r="N2" s="120"/>
      <c r="O2" s="120"/>
    </row>
    <row r="3" spans="1:16" ht="21" customHeight="1" x14ac:dyDescent="0.2">
      <c r="A3" s="116" t="s">
        <v>1049</v>
      </c>
      <c r="B3" s="116"/>
      <c r="C3" s="116"/>
      <c r="D3" s="116"/>
      <c r="E3" s="116"/>
      <c r="F3" s="116"/>
      <c r="G3" s="116"/>
      <c r="H3" s="116"/>
      <c r="I3" s="116"/>
      <c r="K3" s="57"/>
      <c r="L3" s="57"/>
      <c r="M3" s="57"/>
      <c r="N3" s="57"/>
      <c r="O3" s="57"/>
    </row>
    <row r="4" spans="1:16" ht="45" x14ac:dyDescent="0.2">
      <c r="A4" s="96" t="s">
        <v>2</v>
      </c>
      <c r="B4" s="96" t="s">
        <v>3</v>
      </c>
      <c r="C4" s="96" t="s">
        <v>4</v>
      </c>
      <c r="D4" s="96" t="s">
        <v>5</v>
      </c>
      <c r="E4" s="96" t="s">
        <v>6</v>
      </c>
      <c r="F4" s="96" t="s">
        <v>7</v>
      </c>
      <c r="G4" s="96" t="s">
        <v>8</v>
      </c>
      <c r="H4" s="51" t="s">
        <v>1002</v>
      </c>
      <c r="I4" s="94" t="s">
        <v>1038</v>
      </c>
      <c r="J4" s="99"/>
      <c r="K4" s="102"/>
      <c r="L4" s="102"/>
      <c r="M4" s="102"/>
      <c r="N4" s="102"/>
      <c r="O4" s="102"/>
      <c r="P4" s="99"/>
    </row>
    <row r="5" spans="1:16" ht="14.1" customHeight="1" x14ac:dyDescent="0.2">
      <c r="A5" s="1"/>
      <c r="B5" s="1"/>
      <c r="C5" s="2" t="s">
        <v>9</v>
      </c>
      <c r="D5" s="1"/>
      <c r="E5" s="1"/>
      <c r="F5" s="1"/>
      <c r="G5" s="1"/>
      <c r="H5" s="52"/>
      <c r="I5" s="52"/>
      <c r="K5" s="57"/>
      <c r="L5" s="57"/>
      <c r="M5" s="57"/>
      <c r="N5" s="57"/>
      <c r="O5" s="57"/>
    </row>
    <row r="6" spans="1:16" ht="24" customHeight="1" x14ac:dyDescent="0.2">
      <c r="A6" s="1"/>
      <c r="B6" s="1"/>
      <c r="C6" s="2" t="s">
        <v>10</v>
      </c>
      <c r="D6" s="1"/>
      <c r="E6" s="1"/>
      <c r="F6" s="1"/>
      <c r="G6" s="1"/>
      <c r="H6" s="52"/>
      <c r="I6" s="52"/>
      <c r="K6" s="57"/>
      <c r="L6" s="57"/>
      <c r="M6" s="57"/>
      <c r="N6" s="57"/>
      <c r="O6" s="57"/>
    </row>
    <row r="7" spans="1:16" ht="17.100000000000001" customHeight="1" x14ac:dyDescent="0.2">
      <c r="A7" s="3">
        <v>1</v>
      </c>
      <c r="B7" s="4" t="s">
        <v>319</v>
      </c>
      <c r="C7" s="4" t="s">
        <v>320</v>
      </c>
      <c r="D7" s="4" t="s">
        <v>28</v>
      </c>
      <c r="E7" s="5">
        <v>1300750</v>
      </c>
      <c r="F7" s="6">
        <v>19205.57375</v>
      </c>
      <c r="G7" s="7">
        <v>5.2737926311487146E-2</v>
      </c>
      <c r="H7" s="52"/>
      <c r="I7" s="52"/>
      <c r="K7" s="57"/>
      <c r="L7" s="57"/>
      <c r="M7" s="57"/>
      <c r="N7" s="57"/>
      <c r="O7" s="57"/>
    </row>
    <row r="8" spans="1:16" ht="17.100000000000001" customHeight="1" x14ac:dyDescent="0.2">
      <c r="A8" s="3">
        <v>2</v>
      </c>
      <c r="B8" s="4" t="s">
        <v>26</v>
      </c>
      <c r="C8" s="4" t="s">
        <v>27</v>
      </c>
      <c r="D8" s="4" t="s">
        <v>28</v>
      </c>
      <c r="E8" s="5">
        <v>1797500</v>
      </c>
      <c r="F8" s="6">
        <v>16453.416249999998</v>
      </c>
      <c r="G8" s="7">
        <v>4.5180584816672038E-2</v>
      </c>
      <c r="H8" s="52"/>
      <c r="I8" s="52"/>
      <c r="K8" s="57"/>
      <c r="L8" s="57"/>
      <c r="M8" s="57"/>
      <c r="N8" s="57"/>
      <c r="O8" s="57"/>
    </row>
    <row r="9" spans="1:16" ht="17.100000000000001" customHeight="1" x14ac:dyDescent="0.2">
      <c r="A9" s="3">
        <v>3</v>
      </c>
      <c r="B9" s="4" t="s">
        <v>14</v>
      </c>
      <c r="C9" s="4" t="s">
        <v>15</v>
      </c>
      <c r="D9" s="4" t="s">
        <v>16</v>
      </c>
      <c r="E9" s="5">
        <v>660000</v>
      </c>
      <c r="F9" s="6">
        <v>15100.14</v>
      </c>
      <c r="G9" s="7">
        <v>4.1464529046581572E-2</v>
      </c>
      <c r="H9" s="52"/>
      <c r="I9" s="52"/>
      <c r="K9" s="57"/>
      <c r="L9" s="57"/>
      <c r="M9" s="57"/>
      <c r="N9" s="57"/>
      <c r="O9" s="57"/>
    </row>
    <row r="10" spans="1:16" ht="17.100000000000001" customHeight="1" x14ac:dyDescent="0.2">
      <c r="A10" s="3">
        <v>4</v>
      </c>
      <c r="B10" s="4" t="s">
        <v>321</v>
      </c>
      <c r="C10" s="4" t="s">
        <v>322</v>
      </c>
      <c r="D10" s="4" t="s">
        <v>888</v>
      </c>
      <c r="E10" s="5">
        <v>835000</v>
      </c>
      <c r="F10" s="6">
        <v>11426.14</v>
      </c>
      <c r="G10" s="7">
        <v>3.1375835847899922E-2</v>
      </c>
      <c r="H10" s="52"/>
      <c r="I10" s="52"/>
      <c r="K10" s="57"/>
      <c r="L10" s="57"/>
      <c r="M10" s="57"/>
      <c r="N10" s="57"/>
      <c r="O10" s="57"/>
    </row>
    <row r="11" spans="1:16" ht="17.100000000000001" customHeight="1" x14ac:dyDescent="0.2">
      <c r="A11" s="3">
        <v>5</v>
      </c>
      <c r="B11" s="4" t="s">
        <v>11</v>
      </c>
      <c r="C11" s="4" t="s">
        <v>12</v>
      </c>
      <c r="D11" s="4" t="s">
        <v>13</v>
      </c>
      <c r="E11" s="5">
        <v>317779</v>
      </c>
      <c r="F11" s="6">
        <v>9307.9057995000003</v>
      </c>
      <c r="G11" s="7">
        <v>2.5559228615510375E-2</v>
      </c>
      <c r="H11" s="52"/>
      <c r="I11" s="52"/>
      <c r="K11" s="57"/>
      <c r="L11" s="57"/>
      <c r="M11" s="57"/>
      <c r="N11" s="57"/>
      <c r="O11" s="57"/>
    </row>
    <row r="12" spans="1:16" ht="17.100000000000001" customHeight="1" x14ac:dyDescent="0.2">
      <c r="A12" s="3">
        <v>6</v>
      </c>
      <c r="B12" s="4" t="s">
        <v>17</v>
      </c>
      <c r="C12" s="4" t="s">
        <v>18</v>
      </c>
      <c r="D12" s="4" t="s">
        <v>19</v>
      </c>
      <c r="E12" s="5">
        <v>1000000</v>
      </c>
      <c r="F12" s="6">
        <v>9144</v>
      </c>
      <c r="G12" s="7">
        <v>2.5109148233191339E-2</v>
      </c>
      <c r="H12" s="52"/>
      <c r="I12" s="52"/>
      <c r="L12" s="57"/>
      <c r="M12" s="57"/>
      <c r="N12" s="57"/>
      <c r="O12" s="57"/>
    </row>
    <row r="13" spans="1:16" ht="29.1" customHeight="1" x14ac:dyDescent="0.2">
      <c r="A13" s="3">
        <v>7</v>
      </c>
      <c r="B13" s="4" t="s">
        <v>327</v>
      </c>
      <c r="C13" s="4" t="s">
        <v>328</v>
      </c>
      <c r="D13" s="4" t="s">
        <v>226</v>
      </c>
      <c r="E13" s="5">
        <v>651000</v>
      </c>
      <c r="F13" s="6">
        <v>7086.7860000000001</v>
      </c>
      <c r="G13" s="7">
        <v>1.946010063111386E-2</v>
      </c>
      <c r="H13" s="52"/>
      <c r="I13" s="52"/>
      <c r="K13" s="101" t="s">
        <v>1070</v>
      </c>
      <c r="L13" s="57"/>
      <c r="M13" s="57"/>
      <c r="N13" s="57"/>
      <c r="O13" s="57"/>
    </row>
    <row r="14" spans="1:16" ht="17.100000000000001" customHeight="1" x14ac:dyDescent="0.2">
      <c r="A14" s="3">
        <v>8</v>
      </c>
      <c r="B14" s="4" t="s">
        <v>39</v>
      </c>
      <c r="C14" s="4" t="s">
        <v>40</v>
      </c>
      <c r="D14" s="4" t="s">
        <v>28</v>
      </c>
      <c r="E14" s="5">
        <v>1145000</v>
      </c>
      <c r="F14" s="6">
        <v>6475.5474999999997</v>
      </c>
      <c r="G14" s="7">
        <v>1.778165814398202E-2</v>
      </c>
      <c r="H14" s="52"/>
      <c r="I14" s="52"/>
      <c r="K14" s="57"/>
      <c r="L14" s="57"/>
      <c r="M14" s="57"/>
      <c r="N14" s="57"/>
      <c r="O14" s="57"/>
    </row>
    <row r="15" spans="1:16" ht="17.100000000000001" customHeight="1" x14ac:dyDescent="0.2">
      <c r="A15" s="3">
        <v>9</v>
      </c>
      <c r="B15" s="4" t="s">
        <v>199</v>
      </c>
      <c r="C15" s="4" t="s">
        <v>200</v>
      </c>
      <c r="D15" s="4" t="s">
        <v>60</v>
      </c>
      <c r="E15" s="5">
        <v>2125000</v>
      </c>
      <c r="F15" s="6">
        <v>6134.875</v>
      </c>
      <c r="G15" s="7">
        <v>1.6846181733059899E-2</v>
      </c>
      <c r="H15" s="52"/>
      <c r="I15" s="52"/>
      <c r="K15" s="57"/>
      <c r="L15" s="57"/>
      <c r="M15" s="57"/>
      <c r="N15" s="57"/>
      <c r="O15" s="57"/>
    </row>
    <row r="16" spans="1:16" ht="17.100000000000001" customHeight="1" x14ac:dyDescent="0.2">
      <c r="A16" s="3">
        <v>10</v>
      </c>
      <c r="B16" s="4" t="s">
        <v>323</v>
      </c>
      <c r="C16" s="4" t="s">
        <v>324</v>
      </c>
      <c r="D16" s="4" t="s">
        <v>28</v>
      </c>
      <c r="E16" s="5">
        <v>593750</v>
      </c>
      <c r="F16" s="6">
        <v>5829.734375</v>
      </c>
      <c r="G16" s="7">
        <v>1.6008274779309502E-2</v>
      </c>
      <c r="H16" s="52"/>
      <c r="I16" s="52"/>
      <c r="K16" s="57"/>
      <c r="L16" s="57"/>
      <c r="M16" s="57"/>
      <c r="N16" s="57"/>
      <c r="O16" s="57"/>
    </row>
    <row r="17" spans="1:15" ht="17.100000000000001" customHeight="1" x14ac:dyDescent="0.2">
      <c r="A17" s="3">
        <v>11</v>
      </c>
      <c r="B17" s="4" t="s">
        <v>553</v>
      </c>
      <c r="C17" s="4" t="s">
        <v>554</v>
      </c>
      <c r="D17" s="4" t="s">
        <v>283</v>
      </c>
      <c r="E17" s="5">
        <v>520000</v>
      </c>
      <c r="F17" s="6">
        <v>5367.44</v>
      </c>
      <c r="G17" s="7">
        <v>1.4738828367537239E-2</v>
      </c>
      <c r="H17" s="52"/>
      <c r="I17" s="52"/>
      <c r="K17" s="57"/>
      <c r="L17" s="57"/>
      <c r="M17" s="57"/>
      <c r="N17" s="57"/>
      <c r="O17" s="57"/>
    </row>
    <row r="18" spans="1:15" ht="17.100000000000001" customHeight="1" x14ac:dyDescent="0.2">
      <c r="A18" s="3">
        <v>12</v>
      </c>
      <c r="B18" s="4" t="s">
        <v>331</v>
      </c>
      <c r="C18" s="4" t="s">
        <v>332</v>
      </c>
      <c r="D18" s="4" t="s">
        <v>283</v>
      </c>
      <c r="E18" s="5">
        <v>500000</v>
      </c>
      <c r="F18" s="6">
        <v>4544</v>
      </c>
      <c r="G18" s="7">
        <v>1.2477686961025967E-2</v>
      </c>
      <c r="H18" s="52"/>
      <c r="I18" s="52"/>
      <c r="K18" s="57"/>
      <c r="L18" s="57"/>
      <c r="M18" s="57"/>
      <c r="N18" s="57"/>
      <c r="O18" s="57"/>
    </row>
    <row r="19" spans="1:15" ht="17.100000000000001" customHeight="1" x14ac:dyDescent="0.2">
      <c r="A19" s="3">
        <v>13</v>
      </c>
      <c r="B19" s="4" t="s">
        <v>382</v>
      </c>
      <c r="C19" s="4" t="s">
        <v>383</v>
      </c>
      <c r="D19" s="4" t="s">
        <v>70</v>
      </c>
      <c r="E19" s="5">
        <v>277500</v>
      </c>
      <c r="F19" s="6">
        <v>4355.5012500000003</v>
      </c>
      <c r="G19" s="7">
        <v>1.1960075078313669E-2</v>
      </c>
      <c r="H19" s="52"/>
      <c r="I19" s="52"/>
      <c r="K19" s="57"/>
      <c r="L19" s="57"/>
      <c r="M19" s="57"/>
      <c r="N19" s="57"/>
      <c r="O19" s="57"/>
    </row>
    <row r="20" spans="1:15" ht="17.100000000000001" customHeight="1" x14ac:dyDescent="0.2">
      <c r="A20" s="3">
        <v>14</v>
      </c>
      <c r="B20" s="4" t="s">
        <v>100</v>
      </c>
      <c r="C20" s="4" t="s">
        <v>101</v>
      </c>
      <c r="D20" s="4" t="s">
        <v>102</v>
      </c>
      <c r="E20" s="5">
        <v>40000</v>
      </c>
      <c r="F20" s="6">
        <v>4156.92</v>
      </c>
      <c r="G20" s="7">
        <v>1.141477695467167E-2</v>
      </c>
      <c r="H20" s="52"/>
      <c r="I20" s="52"/>
      <c r="K20" s="57"/>
      <c r="L20" s="57"/>
      <c r="M20" s="57"/>
      <c r="N20" s="57"/>
      <c r="O20" s="57"/>
    </row>
    <row r="21" spans="1:15" ht="17.100000000000001" customHeight="1" x14ac:dyDescent="0.2">
      <c r="A21" s="3">
        <v>15</v>
      </c>
      <c r="B21" s="4" t="s">
        <v>195</v>
      </c>
      <c r="C21" s="4" t="s">
        <v>196</v>
      </c>
      <c r="D21" s="4" t="s">
        <v>70</v>
      </c>
      <c r="E21" s="5">
        <v>221000</v>
      </c>
      <c r="F21" s="6">
        <v>4154.4684999999999</v>
      </c>
      <c r="G21" s="7">
        <v>1.1408045209604558E-2</v>
      </c>
      <c r="H21" s="52"/>
      <c r="I21" s="52"/>
      <c r="K21" s="57"/>
      <c r="L21" s="57"/>
      <c r="M21" s="57"/>
      <c r="N21" s="57"/>
      <c r="O21" s="57"/>
    </row>
    <row r="22" spans="1:15" ht="17.100000000000001" customHeight="1" x14ac:dyDescent="0.2">
      <c r="A22" s="3">
        <v>16</v>
      </c>
      <c r="B22" s="4" t="s">
        <v>20</v>
      </c>
      <c r="C22" s="4" t="s">
        <v>21</v>
      </c>
      <c r="D22" s="4" t="s">
        <v>22</v>
      </c>
      <c r="E22" s="5">
        <v>1750000</v>
      </c>
      <c r="F22" s="6">
        <v>4126.5</v>
      </c>
      <c r="G22" s="7">
        <v>1.1331244552084872E-2</v>
      </c>
      <c r="H22" s="52"/>
      <c r="I22" s="52"/>
      <c r="K22" s="57"/>
      <c r="L22" s="57"/>
      <c r="M22" s="57"/>
      <c r="N22" s="57"/>
      <c r="O22" s="57"/>
    </row>
    <row r="23" spans="1:15" ht="17.100000000000001" customHeight="1" x14ac:dyDescent="0.2">
      <c r="A23" s="3">
        <v>17</v>
      </c>
      <c r="B23" s="4" t="s">
        <v>442</v>
      </c>
      <c r="C23" s="4" t="s">
        <v>443</v>
      </c>
      <c r="D23" s="4" t="s">
        <v>70</v>
      </c>
      <c r="E23" s="5">
        <v>450000</v>
      </c>
      <c r="F23" s="6">
        <v>4060.125</v>
      </c>
      <c r="G23" s="7">
        <v>1.114898080383705E-2</v>
      </c>
      <c r="H23" s="52"/>
      <c r="I23" s="52"/>
      <c r="K23" s="57"/>
      <c r="L23" s="57"/>
      <c r="M23" s="57"/>
      <c r="N23" s="57"/>
      <c r="O23" s="57"/>
    </row>
    <row r="24" spans="1:15" ht="17.100000000000001" customHeight="1" x14ac:dyDescent="0.2">
      <c r="A24" s="3">
        <v>18</v>
      </c>
      <c r="B24" s="4" t="s">
        <v>325</v>
      </c>
      <c r="C24" s="4" t="s">
        <v>326</v>
      </c>
      <c r="D24" s="4" t="s">
        <v>888</v>
      </c>
      <c r="E24" s="5">
        <v>120000</v>
      </c>
      <c r="F24" s="6">
        <v>4042.5</v>
      </c>
      <c r="G24" s="7">
        <v>1.1100583085375764E-2</v>
      </c>
      <c r="H24" s="52"/>
      <c r="I24" s="52"/>
      <c r="K24" s="57"/>
      <c r="L24" s="57"/>
      <c r="M24" s="57"/>
      <c r="N24" s="57"/>
      <c r="O24" s="57"/>
    </row>
    <row r="25" spans="1:15" ht="17.100000000000001" customHeight="1" x14ac:dyDescent="0.2">
      <c r="A25" s="3">
        <v>19</v>
      </c>
      <c r="B25" s="4" t="s">
        <v>425</v>
      </c>
      <c r="C25" s="4" t="s">
        <v>426</v>
      </c>
      <c r="D25" s="4" t="s">
        <v>231</v>
      </c>
      <c r="E25" s="5">
        <v>475000</v>
      </c>
      <c r="F25" s="6">
        <v>3769.6</v>
      </c>
      <c r="G25" s="7">
        <v>1.0351207915555345E-2</v>
      </c>
      <c r="H25" s="52"/>
      <c r="I25" s="52"/>
      <c r="K25" s="57"/>
      <c r="L25" s="57"/>
      <c r="M25" s="57"/>
      <c r="N25" s="57"/>
      <c r="O25" s="57"/>
    </row>
    <row r="26" spans="1:15" ht="17.100000000000001" customHeight="1" x14ac:dyDescent="0.2">
      <c r="A26" s="3">
        <v>20</v>
      </c>
      <c r="B26" s="4" t="s">
        <v>466</v>
      </c>
      <c r="C26" s="4" t="s">
        <v>467</v>
      </c>
      <c r="D26" s="4" t="s">
        <v>221</v>
      </c>
      <c r="E26" s="5">
        <v>275000</v>
      </c>
      <c r="F26" s="6">
        <v>3761.5875000000001</v>
      </c>
      <c r="G26" s="7">
        <v>1.0329205832198122E-2</v>
      </c>
      <c r="H26" s="52"/>
      <c r="I26" s="52"/>
      <c r="K26" s="57"/>
      <c r="L26" s="57"/>
      <c r="M26" s="57"/>
      <c r="N26" s="57"/>
      <c r="O26" s="57"/>
    </row>
    <row r="27" spans="1:15" ht="17.100000000000001" customHeight="1" x14ac:dyDescent="0.2">
      <c r="A27" s="3">
        <v>21</v>
      </c>
      <c r="B27" s="4" t="s">
        <v>351</v>
      </c>
      <c r="C27" s="4" t="s">
        <v>352</v>
      </c>
      <c r="D27" s="4" t="s">
        <v>344</v>
      </c>
      <c r="E27" s="5">
        <v>150000</v>
      </c>
      <c r="F27" s="6">
        <v>3726</v>
      </c>
      <c r="G27" s="7">
        <v>1.0231483630453951E-2</v>
      </c>
      <c r="H27" s="52"/>
      <c r="I27" s="52"/>
      <c r="K27" s="57"/>
      <c r="L27" s="57"/>
      <c r="M27" s="57"/>
      <c r="N27" s="57"/>
      <c r="O27" s="57"/>
    </row>
    <row r="28" spans="1:15" ht="29.1" customHeight="1" x14ac:dyDescent="0.2">
      <c r="A28" s="3">
        <v>22</v>
      </c>
      <c r="B28" s="4" t="s">
        <v>209</v>
      </c>
      <c r="C28" s="4" t="s">
        <v>210</v>
      </c>
      <c r="D28" s="4" t="s">
        <v>211</v>
      </c>
      <c r="E28" s="5">
        <v>350000</v>
      </c>
      <c r="F28" s="6">
        <v>3650.5</v>
      </c>
      <c r="G28" s="7">
        <v>1.0024162907399933E-2</v>
      </c>
      <c r="H28" s="52"/>
      <c r="I28" s="52"/>
      <c r="K28" s="57"/>
      <c r="L28" s="57"/>
      <c r="M28" s="57"/>
      <c r="N28" s="57"/>
      <c r="O28" s="57"/>
    </row>
    <row r="29" spans="1:15" ht="17.100000000000001" customHeight="1" x14ac:dyDescent="0.2">
      <c r="A29" s="3">
        <v>23</v>
      </c>
      <c r="B29" s="4" t="s">
        <v>468</v>
      </c>
      <c r="C29" s="4" t="s">
        <v>469</v>
      </c>
      <c r="D29" s="4" t="s">
        <v>888</v>
      </c>
      <c r="E29" s="5">
        <v>285000</v>
      </c>
      <c r="F29" s="6">
        <v>3636.6</v>
      </c>
      <c r="G29" s="7">
        <v>9.9859939265992594E-3</v>
      </c>
      <c r="H29" s="52"/>
      <c r="I29" s="52"/>
    </row>
    <row r="30" spans="1:15" ht="17.100000000000001" customHeight="1" x14ac:dyDescent="0.2">
      <c r="A30" s="3">
        <v>24</v>
      </c>
      <c r="B30" s="4" t="s">
        <v>197</v>
      </c>
      <c r="C30" s="4" t="s">
        <v>198</v>
      </c>
      <c r="D30" s="4" t="s">
        <v>105</v>
      </c>
      <c r="E30" s="5">
        <v>105000</v>
      </c>
      <c r="F30" s="6">
        <v>3307.71</v>
      </c>
      <c r="G30" s="7">
        <v>9.0828719053378526E-3</v>
      </c>
      <c r="H30" s="52"/>
      <c r="I30" s="52"/>
    </row>
    <row r="31" spans="1:15" ht="17.100000000000001" customHeight="1" x14ac:dyDescent="0.2">
      <c r="A31" s="3">
        <v>25</v>
      </c>
      <c r="B31" s="4" t="s">
        <v>329</v>
      </c>
      <c r="C31" s="4" t="s">
        <v>330</v>
      </c>
      <c r="D31" s="4" t="s">
        <v>28</v>
      </c>
      <c r="E31" s="5">
        <v>225000</v>
      </c>
      <c r="F31" s="6">
        <v>3242.9250000000002</v>
      </c>
      <c r="G31" s="7">
        <v>8.9049742491384542E-3</v>
      </c>
      <c r="H31" s="52"/>
      <c r="I31" s="52"/>
    </row>
    <row r="32" spans="1:15" ht="29.1" customHeight="1" x14ac:dyDescent="0.2">
      <c r="A32" s="3">
        <v>26</v>
      </c>
      <c r="B32" s="4" t="s">
        <v>63</v>
      </c>
      <c r="C32" s="4" t="s">
        <v>64</v>
      </c>
      <c r="D32" s="4" t="s">
        <v>25</v>
      </c>
      <c r="E32" s="5">
        <v>140000</v>
      </c>
      <c r="F32" s="6">
        <v>2945.95</v>
      </c>
      <c r="G32" s="7">
        <v>8.0894898553772986E-3</v>
      </c>
      <c r="H32" s="52"/>
      <c r="I32" s="52"/>
    </row>
    <row r="33" spans="1:9" ht="17.100000000000001" customHeight="1" x14ac:dyDescent="0.2">
      <c r="A33" s="3">
        <v>27</v>
      </c>
      <c r="B33" s="4" t="s">
        <v>555</v>
      </c>
      <c r="C33" s="4" t="s">
        <v>556</v>
      </c>
      <c r="D33" s="4" t="s">
        <v>102</v>
      </c>
      <c r="E33" s="5">
        <v>200000</v>
      </c>
      <c r="F33" s="6">
        <v>2917.2</v>
      </c>
      <c r="G33" s="7">
        <v>8.0105432224262651E-3</v>
      </c>
      <c r="H33" s="52"/>
      <c r="I33" s="52"/>
    </row>
    <row r="34" spans="1:9" ht="29.1" customHeight="1" x14ac:dyDescent="0.2">
      <c r="A34" s="3">
        <v>28</v>
      </c>
      <c r="B34" s="4" t="s">
        <v>232</v>
      </c>
      <c r="C34" s="4" t="s">
        <v>233</v>
      </c>
      <c r="D34" s="4" t="s">
        <v>226</v>
      </c>
      <c r="E34" s="5">
        <v>500000</v>
      </c>
      <c r="F34" s="6">
        <v>2867.75</v>
      </c>
      <c r="G34" s="7">
        <v>7.8747550137504875E-3</v>
      </c>
      <c r="H34" s="52"/>
      <c r="I34" s="52"/>
    </row>
    <row r="35" spans="1:9" ht="17.100000000000001" customHeight="1" x14ac:dyDescent="0.2">
      <c r="A35" s="3">
        <v>29</v>
      </c>
      <c r="B35" s="4" t="s">
        <v>103</v>
      </c>
      <c r="C35" s="4" t="s">
        <v>104</v>
      </c>
      <c r="D35" s="4" t="s">
        <v>105</v>
      </c>
      <c r="E35" s="5">
        <v>100000</v>
      </c>
      <c r="F35" s="6">
        <v>2817.4</v>
      </c>
      <c r="G35" s="7">
        <v>7.7364954322171131E-3</v>
      </c>
      <c r="H35" s="52"/>
      <c r="I35" s="52"/>
    </row>
    <row r="36" spans="1:9" ht="29.1" customHeight="1" x14ac:dyDescent="0.2">
      <c r="A36" s="3">
        <v>30</v>
      </c>
      <c r="B36" s="4" t="s">
        <v>390</v>
      </c>
      <c r="C36" s="4" t="s">
        <v>391</v>
      </c>
      <c r="D36" s="4" t="s">
        <v>226</v>
      </c>
      <c r="E36" s="5">
        <v>233900</v>
      </c>
      <c r="F36" s="6">
        <v>2806.8</v>
      </c>
      <c r="G36" s="7">
        <v>7.7073881518942974E-3</v>
      </c>
      <c r="H36" s="52"/>
      <c r="I36" s="52"/>
    </row>
    <row r="37" spans="1:9" ht="53.1" customHeight="1" x14ac:dyDescent="0.2">
      <c r="A37" s="3">
        <v>31</v>
      </c>
      <c r="B37" s="4" t="s">
        <v>71</v>
      </c>
      <c r="C37" s="4" t="s">
        <v>72</v>
      </c>
      <c r="D37" s="4" t="s">
        <v>73</v>
      </c>
      <c r="E37" s="5">
        <v>1625000</v>
      </c>
      <c r="F37" s="6">
        <v>2725.125</v>
      </c>
      <c r="G37" s="7">
        <v>7.4831110650673176E-3</v>
      </c>
      <c r="H37" s="52"/>
      <c r="I37" s="52"/>
    </row>
    <row r="38" spans="1:9" ht="29.1" customHeight="1" x14ac:dyDescent="0.2">
      <c r="A38" s="3">
        <v>32</v>
      </c>
      <c r="B38" s="4" t="s">
        <v>472</v>
      </c>
      <c r="C38" s="4" t="s">
        <v>473</v>
      </c>
      <c r="D38" s="4" t="s">
        <v>474</v>
      </c>
      <c r="E38" s="5">
        <v>300000</v>
      </c>
      <c r="F38" s="6">
        <v>2701.5</v>
      </c>
      <c r="G38" s="7">
        <v>7.4182375275553807E-3</v>
      </c>
      <c r="H38" s="52"/>
      <c r="I38" s="52"/>
    </row>
    <row r="39" spans="1:9" ht="17.100000000000001" customHeight="1" x14ac:dyDescent="0.2">
      <c r="A39" s="3">
        <v>33</v>
      </c>
      <c r="B39" s="4" t="s">
        <v>342</v>
      </c>
      <c r="C39" s="4" t="s">
        <v>343</v>
      </c>
      <c r="D39" s="4" t="s">
        <v>344</v>
      </c>
      <c r="E39" s="5">
        <v>600000</v>
      </c>
      <c r="F39" s="6">
        <v>2570.4</v>
      </c>
      <c r="G39" s="7">
        <v>7.0582408812986681E-3</v>
      </c>
      <c r="H39" s="52"/>
      <c r="I39" s="52"/>
    </row>
    <row r="40" spans="1:9" ht="29.1" customHeight="1" x14ac:dyDescent="0.2">
      <c r="A40" s="3">
        <v>34</v>
      </c>
      <c r="B40" s="4" t="s">
        <v>23</v>
      </c>
      <c r="C40" s="4" t="s">
        <v>24</v>
      </c>
      <c r="D40" s="4" t="s">
        <v>25</v>
      </c>
      <c r="E40" s="5">
        <v>30000</v>
      </c>
      <c r="F40" s="6">
        <v>2526.6750000000002</v>
      </c>
      <c r="G40" s="7">
        <v>6.9381733499670533E-3</v>
      </c>
      <c r="H40" s="52"/>
      <c r="I40" s="52"/>
    </row>
    <row r="41" spans="1:9" ht="17.100000000000001" customHeight="1" x14ac:dyDescent="0.2">
      <c r="A41" s="3">
        <v>35</v>
      </c>
      <c r="B41" s="4" t="s">
        <v>260</v>
      </c>
      <c r="C41" s="4" t="s">
        <v>261</v>
      </c>
      <c r="D41" s="4" t="s">
        <v>28</v>
      </c>
      <c r="E41" s="5">
        <v>2313891</v>
      </c>
      <c r="F41" s="6">
        <v>2350.9132559999998</v>
      </c>
      <c r="G41" s="7">
        <v>6.4555369016052596E-3</v>
      </c>
      <c r="H41" s="52"/>
      <c r="I41" s="52"/>
    </row>
    <row r="42" spans="1:9" ht="17.100000000000001" customHeight="1" x14ac:dyDescent="0.2">
      <c r="A42" s="3">
        <v>36</v>
      </c>
      <c r="B42" s="4" t="s">
        <v>240</v>
      </c>
      <c r="C42" s="4" t="s">
        <v>241</v>
      </c>
      <c r="D42" s="4" t="s">
        <v>242</v>
      </c>
      <c r="E42" s="5">
        <v>200000</v>
      </c>
      <c r="F42" s="6">
        <v>2260.4</v>
      </c>
      <c r="G42" s="7">
        <v>6.206990230348393E-3</v>
      </c>
      <c r="H42" s="52"/>
      <c r="I42" s="52"/>
    </row>
    <row r="43" spans="1:9" ht="17.100000000000001" customHeight="1" x14ac:dyDescent="0.2">
      <c r="A43" s="3">
        <v>37</v>
      </c>
      <c r="B43" s="4" t="s">
        <v>366</v>
      </c>
      <c r="C43" s="4" t="s">
        <v>367</v>
      </c>
      <c r="D43" s="4" t="s">
        <v>114</v>
      </c>
      <c r="E43" s="5">
        <v>1896000</v>
      </c>
      <c r="F43" s="6">
        <v>2251.5</v>
      </c>
      <c r="G43" s="7">
        <v>6.1825510987565946E-3</v>
      </c>
      <c r="H43" s="52"/>
      <c r="I43" s="52"/>
    </row>
    <row r="44" spans="1:9" ht="29.1" customHeight="1" x14ac:dyDescent="0.2">
      <c r="A44" s="3">
        <v>38</v>
      </c>
      <c r="B44" s="4" t="s">
        <v>275</v>
      </c>
      <c r="C44" s="4" t="s">
        <v>276</v>
      </c>
      <c r="D44" s="4" t="s">
        <v>211</v>
      </c>
      <c r="E44" s="5">
        <v>65000</v>
      </c>
      <c r="F44" s="6">
        <v>2210.8125</v>
      </c>
      <c r="G44" s="7">
        <v>6.0708244508193713E-3</v>
      </c>
      <c r="H44" s="52"/>
      <c r="I44" s="52"/>
    </row>
    <row r="45" spans="1:9" ht="17.100000000000001" customHeight="1" x14ac:dyDescent="0.2">
      <c r="A45" s="3">
        <v>39</v>
      </c>
      <c r="B45" s="4" t="s">
        <v>557</v>
      </c>
      <c r="C45" s="4" t="s">
        <v>558</v>
      </c>
      <c r="D45" s="4" t="s">
        <v>102</v>
      </c>
      <c r="E45" s="5">
        <v>66000</v>
      </c>
      <c r="F45" s="6">
        <v>2175.0630000000001</v>
      </c>
      <c r="G45" s="7">
        <v>5.9726574019608328E-3</v>
      </c>
      <c r="H45" s="52"/>
      <c r="I45" s="52"/>
    </row>
    <row r="46" spans="1:9" ht="17.100000000000001" customHeight="1" x14ac:dyDescent="0.2">
      <c r="A46" s="3">
        <v>40</v>
      </c>
      <c r="B46" s="4" t="s">
        <v>262</v>
      </c>
      <c r="C46" s="4" t="s">
        <v>263</v>
      </c>
      <c r="D46" s="4" t="s">
        <v>52</v>
      </c>
      <c r="E46" s="5">
        <v>510000</v>
      </c>
      <c r="F46" s="6">
        <v>2108.085</v>
      </c>
      <c r="G46" s="7">
        <v>5.7887378338984212E-3</v>
      </c>
      <c r="H46" s="52"/>
      <c r="I46" s="52"/>
    </row>
    <row r="47" spans="1:9" ht="17.100000000000001" customHeight="1" x14ac:dyDescent="0.2">
      <c r="A47" s="3">
        <v>41</v>
      </c>
      <c r="B47" s="4" t="s">
        <v>358</v>
      </c>
      <c r="C47" s="4" t="s">
        <v>359</v>
      </c>
      <c r="D47" s="4" t="s">
        <v>102</v>
      </c>
      <c r="E47" s="5">
        <v>335000</v>
      </c>
      <c r="F47" s="6">
        <v>2105.9775</v>
      </c>
      <c r="G47" s="7">
        <v>5.7829507024568802E-3</v>
      </c>
      <c r="H47" s="52"/>
      <c r="I47" s="52"/>
    </row>
    <row r="48" spans="1:9" ht="17.100000000000001" customHeight="1" x14ac:dyDescent="0.2">
      <c r="A48" s="3">
        <v>42</v>
      </c>
      <c r="B48" s="4" t="s">
        <v>106</v>
      </c>
      <c r="C48" s="4" t="s">
        <v>107</v>
      </c>
      <c r="D48" s="4" t="s">
        <v>31</v>
      </c>
      <c r="E48" s="5">
        <v>125000</v>
      </c>
      <c r="F48" s="6">
        <v>2095.6875</v>
      </c>
      <c r="G48" s="7">
        <v>5.7546946727850146E-3</v>
      </c>
      <c r="H48" s="52"/>
      <c r="I48" s="52"/>
    </row>
    <row r="49" spans="1:9" ht="17.100000000000001" customHeight="1" x14ac:dyDescent="0.2">
      <c r="A49" s="3">
        <v>43</v>
      </c>
      <c r="B49" s="4" t="s">
        <v>123</v>
      </c>
      <c r="C49" s="4" t="s">
        <v>124</v>
      </c>
      <c r="D49" s="4" t="s">
        <v>31</v>
      </c>
      <c r="E49" s="5">
        <v>110000</v>
      </c>
      <c r="F49" s="6">
        <v>2035.825</v>
      </c>
      <c r="G49" s="7">
        <v>5.5903140531317541E-3</v>
      </c>
      <c r="H49" s="52"/>
      <c r="I49" s="52"/>
    </row>
    <row r="50" spans="1:9" ht="17.100000000000001" customHeight="1" x14ac:dyDescent="0.2">
      <c r="A50" s="3">
        <v>44</v>
      </c>
      <c r="B50" s="4" t="s">
        <v>559</v>
      </c>
      <c r="C50" s="4" t="s">
        <v>560</v>
      </c>
      <c r="D50" s="4" t="s">
        <v>288</v>
      </c>
      <c r="E50" s="5">
        <v>200000</v>
      </c>
      <c r="F50" s="6">
        <v>1983.7</v>
      </c>
      <c r="G50" s="7">
        <v>5.4471803751292283E-3</v>
      </c>
      <c r="H50" s="52"/>
      <c r="I50" s="52"/>
    </row>
    <row r="51" spans="1:9" ht="17.100000000000001" customHeight="1" x14ac:dyDescent="0.2">
      <c r="A51" s="3">
        <v>45</v>
      </c>
      <c r="B51" s="4" t="s">
        <v>234</v>
      </c>
      <c r="C51" s="4" t="s">
        <v>235</v>
      </c>
      <c r="D51" s="4" t="s">
        <v>60</v>
      </c>
      <c r="E51" s="5">
        <v>235000</v>
      </c>
      <c r="F51" s="6">
        <v>1968.125</v>
      </c>
      <c r="G51" s="7">
        <v>5.4044118948435808E-3</v>
      </c>
      <c r="H51" s="52"/>
      <c r="I51" s="52"/>
    </row>
    <row r="52" spans="1:9" ht="17.100000000000001" customHeight="1" x14ac:dyDescent="0.2">
      <c r="A52" s="3">
        <v>46</v>
      </c>
      <c r="B52" s="4" t="s">
        <v>561</v>
      </c>
      <c r="C52" s="4" t="s">
        <v>562</v>
      </c>
      <c r="D52" s="4" t="s">
        <v>31</v>
      </c>
      <c r="E52" s="5">
        <v>1000000</v>
      </c>
      <c r="F52" s="6">
        <v>1920.5</v>
      </c>
      <c r="G52" s="7">
        <v>5.2736350811290432E-3</v>
      </c>
      <c r="H52" s="52"/>
      <c r="I52" s="52"/>
    </row>
    <row r="53" spans="1:9" ht="17.100000000000001" customHeight="1" x14ac:dyDescent="0.2">
      <c r="A53" s="3">
        <v>47</v>
      </c>
      <c r="B53" s="4" t="s">
        <v>470</v>
      </c>
      <c r="C53" s="4" t="s">
        <v>471</v>
      </c>
      <c r="D53" s="4" t="s">
        <v>28</v>
      </c>
      <c r="E53" s="5">
        <v>110000</v>
      </c>
      <c r="F53" s="6">
        <v>1913.34</v>
      </c>
      <c r="G53" s="7">
        <v>5.2539739370619327E-3</v>
      </c>
      <c r="H53" s="52"/>
      <c r="I53" s="52"/>
    </row>
    <row r="54" spans="1:9" ht="17.100000000000001" customHeight="1" x14ac:dyDescent="0.2">
      <c r="A54" s="3">
        <v>48</v>
      </c>
      <c r="B54" s="4" t="s">
        <v>335</v>
      </c>
      <c r="C54" s="4" t="s">
        <v>336</v>
      </c>
      <c r="D54" s="4" t="s">
        <v>28</v>
      </c>
      <c r="E54" s="5">
        <v>489500</v>
      </c>
      <c r="F54" s="6">
        <v>1881.3932500000001</v>
      </c>
      <c r="G54" s="7">
        <v>5.1662491250192054E-3</v>
      </c>
      <c r="H54" s="52"/>
      <c r="I54" s="52"/>
    </row>
    <row r="55" spans="1:9" ht="17.100000000000001" customHeight="1" x14ac:dyDescent="0.2">
      <c r="A55" s="3">
        <v>49</v>
      </c>
      <c r="B55" s="4" t="s">
        <v>53</v>
      </c>
      <c r="C55" s="4" t="s">
        <v>54</v>
      </c>
      <c r="D55" s="4" t="s">
        <v>31</v>
      </c>
      <c r="E55" s="5">
        <v>37500</v>
      </c>
      <c r="F55" s="6">
        <v>1845.7874999999999</v>
      </c>
      <c r="G55" s="7">
        <v>5.0684768093254224E-3</v>
      </c>
      <c r="H55" s="52"/>
      <c r="I55" s="52"/>
    </row>
    <row r="56" spans="1:9" ht="17.100000000000001" customHeight="1" x14ac:dyDescent="0.2">
      <c r="A56" s="3">
        <v>50</v>
      </c>
      <c r="B56" s="4" t="s">
        <v>251</v>
      </c>
      <c r="C56" s="4" t="s">
        <v>252</v>
      </c>
      <c r="D56" s="4" t="s">
        <v>70</v>
      </c>
      <c r="E56" s="5">
        <v>160000</v>
      </c>
      <c r="F56" s="6">
        <v>1821.12</v>
      </c>
      <c r="G56" s="7">
        <v>5.0007405982534347E-3</v>
      </c>
      <c r="H56" s="52"/>
      <c r="I56" s="52"/>
    </row>
    <row r="57" spans="1:9" ht="17.100000000000001" customHeight="1" x14ac:dyDescent="0.2">
      <c r="A57" s="3">
        <v>51</v>
      </c>
      <c r="B57" s="4" t="s">
        <v>370</v>
      </c>
      <c r="C57" s="4" t="s">
        <v>371</v>
      </c>
      <c r="D57" s="4" t="s">
        <v>208</v>
      </c>
      <c r="E57" s="5">
        <v>50000</v>
      </c>
      <c r="F57" s="6">
        <v>1816.7</v>
      </c>
      <c r="G57" s="7">
        <v>4.9886034115527896E-3</v>
      </c>
      <c r="H57" s="52"/>
      <c r="I57" s="52"/>
    </row>
    <row r="58" spans="1:9" ht="29.1" customHeight="1" x14ac:dyDescent="0.2">
      <c r="A58" s="3">
        <v>52</v>
      </c>
      <c r="B58" s="4" t="s">
        <v>563</v>
      </c>
      <c r="C58" s="4" t="s">
        <v>564</v>
      </c>
      <c r="D58" s="4" t="s">
        <v>221</v>
      </c>
      <c r="E58" s="5">
        <v>320000</v>
      </c>
      <c r="F58" s="6">
        <v>1680.8</v>
      </c>
      <c r="G58" s="7">
        <v>4.6154261100555555E-3</v>
      </c>
      <c r="H58" s="52"/>
      <c r="I58" s="52"/>
    </row>
    <row r="59" spans="1:9" ht="17.100000000000001" customHeight="1" x14ac:dyDescent="0.2">
      <c r="A59" s="3">
        <v>53</v>
      </c>
      <c r="B59" s="4" t="s">
        <v>74</v>
      </c>
      <c r="C59" s="4" t="s">
        <v>75</v>
      </c>
      <c r="D59" s="4" t="s">
        <v>76</v>
      </c>
      <c r="E59" s="5">
        <v>1400000</v>
      </c>
      <c r="F59" s="6">
        <v>1673</v>
      </c>
      <c r="G59" s="7">
        <v>4.5940075452897107E-3</v>
      </c>
      <c r="H59" s="52"/>
      <c r="I59" s="52"/>
    </row>
    <row r="60" spans="1:9" ht="17.100000000000001" customHeight="1" x14ac:dyDescent="0.2">
      <c r="A60" s="3">
        <v>54</v>
      </c>
      <c r="B60" s="4" t="s">
        <v>203</v>
      </c>
      <c r="C60" s="4" t="s">
        <v>204</v>
      </c>
      <c r="D60" s="4" t="s">
        <v>205</v>
      </c>
      <c r="E60" s="5">
        <v>490000</v>
      </c>
      <c r="F60" s="6">
        <v>1582.4549999999999</v>
      </c>
      <c r="G60" s="7">
        <v>4.3453737059661853E-3</v>
      </c>
      <c r="H60" s="52"/>
      <c r="I60" s="52"/>
    </row>
    <row r="61" spans="1:9" ht="29.1" customHeight="1" x14ac:dyDescent="0.2">
      <c r="A61" s="3">
        <v>55</v>
      </c>
      <c r="B61" s="4" t="s">
        <v>238</v>
      </c>
      <c r="C61" s="4" t="s">
        <v>239</v>
      </c>
      <c r="D61" s="4" t="s">
        <v>226</v>
      </c>
      <c r="E61" s="5">
        <v>42000</v>
      </c>
      <c r="F61" s="6">
        <v>1563.1769999999999</v>
      </c>
      <c r="G61" s="7">
        <v>4.2924368993564454E-3</v>
      </c>
      <c r="H61" s="52"/>
      <c r="I61" s="52"/>
    </row>
    <row r="62" spans="1:9" ht="17.100000000000001" customHeight="1" x14ac:dyDescent="0.2">
      <c r="A62" s="3">
        <v>56</v>
      </c>
      <c r="B62" s="4" t="s">
        <v>565</v>
      </c>
      <c r="C62" s="4" t="s">
        <v>566</v>
      </c>
      <c r="D62" s="4" t="s">
        <v>102</v>
      </c>
      <c r="E62" s="5">
        <v>28500</v>
      </c>
      <c r="F62" s="6">
        <v>1514.50425</v>
      </c>
      <c r="G62" s="7">
        <v>4.1587829957401871E-3</v>
      </c>
      <c r="H62" s="52"/>
      <c r="I62" s="52"/>
    </row>
    <row r="63" spans="1:9" ht="17.100000000000001" customHeight="1" x14ac:dyDescent="0.2">
      <c r="A63" s="3">
        <v>57</v>
      </c>
      <c r="B63" s="4" t="s">
        <v>110</v>
      </c>
      <c r="C63" s="4" t="s">
        <v>111</v>
      </c>
      <c r="D63" s="4" t="s">
        <v>105</v>
      </c>
      <c r="E63" s="5">
        <v>260000</v>
      </c>
      <c r="F63" s="6">
        <v>1407.9</v>
      </c>
      <c r="G63" s="7">
        <v>3.8660509402351365E-3</v>
      </c>
      <c r="H63" s="52"/>
      <c r="I63" s="52"/>
    </row>
    <row r="64" spans="1:9" ht="17.100000000000001" customHeight="1" x14ac:dyDescent="0.2">
      <c r="A64" s="3">
        <v>58</v>
      </c>
      <c r="B64" s="4" t="s">
        <v>353</v>
      </c>
      <c r="C64" s="4" t="s">
        <v>354</v>
      </c>
      <c r="D64" s="4" t="s">
        <v>888</v>
      </c>
      <c r="E64" s="5">
        <v>26000</v>
      </c>
      <c r="F64" s="6">
        <v>1315.704</v>
      </c>
      <c r="G64" s="7">
        <v>3.612883504702841E-3</v>
      </c>
      <c r="H64" s="52"/>
      <c r="I64" s="52"/>
    </row>
    <row r="65" spans="1:9" ht="17.100000000000001" customHeight="1" x14ac:dyDescent="0.2">
      <c r="A65" s="3">
        <v>59</v>
      </c>
      <c r="B65" s="4" t="s">
        <v>127</v>
      </c>
      <c r="C65" s="4" t="s">
        <v>128</v>
      </c>
      <c r="D65" s="4" t="s">
        <v>52</v>
      </c>
      <c r="E65" s="5">
        <v>615448</v>
      </c>
      <c r="F65" s="6">
        <v>1310.2887920000001</v>
      </c>
      <c r="G65" s="7">
        <v>3.5980135068479019E-3</v>
      </c>
      <c r="H65" s="52"/>
      <c r="I65" s="52"/>
    </row>
    <row r="66" spans="1:9" ht="17.100000000000001" customHeight="1" x14ac:dyDescent="0.2">
      <c r="A66" s="3">
        <v>60</v>
      </c>
      <c r="B66" s="4" t="s">
        <v>229</v>
      </c>
      <c r="C66" s="4" t="s">
        <v>230</v>
      </c>
      <c r="D66" s="4" t="s">
        <v>231</v>
      </c>
      <c r="E66" s="5">
        <v>250000</v>
      </c>
      <c r="F66" s="6">
        <v>1252.375</v>
      </c>
      <c r="G66" s="7">
        <v>3.4389839805930669E-3</v>
      </c>
      <c r="H66" s="52"/>
      <c r="I66" s="52"/>
    </row>
    <row r="67" spans="1:9" ht="17.100000000000001" customHeight="1" x14ac:dyDescent="0.2">
      <c r="A67" s="3">
        <v>61</v>
      </c>
      <c r="B67" s="4" t="s">
        <v>253</v>
      </c>
      <c r="C67" s="4" t="s">
        <v>254</v>
      </c>
      <c r="D67" s="4" t="s">
        <v>208</v>
      </c>
      <c r="E67" s="5">
        <v>30000</v>
      </c>
      <c r="F67" s="6">
        <v>1225.2750000000001</v>
      </c>
      <c r="G67" s="7">
        <v>3.3645681978809626E-3</v>
      </c>
      <c r="H67" s="52"/>
      <c r="I67" s="52"/>
    </row>
    <row r="68" spans="1:9" ht="17.100000000000001" customHeight="1" x14ac:dyDescent="0.2">
      <c r="A68" s="3">
        <v>62</v>
      </c>
      <c r="B68" s="4" t="s">
        <v>112</v>
      </c>
      <c r="C68" s="4" t="s">
        <v>113</v>
      </c>
      <c r="D68" s="4" t="s">
        <v>114</v>
      </c>
      <c r="E68" s="5">
        <v>190000</v>
      </c>
      <c r="F68" s="6">
        <v>1204.22</v>
      </c>
      <c r="G68" s="7">
        <v>3.3067518028623878E-3</v>
      </c>
      <c r="H68" s="52"/>
      <c r="I68" s="52"/>
    </row>
    <row r="69" spans="1:9" ht="17.100000000000001" customHeight="1" x14ac:dyDescent="0.2">
      <c r="A69" s="3">
        <v>63</v>
      </c>
      <c r="B69" s="4" t="s">
        <v>567</v>
      </c>
      <c r="C69" s="4" t="s">
        <v>568</v>
      </c>
      <c r="D69" s="4" t="s">
        <v>60</v>
      </c>
      <c r="E69" s="5">
        <v>40000</v>
      </c>
      <c r="F69" s="6">
        <v>1198.28</v>
      </c>
      <c r="G69" s="7">
        <v>3.2904407420022439E-3</v>
      </c>
      <c r="H69" s="52"/>
      <c r="I69" s="52"/>
    </row>
    <row r="70" spans="1:9" ht="29.1" customHeight="1" x14ac:dyDescent="0.2">
      <c r="A70" s="3">
        <v>64</v>
      </c>
      <c r="B70" s="4" t="s">
        <v>542</v>
      </c>
      <c r="C70" s="4" t="s">
        <v>543</v>
      </c>
      <c r="D70" s="4" t="s">
        <v>544</v>
      </c>
      <c r="E70" s="5">
        <v>305783</v>
      </c>
      <c r="F70" s="6">
        <v>1192.0950255</v>
      </c>
      <c r="G70" s="7">
        <v>3.2734569885530963E-3</v>
      </c>
      <c r="H70" s="52"/>
      <c r="I70" s="52"/>
    </row>
    <row r="71" spans="1:9" ht="17.100000000000001" customHeight="1" x14ac:dyDescent="0.2">
      <c r="A71" s="3">
        <v>65</v>
      </c>
      <c r="B71" s="4" t="s">
        <v>368</v>
      </c>
      <c r="C71" s="4" t="s">
        <v>369</v>
      </c>
      <c r="D71" s="4" t="s">
        <v>231</v>
      </c>
      <c r="E71" s="5">
        <v>300000</v>
      </c>
      <c r="F71" s="6">
        <v>1150.2</v>
      </c>
      <c r="G71" s="7">
        <v>3.1584145120096981E-3</v>
      </c>
      <c r="H71" s="52"/>
      <c r="I71" s="52"/>
    </row>
    <row r="72" spans="1:9" ht="17.100000000000001" customHeight="1" x14ac:dyDescent="0.2">
      <c r="A72" s="3">
        <v>66</v>
      </c>
      <c r="B72" s="4" t="s">
        <v>247</v>
      </c>
      <c r="C72" s="4" t="s">
        <v>248</v>
      </c>
      <c r="D72" s="4" t="s">
        <v>102</v>
      </c>
      <c r="E72" s="5">
        <v>71000</v>
      </c>
      <c r="F72" s="6">
        <v>1129.4680000000001</v>
      </c>
      <c r="G72" s="7">
        <v>3.1014850652500174E-3</v>
      </c>
      <c r="H72" s="52"/>
      <c r="I72" s="52"/>
    </row>
    <row r="73" spans="1:9" ht="29.1" customHeight="1" x14ac:dyDescent="0.2">
      <c r="A73" s="3">
        <v>67</v>
      </c>
      <c r="B73" s="4" t="s">
        <v>569</v>
      </c>
      <c r="C73" s="4" t="s">
        <v>570</v>
      </c>
      <c r="D73" s="4" t="s">
        <v>474</v>
      </c>
      <c r="E73" s="5">
        <v>200000</v>
      </c>
      <c r="F73" s="6">
        <v>1073.0999999999999</v>
      </c>
      <c r="G73" s="7">
        <v>2.946700237208839E-3</v>
      </c>
      <c r="H73" s="52"/>
      <c r="I73" s="52"/>
    </row>
    <row r="74" spans="1:9" ht="17.100000000000001" customHeight="1" x14ac:dyDescent="0.2">
      <c r="A74" s="3">
        <v>68</v>
      </c>
      <c r="B74" s="4" t="s">
        <v>364</v>
      </c>
      <c r="C74" s="4" t="s">
        <v>365</v>
      </c>
      <c r="D74" s="4" t="s">
        <v>208</v>
      </c>
      <c r="E74" s="5">
        <v>77500</v>
      </c>
      <c r="F74" s="6">
        <v>1001.41625</v>
      </c>
      <c r="G74" s="7">
        <v>2.7498588215634947E-3</v>
      </c>
      <c r="H74" s="52"/>
      <c r="I74" s="52"/>
    </row>
    <row r="75" spans="1:9" ht="17.100000000000001" customHeight="1" x14ac:dyDescent="0.2">
      <c r="A75" s="3">
        <v>69</v>
      </c>
      <c r="B75" s="4" t="s">
        <v>273</v>
      </c>
      <c r="C75" s="4" t="s">
        <v>274</v>
      </c>
      <c r="D75" s="4" t="s">
        <v>105</v>
      </c>
      <c r="E75" s="5">
        <v>167200</v>
      </c>
      <c r="F75" s="6">
        <v>974.27440000000001</v>
      </c>
      <c r="G75" s="7">
        <v>2.675328120013512E-3</v>
      </c>
      <c r="H75" s="52"/>
      <c r="I75" s="52"/>
    </row>
    <row r="76" spans="1:9" ht="17.100000000000001" customHeight="1" x14ac:dyDescent="0.2">
      <c r="A76" s="3">
        <v>70</v>
      </c>
      <c r="B76" s="4" t="s">
        <v>355</v>
      </c>
      <c r="C76" s="4" t="s">
        <v>356</v>
      </c>
      <c r="D76" s="4" t="s">
        <v>357</v>
      </c>
      <c r="E76" s="5">
        <v>40000</v>
      </c>
      <c r="F76" s="6">
        <v>932.36</v>
      </c>
      <c r="G76" s="7">
        <v>2.5602324416774147E-3</v>
      </c>
      <c r="H76" s="52"/>
      <c r="I76" s="52"/>
    </row>
    <row r="77" spans="1:9" ht="17.100000000000001" customHeight="1" x14ac:dyDescent="0.2">
      <c r="A77" s="3">
        <v>71</v>
      </c>
      <c r="B77" s="4" t="s">
        <v>46</v>
      </c>
      <c r="C77" s="4" t="s">
        <v>47</v>
      </c>
      <c r="D77" s="4" t="s">
        <v>31</v>
      </c>
      <c r="E77" s="5">
        <v>40000</v>
      </c>
      <c r="F77" s="6">
        <v>857.76</v>
      </c>
      <c r="G77" s="7">
        <v>2.3553830914809933E-3</v>
      </c>
      <c r="H77" s="52"/>
      <c r="I77" s="52"/>
    </row>
    <row r="78" spans="1:9" ht="17.100000000000001" customHeight="1" x14ac:dyDescent="0.2">
      <c r="A78" s="3">
        <v>72</v>
      </c>
      <c r="B78" s="4" t="s">
        <v>571</v>
      </c>
      <c r="C78" s="4" t="s">
        <v>572</v>
      </c>
      <c r="D78" s="4" t="s">
        <v>888</v>
      </c>
      <c r="E78" s="5">
        <v>75000</v>
      </c>
      <c r="F78" s="6">
        <v>849.86249999999995</v>
      </c>
      <c r="G78" s="7">
        <v>2.3336967946555745E-3</v>
      </c>
      <c r="H78" s="52"/>
      <c r="I78" s="52"/>
    </row>
    <row r="79" spans="1:9" ht="29.1" customHeight="1" x14ac:dyDescent="0.2">
      <c r="A79" s="3">
        <v>73</v>
      </c>
      <c r="B79" s="4" t="s">
        <v>573</v>
      </c>
      <c r="C79" s="4" t="s">
        <v>574</v>
      </c>
      <c r="D79" s="4" t="s">
        <v>141</v>
      </c>
      <c r="E79" s="5">
        <v>97208</v>
      </c>
      <c r="F79" s="6">
        <v>762.83978000000002</v>
      </c>
      <c r="G79" s="7">
        <v>2.0947350299863375E-3</v>
      </c>
      <c r="H79" s="52"/>
      <c r="I79" s="52"/>
    </row>
    <row r="80" spans="1:9" ht="17.100000000000001" customHeight="1" x14ac:dyDescent="0.2">
      <c r="A80" s="3">
        <v>74</v>
      </c>
      <c r="B80" s="4" t="s">
        <v>575</v>
      </c>
      <c r="C80" s="4" t="s">
        <v>576</v>
      </c>
      <c r="D80" s="4" t="s">
        <v>242</v>
      </c>
      <c r="E80" s="5">
        <v>16000</v>
      </c>
      <c r="F80" s="6">
        <v>708.24</v>
      </c>
      <c r="G80" s="7">
        <v>1.9448056807387832E-3</v>
      </c>
      <c r="H80" s="52"/>
      <c r="I80" s="52"/>
    </row>
    <row r="81" spans="1:9" ht="17.100000000000001" customHeight="1" x14ac:dyDescent="0.2">
      <c r="A81" s="3">
        <v>75</v>
      </c>
      <c r="B81" s="4" t="s">
        <v>347</v>
      </c>
      <c r="C81" s="4" t="s">
        <v>348</v>
      </c>
      <c r="D81" s="4" t="s">
        <v>888</v>
      </c>
      <c r="E81" s="5">
        <v>25000</v>
      </c>
      <c r="F81" s="6">
        <v>530.85</v>
      </c>
      <c r="G81" s="7">
        <v>1.4576980905063018E-3</v>
      </c>
      <c r="H81" s="52"/>
      <c r="I81" s="52"/>
    </row>
    <row r="82" spans="1:9" ht="17.100000000000001" customHeight="1" x14ac:dyDescent="0.2">
      <c r="A82" s="3">
        <v>76</v>
      </c>
      <c r="B82" s="4" t="s">
        <v>243</v>
      </c>
      <c r="C82" s="4" t="s">
        <v>244</v>
      </c>
      <c r="D82" s="4" t="s">
        <v>105</v>
      </c>
      <c r="E82" s="5">
        <v>4965</v>
      </c>
      <c r="F82" s="6">
        <v>268.83737250000001</v>
      </c>
      <c r="G82" s="7">
        <v>7.3821931722705357E-4</v>
      </c>
      <c r="H82" s="52"/>
      <c r="I82" s="52"/>
    </row>
    <row r="83" spans="1:9" ht="17.100000000000001" customHeight="1" x14ac:dyDescent="0.2">
      <c r="A83" s="3">
        <v>77</v>
      </c>
      <c r="B83" s="4" t="s">
        <v>307</v>
      </c>
      <c r="C83" s="4" t="s">
        <v>308</v>
      </c>
      <c r="D83" s="4" t="s">
        <v>70</v>
      </c>
      <c r="E83" s="5">
        <v>5000</v>
      </c>
      <c r="F83" s="6">
        <v>51.064999999999998</v>
      </c>
      <c r="G83" s="7">
        <v>1.4022294997024449E-4</v>
      </c>
      <c r="H83" s="52"/>
      <c r="I83" s="52"/>
    </row>
    <row r="84" spans="1:9" ht="14.1" customHeight="1" x14ac:dyDescent="0.2">
      <c r="A84" s="1"/>
      <c r="B84" s="1"/>
      <c r="C84" s="2" t="s">
        <v>145</v>
      </c>
      <c r="D84" s="1"/>
      <c r="E84" s="1" t="s">
        <v>146</v>
      </c>
      <c r="F84" s="9">
        <v>254100.57280049997</v>
      </c>
      <c r="G84" s="10">
        <v>0.69775250968794633</v>
      </c>
      <c r="H84" s="52"/>
      <c r="I84" s="52"/>
    </row>
    <row r="85" spans="1:9" ht="14.1" customHeight="1" x14ac:dyDescent="0.2">
      <c r="A85" s="1"/>
      <c r="B85" s="1"/>
      <c r="C85" s="11"/>
      <c r="D85" s="1"/>
      <c r="E85" s="1"/>
      <c r="F85" s="12"/>
      <c r="G85" s="12"/>
      <c r="H85" s="52"/>
      <c r="I85" s="52"/>
    </row>
    <row r="86" spans="1:9" ht="14.1" customHeight="1" x14ac:dyDescent="0.2">
      <c r="A86" s="1"/>
      <c r="B86" s="1"/>
      <c r="C86" s="2" t="s">
        <v>147</v>
      </c>
      <c r="D86" s="1"/>
      <c r="E86" s="1"/>
      <c r="F86" s="1"/>
      <c r="G86" s="1"/>
      <c r="H86" s="52"/>
      <c r="I86" s="52"/>
    </row>
    <row r="87" spans="1:9" ht="14.1" customHeight="1" x14ac:dyDescent="0.2">
      <c r="A87" s="1"/>
      <c r="B87" s="1"/>
      <c r="C87" s="2" t="s">
        <v>145</v>
      </c>
      <c r="D87" s="1"/>
      <c r="E87" s="1" t="s">
        <v>146</v>
      </c>
      <c r="F87" s="13" t="s">
        <v>148</v>
      </c>
      <c r="G87" s="10">
        <v>0</v>
      </c>
      <c r="H87" s="52"/>
      <c r="I87" s="52"/>
    </row>
    <row r="88" spans="1:9" ht="14.1" customHeight="1" x14ac:dyDescent="0.2">
      <c r="A88" s="1"/>
      <c r="B88" s="1"/>
      <c r="C88" s="11"/>
      <c r="D88" s="1"/>
      <c r="E88" s="1"/>
      <c r="F88" s="12"/>
      <c r="G88" s="12"/>
      <c r="H88" s="52"/>
      <c r="I88" s="52"/>
    </row>
    <row r="89" spans="1:9" ht="14.1" customHeight="1" x14ac:dyDescent="0.2">
      <c r="A89" s="1"/>
      <c r="B89" s="1"/>
      <c r="C89" s="2" t="s">
        <v>149</v>
      </c>
      <c r="D89" s="1"/>
      <c r="E89" s="1"/>
      <c r="F89" s="1"/>
      <c r="G89" s="1"/>
      <c r="H89" s="52"/>
      <c r="I89" s="52"/>
    </row>
    <row r="90" spans="1:9" ht="17.100000000000001" customHeight="1" x14ac:dyDescent="0.2">
      <c r="A90" s="3">
        <v>1</v>
      </c>
      <c r="B90" s="4" t="s">
        <v>577</v>
      </c>
      <c r="C90" s="39" t="s">
        <v>957</v>
      </c>
      <c r="D90" s="4" t="s">
        <v>231</v>
      </c>
      <c r="E90" s="5">
        <v>30579</v>
      </c>
      <c r="F90" s="6">
        <v>1.3729971000000001</v>
      </c>
      <c r="G90" s="7" t="s">
        <v>144</v>
      </c>
      <c r="H90" s="52"/>
      <c r="I90" s="52"/>
    </row>
    <row r="91" spans="1:9" ht="14.1" customHeight="1" x14ac:dyDescent="0.2">
      <c r="A91" s="1"/>
      <c r="B91" s="1"/>
      <c r="C91" s="2" t="s">
        <v>145</v>
      </c>
      <c r="D91" s="1"/>
      <c r="E91" s="1" t="s">
        <v>146</v>
      </c>
      <c r="F91" s="9">
        <v>1.3729971000000001</v>
      </c>
      <c r="G91" s="10">
        <v>3.7702086294446451E-6</v>
      </c>
      <c r="H91" s="52"/>
      <c r="I91" s="52"/>
    </row>
    <row r="92" spans="1:9" ht="14.1" customHeight="1" x14ac:dyDescent="0.2">
      <c r="A92" s="1"/>
      <c r="B92" s="1"/>
      <c r="C92" s="11"/>
      <c r="D92" s="1"/>
      <c r="E92" s="1"/>
      <c r="F92" s="12"/>
      <c r="G92" s="12"/>
      <c r="H92" s="52"/>
      <c r="I92" s="52"/>
    </row>
    <row r="93" spans="1:9" ht="14.1" customHeight="1" x14ac:dyDescent="0.2">
      <c r="A93" s="1"/>
      <c r="B93" s="1"/>
      <c r="C93" s="2" t="s">
        <v>150</v>
      </c>
      <c r="D93" s="1"/>
      <c r="E93" s="1"/>
      <c r="F93" s="1"/>
      <c r="G93" s="1"/>
      <c r="H93" s="52"/>
      <c r="I93" s="52"/>
    </row>
    <row r="94" spans="1:9" ht="29.1" customHeight="1" x14ac:dyDescent="0.2">
      <c r="A94" s="3">
        <v>1</v>
      </c>
      <c r="B94" s="4" t="s">
        <v>312</v>
      </c>
      <c r="C94" s="4" t="s">
        <v>949</v>
      </c>
      <c r="D94" s="4" t="s">
        <v>105</v>
      </c>
      <c r="E94" s="5">
        <v>15000000</v>
      </c>
      <c r="F94" s="6">
        <v>1560</v>
      </c>
      <c r="G94" s="7">
        <v>4.2837129531691264E-3</v>
      </c>
      <c r="H94" s="52"/>
      <c r="I94" s="52"/>
    </row>
    <row r="95" spans="1:9" ht="40.5" customHeight="1" x14ac:dyDescent="0.2">
      <c r="A95" s="3">
        <v>2</v>
      </c>
      <c r="B95" s="4" t="s">
        <v>313</v>
      </c>
      <c r="C95" s="4" t="s">
        <v>950</v>
      </c>
      <c r="D95" s="4" t="s">
        <v>70</v>
      </c>
      <c r="E95" s="5">
        <v>91</v>
      </c>
      <c r="F95" s="6">
        <v>9.1009100000000002E-3</v>
      </c>
      <c r="G95" s="7" t="s">
        <v>144</v>
      </c>
      <c r="H95" s="52"/>
      <c r="I95" s="52"/>
    </row>
    <row r="96" spans="1:9" ht="14.1" customHeight="1" x14ac:dyDescent="0.2">
      <c r="A96" s="1"/>
      <c r="B96" s="1"/>
      <c r="C96" s="2" t="s">
        <v>145</v>
      </c>
      <c r="D96" s="1"/>
      <c r="E96" s="1" t="s">
        <v>146</v>
      </c>
      <c r="F96" s="9">
        <v>1560.0091009099999</v>
      </c>
      <c r="G96" s="10">
        <v>4.2837379439935189E-3</v>
      </c>
      <c r="H96" s="52"/>
      <c r="I96" s="52"/>
    </row>
    <row r="97" spans="1:9" ht="14.1" customHeight="1" x14ac:dyDescent="0.2">
      <c r="A97" s="1"/>
      <c r="B97" s="1"/>
      <c r="C97" s="11"/>
      <c r="D97" s="1"/>
      <c r="E97" s="1"/>
      <c r="F97" s="12"/>
      <c r="G97" s="12"/>
      <c r="H97" s="52"/>
      <c r="I97" s="52"/>
    </row>
    <row r="98" spans="1:9" ht="14.1" customHeight="1" x14ac:dyDescent="0.2">
      <c r="A98" s="1"/>
      <c r="B98" s="1"/>
      <c r="C98" s="2" t="s">
        <v>151</v>
      </c>
      <c r="D98" s="1"/>
      <c r="E98" s="1"/>
      <c r="F98" s="12"/>
      <c r="G98" s="12"/>
      <c r="H98" s="52"/>
      <c r="I98" s="52"/>
    </row>
    <row r="99" spans="1:9" ht="14.1" customHeight="1" x14ac:dyDescent="0.2">
      <c r="A99" s="1"/>
      <c r="B99" s="1"/>
      <c r="C99" s="2" t="s">
        <v>145</v>
      </c>
      <c r="D99" s="1"/>
      <c r="E99" s="1" t="s">
        <v>146</v>
      </c>
      <c r="F99" s="13" t="s">
        <v>148</v>
      </c>
      <c r="G99" s="10">
        <v>0</v>
      </c>
      <c r="H99" s="52"/>
      <c r="I99" s="52"/>
    </row>
    <row r="100" spans="1:9" ht="14.1" customHeight="1" x14ac:dyDescent="0.2">
      <c r="A100" s="1"/>
      <c r="B100" s="1"/>
      <c r="C100" s="2"/>
      <c r="D100" s="1"/>
      <c r="E100" s="1"/>
      <c r="F100" s="13"/>
      <c r="G100" s="10"/>
      <c r="H100" s="52"/>
      <c r="I100" s="52"/>
    </row>
    <row r="101" spans="1:9" ht="14.1" customHeight="1" x14ac:dyDescent="0.2">
      <c r="A101" s="1"/>
      <c r="B101" s="1"/>
      <c r="C101" s="40" t="s">
        <v>985</v>
      </c>
      <c r="D101" s="1"/>
      <c r="E101" s="1"/>
      <c r="F101" s="12"/>
      <c r="G101" s="12"/>
      <c r="H101" s="52"/>
      <c r="I101" s="52"/>
    </row>
    <row r="102" spans="1:9" ht="29.1" customHeight="1" x14ac:dyDescent="0.2">
      <c r="A102" s="3">
        <v>1</v>
      </c>
      <c r="B102" s="4" t="s">
        <v>984</v>
      </c>
      <c r="C102" s="39" t="s">
        <v>987</v>
      </c>
      <c r="D102" s="4" t="s">
        <v>986</v>
      </c>
      <c r="E102" s="5">
        <v>1750</v>
      </c>
      <c r="F102" s="6">
        <v>1668.994467</v>
      </c>
      <c r="G102" s="7">
        <v>4.5830084724714755E-3</v>
      </c>
      <c r="H102" s="52">
        <v>8.3450000000000006</v>
      </c>
      <c r="I102" s="52"/>
    </row>
    <row r="103" spans="1:9" ht="14.1" customHeight="1" x14ac:dyDescent="0.2">
      <c r="A103" s="1"/>
      <c r="B103" s="1"/>
      <c r="C103" s="2" t="s">
        <v>145</v>
      </c>
      <c r="D103" s="1"/>
      <c r="E103" s="1" t="s">
        <v>146</v>
      </c>
      <c r="F103" s="9">
        <f>SUM(F102)</f>
        <v>1668.994467</v>
      </c>
      <c r="G103" s="10">
        <v>4.5830084724714755E-3</v>
      </c>
      <c r="H103" s="52"/>
      <c r="I103" s="52"/>
    </row>
    <row r="104" spans="1:9" ht="14.1" customHeight="1" x14ac:dyDescent="0.2">
      <c r="A104" s="1"/>
      <c r="B104" s="1"/>
      <c r="C104" s="11"/>
      <c r="D104" s="1"/>
      <c r="E104" s="1"/>
      <c r="F104" s="12"/>
      <c r="G104" s="12"/>
      <c r="H104" s="52"/>
      <c r="I104" s="52"/>
    </row>
    <row r="105" spans="1:9" ht="14.1" customHeight="1" x14ac:dyDescent="0.2">
      <c r="A105" s="1"/>
      <c r="B105" s="1"/>
      <c r="C105" s="40" t="s">
        <v>983</v>
      </c>
      <c r="D105" s="1"/>
      <c r="E105" s="1"/>
      <c r="F105" s="12"/>
      <c r="G105" s="12"/>
      <c r="H105" s="52"/>
      <c r="I105" s="52"/>
    </row>
    <row r="106" spans="1:9" ht="14.1" customHeight="1" x14ac:dyDescent="0.2">
      <c r="A106" s="1"/>
      <c r="B106" s="1"/>
      <c r="C106" s="2" t="s">
        <v>145</v>
      </c>
      <c r="D106" s="1"/>
      <c r="E106" s="1" t="s">
        <v>146</v>
      </c>
      <c r="F106" s="13" t="s">
        <v>148</v>
      </c>
      <c r="G106" s="10">
        <v>0</v>
      </c>
      <c r="H106" s="52"/>
      <c r="I106" s="52"/>
    </row>
    <row r="107" spans="1:9" ht="14.1" customHeight="1" x14ac:dyDescent="0.2">
      <c r="A107" s="1"/>
      <c r="B107" s="1"/>
      <c r="C107" s="11"/>
      <c r="D107" s="1"/>
      <c r="E107" s="1"/>
      <c r="F107" s="12"/>
      <c r="G107" s="12"/>
      <c r="H107" s="52"/>
      <c r="I107" s="52"/>
    </row>
    <row r="108" spans="1:9" ht="18" customHeight="1" x14ac:dyDescent="0.2">
      <c r="A108" s="1"/>
      <c r="B108" s="1"/>
      <c r="C108" s="2" t="s">
        <v>153</v>
      </c>
      <c r="D108" s="1"/>
      <c r="E108" s="1"/>
      <c r="F108" s="9">
        <v>257330.94936550996</v>
      </c>
      <c r="G108" s="10">
        <v>0.70662302631304075</v>
      </c>
      <c r="H108" s="52"/>
      <c r="I108" s="52"/>
    </row>
    <row r="109" spans="1:9" ht="14.1" customHeight="1" x14ac:dyDescent="0.2">
      <c r="A109" s="1"/>
      <c r="B109" s="1"/>
      <c r="C109" s="11"/>
      <c r="D109" s="1"/>
      <c r="E109" s="1"/>
      <c r="F109" s="12"/>
      <c r="G109" s="12"/>
      <c r="H109" s="52"/>
      <c r="I109" s="52"/>
    </row>
    <row r="110" spans="1:9" ht="14.1" customHeight="1" x14ac:dyDescent="0.2">
      <c r="A110" s="1"/>
      <c r="B110" s="1"/>
      <c r="C110" s="2" t="s">
        <v>154</v>
      </c>
      <c r="D110" s="1"/>
      <c r="E110" s="1"/>
      <c r="F110" s="12"/>
      <c r="G110" s="12"/>
      <c r="H110" s="52"/>
      <c r="I110" s="52"/>
    </row>
    <row r="111" spans="1:9" ht="24" customHeight="1" x14ac:dyDescent="0.2">
      <c r="A111" s="1"/>
      <c r="B111" s="1"/>
      <c r="C111" s="2" t="s">
        <v>10</v>
      </c>
      <c r="D111" s="1"/>
      <c r="E111" s="1"/>
      <c r="F111" s="12"/>
      <c r="G111" s="12"/>
      <c r="H111" s="52"/>
      <c r="I111" s="52"/>
    </row>
    <row r="112" spans="1:9" ht="29.1" customHeight="1" x14ac:dyDescent="0.2">
      <c r="A112" s="3">
        <v>1</v>
      </c>
      <c r="B112" s="4" t="s">
        <v>578</v>
      </c>
      <c r="C112" s="4" t="s">
        <v>579</v>
      </c>
      <c r="D112" s="4" t="s">
        <v>580</v>
      </c>
      <c r="E112" s="5">
        <v>300</v>
      </c>
      <c r="F112" s="6">
        <v>2994.7829999999999</v>
      </c>
      <c r="G112" s="7">
        <v>8.2235838006607023E-3</v>
      </c>
      <c r="H112" s="52">
        <v>7.9050000000000002</v>
      </c>
      <c r="I112" s="52"/>
    </row>
    <row r="113" spans="1:9" ht="29.1" customHeight="1" x14ac:dyDescent="0.2">
      <c r="A113" s="3">
        <v>2</v>
      </c>
      <c r="B113" s="4" t="s">
        <v>581</v>
      </c>
      <c r="C113" s="4" t="s">
        <v>582</v>
      </c>
      <c r="D113" s="4" t="s">
        <v>580</v>
      </c>
      <c r="E113" s="5">
        <v>2500</v>
      </c>
      <c r="F113" s="6">
        <v>2535.1</v>
      </c>
      <c r="G113" s="7">
        <v>6.9613081458840074E-3</v>
      </c>
      <c r="H113" s="52">
        <v>7.6478000000000002</v>
      </c>
      <c r="I113" s="52"/>
    </row>
    <row r="114" spans="1:9" ht="29.1" customHeight="1" x14ac:dyDescent="0.2">
      <c r="A114" s="3">
        <v>3</v>
      </c>
      <c r="B114" s="4" t="s">
        <v>583</v>
      </c>
      <c r="C114" s="4" t="s">
        <v>584</v>
      </c>
      <c r="D114" s="4" t="s">
        <v>580</v>
      </c>
      <c r="E114" s="5">
        <v>250</v>
      </c>
      <c r="F114" s="6">
        <v>2526.5124999999998</v>
      </c>
      <c r="G114" s="7">
        <v>6.9377271298677635E-3</v>
      </c>
      <c r="H114" s="52">
        <v>7.85</v>
      </c>
      <c r="I114" s="52"/>
    </row>
    <row r="115" spans="1:9" ht="29.1" customHeight="1" x14ac:dyDescent="0.2">
      <c r="A115" s="3">
        <v>4</v>
      </c>
      <c r="B115" s="4" t="s">
        <v>585</v>
      </c>
      <c r="C115" s="4" t="s">
        <v>586</v>
      </c>
      <c r="D115" s="4" t="s">
        <v>580</v>
      </c>
      <c r="E115" s="5">
        <v>2500</v>
      </c>
      <c r="F115" s="6">
        <v>2486.8625000000002</v>
      </c>
      <c r="G115" s="7">
        <v>6.8288494256413829E-3</v>
      </c>
      <c r="H115" s="52">
        <v>7.7774999999999999</v>
      </c>
      <c r="I115" s="52"/>
    </row>
    <row r="116" spans="1:9" ht="29.1" customHeight="1" x14ac:dyDescent="0.2">
      <c r="A116" s="3">
        <v>5</v>
      </c>
      <c r="B116" s="4" t="s">
        <v>587</v>
      </c>
      <c r="C116" s="4" t="s">
        <v>588</v>
      </c>
      <c r="D116" s="4" t="s">
        <v>589</v>
      </c>
      <c r="E116" s="5">
        <v>2500</v>
      </c>
      <c r="F116" s="6">
        <v>2483.6975000000002</v>
      </c>
      <c r="G116" s="7">
        <v>6.8201584310921643E-3</v>
      </c>
      <c r="H116" s="52">
        <v>7.79</v>
      </c>
      <c r="I116" s="52"/>
    </row>
    <row r="117" spans="1:9" ht="29.1" customHeight="1" x14ac:dyDescent="0.2">
      <c r="A117" s="3">
        <v>6</v>
      </c>
      <c r="B117" s="4" t="s">
        <v>590</v>
      </c>
      <c r="C117" s="4" t="s">
        <v>591</v>
      </c>
      <c r="D117" s="4" t="s">
        <v>580</v>
      </c>
      <c r="E117" s="5">
        <v>2500</v>
      </c>
      <c r="F117" s="6">
        <v>2477.62</v>
      </c>
      <c r="G117" s="7">
        <v>6.8034697993787753E-3</v>
      </c>
      <c r="H117" s="52">
        <v>7.7786999999999997</v>
      </c>
      <c r="I117" s="52"/>
    </row>
    <row r="118" spans="1:9" ht="17.100000000000001" customHeight="1" x14ac:dyDescent="0.2">
      <c r="A118" s="3">
        <v>7</v>
      </c>
      <c r="B118" s="4" t="s">
        <v>592</v>
      </c>
      <c r="C118" s="4" t="s">
        <v>593</v>
      </c>
      <c r="D118" s="4" t="s">
        <v>589</v>
      </c>
      <c r="E118" s="5">
        <v>250</v>
      </c>
      <c r="F118" s="6">
        <v>2470.3249999999998</v>
      </c>
      <c r="G118" s="7">
        <v>6.783437949383026E-3</v>
      </c>
      <c r="H118" s="52">
        <v>7.5437000000000003</v>
      </c>
      <c r="I118" s="52"/>
    </row>
    <row r="119" spans="1:9" ht="17.100000000000001" customHeight="1" x14ac:dyDescent="0.2">
      <c r="A119" s="3">
        <v>8</v>
      </c>
      <c r="B119" s="4" t="s">
        <v>594</v>
      </c>
      <c r="C119" s="4" t="s">
        <v>595</v>
      </c>
      <c r="D119" s="4" t="s">
        <v>589</v>
      </c>
      <c r="E119" s="5">
        <v>200</v>
      </c>
      <c r="F119" s="6">
        <v>2010.7460000000001</v>
      </c>
      <c r="G119" s="7">
        <v>5.5214478754698768E-3</v>
      </c>
      <c r="H119" s="52">
        <v>7.79</v>
      </c>
      <c r="I119" s="52"/>
    </row>
    <row r="120" spans="1:9" ht="29.1" customHeight="1" x14ac:dyDescent="0.2">
      <c r="A120" s="3">
        <v>9</v>
      </c>
      <c r="B120" s="4" t="s">
        <v>596</v>
      </c>
      <c r="C120" s="4" t="s">
        <v>597</v>
      </c>
      <c r="D120" s="4" t="s">
        <v>580</v>
      </c>
      <c r="E120" s="5">
        <v>1500</v>
      </c>
      <c r="F120" s="6">
        <v>1510.4625000000001</v>
      </c>
      <c r="G120" s="7">
        <v>4.1476844721321932E-3</v>
      </c>
      <c r="H120" s="52">
        <v>7.66</v>
      </c>
      <c r="I120" s="52"/>
    </row>
    <row r="121" spans="1:9" ht="29.1" customHeight="1" x14ac:dyDescent="0.2">
      <c r="A121" s="3">
        <v>10</v>
      </c>
      <c r="B121" s="4" t="s">
        <v>598</v>
      </c>
      <c r="C121" s="4" t="s">
        <v>599</v>
      </c>
      <c r="D121" s="4" t="s">
        <v>580</v>
      </c>
      <c r="E121" s="5">
        <v>1500</v>
      </c>
      <c r="F121" s="6">
        <v>1499.886</v>
      </c>
      <c r="G121" s="7">
        <v>4.1186417221006589E-3</v>
      </c>
      <c r="H121" s="52">
        <v>7.7549999999999999</v>
      </c>
      <c r="I121" s="52"/>
    </row>
    <row r="122" spans="1:9" ht="29.1" customHeight="1" x14ac:dyDescent="0.2">
      <c r="A122" s="3">
        <v>11</v>
      </c>
      <c r="B122" s="4" t="s">
        <v>600</v>
      </c>
      <c r="C122" s="4" t="s">
        <v>601</v>
      </c>
      <c r="D122" s="4" t="s">
        <v>580</v>
      </c>
      <c r="E122" s="5">
        <v>1500</v>
      </c>
      <c r="F122" s="6">
        <v>1499.5740000000001</v>
      </c>
      <c r="G122" s="7">
        <v>4.1177849795100254E-3</v>
      </c>
      <c r="H122" s="52">
        <v>7.83</v>
      </c>
      <c r="I122" s="52"/>
    </row>
    <row r="123" spans="1:9" ht="29.1" customHeight="1" x14ac:dyDescent="0.2">
      <c r="A123" s="3">
        <v>12</v>
      </c>
      <c r="B123" s="4" t="s">
        <v>602</v>
      </c>
      <c r="C123" s="4" t="s">
        <v>603</v>
      </c>
      <c r="D123" s="4" t="s">
        <v>580</v>
      </c>
      <c r="E123" s="5">
        <v>1500</v>
      </c>
      <c r="F123" s="6">
        <v>1499.076</v>
      </c>
      <c r="G123" s="7">
        <v>4.1164174865288214E-3</v>
      </c>
      <c r="H123" s="52">
        <v>7.79</v>
      </c>
      <c r="I123" s="52"/>
    </row>
    <row r="124" spans="1:9" ht="25.5" customHeight="1" x14ac:dyDescent="0.2">
      <c r="A124" s="93">
        <v>13</v>
      </c>
      <c r="B124" s="39" t="s">
        <v>604</v>
      </c>
      <c r="C124" s="39" t="s">
        <v>1037</v>
      </c>
      <c r="D124" s="39" t="s">
        <v>605</v>
      </c>
      <c r="E124" s="45">
        <v>150</v>
      </c>
      <c r="F124" s="46">
        <v>1499.0625</v>
      </c>
      <c r="G124" s="41">
        <v>4.1163804159359569E-3</v>
      </c>
      <c r="H124" s="52">
        <v>8.5477000000000007</v>
      </c>
      <c r="I124" s="52">
        <v>8.2692939091</v>
      </c>
    </row>
    <row r="125" spans="1:9" ht="17.100000000000001" customHeight="1" x14ac:dyDescent="0.2">
      <c r="A125" s="3">
        <v>14</v>
      </c>
      <c r="B125" s="4" t="s">
        <v>606</v>
      </c>
      <c r="C125" s="4" t="s">
        <v>607</v>
      </c>
      <c r="D125" s="4" t="s">
        <v>580</v>
      </c>
      <c r="E125" s="5">
        <v>1500</v>
      </c>
      <c r="F125" s="6">
        <v>1498.3335</v>
      </c>
      <c r="G125" s="7">
        <v>4.1143786039213029E-3</v>
      </c>
      <c r="H125" s="52">
        <v>7.7050000000000001</v>
      </c>
      <c r="I125" s="52"/>
    </row>
    <row r="126" spans="1:9" ht="29.1" customHeight="1" x14ac:dyDescent="0.2">
      <c r="A126" s="3">
        <v>15</v>
      </c>
      <c r="B126" s="4" t="s">
        <v>608</v>
      </c>
      <c r="C126" s="4" t="s">
        <v>609</v>
      </c>
      <c r="D126" s="4" t="s">
        <v>580</v>
      </c>
      <c r="E126" s="5">
        <v>1500</v>
      </c>
      <c r="F126" s="6">
        <v>1492.4459999999999</v>
      </c>
      <c r="G126" s="7">
        <v>4.098211706477852E-3</v>
      </c>
      <c r="H126" s="52">
        <v>8.36</v>
      </c>
      <c r="I126" s="52"/>
    </row>
    <row r="127" spans="1:9" ht="29.1" customHeight="1" x14ac:dyDescent="0.2">
      <c r="A127" s="3">
        <v>16</v>
      </c>
      <c r="B127" s="4" t="s">
        <v>610</v>
      </c>
      <c r="C127" s="4" t="s">
        <v>611</v>
      </c>
      <c r="D127" s="4" t="s">
        <v>589</v>
      </c>
      <c r="E127" s="5">
        <v>150</v>
      </c>
      <c r="F127" s="6">
        <v>1487.9159999999999</v>
      </c>
      <c r="G127" s="7">
        <v>4.0857724630946109E-3</v>
      </c>
      <c r="H127" s="52">
        <v>7.99</v>
      </c>
      <c r="I127" s="52"/>
    </row>
    <row r="128" spans="1:9" ht="29.1" customHeight="1" x14ac:dyDescent="0.2">
      <c r="A128" s="3">
        <v>17</v>
      </c>
      <c r="B128" s="4" t="s">
        <v>612</v>
      </c>
      <c r="C128" s="4" t="s">
        <v>613</v>
      </c>
      <c r="D128" s="4" t="s">
        <v>580</v>
      </c>
      <c r="E128" s="5">
        <v>1500</v>
      </c>
      <c r="F128" s="6">
        <v>1486.4445000000001</v>
      </c>
      <c r="G128" s="7">
        <v>4.0817317684724392E-3</v>
      </c>
      <c r="H128" s="52">
        <v>7.9275000000000002</v>
      </c>
      <c r="I128" s="52"/>
    </row>
    <row r="129" spans="1:9" ht="29.1" customHeight="1" x14ac:dyDescent="0.2">
      <c r="A129" s="3">
        <v>18</v>
      </c>
      <c r="B129" s="4" t="s">
        <v>614</v>
      </c>
      <c r="C129" s="4" t="s">
        <v>615</v>
      </c>
      <c r="D129" s="4" t="s">
        <v>580</v>
      </c>
      <c r="E129" s="5">
        <v>150</v>
      </c>
      <c r="F129" s="6">
        <v>1483.7760000000001</v>
      </c>
      <c r="G129" s="7">
        <v>4.0744041479496623E-3</v>
      </c>
      <c r="H129" s="52">
        <v>7.78</v>
      </c>
      <c r="I129" s="52"/>
    </row>
    <row r="130" spans="1:9" ht="29.1" customHeight="1" x14ac:dyDescent="0.2">
      <c r="A130" s="3">
        <v>19</v>
      </c>
      <c r="B130" s="4" t="s">
        <v>616</v>
      </c>
      <c r="C130" s="4" t="s">
        <v>617</v>
      </c>
      <c r="D130" s="4" t="s">
        <v>580</v>
      </c>
      <c r="E130" s="5">
        <v>150</v>
      </c>
      <c r="F130" s="6">
        <v>1463.6685</v>
      </c>
      <c r="G130" s="7">
        <v>4.0191895593561702E-3</v>
      </c>
      <c r="H130" s="52">
        <v>7.85</v>
      </c>
      <c r="I130" s="52"/>
    </row>
    <row r="131" spans="1:9" ht="29.1" customHeight="1" x14ac:dyDescent="0.2">
      <c r="A131" s="3">
        <v>20</v>
      </c>
      <c r="B131" s="4" t="s">
        <v>618</v>
      </c>
      <c r="C131" s="4" t="s">
        <v>619</v>
      </c>
      <c r="D131" s="4" t="s">
        <v>580</v>
      </c>
      <c r="E131" s="5">
        <v>100</v>
      </c>
      <c r="F131" s="6">
        <v>999.18200000000002</v>
      </c>
      <c r="G131" s="7">
        <v>2.7437236384445091E-3</v>
      </c>
      <c r="H131" s="52">
        <v>7.59</v>
      </c>
      <c r="I131" s="52"/>
    </row>
    <row r="132" spans="1:9" ht="29.1" customHeight="1" x14ac:dyDescent="0.2">
      <c r="A132" s="3">
        <v>21</v>
      </c>
      <c r="B132" s="4" t="s">
        <v>620</v>
      </c>
      <c r="C132" s="4" t="s">
        <v>621</v>
      </c>
      <c r="D132" s="4" t="s">
        <v>580</v>
      </c>
      <c r="E132" s="5">
        <v>100</v>
      </c>
      <c r="F132" s="6">
        <v>999.11599999999999</v>
      </c>
      <c r="G132" s="7">
        <v>2.7435424044349515E-3</v>
      </c>
      <c r="H132" s="52">
        <v>7.7125000000000004</v>
      </c>
      <c r="I132" s="52"/>
    </row>
    <row r="133" spans="1:9" ht="29.1" customHeight="1" x14ac:dyDescent="0.2">
      <c r="A133" s="3">
        <v>22</v>
      </c>
      <c r="B133" s="4" t="s">
        <v>622</v>
      </c>
      <c r="C133" s="4" t="s">
        <v>623</v>
      </c>
      <c r="D133" s="4" t="s">
        <v>580</v>
      </c>
      <c r="E133" s="5">
        <v>100</v>
      </c>
      <c r="F133" s="6">
        <v>994.173</v>
      </c>
      <c r="G133" s="7">
        <v>2.7299690755070577E-3</v>
      </c>
      <c r="H133" s="52">
        <v>7.58</v>
      </c>
      <c r="I133" s="52"/>
    </row>
    <row r="134" spans="1:9" ht="29.1" customHeight="1" x14ac:dyDescent="0.2">
      <c r="A134" s="3">
        <v>23</v>
      </c>
      <c r="B134" s="4" t="s">
        <v>624</v>
      </c>
      <c r="C134" s="4" t="s">
        <v>625</v>
      </c>
      <c r="D134" s="4" t="s">
        <v>589</v>
      </c>
      <c r="E134" s="5">
        <v>100</v>
      </c>
      <c r="F134" s="6">
        <v>993.53599999999994</v>
      </c>
      <c r="G134" s="7">
        <v>2.7282198927178467E-3</v>
      </c>
      <c r="H134" s="52">
        <v>7.8186999999999998</v>
      </c>
      <c r="I134" s="52"/>
    </row>
    <row r="135" spans="1:9" ht="17.100000000000001" customHeight="1" x14ac:dyDescent="0.2">
      <c r="A135" s="3">
        <v>24</v>
      </c>
      <c r="B135" s="4" t="s">
        <v>626</v>
      </c>
      <c r="C135" s="4" t="s">
        <v>627</v>
      </c>
      <c r="D135" s="4" t="s">
        <v>580</v>
      </c>
      <c r="E135" s="5">
        <v>1000</v>
      </c>
      <c r="F135" s="6">
        <v>993.375</v>
      </c>
      <c r="G135" s="7">
        <v>2.727777791573321E-3</v>
      </c>
      <c r="H135" s="52">
        <v>7.7649999999999997</v>
      </c>
      <c r="I135" s="52"/>
    </row>
    <row r="136" spans="1:9" ht="17.100000000000001" customHeight="1" x14ac:dyDescent="0.2">
      <c r="A136" s="3">
        <v>25</v>
      </c>
      <c r="B136" s="4" t="s">
        <v>628</v>
      </c>
      <c r="C136" s="4" t="s">
        <v>629</v>
      </c>
      <c r="D136" s="4" t="s">
        <v>580</v>
      </c>
      <c r="E136" s="5">
        <v>1000</v>
      </c>
      <c r="F136" s="6">
        <v>991.80399999999997</v>
      </c>
      <c r="G136" s="7">
        <v>2.7234638729518924E-3</v>
      </c>
      <c r="H136" s="52">
        <v>7.79</v>
      </c>
      <c r="I136" s="52"/>
    </row>
    <row r="137" spans="1:9" ht="29.1" customHeight="1" x14ac:dyDescent="0.2">
      <c r="A137" s="3">
        <v>26</v>
      </c>
      <c r="B137" s="4" t="s">
        <v>630</v>
      </c>
      <c r="C137" s="4" t="s">
        <v>631</v>
      </c>
      <c r="D137" s="4" t="s">
        <v>580</v>
      </c>
      <c r="E137" s="5">
        <v>100</v>
      </c>
      <c r="F137" s="6">
        <v>990.92899999999997</v>
      </c>
      <c r="G137" s="7">
        <v>2.721061149340339E-3</v>
      </c>
      <c r="H137" s="52">
        <v>7.7649999999999997</v>
      </c>
      <c r="I137" s="52"/>
    </row>
    <row r="138" spans="1:9" ht="29.1" customHeight="1" x14ac:dyDescent="0.2">
      <c r="A138" s="3">
        <v>27</v>
      </c>
      <c r="B138" s="4" t="s">
        <v>634</v>
      </c>
      <c r="C138" s="4" t="s">
        <v>635</v>
      </c>
      <c r="D138" s="4" t="s">
        <v>580</v>
      </c>
      <c r="E138" s="5">
        <v>500</v>
      </c>
      <c r="F138" s="6">
        <v>498.12900000000002</v>
      </c>
      <c r="G138" s="7">
        <v>1.3678472113135794E-3</v>
      </c>
      <c r="H138" s="52">
        <v>8.01</v>
      </c>
      <c r="I138" s="52"/>
    </row>
    <row r="139" spans="1:9" ht="29.1" customHeight="1" x14ac:dyDescent="0.2">
      <c r="A139" s="3">
        <v>28</v>
      </c>
      <c r="B139" s="4" t="s">
        <v>636</v>
      </c>
      <c r="C139" s="4" t="s">
        <v>637</v>
      </c>
      <c r="D139" s="4" t="s">
        <v>580</v>
      </c>
      <c r="E139" s="5">
        <v>20</v>
      </c>
      <c r="F139" s="6">
        <v>196.56800000000001</v>
      </c>
      <c r="G139" s="7">
        <v>5.3976979985804411E-4</v>
      </c>
      <c r="H139" s="52">
        <v>7.66</v>
      </c>
      <c r="I139" s="52"/>
    </row>
    <row r="140" spans="1:9" ht="14.1" customHeight="1" x14ac:dyDescent="0.2">
      <c r="A140" s="1"/>
      <c r="B140" s="1"/>
      <c r="C140" s="2" t="s">
        <v>145</v>
      </c>
      <c r="D140" s="1"/>
      <c r="E140" s="1" t="s">
        <v>146</v>
      </c>
      <c r="F140" s="9">
        <f>SUM(F112:F139)</f>
        <v>44063.103999999999</v>
      </c>
      <c r="G140" s="10">
        <f>SUM(G112:G139)</f>
        <v>0.12099595471899893</v>
      </c>
      <c r="H140" s="52"/>
      <c r="I140" s="52"/>
    </row>
    <row r="141" spans="1:9" ht="14.1" customHeight="1" x14ac:dyDescent="0.2">
      <c r="A141" s="1"/>
      <c r="B141" s="1"/>
      <c r="C141" s="11"/>
      <c r="D141" s="1"/>
      <c r="E141" s="1"/>
      <c r="F141" s="12"/>
      <c r="G141" s="12"/>
      <c r="H141" s="52"/>
      <c r="I141" s="52"/>
    </row>
    <row r="142" spans="1:9" ht="14.1" customHeight="1" x14ac:dyDescent="0.2">
      <c r="A142" s="1"/>
      <c r="B142" s="1"/>
      <c r="C142" s="2" t="s">
        <v>155</v>
      </c>
      <c r="D142" s="1"/>
      <c r="E142" s="1"/>
      <c r="F142" s="1"/>
      <c r="G142" s="1"/>
      <c r="H142" s="52"/>
      <c r="I142" s="52"/>
    </row>
    <row r="143" spans="1:9" ht="17.100000000000001" customHeight="1" x14ac:dyDescent="0.2">
      <c r="A143" s="3">
        <v>1</v>
      </c>
      <c r="B143" s="4" t="s">
        <v>632</v>
      </c>
      <c r="C143" s="4" t="s">
        <v>633</v>
      </c>
      <c r="D143" s="4" t="s">
        <v>589</v>
      </c>
      <c r="E143" s="5">
        <v>50</v>
      </c>
      <c r="F143" s="6">
        <v>502.61200000000002</v>
      </c>
      <c r="G143" s="7">
        <v>1.380157394114257E-3</v>
      </c>
      <c r="H143" s="52">
        <v>8.3849999999999998</v>
      </c>
      <c r="I143" s="52"/>
    </row>
    <row r="144" spans="1:9" ht="14.1" customHeight="1" x14ac:dyDescent="0.2">
      <c r="A144" s="1"/>
      <c r="B144" s="1"/>
      <c r="C144" s="2" t="s">
        <v>145</v>
      </c>
      <c r="D144" s="1"/>
      <c r="E144" s="1" t="s">
        <v>146</v>
      </c>
      <c r="F144" s="9">
        <v>502.61200000000002</v>
      </c>
      <c r="G144" s="10">
        <v>1.380157394114257E-3</v>
      </c>
      <c r="H144" s="52"/>
      <c r="I144" s="52"/>
    </row>
    <row r="145" spans="1:9" ht="14.1" customHeight="1" x14ac:dyDescent="0.2">
      <c r="A145" s="1"/>
      <c r="B145" s="1"/>
      <c r="C145" s="11"/>
      <c r="D145" s="1"/>
      <c r="E145" s="1"/>
      <c r="F145" s="12"/>
      <c r="G145" s="12"/>
      <c r="H145" s="52"/>
      <c r="I145" s="52"/>
    </row>
    <row r="146" spans="1:9" ht="14.1" customHeight="1" x14ac:dyDescent="0.2">
      <c r="A146" s="1"/>
      <c r="B146" s="1"/>
      <c r="C146" s="2" t="s">
        <v>156</v>
      </c>
      <c r="D146" s="1"/>
      <c r="E146" s="1"/>
      <c r="F146" s="1"/>
      <c r="G146" s="1"/>
      <c r="H146" s="52"/>
      <c r="I146" s="52"/>
    </row>
    <row r="147" spans="1:9" ht="29.1" customHeight="1" x14ac:dyDescent="0.2">
      <c r="A147" s="3">
        <v>1</v>
      </c>
      <c r="B147" s="4" t="s">
        <v>638</v>
      </c>
      <c r="C147" s="4" t="s">
        <v>639</v>
      </c>
      <c r="D147" s="4" t="s">
        <v>640</v>
      </c>
      <c r="E147" s="5">
        <v>10000000</v>
      </c>
      <c r="F147" s="6">
        <v>9909.76</v>
      </c>
      <c r="G147" s="7">
        <v>2.7211902099229027E-2</v>
      </c>
      <c r="H147" s="52">
        <v>7.5305</v>
      </c>
      <c r="I147" s="52"/>
    </row>
    <row r="148" spans="1:9" ht="29.1" customHeight="1" x14ac:dyDescent="0.2">
      <c r="A148" s="3">
        <v>2</v>
      </c>
      <c r="B148" s="4" t="s">
        <v>641</v>
      </c>
      <c r="C148" s="4" t="s">
        <v>642</v>
      </c>
      <c r="D148" s="4" t="s">
        <v>640</v>
      </c>
      <c r="E148" s="5">
        <v>8500000</v>
      </c>
      <c r="F148" s="6">
        <v>8483.2890000000007</v>
      </c>
      <c r="G148" s="7">
        <v>2.3294855753062286E-2</v>
      </c>
      <c r="H148" s="52">
        <v>7.5701999999999998</v>
      </c>
      <c r="I148" s="52"/>
    </row>
    <row r="149" spans="1:9" ht="29.1" customHeight="1" x14ac:dyDescent="0.2">
      <c r="A149" s="3">
        <v>3</v>
      </c>
      <c r="B149" s="4" t="s">
        <v>643</v>
      </c>
      <c r="C149" s="4" t="s">
        <v>644</v>
      </c>
      <c r="D149" s="4" t="s">
        <v>640</v>
      </c>
      <c r="E149" s="5">
        <v>2500000</v>
      </c>
      <c r="F149" s="6">
        <v>2502.2525000000001</v>
      </c>
      <c r="G149" s="7">
        <v>6.8711099015063013E-3</v>
      </c>
      <c r="H149" s="52">
        <v>7.4821</v>
      </c>
      <c r="I149" s="52"/>
    </row>
    <row r="150" spans="1:9" ht="29.1" customHeight="1" x14ac:dyDescent="0.2">
      <c r="A150" s="3">
        <v>4</v>
      </c>
      <c r="B150" s="4" t="s">
        <v>645</v>
      </c>
      <c r="C150" s="4" t="s">
        <v>646</v>
      </c>
      <c r="D150" s="4" t="s">
        <v>640</v>
      </c>
      <c r="E150" s="5">
        <v>2500000</v>
      </c>
      <c r="F150" s="6">
        <v>2469.3724999999999</v>
      </c>
      <c r="G150" s="7">
        <v>6.7808224131087362E-3</v>
      </c>
      <c r="H150" s="52">
        <v>7.5114999999999998</v>
      </c>
      <c r="I150" s="52"/>
    </row>
    <row r="151" spans="1:9" ht="29.1" customHeight="1" x14ac:dyDescent="0.2">
      <c r="A151" s="3">
        <v>5</v>
      </c>
      <c r="B151" s="4" t="s">
        <v>647</v>
      </c>
      <c r="C151" s="4" t="s">
        <v>648</v>
      </c>
      <c r="D151" s="4" t="s">
        <v>640</v>
      </c>
      <c r="E151" s="5">
        <v>2000000</v>
      </c>
      <c r="F151" s="6">
        <v>1936.3</v>
      </c>
      <c r="G151" s="7">
        <v>5.3170214046290888E-3</v>
      </c>
      <c r="H151" s="52">
        <v>7.4668000000000001</v>
      </c>
      <c r="I151" s="52"/>
    </row>
    <row r="152" spans="1:9" ht="29.1" customHeight="1" x14ac:dyDescent="0.2">
      <c r="A152" s="3">
        <v>6</v>
      </c>
      <c r="B152" s="4" t="s">
        <v>649</v>
      </c>
      <c r="C152" s="4" t="s">
        <v>650</v>
      </c>
      <c r="D152" s="4" t="s">
        <v>640</v>
      </c>
      <c r="E152" s="5">
        <v>2000000</v>
      </c>
      <c r="F152" s="6">
        <v>1914.154</v>
      </c>
      <c r="G152" s="7">
        <v>5.2562091565131379E-3</v>
      </c>
      <c r="H152" s="52">
        <v>7.4748000000000001</v>
      </c>
      <c r="I152" s="52"/>
    </row>
    <row r="153" spans="1:9" ht="29.1" customHeight="1" x14ac:dyDescent="0.2">
      <c r="A153" s="3">
        <v>7</v>
      </c>
      <c r="B153" s="4" t="s">
        <v>651</v>
      </c>
      <c r="C153" s="4" t="s">
        <v>980</v>
      </c>
      <c r="D153" s="4" t="s">
        <v>640</v>
      </c>
      <c r="E153" s="5">
        <v>1800000</v>
      </c>
      <c r="F153" s="6">
        <v>1778.5512000000001</v>
      </c>
      <c r="G153" s="7">
        <v>4.8838479572528804E-3</v>
      </c>
      <c r="H153" s="52">
        <v>7.4856999999999996</v>
      </c>
      <c r="I153" s="52"/>
    </row>
    <row r="154" spans="1:9" ht="41.1" customHeight="1" x14ac:dyDescent="0.2">
      <c r="A154" s="3">
        <v>8</v>
      </c>
      <c r="B154" s="4" t="s">
        <v>652</v>
      </c>
      <c r="C154" s="39" t="s">
        <v>978</v>
      </c>
      <c r="D154" s="4" t="s">
        <v>640</v>
      </c>
      <c r="E154" s="5">
        <v>1500000</v>
      </c>
      <c r="F154" s="6">
        <v>1493.883</v>
      </c>
      <c r="G154" s="7">
        <v>4.102157665140483E-3</v>
      </c>
      <c r="H154" s="52">
        <v>7.6770296583921471</v>
      </c>
      <c r="I154" s="52"/>
    </row>
    <row r="155" spans="1:9" ht="29.1" customHeight="1" x14ac:dyDescent="0.2">
      <c r="A155" s="3">
        <v>9</v>
      </c>
      <c r="B155" s="4" t="s">
        <v>653</v>
      </c>
      <c r="C155" s="4" t="s">
        <v>979</v>
      </c>
      <c r="D155" s="4" t="s">
        <v>640</v>
      </c>
      <c r="E155" s="5">
        <v>1500000</v>
      </c>
      <c r="F155" s="6">
        <v>1464.4380000000001</v>
      </c>
      <c r="G155" s="7">
        <v>4.0213025831494159E-3</v>
      </c>
      <c r="H155" s="52">
        <v>7.5959000000000003</v>
      </c>
      <c r="I155" s="52"/>
    </row>
    <row r="156" spans="1:9" ht="29.1" customHeight="1" x14ac:dyDescent="0.2">
      <c r="A156" s="3">
        <v>10</v>
      </c>
      <c r="B156" s="4" t="s">
        <v>654</v>
      </c>
      <c r="C156" s="4" t="s">
        <v>655</v>
      </c>
      <c r="D156" s="4" t="s">
        <v>640</v>
      </c>
      <c r="E156" s="5">
        <v>400000</v>
      </c>
      <c r="F156" s="6">
        <v>404.49919999999997</v>
      </c>
      <c r="G156" s="7">
        <v>1.1107426042221468E-3</v>
      </c>
      <c r="H156" s="52">
        <v>7.6261999999999999</v>
      </c>
      <c r="I156" s="52"/>
    </row>
    <row r="157" spans="1:9" ht="29.1" customHeight="1" x14ac:dyDescent="0.2">
      <c r="A157" s="3">
        <v>11</v>
      </c>
      <c r="B157" s="4" t="s">
        <v>656</v>
      </c>
      <c r="C157" s="4" t="s">
        <v>657</v>
      </c>
      <c r="D157" s="4" t="s">
        <v>640</v>
      </c>
      <c r="E157" s="5">
        <v>400000</v>
      </c>
      <c r="F157" s="6">
        <v>403.19760000000002</v>
      </c>
      <c r="G157" s="7">
        <v>1.1071684498760925E-3</v>
      </c>
      <c r="H157" s="52">
        <v>7.5784000000000002</v>
      </c>
      <c r="I157" s="52"/>
    </row>
    <row r="158" spans="1:9" ht="29.1" customHeight="1" x14ac:dyDescent="0.2">
      <c r="A158" s="3">
        <v>12</v>
      </c>
      <c r="B158" s="4" t="s">
        <v>658</v>
      </c>
      <c r="C158" s="4" t="s">
        <v>659</v>
      </c>
      <c r="D158" s="4" t="s">
        <v>640</v>
      </c>
      <c r="E158" s="5">
        <v>400000</v>
      </c>
      <c r="F158" s="6">
        <v>402.89080000000001</v>
      </c>
      <c r="G158" s="7">
        <v>1.1063259863286358E-3</v>
      </c>
      <c r="H158" s="52">
        <v>7.58</v>
      </c>
      <c r="I158" s="52"/>
    </row>
    <row r="159" spans="1:9" ht="14.1" customHeight="1" x14ac:dyDescent="0.2">
      <c r="A159" s="1"/>
      <c r="B159" s="1"/>
      <c r="C159" s="2" t="s">
        <v>145</v>
      </c>
      <c r="D159" s="1"/>
      <c r="E159" s="1" t="s">
        <v>146</v>
      </c>
      <c r="F159" s="9">
        <v>33162.587800000001</v>
      </c>
      <c r="G159" s="10">
        <v>9.1063465974018237E-2</v>
      </c>
      <c r="H159" s="52"/>
      <c r="I159" s="52"/>
    </row>
    <row r="160" spans="1:9" ht="14.1" customHeight="1" x14ac:dyDescent="0.2">
      <c r="A160" s="1"/>
      <c r="B160" s="1"/>
      <c r="C160" s="11"/>
      <c r="D160" s="1"/>
      <c r="E160" s="1"/>
      <c r="F160" s="12"/>
      <c r="G160" s="12"/>
      <c r="H160" s="52"/>
      <c r="I160" s="52"/>
    </row>
    <row r="161" spans="1:9" ht="14.1" customHeight="1" x14ac:dyDescent="0.2">
      <c r="A161" s="1"/>
      <c r="B161" s="1"/>
      <c r="C161" s="2" t="s">
        <v>157</v>
      </c>
      <c r="D161" s="1"/>
      <c r="E161" s="1"/>
      <c r="F161" s="12"/>
      <c r="G161" s="12"/>
      <c r="H161" s="52"/>
      <c r="I161" s="52"/>
    </row>
    <row r="162" spans="1:9" ht="14.1" customHeight="1" x14ac:dyDescent="0.2">
      <c r="A162" s="1"/>
      <c r="B162" s="1"/>
      <c r="C162" s="2" t="s">
        <v>145</v>
      </c>
      <c r="D162" s="1"/>
      <c r="E162" s="1" t="s">
        <v>146</v>
      </c>
      <c r="F162" s="13" t="s">
        <v>148</v>
      </c>
      <c r="G162" s="10">
        <v>0</v>
      </c>
      <c r="H162" s="52"/>
      <c r="I162" s="52"/>
    </row>
    <row r="163" spans="1:9" ht="14.1" customHeight="1" x14ac:dyDescent="0.2">
      <c r="A163" s="1"/>
      <c r="B163" s="1"/>
      <c r="C163" s="11"/>
      <c r="D163" s="1"/>
      <c r="E163" s="1"/>
      <c r="F163" s="12"/>
      <c r="G163" s="12"/>
      <c r="H163" s="52"/>
      <c r="I163" s="52"/>
    </row>
    <row r="164" spans="1:9" ht="14.1" customHeight="1" x14ac:dyDescent="0.2">
      <c r="A164" s="1"/>
      <c r="B164" s="1"/>
      <c r="C164" s="2" t="s">
        <v>158</v>
      </c>
      <c r="D164" s="1"/>
      <c r="E164" s="1"/>
      <c r="F164" s="9">
        <v>77728.303799999994</v>
      </c>
      <c r="G164" s="10">
        <v>0.2134395780871314</v>
      </c>
      <c r="H164" s="52"/>
      <c r="I164" s="52"/>
    </row>
    <row r="165" spans="1:9" ht="14.1" customHeight="1" x14ac:dyDescent="0.2">
      <c r="A165" s="1"/>
      <c r="B165" s="1"/>
      <c r="C165" s="11"/>
      <c r="D165" s="1"/>
      <c r="E165" s="1"/>
      <c r="F165" s="12"/>
      <c r="G165" s="12"/>
      <c r="H165" s="52"/>
      <c r="I165" s="52"/>
    </row>
    <row r="166" spans="1:9" ht="14.1" customHeight="1" x14ac:dyDescent="0.2">
      <c r="A166" s="1"/>
      <c r="B166" s="1"/>
      <c r="C166" s="2" t="s">
        <v>159</v>
      </c>
      <c r="D166" s="1"/>
      <c r="E166" s="1"/>
      <c r="F166" s="12"/>
      <c r="G166" s="12"/>
      <c r="H166" s="52"/>
      <c r="I166" s="52"/>
    </row>
    <row r="167" spans="1:9" ht="14.1" customHeight="1" x14ac:dyDescent="0.2">
      <c r="A167" s="1"/>
      <c r="B167" s="1"/>
      <c r="C167" s="2" t="s">
        <v>160</v>
      </c>
      <c r="D167" s="1"/>
      <c r="E167" s="1"/>
      <c r="F167" s="12"/>
      <c r="G167" s="12"/>
      <c r="H167" s="52"/>
      <c r="I167" s="52"/>
    </row>
    <row r="168" spans="1:9" ht="17.100000000000001" customHeight="1" x14ac:dyDescent="0.2">
      <c r="A168" s="3">
        <v>1</v>
      </c>
      <c r="B168" s="4" t="s">
        <v>660</v>
      </c>
      <c r="C168" s="4" t="s">
        <v>661</v>
      </c>
      <c r="D168" s="4" t="s">
        <v>662</v>
      </c>
      <c r="E168" s="5">
        <v>500</v>
      </c>
      <c r="F168" s="6">
        <v>2483.1550000000002</v>
      </c>
      <c r="G168" s="7">
        <v>6.8186687424530018E-3</v>
      </c>
      <c r="H168" s="52">
        <v>7.0747</v>
      </c>
      <c r="I168" s="52"/>
    </row>
    <row r="169" spans="1:9" ht="17.100000000000001" customHeight="1" x14ac:dyDescent="0.2">
      <c r="A169" s="3">
        <v>2</v>
      </c>
      <c r="B169" s="4" t="s">
        <v>663</v>
      </c>
      <c r="C169" s="4" t="s">
        <v>664</v>
      </c>
      <c r="D169" s="4" t="s">
        <v>662</v>
      </c>
      <c r="E169" s="5">
        <v>500</v>
      </c>
      <c r="F169" s="6">
        <v>2452.5250000000001</v>
      </c>
      <c r="G169" s="7">
        <v>6.7345596861994308E-3</v>
      </c>
      <c r="H169" s="52">
        <v>7.3598999999999997</v>
      </c>
      <c r="I169" s="52"/>
    </row>
    <row r="170" spans="1:9" ht="14.1" customHeight="1" x14ac:dyDescent="0.2">
      <c r="A170" s="1"/>
      <c r="B170" s="1"/>
      <c r="C170" s="2" t="s">
        <v>145</v>
      </c>
      <c r="D170" s="1"/>
      <c r="E170" s="1" t="s">
        <v>146</v>
      </c>
      <c r="F170" s="9">
        <v>4935.68</v>
      </c>
      <c r="G170" s="10">
        <v>1.3553228428652432E-2</v>
      </c>
      <c r="H170" s="52"/>
      <c r="I170" s="52"/>
    </row>
    <row r="171" spans="1:9" ht="14.1" customHeight="1" x14ac:dyDescent="0.2">
      <c r="A171" s="1"/>
      <c r="B171" s="1"/>
      <c r="C171" s="11"/>
      <c r="D171" s="1"/>
      <c r="E171" s="1"/>
      <c r="F171" s="12"/>
      <c r="G171" s="12"/>
      <c r="H171" s="52"/>
      <c r="I171" s="52"/>
    </row>
    <row r="172" spans="1:9" ht="14.1" customHeight="1" x14ac:dyDescent="0.2">
      <c r="A172" s="1"/>
      <c r="B172" s="1"/>
      <c r="C172" s="2" t="s">
        <v>161</v>
      </c>
      <c r="D172" s="1"/>
      <c r="E172" s="1"/>
      <c r="F172" s="12"/>
      <c r="G172" s="12"/>
      <c r="H172" s="52"/>
      <c r="I172" s="52"/>
    </row>
    <row r="173" spans="1:9" ht="29.1" customHeight="1" x14ac:dyDescent="0.2">
      <c r="A173" s="3">
        <v>1</v>
      </c>
      <c r="B173" s="4" t="s">
        <v>665</v>
      </c>
      <c r="C173" s="4" t="s">
        <v>666</v>
      </c>
      <c r="D173" s="4" t="s">
        <v>667</v>
      </c>
      <c r="E173" s="5">
        <v>500</v>
      </c>
      <c r="F173" s="6">
        <v>2395.1424999999999</v>
      </c>
      <c r="G173" s="7">
        <v>6.5769890717537714E-3</v>
      </c>
      <c r="H173" s="52">
        <v>7.7949999999999999</v>
      </c>
      <c r="I173" s="52"/>
    </row>
    <row r="174" spans="1:9" ht="14.1" customHeight="1" x14ac:dyDescent="0.2">
      <c r="A174" s="1"/>
      <c r="B174" s="1"/>
      <c r="C174" s="2" t="s">
        <v>145</v>
      </c>
      <c r="D174" s="1"/>
      <c r="E174" s="1" t="s">
        <v>146</v>
      </c>
      <c r="F174" s="9">
        <v>2395.1424999999999</v>
      </c>
      <c r="G174" s="10">
        <v>6.5769890717537714E-3</v>
      </c>
      <c r="H174" s="52"/>
      <c r="I174" s="52"/>
    </row>
    <row r="175" spans="1:9" ht="14.1" customHeight="1" x14ac:dyDescent="0.2">
      <c r="A175" s="1"/>
      <c r="B175" s="1"/>
      <c r="C175" s="11"/>
      <c r="D175" s="1"/>
      <c r="E175" s="1"/>
      <c r="F175" s="12"/>
      <c r="G175" s="12"/>
      <c r="H175" s="52"/>
      <c r="I175" s="52"/>
    </row>
    <row r="176" spans="1:9" ht="14.1" customHeight="1" x14ac:dyDescent="0.2">
      <c r="A176" s="1"/>
      <c r="B176" s="1"/>
      <c r="C176" s="2" t="s">
        <v>162</v>
      </c>
      <c r="D176" s="1"/>
      <c r="E176" s="1"/>
      <c r="F176" s="12"/>
      <c r="G176" s="12"/>
      <c r="H176" s="52"/>
      <c r="I176" s="52"/>
    </row>
    <row r="177" spans="1:9" ht="17.100000000000001" customHeight="1" x14ac:dyDescent="0.2">
      <c r="A177" s="3">
        <v>1</v>
      </c>
      <c r="B177" s="4" t="s">
        <v>668</v>
      </c>
      <c r="C177" s="4" t="s">
        <v>669</v>
      </c>
      <c r="D177" s="4" t="s">
        <v>640</v>
      </c>
      <c r="E177" s="5">
        <v>1000000</v>
      </c>
      <c r="F177" s="6">
        <v>973.36599999999999</v>
      </c>
      <c r="G177" s="7">
        <v>2.6728336810092432E-3</v>
      </c>
      <c r="H177" s="52">
        <v>7.0335000000000001</v>
      </c>
      <c r="I177" s="52"/>
    </row>
    <row r="178" spans="1:9" ht="14.1" customHeight="1" x14ac:dyDescent="0.2">
      <c r="A178" s="1"/>
      <c r="B178" s="1"/>
      <c r="C178" s="2" t="s">
        <v>145</v>
      </c>
      <c r="D178" s="1"/>
      <c r="E178" s="1" t="s">
        <v>146</v>
      </c>
      <c r="F178" s="9">
        <v>973.36599999999999</v>
      </c>
      <c r="G178" s="10">
        <v>2.6728336810092432E-3</v>
      </c>
      <c r="H178" s="52"/>
      <c r="I178" s="52"/>
    </row>
    <row r="179" spans="1:9" ht="14.1" customHeight="1" x14ac:dyDescent="0.2">
      <c r="A179" s="1"/>
      <c r="B179" s="1"/>
      <c r="C179" s="11"/>
      <c r="D179" s="1"/>
      <c r="E179" s="1"/>
      <c r="F179" s="12"/>
      <c r="G179" s="12"/>
      <c r="H179" s="52"/>
      <c r="I179" s="52"/>
    </row>
    <row r="180" spans="1:9" ht="14.1" customHeight="1" x14ac:dyDescent="0.2">
      <c r="A180" s="1"/>
      <c r="B180" s="1"/>
      <c r="C180" s="2" t="s">
        <v>163</v>
      </c>
      <c r="D180" s="1"/>
      <c r="E180" s="1"/>
      <c r="F180" s="12"/>
      <c r="G180" s="12"/>
      <c r="H180" s="52"/>
      <c r="I180" s="52"/>
    </row>
    <row r="181" spans="1:9" ht="17.100000000000001" customHeight="1" x14ac:dyDescent="0.2">
      <c r="A181" s="3">
        <v>1</v>
      </c>
      <c r="B181" s="4"/>
      <c r="C181" s="4" t="s">
        <v>164</v>
      </c>
      <c r="D181" s="4"/>
      <c r="E181" s="8"/>
      <c r="F181" s="6">
        <v>16759.747104022001</v>
      </c>
      <c r="G181" s="7">
        <v>4.6021760103421662E-2</v>
      </c>
      <c r="H181" s="52">
        <v>6.7567375937238596</v>
      </c>
      <c r="I181" s="52"/>
    </row>
    <row r="182" spans="1:9" ht="14.1" customHeight="1" x14ac:dyDescent="0.2">
      <c r="A182" s="1"/>
      <c r="B182" s="1"/>
      <c r="C182" s="2" t="s">
        <v>145</v>
      </c>
      <c r="D182" s="1"/>
      <c r="E182" s="1" t="s">
        <v>146</v>
      </c>
      <c r="F182" s="9">
        <v>16759.747104022001</v>
      </c>
      <c r="G182" s="10">
        <v>4.6021760103421662E-2</v>
      </c>
      <c r="H182" s="52"/>
      <c r="I182" s="52"/>
    </row>
    <row r="183" spans="1:9" ht="14.1" customHeight="1" x14ac:dyDescent="0.2">
      <c r="A183" s="1"/>
      <c r="B183" s="1"/>
      <c r="C183" s="11"/>
      <c r="D183" s="1"/>
      <c r="E183" s="1"/>
      <c r="F183" s="12"/>
      <c r="G183" s="12"/>
      <c r="H183" s="52"/>
      <c r="I183" s="52"/>
    </row>
    <row r="184" spans="1:9" ht="14.1" customHeight="1" x14ac:dyDescent="0.2">
      <c r="A184" s="1"/>
      <c r="B184" s="1"/>
      <c r="C184" s="2" t="s">
        <v>165</v>
      </c>
      <c r="D184" s="1"/>
      <c r="E184" s="1"/>
      <c r="F184" s="9">
        <v>25063.935604022001</v>
      </c>
      <c r="G184" s="10">
        <v>6.8824811284837112E-2</v>
      </c>
      <c r="H184" s="52"/>
      <c r="I184" s="52"/>
    </row>
    <row r="185" spans="1:9" ht="14.1" customHeight="1" x14ac:dyDescent="0.2">
      <c r="A185" s="1"/>
      <c r="B185" s="1"/>
      <c r="C185" s="12"/>
      <c r="D185" s="1"/>
      <c r="E185" s="1"/>
      <c r="F185" s="1"/>
      <c r="G185" s="1"/>
      <c r="H185" s="52"/>
      <c r="I185" s="52"/>
    </row>
    <row r="186" spans="1:9" ht="14.1" customHeight="1" x14ac:dyDescent="0.2">
      <c r="A186" s="1"/>
      <c r="B186" s="1"/>
      <c r="C186" s="2" t="s">
        <v>166</v>
      </c>
      <c r="D186" s="1"/>
      <c r="E186" s="1"/>
      <c r="F186" s="1"/>
      <c r="G186" s="1"/>
      <c r="H186" s="52"/>
      <c r="I186" s="52"/>
    </row>
    <row r="187" spans="1:9" ht="14.1" customHeight="1" x14ac:dyDescent="0.2">
      <c r="A187" s="1"/>
      <c r="B187" s="1"/>
      <c r="C187" s="2" t="s">
        <v>167</v>
      </c>
      <c r="D187" s="1"/>
      <c r="E187" s="1"/>
      <c r="F187" s="1"/>
      <c r="G187" s="1"/>
      <c r="H187" s="52"/>
      <c r="I187" s="52"/>
    </row>
    <row r="188" spans="1:9" ht="14.1" customHeight="1" x14ac:dyDescent="0.2">
      <c r="A188" s="1"/>
      <c r="B188" s="1"/>
      <c r="C188" s="2" t="s">
        <v>145</v>
      </c>
      <c r="D188" s="1"/>
      <c r="E188" s="1" t="s">
        <v>146</v>
      </c>
      <c r="F188" s="13" t="s">
        <v>148</v>
      </c>
      <c r="G188" s="10">
        <v>0</v>
      </c>
      <c r="H188" s="52"/>
      <c r="I188" s="52"/>
    </row>
    <row r="189" spans="1:9" ht="14.1" customHeight="1" x14ac:dyDescent="0.2">
      <c r="A189" s="1"/>
      <c r="B189" s="1"/>
      <c r="C189" s="11"/>
      <c r="D189" s="1"/>
      <c r="E189" s="1"/>
      <c r="F189" s="12"/>
      <c r="G189" s="12"/>
      <c r="H189" s="52"/>
      <c r="I189" s="52"/>
    </row>
    <row r="190" spans="1:9" ht="14.1" customHeight="1" x14ac:dyDescent="0.2">
      <c r="A190" s="1"/>
      <c r="B190" s="1"/>
      <c r="C190" s="2" t="s">
        <v>168</v>
      </c>
      <c r="D190" s="1"/>
      <c r="E190" s="1"/>
      <c r="F190" s="1"/>
      <c r="G190" s="1"/>
      <c r="H190" s="52"/>
      <c r="I190" s="52"/>
    </row>
    <row r="191" spans="1:9" ht="14.1" customHeight="1" x14ac:dyDescent="0.2">
      <c r="A191" s="1"/>
      <c r="B191" s="1"/>
      <c r="C191" s="2" t="s">
        <v>169</v>
      </c>
      <c r="D191" s="1"/>
      <c r="E191" s="1"/>
      <c r="F191" s="1"/>
      <c r="G191" s="1"/>
      <c r="H191" s="52"/>
      <c r="I191" s="52"/>
    </row>
    <row r="192" spans="1:9" ht="14.1" customHeight="1" x14ac:dyDescent="0.2">
      <c r="A192" s="1"/>
      <c r="B192" s="1"/>
      <c r="C192" s="2" t="s">
        <v>145</v>
      </c>
      <c r="D192" s="1"/>
      <c r="E192" s="1" t="s">
        <v>146</v>
      </c>
      <c r="F192" s="13" t="s">
        <v>148</v>
      </c>
      <c r="G192" s="10">
        <v>0</v>
      </c>
      <c r="H192" s="52"/>
      <c r="I192" s="52"/>
    </row>
    <row r="193" spans="1:16" ht="14.1" customHeight="1" x14ac:dyDescent="0.2">
      <c r="A193" s="1"/>
      <c r="B193" s="1"/>
      <c r="C193" s="11"/>
      <c r="D193" s="1"/>
      <c r="E193" s="1"/>
      <c r="F193" s="12"/>
      <c r="G193" s="12"/>
      <c r="H193" s="52"/>
      <c r="I193" s="52"/>
    </row>
    <row r="194" spans="1:16" ht="24" customHeight="1" x14ac:dyDescent="0.2">
      <c r="A194" s="1"/>
      <c r="B194" s="1"/>
      <c r="C194" s="2" t="s">
        <v>170</v>
      </c>
      <c r="D194" s="1"/>
      <c r="E194" s="1"/>
      <c r="F194" s="12"/>
      <c r="G194" s="12"/>
      <c r="H194" s="52"/>
      <c r="I194" s="52"/>
    </row>
    <row r="195" spans="1:16" ht="14.1" customHeight="1" x14ac:dyDescent="0.2">
      <c r="A195" s="1"/>
      <c r="B195" s="1"/>
      <c r="C195" s="2" t="s">
        <v>145</v>
      </c>
      <c r="D195" s="1"/>
      <c r="E195" s="1" t="s">
        <v>146</v>
      </c>
      <c r="F195" s="13" t="s">
        <v>148</v>
      </c>
      <c r="G195" s="10">
        <v>0</v>
      </c>
      <c r="H195" s="52"/>
      <c r="I195" s="52"/>
    </row>
    <row r="196" spans="1:16" ht="14.1" customHeight="1" x14ac:dyDescent="0.2">
      <c r="A196" s="1"/>
      <c r="B196" s="1"/>
      <c r="C196" s="11"/>
      <c r="D196" s="1"/>
      <c r="E196" s="1"/>
      <c r="F196" s="12"/>
      <c r="G196" s="12"/>
      <c r="H196" s="52"/>
      <c r="I196" s="52"/>
    </row>
    <row r="197" spans="1:16" ht="14.1" customHeight="1" x14ac:dyDescent="0.2">
      <c r="A197" s="1"/>
      <c r="B197" s="4"/>
      <c r="C197" s="4"/>
      <c r="D197" s="2"/>
      <c r="E197" s="1"/>
      <c r="F197" s="4"/>
      <c r="G197" s="8"/>
      <c r="H197" s="52"/>
      <c r="I197" s="52"/>
    </row>
    <row r="198" spans="1:16" ht="18" customHeight="1" x14ac:dyDescent="0.2">
      <c r="A198" s="8"/>
      <c r="B198" s="4"/>
      <c r="C198" s="39" t="s">
        <v>992</v>
      </c>
      <c r="D198" s="4"/>
      <c r="E198" s="8"/>
      <c r="F198" s="6">
        <v>4046.8704885000002</v>
      </c>
      <c r="G198" s="7">
        <v>1.1112584314990589E-2</v>
      </c>
      <c r="H198" s="52"/>
      <c r="I198" s="52"/>
    </row>
    <row r="199" spans="1:16" ht="14.1" customHeight="1" x14ac:dyDescent="0.2">
      <c r="A199" s="11"/>
      <c r="B199" s="11"/>
      <c r="C199" s="2" t="s">
        <v>172</v>
      </c>
      <c r="D199" s="12"/>
      <c r="E199" s="12"/>
      <c r="F199" s="9">
        <v>364170.05925803201</v>
      </c>
      <c r="G199" s="14">
        <v>1</v>
      </c>
      <c r="H199" s="52"/>
      <c r="I199" s="52"/>
    </row>
    <row r="200" spans="1:16" ht="14.1" customHeight="1" x14ac:dyDescent="0.2">
      <c r="A200" s="15"/>
      <c r="B200" s="15"/>
      <c r="C200" s="15"/>
      <c r="D200" s="16"/>
      <c r="E200" s="16"/>
      <c r="F200" s="16"/>
      <c r="G200" s="16"/>
    </row>
    <row r="201" spans="1:16" ht="14.1" customHeight="1" x14ac:dyDescent="0.2">
      <c r="A201" s="42"/>
      <c r="B201" s="125" t="s">
        <v>988</v>
      </c>
      <c r="C201" s="125"/>
      <c r="D201" s="125"/>
      <c r="E201" s="125"/>
      <c r="F201" s="125"/>
      <c r="G201" s="43"/>
    </row>
    <row r="202" spans="1:16" ht="17.100000000000001" customHeight="1" x14ac:dyDescent="0.2">
      <c r="A202" s="42"/>
      <c r="B202" s="125" t="s">
        <v>993</v>
      </c>
      <c r="C202" s="125"/>
      <c r="D202" s="125"/>
      <c r="E202" s="125"/>
      <c r="F202" s="125"/>
      <c r="G202" s="43"/>
    </row>
    <row r="203" spans="1:16" ht="17.100000000000001" customHeight="1" x14ac:dyDescent="0.25">
      <c r="A203" s="17"/>
      <c r="B203" s="126" t="s">
        <v>173</v>
      </c>
      <c r="C203" s="126"/>
      <c r="D203" s="126"/>
      <c r="E203" s="126"/>
      <c r="F203" s="126"/>
      <c r="G203" s="19"/>
      <c r="P203" s="49"/>
    </row>
    <row r="204" spans="1:16" s="49" customFormat="1" ht="69.75" customHeight="1" x14ac:dyDescent="0.25">
      <c r="A204" s="47"/>
      <c r="B204" s="151" t="s">
        <v>977</v>
      </c>
      <c r="C204" s="151"/>
      <c r="D204" s="151"/>
      <c r="E204" s="151"/>
      <c r="F204" s="151"/>
      <c r="G204" s="48"/>
      <c r="J204"/>
      <c r="K204"/>
      <c r="L204"/>
      <c r="M204"/>
      <c r="N204"/>
      <c r="O204"/>
      <c r="P204"/>
    </row>
    <row r="205" spans="1:16" ht="14.1" customHeight="1" x14ac:dyDescent="0.2">
      <c r="A205" s="17"/>
      <c r="B205" s="17"/>
      <c r="C205" s="17"/>
      <c r="D205" s="19"/>
      <c r="E205" s="19"/>
      <c r="F205" s="19"/>
      <c r="G205" s="19"/>
    </row>
    <row r="206" spans="1:16" ht="14.1" customHeight="1" x14ac:dyDescent="0.2">
      <c r="A206" s="17"/>
      <c r="B206" s="127" t="s">
        <v>174</v>
      </c>
      <c r="C206" s="128"/>
      <c r="D206" s="129"/>
      <c r="E206" s="20"/>
      <c r="F206" s="19"/>
      <c r="G206" s="19"/>
    </row>
    <row r="207" spans="1:16" ht="29.1" customHeight="1" x14ac:dyDescent="0.2">
      <c r="A207" s="17"/>
      <c r="B207" s="121" t="s">
        <v>175</v>
      </c>
      <c r="C207" s="122"/>
      <c r="D207" s="58" t="s">
        <v>1092</v>
      </c>
      <c r="E207" s="20"/>
      <c r="F207" s="19"/>
      <c r="G207" s="19"/>
    </row>
    <row r="208" spans="1:16" ht="17.100000000000001" customHeight="1" x14ac:dyDescent="0.2">
      <c r="A208" s="17"/>
      <c r="B208" s="123" t="s">
        <v>953</v>
      </c>
      <c r="C208" s="124"/>
      <c r="D208" s="40" t="s">
        <v>955</v>
      </c>
      <c r="E208" s="20"/>
      <c r="F208" s="19"/>
      <c r="G208" s="19"/>
    </row>
    <row r="209" spans="1:7" ht="17.100000000000001" customHeight="1" x14ac:dyDescent="0.2">
      <c r="A209" s="17"/>
      <c r="B209" s="121" t="s">
        <v>178</v>
      </c>
      <c r="C209" s="122"/>
      <c r="D209" s="12" t="s">
        <v>146</v>
      </c>
      <c r="E209" s="20"/>
      <c r="F209" s="19"/>
      <c r="G209" s="19"/>
    </row>
    <row r="210" spans="1:7" ht="24" customHeight="1" x14ac:dyDescent="0.2">
      <c r="A210" s="21"/>
      <c r="B210" s="22" t="s">
        <v>146</v>
      </c>
      <c r="C210" s="22" t="s">
        <v>179</v>
      </c>
      <c r="D210" s="22" t="s">
        <v>180</v>
      </c>
      <c r="E210" s="21"/>
      <c r="F210" s="21"/>
      <c r="G210" s="21"/>
    </row>
    <row r="211" spans="1:7" ht="18" customHeight="1" x14ac:dyDescent="0.2">
      <c r="A211" s="21"/>
      <c r="B211" s="23" t="s">
        <v>181</v>
      </c>
      <c r="C211" s="22" t="s">
        <v>182</v>
      </c>
      <c r="D211" s="22" t="s">
        <v>183</v>
      </c>
      <c r="E211" s="21"/>
      <c r="F211" s="21"/>
      <c r="G211" s="21"/>
    </row>
    <row r="212" spans="1:7" ht="17.100000000000001" customHeight="1" x14ac:dyDescent="0.2">
      <c r="A212" s="21"/>
      <c r="B212" s="4" t="s">
        <v>184</v>
      </c>
      <c r="C212" s="24">
        <v>140.6747</v>
      </c>
      <c r="D212" s="24">
        <v>138.12020000000001</v>
      </c>
      <c r="E212" s="21"/>
      <c r="F212" s="18"/>
      <c r="G212" s="25"/>
    </row>
    <row r="213" spans="1:7" ht="29.1" customHeight="1" x14ac:dyDescent="0.2">
      <c r="A213" s="21"/>
      <c r="B213" s="4" t="s">
        <v>1044</v>
      </c>
      <c r="C213" s="24">
        <v>39.1068</v>
      </c>
      <c r="D213" s="24">
        <v>38.054400000000001</v>
      </c>
      <c r="E213" s="21"/>
      <c r="F213" s="18"/>
      <c r="G213" s="25"/>
    </row>
    <row r="214" spans="1:7" ht="17.100000000000001" customHeight="1" x14ac:dyDescent="0.2">
      <c r="A214" s="21"/>
      <c r="B214" s="4" t="s">
        <v>185</v>
      </c>
      <c r="C214" s="24">
        <v>125.23950000000001</v>
      </c>
      <c r="D214" s="24">
        <v>122.8439</v>
      </c>
      <c r="E214" s="21"/>
      <c r="F214" s="18"/>
      <c r="G214" s="25"/>
    </row>
    <row r="215" spans="1:7" ht="29.1" customHeight="1" x14ac:dyDescent="0.2">
      <c r="A215" s="21"/>
      <c r="B215" s="4" t="s">
        <v>1046</v>
      </c>
      <c r="C215" s="24">
        <v>26.311399999999999</v>
      </c>
      <c r="D215" s="24">
        <v>25.563700000000001</v>
      </c>
      <c r="E215" s="21"/>
      <c r="F215" s="18"/>
      <c r="G215" s="25"/>
    </row>
    <row r="216" spans="1:7" ht="14.1" customHeight="1" x14ac:dyDescent="0.2">
      <c r="A216" s="21"/>
      <c r="B216" s="21"/>
      <c r="C216" s="21"/>
      <c r="D216" s="21"/>
      <c r="E216" s="21"/>
      <c r="F216" s="21"/>
      <c r="G216" s="21"/>
    </row>
    <row r="217" spans="1:7" ht="17.100000000000001" customHeight="1" x14ac:dyDescent="0.2">
      <c r="A217" s="21"/>
      <c r="B217" s="121" t="s">
        <v>1041</v>
      </c>
      <c r="C217" s="122"/>
      <c r="D217" s="2" t="s">
        <v>146</v>
      </c>
      <c r="E217" s="21"/>
      <c r="F217" s="21"/>
      <c r="G217" s="21"/>
    </row>
    <row r="218" spans="1:7" ht="18" customHeight="1" x14ac:dyDescent="0.2">
      <c r="A218" s="21"/>
      <c r="B218" s="28" t="s">
        <v>181</v>
      </c>
      <c r="C218" s="29" t="s">
        <v>316</v>
      </c>
      <c r="D218" s="29" t="s">
        <v>317</v>
      </c>
      <c r="E218" s="21"/>
      <c r="F218" s="21"/>
      <c r="G218" s="21"/>
    </row>
    <row r="219" spans="1:7" ht="29.1" customHeight="1" x14ac:dyDescent="0.2">
      <c r="A219" s="21"/>
      <c r="B219" s="4" t="s">
        <v>1044</v>
      </c>
      <c r="C219" s="30">
        <v>0.35</v>
      </c>
      <c r="D219" s="30">
        <v>0.35</v>
      </c>
      <c r="E219" s="21"/>
      <c r="F219" s="18"/>
      <c r="G219" s="25"/>
    </row>
    <row r="220" spans="1:7" ht="29.1" customHeight="1" x14ac:dyDescent="0.2">
      <c r="A220" s="21"/>
      <c r="B220" s="4" t="s">
        <v>1046</v>
      </c>
      <c r="C220" s="30">
        <v>0.25</v>
      </c>
      <c r="D220" s="30">
        <v>0.25</v>
      </c>
      <c r="E220" s="21"/>
      <c r="F220" s="18"/>
      <c r="G220" s="25"/>
    </row>
    <row r="221" spans="1:7" ht="14.1" customHeight="1" x14ac:dyDescent="0.2">
      <c r="A221" s="21"/>
      <c r="B221" s="18"/>
      <c r="C221" s="18"/>
      <c r="D221" s="21"/>
      <c r="E221" s="21"/>
      <c r="F221" s="21"/>
      <c r="G221" s="21"/>
    </row>
    <row r="222" spans="1:7" ht="29.1" customHeight="1" x14ac:dyDescent="0.2">
      <c r="A222" s="21"/>
      <c r="B222" s="121" t="s">
        <v>186</v>
      </c>
      <c r="C222" s="122"/>
      <c r="D222" s="2" t="s">
        <v>176</v>
      </c>
      <c r="E222" s="27"/>
      <c r="F222" s="21"/>
      <c r="G222" s="21"/>
    </row>
    <row r="223" spans="1:7" ht="29.1" customHeight="1" x14ac:dyDescent="0.2">
      <c r="A223" s="21"/>
      <c r="B223" s="121" t="s">
        <v>187</v>
      </c>
      <c r="C223" s="122"/>
      <c r="D223" s="2" t="s">
        <v>176</v>
      </c>
      <c r="E223" s="27"/>
      <c r="F223" s="21"/>
      <c r="G223" s="21"/>
    </row>
    <row r="224" spans="1:7" ht="17.100000000000001" customHeight="1" x14ac:dyDescent="0.2">
      <c r="A224" s="21"/>
      <c r="B224" s="121" t="s">
        <v>188</v>
      </c>
      <c r="C224" s="122"/>
      <c r="D224" s="2" t="s">
        <v>176</v>
      </c>
      <c r="E224" s="27"/>
      <c r="F224" s="21"/>
      <c r="G224" s="21"/>
    </row>
    <row r="225" spans="1:7" ht="17.100000000000001" customHeight="1" x14ac:dyDescent="0.2">
      <c r="A225" s="21"/>
      <c r="B225" s="121" t="s">
        <v>189</v>
      </c>
      <c r="C225" s="122"/>
      <c r="D225" s="50">
        <v>0.66806986628074982</v>
      </c>
      <c r="E225" s="21"/>
      <c r="F225" s="18"/>
      <c r="G225" s="25"/>
    </row>
    <row r="227" spans="1:7" x14ac:dyDescent="0.2">
      <c r="B227" s="59" t="s">
        <v>1036</v>
      </c>
      <c r="C227" s="60"/>
      <c r="D227" s="60"/>
      <c r="E227" s="60"/>
      <c r="F227" s="60"/>
      <c r="G227" s="60"/>
    </row>
    <row r="228" spans="1:7" ht="38.25" x14ac:dyDescent="0.2">
      <c r="B228" s="61" t="s">
        <v>1004</v>
      </c>
      <c r="C228" s="61" t="s">
        <v>1005</v>
      </c>
      <c r="D228" s="61" t="s">
        <v>1006</v>
      </c>
      <c r="E228" s="61" t="s">
        <v>1007</v>
      </c>
      <c r="F228" s="61" t="s">
        <v>1008</v>
      </c>
      <c r="G228" s="60"/>
    </row>
    <row r="229" spans="1:7" ht="25.5" x14ac:dyDescent="0.2">
      <c r="B229" s="62" t="s">
        <v>1009</v>
      </c>
      <c r="C229" s="63" t="s">
        <v>1010</v>
      </c>
      <c r="D229" s="64">
        <v>0</v>
      </c>
      <c r="E229" s="65">
        <v>0</v>
      </c>
      <c r="F229" s="66">
        <v>1000</v>
      </c>
      <c r="G229" s="60"/>
    </row>
    <row r="230" spans="1:7" x14ac:dyDescent="0.2">
      <c r="B230" s="59"/>
      <c r="C230" s="60"/>
      <c r="D230" s="60"/>
      <c r="E230" s="60"/>
      <c r="F230" s="60"/>
      <c r="G230" s="60"/>
    </row>
    <row r="231" spans="1:7" x14ac:dyDescent="0.2">
      <c r="B231" s="67" t="s">
        <v>1011</v>
      </c>
      <c r="C231" s="67" t="s">
        <v>1012</v>
      </c>
      <c r="D231" s="144" t="s">
        <v>1013</v>
      </c>
      <c r="E231" s="145"/>
      <c r="F231" s="134" t="s">
        <v>1014</v>
      </c>
      <c r="G231" s="134"/>
    </row>
    <row r="232" spans="1:7" ht="25.5" x14ac:dyDescent="0.2">
      <c r="B232" s="68" t="s">
        <v>1015</v>
      </c>
      <c r="C232" s="69" t="s">
        <v>1016</v>
      </c>
      <c r="D232" s="146">
        <v>0</v>
      </c>
      <c r="E232" s="147"/>
      <c r="F232" s="146">
        <v>0</v>
      </c>
      <c r="G232" s="147"/>
    </row>
    <row r="233" spans="1:7" x14ac:dyDescent="0.2">
      <c r="B233" s="135" t="s">
        <v>1017</v>
      </c>
      <c r="C233" s="136"/>
      <c r="D233" s="136"/>
      <c r="E233" s="136"/>
      <c r="F233" s="136"/>
      <c r="G233" s="137"/>
    </row>
    <row r="234" spans="1:7" x14ac:dyDescent="0.2">
      <c r="B234" s="134" t="s">
        <v>1011</v>
      </c>
      <c r="C234" s="134" t="s">
        <v>1012</v>
      </c>
      <c r="D234" s="135" t="s">
        <v>1018</v>
      </c>
      <c r="E234" s="136"/>
      <c r="F234" s="137"/>
      <c r="G234" s="68"/>
    </row>
    <row r="235" spans="1:7" ht="38.25" x14ac:dyDescent="0.2">
      <c r="B235" s="134"/>
      <c r="C235" s="134"/>
      <c r="D235" s="70" t="s">
        <v>1019</v>
      </c>
      <c r="E235" s="70" t="s">
        <v>1020</v>
      </c>
      <c r="F235" s="70" t="s">
        <v>1021</v>
      </c>
      <c r="G235" s="70" t="s">
        <v>1031</v>
      </c>
    </row>
    <row r="236" spans="1:7" ht="25.5" x14ac:dyDescent="0.2">
      <c r="B236" s="71" t="s">
        <v>1015</v>
      </c>
      <c r="C236" s="69" t="s">
        <v>1016</v>
      </c>
      <c r="D236" s="72">
        <v>700</v>
      </c>
      <c r="E236" s="72">
        <v>24.098357999999998</v>
      </c>
      <c r="F236" s="73">
        <v>724.09835799999996</v>
      </c>
      <c r="G236" s="74">
        <v>1.9883522535468598E-3</v>
      </c>
    </row>
    <row r="237" spans="1:7" ht="24" customHeight="1" x14ac:dyDescent="0.2">
      <c r="B237" s="138" t="s">
        <v>1022</v>
      </c>
      <c r="C237" s="139"/>
      <c r="D237" s="139"/>
      <c r="E237" s="139"/>
      <c r="F237" s="139"/>
      <c r="G237" s="140"/>
    </row>
    <row r="239" spans="1:7" x14ac:dyDescent="0.2">
      <c r="B239" s="141" t="s">
        <v>1023</v>
      </c>
      <c r="C239" s="142"/>
      <c r="D239" s="143"/>
    </row>
    <row r="240" spans="1:7" ht="38.25" x14ac:dyDescent="0.2">
      <c r="B240" s="133" t="s">
        <v>1024</v>
      </c>
      <c r="C240" s="133"/>
      <c r="D240" s="75" t="s">
        <v>552</v>
      </c>
    </row>
    <row r="241" spans="2:4" x14ac:dyDescent="0.2">
      <c r="B241" s="133" t="s">
        <v>1025</v>
      </c>
      <c r="C241" s="133"/>
      <c r="D241" s="75"/>
    </row>
    <row r="242" spans="2:4" x14ac:dyDescent="0.2">
      <c r="B242" s="148"/>
      <c r="C242" s="149"/>
      <c r="D242" s="76"/>
    </row>
    <row r="243" spans="2:4" x14ac:dyDescent="0.2">
      <c r="B243" s="133" t="s">
        <v>1026</v>
      </c>
      <c r="C243" s="133"/>
      <c r="D243" s="114">
        <v>7.4212223605467127</v>
      </c>
    </row>
    <row r="244" spans="2:4" x14ac:dyDescent="0.2">
      <c r="B244" s="148"/>
      <c r="C244" s="149"/>
      <c r="D244" s="115"/>
    </row>
    <row r="245" spans="2:4" x14ac:dyDescent="0.2">
      <c r="B245" s="133" t="s">
        <v>1027</v>
      </c>
      <c r="C245" s="133"/>
      <c r="D245" s="114">
        <v>3.1354525857441815</v>
      </c>
    </row>
    <row r="246" spans="2:4" x14ac:dyDescent="0.2">
      <c r="B246" s="133" t="s">
        <v>1028</v>
      </c>
      <c r="C246" s="133"/>
      <c r="D246" s="114">
        <v>4.4509170563989926</v>
      </c>
    </row>
    <row r="247" spans="2:4" x14ac:dyDescent="0.2">
      <c r="B247" s="148"/>
      <c r="C247" s="149"/>
      <c r="D247" s="76"/>
    </row>
    <row r="248" spans="2:4" x14ac:dyDescent="0.2">
      <c r="B248" s="133" t="s">
        <v>1029</v>
      </c>
      <c r="C248" s="133"/>
      <c r="D248" s="77">
        <v>45230</v>
      </c>
    </row>
    <row r="249" spans="2:4" x14ac:dyDescent="0.2">
      <c r="B249" s="148" t="s">
        <v>1030</v>
      </c>
      <c r="C249" s="150"/>
      <c r="D249" s="149"/>
    </row>
  </sheetData>
  <mergeCells count="37">
    <mergeCell ref="K2:O2"/>
    <mergeCell ref="B201:F201"/>
    <mergeCell ref="B202:F202"/>
    <mergeCell ref="B224:C224"/>
    <mergeCell ref="B207:C207"/>
    <mergeCell ref="B204:F204"/>
    <mergeCell ref="B203:F203"/>
    <mergeCell ref="B206:D206"/>
    <mergeCell ref="B208:C208"/>
    <mergeCell ref="B209:C209"/>
    <mergeCell ref="B217:C217"/>
    <mergeCell ref="B222:C222"/>
    <mergeCell ref="B223:C223"/>
    <mergeCell ref="B247:C247"/>
    <mergeCell ref="B248:C248"/>
    <mergeCell ref="B249:D249"/>
    <mergeCell ref="B240:C240"/>
    <mergeCell ref="B241:C241"/>
    <mergeCell ref="B242:C242"/>
    <mergeCell ref="B243:C243"/>
    <mergeCell ref="B244:C244"/>
    <mergeCell ref="A1:I1"/>
    <mergeCell ref="A2:I2"/>
    <mergeCell ref="A3:I3"/>
    <mergeCell ref="B245:C245"/>
    <mergeCell ref="B246:C246"/>
    <mergeCell ref="B234:B235"/>
    <mergeCell ref="C234:C235"/>
    <mergeCell ref="D234:F234"/>
    <mergeCell ref="B237:G237"/>
    <mergeCell ref="B239:D239"/>
    <mergeCell ref="D231:E231"/>
    <mergeCell ref="F231:G231"/>
    <mergeCell ref="D232:E232"/>
    <mergeCell ref="F232:G232"/>
    <mergeCell ref="B233:G233"/>
    <mergeCell ref="B225:C225"/>
  </mergeCells>
  <hyperlinks>
    <hyperlink ref="J1" location="Index!B15" display="Index" xr:uid="{569E16EE-7D69-4E4A-A736-2DC2B54C5A06}"/>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N159"/>
  <sheetViews>
    <sheetView showGridLines="0" workbookViewId="0">
      <selection sqref="A1:H1"/>
    </sheetView>
  </sheetViews>
  <sheetFormatPr defaultRowHeight="12.75" x14ac:dyDescent="0.2"/>
  <cols>
    <col min="1" max="1" width="6.85546875" customWidth="1"/>
    <col min="2" max="2" width="20.5703125" customWidth="1"/>
    <col min="3" max="3" width="35.7109375" customWidth="1"/>
    <col min="4" max="4" width="17.85546875" customWidth="1"/>
    <col min="5" max="6" width="19.140625" customWidth="1"/>
    <col min="7" max="7" width="16.42578125" customWidth="1"/>
  </cols>
  <sheetData>
    <row r="1" spans="1:14" ht="18" customHeight="1" x14ac:dyDescent="0.2">
      <c r="A1" s="116" t="s">
        <v>0</v>
      </c>
      <c r="B1" s="116"/>
      <c r="C1" s="116"/>
      <c r="D1" s="116"/>
      <c r="E1" s="116"/>
      <c r="F1" s="116"/>
      <c r="G1" s="116"/>
      <c r="H1" s="116"/>
      <c r="I1" s="98" t="s">
        <v>1053</v>
      </c>
    </row>
    <row r="2" spans="1:14" ht="17.100000000000001" customHeight="1" x14ac:dyDescent="0.2">
      <c r="A2" s="117" t="s">
        <v>670</v>
      </c>
      <c r="B2" s="118"/>
      <c r="C2" s="118"/>
      <c r="D2" s="118"/>
      <c r="E2" s="118"/>
      <c r="F2" s="118"/>
      <c r="G2" s="118"/>
      <c r="H2" s="119"/>
      <c r="J2" s="120" t="s">
        <v>1054</v>
      </c>
      <c r="K2" s="120"/>
      <c r="L2" s="120"/>
      <c r="M2" s="120"/>
      <c r="N2" s="120"/>
    </row>
    <row r="3" spans="1:14" ht="21" customHeight="1" x14ac:dyDescent="0.2">
      <c r="A3" s="116" t="s">
        <v>1049</v>
      </c>
      <c r="B3" s="116"/>
      <c r="C3" s="116"/>
      <c r="D3" s="116"/>
      <c r="E3" s="116"/>
      <c r="F3" s="116"/>
      <c r="G3" s="116"/>
      <c r="H3" s="116"/>
    </row>
    <row r="4" spans="1:14" ht="30" x14ac:dyDescent="0.2">
      <c r="A4" s="96" t="s">
        <v>2</v>
      </c>
      <c r="B4" s="96" t="s">
        <v>3</v>
      </c>
      <c r="C4" s="96" t="s">
        <v>4</v>
      </c>
      <c r="D4" s="96" t="s">
        <v>5</v>
      </c>
      <c r="E4" s="96" t="s">
        <v>6</v>
      </c>
      <c r="F4" s="96" t="s">
        <v>7</v>
      </c>
      <c r="G4" s="96" t="s">
        <v>8</v>
      </c>
      <c r="H4" s="51" t="s">
        <v>1002</v>
      </c>
      <c r="I4" s="99"/>
      <c r="J4" s="99"/>
      <c r="K4" s="99"/>
      <c r="L4" s="99"/>
      <c r="M4" s="99"/>
      <c r="N4" s="99"/>
    </row>
    <row r="5" spans="1:14" ht="14.1" customHeight="1" x14ac:dyDescent="0.2">
      <c r="A5" s="1"/>
      <c r="B5" s="1"/>
      <c r="C5" s="2" t="s">
        <v>9</v>
      </c>
      <c r="D5" s="1"/>
      <c r="E5" s="1"/>
      <c r="F5" s="1"/>
      <c r="G5" s="1"/>
      <c r="H5" s="52"/>
    </row>
    <row r="6" spans="1:14" ht="24" customHeight="1" x14ac:dyDescent="0.2">
      <c r="A6" s="1"/>
      <c r="B6" s="1"/>
      <c r="C6" s="2" t="s">
        <v>10</v>
      </c>
      <c r="D6" s="1"/>
      <c r="E6" s="1"/>
      <c r="F6" s="1"/>
      <c r="G6" s="1"/>
      <c r="H6" s="52"/>
    </row>
    <row r="7" spans="1:14" ht="17.100000000000001" customHeight="1" x14ac:dyDescent="0.2">
      <c r="A7" s="3">
        <v>1</v>
      </c>
      <c r="B7" s="4" t="s">
        <v>257</v>
      </c>
      <c r="C7" s="4" t="s">
        <v>258</v>
      </c>
      <c r="D7" s="4" t="s">
        <v>259</v>
      </c>
      <c r="E7" s="5">
        <v>321000</v>
      </c>
      <c r="F7" s="6">
        <v>832.03200000000004</v>
      </c>
      <c r="G7" s="7">
        <v>8.1516870000000005E-2</v>
      </c>
      <c r="H7" s="52"/>
    </row>
    <row r="8" spans="1:14" ht="17.100000000000001" customHeight="1" x14ac:dyDescent="0.2">
      <c r="A8" s="3">
        <v>2</v>
      </c>
      <c r="B8" s="4" t="s">
        <v>319</v>
      </c>
      <c r="C8" s="4" t="s">
        <v>320</v>
      </c>
      <c r="D8" s="4" t="s">
        <v>28</v>
      </c>
      <c r="E8" s="5">
        <v>51150</v>
      </c>
      <c r="F8" s="6">
        <v>755.22974999999997</v>
      </c>
      <c r="G8" s="7">
        <v>7.3992299999999997E-2</v>
      </c>
      <c r="H8" s="52"/>
    </row>
    <row r="9" spans="1:14" ht="17.100000000000001" customHeight="1" x14ac:dyDescent="0.2">
      <c r="A9" s="3">
        <v>3</v>
      </c>
      <c r="B9" s="4" t="s">
        <v>26</v>
      </c>
      <c r="C9" s="4" t="s">
        <v>27</v>
      </c>
      <c r="D9" s="4" t="s">
        <v>28</v>
      </c>
      <c r="E9" s="5">
        <v>77700</v>
      </c>
      <c r="F9" s="6">
        <v>711.22694999999999</v>
      </c>
      <c r="G9" s="7">
        <v>6.9681199999999999E-2</v>
      </c>
      <c r="H9" s="52"/>
    </row>
    <row r="10" spans="1:14" ht="17.100000000000001" customHeight="1" x14ac:dyDescent="0.2">
      <c r="A10" s="3">
        <v>4</v>
      </c>
      <c r="B10" s="4" t="s">
        <v>14</v>
      </c>
      <c r="C10" s="4" t="s">
        <v>15</v>
      </c>
      <c r="D10" s="4" t="s">
        <v>16</v>
      </c>
      <c r="E10" s="5">
        <v>31000</v>
      </c>
      <c r="F10" s="6">
        <v>709.24900000000002</v>
      </c>
      <c r="G10" s="7">
        <v>6.9487419999999994E-2</v>
      </c>
      <c r="H10" s="52"/>
    </row>
    <row r="11" spans="1:14" ht="17.100000000000001" customHeight="1" x14ac:dyDescent="0.2">
      <c r="A11" s="3">
        <v>5</v>
      </c>
      <c r="B11" s="4" t="s">
        <v>671</v>
      </c>
      <c r="C11" s="4" t="s">
        <v>672</v>
      </c>
      <c r="D11" s="4" t="s">
        <v>19</v>
      </c>
      <c r="E11" s="5">
        <v>329800</v>
      </c>
      <c r="F11" s="6">
        <v>568.5752</v>
      </c>
      <c r="G11" s="7">
        <v>5.5705150000000002E-2</v>
      </c>
      <c r="H11" s="52"/>
    </row>
    <row r="12" spans="1:14" ht="17.100000000000001" customHeight="1" x14ac:dyDescent="0.2">
      <c r="A12" s="3">
        <v>6</v>
      </c>
      <c r="B12" s="4" t="s">
        <v>100</v>
      </c>
      <c r="C12" s="4" t="s">
        <v>101</v>
      </c>
      <c r="D12" s="4" t="s">
        <v>102</v>
      </c>
      <c r="E12" s="5">
        <v>5100</v>
      </c>
      <c r="F12" s="6">
        <v>530.00729999999999</v>
      </c>
      <c r="G12" s="7">
        <v>5.1926529999999999E-2</v>
      </c>
      <c r="H12" s="52"/>
      <c r="J12" s="101"/>
    </row>
    <row r="13" spans="1:14" ht="17.100000000000001" customHeight="1" x14ac:dyDescent="0.2">
      <c r="A13" s="3">
        <v>7</v>
      </c>
      <c r="B13" s="4" t="s">
        <v>673</v>
      </c>
      <c r="C13" s="4" t="s">
        <v>674</v>
      </c>
      <c r="D13" s="4" t="s">
        <v>93</v>
      </c>
      <c r="E13" s="5">
        <v>85800</v>
      </c>
      <c r="F13" s="6">
        <v>483.483</v>
      </c>
      <c r="G13" s="7">
        <v>4.7368390000000003E-2</v>
      </c>
      <c r="H13" s="52"/>
    </row>
    <row r="14" spans="1:14" ht="29.1" customHeight="1" x14ac:dyDescent="0.2">
      <c r="A14" s="3">
        <v>8</v>
      </c>
      <c r="B14" s="4" t="s">
        <v>675</v>
      </c>
      <c r="C14" s="4" t="s">
        <v>676</v>
      </c>
      <c r="D14" s="4" t="s">
        <v>25</v>
      </c>
      <c r="E14" s="5">
        <v>108000</v>
      </c>
      <c r="F14" s="6">
        <v>458.40600000000001</v>
      </c>
      <c r="G14" s="7">
        <v>4.4911520000000003E-2</v>
      </c>
      <c r="H14" s="52"/>
      <c r="J14" s="101" t="s">
        <v>1071</v>
      </c>
    </row>
    <row r="15" spans="1:14" ht="17.100000000000001" customHeight="1" x14ac:dyDescent="0.2">
      <c r="A15" s="3">
        <v>9</v>
      </c>
      <c r="B15" s="4" t="s">
        <v>677</v>
      </c>
      <c r="C15" s="4" t="s">
        <v>678</v>
      </c>
      <c r="D15" s="4" t="s">
        <v>70</v>
      </c>
      <c r="E15" s="5">
        <v>252000</v>
      </c>
      <c r="F15" s="6">
        <v>346.37400000000002</v>
      </c>
      <c r="G15" s="7">
        <v>3.3935380000000001E-2</v>
      </c>
      <c r="H15" s="52"/>
    </row>
    <row r="16" spans="1:14" ht="17.100000000000001" customHeight="1" x14ac:dyDescent="0.2">
      <c r="A16" s="3">
        <v>10</v>
      </c>
      <c r="B16" s="4" t="s">
        <v>679</v>
      </c>
      <c r="C16" s="4" t="s">
        <v>680</v>
      </c>
      <c r="D16" s="4" t="s">
        <v>288</v>
      </c>
      <c r="E16" s="5">
        <v>53750</v>
      </c>
      <c r="F16" s="6">
        <v>284.28375</v>
      </c>
      <c r="G16" s="7">
        <v>2.7852200000000001E-2</v>
      </c>
      <c r="H16" s="52"/>
    </row>
    <row r="17" spans="1:8" ht="17.100000000000001" customHeight="1" x14ac:dyDescent="0.2">
      <c r="A17" s="3">
        <v>11</v>
      </c>
      <c r="B17" s="4" t="s">
        <v>349</v>
      </c>
      <c r="C17" s="4" t="s">
        <v>350</v>
      </c>
      <c r="D17" s="4" t="s">
        <v>70</v>
      </c>
      <c r="E17" s="5">
        <v>3750</v>
      </c>
      <c r="F17" s="6">
        <v>280.97437500000001</v>
      </c>
      <c r="G17" s="7">
        <v>2.7527969999999999E-2</v>
      </c>
      <c r="H17" s="52"/>
    </row>
    <row r="18" spans="1:8" ht="29.1" customHeight="1" x14ac:dyDescent="0.2">
      <c r="A18" s="3">
        <v>12</v>
      </c>
      <c r="B18" s="4" t="s">
        <v>681</v>
      </c>
      <c r="C18" s="4" t="s">
        <v>682</v>
      </c>
      <c r="D18" s="4" t="s">
        <v>25</v>
      </c>
      <c r="E18" s="5">
        <v>12000</v>
      </c>
      <c r="F18" s="6">
        <v>226.584</v>
      </c>
      <c r="G18" s="7">
        <v>2.2199170000000001E-2</v>
      </c>
      <c r="H18" s="52"/>
    </row>
    <row r="19" spans="1:8" ht="17.100000000000001" customHeight="1" x14ac:dyDescent="0.2">
      <c r="A19" s="3">
        <v>13</v>
      </c>
      <c r="B19" s="4" t="s">
        <v>683</v>
      </c>
      <c r="C19" s="4" t="s">
        <v>684</v>
      </c>
      <c r="D19" s="4" t="s">
        <v>19</v>
      </c>
      <c r="E19" s="5">
        <v>7500</v>
      </c>
      <c r="F19" s="6">
        <v>124.74375000000001</v>
      </c>
      <c r="G19" s="7">
        <v>1.2221549999999999E-2</v>
      </c>
      <c r="H19" s="52"/>
    </row>
    <row r="20" spans="1:8" ht="29.1" customHeight="1" x14ac:dyDescent="0.2">
      <c r="A20" s="3">
        <v>14</v>
      </c>
      <c r="B20" s="4" t="s">
        <v>472</v>
      </c>
      <c r="C20" s="4" t="s">
        <v>473</v>
      </c>
      <c r="D20" s="4" t="s">
        <v>474</v>
      </c>
      <c r="E20" s="5">
        <v>9000</v>
      </c>
      <c r="F20" s="6">
        <v>81.045000000000002</v>
      </c>
      <c r="G20" s="7">
        <v>7.9402399999999995E-3</v>
      </c>
      <c r="H20" s="52"/>
    </row>
    <row r="21" spans="1:8" ht="17.100000000000001" customHeight="1" x14ac:dyDescent="0.2">
      <c r="A21" s="3">
        <v>15</v>
      </c>
      <c r="B21" s="4" t="s">
        <v>557</v>
      </c>
      <c r="C21" s="4" t="s">
        <v>558</v>
      </c>
      <c r="D21" s="4" t="s">
        <v>102</v>
      </c>
      <c r="E21" s="5">
        <v>2275</v>
      </c>
      <c r="F21" s="6">
        <v>74.973762500000007</v>
      </c>
      <c r="G21" s="7">
        <v>7.3454200000000001E-3</v>
      </c>
      <c r="H21" s="52"/>
    </row>
    <row r="22" spans="1:8" ht="17.100000000000001" customHeight="1" x14ac:dyDescent="0.2">
      <c r="A22" s="3">
        <v>16</v>
      </c>
      <c r="B22" s="4" t="s">
        <v>470</v>
      </c>
      <c r="C22" s="4" t="s">
        <v>471</v>
      </c>
      <c r="D22" s="4" t="s">
        <v>28</v>
      </c>
      <c r="E22" s="5">
        <v>3600</v>
      </c>
      <c r="F22" s="6">
        <v>62.618400000000001</v>
      </c>
      <c r="G22" s="7">
        <v>6.1349300000000002E-3</v>
      </c>
      <c r="H22" s="52"/>
    </row>
    <row r="23" spans="1:8" ht="29.1" customHeight="1" x14ac:dyDescent="0.2">
      <c r="A23" s="3">
        <v>17</v>
      </c>
      <c r="B23" s="4" t="s">
        <v>232</v>
      </c>
      <c r="C23" s="4" t="s">
        <v>233</v>
      </c>
      <c r="D23" s="4" t="s">
        <v>226</v>
      </c>
      <c r="E23" s="5">
        <v>10800</v>
      </c>
      <c r="F23" s="6">
        <v>61.943399999999997</v>
      </c>
      <c r="G23" s="7">
        <v>6.0688000000000001E-3</v>
      </c>
      <c r="H23" s="52"/>
    </row>
    <row r="24" spans="1:8" ht="29.1" customHeight="1" x14ac:dyDescent="0.2">
      <c r="A24" s="3">
        <v>18</v>
      </c>
      <c r="B24" s="4" t="s">
        <v>685</v>
      </c>
      <c r="C24" s="4" t="s">
        <v>686</v>
      </c>
      <c r="D24" s="4" t="s">
        <v>211</v>
      </c>
      <c r="E24" s="5">
        <v>10400</v>
      </c>
      <c r="F24" s="6">
        <v>56.212000000000003</v>
      </c>
      <c r="G24" s="7">
        <v>5.5072699999999999E-3</v>
      </c>
      <c r="H24" s="52"/>
    </row>
    <row r="25" spans="1:8" ht="17.100000000000001" customHeight="1" x14ac:dyDescent="0.2">
      <c r="A25" s="3">
        <v>19</v>
      </c>
      <c r="B25" s="4" t="s">
        <v>342</v>
      </c>
      <c r="C25" s="4" t="s">
        <v>343</v>
      </c>
      <c r="D25" s="4" t="s">
        <v>344</v>
      </c>
      <c r="E25" s="5">
        <v>9600</v>
      </c>
      <c r="F25" s="6">
        <v>41.126399999999997</v>
      </c>
      <c r="G25" s="7">
        <v>4.0292899999999996E-3</v>
      </c>
      <c r="H25" s="52"/>
    </row>
    <row r="26" spans="1:8" ht="17.100000000000001" customHeight="1" x14ac:dyDescent="0.2">
      <c r="A26" s="3">
        <v>20</v>
      </c>
      <c r="B26" s="4" t="s">
        <v>94</v>
      </c>
      <c r="C26" s="4" t="s">
        <v>95</v>
      </c>
      <c r="D26" s="4" t="s">
        <v>43</v>
      </c>
      <c r="E26" s="5">
        <v>1100</v>
      </c>
      <c r="F26" s="6">
        <v>36.640450000000001</v>
      </c>
      <c r="G26" s="7">
        <v>3.5897799999999999E-3</v>
      </c>
      <c r="H26" s="52"/>
    </row>
    <row r="27" spans="1:8" ht="17.100000000000001" customHeight="1" x14ac:dyDescent="0.2">
      <c r="A27" s="3">
        <v>21</v>
      </c>
      <c r="B27" s="4" t="s">
        <v>325</v>
      </c>
      <c r="C27" s="4" t="s">
        <v>326</v>
      </c>
      <c r="D27" s="4" t="s">
        <v>888</v>
      </c>
      <c r="E27" s="5">
        <v>875</v>
      </c>
      <c r="F27" s="6">
        <v>29.4765625</v>
      </c>
      <c r="G27" s="7">
        <v>2.88791E-3</v>
      </c>
      <c r="H27" s="52"/>
    </row>
    <row r="28" spans="1:8" ht="17.100000000000001" customHeight="1" x14ac:dyDescent="0.2">
      <c r="A28" s="3">
        <v>22</v>
      </c>
      <c r="B28" s="4" t="s">
        <v>74</v>
      </c>
      <c r="C28" s="4" t="s">
        <v>75</v>
      </c>
      <c r="D28" s="4" t="s">
        <v>76</v>
      </c>
      <c r="E28" s="5">
        <v>18300</v>
      </c>
      <c r="F28" s="6">
        <v>21.868500000000001</v>
      </c>
      <c r="G28" s="7">
        <v>2.1425300000000001E-3</v>
      </c>
      <c r="H28" s="52"/>
    </row>
    <row r="29" spans="1:8" ht="14.1" customHeight="1" x14ac:dyDescent="0.2">
      <c r="A29" s="1"/>
      <c r="B29" s="1"/>
      <c r="C29" s="2" t="s">
        <v>145</v>
      </c>
      <c r="D29" s="1"/>
      <c r="E29" s="1" t="s">
        <v>146</v>
      </c>
      <c r="F29" s="9">
        <v>6777.0735500000001</v>
      </c>
      <c r="G29" s="10">
        <v>0.66397181999999999</v>
      </c>
      <c r="H29" s="52"/>
    </row>
    <row r="30" spans="1:8" ht="14.1" customHeight="1" x14ac:dyDescent="0.2">
      <c r="A30" s="1"/>
      <c r="B30" s="1"/>
      <c r="C30" s="11"/>
      <c r="D30" s="1"/>
      <c r="E30" s="1"/>
      <c r="F30" s="12"/>
      <c r="G30" s="12"/>
      <c r="H30" s="52"/>
    </row>
    <row r="31" spans="1:8" ht="14.1" customHeight="1" x14ac:dyDescent="0.2">
      <c r="A31" s="1"/>
      <c r="B31" s="1"/>
      <c r="C31" s="2" t="s">
        <v>147</v>
      </c>
      <c r="D31" s="1"/>
      <c r="E31" s="1"/>
      <c r="F31" s="1"/>
      <c r="G31" s="1"/>
      <c r="H31" s="52"/>
    </row>
    <row r="32" spans="1:8" ht="14.1" customHeight="1" x14ac:dyDescent="0.2">
      <c r="A32" s="1"/>
      <c r="B32" s="1"/>
      <c r="C32" s="2" t="s">
        <v>145</v>
      </c>
      <c r="D32" s="1"/>
      <c r="E32" s="1" t="s">
        <v>146</v>
      </c>
      <c r="F32" s="13" t="s">
        <v>148</v>
      </c>
      <c r="G32" s="10">
        <v>0</v>
      </c>
      <c r="H32" s="52"/>
    </row>
    <row r="33" spans="1:8" ht="14.1" customHeight="1" x14ac:dyDescent="0.2">
      <c r="A33" s="1"/>
      <c r="B33" s="1"/>
      <c r="C33" s="11"/>
      <c r="D33" s="1"/>
      <c r="E33" s="1"/>
      <c r="F33" s="12"/>
      <c r="G33" s="12"/>
      <c r="H33" s="52"/>
    </row>
    <row r="34" spans="1:8" ht="14.1" customHeight="1" x14ac:dyDescent="0.2">
      <c r="A34" s="1"/>
      <c r="B34" s="1"/>
      <c r="C34" s="2" t="s">
        <v>149</v>
      </c>
      <c r="D34" s="1"/>
      <c r="E34" s="1"/>
      <c r="F34" s="1"/>
      <c r="G34" s="1"/>
      <c r="H34" s="52"/>
    </row>
    <row r="35" spans="1:8" ht="14.1" customHeight="1" x14ac:dyDescent="0.2">
      <c r="A35" s="1"/>
      <c r="B35" s="1"/>
      <c r="C35" s="2" t="s">
        <v>145</v>
      </c>
      <c r="D35" s="1"/>
      <c r="E35" s="1" t="s">
        <v>146</v>
      </c>
      <c r="F35" s="13" t="s">
        <v>148</v>
      </c>
      <c r="G35" s="10">
        <v>0</v>
      </c>
      <c r="H35" s="52"/>
    </row>
    <row r="36" spans="1:8" ht="14.1" customHeight="1" x14ac:dyDescent="0.2">
      <c r="A36" s="1"/>
      <c r="B36" s="1"/>
      <c r="C36" s="11"/>
      <c r="D36" s="1"/>
      <c r="E36" s="1"/>
      <c r="F36" s="12"/>
      <c r="G36" s="12"/>
      <c r="H36" s="52"/>
    </row>
    <row r="37" spans="1:8" ht="14.1" customHeight="1" x14ac:dyDescent="0.2">
      <c r="A37" s="1"/>
      <c r="B37" s="1"/>
      <c r="C37" s="2" t="s">
        <v>150</v>
      </c>
      <c r="D37" s="1"/>
      <c r="E37" s="1"/>
      <c r="F37" s="1"/>
      <c r="G37" s="1"/>
      <c r="H37" s="52"/>
    </row>
    <row r="38" spans="1:8" ht="14.1" customHeight="1" x14ac:dyDescent="0.2">
      <c r="A38" s="1"/>
      <c r="B38" s="1"/>
      <c r="C38" s="2" t="s">
        <v>145</v>
      </c>
      <c r="D38" s="1"/>
      <c r="E38" s="1" t="s">
        <v>146</v>
      </c>
      <c r="F38" s="13" t="s">
        <v>148</v>
      </c>
      <c r="G38" s="10">
        <v>0</v>
      </c>
      <c r="H38" s="52"/>
    </row>
    <row r="39" spans="1:8" ht="14.1" customHeight="1" x14ac:dyDescent="0.2">
      <c r="A39" s="1"/>
      <c r="B39" s="1"/>
      <c r="C39" s="11"/>
      <c r="D39" s="1"/>
      <c r="E39" s="1"/>
      <c r="F39" s="12"/>
      <c r="G39" s="12"/>
      <c r="H39" s="52"/>
    </row>
    <row r="40" spans="1:8" ht="14.1" customHeight="1" x14ac:dyDescent="0.2">
      <c r="A40" s="1"/>
      <c r="B40" s="1"/>
      <c r="C40" s="2" t="s">
        <v>151</v>
      </c>
      <c r="D40" s="1"/>
      <c r="E40" s="1"/>
      <c r="F40" s="12"/>
      <c r="G40" s="12"/>
      <c r="H40" s="52"/>
    </row>
    <row r="41" spans="1:8" ht="14.1" customHeight="1" x14ac:dyDescent="0.2">
      <c r="A41" s="1"/>
      <c r="B41" s="1"/>
      <c r="C41" s="2" t="s">
        <v>145</v>
      </c>
      <c r="D41" s="1"/>
      <c r="E41" s="1" t="s">
        <v>146</v>
      </c>
      <c r="F41" s="13" t="s">
        <v>148</v>
      </c>
      <c r="G41" s="10">
        <v>0</v>
      </c>
      <c r="H41" s="52"/>
    </row>
    <row r="42" spans="1:8" ht="14.1" customHeight="1" x14ac:dyDescent="0.2">
      <c r="A42" s="1"/>
      <c r="B42" s="1"/>
      <c r="C42" s="11"/>
      <c r="D42" s="1"/>
      <c r="E42" s="1"/>
      <c r="F42" s="12"/>
      <c r="G42" s="12"/>
      <c r="H42" s="52"/>
    </row>
    <row r="43" spans="1:8" ht="14.1" customHeight="1" x14ac:dyDescent="0.2">
      <c r="A43" s="1"/>
      <c r="B43" s="1"/>
      <c r="C43" s="2" t="s">
        <v>152</v>
      </c>
      <c r="D43" s="1"/>
      <c r="E43" s="1"/>
      <c r="F43" s="12"/>
      <c r="G43" s="12"/>
      <c r="H43" s="52"/>
    </row>
    <row r="44" spans="1:8" ht="17.100000000000001" customHeight="1" x14ac:dyDescent="0.2">
      <c r="A44" s="3">
        <v>1</v>
      </c>
      <c r="B44" s="4"/>
      <c r="C44" s="4" t="s">
        <v>891</v>
      </c>
      <c r="D44" s="4" t="s">
        <v>314</v>
      </c>
      <c r="E44" s="5">
        <v>-18300</v>
      </c>
      <c r="F44" s="6">
        <v>-21.978300000000001</v>
      </c>
      <c r="G44" s="7">
        <v>-2.15329E-3</v>
      </c>
      <c r="H44" s="52"/>
    </row>
    <row r="45" spans="1:8" ht="25.5" x14ac:dyDescent="0.2">
      <c r="A45" s="3">
        <v>2</v>
      </c>
      <c r="B45" s="4"/>
      <c r="C45" s="4" t="s">
        <v>892</v>
      </c>
      <c r="D45" s="4" t="s">
        <v>314</v>
      </c>
      <c r="E45" s="5">
        <v>-875</v>
      </c>
      <c r="F45" s="6">
        <v>-29.6410625</v>
      </c>
      <c r="G45" s="7">
        <v>-2.9040300000000002E-3</v>
      </c>
      <c r="H45" s="52"/>
    </row>
    <row r="46" spans="1:8" ht="17.100000000000001" customHeight="1" x14ac:dyDescent="0.2">
      <c r="A46" s="3">
        <v>3</v>
      </c>
      <c r="B46" s="4"/>
      <c r="C46" s="4" t="s">
        <v>893</v>
      </c>
      <c r="D46" s="4" t="s">
        <v>314</v>
      </c>
      <c r="E46" s="5">
        <v>-1100</v>
      </c>
      <c r="F46" s="6">
        <v>-36.846699999999998</v>
      </c>
      <c r="G46" s="7">
        <v>-3.60999E-3</v>
      </c>
      <c r="H46" s="52"/>
    </row>
    <row r="47" spans="1:8" ht="17.100000000000001" customHeight="1" x14ac:dyDescent="0.2">
      <c r="A47" s="3">
        <v>4</v>
      </c>
      <c r="B47" s="4"/>
      <c r="C47" s="4" t="s">
        <v>894</v>
      </c>
      <c r="D47" s="4" t="s">
        <v>314</v>
      </c>
      <c r="E47" s="5">
        <v>-9600</v>
      </c>
      <c r="F47" s="6">
        <v>-41.385599999999997</v>
      </c>
      <c r="G47" s="7">
        <v>-4.0546799999999997E-3</v>
      </c>
      <c r="H47" s="52"/>
    </row>
    <row r="48" spans="1:8" ht="17.100000000000001" customHeight="1" x14ac:dyDescent="0.2">
      <c r="A48" s="3">
        <v>5</v>
      </c>
      <c r="B48" s="4"/>
      <c r="C48" s="4" t="s">
        <v>895</v>
      </c>
      <c r="D48" s="4" t="s">
        <v>314</v>
      </c>
      <c r="E48" s="5">
        <v>-10400</v>
      </c>
      <c r="F48" s="6">
        <v>-56.5396</v>
      </c>
      <c r="G48" s="7">
        <v>-5.5393700000000001E-3</v>
      </c>
      <c r="H48" s="52"/>
    </row>
    <row r="49" spans="1:8" ht="17.100000000000001" customHeight="1" x14ac:dyDescent="0.2">
      <c r="A49" s="3">
        <v>6</v>
      </c>
      <c r="B49" s="4"/>
      <c r="C49" s="4" t="s">
        <v>896</v>
      </c>
      <c r="D49" s="4" t="s">
        <v>314</v>
      </c>
      <c r="E49" s="5">
        <v>-10800</v>
      </c>
      <c r="F49" s="6">
        <v>-62.359200000000001</v>
      </c>
      <c r="G49" s="7">
        <v>-6.1095299999999993E-3</v>
      </c>
      <c r="H49" s="52"/>
    </row>
    <row r="50" spans="1:8" ht="25.5" x14ac:dyDescent="0.2">
      <c r="A50" s="3">
        <v>7</v>
      </c>
      <c r="B50" s="4"/>
      <c r="C50" s="4" t="s">
        <v>897</v>
      </c>
      <c r="D50" s="4" t="s">
        <v>314</v>
      </c>
      <c r="E50" s="5">
        <v>-3600</v>
      </c>
      <c r="F50" s="6">
        <v>-63.221400000000003</v>
      </c>
      <c r="G50" s="7">
        <v>-6.1939999999999999E-3</v>
      </c>
      <c r="H50" s="52"/>
    </row>
    <row r="51" spans="1:8" ht="17.100000000000001" customHeight="1" x14ac:dyDescent="0.2">
      <c r="A51" s="3">
        <v>8</v>
      </c>
      <c r="B51" s="4"/>
      <c r="C51" s="4" t="s">
        <v>898</v>
      </c>
      <c r="D51" s="4" t="s">
        <v>314</v>
      </c>
      <c r="E51" s="5">
        <v>-2275</v>
      </c>
      <c r="F51" s="6">
        <v>-75.2854375</v>
      </c>
      <c r="G51" s="7">
        <v>-7.37595E-3</v>
      </c>
      <c r="H51" s="52"/>
    </row>
    <row r="52" spans="1:8" ht="25.5" x14ac:dyDescent="0.2">
      <c r="A52" s="3">
        <v>9</v>
      </c>
      <c r="B52" s="4"/>
      <c r="C52" s="4" t="s">
        <v>899</v>
      </c>
      <c r="D52" s="4" t="s">
        <v>314</v>
      </c>
      <c r="E52" s="5">
        <v>-9000</v>
      </c>
      <c r="F52" s="6">
        <v>-81.584999999999994</v>
      </c>
      <c r="G52" s="7">
        <v>-7.9931499999999992E-3</v>
      </c>
      <c r="H52" s="52"/>
    </row>
    <row r="53" spans="1:8" ht="25.5" x14ac:dyDescent="0.2">
      <c r="A53" s="3">
        <v>10</v>
      </c>
      <c r="B53" s="4"/>
      <c r="C53" s="4" t="s">
        <v>900</v>
      </c>
      <c r="D53" s="4" t="s">
        <v>314</v>
      </c>
      <c r="E53" s="5">
        <v>-7500</v>
      </c>
      <c r="F53" s="6">
        <v>-125.24250000000001</v>
      </c>
      <c r="G53" s="7">
        <v>-1.2270410000000001E-2</v>
      </c>
      <c r="H53" s="52"/>
    </row>
    <row r="54" spans="1:8" ht="17.100000000000001" customHeight="1" x14ac:dyDescent="0.2">
      <c r="A54" s="3">
        <v>11</v>
      </c>
      <c r="B54" s="4"/>
      <c r="C54" s="4" t="s">
        <v>901</v>
      </c>
      <c r="D54" s="4" t="s">
        <v>314</v>
      </c>
      <c r="E54" s="5">
        <v>-32400</v>
      </c>
      <c r="F54" s="6">
        <v>-139.0284</v>
      </c>
      <c r="G54" s="7">
        <v>-1.3621060000000001E-2</v>
      </c>
      <c r="H54" s="52"/>
    </row>
    <row r="55" spans="1:8" ht="17.100000000000001" customHeight="1" x14ac:dyDescent="0.2">
      <c r="A55" s="3">
        <v>12</v>
      </c>
      <c r="B55" s="4"/>
      <c r="C55" s="4" t="s">
        <v>902</v>
      </c>
      <c r="D55" s="4" t="s">
        <v>314</v>
      </c>
      <c r="E55" s="5">
        <v>-10450</v>
      </c>
      <c r="F55" s="6">
        <v>-156.044625</v>
      </c>
      <c r="G55" s="7">
        <v>-1.528819E-2</v>
      </c>
      <c r="H55" s="52"/>
    </row>
    <row r="56" spans="1:8" ht="17.100000000000001" customHeight="1" x14ac:dyDescent="0.2">
      <c r="A56" s="3">
        <v>13</v>
      </c>
      <c r="B56" s="4"/>
      <c r="C56" s="4" t="s">
        <v>903</v>
      </c>
      <c r="D56" s="4" t="s">
        <v>314</v>
      </c>
      <c r="E56" s="5">
        <v>-12000</v>
      </c>
      <c r="F56" s="6">
        <v>-227.61</v>
      </c>
      <c r="G56" s="7">
        <v>-2.229969E-2</v>
      </c>
      <c r="H56" s="52"/>
    </row>
    <row r="57" spans="1:8" ht="17.100000000000001" customHeight="1" x14ac:dyDescent="0.2">
      <c r="A57" s="3">
        <v>14</v>
      </c>
      <c r="B57" s="4"/>
      <c r="C57" s="4" t="s">
        <v>904</v>
      </c>
      <c r="D57" s="4" t="s">
        <v>314</v>
      </c>
      <c r="E57" s="5">
        <v>-3750</v>
      </c>
      <c r="F57" s="6">
        <v>-281.88749999999999</v>
      </c>
      <c r="G57" s="7">
        <v>-2.7617430000000002E-2</v>
      </c>
      <c r="H57" s="52"/>
    </row>
    <row r="58" spans="1:8" ht="17.100000000000001" customHeight="1" x14ac:dyDescent="0.2">
      <c r="A58" s="3">
        <v>15</v>
      </c>
      <c r="B58" s="4"/>
      <c r="C58" s="4" t="s">
        <v>905</v>
      </c>
      <c r="D58" s="4" t="s">
        <v>314</v>
      </c>
      <c r="E58" s="5">
        <v>-53750</v>
      </c>
      <c r="F58" s="6">
        <v>-284.55250000000001</v>
      </c>
      <c r="G58" s="7">
        <v>-2.7878530000000002E-2</v>
      </c>
      <c r="H58" s="52"/>
    </row>
    <row r="59" spans="1:8" ht="17.100000000000001" customHeight="1" x14ac:dyDescent="0.2">
      <c r="A59" s="3">
        <v>16</v>
      </c>
      <c r="B59" s="4"/>
      <c r="C59" s="4" t="s">
        <v>906</v>
      </c>
      <c r="D59" s="4" t="s">
        <v>314</v>
      </c>
      <c r="E59" s="5">
        <v>-75600</v>
      </c>
      <c r="F59" s="6">
        <v>-322.6986</v>
      </c>
      <c r="G59" s="7">
        <v>-3.1615829999999998E-2</v>
      </c>
      <c r="H59" s="52"/>
    </row>
    <row r="60" spans="1:8" ht="25.5" x14ac:dyDescent="0.2">
      <c r="A60" s="3">
        <v>17</v>
      </c>
      <c r="B60" s="4"/>
      <c r="C60" s="4" t="s">
        <v>907</v>
      </c>
      <c r="D60" s="4" t="s">
        <v>314</v>
      </c>
      <c r="E60" s="5">
        <v>-252000</v>
      </c>
      <c r="F60" s="6">
        <v>-346.24799999999999</v>
      </c>
      <c r="G60" s="7">
        <v>-3.3923040000000002E-2</v>
      </c>
      <c r="H60" s="52"/>
    </row>
    <row r="61" spans="1:8" ht="17.100000000000001" customHeight="1" x14ac:dyDescent="0.2">
      <c r="A61" s="3">
        <v>18</v>
      </c>
      <c r="B61" s="4"/>
      <c r="C61" s="4" t="s">
        <v>908</v>
      </c>
      <c r="D61" s="4" t="s">
        <v>314</v>
      </c>
      <c r="E61" s="5">
        <v>-85800</v>
      </c>
      <c r="F61" s="6">
        <v>-486.52890000000002</v>
      </c>
      <c r="G61" s="7">
        <v>-4.7666810000000004E-2</v>
      </c>
      <c r="H61" s="52"/>
    </row>
    <row r="62" spans="1:8" ht="25.5" x14ac:dyDescent="0.2">
      <c r="A62" s="3">
        <v>19</v>
      </c>
      <c r="B62" s="4"/>
      <c r="C62" s="4" t="s">
        <v>909</v>
      </c>
      <c r="D62" s="4" t="s">
        <v>314</v>
      </c>
      <c r="E62" s="5">
        <v>-5100</v>
      </c>
      <c r="F62" s="6">
        <v>-532.49609999999996</v>
      </c>
      <c r="G62" s="7">
        <v>-5.2170359999999999E-2</v>
      </c>
      <c r="H62" s="52"/>
    </row>
    <row r="63" spans="1:8" ht="17.100000000000001" customHeight="1" x14ac:dyDescent="0.2">
      <c r="A63" s="3">
        <v>20</v>
      </c>
      <c r="B63" s="4"/>
      <c r="C63" s="4" t="s">
        <v>910</v>
      </c>
      <c r="D63" s="4" t="s">
        <v>314</v>
      </c>
      <c r="E63" s="5">
        <v>-329800</v>
      </c>
      <c r="F63" s="6">
        <v>-572.20299999999997</v>
      </c>
      <c r="G63" s="7">
        <v>-5.6060579999999999E-2</v>
      </c>
      <c r="H63" s="52"/>
    </row>
    <row r="64" spans="1:8" ht="22.5" customHeight="1" x14ac:dyDescent="0.2">
      <c r="A64" s="3">
        <v>21</v>
      </c>
      <c r="B64" s="4"/>
      <c r="C64" s="4" t="s">
        <v>911</v>
      </c>
      <c r="D64" s="4" t="s">
        <v>314</v>
      </c>
      <c r="E64" s="5">
        <v>-40700</v>
      </c>
      <c r="F64" s="6">
        <v>-604.25255000000004</v>
      </c>
      <c r="G64" s="7">
        <v>-5.9200580000000003E-2</v>
      </c>
      <c r="H64" s="52"/>
    </row>
    <row r="65" spans="1:8" ht="22.5" customHeight="1" x14ac:dyDescent="0.2">
      <c r="A65" s="3">
        <v>22</v>
      </c>
      <c r="B65" s="4"/>
      <c r="C65" s="4" t="s">
        <v>912</v>
      </c>
      <c r="D65" s="4" t="s">
        <v>314</v>
      </c>
      <c r="E65" s="5">
        <v>-31000</v>
      </c>
      <c r="F65" s="6">
        <v>-713.80600000000004</v>
      </c>
      <c r="G65" s="7">
        <v>-6.9933880000000004E-2</v>
      </c>
      <c r="H65" s="52"/>
    </row>
    <row r="66" spans="1:8" ht="17.100000000000001" customHeight="1" x14ac:dyDescent="0.2">
      <c r="A66" s="3">
        <v>23</v>
      </c>
      <c r="B66" s="4"/>
      <c r="C66" s="4" t="s">
        <v>913</v>
      </c>
      <c r="D66" s="4" t="s">
        <v>314</v>
      </c>
      <c r="E66" s="5">
        <v>-77700</v>
      </c>
      <c r="F66" s="6">
        <v>-715.88895000000002</v>
      </c>
      <c r="G66" s="7">
        <v>-7.0137959999999999E-2</v>
      </c>
      <c r="H66" s="52"/>
    </row>
    <row r="67" spans="1:8" ht="25.5" x14ac:dyDescent="0.2">
      <c r="A67" s="3">
        <v>24</v>
      </c>
      <c r="B67" s="4"/>
      <c r="C67" s="4" t="s">
        <v>914</v>
      </c>
      <c r="D67" s="4" t="s">
        <v>314</v>
      </c>
      <c r="E67" s="5">
        <v>-321000</v>
      </c>
      <c r="F67" s="6">
        <v>-835.72349999999994</v>
      </c>
      <c r="G67" s="7">
        <v>-8.1878530000000005E-2</v>
      </c>
      <c r="H67" s="52"/>
    </row>
    <row r="68" spans="1:8" ht="14.1" customHeight="1" x14ac:dyDescent="0.2">
      <c r="A68" s="1"/>
      <c r="B68" s="1"/>
      <c r="C68" s="2" t="s">
        <v>145</v>
      </c>
      <c r="D68" s="1"/>
      <c r="E68" s="1" t="s">
        <v>146</v>
      </c>
      <c r="F68" s="9">
        <v>-6813.0534250000001</v>
      </c>
      <c r="G68" s="10">
        <v>-0.66749689999999995</v>
      </c>
      <c r="H68" s="52"/>
    </row>
    <row r="69" spans="1:8" ht="14.1" customHeight="1" x14ac:dyDescent="0.2">
      <c r="A69" s="1"/>
      <c r="B69" s="1"/>
      <c r="C69" s="11"/>
      <c r="D69" s="1"/>
      <c r="E69" s="1"/>
      <c r="F69" s="12"/>
      <c r="G69" s="12"/>
      <c r="H69" s="52"/>
    </row>
    <row r="70" spans="1:8" ht="18" customHeight="1" x14ac:dyDescent="0.2">
      <c r="A70" s="1"/>
      <c r="B70" s="1"/>
      <c r="C70" s="2" t="s">
        <v>153</v>
      </c>
      <c r="D70" s="1"/>
      <c r="E70" s="1"/>
      <c r="F70" s="9">
        <v>6777.0735500000001</v>
      </c>
      <c r="G70" s="10">
        <v>0.66397181999999999</v>
      </c>
      <c r="H70" s="52"/>
    </row>
    <row r="71" spans="1:8" ht="14.1" customHeight="1" x14ac:dyDescent="0.2">
      <c r="A71" s="1"/>
      <c r="B71" s="1"/>
      <c r="C71" s="11"/>
      <c r="D71" s="1"/>
      <c r="E71" s="1"/>
      <c r="F71" s="12"/>
      <c r="G71" s="12"/>
      <c r="H71" s="52"/>
    </row>
    <row r="72" spans="1:8" ht="14.1" customHeight="1" x14ac:dyDescent="0.2">
      <c r="A72" s="1"/>
      <c r="B72" s="1"/>
      <c r="C72" s="2" t="s">
        <v>154</v>
      </c>
      <c r="D72" s="1"/>
      <c r="E72" s="1"/>
      <c r="F72" s="12"/>
      <c r="G72" s="12"/>
      <c r="H72" s="52"/>
    </row>
    <row r="73" spans="1:8" ht="24" customHeight="1" x14ac:dyDescent="0.2">
      <c r="A73" s="1"/>
      <c r="B73" s="1"/>
      <c r="C73" s="2" t="s">
        <v>10</v>
      </c>
      <c r="D73" s="1"/>
      <c r="E73" s="1"/>
      <c r="F73" s="12"/>
      <c r="G73" s="12"/>
      <c r="H73" s="52"/>
    </row>
    <row r="74" spans="1:8" ht="14.1" customHeight="1" x14ac:dyDescent="0.2">
      <c r="A74" s="1"/>
      <c r="B74" s="1"/>
      <c r="C74" s="2" t="s">
        <v>145</v>
      </c>
      <c r="D74" s="1"/>
      <c r="E74" s="1" t="s">
        <v>146</v>
      </c>
      <c r="F74" s="13" t="s">
        <v>148</v>
      </c>
      <c r="G74" s="10">
        <v>0</v>
      </c>
      <c r="H74" s="52"/>
    </row>
    <row r="75" spans="1:8" ht="14.1" customHeight="1" x14ac:dyDescent="0.2">
      <c r="A75" s="1"/>
      <c r="B75" s="1"/>
      <c r="C75" s="11"/>
      <c r="D75" s="1"/>
      <c r="E75" s="1"/>
      <c r="F75" s="12"/>
      <c r="G75" s="12"/>
      <c r="H75" s="52"/>
    </row>
    <row r="76" spans="1:8" ht="14.1" customHeight="1" x14ac:dyDescent="0.2">
      <c r="A76" s="1"/>
      <c r="B76" s="1"/>
      <c r="C76" s="2" t="s">
        <v>155</v>
      </c>
      <c r="D76" s="1"/>
      <c r="E76" s="1"/>
      <c r="F76" s="1"/>
      <c r="G76" s="1"/>
      <c r="H76" s="52"/>
    </row>
    <row r="77" spans="1:8" ht="14.1" customHeight="1" x14ac:dyDescent="0.2">
      <c r="A77" s="1"/>
      <c r="B77" s="1"/>
      <c r="C77" s="2" t="s">
        <v>145</v>
      </c>
      <c r="D77" s="1"/>
      <c r="E77" s="1" t="s">
        <v>146</v>
      </c>
      <c r="F77" s="13" t="s">
        <v>148</v>
      </c>
      <c r="G77" s="10">
        <v>0</v>
      </c>
      <c r="H77" s="52"/>
    </row>
    <row r="78" spans="1:8" ht="14.1" customHeight="1" x14ac:dyDescent="0.2">
      <c r="A78" s="1"/>
      <c r="B78" s="1"/>
      <c r="C78" s="11"/>
      <c r="D78" s="1"/>
      <c r="E78" s="1"/>
      <c r="F78" s="12"/>
      <c r="G78" s="12"/>
      <c r="H78" s="52"/>
    </row>
    <row r="79" spans="1:8" ht="14.1" customHeight="1" x14ac:dyDescent="0.2">
      <c r="A79" s="1"/>
      <c r="B79" s="1"/>
      <c r="C79" s="2" t="s">
        <v>156</v>
      </c>
      <c r="D79" s="1"/>
      <c r="E79" s="1"/>
      <c r="F79" s="1"/>
      <c r="G79" s="1"/>
      <c r="H79" s="52"/>
    </row>
    <row r="80" spans="1:8" ht="14.1" customHeight="1" x14ac:dyDescent="0.2">
      <c r="A80" s="1"/>
      <c r="B80" s="1"/>
      <c r="C80" s="2" t="s">
        <v>145</v>
      </c>
      <c r="D80" s="1"/>
      <c r="E80" s="1" t="s">
        <v>146</v>
      </c>
      <c r="F80" s="13" t="s">
        <v>148</v>
      </c>
      <c r="G80" s="10">
        <v>0</v>
      </c>
      <c r="H80" s="52"/>
    </row>
    <row r="81" spans="1:8" ht="14.1" customHeight="1" x14ac:dyDescent="0.2">
      <c r="A81" s="1"/>
      <c r="B81" s="1"/>
      <c r="C81" s="11"/>
      <c r="D81" s="1"/>
      <c r="E81" s="1"/>
      <c r="F81" s="12"/>
      <c r="G81" s="12"/>
      <c r="H81" s="52"/>
    </row>
    <row r="82" spans="1:8" ht="14.1" customHeight="1" x14ac:dyDescent="0.2">
      <c r="A82" s="1"/>
      <c r="B82" s="1"/>
      <c r="C82" s="2" t="s">
        <v>157</v>
      </c>
      <c r="D82" s="1"/>
      <c r="E82" s="1"/>
      <c r="F82" s="12"/>
      <c r="G82" s="12"/>
      <c r="H82" s="52"/>
    </row>
    <row r="83" spans="1:8" ht="14.1" customHeight="1" x14ac:dyDescent="0.2">
      <c r="A83" s="1"/>
      <c r="B83" s="1"/>
      <c r="C83" s="2" t="s">
        <v>145</v>
      </c>
      <c r="D83" s="1"/>
      <c r="E83" s="1" t="s">
        <v>146</v>
      </c>
      <c r="F83" s="13" t="s">
        <v>148</v>
      </c>
      <c r="G83" s="10">
        <v>0</v>
      </c>
      <c r="H83" s="52"/>
    </row>
    <row r="84" spans="1:8" ht="14.1" customHeight="1" x14ac:dyDescent="0.2">
      <c r="A84" s="1"/>
      <c r="B84" s="1"/>
      <c r="C84" s="11"/>
      <c r="D84" s="1"/>
      <c r="E84" s="1"/>
      <c r="F84" s="12"/>
      <c r="G84" s="12"/>
      <c r="H84" s="52"/>
    </row>
    <row r="85" spans="1:8" ht="14.1" customHeight="1" x14ac:dyDescent="0.2">
      <c r="A85" s="1"/>
      <c r="B85" s="1"/>
      <c r="C85" s="2" t="s">
        <v>158</v>
      </c>
      <c r="D85" s="1"/>
      <c r="E85" s="1"/>
      <c r="F85" s="9">
        <v>0</v>
      </c>
      <c r="G85" s="10">
        <v>0</v>
      </c>
      <c r="H85" s="52"/>
    </row>
    <row r="86" spans="1:8" ht="14.1" customHeight="1" x14ac:dyDescent="0.2">
      <c r="A86" s="1"/>
      <c r="B86" s="1"/>
      <c r="C86" s="11"/>
      <c r="D86" s="1"/>
      <c r="E86" s="1"/>
      <c r="F86" s="12"/>
      <c r="G86" s="12"/>
      <c r="H86" s="52"/>
    </row>
    <row r="87" spans="1:8" ht="14.1" customHeight="1" x14ac:dyDescent="0.2">
      <c r="A87" s="1"/>
      <c r="B87" s="1"/>
      <c r="C87" s="2" t="s">
        <v>159</v>
      </c>
      <c r="D87" s="1"/>
      <c r="E87" s="1"/>
      <c r="F87" s="12"/>
      <c r="G87" s="12"/>
      <c r="H87" s="52"/>
    </row>
    <row r="88" spans="1:8" ht="14.1" customHeight="1" x14ac:dyDescent="0.2">
      <c r="A88" s="1"/>
      <c r="B88" s="1"/>
      <c r="C88" s="2" t="s">
        <v>160</v>
      </c>
      <c r="D88" s="1"/>
      <c r="E88" s="1"/>
      <c r="F88" s="12"/>
      <c r="G88" s="12"/>
      <c r="H88" s="52"/>
    </row>
    <row r="89" spans="1:8" ht="14.1" customHeight="1" x14ac:dyDescent="0.2">
      <c r="A89" s="1"/>
      <c r="B89" s="1"/>
      <c r="C89" s="2" t="s">
        <v>145</v>
      </c>
      <c r="D89" s="1"/>
      <c r="E89" s="1" t="s">
        <v>146</v>
      </c>
      <c r="F89" s="13" t="s">
        <v>148</v>
      </c>
      <c r="G89" s="10">
        <v>0</v>
      </c>
      <c r="H89" s="52"/>
    </row>
    <row r="90" spans="1:8" ht="14.1" customHeight="1" x14ac:dyDescent="0.2">
      <c r="A90" s="1"/>
      <c r="B90" s="1"/>
      <c r="C90" s="11"/>
      <c r="D90" s="1"/>
      <c r="E90" s="1"/>
      <c r="F90" s="12"/>
      <c r="G90" s="12"/>
      <c r="H90" s="52"/>
    </row>
    <row r="91" spans="1:8" ht="14.1" customHeight="1" x14ac:dyDescent="0.2">
      <c r="A91" s="1"/>
      <c r="B91" s="1"/>
      <c r="C91" s="2" t="s">
        <v>161</v>
      </c>
      <c r="D91" s="1"/>
      <c r="E91" s="1"/>
      <c r="F91" s="12"/>
      <c r="G91" s="12"/>
      <c r="H91" s="52"/>
    </row>
    <row r="92" spans="1:8" ht="14.1" customHeight="1" x14ac:dyDescent="0.2">
      <c r="A92" s="1"/>
      <c r="B92" s="1"/>
      <c r="C92" s="2" t="s">
        <v>145</v>
      </c>
      <c r="D92" s="1"/>
      <c r="E92" s="1" t="s">
        <v>146</v>
      </c>
      <c r="F92" s="13" t="s">
        <v>148</v>
      </c>
      <c r="G92" s="10">
        <v>0</v>
      </c>
      <c r="H92" s="52"/>
    </row>
    <row r="93" spans="1:8" ht="14.1" customHeight="1" x14ac:dyDescent="0.2">
      <c r="A93" s="1"/>
      <c r="B93" s="1"/>
      <c r="C93" s="11"/>
      <c r="D93" s="1"/>
      <c r="E93" s="1"/>
      <c r="F93" s="12"/>
      <c r="G93" s="12"/>
      <c r="H93" s="52"/>
    </row>
    <row r="94" spans="1:8" ht="14.1" customHeight="1" x14ac:dyDescent="0.2">
      <c r="A94" s="1"/>
      <c r="B94" s="1"/>
      <c r="C94" s="2" t="s">
        <v>162</v>
      </c>
      <c r="D94" s="1"/>
      <c r="E94" s="1"/>
      <c r="F94" s="12"/>
      <c r="G94" s="12"/>
      <c r="H94" s="52"/>
    </row>
    <row r="95" spans="1:8" ht="17.100000000000001" customHeight="1" x14ac:dyDescent="0.2">
      <c r="A95" s="3">
        <v>1</v>
      </c>
      <c r="B95" s="4" t="s">
        <v>687</v>
      </c>
      <c r="C95" s="39" t="s">
        <v>995</v>
      </c>
      <c r="D95" s="4" t="s">
        <v>640</v>
      </c>
      <c r="E95" s="5">
        <v>1000000</v>
      </c>
      <c r="F95" s="6">
        <v>974.82899999999995</v>
      </c>
      <c r="G95" s="7">
        <v>9.5507149999999999E-2</v>
      </c>
      <c r="H95" s="52">
        <v>7.0335000000000001</v>
      </c>
    </row>
    <row r="96" spans="1:8" ht="17.100000000000001" customHeight="1" x14ac:dyDescent="0.2">
      <c r="A96" s="3">
        <v>2</v>
      </c>
      <c r="B96" s="4" t="s">
        <v>688</v>
      </c>
      <c r="C96" s="39" t="s">
        <v>996</v>
      </c>
      <c r="D96" s="4" t="s">
        <v>640</v>
      </c>
      <c r="E96" s="5">
        <v>500000</v>
      </c>
      <c r="F96" s="6">
        <v>498.60750000000002</v>
      </c>
      <c r="G96" s="7">
        <v>4.8850190000000002E-2</v>
      </c>
      <c r="H96" s="52">
        <v>6.7969999999999997</v>
      </c>
    </row>
    <row r="97" spans="1:8" ht="17.100000000000001" customHeight="1" x14ac:dyDescent="0.2">
      <c r="A97" s="3">
        <v>3</v>
      </c>
      <c r="B97" s="4" t="s">
        <v>689</v>
      </c>
      <c r="C97" s="39" t="s">
        <v>997</v>
      </c>
      <c r="D97" s="4" t="s">
        <v>640</v>
      </c>
      <c r="E97" s="5">
        <v>500000</v>
      </c>
      <c r="F97" s="6">
        <v>497.95850000000002</v>
      </c>
      <c r="G97" s="7">
        <v>4.8786599999999999E-2</v>
      </c>
      <c r="H97" s="52">
        <v>6.8019999999999996</v>
      </c>
    </row>
    <row r="98" spans="1:8" ht="17.100000000000001" customHeight="1" x14ac:dyDescent="0.2">
      <c r="A98" s="3">
        <v>4</v>
      </c>
      <c r="B98" s="4" t="s">
        <v>690</v>
      </c>
      <c r="C98" s="39" t="s">
        <v>998</v>
      </c>
      <c r="D98" s="4" t="s">
        <v>640</v>
      </c>
      <c r="E98" s="5">
        <v>500000</v>
      </c>
      <c r="F98" s="6">
        <v>467.86399999999998</v>
      </c>
      <c r="G98" s="7">
        <v>4.5838150000000001E-2</v>
      </c>
      <c r="H98" s="52">
        <v>7.1426999999999996</v>
      </c>
    </row>
    <row r="99" spans="1:8" ht="14.1" customHeight="1" x14ac:dyDescent="0.2">
      <c r="A99" s="1"/>
      <c r="B99" s="1"/>
      <c r="C99" s="2" t="s">
        <v>145</v>
      </c>
      <c r="D99" s="1"/>
      <c r="E99" s="1" t="s">
        <v>146</v>
      </c>
      <c r="F99" s="9">
        <v>2439.259</v>
      </c>
      <c r="G99" s="10">
        <v>0.23898209000000001</v>
      </c>
      <c r="H99" s="52"/>
    </row>
    <row r="100" spans="1:8" ht="14.1" customHeight="1" x14ac:dyDescent="0.2">
      <c r="A100" s="1"/>
      <c r="B100" s="1"/>
      <c r="C100" s="11"/>
      <c r="D100" s="1"/>
      <c r="E100" s="1"/>
      <c r="F100" s="12"/>
      <c r="G100" s="12"/>
      <c r="H100" s="52"/>
    </row>
    <row r="101" spans="1:8" ht="14.1" customHeight="1" x14ac:dyDescent="0.2">
      <c r="A101" s="1"/>
      <c r="B101" s="1"/>
      <c r="C101" s="2" t="s">
        <v>163</v>
      </c>
      <c r="D101" s="1"/>
      <c r="E101" s="1"/>
      <c r="F101" s="12"/>
      <c r="G101" s="12"/>
      <c r="H101" s="52"/>
    </row>
    <row r="102" spans="1:8" ht="17.100000000000001" customHeight="1" x14ac:dyDescent="0.2">
      <c r="A102" s="3">
        <v>1</v>
      </c>
      <c r="B102" s="4"/>
      <c r="C102" s="4" t="s">
        <v>164</v>
      </c>
      <c r="D102" s="4"/>
      <c r="E102" s="8"/>
      <c r="F102" s="6">
        <v>781.90998600399996</v>
      </c>
      <c r="G102" s="7">
        <v>7.6606250000000001E-2</v>
      </c>
      <c r="H102" s="52">
        <v>6.7567375937238596</v>
      </c>
    </row>
    <row r="103" spans="1:8" ht="14.1" customHeight="1" x14ac:dyDescent="0.2">
      <c r="A103" s="1"/>
      <c r="B103" s="1"/>
      <c r="C103" s="2" t="s">
        <v>145</v>
      </c>
      <c r="D103" s="1"/>
      <c r="E103" s="1" t="s">
        <v>146</v>
      </c>
      <c r="F103" s="9">
        <v>781.90998600399996</v>
      </c>
      <c r="G103" s="10">
        <v>7.6606250000000001E-2</v>
      </c>
      <c r="H103" s="52"/>
    </row>
    <row r="104" spans="1:8" ht="14.1" customHeight="1" x14ac:dyDescent="0.2">
      <c r="A104" s="1"/>
      <c r="B104" s="1"/>
      <c r="C104" s="11"/>
      <c r="D104" s="1"/>
      <c r="E104" s="1"/>
      <c r="F104" s="12"/>
      <c r="G104" s="12"/>
      <c r="H104" s="52"/>
    </row>
    <row r="105" spans="1:8" ht="14.1" customHeight="1" x14ac:dyDescent="0.2">
      <c r="A105" s="1"/>
      <c r="B105" s="1"/>
      <c r="C105" s="2" t="s">
        <v>165</v>
      </c>
      <c r="D105" s="1"/>
      <c r="E105" s="1"/>
      <c r="F105" s="9">
        <v>3221.1689860040001</v>
      </c>
      <c r="G105" s="10">
        <v>0.31558834000000002</v>
      </c>
      <c r="H105" s="52"/>
    </row>
    <row r="106" spans="1:8" ht="14.1" customHeight="1" x14ac:dyDescent="0.2">
      <c r="A106" s="1"/>
      <c r="B106" s="1"/>
      <c r="C106" s="12"/>
      <c r="D106" s="1"/>
      <c r="E106" s="1"/>
      <c r="F106" s="1"/>
      <c r="G106" s="1"/>
      <c r="H106" s="52"/>
    </row>
    <row r="107" spans="1:8" ht="14.1" customHeight="1" x14ac:dyDescent="0.2">
      <c r="A107" s="1"/>
      <c r="B107" s="1"/>
      <c r="C107" s="2" t="s">
        <v>166</v>
      </c>
      <c r="D107" s="1"/>
      <c r="E107" s="1"/>
      <c r="F107" s="1"/>
      <c r="G107" s="1"/>
      <c r="H107" s="52"/>
    </row>
    <row r="108" spans="1:8" ht="14.1" customHeight="1" x14ac:dyDescent="0.2">
      <c r="A108" s="1"/>
      <c r="B108" s="1"/>
      <c r="C108" s="2" t="s">
        <v>167</v>
      </c>
      <c r="D108" s="1"/>
      <c r="E108" s="1"/>
      <c r="F108" s="1"/>
      <c r="G108" s="1"/>
      <c r="H108" s="52"/>
    </row>
    <row r="109" spans="1:8" ht="17.100000000000001" customHeight="1" x14ac:dyDescent="0.2">
      <c r="A109" s="3">
        <v>1</v>
      </c>
      <c r="B109" s="4" t="s">
        <v>691</v>
      </c>
      <c r="C109" s="44" t="s">
        <v>971</v>
      </c>
      <c r="D109" s="4"/>
      <c r="E109" s="5">
        <v>9480.7900000000009</v>
      </c>
      <c r="F109" s="6">
        <v>196.13902911700001</v>
      </c>
      <c r="G109" s="7">
        <v>1.9216380000000002E-2</v>
      </c>
      <c r="H109" s="52"/>
    </row>
    <row r="110" spans="1:8" ht="14.1" customHeight="1" x14ac:dyDescent="0.2">
      <c r="A110" s="1"/>
      <c r="B110" s="1"/>
      <c r="C110" s="2" t="s">
        <v>145</v>
      </c>
      <c r="D110" s="1"/>
      <c r="E110" s="1" t="s">
        <v>146</v>
      </c>
      <c r="F110" s="9">
        <v>196.13902911700001</v>
      </c>
      <c r="G110" s="10">
        <v>1.9216380000000002E-2</v>
      </c>
      <c r="H110" s="52"/>
    </row>
    <row r="111" spans="1:8" ht="14.1" customHeight="1" x14ac:dyDescent="0.2">
      <c r="A111" s="1"/>
      <c r="B111" s="1"/>
      <c r="C111" s="11"/>
      <c r="D111" s="1"/>
      <c r="E111" s="1"/>
      <c r="F111" s="12"/>
      <c r="G111" s="12"/>
      <c r="H111" s="52"/>
    </row>
    <row r="112" spans="1:8" ht="14.1" customHeight="1" x14ac:dyDescent="0.2">
      <c r="A112" s="1"/>
      <c r="B112" s="1"/>
      <c r="C112" s="2" t="s">
        <v>168</v>
      </c>
      <c r="D112" s="1"/>
      <c r="E112" s="1"/>
      <c r="F112" s="1"/>
      <c r="G112" s="1"/>
      <c r="H112" s="52"/>
    </row>
    <row r="113" spans="1:14" ht="14.1" customHeight="1" x14ac:dyDescent="0.2">
      <c r="A113" s="1"/>
      <c r="B113" s="1"/>
      <c r="C113" s="2" t="s">
        <v>169</v>
      </c>
      <c r="D113" s="1"/>
      <c r="E113" s="1"/>
      <c r="F113" s="1"/>
      <c r="G113" s="1"/>
      <c r="H113" s="52"/>
    </row>
    <row r="114" spans="1:14" ht="14.1" customHeight="1" x14ac:dyDescent="0.2">
      <c r="A114" s="1"/>
      <c r="B114" s="1"/>
      <c r="C114" s="2" t="s">
        <v>145</v>
      </c>
      <c r="D114" s="1"/>
      <c r="E114" s="1" t="s">
        <v>146</v>
      </c>
      <c r="F114" s="13" t="s">
        <v>148</v>
      </c>
      <c r="G114" s="10">
        <v>0</v>
      </c>
      <c r="H114" s="52"/>
    </row>
    <row r="115" spans="1:14" ht="14.1" customHeight="1" x14ac:dyDescent="0.2">
      <c r="A115" s="1"/>
      <c r="B115" s="1"/>
      <c r="C115" s="11"/>
      <c r="D115" s="1"/>
      <c r="E115" s="1"/>
      <c r="F115" s="12"/>
      <c r="G115" s="12"/>
      <c r="H115" s="52"/>
    </row>
    <row r="116" spans="1:14" ht="24" customHeight="1" x14ac:dyDescent="0.2">
      <c r="A116" s="1"/>
      <c r="B116" s="1"/>
      <c r="C116" s="2" t="s">
        <v>170</v>
      </c>
      <c r="D116" s="1"/>
      <c r="E116" s="1"/>
      <c r="F116" s="12"/>
      <c r="G116" s="12"/>
      <c r="H116" s="52"/>
    </row>
    <row r="117" spans="1:14" ht="14.1" customHeight="1" x14ac:dyDescent="0.2">
      <c r="A117" s="1"/>
      <c r="B117" s="1"/>
      <c r="C117" s="2" t="s">
        <v>145</v>
      </c>
      <c r="D117" s="1"/>
      <c r="E117" s="1" t="s">
        <v>146</v>
      </c>
      <c r="F117" s="13" t="s">
        <v>148</v>
      </c>
      <c r="G117" s="10">
        <v>0</v>
      </c>
      <c r="H117" s="52"/>
      <c r="J117" s="57"/>
      <c r="K117" s="57"/>
      <c r="L117" s="57"/>
      <c r="M117" s="57"/>
      <c r="N117" s="57"/>
    </row>
    <row r="118" spans="1:14" ht="14.1" customHeight="1" x14ac:dyDescent="0.2">
      <c r="A118" s="1"/>
      <c r="B118" s="1"/>
      <c r="C118" s="11"/>
      <c r="D118" s="1"/>
      <c r="E118" s="1"/>
      <c r="F118" s="12"/>
      <c r="G118" s="12"/>
      <c r="H118" s="52"/>
      <c r="J118" s="105"/>
      <c r="K118" s="105"/>
      <c r="L118" s="105"/>
      <c r="M118" s="105"/>
      <c r="N118" s="105"/>
    </row>
    <row r="119" spans="1:14" ht="18" customHeight="1" x14ac:dyDescent="0.2">
      <c r="A119" s="8"/>
      <c r="B119" s="4"/>
      <c r="C119" s="4" t="s">
        <v>315</v>
      </c>
      <c r="D119" s="4"/>
      <c r="E119" s="8"/>
      <c r="F119" s="6">
        <v>37.289594800000003</v>
      </c>
      <c r="G119" s="7">
        <v>3.6533799999999999E-3</v>
      </c>
      <c r="H119" s="52"/>
    </row>
    <row r="120" spans="1:14" ht="18" customHeight="1" x14ac:dyDescent="0.2">
      <c r="A120" s="8"/>
      <c r="B120" s="4"/>
      <c r="C120" s="39" t="s">
        <v>992</v>
      </c>
      <c r="D120" s="4"/>
      <c r="E120" s="8"/>
      <c r="F120" s="6">
        <v>-24.801674659998753</v>
      </c>
      <c r="G120" s="7">
        <v>-2.4299002447139206E-3</v>
      </c>
      <c r="H120" s="52"/>
    </row>
    <row r="121" spans="1:14" ht="14.1" customHeight="1" x14ac:dyDescent="0.2">
      <c r="A121" s="11"/>
      <c r="B121" s="11"/>
      <c r="C121" s="2" t="s">
        <v>172</v>
      </c>
      <c r="D121" s="12"/>
      <c r="E121" s="12"/>
      <c r="F121" s="9">
        <v>10206.869485261001</v>
      </c>
      <c r="G121" s="14">
        <v>0.99999998999999995</v>
      </c>
      <c r="H121" s="52"/>
    </row>
    <row r="122" spans="1:14" ht="14.1" customHeight="1" x14ac:dyDescent="0.2">
      <c r="A122" s="15"/>
      <c r="B122" s="15"/>
      <c r="C122" s="15"/>
      <c r="D122" s="16"/>
      <c r="E122" s="16"/>
      <c r="F122" s="16"/>
      <c r="G122" s="16"/>
    </row>
    <row r="123" spans="1:14" ht="14.1" customHeight="1" x14ac:dyDescent="0.2">
      <c r="A123" s="42"/>
      <c r="B123" s="151" t="s">
        <v>972</v>
      </c>
      <c r="C123" s="151"/>
      <c r="D123" s="151"/>
      <c r="E123" s="151"/>
      <c r="F123" s="151"/>
      <c r="G123" s="43"/>
    </row>
    <row r="124" spans="1:14" ht="17.100000000000001" customHeight="1" x14ac:dyDescent="0.2">
      <c r="A124" s="42"/>
      <c r="B124" s="125" t="s">
        <v>993</v>
      </c>
      <c r="C124" s="125"/>
      <c r="D124" s="125"/>
      <c r="E124" s="125"/>
      <c r="F124" s="125"/>
      <c r="G124" s="43"/>
    </row>
    <row r="125" spans="1:14" ht="14.1" customHeight="1" x14ac:dyDescent="0.2">
      <c r="A125" s="42"/>
      <c r="B125" s="152" t="s">
        <v>1001</v>
      </c>
      <c r="C125" s="152"/>
      <c r="D125" s="152"/>
      <c r="E125" s="152"/>
      <c r="F125" s="152"/>
      <c r="G125" s="43"/>
    </row>
    <row r="126" spans="1:14" ht="14.1" customHeight="1" x14ac:dyDescent="0.2">
      <c r="A126" s="17"/>
      <c r="B126" s="17"/>
      <c r="C126" s="17"/>
      <c r="D126" s="19"/>
      <c r="E126" s="19"/>
      <c r="F126" s="19"/>
      <c r="G126" s="19"/>
    </row>
    <row r="127" spans="1:14" ht="14.1" customHeight="1" x14ac:dyDescent="0.2">
      <c r="A127" s="17"/>
      <c r="B127" s="127" t="s">
        <v>174</v>
      </c>
      <c r="C127" s="128"/>
      <c r="D127" s="129"/>
      <c r="E127" s="20"/>
      <c r="F127" s="19"/>
      <c r="G127" s="19"/>
    </row>
    <row r="128" spans="1:14" ht="29.1" customHeight="1" x14ac:dyDescent="0.2">
      <c r="A128" s="17"/>
      <c r="B128" s="121" t="s">
        <v>175</v>
      </c>
      <c r="C128" s="122"/>
      <c r="D128" s="113" t="s">
        <v>1092</v>
      </c>
      <c r="E128" s="20"/>
      <c r="F128" s="19"/>
      <c r="G128" s="19"/>
    </row>
    <row r="129" spans="1:14" ht="17.100000000000001" customHeight="1" x14ac:dyDescent="0.2">
      <c r="A129" s="17"/>
      <c r="B129" s="121" t="s">
        <v>177</v>
      </c>
      <c r="C129" s="122"/>
      <c r="D129" s="2" t="s">
        <v>176</v>
      </c>
      <c r="E129" s="20"/>
      <c r="F129" s="19"/>
      <c r="G129" s="19"/>
    </row>
    <row r="130" spans="1:14" ht="17.100000000000001" customHeight="1" x14ac:dyDescent="0.2">
      <c r="A130" s="17"/>
      <c r="B130" s="121" t="s">
        <v>178</v>
      </c>
      <c r="C130" s="122"/>
      <c r="D130" s="12" t="s">
        <v>146</v>
      </c>
      <c r="E130" s="20"/>
      <c r="F130" s="19"/>
      <c r="G130" s="19"/>
    </row>
    <row r="131" spans="1:14" ht="24" customHeight="1" x14ac:dyDescent="0.2">
      <c r="A131" s="21"/>
      <c r="B131" s="22" t="s">
        <v>146</v>
      </c>
      <c r="C131" s="22" t="s">
        <v>179</v>
      </c>
      <c r="D131" s="22" t="s">
        <v>180</v>
      </c>
      <c r="E131" s="21"/>
      <c r="F131" s="21"/>
      <c r="G131" s="21"/>
    </row>
    <row r="132" spans="1:14" ht="18" customHeight="1" x14ac:dyDescent="0.2">
      <c r="A132" s="21"/>
      <c r="B132" s="23" t="s">
        <v>181</v>
      </c>
      <c r="C132" s="22" t="s">
        <v>182</v>
      </c>
      <c r="D132" s="22" t="s">
        <v>183</v>
      </c>
      <c r="E132" s="21"/>
      <c r="F132" s="21"/>
      <c r="G132" s="21"/>
    </row>
    <row r="133" spans="1:14" ht="17.100000000000001" customHeight="1" x14ac:dyDescent="0.2">
      <c r="A133" s="21"/>
      <c r="B133" s="4" t="s">
        <v>184</v>
      </c>
      <c r="C133" s="24">
        <v>13.3865</v>
      </c>
      <c r="D133" s="24">
        <v>13.4687</v>
      </c>
      <c r="E133" s="21"/>
      <c r="F133" s="18"/>
      <c r="G133" s="25"/>
    </row>
    <row r="134" spans="1:14" ht="23.1" customHeight="1" x14ac:dyDescent="0.2">
      <c r="A134" s="21"/>
      <c r="B134" s="4" t="s">
        <v>1044</v>
      </c>
      <c r="C134" s="24">
        <v>11.575900000000001</v>
      </c>
      <c r="D134" s="24">
        <v>11.6469</v>
      </c>
      <c r="E134" s="21"/>
      <c r="F134" s="18"/>
      <c r="G134" s="25"/>
    </row>
    <row r="135" spans="1:14" ht="17.100000000000001" customHeight="1" x14ac:dyDescent="0.2">
      <c r="A135" s="21"/>
      <c r="B135" s="4" t="s">
        <v>185</v>
      </c>
      <c r="C135" s="24">
        <v>12.8497</v>
      </c>
      <c r="D135" s="24">
        <v>12.9221</v>
      </c>
      <c r="E135" s="21"/>
      <c r="F135" s="18"/>
      <c r="G135" s="25"/>
    </row>
    <row r="136" spans="1:14" ht="23.1" customHeight="1" x14ac:dyDescent="0.2">
      <c r="A136" s="21"/>
      <c r="B136" s="4" t="s">
        <v>1046</v>
      </c>
      <c r="C136" s="24">
        <v>11.297499999999999</v>
      </c>
      <c r="D136" s="24">
        <v>11.3612</v>
      </c>
      <c r="E136" s="21"/>
      <c r="F136" s="18"/>
      <c r="G136" s="25"/>
    </row>
    <row r="137" spans="1:14" ht="14.1" customHeight="1" x14ac:dyDescent="0.2">
      <c r="A137" s="21"/>
      <c r="B137" s="21"/>
      <c r="C137" s="21"/>
      <c r="D137" s="21"/>
      <c r="E137" s="21"/>
      <c r="F137" s="21"/>
      <c r="G137" s="21"/>
    </row>
    <row r="138" spans="1:14" ht="17.100000000000001" customHeight="1" x14ac:dyDescent="0.2">
      <c r="A138" s="21"/>
      <c r="B138" s="121" t="s">
        <v>1041</v>
      </c>
      <c r="C138" s="122"/>
      <c r="D138" s="2" t="s">
        <v>176</v>
      </c>
      <c r="E138" s="21"/>
      <c r="F138" s="21"/>
      <c r="G138" s="21"/>
    </row>
    <row r="139" spans="1:14" ht="18" customHeight="1" x14ac:dyDescent="0.2">
      <c r="A139" s="21"/>
      <c r="B139" s="26"/>
      <c r="C139" s="26"/>
      <c r="D139" s="26"/>
      <c r="E139" s="21"/>
      <c r="F139" s="21"/>
      <c r="G139" s="21"/>
    </row>
    <row r="140" spans="1:14" ht="29.1" customHeight="1" x14ac:dyDescent="0.2">
      <c r="A140" s="21"/>
      <c r="B140" s="121" t="s">
        <v>186</v>
      </c>
      <c r="C140" s="122"/>
      <c r="D140" s="2" t="s">
        <v>989</v>
      </c>
      <c r="E140" s="27"/>
      <c r="F140" s="21"/>
      <c r="G140" s="21"/>
    </row>
    <row r="141" spans="1:14" ht="29.1" customHeight="1" x14ac:dyDescent="0.2">
      <c r="A141" s="21"/>
      <c r="B141" s="121" t="s">
        <v>187</v>
      </c>
      <c r="C141" s="122"/>
      <c r="D141" s="2" t="s">
        <v>176</v>
      </c>
      <c r="E141" s="27"/>
      <c r="F141" s="21"/>
      <c r="G141" s="21"/>
      <c r="J141" s="60"/>
      <c r="K141" s="60"/>
      <c r="L141" s="60"/>
      <c r="M141" s="60"/>
      <c r="N141" s="60"/>
    </row>
    <row r="142" spans="1:14" ht="17.100000000000001" customHeight="1" x14ac:dyDescent="0.2">
      <c r="A142" s="21"/>
      <c r="B142" s="121" t="s">
        <v>188</v>
      </c>
      <c r="C142" s="122"/>
      <c r="D142" s="2" t="s">
        <v>176</v>
      </c>
      <c r="E142" s="27"/>
      <c r="F142" s="21"/>
      <c r="G142" s="21"/>
    </row>
    <row r="143" spans="1:14" ht="17.100000000000001" customHeight="1" x14ac:dyDescent="0.2">
      <c r="A143" s="21"/>
      <c r="B143" s="121" t="s">
        <v>189</v>
      </c>
      <c r="C143" s="122"/>
      <c r="D143" s="50">
        <v>10.479318392609654</v>
      </c>
      <c r="E143" s="21"/>
      <c r="F143" s="18"/>
      <c r="G143" s="25"/>
    </row>
    <row r="145" spans="2:14" x14ac:dyDescent="0.2">
      <c r="B145" s="78" t="s">
        <v>1036</v>
      </c>
      <c r="C145" s="78"/>
      <c r="D145" s="78"/>
      <c r="E145" s="79"/>
      <c r="F145" s="80"/>
      <c r="I145" s="60"/>
    </row>
    <row r="146" spans="2:14" ht="38.25" x14ac:dyDescent="0.2">
      <c r="B146" s="61" t="s">
        <v>1004</v>
      </c>
      <c r="C146" s="61" t="s">
        <v>1005</v>
      </c>
      <c r="D146" s="61" t="s">
        <v>1006</v>
      </c>
      <c r="E146" s="61" t="s">
        <v>1007</v>
      </c>
      <c r="F146" s="61" t="s">
        <v>1008</v>
      </c>
    </row>
    <row r="147" spans="2:14" s="60" customFormat="1" ht="25.5" x14ac:dyDescent="0.2">
      <c r="B147" s="62" t="s">
        <v>1009</v>
      </c>
      <c r="C147" s="63" t="s">
        <v>1010</v>
      </c>
      <c r="D147" s="64">
        <v>0</v>
      </c>
      <c r="E147" s="65">
        <v>0</v>
      </c>
      <c r="F147" s="66">
        <v>50</v>
      </c>
      <c r="I147"/>
      <c r="J147"/>
      <c r="K147"/>
      <c r="L147"/>
      <c r="M147"/>
      <c r="N147"/>
    </row>
    <row r="149" spans="2:14" x14ac:dyDescent="0.2">
      <c r="B149" s="141" t="s">
        <v>1023</v>
      </c>
      <c r="C149" s="142"/>
      <c r="D149" s="143"/>
    </row>
    <row r="150" spans="2:14" ht="25.5" x14ac:dyDescent="0.2">
      <c r="B150" s="133" t="s">
        <v>1024</v>
      </c>
      <c r="C150" s="133"/>
      <c r="D150" s="75" t="s">
        <v>670</v>
      </c>
    </row>
    <row r="151" spans="2:14" x14ac:dyDescent="0.2">
      <c r="B151" s="133" t="s">
        <v>1025</v>
      </c>
      <c r="C151" s="133"/>
      <c r="D151" s="81"/>
    </row>
    <row r="152" spans="2:14" x14ac:dyDescent="0.2">
      <c r="B152" s="148"/>
      <c r="C152" s="149"/>
      <c r="D152" s="76"/>
    </row>
    <row r="153" spans="2:14" x14ac:dyDescent="0.2">
      <c r="B153" s="133" t="s">
        <v>1026</v>
      </c>
      <c r="C153" s="133"/>
      <c r="D153" s="114">
        <v>6.8384082115744942</v>
      </c>
    </row>
    <row r="154" spans="2:14" x14ac:dyDescent="0.2">
      <c r="B154" s="148"/>
      <c r="C154" s="149"/>
      <c r="D154" s="76"/>
    </row>
    <row r="155" spans="2:14" x14ac:dyDescent="0.2">
      <c r="B155" s="133" t="s">
        <v>1027</v>
      </c>
      <c r="C155" s="133"/>
      <c r="D155" s="114">
        <v>0.2506440605335522</v>
      </c>
    </row>
    <row r="156" spans="2:14" x14ac:dyDescent="0.2">
      <c r="B156" s="133" t="s">
        <v>1028</v>
      </c>
      <c r="C156" s="133"/>
      <c r="D156" s="114">
        <v>0.2506440605335522</v>
      </c>
    </row>
    <row r="157" spans="2:14" x14ac:dyDescent="0.2">
      <c r="B157" s="148"/>
      <c r="C157" s="149"/>
      <c r="D157" s="76"/>
    </row>
    <row r="158" spans="2:14" x14ac:dyDescent="0.2">
      <c r="B158" s="133" t="s">
        <v>1029</v>
      </c>
      <c r="C158" s="133"/>
      <c r="D158" s="77">
        <v>45230</v>
      </c>
    </row>
    <row r="159" spans="2:14" ht="12.75" customHeight="1" x14ac:dyDescent="0.2">
      <c r="B159" s="148" t="s">
        <v>1030</v>
      </c>
      <c r="C159" s="150"/>
      <c r="D159" s="149"/>
    </row>
  </sheetData>
  <mergeCells count="27">
    <mergeCell ref="J2:N2"/>
    <mergeCell ref="A1:H1"/>
    <mergeCell ref="A2:H2"/>
    <mergeCell ref="A3:H3"/>
    <mergeCell ref="B143:C143"/>
    <mergeCell ref="B129:C129"/>
    <mergeCell ref="B130:C130"/>
    <mergeCell ref="B138:C138"/>
    <mergeCell ref="B140:C140"/>
    <mergeCell ref="B141:C141"/>
    <mergeCell ref="B142:C142"/>
    <mergeCell ref="B128:C128"/>
    <mergeCell ref="B123:F123"/>
    <mergeCell ref="B127:D127"/>
    <mergeCell ref="B124:F124"/>
    <mergeCell ref="B125:F125"/>
    <mergeCell ref="B149:D149"/>
    <mergeCell ref="B150:C150"/>
    <mergeCell ref="B151:C151"/>
    <mergeCell ref="B152:C152"/>
    <mergeCell ref="B153:C153"/>
    <mergeCell ref="B159:D159"/>
    <mergeCell ref="B154:C154"/>
    <mergeCell ref="B155:C155"/>
    <mergeCell ref="B156:C156"/>
    <mergeCell ref="B157:C157"/>
    <mergeCell ref="B158:C158"/>
  </mergeCells>
  <hyperlinks>
    <hyperlink ref="I1" location="Index!B16" display="Index" xr:uid="{DAA3D7B9-582F-4510-A543-D78619808C12}"/>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O235"/>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5" ht="18" customHeight="1" x14ac:dyDescent="0.2">
      <c r="A1" s="116" t="s">
        <v>0</v>
      </c>
      <c r="B1" s="116"/>
      <c r="C1" s="116"/>
      <c r="D1" s="116"/>
      <c r="E1" s="116"/>
      <c r="F1" s="116"/>
      <c r="G1" s="116"/>
      <c r="H1" s="116"/>
      <c r="I1" s="98" t="s">
        <v>1053</v>
      </c>
      <c r="J1" s="57"/>
      <c r="K1" s="57"/>
      <c r="L1" s="57"/>
      <c r="M1" s="57"/>
      <c r="N1" s="57"/>
    </row>
    <row r="2" spans="1:15" ht="17.100000000000001" customHeight="1" x14ac:dyDescent="0.2">
      <c r="A2" s="117" t="s">
        <v>692</v>
      </c>
      <c r="B2" s="118"/>
      <c r="C2" s="118"/>
      <c r="D2" s="118"/>
      <c r="E2" s="118"/>
      <c r="F2" s="118"/>
      <c r="G2" s="118"/>
      <c r="H2" s="119"/>
      <c r="J2" s="120" t="s">
        <v>1054</v>
      </c>
      <c r="K2" s="120"/>
      <c r="L2" s="120"/>
      <c r="M2" s="120"/>
      <c r="N2" s="120"/>
    </row>
    <row r="3" spans="1:15" ht="21" customHeight="1" x14ac:dyDescent="0.2">
      <c r="A3" s="116" t="s">
        <v>1049</v>
      </c>
      <c r="B3" s="116"/>
      <c r="C3" s="116"/>
      <c r="D3" s="116"/>
      <c r="E3" s="116"/>
      <c r="F3" s="116"/>
      <c r="G3" s="116"/>
      <c r="H3" s="116"/>
      <c r="J3" s="57"/>
      <c r="K3" s="57"/>
      <c r="L3" s="57"/>
      <c r="M3" s="57"/>
      <c r="N3" s="57"/>
    </row>
    <row r="4" spans="1:15" ht="30" x14ac:dyDescent="0.2">
      <c r="A4" s="96" t="s">
        <v>2</v>
      </c>
      <c r="B4" s="96" t="s">
        <v>3</v>
      </c>
      <c r="C4" s="96" t="s">
        <v>4</v>
      </c>
      <c r="D4" s="96" t="s">
        <v>5</v>
      </c>
      <c r="E4" s="96" t="s">
        <v>6</v>
      </c>
      <c r="F4" s="96" t="s">
        <v>7</v>
      </c>
      <c r="G4" s="96" t="s">
        <v>8</v>
      </c>
      <c r="H4" s="51" t="s">
        <v>1002</v>
      </c>
      <c r="I4" s="99"/>
      <c r="J4" s="102"/>
      <c r="K4" s="102"/>
      <c r="L4" s="102"/>
      <c r="M4" s="102"/>
      <c r="N4" s="102"/>
      <c r="O4" s="99"/>
    </row>
    <row r="5" spans="1:15" ht="14.1" customHeight="1" x14ac:dyDescent="0.2">
      <c r="A5" s="1"/>
      <c r="B5" s="1"/>
      <c r="C5" s="2" t="s">
        <v>9</v>
      </c>
      <c r="D5" s="1"/>
      <c r="E5" s="1"/>
      <c r="F5" s="1"/>
      <c r="G5" s="1"/>
      <c r="H5" s="52"/>
      <c r="J5" s="57"/>
      <c r="K5" s="57"/>
      <c r="L5" s="57"/>
      <c r="M5" s="57"/>
      <c r="N5" s="57"/>
    </row>
    <row r="6" spans="1:15" ht="24" customHeight="1" x14ac:dyDescent="0.2">
      <c r="A6" s="1"/>
      <c r="B6" s="1"/>
      <c r="C6" s="2" t="s">
        <v>10</v>
      </c>
      <c r="D6" s="1"/>
      <c r="E6" s="1"/>
      <c r="F6" s="1"/>
      <c r="G6" s="1"/>
      <c r="H6" s="52"/>
      <c r="J6" s="57"/>
      <c r="K6" s="57"/>
      <c r="L6" s="57"/>
      <c r="M6" s="57"/>
      <c r="N6" s="57"/>
    </row>
    <row r="7" spans="1:15" ht="17.100000000000001" customHeight="1" x14ac:dyDescent="0.2">
      <c r="A7" s="3">
        <v>1</v>
      </c>
      <c r="B7" s="4" t="s">
        <v>319</v>
      </c>
      <c r="C7" s="4" t="s">
        <v>320</v>
      </c>
      <c r="D7" s="4" t="s">
        <v>28</v>
      </c>
      <c r="E7" s="5">
        <v>721600</v>
      </c>
      <c r="F7" s="6">
        <v>10654.424000000001</v>
      </c>
      <c r="G7" s="7">
        <v>7.1415698435299074E-2</v>
      </c>
      <c r="H7" s="52"/>
      <c r="J7" s="57"/>
      <c r="K7" s="57"/>
      <c r="L7" s="57"/>
      <c r="M7" s="57"/>
      <c r="N7" s="57"/>
    </row>
    <row r="8" spans="1:15" ht="17.100000000000001" customHeight="1" x14ac:dyDescent="0.2">
      <c r="A8" s="3">
        <v>2</v>
      </c>
      <c r="B8" s="4" t="s">
        <v>26</v>
      </c>
      <c r="C8" s="4" t="s">
        <v>27</v>
      </c>
      <c r="D8" s="4" t="s">
        <v>28</v>
      </c>
      <c r="E8" s="5">
        <v>1010500</v>
      </c>
      <c r="F8" s="6">
        <v>9249.61175</v>
      </c>
      <c r="G8" s="7">
        <v>6.1999361333995993E-2</v>
      </c>
      <c r="H8" s="52"/>
      <c r="J8" s="57"/>
      <c r="K8" s="57"/>
      <c r="L8" s="57"/>
      <c r="M8" s="57"/>
      <c r="N8" s="57"/>
    </row>
    <row r="9" spans="1:15" ht="17.100000000000001" customHeight="1" x14ac:dyDescent="0.2">
      <c r="A9" s="3">
        <v>3</v>
      </c>
      <c r="B9" s="4" t="s">
        <v>14</v>
      </c>
      <c r="C9" s="4" t="s">
        <v>15</v>
      </c>
      <c r="D9" s="4" t="s">
        <v>16</v>
      </c>
      <c r="E9" s="5">
        <v>315000</v>
      </c>
      <c r="F9" s="6">
        <v>7206.8850000000002</v>
      </c>
      <c r="G9" s="7">
        <v>4.8307137562563718E-2</v>
      </c>
      <c r="H9" s="52"/>
      <c r="J9" s="57"/>
      <c r="K9" s="57"/>
      <c r="L9" s="57"/>
      <c r="M9" s="57"/>
      <c r="N9" s="57"/>
    </row>
    <row r="10" spans="1:15" ht="17.100000000000001" customHeight="1" x14ac:dyDescent="0.2">
      <c r="A10" s="3">
        <v>4</v>
      </c>
      <c r="B10" s="4" t="s">
        <v>321</v>
      </c>
      <c r="C10" s="4" t="s">
        <v>322</v>
      </c>
      <c r="D10" s="4" t="s">
        <v>888</v>
      </c>
      <c r="E10" s="5">
        <v>455000</v>
      </c>
      <c r="F10" s="6">
        <v>6226.22</v>
      </c>
      <c r="G10" s="7">
        <v>4.1733823425069982E-2</v>
      </c>
      <c r="H10" s="52"/>
      <c r="J10" s="57"/>
      <c r="K10" s="57"/>
      <c r="L10" s="57"/>
      <c r="M10" s="57"/>
      <c r="N10" s="57"/>
    </row>
    <row r="11" spans="1:15" ht="17.100000000000001" customHeight="1" x14ac:dyDescent="0.2">
      <c r="A11" s="3">
        <v>5</v>
      </c>
      <c r="B11" s="4" t="s">
        <v>100</v>
      </c>
      <c r="C11" s="4" t="s">
        <v>101</v>
      </c>
      <c r="D11" s="4" t="s">
        <v>102</v>
      </c>
      <c r="E11" s="5">
        <v>33800</v>
      </c>
      <c r="F11" s="6">
        <v>3512.5974000000001</v>
      </c>
      <c r="G11" s="7">
        <v>2.354464179790626E-2</v>
      </c>
      <c r="H11" s="52"/>
      <c r="J11" s="106"/>
      <c r="K11" s="106"/>
      <c r="L11" s="106"/>
      <c r="M11" s="106"/>
      <c r="N11" s="106"/>
    </row>
    <row r="12" spans="1:15" ht="17.100000000000001" customHeight="1" x14ac:dyDescent="0.2">
      <c r="A12" s="3">
        <v>6</v>
      </c>
      <c r="B12" s="39" t="s">
        <v>973</v>
      </c>
      <c r="C12" s="39" t="s">
        <v>974</v>
      </c>
      <c r="D12" s="39" t="s">
        <v>93</v>
      </c>
      <c r="E12" s="45">
        <v>1000000</v>
      </c>
      <c r="F12" s="46">
        <v>3116.6</v>
      </c>
      <c r="G12" s="41">
        <v>2.0890304885881495E-2</v>
      </c>
      <c r="H12" s="52"/>
      <c r="N12" s="57"/>
    </row>
    <row r="13" spans="1:15" ht="17.100000000000001" customHeight="1" x14ac:dyDescent="0.2">
      <c r="A13" s="3">
        <v>7</v>
      </c>
      <c r="B13" s="4" t="s">
        <v>11</v>
      </c>
      <c r="C13" s="4" t="s">
        <v>12</v>
      </c>
      <c r="D13" s="4" t="s">
        <v>13</v>
      </c>
      <c r="E13" s="5">
        <v>105112</v>
      </c>
      <c r="F13" s="6">
        <v>3078.7830359999998</v>
      </c>
      <c r="G13" s="7">
        <v>2.0636820990669276E-2</v>
      </c>
      <c r="H13" s="52"/>
      <c r="K13" s="57"/>
      <c r="L13" s="57"/>
      <c r="M13" s="57"/>
      <c r="N13" s="57"/>
    </row>
    <row r="14" spans="1:15" ht="17.100000000000001" customHeight="1" x14ac:dyDescent="0.2">
      <c r="A14" s="3">
        <v>8</v>
      </c>
      <c r="B14" s="4" t="s">
        <v>17</v>
      </c>
      <c r="C14" s="4" t="s">
        <v>18</v>
      </c>
      <c r="D14" s="4" t="s">
        <v>19</v>
      </c>
      <c r="E14" s="5">
        <v>330000</v>
      </c>
      <c r="F14" s="6">
        <v>3017.52</v>
      </c>
      <c r="G14" s="7">
        <v>2.0226180067780639E-2</v>
      </c>
      <c r="H14" s="52"/>
      <c r="J14" s="101" t="s">
        <v>1072</v>
      </c>
      <c r="K14" s="57"/>
      <c r="L14" s="57"/>
      <c r="M14" s="57"/>
      <c r="N14" s="57"/>
    </row>
    <row r="15" spans="1:15" ht="17.100000000000001" customHeight="1" x14ac:dyDescent="0.2">
      <c r="A15" s="3">
        <v>9</v>
      </c>
      <c r="B15" s="4" t="s">
        <v>39</v>
      </c>
      <c r="C15" s="4" t="s">
        <v>40</v>
      </c>
      <c r="D15" s="4" t="s">
        <v>28</v>
      </c>
      <c r="E15" s="5">
        <v>520000</v>
      </c>
      <c r="F15" s="6">
        <v>2940.86</v>
      </c>
      <c r="G15" s="7">
        <v>1.9712334603957344E-2</v>
      </c>
      <c r="H15" s="52"/>
      <c r="J15" s="57"/>
      <c r="K15" s="57"/>
      <c r="L15" s="57"/>
      <c r="M15" s="57"/>
      <c r="N15" s="57"/>
    </row>
    <row r="16" spans="1:15" ht="17.100000000000001" customHeight="1" x14ac:dyDescent="0.2">
      <c r="A16" s="3">
        <v>10</v>
      </c>
      <c r="B16" s="4" t="s">
        <v>323</v>
      </c>
      <c r="C16" s="4" t="s">
        <v>324</v>
      </c>
      <c r="D16" s="4" t="s">
        <v>28</v>
      </c>
      <c r="E16" s="5">
        <v>270000</v>
      </c>
      <c r="F16" s="6">
        <v>2650.9949999999999</v>
      </c>
      <c r="G16" s="7">
        <v>1.7769394147772385E-2</v>
      </c>
      <c r="H16" s="52"/>
      <c r="J16" s="57"/>
      <c r="K16" s="57"/>
      <c r="L16" s="57"/>
      <c r="M16" s="57"/>
      <c r="N16" s="106"/>
    </row>
    <row r="17" spans="1:14" ht="17.100000000000001" customHeight="1" x14ac:dyDescent="0.2">
      <c r="A17" s="3">
        <v>11</v>
      </c>
      <c r="B17" s="4" t="s">
        <v>199</v>
      </c>
      <c r="C17" s="4" t="s">
        <v>200</v>
      </c>
      <c r="D17" s="4" t="s">
        <v>60</v>
      </c>
      <c r="E17" s="5">
        <v>900000</v>
      </c>
      <c r="F17" s="6">
        <v>2598.3000000000002</v>
      </c>
      <c r="G17" s="7">
        <v>1.7416184041900117E-2</v>
      </c>
      <c r="H17" s="52"/>
      <c r="J17" s="106"/>
      <c r="K17" s="106"/>
      <c r="L17" s="106"/>
      <c r="M17" s="106"/>
      <c r="N17" s="57"/>
    </row>
    <row r="18" spans="1:14" ht="17.100000000000001" customHeight="1" x14ac:dyDescent="0.2">
      <c r="A18" s="3">
        <v>12</v>
      </c>
      <c r="B18" s="4" t="s">
        <v>470</v>
      </c>
      <c r="C18" s="4" t="s">
        <v>471</v>
      </c>
      <c r="D18" s="4" t="s">
        <v>28</v>
      </c>
      <c r="E18" s="5">
        <v>146100</v>
      </c>
      <c r="F18" s="6">
        <v>2541.2633999999998</v>
      </c>
      <c r="G18" s="7">
        <v>1.7033872560268185E-2</v>
      </c>
      <c r="H18" s="52"/>
      <c r="J18" s="57"/>
      <c r="K18" s="57"/>
      <c r="L18" s="57"/>
      <c r="M18" s="57"/>
      <c r="N18" s="57"/>
    </row>
    <row r="19" spans="1:14" ht="17.100000000000001" customHeight="1" x14ac:dyDescent="0.2">
      <c r="A19" s="3">
        <v>13</v>
      </c>
      <c r="B19" s="4" t="s">
        <v>325</v>
      </c>
      <c r="C19" s="4" t="s">
        <v>326</v>
      </c>
      <c r="D19" s="4" t="s">
        <v>888</v>
      </c>
      <c r="E19" s="5">
        <v>66000</v>
      </c>
      <c r="F19" s="6">
        <v>2223.375</v>
      </c>
      <c r="G19" s="7">
        <v>1.4903093635900267E-2</v>
      </c>
      <c r="H19" s="52"/>
      <c r="J19" s="57"/>
      <c r="K19" s="57"/>
      <c r="L19" s="57"/>
      <c r="M19" s="57"/>
      <c r="N19" s="57"/>
    </row>
    <row r="20" spans="1:14" ht="17.100000000000001" customHeight="1" x14ac:dyDescent="0.2">
      <c r="A20" s="3">
        <v>14</v>
      </c>
      <c r="B20" s="4" t="s">
        <v>197</v>
      </c>
      <c r="C20" s="4" t="s">
        <v>198</v>
      </c>
      <c r="D20" s="4" t="s">
        <v>105</v>
      </c>
      <c r="E20" s="5">
        <v>65000</v>
      </c>
      <c r="F20" s="6">
        <v>2047.63</v>
      </c>
      <c r="G20" s="7">
        <v>1.3725089839401121E-2</v>
      </c>
      <c r="H20" s="52"/>
      <c r="J20" s="57"/>
      <c r="K20" s="57"/>
      <c r="L20" s="57"/>
      <c r="M20" s="57"/>
      <c r="N20" s="57"/>
    </row>
    <row r="21" spans="1:14" ht="17.100000000000001" customHeight="1" x14ac:dyDescent="0.2">
      <c r="A21" s="3">
        <v>15</v>
      </c>
      <c r="B21" s="4" t="s">
        <v>358</v>
      </c>
      <c r="C21" s="4" t="s">
        <v>359</v>
      </c>
      <c r="D21" s="4" t="s">
        <v>102</v>
      </c>
      <c r="E21" s="5">
        <v>318900</v>
      </c>
      <c r="F21" s="6">
        <v>2004.76485</v>
      </c>
      <c r="G21" s="7">
        <v>1.3437768382531761E-2</v>
      </c>
      <c r="H21" s="52"/>
      <c r="J21" s="57"/>
      <c r="K21" s="57"/>
      <c r="L21" s="57"/>
      <c r="M21" s="57"/>
      <c r="N21" s="57"/>
    </row>
    <row r="22" spans="1:14" ht="17.100000000000001" customHeight="1" x14ac:dyDescent="0.2">
      <c r="A22" s="3">
        <v>16</v>
      </c>
      <c r="B22" s="4" t="s">
        <v>376</v>
      </c>
      <c r="C22" s="4" t="s">
        <v>377</v>
      </c>
      <c r="D22" s="4" t="s">
        <v>28</v>
      </c>
      <c r="E22" s="5">
        <v>930150</v>
      </c>
      <c r="F22" s="6">
        <v>1824.9543000000001</v>
      </c>
      <c r="G22" s="7">
        <v>1.2232513549958432E-2</v>
      </c>
      <c r="H22" s="52"/>
      <c r="J22" s="57"/>
      <c r="K22" s="57"/>
      <c r="L22" s="57"/>
      <c r="M22" s="57"/>
    </row>
    <row r="23" spans="1:14" ht="17.100000000000001" customHeight="1" x14ac:dyDescent="0.2">
      <c r="A23" s="3">
        <v>17</v>
      </c>
      <c r="B23" s="4" t="s">
        <v>382</v>
      </c>
      <c r="C23" s="4" t="s">
        <v>383</v>
      </c>
      <c r="D23" s="4" t="s">
        <v>70</v>
      </c>
      <c r="E23" s="5">
        <v>115000</v>
      </c>
      <c r="F23" s="6">
        <v>1804.9825000000001</v>
      </c>
      <c r="G23" s="7">
        <v>1.2098644272181417E-2</v>
      </c>
      <c r="H23" s="52"/>
    </row>
    <row r="24" spans="1:14" ht="17.100000000000001" customHeight="1" x14ac:dyDescent="0.2">
      <c r="A24" s="3">
        <v>18</v>
      </c>
      <c r="B24" s="4" t="s">
        <v>20</v>
      </c>
      <c r="C24" s="4" t="s">
        <v>21</v>
      </c>
      <c r="D24" s="4" t="s">
        <v>22</v>
      </c>
      <c r="E24" s="5">
        <v>750000</v>
      </c>
      <c r="F24" s="6">
        <v>1768.5</v>
      </c>
      <c r="G24" s="7">
        <v>1.185410517573042E-2</v>
      </c>
      <c r="H24" s="52"/>
      <c r="J24" s="57"/>
      <c r="K24" s="57"/>
      <c r="L24" s="57"/>
      <c r="M24" s="57"/>
      <c r="N24" s="57"/>
    </row>
    <row r="25" spans="1:14" ht="17.100000000000001" customHeight="1" x14ac:dyDescent="0.2">
      <c r="A25" s="3">
        <v>19</v>
      </c>
      <c r="B25" s="4" t="s">
        <v>555</v>
      </c>
      <c r="C25" s="4" t="s">
        <v>556</v>
      </c>
      <c r="D25" s="4" t="s">
        <v>102</v>
      </c>
      <c r="E25" s="5">
        <v>120100</v>
      </c>
      <c r="F25" s="6">
        <v>1751.7786000000001</v>
      </c>
      <c r="G25" s="7">
        <v>1.1742023052866153E-2</v>
      </c>
      <c r="H25" s="52"/>
      <c r="J25" s="57"/>
      <c r="K25" s="57"/>
      <c r="L25" s="57"/>
      <c r="M25" s="57"/>
      <c r="N25" s="57"/>
    </row>
    <row r="26" spans="1:14" ht="17.100000000000001" customHeight="1" x14ac:dyDescent="0.2">
      <c r="A26" s="3">
        <v>20</v>
      </c>
      <c r="B26" s="4" t="s">
        <v>351</v>
      </c>
      <c r="C26" s="4" t="s">
        <v>352</v>
      </c>
      <c r="D26" s="4" t="s">
        <v>344</v>
      </c>
      <c r="E26" s="5">
        <v>70000</v>
      </c>
      <c r="F26" s="6">
        <v>1738.8</v>
      </c>
      <c r="G26" s="7">
        <v>1.1655028600260138E-2</v>
      </c>
      <c r="H26" s="52"/>
      <c r="J26" s="57"/>
      <c r="K26" s="57"/>
      <c r="L26" s="57"/>
      <c r="M26" s="57"/>
      <c r="N26" s="57"/>
    </row>
    <row r="27" spans="1:14" ht="29.1" customHeight="1" x14ac:dyDescent="0.2">
      <c r="A27" s="3">
        <v>21</v>
      </c>
      <c r="B27" s="4" t="s">
        <v>390</v>
      </c>
      <c r="C27" s="4" t="s">
        <v>391</v>
      </c>
      <c r="D27" s="4" t="s">
        <v>226</v>
      </c>
      <c r="E27" s="5">
        <v>142000</v>
      </c>
      <c r="F27" s="6">
        <v>1704</v>
      </c>
      <c r="G27" s="7">
        <v>1.142176715829496E-2</v>
      </c>
      <c r="H27" s="52"/>
      <c r="J27" s="57"/>
      <c r="K27" s="57"/>
      <c r="L27" s="57"/>
      <c r="M27" s="57"/>
      <c r="N27" s="57"/>
    </row>
    <row r="28" spans="1:14" ht="17.100000000000001" customHeight="1" x14ac:dyDescent="0.2">
      <c r="A28" s="3">
        <v>22</v>
      </c>
      <c r="B28" s="4" t="s">
        <v>553</v>
      </c>
      <c r="C28" s="4" t="s">
        <v>554</v>
      </c>
      <c r="D28" s="4" t="s">
        <v>283</v>
      </c>
      <c r="E28" s="5">
        <v>164000</v>
      </c>
      <c r="F28" s="6">
        <v>1692.808</v>
      </c>
      <c r="G28" s="7">
        <v>1.1346748133626159E-2</v>
      </c>
      <c r="H28" s="52"/>
      <c r="J28" s="57"/>
      <c r="K28" s="57"/>
      <c r="L28" s="57"/>
      <c r="M28" s="57"/>
      <c r="N28" s="57"/>
    </row>
    <row r="29" spans="1:14" ht="17.100000000000001" customHeight="1" x14ac:dyDescent="0.2">
      <c r="A29" s="3">
        <v>23</v>
      </c>
      <c r="B29" s="4" t="s">
        <v>342</v>
      </c>
      <c r="C29" s="4" t="s">
        <v>343</v>
      </c>
      <c r="D29" s="4" t="s">
        <v>344</v>
      </c>
      <c r="E29" s="5">
        <v>382000</v>
      </c>
      <c r="F29" s="6">
        <v>1636.4880000000001</v>
      </c>
      <c r="G29" s="7">
        <v>1.0969239960882513E-2</v>
      </c>
      <c r="H29" s="52"/>
      <c r="J29" s="57"/>
      <c r="K29" s="57"/>
      <c r="L29" s="57"/>
      <c r="M29" s="57"/>
      <c r="N29" s="57"/>
    </row>
    <row r="30" spans="1:14" ht="17.100000000000001" customHeight="1" x14ac:dyDescent="0.2">
      <c r="A30" s="3">
        <v>24</v>
      </c>
      <c r="B30" s="4" t="s">
        <v>195</v>
      </c>
      <c r="C30" s="4" t="s">
        <v>196</v>
      </c>
      <c r="D30" s="4" t="s">
        <v>70</v>
      </c>
      <c r="E30" s="5">
        <v>87000</v>
      </c>
      <c r="F30" s="6">
        <v>1635.4694999999999</v>
      </c>
      <c r="G30" s="7">
        <v>1.0962413041956031E-2</v>
      </c>
      <c r="H30" s="52"/>
      <c r="J30" s="57"/>
      <c r="K30" s="57"/>
      <c r="L30" s="57"/>
      <c r="M30" s="57"/>
      <c r="N30" s="57"/>
    </row>
    <row r="31" spans="1:14" ht="29.1" customHeight="1" x14ac:dyDescent="0.2">
      <c r="A31" s="3">
        <v>25</v>
      </c>
      <c r="B31" s="4" t="s">
        <v>327</v>
      </c>
      <c r="C31" s="4" t="s">
        <v>328</v>
      </c>
      <c r="D31" s="4" t="s">
        <v>226</v>
      </c>
      <c r="E31" s="5">
        <v>149000</v>
      </c>
      <c r="F31" s="6">
        <v>1622.0139999999999</v>
      </c>
      <c r="G31" s="7">
        <v>1.0872221969186996E-2</v>
      </c>
      <c r="H31" s="52"/>
      <c r="J31" s="57"/>
      <c r="K31" s="57"/>
      <c r="L31" s="57"/>
      <c r="M31" s="57"/>
      <c r="N31" s="57"/>
    </row>
    <row r="32" spans="1:14" ht="17.100000000000001" customHeight="1" x14ac:dyDescent="0.2">
      <c r="A32" s="3">
        <v>26</v>
      </c>
      <c r="B32" s="4" t="s">
        <v>468</v>
      </c>
      <c r="C32" s="4" t="s">
        <v>469</v>
      </c>
      <c r="D32" s="4" t="s">
        <v>888</v>
      </c>
      <c r="E32" s="5">
        <v>122500</v>
      </c>
      <c r="F32" s="6">
        <v>1563.1</v>
      </c>
      <c r="G32" s="7">
        <v>1.0477326434935945E-2</v>
      </c>
      <c r="H32" s="52"/>
      <c r="J32" s="57"/>
      <c r="K32" s="57"/>
      <c r="L32" s="57"/>
      <c r="M32" s="57"/>
      <c r="N32" s="57"/>
    </row>
    <row r="33" spans="1:14" ht="17.100000000000001" customHeight="1" x14ac:dyDescent="0.2">
      <c r="A33" s="3">
        <v>27</v>
      </c>
      <c r="B33" s="4" t="s">
        <v>103</v>
      </c>
      <c r="C33" s="4" t="s">
        <v>104</v>
      </c>
      <c r="D33" s="4" t="s">
        <v>105</v>
      </c>
      <c r="E33" s="5">
        <v>52000</v>
      </c>
      <c r="F33" s="6">
        <v>1465.048</v>
      </c>
      <c r="G33" s="7">
        <v>9.8200922134540573E-3</v>
      </c>
      <c r="H33" s="52"/>
      <c r="J33" s="57"/>
      <c r="K33" s="57"/>
      <c r="L33" s="57"/>
      <c r="M33" s="57"/>
      <c r="N33" s="57"/>
    </row>
    <row r="34" spans="1:14" ht="29.1" customHeight="1" x14ac:dyDescent="0.2">
      <c r="A34" s="3">
        <v>28</v>
      </c>
      <c r="B34" s="4" t="s">
        <v>209</v>
      </c>
      <c r="C34" s="4" t="s">
        <v>210</v>
      </c>
      <c r="D34" s="4" t="s">
        <v>211</v>
      </c>
      <c r="E34" s="5">
        <v>135000</v>
      </c>
      <c r="F34" s="6">
        <v>1408.05</v>
      </c>
      <c r="G34" s="7">
        <v>9.4380394643410904E-3</v>
      </c>
      <c r="H34" s="52"/>
      <c r="J34" s="57"/>
      <c r="K34" s="57"/>
      <c r="L34" s="57"/>
      <c r="M34" s="57"/>
      <c r="N34" s="57"/>
    </row>
    <row r="35" spans="1:14" ht="17.100000000000001" customHeight="1" x14ac:dyDescent="0.2">
      <c r="A35" s="3">
        <v>29</v>
      </c>
      <c r="B35" s="4" t="s">
        <v>46</v>
      </c>
      <c r="C35" s="4" t="s">
        <v>47</v>
      </c>
      <c r="D35" s="4" t="s">
        <v>31</v>
      </c>
      <c r="E35" s="5">
        <v>59000</v>
      </c>
      <c r="F35" s="6">
        <v>1265.1959999999999</v>
      </c>
      <c r="G35" s="7">
        <v>8.4805012450740319E-3</v>
      </c>
      <c r="H35" s="52"/>
    </row>
    <row r="36" spans="1:14" ht="17.100000000000001" customHeight="1" x14ac:dyDescent="0.2">
      <c r="A36" s="3">
        <v>30</v>
      </c>
      <c r="B36" s="4" t="s">
        <v>349</v>
      </c>
      <c r="C36" s="4" t="s">
        <v>350</v>
      </c>
      <c r="D36" s="4" t="s">
        <v>70</v>
      </c>
      <c r="E36" s="5">
        <v>16250</v>
      </c>
      <c r="F36" s="6">
        <v>1217.555625</v>
      </c>
      <c r="G36" s="7">
        <v>8.161171860928575E-3</v>
      </c>
      <c r="H36" s="52"/>
    </row>
    <row r="37" spans="1:14" ht="29.1" customHeight="1" x14ac:dyDescent="0.2">
      <c r="A37" s="3">
        <v>31</v>
      </c>
      <c r="B37" s="4" t="s">
        <v>232</v>
      </c>
      <c r="C37" s="4" t="s">
        <v>233</v>
      </c>
      <c r="D37" s="4" t="s">
        <v>226</v>
      </c>
      <c r="E37" s="5">
        <v>200000</v>
      </c>
      <c r="F37" s="6">
        <v>1147.0999999999999</v>
      </c>
      <c r="G37" s="7">
        <v>7.6889137953521994E-3</v>
      </c>
      <c r="H37" s="52"/>
    </row>
    <row r="38" spans="1:14" ht="17.100000000000001" customHeight="1" x14ac:dyDescent="0.2">
      <c r="A38" s="3">
        <v>32</v>
      </c>
      <c r="B38" s="4" t="s">
        <v>331</v>
      </c>
      <c r="C38" s="4" t="s">
        <v>332</v>
      </c>
      <c r="D38" s="4" t="s">
        <v>283</v>
      </c>
      <c r="E38" s="5">
        <v>125000</v>
      </c>
      <c r="F38" s="6">
        <v>1136</v>
      </c>
      <c r="G38" s="7">
        <v>7.6145114388633068E-3</v>
      </c>
      <c r="H38" s="52"/>
    </row>
    <row r="39" spans="1:14" ht="29.1" customHeight="1" x14ac:dyDescent="0.2">
      <c r="A39" s="3">
        <v>33</v>
      </c>
      <c r="B39" s="4" t="s">
        <v>23</v>
      </c>
      <c r="C39" s="4" t="s">
        <v>24</v>
      </c>
      <c r="D39" s="4" t="s">
        <v>25</v>
      </c>
      <c r="E39" s="5">
        <v>13000</v>
      </c>
      <c r="F39" s="6">
        <v>1094.8924999999999</v>
      </c>
      <c r="G39" s="7">
        <v>7.3389713605419389E-3</v>
      </c>
      <c r="H39" s="52"/>
    </row>
    <row r="40" spans="1:14" ht="17.100000000000001" customHeight="1" x14ac:dyDescent="0.2">
      <c r="A40" s="3">
        <v>34</v>
      </c>
      <c r="B40" s="4" t="s">
        <v>112</v>
      </c>
      <c r="C40" s="4" t="s">
        <v>113</v>
      </c>
      <c r="D40" s="4" t="s">
        <v>114</v>
      </c>
      <c r="E40" s="5">
        <v>166250</v>
      </c>
      <c r="F40" s="6">
        <v>1053.6925000000001</v>
      </c>
      <c r="G40" s="7">
        <v>7.0628112625831648E-3</v>
      </c>
      <c r="H40" s="52"/>
    </row>
    <row r="41" spans="1:14" ht="17.100000000000001" customHeight="1" x14ac:dyDescent="0.2">
      <c r="A41" s="3">
        <v>35</v>
      </c>
      <c r="B41" s="4" t="s">
        <v>366</v>
      </c>
      <c r="C41" s="4" t="s">
        <v>367</v>
      </c>
      <c r="D41" s="4" t="s">
        <v>114</v>
      </c>
      <c r="E41" s="5">
        <v>877500</v>
      </c>
      <c r="F41" s="6">
        <v>1042.03125</v>
      </c>
      <c r="G41" s="7">
        <v>6.9846468950510825E-3</v>
      </c>
      <c r="H41" s="52"/>
    </row>
    <row r="42" spans="1:14" ht="29.1" customHeight="1" x14ac:dyDescent="0.2">
      <c r="A42" s="3">
        <v>36</v>
      </c>
      <c r="B42" s="4" t="s">
        <v>63</v>
      </c>
      <c r="C42" s="4" t="s">
        <v>64</v>
      </c>
      <c r="D42" s="4" t="s">
        <v>25</v>
      </c>
      <c r="E42" s="5">
        <v>49500</v>
      </c>
      <c r="F42" s="6">
        <v>1041.60375</v>
      </c>
      <c r="G42" s="7">
        <v>6.9817813988890106E-3</v>
      </c>
      <c r="H42" s="52"/>
    </row>
    <row r="43" spans="1:14" ht="17.100000000000001" customHeight="1" x14ac:dyDescent="0.2">
      <c r="A43" s="3">
        <v>37</v>
      </c>
      <c r="B43" s="4" t="s">
        <v>466</v>
      </c>
      <c r="C43" s="4" t="s">
        <v>467</v>
      </c>
      <c r="D43" s="4" t="s">
        <v>221</v>
      </c>
      <c r="E43" s="5">
        <v>75000</v>
      </c>
      <c r="F43" s="6">
        <v>1025.8875</v>
      </c>
      <c r="G43" s="7">
        <v>6.8764367110359867E-3</v>
      </c>
      <c r="H43" s="52"/>
    </row>
    <row r="44" spans="1:14" ht="29.1" customHeight="1" x14ac:dyDescent="0.2">
      <c r="A44" s="3">
        <v>38</v>
      </c>
      <c r="B44" s="4" t="s">
        <v>693</v>
      </c>
      <c r="C44" s="4" t="s">
        <v>694</v>
      </c>
      <c r="D44" s="4" t="s">
        <v>216</v>
      </c>
      <c r="E44" s="5">
        <v>230000</v>
      </c>
      <c r="F44" s="6">
        <v>1021.545</v>
      </c>
      <c r="G44" s="7">
        <v>6.8473293026528308E-3</v>
      </c>
      <c r="H44" s="52"/>
    </row>
    <row r="45" spans="1:14" ht="17.100000000000001" customHeight="1" x14ac:dyDescent="0.2">
      <c r="A45" s="3">
        <v>39</v>
      </c>
      <c r="B45" s="4" t="s">
        <v>353</v>
      </c>
      <c r="C45" s="4" t="s">
        <v>354</v>
      </c>
      <c r="D45" s="4" t="s">
        <v>888</v>
      </c>
      <c r="E45" s="5">
        <v>20000</v>
      </c>
      <c r="F45" s="6">
        <v>1012.08</v>
      </c>
      <c r="G45" s="7">
        <v>6.7838862121873027E-3</v>
      </c>
      <c r="H45" s="52"/>
    </row>
    <row r="46" spans="1:14" ht="17.100000000000001" customHeight="1" x14ac:dyDescent="0.2">
      <c r="A46" s="3">
        <v>40</v>
      </c>
      <c r="B46" s="4" t="s">
        <v>565</v>
      </c>
      <c r="C46" s="4" t="s">
        <v>566</v>
      </c>
      <c r="D46" s="4" t="s">
        <v>102</v>
      </c>
      <c r="E46" s="5">
        <v>18750</v>
      </c>
      <c r="F46" s="6">
        <v>996.38437499999998</v>
      </c>
      <c r="G46" s="7">
        <v>6.6786797719561326E-3</v>
      </c>
      <c r="H46" s="52"/>
    </row>
    <row r="47" spans="1:14" ht="25.5" x14ac:dyDescent="0.2">
      <c r="A47" s="3">
        <v>41</v>
      </c>
      <c r="B47" s="39" t="s">
        <v>975</v>
      </c>
      <c r="C47" s="39" t="s">
        <v>976</v>
      </c>
      <c r="D47" s="39" t="s">
        <v>22</v>
      </c>
      <c r="E47" s="45">
        <v>1000916</v>
      </c>
      <c r="F47" s="46">
        <v>983.60020000000009</v>
      </c>
      <c r="G47" s="41">
        <v>6.5929885335987998E-3</v>
      </c>
      <c r="H47" s="52"/>
    </row>
    <row r="48" spans="1:14" ht="17.100000000000001" customHeight="1" x14ac:dyDescent="0.2">
      <c r="A48" s="3">
        <v>42</v>
      </c>
      <c r="B48" s="4" t="s">
        <v>53</v>
      </c>
      <c r="C48" s="4" t="s">
        <v>54</v>
      </c>
      <c r="D48" s="4" t="s">
        <v>31</v>
      </c>
      <c r="E48" s="5">
        <v>18750</v>
      </c>
      <c r="F48" s="6">
        <v>922.89374999999995</v>
      </c>
      <c r="G48" s="7">
        <v>6.1860783593577929E-3</v>
      </c>
      <c r="H48" s="52"/>
    </row>
    <row r="49" spans="1:8" ht="17.100000000000001" customHeight="1" x14ac:dyDescent="0.2">
      <c r="A49" s="3">
        <v>43</v>
      </c>
      <c r="B49" s="4" t="s">
        <v>557</v>
      </c>
      <c r="C49" s="4" t="s">
        <v>558</v>
      </c>
      <c r="D49" s="4" t="s">
        <v>102</v>
      </c>
      <c r="E49" s="5">
        <v>28000</v>
      </c>
      <c r="F49" s="6">
        <v>922.75400000000002</v>
      </c>
      <c r="G49" s="7">
        <v>6.185141626986683E-3</v>
      </c>
      <c r="H49" s="52"/>
    </row>
    <row r="50" spans="1:8" ht="17.100000000000001" customHeight="1" x14ac:dyDescent="0.2">
      <c r="A50" s="3">
        <v>44</v>
      </c>
      <c r="B50" s="4" t="s">
        <v>491</v>
      </c>
      <c r="C50" s="4" t="s">
        <v>492</v>
      </c>
      <c r="D50" s="4" t="s">
        <v>93</v>
      </c>
      <c r="E50" s="5">
        <v>989100</v>
      </c>
      <c r="F50" s="6">
        <v>893.65184999999997</v>
      </c>
      <c r="G50" s="7">
        <v>5.9900723892485526E-3</v>
      </c>
      <c r="H50" s="52"/>
    </row>
    <row r="51" spans="1:8" ht="17.100000000000001" customHeight="1" x14ac:dyDescent="0.2">
      <c r="A51" s="3">
        <v>45</v>
      </c>
      <c r="B51" s="4" t="s">
        <v>245</v>
      </c>
      <c r="C51" s="4" t="s">
        <v>246</v>
      </c>
      <c r="D51" s="4" t="s">
        <v>60</v>
      </c>
      <c r="E51" s="5">
        <v>68500</v>
      </c>
      <c r="F51" s="6">
        <v>813.4375</v>
      </c>
      <c r="G51" s="7">
        <v>5.4524024194985655E-3</v>
      </c>
      <c r="H51" s="52"/>
    </row>
    <row r="52" spans="1:8" ht="17.100000000000001" customHeight="1" x14ac:dyDescent="0.2">
      <c r="A52" s="3">
        <v>46</v>
      </c>
      <c r="B52" s="4" t="s">
        <v>251</v>
      </c>
      <c r="C52" s="4" t="s">
        <v>252</v>
      </c>
      <c r="D52" s="4" t="s">
        <v>70</v>
      </c>
      <c r="E52" s="5">
        <v>65000</v>
      </c>
      <c r="F52" s="6">
        <v>739.83</v>
      </c>
      <c r="G52" s="7">
        <v>4.959017603709719E-3</v>
      </c>
      <c r="H52" s="52"/>
    </row>
    <row r="53" spans="1:8" ht="17.100000000000001" customHeight="1" x14ac:dyDescent="0.2">
      <c r="A53" s="3">
        <v>47</v>
      </c>
      <c r="B53" s="4" t="s">
        <v>240</v>
      </c>
      <c r="C53" s="4" t="s">
        <v>241</v>
      </c>
      <c r="D53" s="4" t="s">
        <v>242</v>
      </c>
      <c r="E53" s="5">
        <v>65100</v>
      </c>
      <c r="F53" s="6">
        <v>735.76020000000005</v>
      </c>
      <c r="G53" s="7">
        <v>4.9317380802467907E-3</v>
      </c>
      <c r="H53" s="52"/>
    </row>
    <row r="54" spans="1:8" ht="17.100000000000001" customHeight="1" x14ac:dyDescent="0.2">
      <c r="A54" s="3">
        <v>48</v>
      </c>
      <c r="B54" s="4" t="s">
        <v>74</v>
      </c>
      <c r="C54" s="4" t="s">
        <v>75</v>
      </c>
      <c r="D54" s="4" t="s">
        <v>76</v>
      </c>
      <c r="E54" s="5">
        <v>600000</v>
      </c>
      <c r="F54" s="6">
        <v>717</v>
      </c>
      <c r="G54" s="7">
        <v>4.8059900542825624E-3</v>
      </c>
      <c r="H54" s="52"/>
    </row>
    <row r="55" spans="1:8" ht="29.1" customHeight="1" x14ac:dyDescent="0.2">
      <c r="A55" s="3">
        <v>49</v>
      </c>
      <c r="B55" s="4" t="s">
        <v>472</v>
      </c>
      <c r="C55" s="4" t="s">
        <v>473</v>
      </c>
      <c r="D55" s="4" t="s">
        <v>474</v>
      </c>
      <c r="E55" s="5">
        <v>77000</v>
      </c>
      <c r="F55" s="6">
        <v>693.38499999999999</v>
      </c>
      <c r="G55" s="7">
        <v>4.6477007165811914E-3</v>
      </c>
      <c r="H55" s="52"/>
    </row>
    <row r="56" spans="1:8" ht="17.100000000000001" customHeight="1" x14ac:dyDescent="0.2">
      <c r="A56" s="3">
        <v>50</v>
      </c>
      <c r="B56" s="4" t="s">
        <v>571</v>
      </c>
      <c r="C56" s="4" t="s">
        <v>572</v>
      </c>
      <c r="D56" s="4" t="s">
        <v>888</v>
      </c>
      <c r="E56" s="5">
        <v>57000</v>
      </c>
      <c r="F56" s="6">
        <v>645.89549999999997</v>
      </c>
      <c r="G56" s="7">
        <v>4.3293826347362103E-3</v>
      </c>
      <c r="H56" s="52"/>
    </row>
    <row r="57" spans="1:8" ht="17.100000000000001" customHeight="1" x14ac:dyDescent="0.2">
      <c r="A57" s="3">
        <v>51</v>
      </c>
      <c r="B57" s="4" t="s">
        <v>234</v>
      </c>
      <c r="C57" s="4" t="s">
        <v>235</v>
      </c>
      <c r="D57" s="4" t="s">
        <v>60</v>
      </c>
      <c r="E57" s="5">
        <v>75000</v>
      </c>
      <c r="F57" s="6">
        <v>628.125</v>
      </c>
      <c r="G57" s="7">
        <v>4.2102684837464913E-3</v>
      </c>
      <c r="H57" s="52"/>
    </row>
    <row r="58" spans="1:8" ht="17.100000000000001" customHeight="1" x14ac:dyDescent="0.2">
      <c r="A58" s="3">
        <v>52</v>
      </c>
      <c r="B58" s="4" t="s">
        <v>110</v>
      </c>
      <c r="C58" s="4" t="s">
        <v>111</v>
      </c>
      <c r="D58" s="4" t="s">
        <v>105</v>
      </c>
      <c r="E58" s="5">
        <v>110000</v>
      </c>
      <c r="F58" s="6">
        <v>595.65</v>
      </c>
      <c r="G58" s="7">
        <v>3.9925913191539864E-3</v>
      </c>
      <c r="H58" s="52"/>
    </row>
    <row r="59" spans="1:8" ht="17.100000000000001" customHeight="1" x14ac:dyDescent="0.2">
      <c r="A59" s="3">
        <v>53</v>
      </c>
      <c r="B59" s="4" t="s">
        <v>203</v>
      </c>
      <c r="C59" s="4" t="s">
        <v>204</v>
      </c>
      <c r="D59" s="4" t="s">
        <v>205</v>
      </c>
      <c r="E59" s="5">
        <v>172000</v>
      </c>
      <c r="F59" s="6">
        <v>555.47400000000005</v>
      </c>
      <c r="G59" s="7">
        <v>3.7232950061541871E-3</v>
      </c>
      <c r="H59" s="52"/>
    </row>
    <row r="60" spans="1:8" ht="17.100000000000001" customHeight="1" x14ac:dyDescent="0.2">
      <c r="A60" s="3">
        <v>54</v>
      </c>
      <c r="B60" s="4" t="s">
        <v>329</v>
      </c>
      <c r="C60" s="4" t="s">
        <v>330</v>
      </c>
      <c r="D60" s="4" t="s">
        <v>28</v>
      </c>
      <c r="E60" s="5">
        <v>36000</v>
      </c>
      <c r="F60" s="6">
        <v>518.86800000000005</v>
      </c>
      <c r="G60" s="7">
        <v>3.4779280997008157E-3</v>
      </c>
      <c r="H60" s="52"/>
    </row>
    <row r="61" spans="1:8" ht="17.100000000000001" customHeight="1" x14ac:dyDescent="0.2">
      <c r="A61" s="3">
        <v>55</v>
      </c>
      <c r="B61" s="4" t="s">
        <v>260</v>
      </c>
      <c r="C61" s="4" t="s">
        <v>261</v>
      </c>
      <c r="D61" s="4" t="s">
        <v>28</v>
      </c>
      <c r="E61" s="5">
        <v>500000</v>
      </c>
      <c r="F61" s="6">
        <v>508</v>
      </c>
      <c r="G61" s="7">
        <v>3.4050808194916898E-3</v>
      </c>
      <c r="H61" s="52"/>
    </row>
    <row r="62" spans="1:8" ht="29.1" customHeight="1" x14ac:dyDescent="0.2">
      <c r="A62" s="3">
        <v>56</v>
      </c>
      <c r="B62" s="4" t="s">
        <v>569</v>
      </c>
      <c r="C62" s="4" t="s">
        <v>570</v>
      </c>
      <c r="D62" s="4" t="s">
        <v>474</v>
      </c>
      <c r="E62" s="5">
        <v>90000</v>
      </c>
      <c r="F62" s="6">
        <v>482.89499999999998</v>
      </c>
      <c r="G62" s="7">
        <v>3.2368041384418099E-3</v>
      </c>
      <c r="H62" s="52"/>
    </row>
    <row r="63" spans="1:8" ht="29.1" customHeight="1" x14ac:dyDescent="0.2">
      <c r="A63" s="3">
        <v>57</v>
      </c>
      <c r="B63" s="4" t="s">
        <v>563</v>
      </c>
      <c r="C63" s="4" t="s">
        <v>564</v>
      </c>
      <c r="D63" s="4" t="s">
        <v>221</v>
      </c>
      <c r="E63" s="5">
        <v>85500</v>
      </c>
      <c r="F63" s="6">
        <v>449.08875</v>
      </c>
      <c r="G63" s="7">
        <v>3.0102037182568871E-3</v>
      </c>
      <c r="H63" s="52"/>
    </row>
    <row r="64" spans="1:8" ht="17.100000000000001" customHeight="1" x14ac:dyDescent="0.2">
      <c r="A64" s="3">
        <v>58</v>
      </c>
      <c r="B64" s="4" t="s">
        <v>127</v>
      </c>
      <c r="C64" s="4" t="s">
        <v>128</v>
      </c>
      <c r="D64" s="4" t="s">
        <v>52</v>
      </c>
      <c r="E64" s="5">
        <v>203072</v>
      </c>
      <c r="F64" s="6">
        <v>432.34028799999999</v>
      </c>
      <c r="G64" s="7">
        <v>2.8979402011069157E-3</v>
      </c>
      <c r="H64" s="52"/>
    </row>
    <row r="65" spans="1:8" ht="17.100000000000001" customHeight="1" x14ac:dyDescent="0.2">
      <c r="A65" s="3">
        <v>59</v>
      </c>
      <c r="B65" s="4" t="s">
        <v>253</v>
      </c>
      <c r="C65" s="4" t="s">
        <v>254</v>
      </c>
      <c r="D65" s="4" t="s">
        <v>208</v>
      </c>
      <c r="E65" s="5">
        <v>10500</v>
      </c>
      <c r="F65" s="6">
        <v>428.84625</v>
      </c>
      <c r="G65" s="7">
        <v>2.8745199613896418E-3</v>
      </c>
      <c r="H65" s="52"/>
    </row>
    <row r="66" spans="1:8" ht="17.100000000000001" customHeight="1" x14ac:dyDescent="0.2">
      <c r="A66" s="3">
        <v>60</v>
      </c>
      <c r="B66" s="4" t="s">
        <v>247</v>
      </c>
      <c r="C66" s="4" t="s">
        <v>248</v>
      </c>
      <c r="D66" s="4" t="s">
        <v>102</v>
      </c>
      <c r="E66" s="5">
        <v>18900</v>
      </c>
      <c r="F66" s="6">
        <v>300.66120000000001</v>
      </c>
      <c r="G66" s="7">
        <v>2.0153064670971554E-3</v>
      </c>
      <c r="H66" s="52"/>
    </row>
    <row r="67" spans="1:8" ht="29.1" customHeight="1" x14ac:dyDescent="0.2">
      <c r="A67" s="3">
        <v>61</v>
      </c>
      <c r="B67" s="4" t="s">
        <v>238</v>
      </c>
      <c r="C67" s="4" t="s">
        <v>239</v>
      </c>
      <c r="D67" s="4" t="s">
        <v>226</v>
      </c>
      <c r="E67" s="5">
        <v>7087</v>
      </c>
      <c r="F67" s="6">
        <v>263.76750950000002</v>
      </c>
      <c r="G67" s="7">
        <v>1.7680111956762641E-3</v>
      </c>
      <c r="H67" s="52"/>
    </row>
    <row r="68" spans="1:8" ht="17.100000000000001" customHeight="1" x14ac:dyDescent="0.2">
      <c r="A68" s="3">
        <v>62</v>
      </c>
      <c r="B68" s="4" t="s">
        <v>355</v>
      </c>
      <c r="C68" s="4" t="s">
        <v>356</v>
      </c>
      <c r="D68" s="4" t="s">
        <v>357</v>
      </c>
      <c r="E68" s="5">
        <v>10000</v>
      </c>
      <c r="F68" s="6">
        <v>233.09</v>
      </c>
      <c r="G68" s="7">
        <v>1.5623824571167678E-3</v>
      </c>
      <c r="H68" s="52"/>
    </row>
    <row r="69" spans="1:8" ht="29.1" customHeight="1" x14ac:dyDescent="0.2">
      <c r="A69" s="3">
        <v>63</v>
      </c>
      <c r="B69" s="4" t="s">
        <v>573</v>
      </c>
      <c r="C69" s="4" t="s">
        <v>574</v>
      </c>
      <c r="D69" s="4" t="s">
        <v>141</v>
      </c>
      <c r="E69" s="5">
        <v>28000</v>
      </c>
      <c r="F69" s="6">
        <v>219.73</v>
      </c>
      <c r="G69" s="7">
        <v>1.4728315127301359E-3</v>
      </c>
      <c r="H69" s="52"/>
    </row>
    <row r="70" spans="1:8" ht="14.1" customHeight="1" x14ac:dyDescent="0.2">
      <c r="A70" s="1"/>
      <c r="B70" s="1"/>
      <c r="C70" s="2" t="s">
        <v>145</v>
      </c>
      <c r="D70" s="1"/>
      <c r="E70" s="1" t="s">
        <v>146</v>
      </c>
      <c r="F70" s="9">
        <v>111424.5348335</v>
      </c>
      <c r="G70" s="10">
        <v>0.74686918579199713</v>
      </c>
      <c r="H70" s="52"/>
    </row>
    <row r="71" spans="1:8" ht="14.1" customHeight="1" x14ac:dyDescent="0.2">
      <c r="A71" s="1"/>
      <c r="B71" s="1"/>
      <c r="C71" s="11"/>
      <c r="D71" s="1"/>
      <c r="E71" s="1"/>
      <c r="F71" s="12"/>
      <c r="G71" s="12"/>
      <c r="H71" s="52"/>
    </row>
    <row r="72" spans="1:8" ht="14.1" customHeight="1" x14ac:dyDescent="0.2">
      <c r="A72" s="1"/>
      <c r="B72" s="1"/>
      <c r="C72" s="2" t="s">
        <v>147</v>
      </c>
      <c r="D72" s="1"/>
      <c r="E72" s="1"/>
      <c r="F72" s="1"/>
      <c r="G72" s="1"/>
      <c r="H72" s="52"/>
    </row>
    <row r="73" spans="1:8" ht="14.1" customHeight="1" x14ac:dyDescent="0.2">
      <c r="A73" s="1"/>
      <c r="B73" s="1"/>
      <c r="C73" s="2" t="s">
        <v>145</v>
      </c>
      <c r="D73" s="1"/>
      <c r="E73" s="1" t="s">
        <v>146</v>
      </c>
      <c r="F73" s="13" t="s">
        <v>148</v>
      </c>
      <c r="G73" s="10">
        <v>0</v>
      </c>
      <c r="H73" s="52"/>
    </row>
    <row r="74" spans="1:8" ht="14.1" customHeight="1" x14ac:dyDescent="0.2">
      <c r="A74" s="1"/>
      <c r="B74" s="1"/>
      <c r="C74" s="11"/>
      <c r="D74" s="1"/>
      <c r="E74" s="1"/>
      <c r="F74" s="12"/>
      <c r="G74" s="12"/>
      <c r="H74" s="52"/>
    </row>
    <row r="75" spans="1:8" ht="14.1" customHeight="1" x14ac:dyDescent="0.2">
      <c r="A75" s="1"/>
      <c r="B75" s="1"/>
      <c r="C75" s="2" t="s">
        <v>149</v>
      </c>
      <c r="D75" s="1"/>
      <c r="E75" s="1"/>
      <c r="F75" s="1"/>
      <c r="G75" s="1"/>
      <c r="H75" s="52"/>
    </row>
    <row r="76" spans="1:8" ht="14.1" customHeight="1" x14ac:dyDescent="0.2">
      <c r="A76" s="1"/>
      <c r="B76" s="1"/>
      <c r="C76" s="2" t="s">
        <v>145</v>
      </c>
      <c r="D76" s="1"/>
      <c r="E76" s="1" t="s">
        <v>146</v>
      </c>
      <c r="F76" s="13" t="s">
        <v>148</v>
      </c>
      <c r="G76" s="10">
        <v>0</v>
      </c>
      <c r="H76" s="52"/>
    </row>
    <row r="77" spans="1:8" ht="14.1" customHeight="1" x14ac:dyDescent="0.2">
      <c r="A77" s="1"/>
      <c r="B77" s="1"/>
      <c r="C77" s="11"/>
      <c r="D77" s="1"/>
      <c r="E77" s="1"/>
      <c r="F77" s="12"/>
      <c r="G77" s="12"/>
      <c r="H77" s="52"/>
    </row>
    <row r="78" spans="1:8" ht="14.1" customHeight="1" x14ac:dyDescent="0.2">
      <c r="A78" s="1"/>
      <c r="B78" s="1"/>
      <c r="C78" s="2" t="s">
        <v>150</v>
      </c>
      <c r="D78" s="1"/>
      <c r="E78" s="1"/>
      <c r="F78" s="1"/>
      <c r="G78" s="1"/>
      <c r="H78" s="52"/>
    </row>
    <row r="79" spans="1:8" ht="29.1" customHeight="1" x14ac:dyDescent="0.2">
      <c r="A79" s="3">
        <v>1</v>
      </c>
      <c r="B79" s="4" t="s">
        <v>312</v>
      </c>
      <c r="C79" s="4" t="s">
        <v>949</v>
      </c>
      <c r="D79" s="4" t="s">
        <v>105</v>
      </c>
      <c r="E79" s="5">
        <v>1870814</v>
      </c>
      <c r="F79" s="6">
        <v>194.56465600000001</v>
      </c>
      <c r="G79" s="7">
        <v>1.3041503509775567E-3</v>
      </c>
      <c r="H79" s="52"/>
    </row>
    <row r="80" spans="1:8" ht="14.1" customHeight="1" x14ac:dyDescent="0.2">
      <c r="A80" s="1"/>
      <c r="B80" s="1"/>
      <c r="C80" s="2" t="s">
        <v>145</v>
      </c>
      <c r="D80" s="1"/>
      <c r="E80" s="1" t="s">
        <v>146</v>
      </c>
      <c r="F80" s="9">
        <v>194.56465600000001</v>
      </c>
      <c r="G80" s="10">
        <v>1.3041503509775567E-3</v>
      </c>
      <c r="H80" s="52"/>
    </row>
    <row r="81" spans="1:8" ht="14.1" customHeight="1" x14ac:dyDescent="0.2">
      <c r="A81" s="1"/>
      <c r="B81" s="1"/>
      <c r="C81" s="11"/>
      <c r="D81" s="1"/>
      <c r="E81" s="1"/>
      <c r="F81" s="12"/>
      <c r="G81" s="12"/>
      <c r="H81" s="52"/>
    </row>
    <row r="82" spans="1:8" ht="14.1" customHeight="1" x14ac:dyDescent="0.2">
      <c r="A82" s="1"/>
      <c r="B82" s="1"/>
      <c r="C82" s="2" t="s">
        <v>151</v>
      </c>
      <c r="D82" s="1"/>
      <c r="E82" s="1"/>
      <c r="F82" s="12"/>
      <c r="G82" s="12"/>
      <c r="H82" s="52"/>
    </row>
    <row r="83" spans="1:8" ht="14.1" customHeight="1" x14ac:dyDescent="0.2">
      <c r="A83" s="1"/>
      <c r="B83" s="1"/>
      <c r="C83" s="2" t="s">
        <v>145</v>
      </c>
      <c r="D83" s="1"/>
      <c r="E83" s="1" t="s">
        <v>146</v>
      </c>
      <c r="F83" s="13" t="s">
        <v>148</v>
      </c>
      <c r="G83" s="10">
        <v>0</v>
      </c>
      <c r="H83" s="52"/>
    </row>
    <row r="84" spans="1:8" ht="14.1" customHeight="1" x14ac:dyDescent="0.2">
      <c r="A84" s="1"/>
      <c r="B84" s="1"/>
      <c r="C84" s="2"/>
      <c r="D84" s="1"/>
      <c r="E84" s="1"/>
      <c r="F84" s="13"/>
      <c r="G84" s="10"/>
      <c r="H84" s="52"/>
    </row>
    <row r="85" spans="1:8" ht="14.1" customHeight="1" x14ac:dyDescent="0.2">
      <c r="A85" s="1"/>
      <c r="B85" s="1"/>
      <c r="C85" s="40" t="s">
        <v>985</v>
      </c>
      <c r="D85" s="1"/>
      <c r="E85" s="1"/>
      <c r="F85" s="12"/>
      <c r="G85" s="12"/>
      <c r="H85" s="52"/>
    </row>
    <row r="86" spans="1:8" ht="29.1" customHeight="1" x14ac:dyDescent="0.2">
      <c r="A86" s="3">
        <v>1</v>
      </c>
      <c r="B86" s="4" t="s">
        <v>984</v>
      </c>
      <c r="C86" s="39" t="s">
        <v>987</v>
      </c>
      <c r="D86" s="4" t="s">
        <v>986</v>
      </c>
      <c r="E86" s="5">
        <v>750</v>
      </c>
      <c r="F86" s="6">
        <v>715.28334299999995</v>
      </c>
      <c r="G86" s="7">
        <v>4.7944834483291243E-3</v>
      </c>
      <c r="H86" s="52">
        <v>8.3450000000000006</v>
      </c>
    </row>
    <row r="87" spans="1:8" ht="14.1" customHeight="1" x14ac:dyDescent="0.2">
      <c r="A87" s="1"/>
      <c r="B87" s="1"/>
      <c r="C87" s="2" t="s">
        <v>145</v>
      </c>
      <c r="D87" s="1"/>
      <c r="E87" s="1" t="s">
        <v>146</v>
      </c>
      <c r="F87" s="9">
        <f>SUM(F86)</f>
        <v>715.28334299999995</v>
      </c>
      <c r="G87" s="10">
        <v>4.7944834483291243E-3</v>
      </c>
      <c r="H87" s="52"/>
    </row>
    <row r="88" spans="1:8" ht="14.1" customHeight="1" x14ac:dyDescent="0.2">
      <c r="A88" s="1"/>
      <c r="B88" s="1"/>
      <c r="C88" s="11"/>
      <c r="D88" s="1"/>
      <c r="E88" s="1"/>
      <c r="F88" s="12"/>
      <c r="G88" s="12"/>
      <c r="H88" s="52"/>
    </row>
    <row r="89" spans="1:8" ht="14.1" customHeight="1" x14ac:dyDescent="0.2">
      <c r="A89" s="1"/>
      <c r="B89" s="1"/>
      <c r="C89" s="40" t="s">
        <v>983</v>
      </c>
      <c r="D89" s="1"/>
      <c r="E89" s="1"/>
      <c r="F89" s="12"/>
      <c r="G89" s="12"/>
      <c r="H89" s="52"/>
    </row>
    <row r="90" spans="1:8" ht="17.100000000000001" customHeight="1" x14ac:dyDescent="0.2">
      <c r="A90" s="3">
        <v>1</v>
      </c>
      <c r="B90" s="4"/>
      <c r="C90" s="4" t="s">
        <v>915</v>
      </c>
      <c r="D90" s="4" t="s">
        <v>314</v>
      </c>
      <c r="E90" s="5">
        <v>-625</v>
      </c>
      <c r="F90" s="6">
        <v>-33.400624999999998</v>
      </c>
      <c r="G90" s="7">
        <v>-2.2388155028845398E-4</v>
      </c>
      <c r="H90" s="52"/>
    </row>
    <row r="91" spans="1:8" ht="25.5" x14ac:dyDescent="0.2">
      <c r="A91" s="3">
        <v>2</v>
      </c>
      <c r="B91" s="4"/>
      <c r="C91" s="4" t="s">
        <v>916</v>
      </c>
      <c r="D91" s="4" t="s">
        <v>314</v>
      </c>
      <c r="E91" s="5">
        <v>-4500</v>
      </c>
      <c r="F91" s="6">
        <v>-61.868250000000003</v>
      </c>
      <c r="G91" s="7">
        <v>-4.14697620886844E-4</v>
      </c>
      <c r="H91" s="52"/>
    </row>
    <row r="92" spans="1:8" ht="17.100000000000001" customHeight="1" x14ac:dyDescent="0.2">
      <c r="A92" s="3">
        <v>3</v>
      </c>
      <c r="B92" s="4"/>
      <c r="C92" s="4" t="s">
        <v>917</v>
      </c>
      <c r="D92" s="4" t="s">
        <v>314</v>
      </c>
      <c r="E92" s="5">
        <v>-8800</v>
      </c>
      <c r="F92" s="6">
        <v>-69.515600000000006</v>
      </c>
      <c r="G92" s="7">
        <v>-4.6595715790444199E-4</v>
      </c>
      <c r="H92" s="52"/>
    </row>
    <row r="93" spans="1:8" ht="17.100000000000001" customHeight="1" x14ac:dyDescent="0.2">
      <c r="A93" s="3">
        <v>4</v>
      </c>
      <c r="B93" s="4"/>
      <c r="C93" s="4" t="s">
        <v>918</v>
      </c>
      <c r="D93" s="4" t="s">
        <v>314</v>
      </c>
      <c r="E93" s="5">
        <v>-7200</v>
      </c>
      <c r="F93" s="6">
        <v>-81.233999999999995</v>
      </c>
      <c r="G93" s="7">
        <v>-5.4450459702871641E-4</v>
      </c>
      <c r="H93" s="52"/>
    </row>
    <row r="94" spans="1:8" ht="17.100000000000001" customHeight="1" x14ac:dyDescent="0.2">
      <c r="A94" s="3">
        <v>5</v>
      </c>
      <c r="B94" s="4"/>
      <c r="C94" s="4" t="s">
        <v>919</v>
      </c>
      <c r="D94" s="4" t="s">
        <v>314</v>
      </c>
      <c r="E94" s="5">
        <v>-6500</v>
      </c>
      <c r="F94" s="6">
        <v>-102.42700000000001</v>
      </c>
      <c r="G94" s="7">
        <v>-6.865594746025105E-4</v>
      </c>
      <c r="H94" s="52"/>
    </row>
    <row r="95" spans="1:8" ht="17.100000000000001" customHeight="1" x14ac:dyDescent="0.2">
      <c r="A95" s="3">
        <v>6</v>
      </c>
      <c r="B95" s="4"/>
      <c r="C95" s="4" t="s">
        <v>920</v>
      </c>
      <c r="D95" s="4" t="s">
        <v>314</v>
      </c>
      <c r="E95" s="5">
        <v>-7500</v>
      </c>
      <c r="F95" s="6">
        <v>-108.48375</v>
      </c>
      <c r="G95" s="7">
        <v>-7.2715735502270002E-4</v>
      </c>
      <c r="H95" s="52"/>
    </row>
    <row r="96" spans="1:8" ht="17.100000000000001" customHeight="1" x14ac:dyDescent="0.2">
      <c r="A96" s="3">
        <v>7</v>
      </c>
      <c r="B96" s="4"/>
      <c r="C96" s="4" t="s">
        <v>921</v>
      </c>
      <c r="D96" s="4" t="s">
        <v>314</v>
      </c>
      <c r="E96" s="5">
        <v>-1300</v>
      </c>
      <c r="F96" s="6">
        <v>-109.98195</v>
      </c>
      <c r="G96" s="7">
        <v>-7.3719966227420088E-4</v>
      </c>
      <c r="H96" s="52"/>
    </row>
    <row r="97" spans="1:8" ht="17.100000000000001" customHeight="1" x14ac:dyDescent="0.2">
      <c r="A97" s="3">
        <v>8</v>
      </c>
      <c r="B97" s="4"/>
      <c r="C97" s="4" t="s">
        <v>922</v>
      </c>
      <c r="D97" s="4" t="s">
        <v>314</v>
      </c>
      <c r="E97" s="5">
        <v>-93500</v>
      </c>
      <c r="F97" s="6">
        <v>-111.639</v>
      </c>
      <c r="G97" s="7">
        <v>-7.4830672757329286E-4</v>
      </c>
      <c r="H97" s="52"/>
    </row>
    <row r="98" spans="1:8" ht="17.100000000000001" customHeight="1" x14ac:dyDescent="0.2">
      <c r="A98" s="3">
        <v>9</v>
      </c>
      <c r="B98" s="4"/>
      <c r="C98" s="4" t="s">
        <v>923</v>
      </c>
      <c r="D98" s="4" t="s">
        <v>314</v>
      </c>
      <c r="E98" s="5">
        <v>-54000</v>
      </c>
      <c r="F98" s="6">
        <v>-126.95399999999999</v>
      </c>
      <c r="G98" s="7">
        <v>-8.5096187078296842E-4</v>
      </c>
      <c r="H98" s="52"/>
    </row>
    <row r="99" spans="1:8" ht="25.5" x14ac:dyDescent="0.2">
      <c r="A99" s="3">
        <v>10</v>
      </c>
      <c r="B99" s="4"/>
      <c r="C99" s="4" t="s">
        <v>924</v>
      </c>
      <c r="D99" s="4" t="s">
        <v>314</v>
      </c>
      <c r="E99" s="5">
        <v>-12600</v>
      </c>
      <c r="F99" s="6">
        <v>-137.57939999999999</v>
      </c>
      <c r="G99" s="7">
        <v>-9.2218302381333653E-4</v>
      </c>
      <c r="H99" s="52"/>
    </row>
    <row r="100" spans="1:8" ht="17.100000000000001" customHeight="1" x14ac:dyDescent="0.2">
      <c r="A100" s="3">
        <v>11</v>
      </c>
      <c r="B100" s="4"/>
      <c r="C100" s="4" t="s">
        <v>925</v>
      </c>
      <c r="D100" s="4" t="s">
        <v>314</v>
      </c>
      <c r="E100" s="5">
        <v>-11900</v>
      </c>
      <c r="F100" s="6">
        <v>-152.21289999999999</v>
      </c>
      <c r="G100" s="7">
        <v>-1.0202701304511941E-3</v>
      </c>
      <c r="H100" s="52"/>
    </row>
    <row r="101" spans="1:8" ht="25.5" x14ac:dyDescent="0.2">
      <c r="A101" s="3">
        <v>12</v>
      </c>
      <c r="B101" s="4"/>
      <c r="C101" s="4" t="s">
        <v>926</v>
      </c>
      <c r="D101" s="4" t="s">
        <v>314</v>
      </c>
      <c r="E101" s="5">
        <v>-17500</v>
      </c>
      <c r="F101" s="6">
        <v>-182.07875000000001</v>
      </c>
      <c r="G101" s="7">
        <v>-1.2204583843740601E-3</v>
      </c>
      <c r="H101" s="52"/>
    </row>
    <row r="102" spans="1:8" ht="17.100000000000001" customHeight="1" x14ac:dyDescent="0.2">
      <c r="A102" s="3">
        <v>13</v>
      </c>
      <c r="B102" s="4"/>
      <c r="C102" s="4" t="s">
        <v>898</v>
      </c>
      <c r="D102" s="4" t="s">
        <v>314</v>
      </c>
      <c r="E102" s="5">
        <v>-7175</v>
      </c>
      <c r="F102" s="6">
        <v>-237.43868749999999</v>
      </c>
      <c r="G102" s="7">
        <v>-1.5915313397864787E-3</v>
      </c>
      <c r="H102" s="52"/>
    </row>
    <row r="103" spans="1:8" ht="25.5" x14ac:dyDescent="0.2">
      <c r="A103" s="3">
        <v>14</v>
      </c>
      <c r="B103" s="4"/>
      <c r="C103" s="4" t="s">
        <v>927</v>
      </c>
      <c r="D103" s="4" t="s">
        <v>314</v>
      </c>
      <c r="E103" s="5">
        <v>-10500</v>
      </c>
      <c r="F103" s="6">
        <v>-260.51024999999998</v>
      </c>
      <c r="G103" s="7">
        <v>-1.7461780621180806E-3</v>
      </c>
      <c r="H103" s="52"/>
    </row>
    <row r="104" spans="1:8" ht="17.100000000000001" customHeight="1" x14ac:dyDescent="0.2">
      <c r="A104" s="3">
        <v>15</v>
      </c>
      <c r="B104" s="4"/>
      <c r="C104" s="4" t="s">
        <v>928</v>
      </c>
      <c r="D104" s="4" t="s">
        <v>314</v>
      </c>
      <c r="E104" s="5">
        <v>-29450</v>
      </c>
      <c r="F104" s="6">
        <v>-270.94</v>
      </c>
      <c r="G104" s="7">
        <v>-1.8160877898288946E-3</v>
      </c>
      <c r="H104" s="52"/>
    </row>
    <row r="105" spans="1:8" ht="25.5" x14ac:dyDescent="0.2">
      <c r="A105" s="3">
        <v>16</v>
      </c>
      <c r="B105" s="4"/>
      <c r="C105" s="4" t="s">
        <v>929</v>
      </c>
      <c r="D105" s="4" t="s">
        <v>314</v>
      </c>
      <c r="E105" s="5">
        <v>-18900</v>
      </c>
      <c r="F105" s="6">
        <v>-300.07530000000003</v>
      </c>
      <c r="G105" s="7">
        <v>-2.0113792291992418E-3</v>
      </c>
      <c r="H105" s="52"/>
    </row>
    <row r="106" spans="1:8" ht="17.100000000000001" customHeight="1" x14ac:dyDescent="0.2">
      <c r="A106" s="3">
        <v>17</v>
      </c>
      <c r="B106" s="4"/>
      <c r="C106" s="4" t="s">
        <v>930</v>
      </c>
      <c r="D106" s="4" t="s">
        <v>314</v>
      </c>
      <c r="E106" s="5">
        <v>-33125</v>
      </c>
      <c r="F106" s="6">
        <v>-326.34750000000003</v>
      </c>
      <c r="G106" s="7">
        <v>-2.1874795526359535E-3</v>
      </c>
      <c r="H106" s="52"/>
    </row>
    <row r="107" spans="1:8" ht="17.100000000000001" customHeight="1" x14ac:dyDescent="0.2">
      <c r="A107" s="3">
        <v>18</v>
      </c>
      <c r="B107" s="4"/>
      <c r="C107" s="4" t="s">
        <v>931</v>
      </c>
      <c r="D107" s="4" t="s">
        <v>314</v>
      </c>
      <c r="E107" s="5">
        <v>-6900</v>
      </c>
      <c r="F107" s="6">
        <v>-351.42734999999999</v>
      </c>
      <c r="G107" s="7">
        <v>-2.3555876553736079E-3</v>
      </c>
      <c r="H107" s="52"/>
    </row>
    <row r="108" spans="1:8" ht="25.5" x14ac:dyDescent="0.2">
      <c r="A108" s="3">
        <v>19</v>
      </c>
      <c r="B108" s="4"/>
      <c r="C108" s="4" t="s">
        <v>892</v>
      </c>
      <c r="D108" s="4" t="s">
        <v>314</v>
      </c>
      <c r="E108" s="5">
        <v>-12250</v>
      </c>
      <c r="F108" s="6">
        <v>-414.974875</v>
      </c>
      <c r="G108" s="7">
        <v>-2.7815413138453969E-3</v>
      </c>
      <c r="H108" s="52"/>
    </row>
    <row r="109" spans="1:8" ht="17.100000000000001" customHeight="1" x14ac:dyDescent="0.2">
      <c r="A109" s="3">
        <v>20</v>
      </c>
      <c r="B109" s="4"/>
      <c r="C109" s="4" t="s">
        <v>932</v>
      </c>
      <c r="D109" s="4" t="s">
        <v>314</v>
      </c>
      <c r="E109" s="5">
        <v>-14400</v>
      </c>
      <c r="F109" s="6">
        <v>-423.97919999999999</v>
      </c>
      <c r="G109" s="7">
        <v>-2.841896538943762E-3</v>
      </c>
      <c r="H109" s="52"/>
    </row>
    <row r="110" spans="1:8" ht="17.100000000000001" customHeight="1" x14ac:dyDescent="0.2">
      <c r="A110" s="3">
        <v>21</v>
      </c>
      <c r="B110" s="4"/>
      <c r="C110" s="4" t="s">
        <v>894</v>
      </c>
      <c r="D110" s="4" t="s">
        <v>314</v>
      </c>
      <c r="E110" s="5">
        <v>-107200</v>
      </c>
      <c r="F110" s="6">
        <v>-462.13920000000002</v>
      </c>
      <c r="G110" s="7">
        <v>-3.0976797753055787E-3</v>
      </c>
      <c r="H110" s="52"/>
    </row>
    <row r="111" spans="1:8" ht="17.100000000000001" customHeight="1" x14ac:dyDescent="0.2">
      <c r="A111" s="3">
        <v>22</v>
      </c>
      <c r="B111" s="4"/>
      <c r="C111" s="4" t="s">
        <v>933</v>
      </c>
      <c r="D111" s="4" t="s">
        <v>314</v>
      </c>
      <c r="E111" s="5">
        <v>-77000</v>
      </c>
      <c r="F111" s="6">
        <v>-796.02599999999995</v>
      </c>
      <c r="G111" s="7">
        <v>-5.3356946149934878E-3</v>
      </c>
      <c r="H111" s="52"/>
    </row>
    <row r="112" spans="1:8" ht="25.5" x14ac:dyDescent="0.2">
      <c r="A112" s="3">
        <v>23</v>
      </c>
      <c r="B112" s="4"/>
      <c r="C112" s="4" t="s">
        <v>934</v>
      </c>
      <c r="D112" s="4" t="s">
        <v>314</v>
      </c>
      <c r="E112" s="5">
        <v>-61600</v>
      </c>
      <c r="F112" s="6">
        <v>-904.34960000000001</v>
      </c>
      <c r="G112" s="7">
        <v>-6.0617784981790981E-3</v>
      </c>
      <c r="H112" s="52"/>
    </row>
    <row r="113" spans="1:8" ht="25.5" x14ac:dyDescent="0.2">
      <c r="A113" s="3">
        <v>24</v>
      </c>
      <c r="B113" s="4"/>
      <c r="C113" s="4" t="s">
        <v>912</v>
      </c>
      <c r="D113" s="4" t="s">
        <v>314</v>
      </c>
      <c r="E113" s="5">
        <v>-40500</v>
      </c>
      <c r="F113" s="6">
        <v>-932.553</v>
      </c>
      <c r="G113" s="7">
        <v>-6.2508234910618778E-3</v>
      </c>
      <c r="H113" s="52"/>
    </row>
    <row r="114" spans="1:8" ht="25.5" x14ac:dyDescent="0.2">
      <c r="A114" s="3">
        <v>25</v>
      </c>
      <c r="B114" s="4"/>
      <c r="C114" s="4" t="s">
        <v>935</v>
      </c>
      <c r="D114" s="4" t="s">
        <v>314</v>
      </c>
      <c r="E114" s="5">
        <v>-165000</v>
      </c>
      <c r="F114" s="6">
        <v>-936.78750000000002</v>
      </c>
      <c r="G114" s="7">
        <v>-6.2792069846251408E-3</v>
      </c>
      <c r="H114" s="52"/>
    </row>
    <row r="115" spans="1:8" ht="17.100000000000001" customHeight="1" x14ac:dyDescent="0.2">
      <c r="A115" s="3">
        <v>26</v>
      </c>
      <c r="B115" s="4"/>
      <c r="C115" s="4" t="s">
        <v>936</v>
      </c>
      <c r="D115" s="4" t="s">
        <v>314</v>
      </c>
      <c r="E115" s="5">
        <v>-83200</v>
      </c>
      <c r="F115" s="6">
        <v>-1002.6848</v>
      </c>
      <c r="G115" s="7">
        <v>-6.7209109851887033E-3</v>
      </c>
      <c r="H115" s="52"/>
    </row>
    <row r="116" spans="1:8" ht="17.100000000000001" customHeight="1" x14ac:dyDescent="0.2">
      <c r="A116" s="3">
        <v>27</v>
      </c>
      <c r="B116" s="4"/>
      <c r="C116" s="4" t="s">
        <v>937</v>
      </c>
      <c r="D116" s="4" t="s">
        <v>314</v>
      </c>
      <c r="E116" s="5">
        <v>-162450</v>
      </c>
      <c r="F116" s="6">
        <v>-1027.82115</v>
      </c>
      <c r="G116" s="7">
        <v>-6.889397802623801E-3</v>
      </c>
      <c r="H116" s="52"/>
    </row>
    <row r="117" spans="1:8" ht="25.5" x14ac:dyDescent="0.2">
      <c r="A117" s="3">
        <v>28</v>
      </c>
      <c r="B117" s="4"/>
      <c r="C117" s="4" t="s">
        <v>938</v>
      </c>
      <c r="D117" s="4" t="s">
        <v>314</v>
      </c>
      <c r="E117" s="5">
        <v>-166250</v>
      </c>
      <c r="F117" s="6">
        <v>-1058.0150000000001</v>
      </c>
      <c r="G117" s="7">
        <v>-7.0917846126663398E-3</v>
      </c>
      <c r="H117" s="52"/>
    </row>
    <row r="118" spans="1:8" ht="17.100000000000001" customHeight="1" x14ac:dyDescent="0.2">
      <c r="A118" s="3">
        <v>29</v>
      </c>
      <c r="B118" s="4"/>
      <c r="C118" s="4" t="s">
        <v>904</v>
      </c>
      <c r="D118" s="4" t="s">
        <v>314</v>
      </c>
      <c r="E118" s="5">
        <v>-16250</v>
      </c>
      <c r="F118" s="6">
        <v>-1221.5125</v>
      </c>
      <c r="G118" s="7">
        <v>-8.1876944577152413E-3</v>
      </c>
      <c r="H118" s="52"/>
    </row>
    <row r="119" spans="1:8" ht="17.100000000000001" customHeight="1" x14ac:dyDescent="0.2">
      <c r="A119" s="3">
        <v>30</v>
      </c>
      <c r="B119" s="4"/>
      <c r="C119" s="4" t="s">
        <v>939</v>
      </c>
      <c r="D119" s="4" t="s">
        <v>314</v>
      </c>
      <c r="E119" s="5">
        <v>-930150</v>
      </c>
      <c r="F119" s="6">
        <v>-1836.1161</v>
      </c>
      <c r="G119" s="7">
        <v>-1.2307330146594263E-2</v>
      </c>
      <c r="H119" s="52"/>
    </row>
    <row r="120" spans="1:8" ht="25.5" x14ac:dyDescent="0.2">
      <c r="A120" s="3">
        <v>31</v>
      </c>
      <c r="B120" s="4"/>
      <c r="C120" s="4" t="s">
        <v>940</v>
      </c>
      <c r="D120" s="4" t="s">
        <v>314</v>
      </c>
      <c r="E120" s="5">
        <v>-109200</v>
      </c>
      <c r="F120" s="6">
        <v>-1906.1405999999999</v>
      </c>
      <c r="G120" s="7">
        <v>-1.2776698417941695E-2</v>
      </c>
      <c r="H120" s="52"/>
    </row>
    <row r="121" spans="1:8" ht="17.100000000000001" customHeight="1" x14ac:dyDescent="0.2">
      <c r="A121" s="3">
        <v>32</v>
      </c>
      <c r="B121" s="4"/>
      <c r="C121" s="4" t="s">
        <v>941</v>
      </c>
      <c r="D121" s="4" t="s">
        <v>314</v>
      </c>
      <c r="E121" s="5">
        <v>-143200</v>
      </c>
      <c r="F121" s="6">
        <v>-1967.7828</v>
      </c>
      <c r="G121" s="7">
        <v>-1.3189880844893016E-2</v>
      </c>
      <c r="H121" s="52"/>
    </row>
    <row r="122" spans="1:8" ht="25.5" x14ac:dyDescent="0.2">
      <c r="A122" s="3">
        <v>33</v>
      </c>
      <c r="B122" s="4"/>
      <c r="C122" s="4" t="s">
        <v>909</v>
      </c>
      <c r="D122" s="4" t="s">
        <v>314</v>
      </c>
      <c r="E122" s="5">
        <v>-19600</v>
      </c>
      <c r="F122" s="6">
        <v>-2046.4556</v>
      </c>
      <c r="G122" s="7">
        <v>-1.3717217936026295E-2</v>
      </c>
      <c r="H122" s="52"/>
    </row>
    <row r="123" spans="1:8" ht="17.100000000000001" customHeight="1" x14ac:dyDescent="0.2">
      <c r="A123" s="3">
        <v>34</v>
      </c>
      <c r="B123" s="4"/>
      <c r="C123" s="4" t="s">
        <v>913</v>
      </c>
      <c r="D123" s="4" t="s">
        <v>314</v>
      </c>
      <c r="E123" s="5">
        <v>-280000</v>
      </c>
      <c r="F123" s="6">
        <v>-2579.7800000000002</v>
      </c>
      <c r="G123" s="7">
        <v>-1.7292046056118646E-2</v>
      </c>
      <c r="H123" s="52"/>
    </row>
    <row r="124" spans="1:8" ht="17.100000000000001" customHeight="1" x14ac:dyDescent="0.2">
      <c r="A124" s="3">
        <v>35</v>
      </c>
      <c r="B124" s="4"/>
      <c r="C124" s="4" t="s">
        <v>911</v>
      </c>
      <c r="D124" s="4" t="s">
        <v>314</v>
      </c>
      <c r="E124" s="5">
        <v>-206800</v>
      </c>
      <c r="F124" s="6">
        <v>-3070.2561999999998</v>
      </c>
      <c r="G124" s="7">
        <v>-2.0579666333750867E-2</v>
      </c>
      <c r="H124" s="52"/>
    </row>
    <row r="125" spans="1:8" ht="14.1" customHeight="1" x14ac:dyDescent="0.2">
      <c r="A125" s="1"/>
      <c r="B125" s="1"/>
      <c r="C125" s="2" t="s">
        <v>145</v>
      </c>
      <c r="D125" s="1"/>
      <c r="E125" s="1" t="s">
        <v>146</v>
      </c>
      <c r="F125" s="9">
        <v>-25611.4884375</v>
      </c>
      <c r="G125" s="10">
        <v>-0.17167162999441818</v>
      </c>
      <c r="H125" s="52"/>
    </row>
    <row r="126" spans="1:8" ht="14.1" customHeight="1" x14ac:dyDescent="0.2">
      <c r="A126" s="1"/>
      <c r="B126" s="1"/>
      <c r="C126" s="11"/>
      <c r="D126" s="1"/>
      <c r="E126" s="1"/>
      <c r="F126" s="12"/>
      <c r="G126" s="12"/>
      <c r="H126" s="52"/>
    </row>
    <row r="127" spans="1:8" ht="18" customHeight="1" x14ac:dyDescent="0.2">
      <c r="A127" s="1"/>
      <c r="B127" s="1"/>
      <c r="C127" s="2" t="s">
        <v>153</v>
      </c>
      <c r="D127" s="1"/>
      <c r="E127" s="1"/>
      <c r="F127" s="9">
        <f>+F70+F80+F87</f>
        <v>112334.38283250001</v>
      </c>
      <c r="G127" s="10">
        <v>0.75296781959130388</v>
      </c>
      <c r="H127" s="52"/>
    </row>
    <row r="128" spans="1:8" ht="14.1" customHeight="1" x14ac:dyDescent="0.2">
      <c r="A128" s="1"/>
      <c r="B128" s="1"/>
      <c r="C128" s="11"/>
      <c r="D128" s="1"/>
      <c r="E128" s="1"/>
      <c r="F128" s="12"/>
      <c r="G128" s="12"/>
      <c r="H128" s="52"/>
    </row>
    <row r="129" spans="1:8" ht="14.1" customHeight="1" x14ac:dyDescent="0.2">
      <c r="A129" s="1"/>
      <c r="B129" s="1"/>
      <c r="C129" s="2" t="s">
        <v>154</v>
      </c>
      <c r="D129" s="1"/>
      <c r="E129" s="1"/>
      <c r="F129" s="12"/>
      <c r="G129" s="12"/>
      <c r="H129" s="52"/>
    </row>
    <row r="130" spans="1:8" ht="24" customHeight="1" x14ac:dyDescent="0.2">
      <c r="A130" s="1"/>
      <c r="B130" s="1"/>
      <c r="C130" s="2" t="s">
        <v>10</v>
      </c>
      <c r="D130" s="1"/>
      <c r="E130" s="1"/>
      <c r="F130" s="12"/>
      <c r="G130" s="12"/>
      <c r="H130" s="52"/>
    </row>
    <row r="131" spans="1:8" ht="29.1" customHeight="1" x14ac:dyDescent="0.2">
      <c r="A131" s="3">
        <v>1</v>
      </c>
      <c r="B131" s="4" t="s">
        <v>695</v>
      </c>
      <c r="C131" s="4" t="s">
        <v>696</v>
      </c>
      <c r="D131" s="4" t="s">
        <v>589</v>
      </c>
      <c r="E131" s="5">
        <v>250</v>
      </c>
      <c r="F131" s="6">
        <v>2476.39</v>
      </c>
      <c r="G131" s="7">
        <v>1.6599031674372097E-2</v>
      </c>
      <c r="H131" s="52">
        <v>8.01</v>
      </c>
    </row>
    <row r="132" spans="1:8" ht="29.1" customHeight="1" x14ac:dyDescent="0.2">
      <c r="A132" s="3">
        <v>2</v>
      </c>
      <c r="B132" s="4" t="s">
        <v>583</v>
      </c>
      <c r="C132" s="4" t="s">
        <v>584</v>
      </c>
      <c r="D132" s="4" t="s">
        <v>580</v>
      </c>
      <c r="E132" s="5">
        <v>150</v>
      </c>
      <c r="F132" s="6">
        <v>1515.9075</v>
      </c>
      <c r="G132" s="7">
        <v>1.0160999118845668E-2</v>
      </c>
      <c r="H132" s="52">
        <v>7.85</v>
      </c>
    </row>
    <row r="133" spans="1:8" ht="29.1" customHeight="1" x14ac:dyDescent="0.2">
      <c r="A133" s="3">
        <v>3</v>
      </c>
      <c r="B133" s="4" t="s">
        <v>585</v>
      </c>
      <c r="C133" s="4" t="s">
        <v>586</v>
      </c>
      <c r="D133" s="4" t="s">
        <v>580</v>
      </c>
      <c r="E133" s="5">
        <v>1500</v>
      </c>
      <c r="F133" s="6">
        <v>1492.1175000000001</v>
      </c>
      <c r="G133" s="7">
        <v>1.0001536771019472E-2</v>
      </c>
      <c r="H133" s="52">
        <v>7.7774999999999999</v>
      </c>
    </row>
    <row r="134" spans="1:8" ht="29.1" customHeight="1" x14ac:dyDescent="0.2">
      <c r="A134" s="3">
        <v>4</v>
      </c>
      <c r="B134" s="4" t="s">
        <v>587</v>
      </c>
      <c r="C134" s="4" t="s">
        <v>588</v>
      </c>
      <c r="D134" s="4" t="s">
        <v>589</v>
      </c>
      <c r="E134" s="5">
        <v>1500</v>
      </c>
      <c r="F134" s="6">
        <v>1490.2184999999999</v>
      </c>
      <c r="G134" s="7">
        <v>9.9888079354363713E-3</v>
      </c>
      <c r="H134" s="52">
        <v>7.79</v>
      </c>
    </row>
    <row r="135" spans="1:8" ht="29.1" customHeight="1" x14ac:dyDescent="0.2">
      <c r="A135" s="3">
        <v>5</v>
      </c>
      <c r="B135" s="4" t="s">
        <v>596</v>
      </c>
      <c r="C135" s="4" t="s">
        <v>597</v>
      </c>
      <c r="D135" s="4" t="s">
        <v>580</v>
      </c>
      <c r="E135" s="5">
        <v>1000</v>
      </c>
      <c r="F135" s="6">
        <v>1006.975</v>
      </c>
      <c r="G135" s="7">
        <v>6.7496678311174101E-3</v>
      </c>
      <c r="H135" s="52">
        <v>7.66</v>
      </c>
    </row>
    <row r="136" spans="1:8" ht="29.1" customHeight="1" x14ac:dyDescent="0.2">
      <c r="A136" s="3">
        <v>6</v>
      </c>
      <c r="B136" s="4" t="s">
        <v>578</v>
      </c>
      <c r="C136" s="4" t="s">
        <v>579</v>
      </c>
      <c r="D136" s="4" t="s">
        <v>580</v>
      </c>
      <c r="E136" s="5">
        <v>100</v>
      </c>
      <c r="F136" s="6">
        <v>998.26099999999997</v>
      </c>
      <c r="G136" s="7">
        <v>6.6912586298161292E-3</v>
      </c>
      <c r="H136" s="52">
        <v>7.9050000000000002</v>
      </c>
    </row>
    <row r="137" spans="1:8" ht="29.1" customHeight="1" x14ac:dyDescent="0.2">
      <c r="A137" s="3">
        <v>7</v>
      </c>
      <c r="B137" s="4" t="s">
        <v>697</v>
      </c>
      <c r="C137" s="4" t="s">
        <v>698</v>
      </c>
      <c r="D137" s="4" t="s">
        <v>589</v>
      </c>
      <c r="E137" s="5">
        <v>100</v>
      </c>
      <c r="F137" s="6">
        <v>994.221</v>
      </c>
      <c r="G137" s="7">
        <v>6.6641788532201722E-3</v>
      </c>
      <c r="H137" s="52">
        <v>8.01</v>
      </c>
    </row>
    <row r="138" spans="1:8" ht="17.100000000000001" customHeight="1" x14ac:dyDescent="0.2">
      <c r="A138" s="3">
        <v>8</v>
      </c>
      <c r="B138" s="4" t="s">
        <v>626</v>
      </c>
      <c r="C138" s="4" t="s">
        <v>627</v>
      </c>
      <c r="D138" s="4" t="s">
        <v>580</v>
      </c>
      <c r="E138" s="5">
        <v>1000</v>
      </c>
      <c r="F138" s="6">
        <v>993.375</v>
      </c>
      <c r="G138" s="7">
        <v>6.6585081871310186E-3</v>
      </c>
      <c r="H138" s="52">
        <v>7.7649999999999997</v>
      </c>
    </row>
    <row r="139" spans="1:8" ht="29.1" customHeight="1" x14ac:dyDescent="0.2">
      <c r="A139" s="3">
        <v>9</v>
      </c>
      <c r="B139" s="4" t="s">
        <v>612</v>
      </c>
      <c r="C139" s="4" t="s">
        <v>613</v>
      </c>
      <c r="D139" s="4" t="s">
        <v>580</v>
      </c>
      <c r="E139" s="5">
        <v>1000</v>
      </c>
      <c r="F139" s="6">
        <v>990.96299999999997</v>
      </c>
      <c r="G139" s="7">
        <v>6.6423407561534316E-3</v>
      </c>
      <c r="H139" s="52">
        <v>7.9275000000000002</v>
      </c>
    </row>
    <row r="140" spans="1:8" ht="29.1" customHeight="1" x14ac:dyDescent="0.2">
      <c r="A140" s="3">
        <v>10</v>
      </c>
      <c r="B140" s="4" t="s">
        <v>630</v>
      </c>
      <c r="C140" s="4" t="s">
        <v>631</v>
      </c>
      <c r="D140" s="4" t="s">
        <v>580</v>
      </c>
      <c r="E140" s="5">
        <v>100</v>
      </c>
      <c r="F140" s="6">
        <v>990.92899999999997</v>
      </c>
      <c r="G140" s="7">
        <v>6.6421128570434661E-3</v>
      </c>
      <c r="H140" s="52">
        <v>7.7649999999999997</v>
      </c>
    </row>
    <row r="141" spans="1:8" ht="17.100000000000001" customHeight="1" x14ac:dyDescent="0.2">
      <c r="A141" s="3">
        <v>11</v>
      </c>
      <c r="B141" s="4" t="s">
        <v>594</v>
      </c>
      <c r="C141" s="4" t="s">
        <v>595</v>
      </c>
      <c r="D141" s="4" t="s">
        <v>589</v>
      </c>
      <c r="E141" s="5">
        <v>50</v>
      </c>
      <c r="F141" s="6">
        <v>502.68650000000002</v>
      </c>
      <c r="G141" s="7">
        <v>3.3694648806445069E-3</v>
      </c>
      <c r="H141" s="52">
        <v>7.79</v>
      </c>
    </row>
    <row r="142" spans="1:8" ht="29.1" customHeight="1" x14ac:dyDescent="0.2">
      <c r="A142" s="3">
        <v>12</v>
      </c>
      <c r="B142" s="4" t="s">
        <v>636</v>
      </c>
      <c r="C142" s="4" t="s">
        <v>637</v>
      </c>
      <c r="D142" s="4" t="s">
        <v>580</v>
      </c>
      <c r="E142" s="5">
        <v>30</v>
      </c>
      <c r="F142" s="6">
        <v>294.85199999999998</v>
      </c>
      <c r="G142" s="7">
        <v>1.9763678932849678E-3</v>
      </c>
      <c r="H142" s="52">
        <v>7.66</v>
      </c>
    </row>
    <row r="143" spans="1:8" ht="29.1" customHeight="1" x14ac:dyDescent="0.2">
      <c r="A143" s="3">
        <v>13</v>
      </c>
      <c r="B143" s="4" t="s">
        <v>699</v>
      </c>
      <c r="C143" s="4" t="s">
        <v>700</v>
      </c>
      <c r="D143" s="4" t="s">
        <v>589</v>
      </c>
      <c r="E143" s="5">
        <v>10</v>
      </c>
      <c r="F143" s="6">
        <v>100.2728</v>
      </c>
      <c r="G143" s="7">
        <v>6.72120055111666E-4</v>
      </c>
      <c r="H143" s="52">
        <v>7.3650000000000002</v>
      </c>
    </row>
    <row r="144" spans="1:8" ht="14.1" customHeight="1" x14ac:dyDescent="0.2">
      <c r="A144" s="1"/>
      <c r="B144" s="1"/>
      <c r="C144" s="2" t="s">
        <v>145</v>
      </c>
      <c r="D144" s="1"/>
      <c r="E144" s="1" t="s">
        <v>146</v>
      </c>
      <c r="F144" s="9">
        <v>13847.168799999999</v>
      </c>
      <c r="G144" s="10">
        <v>9.2816395443196378E-2</v>
      </c>
      <c r="H144" s="52"/>
    </row>
    <row r="145" spans="1:8" ht="14.1" customHeight="1" x14ac:dyDescent="0.2">
      <c r="A145" s="1"/>
      <c r="B145" s="1"/>
      <c r="C145" s="11"/>
      <c r="D145" s="1"/>
      <c r="E145" s="1"/>
      <c r="F145" s="12"/>
      <c r="G145" s="12"/>
      <c r="H145" s="52"/>
    </row>
    <row r="146" spans="1:8" ht="14.1" customHeight="1" x14ac:dyDescent="0.2">
      <c r="A146" s="1"/>
      <c r="B146" s="1"/>
      <c r="C146" s="2" t="s">
        <v>155</v>
      </c>
      <c r="D146" s="1"/>
      <c r="E146" s="1"/>
      <c r="F146" s="1"/>
      <c r="G146" s="1"/>
      <c r="H146" s="52"/>
    </row>
    <row r="147" spans="1:8" ht="14.1" customHeight="1" x14ac:dyDescent="0.2">
      <c r="A147" s="1"/>
      <c r="B147" s="1"/>
      <c r="C147" s="2" t="s">
        <v>145</v>
      </c>
      <c r="D147" s="1"/>
      <c r="E147" s="1" t="s">
        <v>146</v>
      </c>
      <c r="F147" s="13" t="s">
        <v>148</v>
      </c>
      <c r="G147" s="10">
        <v>0</v>
      </c>
      <c r="H147" s="52"/>
    </row>
    <row r="148" spans="1:8" ht="14.1" customHeight="1" x14ac:dyDescent="0.2">
      <c r="A148" s="1"/>
      <c r="B148" s="1"/>
      <c r="C148" s="11"/>
      <c r="D148" s="1"/>
      <c r="E148" s="1"/>
      <c r="F148" s="12"/>
      <c r="G148" s="12"/>
      <c r="H148" s="52"/>
    </row>
    <row r="149" spans="1:8" ht="14.1" customHeight="1" x14ac:dyDescent="0.2">
      <c r="A149" s="1"/>
      <c r="B149" s="1"/>
      <c r="C149" s="2" t="s">
        <v>156</v>
      </c>
      <c r="D149" s="1"/>
      <c r="E149" s="1"/>
      <c r="F149" s="1"/>
      <c r="G149" s="1"/>
      <c r="H149" s="52"/>
    </row>
    <row r="150" spans="1:8" ht="29.1" customHeight="1" x14ac:dyDescent="0.2">
      <c r="A150" s="3">
        <v>1</v>
      </c>
      <c r="B150" s="4" t="s">
        <v>643</v>
      </c>
      <c r="C150" s="4" t="s">
        <v>644</v>
      </c>
      <c r="D150" s="4" t="s">
        <v>640</v>
      </c>
      <c r="E150" s="5">
        <v>4000000</v>
      </c>
      <c r="F150" s="6">
        <v>4003.6039999999998</v>
      </c>
      <c r="G150" s="7">
        <v>2.683581730165395E-2</v>
      </c>
      <c r="H150" s="52">
        <v>7.4821</v>
      </c>
    </row>
    <row r="151" spans="1:8" ht="29.1" customHeight="1" x14ac:dyDescent="0.2">
      <c r="A151" s="3">
        <v>2</v>
      </c>
      <c r="B151" s="4" t="s">
        <v>638</v>
      </c>
      <c r="C151" s="4" t="s">
        <v>639</v>
      </c>
      <c r="D151" s="4" t="s">
        <v>640</v>
      </c>
      <c r="E151" s="5">
        <v>3500000</v>
      </c>
      <c r="F151" s="6">
        <v>3468.4160000000002</v>
      </c>
      <c r="G151" s="7">
        <v>2.3248497629169466E-2</v>
      </c>
      <c r="H151" s="52">
        <v>7.5305</v>
      </c>
    </row>
    <row r="152" spans="1:8" ht="29.1" customHeight="1" x14ac:dyDescent="0.2">
      <c r="A152" s="3">
        <v>3</v>
      </c>
      <c r="B152" s="4" t="s">
        <v>647</v>
      </c>
      <c r="C152" s="39" t="s">
        <v>999</v>
      </c>
      <c r="D152" s="4" t="s">
        <v>640</v>
      </c>
      <c r="E152" s="5">
        <v>3500000</v>
      </c>
      <c r="F152" s="6">
        <v>3388.5250000000001</v>
      </c>
      <c r="G152" s="7">
        <v>2.2712995046984406E-2</v>
      </c>
      <c r="H152" s="52">
        <v>7.4668000000000001</v>
      </c>
    </row>
    <row r="153" spans="1:8" ht="29.1" customHeight="1" x14ac:dyDescent="0.2">
      <c r="A153" s="3">
        <v>4</v>
      </c>
      <c r="B153" s="4" t="s">
        <v>641</v>
      </c>
      <c r="C153" s="39" t="s">
        <v>642</v>
      </c>
      <c r="D153" s="4" t="s">
        <v>640</v>
      </c>
      <c r="E153" s="5">
        <v>3000000</v>
      </c>
      <c r="F153" s="6">
        <v>2994.1019999999999</v>
      </c>
      <c r="G153" s="7">
        <v>2.006921120433407E-2</v>
      </c>
      <c r="H153" s="52">
        <v>7.5701999999999998</v>
      </c>
    </row>
    <row r="154" spans="1:8" ht="29.1" customHeight="1" x14ac:dyDescent="0.2">
      <c r="A154" s="3">
        <v>5</v>
      </c>
      <c r="B154" s="4" t="s">
        <v>701</v>
      </c>
      <c r="C154" s="39" t="s">
        <v>981</v>
      </c>
      <c r="D154" s="4" t="s">
        <v>640</v>
      </c>
      <c r="E154" s="5">
        <v>1000000</v>
      </c>
      <c r="F154" s="6">
        <v>988.84100000000001</v>
      </c>
      <c r="G154" s="7">
        <v>6.6281171705255557E-3</v>
      </c>
      <c r="H154" s="52">
        <v>7.5259</v>
      </c>
    </row>
    <row r="155" spans="1:8" ht="29.1" customHeight="1" x14ac:dyDescent="0.2">
      <c r="A155" s="3">
        <v>6</v>
      </c>
      <c r="B155" s="4" t="s">
        <v>649</v>
      </c>
      <c r="C155" s="4" t="s">
        <v>650</v>
      </c>
      <c r="D155" s="4" t="s">
        <v>640</v>
      </c>
      <c r="E155" s="5">
        <v>1000000</v>
      </c>
      <c r="F155" s="6">
        <v>957.077</v>
      </c>
      <c r="G155" s="7">
        <v>6.4152057784973389E-3</v>
      </c>
      <c r="H155" s="52">
        <v>7.4748000000000001</v>
      </c>
    </row>
    <row r="156" spans="1:8" ht="41.1" customHeight="1" x14ac:dyDescent="0.2">
      <c r="A156" s="3">
        <v>7</v>
      </c>
      <c r="B156" s="4" t="s">
        <v>652</v>
      </c>
      <c r="C156" s="39" t="s">
        <v>978</v>
      </c>
      <c r="D156" s="4" t="s">
        <v>640</v>
      </c>
      <c r="E156" s="5">
        <v>500000</v>
      </c>
      <c r="F156" s="6">
        <v>497.96100000000001</v>
      </c>
      <c r="G156" s="7">
        <v>3.3377902558167352E-3</v>
      </c>
      <c r="H156" s="52">
        <v>7.6770296583921471</v>
      </c>
    </row>
    <row r="157" spans="1:8" ht="29.1" customHeight="1" x14ac:dyDescent="0.2">
      <c r="A157" s="3">
        <v>8</v>
      </c>
      <c r="B157" s="4" t="s">
        <v>651</v>
      </c>
      <c r="C157" s="4" t="s">
        <v>980</v>
      </c>
      <c r="D157" s="4" t="s">
        <v>640</v>
      </c>
      <c r="E157" s="5">
        <v>500000</v>
      </c>
      <c r="F157" s="6">
        <v>494.04199999999997</v>
      </c>
      <c r="G157" s="7">
        <v>3.3115215319356561E-3</v>
      </c>
      <c r="H157" s="52">
        <v>7.4856999999999996</v>
      </c>
    </row>
    <row r="158" spans="1:8" ht="29.1" customHeight="1" x14ac:dyDescent="0.2">
      <c r="A158" s="3">
        <v>9</v>
      </c>
      <c r="B158" s="4" t="s">
        <v>654</v>
      </c>
      <c r="C158" s="4" t="s">
        <v>655</v>
      </c>
      <c r="D158" s="4" t="s">
        <v>640</v>
      </c>
      <c r="E158" s="5">
        <v>100000</v>
      </c>
      <c r="F158" s="6">
        <v>101.12479999999999</v>
      </c>
      <c r="G158" s="7">
        <v>6.7783093869081337E-4</v>
      </c>
      <c r="H158" s="52">
        <v>7.6261999999999999</v>
      </c>
    </row>
    <row r="159" spans="1:8" ht="29.1" customHeight="1" x14ac:dyDescent="0.2">
      <c r="A159" s="3">
        <v>10</v>
      </c>
      <c r="B159" s="4" t="s">
        <v>656</v>
      </c>
      <c r="C159" s="4" t="s">
        <v>657</v>
      </c>
      <c r="D159" s="4" t="s">
        <v>640</v>
      </c>
      <c r="E159" s="5">
        <v>100000</v>
      </c>
      <c r="F159" s="6">
        <v>100.79940000000001</v>
      </c>
      <c r="G159" s="7">
        <v>6.7564981015013909E-4</v>
      </c>
      <c r="H159" s="52">
        <v>7.5784000000000002</v>
      </c>
    </row>
    <row r="160" spans="1:8" ht="29.1" customHeight="1" x14ac:dyDescent="0.2">
      <c r="A160" s="3">
        <v>11</v>
      </c>
      <c r="B160" s="4" t="s">
        <v>658</v>
      </c>
      <c r="C160" s="4" t="s">
        <v>659</v>
      </c>
      <c r="D160" s="4" t="s">
        <v>640</v>
      </c>
      <c r="E160" s="5">
        <v>100000</v>
      </c>
      <c r="F160" s="6">
        <v>100.7227</v>
      </c>
      <c r="G160" s="7">
        <v>6.7513569656971585E-4</v>
      </c>
      <c r="H160" s="52">
        <v>7.58</v>
      </c>
    </row>
    <row r="161" spans="1:8" ht="14.1" customHeight="1" x14ac:dyDescent="0.2">
      <c r="A161" s="1"/>
      <c r="B161" s="1"/>
      <c r="C161" s="2" t="s">
        <v>145</v>
      </c>
      <c r="D161" s="1"/>
      <c r="E161" s="1" t="s">
        <v>146</v>
      </c>
      <c r="F161" s="9">
        <v>17095.214899999999</v>
      </c>
      <c r="G161" s="10">
        <v>0.11458777236432784</v>
      </c>
      <c r="H161" s="52"/>
    </row>
    <row r="162" spans="1:8" ht="14.1" customHeight="1" x14ac:dyDescent="0.2">
      <c r="A162" s="1"/>
      <c r="B162" s="1"/>
      <c r="C162" s="11"/>
      <c r="D162" s="1"/>
      <c r="E162" s="1"/>
      <c r="F162" s="12"/>
      <c r="G162" s="12"/>
      <c r="H162" s="52"/>
    </row>
    <row r="163" spans="1:8" ht="14.1" customHeight="1" x14ac:dyDescent="0.2">
      <c r="A163" s="1"/>
      <c r="B163" s="1"/>
      <c r="C163" s="2" t="s">
        <v>157</v>
      </c>
      <c r="D163" s="1"/>
      <c r="E163" s="1"/>
      <c r="F163" s="12"/>
      <c r="G163" s="12"/>
      <c r="H163" s="52"/>
    </row>
    <row r="164" spans="1:8" ht="14.1" customHeight="1" x14ac:dyDescent="0.2">
      <c r="A164" s="1"/>
      <c r="B164" s="1"/>
      <c r="C164" s="2" t="s">
        <v>145</v>
      </c>
      <c r="D164" s="1"/>
      <c r="E164" s="1" t="s">
        <v>146</v>
      </c>
      <c r="F164" s="13" t="s">
        <v>148</v>
      </c>
      <c r="G164" s="10">
        <v>0</v>
      </c>
      <c r="H164" s="52"/>
    </row>
    <row r="165" spans="1:8" ht="14.1" customHeight="1" x14ac:dyDescent="0.2">
      <c r="A165" s="1"/>
      <c r="B165" s="1"/>
      <c r="C165" s="11"/>
      <c r="D165" s="1"/>
      <c r="E165" s="1"/>
      <c r="F165" s="12"/>
      <c r="G165" s="12"/>
      <c r="H165" s="52"/>
    </row>
    <row r="166" spans="1:8" ht="14.1" customHeight="1" x14ac:dyDescent="0.2">
      <c r="A166" s="1"/>
      <c r="B166" s="1"/>
      <c r="C166" s="2" t="s">
        <v>158</v>
      </c>
      <c r="D166" s="1"/>
      <c r="E166" s="1"/>
      <c r="F166" s="9">
        <v>30942.383699999998</v>
      </c>
      <c r="G166" s="10">
        <v>0.20740416780752421</v>
      </c>
      <c r="H166" s="52"/>
    </row>
    <row r="167" spans="1:8" ht="14.1" customHeight="1" x14ac:dyDescent="0.2">
      <c r="A167" s="1"/>
      <c r="B167" s="1"/>
      <c r="C167" s="11"/>
      <c r="D167" s="1"/>
      <c r="E167" s="1"/>
      <c r="F167" s="12"/>
      <c r="G167" s="12"/>
      <c r="H167" s="52"/>
    </row>
    <row r="168" spans="1:8" ht="14.1" customHeight="1" x14ac:dyDescent="0.2">
      <c r="A168" s="1"/>
      <c r="B168" s="1"/>
      <c r="C168" s="2" t="s">
        <v>159</v>
      </c>
      <c r="D168" s="1"/>
      <c r="E168" s="1"/>
      <c r="F168" s="12"/>
      <c r="G168" s="12"/>
      <c r="H168" s="52"/>
    </row>
    <row r="169" spans="1:8" ht="14.1" customHeight="1" x14ac:dyDescent="0.2">
      <c r="A169" s="1"/>
      <c r="B169" s="1"/>
      <c r="C169" s="2" t="s">
        <v>160</v>
      </c>
      <c r="D169" s="1"/>
      <c r="E169" s="1"/>
      <c r="F169" s="12"/>
      <c r="G169" s="12"/>
      <c r="H169" s="52"/>
    </row>
    <row r="170" spans="1:8" ht="14.1" customHeight="1" x14ac:dyDescent="0.2">
      <c r="A170" s="1"/>
      <c r="B170" s="1"/>
      <c r="C170" s="2" t="s">
        <v>145</v>
      </c>
      <c r="D170" s="1"/>
      <c r="E170" s="1" t="s">
        <v>146</v>
      </c>
      <c r="F170" s="13" t="s">
        <v>148</v>
      </c>
      <c r="G170" s="10">
        <v>0</v>
      </c>
      <c r="H170" s="52"/>
    </row>
    <row r="171" spans="1:8" ht="14.1" customHeight="1" x14ac:dyDescent="0.2">
      <c r="A171" s="1"/>
      <c r="B171" s="1"/>
      <c r="C171" s="11"/>
      <c r="D171" s="1"/>
      <c r="E171" s="1"/>
      <c r="F171" s="12"/>
      <c r="G171" s="12"/>
      <c r="H171" s="52"/>
    </row>
    <row r="172" spans="1:8" ht="14.1" customHeight="1" x14ac:dyDescent="0.2">
      <c r="A172" s="1"/>
      <c r="B172" s="1"/>
      <c r="C172" s="2" t="s">
        <v>161</v>
      </c>
      <c r="D172" s="1"/>
      <c r="E172" s="1"/>
      <c r="F172" s="12"/>
      <c r="G172" s="12"/>
      <c r="H172" s="52"/>
    </row>
    <row r="173" spans="1:8" ht="14.1" customHeight="1" x14ac:dyDescent="0.2">
      <c r="A173" s="1"/>
      <c r="B173" s="1"/>
      <c r="C173" s="2" t="s">
        <v>145</v>
      </c>
      <c r="D173" s="1"/>
      <c r="E173" s="1" t="s">
        <v>146</v>
      </c>
      <c r="F173" s="13" t="s">
        <v>148</v>
      </c>
      <c r="G173" s="10">
        <v>0</v>
      </c>
      <c r="H173" s="52"/>
    </row>
    <row r="174" spans="1:8" ht="14.1" customHeight="1" x14ac:dyDescent="0.2">
      <c r="A174" s="1"/>
      <c r="B174" s="1"/>
      <c r="C174" s="11"/>
      <c r="D174" s="1"/>
      <c r="E174" s="1"/>
      <c r="F174" s="12"/>
      <c r="G174" s="12"/>
      <c r="H174" s="52"/>
    </row>
    <row r="175" spans="1:8" ht="14.1" customHeight="1" x14ac:dyDescent="0.2">
      <c r="A175" s="1"/>
      <c r="B175" s="1"/>
      <c r="C175" s="2" t="s">
        <v>162</v>
      </c>
      <c r="D175" s="1"/>
      <c r="E175" s="1"/>
      <c r="F175" s="12"/>
      <c r="G175" s="12"/>
      <c r="H175" s="52"/>
    </row>
    <row r="176" spans="1:8" ht="14.1" customHeight="1" x14ac:dyDescent="0.2">
      <c r="A176" s="1"/>
      <c r="B176" s="1"/>
      <c r="C176" s="2" t="s">
        <v>145</v>
      </c>
      <c r="D176" s="1"/>
      <c r="E176" s="1" t="s">
        <v>146</v>
      </c>
      <c r="F176" s="13" t="s">
        <v>148</v>
      </c>
      <c r="G176" s="10">
        <v>0</v>
      </c>
      <c r="H176" s="52"/>
    </row>
    <row r="177" spans="1:15" ht="14.1" customHeight="1" x14ac:dyDescent="0.25">
      <c r="A177" s="1"/>
      <c r="B177" s="1"/>
      <c r="C177" s="11"/>
      <c r="D177" s="1"/>
      <c r="E177" s="1"/>
      <c r="F177" s="12"/>
      <c r="G177" s="12"/>
      <c r="H177" s="52"/>
      <c r="I177" s="49"/>
      <c r="O177" s="49"/>
    </row>
    <row r="178" spans="1:15" ht="14.1" customHeight="1" x14ac:dyDescent="0.2">
      <c r="A178" s="1"/>
      <c r="B178" s="1"/>
      <c r="C178" s="2" t="s">
        <v>163</v>
      </c>
      <c r="D178" s="1"/>
      <c r="E178" s="1"/>
      <c r="F178" s="12"/>
      <c r="G178" s="12"/>
      <c r="H178" s="52"/>
    </row>
    <row r="179" spans="1:15" ht="17.100000000000001" customHeight="1" x14ac:dyDescent="0.2">
      <c r="A179" s="3">
        <v>1</v>
      </c>
      <c r="B179" s="4"/>
      <c r="C179" s="4" t="s">
        <v>164</v>
      </c>
      <c r="D179" s="4"/>
      <c r="E179" s="8"/>
      <c r="F179" s="6">
        <v>1154.648206004</v>
      </c>
      <c r="G179" s="7">
        <v>7.7395087785919487E-3</v>
      </c>
      <c r="H179" s="52">
        <v>6.7567375937238596</v>
      </c>
    </row>
    <row r="180" spans="1:15" ht="14.1" customHeight="1" x14ac:dyDescent="0.2">
      <c r="A180" s="1"/>
      <c r="B180" s="1"/>
      <c r="C180" s="2" t="s">
        <v>145</v>
      </c>
      <c r="D180" s="1"/>
      <c r="E180" s="1" t="s">
        <v>146</v>
      </c>
      <c r="F180" s="9">
        <v>1154.648206004</v>
      </c>
      <c r="G180" s="10">
        <v>7.7395087785919487E-3</v>
      </c>
      <c r="H180" s="52"/>
    </row>
    <row r="181" spans="1:15" ht="14.1" customHeight="1" x14ac:dyDescent="0.2">
      <c r="A181" s="1"/>
      <c r="B181" s="1"/>
      <c r="C181" s="11"/>
      <c r="D181" s="1"/>
      <c r="E181" s="1"/>
      <c r="F181" s="12"/>
      <c r="G181" s="12"/>
      <c r="H181" s="52"/>
    </row>
    <row r="182" spans="1:15" ht="14.1" customHeight="1" x14ac:dyDescent="0.2">
      <c r="A182" s="1"/>
      <c r="B182" s="1"/>
      <c r="C182" s="2" t="s">
        <v>165</v>
      </c>
      <c r="D182" s="1"/>
      <c r="E182" s="1"/>
      <c r="F182" s="9">
        <v>1154.648206004</v>
      </c>
      <c r="G182" s="10">
        <v>7.7395087785919487E-3</v>
      </c>
      <c r="H182" s="52"/>
    </row>
    <row r="183" spans="1:15" ht="14.1" customHeight="1" x14ac:dyDescent="0.2">
      <c r="A183" s="1"/>
      <c r="B183" s="1"/>
      <c r="C183" s="12"/>
      <c r="D183" s="1"/>
      <c r="E183" s="1"/>
      <c r="F183" s="1"/>
      <c r="G183" s="1"/>
      <c r="H183" s="52"/>
    </row>
    <row r="184" spans="1:15" ht="14.1" customHeight="1" x14ac:dyDescent="0.2">
      <c r="A184" s="1"/>
      <c r="B184" s="1"/>
      <c r="C184" s="2" t="s">
        <v>166</v>
      </c>
      <c r="D184" s="1"/>
      <c r="E184" s="1"/>
      <c r="F184" s="1"/>
      <c r="G184" s="1"/>
      <c r="H184" s="52"/>
    </row>
    <row r="185" spans="1:15" ht="14.1" customHeight="1" x14ac:dyDescent="0.2">
      <c r="A185" s="1"/>
      <c r="B185" s="1"/>
      <c r="C185" s="2" t="s">
        <v>167</v>
      </c>
      <c r="D185" s="1"/>
      <c r="E185" s="1"/>
      <c r="F185" s="1"/>
      <c r="G185" s="1"/>
      <c r="H185" s="52"/>
    </row>
    <row r="186" spans="1:15" ht="14.1" customHeight="1" x14ac:dyDescent="0.2">
      <c r="A186" s="1"/>
      <c r="B186" s="1"/>
      <c r="C186" s="2" t="s">
        <v>145</v>
      </c>
      <c r="D186" s="1"/>
      <c r="E186" s="1" t="s">
        <v>146</v>
      </c>
      <c r="F186" s="13" t="s">
        <v>148</v>
      </c>
      <c r="G186" s="10">
        <v>0</v>
      </c>
      <c r="H186" s="52"/>
    </row>
    <row r="187" spans="1:15" ht="14.1" customHeight="1" x14ac:dyDescent="0.2">
      <c r="A187" s="1"/>
      <c r="B187" s="1"/>
      <c r="C187" s="11"/>
      <c r="D187" s="1"/>
      <c r="E187" s="1"/>
      <c r="F187" s="12"/>
      <c r="G187" s="12"/>
      <c r="H187" s="52"/>
    </row>
    <row r="188" spans="1:15" ht="14.1" customHeight="1" x14ac:dyDescent="0.2">
      <c r="A188" s="1"/>
      <c r="B188" s="1"/>
      <c r="C188" s="2" t="s">
        <v>168</v>
      </c>
      <c r="D188" s="1"/>
      <c r="E188" s="1"/>
      <c r="F188" s="1"/>
      <c r="G188" s="1"/>
      <c r="H188" s="52"/>
    </row>
    <row r="189" spans="1:15" ht="14.1" customHeight="1" x14ac:dyDescent="0.2">
      <c r="A189" s="1"/>
      <c r="B189" s="1"/>
      <c r="C189" s="2" t="s">
        <v>169</v>
      </c>
      <c r="D189" s="1"/>
      <c r="E189" s="1"/>
      <c r="F189" s="1"/>
      <c r="G189" s="1"/>
      <c r="H189" s="52"/>
    </row>
    <row r="190" spans="1:15" ht="14.1" customHeight="1" x14ac:dyDescent="0.2">
      <c r="A190" s="1"/>
      <c r="B190" s="1"/>
      <c r="C190" s="2" t="s">
        <v>145</v>
      </c>
      <c r="D190" s="1"/>
      <c r="E190" s="1" t="s">
        <v>146</v>
      </c>
      <c r="F190" s="13" t="s">
        <v>148</v>
      </c>
      <c r="G190" s="10">
        <v>0</v>
      </c>
      <c r="H190" s="52"/>
    </row>
    <row r="191" spans="1:15" ht="14.1" customHeight="1" x14ac:dyDescent="0.2">
      <c r="A191" s="1"/>
      <c r="B191" s="1"/>
      <c r="C191" s="11"/>
      <c r="D191" s="1"/>
      <c r="E191" s="1"/>
      <c r="F191" s="12"/>
      <c r="G191" s="12"/>
      <c r="H191" s="52"/>
    </row>
    <row r="192" spans="1:15" ht="24" customHeight="1" x14ac:dyDescent="0.2">
      <c r="A192" s="1"/>
      <c r="B192" s="1"/>
      <c r="C192" s="2" t="s">
        <v>170</v>
      </c>
      <c r="D192" s="1"/>
      <c r="E192" s="1"/>
      <c r="F192" s="12"/>
      <c r="G192" s="12"/>
      <c r="H192" s="52"/>
    </row>
    <row r="193" spans="1:15" ht="14.1" customHeight="1" x14ac:dyDescent="0.2">
      <c r="A193" s="1"/>
      <c r="B193" s="1"/>
      <c r="C193" s="2" t="s">
        <v>145</v>
      </c>
      <c r="D193" s="1"/>
      <c r="E193" s="1" t="s">
        <v>146</v>
      </c>
      <c r="F193" s="13" t="s">
        <v>148</v>
      </c>
      <c r="G193" s="10">
        <v>0</v>
      </c>
      <c r="H193" s="52"/>
    </row>
    <row r="194" spans="1:15" ht="14.1" customHeight="1" x14ac:dyDescent="0.2">
      <c r="A194" s="1"/>
      <c r="B194" s="1"/>
      <c r="C194" s="11"/>
      <c r="D194" s="1"/>
      <c r="E194" s="1"/>
      <c r="F194" s="12"/>
      <c r="G194" s="12"/>
      <c r="H194" s="52"/>
    </row>
    <row r="195" spans="1:15" ht="18" customHeight="1" x14ac:dyDescent="0.2">
      <c r="A195" s="8"/>
      <c r="B195" s="4"/>
      <c r="C195" s="4" t="s">
        <v>315</v>
      </c>
      <c r="D195" s="4"/>
      <c r="E195" s="8"/>
      <c r="F195" s="6">
        <v>4297.8619259999996</v>
      </c>
      <c r="G195" s="7">
        <v>2.8808203167413803E-2</v>
      </c>
      <c r="H195" s="52"/>
    </row>
    <row r="196" spans="1:15" ht="18" customHeight="1" x14ac:dyDescent="0.2">
      <c r="A196" s="8"/>
      <c r="B196" s="4"/>
      <c r="C196" s="39" t="s">
        <v>992</v>
      </c>
      <c r="D196" s="4"/>
      <c r="E196" s="8"/>
      <c r="F196" s="6">
        <v>459.54638271599151</v>
      </c>
      <c r="G196" s="7">
        <v>3.080300655166224E-3</v>
      </c>
      <c r="H196" s="52"/>
    </row>
    <row r="197" spans="1:15" ht="14.1" customHeight="1" x14ac:dyDescent="0.2">
      <c r="A197" s="11"/>
      <c r="B197" s="11"/>
      <c r="C197" s="2" t="s">
        <v>172</v>
      </c>
      <c r="D197" s="12"/>
      <c r="E197" s="12"/>
      <c r="F197" s="9">
        <v>149188.82304722001</v>
      </c>
      <c r="G197" s="14">
        <v>1</v>
      </c>
      <c r="H197" s="52"/>
    </row>
    <row r="198" spans="1:15" ht="14.1" customHeight="1" x14ac:dyDescent="0.2">
      <c r="A198" s="15"/>
      <c r="B198" s="15"/>
      <c r="C198" s="15"/>
      <c r="D198" s="16"/>
      <c r="E198" s="16"/>
      <c r="F198" s="16"/>
      <c r="G198" s="16"/>
    </row>
    <row r="199" spans="1:15" ht="14.1" customHeight="1" x14ac:dyDescent="0.2">
      <c r="A199" s="42"/>
      <c r="B199" s="125" t="s">
        <v>988</v>
      </c>
      <c r="C199" s="125"/>
      <c r="D199" s="125"/>
      <c r="E199" s="125"/>
      <c r="F199" s="125"/>
      <c r="G199" s="43"/>
    </row>
    <row r="200" spans="1:15" ht="17.100000000000001" customHeight="1" x14ac:dyDescent="0.2">
      <c r="A200" s="42"/>
      <c r="B200" s="125" t="s">
        <v>993</v>
      </c>
      <c r="C200" s="125"/>
      <c r="D200" s="125"/>
      <c r="E200" s="125"/>
      <c r="F200" s="125"/>
      <c r="G200" s="43"/>
    </row>
    <row r="201" spans="1:15" s="49" customFormat="1" ht="69.75" customHeight="1" x14ac:dyDescent="0.25">
      <c r="A201" s="47"/>
      <c r="B201" s="151" t="s">
        <v>977</v>
      </c>
      <c r="C201" s="151"/>
      <c r="D201" s="151"/>
      <c r="E201" s="151"/>
      <c r="F201" s="151"/>
      <c r="G201" s="48"/>
      <c r="I201"/>
      <c r="J201"/>
      <c r="K201"/>
      <c r="L201"/>
      <c r="M201"/>
      <c r="N201"/>
      <c r="O201"/>
    </row>
    <row r="202" spans="1:15" ht="14.1" customHeight="1" x14ac:dyDescent="0.2">
      <c r="A202" s="42"/>
      <c r="B202" s="152" t="s">
        <v>1001</v>
      </c>
      <c r="C202" s="152"/>
      <c r="D202" s="152"/>
      <c r="E202" s="152"/>
      <c r="F202" s="152"/>
      <c r="G202" s="43"/>
    </row>
    <row r="203" spans="1:15" ht="14.1" customHeight="1" x14ac:dyDescent="0.2">
      <c r="A203" s="17"/>
      <c r="B203" s="17"/>
      <c r="C203" s="17"/>
      <c r="D203" s="19"/>
      <c r="E203" s="19"/>
      <c r="F203" s="19"/>
      <c r="G203" s="19"/>
    </row>
    <row r="204" spans="1:15" ht="14.1" customHeight="1" x14ac:dyDescent="0.2">
      <c r="A204" s="17"/>
      <c r="B204" s="127" t="s">
        <v>174</v>
      </c>
      <c r="C204" s="128"/>
      <c r="D204" s="129"/>
      <c r="E204" s="20"/>
      <c r="F204" s="19"/>
      <c r="G204" s="19"/>
    </row>
    <row r="205" spans="1:15" ht="29.1" customHeight="1" x14ac:dyDescent="0.2">
      <c r="A205" s="17"/>
      <c r="B205" s="121" t="s">
        <v>175</v>
      </c>
      <c r="C205" s="122"/>
      <c r="D205" s="2" t="s">
        <v>176</v>
      </c>
      <c r="E205" s="20"/>
      <c r="F205" s="19"/>
      <c r="G205" s="19"/>
    </row>
    <row r="206" spans="1:15" ht="17.100000000000001" customHeight="1" x14ac:dyDescent="0.2">
      <c r="A206" s="17"/>
      <c r="B206" s="121" t="s">
        <v>177</v>
      </c>
      <c r="C206" s="122"/>
      <c r="D206" s="2" t="s">
        <v>176</v>
      </c>
      <c r="E206" s="20"/>
      <c r="F206" s="19"/>
      <c r="G206" s="19"/>
    </row>
    <row r="207" spans="1:15" ht="17.100000000000001" customHeight="1" x14ac:dyDescent="0.2">
      <c r="A207" s="17"/>
      <c r="B207" s="121" t="s">
        <v>178</v>
      </c>
      <c r="C207" s="122"/>
      <c r="D207" s="12" t="s">
        <v>146</v>
      </c>
      <c r="E207" s="20"/>
      <c r="F207" s="19"/>
      <c r="G207" s="19"/>
    </row>
    <row r="208" spans="1:15" ht="24" customHeight="1" x14ac:dyDescent="0.2">
      <c r="A208" s="21"/>
      <c r="B208" s="22" t="s">
        <v>146</v>
      </c>
      <c r="C208" s="22" t="s">
        <v>179</v>
      </c>
      <c r="D208" s="22" t="s">
        <v>180</v>
      </c>
      <c r="E208" s="21"/>
      <c r="F208" s="21"/>
      <c r="G208" s="21"/>
    </row>
    <row r="209" spans="1:7" ht="18" customHeight="1" x14ac:dyDescent="0.2">
      <c r="A209" s="21"/>
      <c r="B209" s="23" t="s">
        <v>181</v>
      </c>
      <c r="C209" s="22" t="s">
        <v>182</v>
      </c>
      <c r="D209" s="22" t="s">
        <v>183</v>
      </c>
      <c r="E209" s="21"/>
      <c r="F209" s="21"/>
      <c r="G209" s="21"/>
    </row>
    <row r="210" spans="1:7" ht="17.100000000000001" customHeight="1" x14ac:dyDescent="0.2">
      <c r="A210" s="21"/>
      <c r="B210" s="4" t="s">
        <v>184</v>
      </c>
      <c r="C210" s="24">
        <v>32.487000000000002</v>
      </c>
      <c r="D210" s="24">
        <v>32.114199999999997</v>
      </c>
      <c r="E210" s="21"/>
      <c r="F210" s="18"/>
      <c r="G210" s="25"/>
    </row>
    <row r="211" spans="1:7" ht="29.1" customHeight="1" x14ac:dyDescent="0.2">
      <c r="A211" s="21"/>
      <c r="B211" s="4" t="s">
        <v>1044</v>
      </c>
      <c r="C211" s="24">
        <v>17.1921</v>
      </c>
      <c r="D211" s="24">
        <v>16.901199999999999</v>
      </c>
      <c r="E211" s="21"/>
      <c r="F211" s="18"/>
      <c r="G211" s="25"/>
    </row>
    <row r="212" spans="1:7" ht="17.100000000000001" customHeight="1" x14ac:dyDescent="0.2">
      <c r="A212" s="21"/>
      <c r="B212" s="4" t="s">
        <v>185</v>
      </c>
      <c r="C212" s="24">
        <v>28.419699999999999</v>
      </c>
      <c r="D212" s="24">
        <v>28.058499999999999</v>
      </c>
      <c r="E212" s="21"/>
      <c r="F212" s="18"/>
      <c r="G212" s="25"/>
    </row>
    <row r="213" spans="1:7" ht="29.1" customHeight="1" x14ac:dyDescent="0.2">
      <c r="A213" s="21"/>
      <c r="B213" s="4" t="s">
        <v>1046</v>
      </c>
      <c r="C213" s="24">
        <v>14.4396</v>
      </c>
      <c r="D213" s="24">
        <v>14.177300000000001</v>
      </c>
      <c r="E213" s="21"/>
      <c r="F213" s="18"/>
      <c r="G213" s="25"/>
    </row>
    <row r="214" spans="1:7" ht="14.1" customHeight="1" x14ac:dyDescent="0.2">
      <c r="A214" s="21"/>
      <c r="B214" s="21"/>
      <c r="C214" s="21"/>
      <c r="D214" s="21"/>
      <c r="E214" s="21"/>
      <c r="F214" s="21"/>
      <c r="G214" s="21"/>
    </row>
    <row r="215" spans="1:7" ht="17.100000000000001" customHeight="1" x14ac:dyDescent="0.2">
      <c r="A215" s="21"/>
      <c r="B215" s="121" t="s">
        <v>1041</v>
      </c>
      <c r="C215" s="122"/>
      <c r="D215" s="2" t="s">
        <v>146</v>
      </c>
      <c r="E215" s="21"/>
      <c r="F215" s="21"/>
      <c r="G215" s="21"/>
    </row>
    <row r="216" spans="1:7" ht="18" customHeight="1" x14ac:dyDescent="0.2">
      <c r="A216" s="21"/>
      <c r="B216" s="28" t="s">
        <v>181</v>
      </c>
      <c r="C216" s="29" t="s">
        <v>316</v>
      </c>
      <c r="D216" s="29" t="s">
        <v>317</v>
      </c>
      <c r="E216" s="21"/>
      <c r="F216" s="21"/>
      <c r="G216" s="21"/>
    </row>
    <row r="217" spans="1:7" ht="29.1" customHeight="1" x14ac:dyDescent="0.2">
      <c r="A217" s="21"/>
      <c r="B217" s="4" t="s">
        <v>1044</v>
      </c>
      <c r="C217" s="30">
        <v>9.5000000000000001E-2</v>
      </c>
      <c r="D217" s="8" t="s">
        <v>551</v>
      </c>
      <c r="E217" s="21"/>
      <c r="F217" s="18"/>
      <c r="G217" s="25"/>
    </row>
    <row r="218" spans="1:7" ht="29.1" customHeight="1" x14ac:dyDescent="0.2">
      <c r="A218" s="21"/>
      <c r="B218" s="4" t="s">
        <v>1046</v>
      </c>
      <c r="C218" s="30">
        <v>0.08</v>
      </c>
      <c r="D218" s="30">
        <v>0.08</v>
      </c>
      <c r="E218" s="21"/>
      <c r="F218" s="18"/>
      <c r="G218" s="25"/>
    </row>
    <row r="219" spans="1:7" ht="14.1" customHeight="1" x14ac:dyDescent="0.2">
      <c r="A219" s="21"/>
      <c r="B219" s="31"/>
      <c r="C219" s="31"/>
      <c r="D219" s="32"/>
      <c r="E219" s="21"/>
      <c r="F219" s="18"/>
      <c r="G219" s="25"/>
    </row>
    <row r="220" spans="1:7" ht="29.1" customHeight="1" x14ac:dyDescent="0.2">
      <c r="A220" s="21"/>
      <c r="B220" s="121" t="s">
        <v>186</v>
      </c>
      <c r="C220" s="122"/>
      <c r="D220" s="2" t="s">
        <v>989</v>
      </c>
      <c r="E220" s="27"/>
      <c r="F220" s="21"/>
      <c r="G220" s="21"/>
    </row>
    <row r="221" spans="1:7" ht="29.1" customHeight="1" x14ac:dyDescent="0.2">
      <c r="A221" s="21"/>
      <c r="B221" s="121" t="s">
        <v>187</v>
      </c>
      <c r="C221" s="122"/>
      <c r="D221" s="2" t="s">
        <v>176</v>
      </c>
      <c r="E221" s="27"/>
      <c r="F221" s="21"/>
      <c r="G221" s="21"/>
    </row>
    <row r="222" spans="1:7" ht="17.100000000000001" customHeight="1" x14ac:dyDescent="0.2">
      <c r="A222" s="21"/>
      <c r="B222" s="121" t="s">
        <v>188</v>
      </c>
      <c r="C222" s="122"/>
      <c r="D222" s="2" t="s">
        <v>176</v>
      </c>
      <c r="E222" s="27"/>
      <c r="F222" s="21"/>
      <c r="G222" s="21"/>
    </row>
    <row r="223" spans="1:7" ht="17.100000000000001" customHeight="1" x14ac:dyDescent="0.2">
      <c r="A223" s="21"/>
      <c r="B223" s="121" t="s">
        <v>189</v>
      </c>
      <c r="C223" s="122"/>
      <c r="D223" s="50">
        <v>2.805940980174868</v>
      </c>
      <c r="E223" s="21"/>
      <c r="F223" s="18"/>
      <c r="G223" s="25"/>
    </row>
    <row r="225" spans="2:4" x14ac:dyDescent="0.2">
      <c r="B225" s="141" t="s">
        <v>1023</v>
      </c>
      <c r="C225" s="142"/>
      <c r="D225" s="143"/>
    </row>
    <row r="226" spans="2:4" ht="25.5" x14ac:dyDescent="0.2">
      <c r="B226" s="133" t="s">
        <v>1024</v>
      </c>
      <c r="C226" s="133"/>
      <c r="D226" s="75" t="s">
        <v>692</v>
      </c>
    </row>
    <row r="227" spans="2:4" x14ac:dyDescent="0.2">
      <c r="B227" s="133" t="s">
        <v>1025</v>
      </c>
      <c r="C227" s="133"/>
      <c r="D227" s="81"/>
    </row>
    <row r="228" spans="2:4" x14ac:dyDescent="0.2">
      <c r="B228" s="148"/>
      <c r="C228" s="149"/>
      <c r="D228" s="76"/>
    </row>
    <row r="229" spans="2:4" x14ac:dyDescent="0.2">
      <c r="B229" s="133" t="s">
        <v>1026</v>
      </c>
      <c r="C229" s="133"/>
      <c r="D229" s="114">
        <v>7.5192870481451672</v>
      </c>
    </row>
    <row r="230" spans="2:4" x14ac:dyDescent="0.2">
      <c r="B230" s="148"/>
      <c r="C230" s="149"/>
      <c r="D230" s="76"/>
    </row>
    <row r="231" spans="2:4" x14ac:dyDescent="0.2">
      <c r="B231" s="133" t="s">
        <v>1027</v>
      </c>
      <c r="C231" s="133"/>
      <c r="D231" s="114">
        <v>3.4740846759761848</v>
      </c>
    </row>
    <row r="232" spans="2:4" x14ac:dyDescent="0.2">
      <c r="B232" s="133" t="s">
        <v>1028</v>
      </c>
      <c r="C232" s="133"/>
      <c r="D232" s="114">
        <v>4.6893684424125119</v>
      </c>
    </row>
    <row r="233" spans="2:4" x14ac:dyDescent="0.2">
      <c r="B233" s="148"/>
      <c r="C233" s="149"/>
      <c r="D233" s="76"/>
    </row>
    <row r="234" spans="2:4" x14ac:dyDescent="0.2">
      <c r="B234" s="133" t="s">
        <v>1029</v>
      </c>
      <c r="C234" s="133"/>
      <c r="D234" s="77">
        <v>45230</v>
      </c>
    </row>
    <row r="235" spans="2:4" x14ac:dyDescent="0.2">
      <c r="B235" s="148" t="s">
        <v>1030</v>
      </c>
      <c r="C235" s="150"/>
      <c r="D235" s="149"/>
    </row>
  </sheetData>
  <mergeCells count="28">
    <mergeCell ref="J2:N2"/>
    <mergeCell ref="A1:H1"/>
    <mergeCell ref="A2:H2"/>
    <mergeCell ref="A3:H3"/>
    <mergeCell ref="B223:C223"/>
    <mergeCell ref="B206:C206"/>
    <mergeCell ref="B207:C207"/>
    <mergeCell ref="B215:C215"/>
    <mergeCell ref="B220:C220"/>
    <mergeCell ref="B221:C221"/>
    <mergeCell ref="B222:C222"/>
    <mergeCell ref="B205:C205"/>
    <mergeCell ref="B201:F201"/>
    <mergeCell ref="B204:D204"/>
    <mergeCell ref="B199:F199"/>
    <mergeCell ref="B200:F200"/>
    <mergeCell ref="B202:F202"/>
    <mergeCell ref="B225:D225"/>
    <mergeCell ref="B226:C226"/>
    <mergeCell ref="B227:C227"/>
    <mergeCell ref="B228:C228"/>
    <mergeCell ref="B229:C229"/>
    <mergeCell ref="B235:D235"/>
    <mergeCell ref="B230:C230"/>
    <mergeCell ref="B231:C231"/>
    <mergeCell ref="B232:C232"/>
    <mergeCell ref="B233:C233"/>
    <mergeCell ref="B234:C234"/>
  </mergeCells>
  <hyperlinks>
    <hyperlink ref="I1" location="Index!B17" display="Index" xr:uid="{0EE396B1-70C5-402F-9EE3-77EBFBA89EB7}"/>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O177"/>
  <sheetViews>
    <sheetView showGridLines="0" workbookViewId="0">
      <selection sqref="A1:H1"/>
    </sheetView>
  </sheetViews>
  <sheetFormatPr defaultRowHeight="12.75" x14ac:dyDescent="0.2"/>
  <cols>
    <col min="1" max="1" width="6.85546875" customWidth="1"/>
    <col min="2" max="2" width="20.5703125" customWidth="1"/>
    <col min="3" max="3" width="35.85546875" customWidth="1"/>
    <col min="4" max="4" width="17.85546875" customWidth="1"/>
    <col min="5" max="6" width="19.140625" customWidth="1"/>
    <col min="7" max="7" width="16.42578125" customWidth="1"/>
  </cols>
  <sheetData>
    <row r="1" spans="1:15" ht="18" customHeight="1" x14ac:dyDescent="0.2">
      <c r="A1" s="116" t="s">
        <v>0</v>
      </c>
      <c r="B1" s="116"/>
      <c r="C1" s="116"/>
      <c r="D1" s="116"/>
      <c r="E1" s="116"/>
      <c r="F1" s="116"/>
      <c r="G1" s="116"/>
      <c r="H1" s="116"/>
      <c r="I1" s="98" t="s">
        <v>1053</v>
      </c>
    </row>
    <row r="2" spans="1:15" ht="17.100000000000001" customHeight="1" x14ac:dyDescent="0.2">
      <c r="A2" s="117" t="s">
        <v>702</v>
      </c>
      <c r="B2" s="118"/>
      <c r="C2" s="118"/>
      <c r="D2" s="118"/>
      <c r="E2" s="118"/>
      <c r="F2" s="118"/>
      <c r="G2" s="118"/>
      <c r="H2" s="119"/>
      <c r="J2" s="120" t="s">
        <v>1054</v>
      </c>
      <c r="K2" s="120"/>
      <c r="L2" s="120"/>
      <c r="M2" s="120"/>
      <c r="N2" s="120"/>
    </row>
    <row r="3" spans="1:15" ht="21" customHeight="1" x14ac:dyDescent="0.2">
      <c r="A3" s="116" t="s">
        <v>1049</v>
      </c>
      <c r="B3" s="116"/>
      <c r="C3" s="116"/>
      <c r="D3" s="116"/>
      <c r="E3" s="116"/>
      <c r="F3" s="116"/>
      <c r="G3" s="116"/>
      <c r="H3" s="116"/>
    </row>
    <row r="4" spans="1:15" ht="30" x14ac:dyDescent="0.2">
      <c r="A4" s="96" t="s">
        <v>2</v>
      </c>
      <c r="B4" s="96" t="s">
        <v>3</v>
      </c>
      <c r="C4" s="96" t="s">
        <v>4</v>
      </c>
      <c r="D4" s="96" t="s">
        <v>5</v>
      </c>
      <c r="E4" s="96" t="s">
        <v>6</v>
      </c>
      <c r="F4" s="96" t="s">
        <v>7</v>
      </c>
      <c r="G4" s="96" t="s">
        <v>8</v>
      </c>
      <c r="H4" s="51" t="s">
        <v>1002</v>
      </c>
      <c r="I4" s="99"/>
      <c r="J4" s="99"/>
      <c r="K4" s="99"/>
      <c r="L4" s="99"/>
      <c r="M4" s="99"/>
      <c r="N4" s="99"/>
      <c r="O4" s="99"/>
    </row>
    <row r="5" spans="1:15" ht="14.1" customHeight="1" x14ac:dyDescent="0.2">
      <c r="A5" s="1"/>
      <c r="B5" s="1"/>
      <c r="C5" s="2" t="s">
        <v>9</v>
      </c>
      <c r="D5" s="1"/>
      <c r="E5" s="1"/>
      <c r="F5" s="1"/>
      <c r="G5" s="1"/>
      <c r="H5" s="52"/>
    </row>
    <row r="6" spans="1:15" ht="24" customHeight="1" x14ac:dyDescent="0.2">
      <c r="A6" s="1"/>
      <c r="B6" s="1"/>
      <c r="C6" s="2" t="s">
        <v>10</v>
      </c>
      <c r="D6" s="1"/>
      <c r="E6" s="1"/>
      <c r="F6" s="1"/>
      <c r="G6" s="1"/>
      <c r="H6" s="52"/>
    </row>
    <row r="7" spans="1:15" ht="17.100000000000001" customHeight="1" x14ac:dyDescent="0.2">
      <c r="A7" s="3">
        <v>1</v>
      </c>
      <c r="B7" s="4" t="s">
        <v>20</v>
      </c>
      <c r="C7" s="4" t="s">
        <v>21</v>
      </c>
      <c r="D7" s="4" t="s">
        <v>22</v>
      </c>
      <c r="E7" s="5">
        <v>1200000</v>
      </c>
      <c r="F7" s="6">
        <v>2829.6</v>
      </c>
      <c r="G7" s="7">
        <v>4.7485630000000001E-2</v>
      </c>
      <c r="H7" s="52"/>
    </row>
    <row r="8" spans="1:15" ht="17.100000000000001" customHeight="1" x14ac:dyDescent="0.2">
      <c r="A8" s="3">
        <v>2</v>
      </c>
      <c r="B8" s="4" t="s">
        <v>319</v>
      </c>
      <c r="C8" s="4" t="s">
        <v>320</v>
      </c>
      <c r="D8" s="4" t="s">
        <v>28</v>
      </c>
      <c r="E8" s="5">
        <v>175000</v>
      </c>
      <c r="F8" s="6">
        <v>2583.875</v>
      </c>
      <c r="G8" s="7">
        <v>4.336193E-2</v>
      </c>
      <c r="H8" s="52"/>
    </row>
    <row r="9" spans="1:15" ht="17.100000000000001" customHeight="1" x14ac:dyDescent="0.2">
      <c r="A9" s="3">
        <v>3</v>
      </c>
      <c r="B9" s="4" t="s">
        <v>321</v>
      </c>
      <c r="C9" s="4" t="s">
        <v>322</v>
      </c>
      <c r="D9" s="4" t="s">
        <v>888</v>
      </c>
      <c r="E9" s="5">
        <v>170000</v>
      </c>
      <c r="F9" s="6">
        <v>2326.2800000000002</v>
      </c>
      <c r="G9" s="7">
        <v>3.9039039999999997E-2</v>
      </c>
      <c r="H9" s="52"/>
    </row>
    <row r="10" spans="1:15" ht="17.100000000000001" customHeight="1" x14ac:dyDescent="0.2">
      <c r="A10" s="3">
        <v>4</v>
      </c>
      <c r="B10" s="4" t="s">
        <v>14</v>
      </c>
      <c r="C10" s="4" t="s">
        <v>15</v>
      </c>
      <c r="D10" s="4" t="s">
        <v>16</v>
      </c>
      <c r="E10" s="5">
        <v>97000</v>
      </c>
      <c r="F10" s="6">
        <v>2219.2629999999999</v>
      </c>
      <c r="G10" s="7">
        <v>3.7243110000000003E-2</v>
      </c>
      <c r="H10" s="52"/>
    </row>
    <row r="11" spans="1:15" ht="17.100000000000001" customHeight="1" x14ac:dyDescent="0.2">
      <c r="A11" s="3">
        <v>5</v>
      </c>
      <c r="B11" s="4" t="s">
        <v>342</v>
      </c>
      <c r="C11" s="4" t="s">
        <v>343</v>
      </c>
      <c r="D11" s="4" t="s">
        <v>344</v>
      </c>
      <c r="E11" s="5">
        <v>433000</v>
      </c>
      <c r="F11" s="6">
        <v>1854.972</v>
      </c>
      <c r="G11" s="7">
        <v>3.1129670000000002E-2</v>
      </c>
      <c r="H11" s="52"/>
    </row>
    <row r="12" spans="1:15" ht="17.100000000000001" customHeight="1" x14ac:dyDescent="0.2">
      <c r="A12" s="3">
        <v>6</v>
      </c>
      <c r="B12" s="4" t="s">
        <v>26</v>
      </c>
      <c r="C12" s="4" t="s">
        <v>27</v>
      </c>
      <c r="D12" s="4" t="s">
        <v>28</v>
      </c>
      <c r="E12" s="5">
        <v>200000</v>
      </c>
      <c r="F12" s="6">
        <v>1830.7</v>
      </c>
      <c r="G12" s="7">
        <v>3.0722340000000001E-2</v>
      </c>
      <c r="H12" s="52"/>
    </row>
    <row r="13" spans="1:15" ht="17.100000000000001" customHeight="1" x14ac:dyDescent="0.2">
      <c r="A13" s="3">
        <v>7</v>
      </c>
      <c r="B13" s="4" t="s">
        <v>11</v>
      </c>
      <c r="C13" s="4" t="s">
        <v>12</v>
      </c>
      <c r="D13" s="4" t="s">
        <v>13</v>
      </c>
      <c r="E13" s="5">
        <v>51000</v>
      </c>
      <c r="F13" s="6">
        <v>1493.8154999999999</v>
      </c>
      <c r="G13" s="7">
        <v>2.506883E-2</v>
      </c>
      <c r="H13" s="52"/>
    </row>
    <row r="14" spans="1:15" ht="17.100000000000001" customHeight="1" x14ac:dyDescent="0.2">
      <c r="A14" s="3">
        <v>8</v>
      </c>
      <c r="B14" s="4" t="s">
        <v>325</v>
      </c>
      <c r="C14" s="4" t="s">
        <v>326</v>
      </c>
      <c r="D14" s="4" t="s">
        <v>888</v>
      </c>
      <c r="E14" s="5">
        <v>39000</v>
      </c>
      <c r="F14" s="6">
        <v>1313.8125</v>
      </c>
      <c r="G14" s="7">
        <v>2.2048069999999999E-2</v>
      </c>
      <c r="H14" s="52"/>
      <c r="J14" s="107" t="s">
        <v>1073</v>
      </c>
    </row>
    <row r="15" spans="1:15" ht="17.100000000000001" customHeight="1" x14ac:dyDescent="0.2">
      <c r="A15" s="3">
        <v>9</v>
      </c>
      <c r="B15" s="4" t="s">
        <v>39</v>
      </c>
      <c r="C15" s="4" t="s">
        <v>40</v>
      </c>
      <c r="D15" s="4" t="s">
        <v>28</v>
      </c>
      <c r="E15" s="5">
        <v>231000</v>
      </c>
      <c r="F15" s="6">
        <v>1306.4204999999999</v>
      </c>
      <c r="G15" s="7">
        <v>2.1924019999999999E-2</v>
      </c>
      <c r="H15" s="52"/>
    </row>
    <row r="16" spans="1:15" ht="29.1" customHeight="1" x14ac:dyDescent="0.2">
      <c r="A16" s="3">
        <v>10</v>
      </c>
      <c r="B16" s="4" t="s">
        <v>34</v>
      </c>
      <c r="C16" s="4" t="s">
        <v>35</v>
      </c>
      <c r="D16" s="4" t="s">
        <v>36</v>
      </c>
      <c r="E16" s="5">
        <v>940000</v>
      </c>
      <c r="F16" s="6">
        <v>1252.55</v>
      </c>
      <c r="G16" s="7">
        <v>2.1019980000000001E-2</v>
      </c>
      <c r="H16" s="52"/>
    </row>
    <row r="17" spans="1:10" ht="17.100000000000001" customHeight="1" x14ac:dyDescent="0.2">
      <c r="A17" s="3">
        <v>11</v>
      </c>
      <c r="B17" s="4" t="s">
        <v>468</v>
      </c>
      <c r="C17" s="4" t="s">
        <v>469</v>
      </c>
      <c r="D17" s="4" t="s">
        <v>888</v>
      </c>
      <c r="E17" s="5">
        <v>87000</v>
      </c>
      <c r="F17" s="6">
        <v>1110.1199999999999</v>
      </c>
      <c r="G17" s="7">
        <v>1.862975E-2</v>
      </c>
      <c r="H17" s="52"/>
    </row>
    <row r="18" spans="1:10" ht="17.100000000000001" customHeight="1" x14ac:dyDescent="0.2">
      <c r="A18" s="3">
        <v>12</v>
      </c>
      <c r="B18" s="4" t="s">
        <v>351</v>
      </c>
      <c r="C18" s="4" t="s">
        <v>352</v>
      </c>
      <c r="D18" s="4" t="s">
        <v>344</v>
      </c>
      <c r="E18" s="5">
        <v>43000</v>
      </c>
      <c r="F18" s="6">
        <v>1068.1199999999999</v>
      </c>
      <c r="G18" s="7">
        <v>1.792492E-2</v>
      </c>
      <c r="H18" s="52"/>
    </row>
    <row r="19" spans="1:10" ht="17.100000000000001" customHeight="1" x14ac:dyDescent="0.2">
      <c r="A19" s="3">
        <v>13</v>
      </c>
      <c r="B19" s="4" t="s">
        <v>193</v>
      </c>
      <c r="C19" s="4" t="s">
        <v>194</v>
      </c>
      <c r="D19" s="4" t="s">
        <v>70</v>
      </c>
      <c r="E19" s="5">
        <v>425000</v>
      </c>
      <c r="F19" s="6">
        <v>1048.05</v>
      </c>
      <c r="G19" s="7">
        <v>1.7588110000000001E-2</v>
      </c>
      <c r="H19" s="52"/>
    </row>
    <row r="20" spans="1:10" ht="29.1" customHeight="1" x14ac:dyDescent="0.2">
      <c r="A20" s="3">
        <v>14</v>
      </c>
      <c r="B20" s="4" t="s">
        <v>23</v>
      </c>
      <c r="C20" s="4" t="s">
        <v>24</v>
      </c>
      <c r="D20" s="4" t="s">
        <v>25</v>
      </c>
      <c r="E20" s="5">
        <v>12000</v>
      </c>
      <c r="F20" s="6">
        <v>1010.67</v>
      </c>
      <c r="G20" s="7">
        <v>1.696081E-2</v>
      </c>
      <c r="H20" s="52"/>
    </row>
    <row r="21" spans="1:10" ht="29.1" customHeight="1" x14ac:dyDescent="0.2">
      <c r="A21" s="3">
        <v>15</v>
      </c>
      <c r="B21" s="4" t="s">
        <v>327</v>
      </c>
      <c r="C21" s="4" t="s">
        <v>328</v>
      </c>
      <c r="D21" s="4" t="s">
        <v>226</v>
      </c>
      <c r="E21" s="5">
        <v>90000</v>
      </c>
      <c r="F21" s="6">
        <v>979.74</v>
      </c>
      <c r="G21" s="7">
        <v>1.6441750000000002E-2</v>
      </c>
      <c r="H21" s="52"/>
    </row>
    <row r="22" spans="1:10" ht="17.100000000000001" customHeight="1" x14ac:dyDescent="0.2">
      <c r="A22" s="3">
        <v>16</v>
      </c>
      <c r="B22" s="4" t="s">
        <v>68</v>
      </c>
      <c r="C22" s="4" t="s">
        <v>69</v>
      </c>
      <c r="D22" s="4" t="s">
        <v>70</v>
      </c>
      <c r="E22" s="5">
        <v>340000</v>
      </c>
      <c r="F22" s="6">
        <v>977.84</v>
      </c>
      <c r="G22" s="7">
        <v>1.6409859999999998E-2</v>
      </c>
      <c r="H22" s="52"/>
    </row>
    <row r="23" spans="1:10" ht="17.100000000000001" customHeight="1" x14ac:dyDescent="0.2">
      <c r="A23" s="3">
        <v>17</v>
      </c>
      <c r="B23" s="4" t="s">
        <v>571</v>
      </c>
      <c r="C23" s="4" t="s">
        <v>572</v>
      </c>
      <c r="D23" s="4" t="s">
        <v>888</v>
      </c>
      <c r="E23" s="5">
        <v>80000</v>
      </c>
      <c r="F23" s="6">
        <v>906.52</v>
      </c>
      <c r="G23" s="7">
        <v>1.5212989999999999E-2</v>
      </c>
      <c r="H23" s="52"/>
      <c r="J23" s="101" t="s">
        <v>1074</v>
      </c>
    </row>
    <row r="24" spans="1:10" ht="17.100000000000001" customHeight="1" x14ac:dyDescent="0.2">
      <c r="A24" s="3">
        <v>18</v>
      </c>
      <c r="B24" s="4" t="s">
        <v>335</v>
      </c>
      <c r="C24" s="4" t="s">
        <v>336</v>
      </c>
      <c r="D24" s="4" t="s">
        <v>28</v>
      </c>
      <c r="E24" s="5">
        <v>235822</v>
      </c>
      <c r="F24" s="6">
        <v>906.38185699999997</v>
      </c>
      <c r="G24" s="7">
        <v>1.5210670000000001E-2</v>
      </c>
      <c r="H24" s="52"/>
    </row>
    <row r="25" spans="1:10" ht="17.100000000000001" customHeight="1" x14ac:dyDescent="0.2">
      <c r="A25" s="3">
        <v>19</v>
      </c>
      <c r="B25" s="4" t="s">
        <v>37</v>
      </c>
      <c r="C25" s="4" t="s">
        <v>38</v>
      </c>
      <c r="D25" s="4" t="s">
        <v>22</v>
      </c>
      <c r="E25" s="5">
        <v>437333</v>
      </c>
      <c r="F25" s="6">
        <v>884.06865949999997</v>
      </c>
      <c r="G25" s="7">
        <v>1.4836220000000001E-2</v>
      </c>
      <c r="H25" s="52"/>
    </row>
    <row r="26" spans="1:10" ht="17.100000000000001" customHeight="1" x14ac:dyDescent="0.2">
      <c r="A26" s="3">
        <v>20</v>
      </c>
      <c r="B26" s="4" t="s">
        <v>703</v>
      </c>
      <c r="C26" s="4" t="s">
        <v>704</v>
      </c>
      <c r="D26" s="4" t="s">
        <v>705</v>
      </c>
      <c r="E26" s="5">
        <v>270000</v>
      </c>
      <c r="F26" s="6">
        <v>848.47500000000002</v>
      </c>
      <c r="G26" s="7">
        <v>1.4238890000000001E-2</v>
      </c>
      <c r="H26" s="52"/>
    </row>
    <row r="27" spans="1:10" ht="17.100000000000001" customHeight="1" x14ac:dyDescent="0.2">
      <c r="A27" s="3">
        <v>21</v>
      </c>
      <c r="B27" s="4" t="s">
        <v>706</v>
      </c>
      <c r="C27" s="4" t="s">
        <v>707</v>
      </c>
      <c r="D27" s="4" t="s">
        <v>22</v>
      </c>
      <c r="E27" s="5">
        <v>1600000</v>
      </c>
      <c r="F27" s="6">
        <v>803.2</v>
      </c>
      <c r="G27" s="7">
        <v>1.3479100000000001E-2</v>
      </c>
      <c r="H27" s="52"/>
    </row>
    <row r="28" spans="1:10" ht="17.100000000000001" customHeight="1" x14ac:dyDescent="0.2">
      <c r="A28" s="3">
        <v>22</v>
      </c>
      <c r="B28" s="4" t="s">
        <v>355</v>
      </c>
      <c r="C28" s="4" t="s">
        <v>356</v>
      </c>
      <c r="D28" s="4" t="s">
        <v>357</v>
      </c>
      <c r="E28" s="5">
        <v>34000</v>
      </c>
      <c r="F28" s="6">
        <v>792.50599999999997</v>
      </c>
      <c r="G28" s="7">
        <v>1.329963E-2</v>
      </c>
      <c r="H28" s="52"/>
    </row>
    <row r="29" spans="1:10" ht="17.100000000000001" customHeight="1" x14ac:dyDescent="0.2">
      <c r="A29" s="3">
        <v>23</v>
      </c>
      <c r="B29" s="4" t="s">
        <v>329</v>
      </c>
      <c r="C29" s="4" t="s">
        <v>330</v>
      </c>
      <c r="D29" s="4" t="s">
        <v>28</v>
      </c>
      <c r="E29" s="5">
        <v>54000</v>
      </c>
      <c r="F29" s="6">
        <v>778.30200000000002</v>
      </c>
      <c r="G29" s="7">
        <v>1.306127E-2</v>
      </c>
      <c r="H29" s="52"/>
    </row>
    <row r="30" spans="1:10" ht="17.100000000000001" customHeight="1" x14ac:dyDescent="0.2">
      <c r="A30" s="3">
        <v>24</v>
      </c>
      <c r="B30" s="4" t="s">
        <v>366</v>
      </c>
      <c r="C30" s="4" t="s">
        <v>367</v>
      </c>
      <c r="D30" s="4" t="s">
        <v>114</v>
      </c>
      <c r="E30" s="5">
        <v>650000</v>
      </c>
      <c r="F30" s="6">
        <v>771.875</v>
      </c>
      <c r="G30" s="7">
        <v>1.295341E-2</v>
      </c>
      <c r="H30" s="52"/>
    </row>
    <row r="31" spans="1:10" ht="17.100000000000001" customHeight="1" x14ac:dyDescent="0.2">
      <c r="A31" s="3">
        <v>25</v>
      </c>
      <c r="B31" s="4" t="s">
        <v>17</v>
      </c>
      <c r="C31" s="4" t="s">
        <v>18</v>
      </c>
      <c r="D31" s="4" t="s">
        <v>19</v>
      </c>
      <c r="E31" s="5">
        <v>83000</v>
      </c>
      <c r="F31" s="6">
        <v>758.952</v>
      </c>
      <c r="G31" s="7">
        <v>1.2736539999999999E-2</v>
      </c>
      <c r="H31" s="52"/>
    </row>
    <row r="32" spans="1:10" ht="29.1" customHeight="1" x14ac:dyDescent="0.2">
      <c r="A32" s="3">
        <v>26</v>
      </c>
      <c r="B32" s="4" t="s">
        <v>542</v>
      </c>
      <c r="C32" s="4" t="s">
        <v>543</v>
      </c>
      <c r="D32" s="4" t="s">
        <v>544</v>
      </c>
      <c r="E32" s="5">
        <v>189000</v>
      </c>
      <c r="F32" s="6">
        <v>736.81650000000002</v>
      </c>
      <c r="G32" s="7">
        <v>1.2365070000000001E-2</v>
      </c>
      <c r="H32" s="52"/>
    </row>
    <row r="33" spans="1:8" ht="17.100000000000001" customHeight="1" x14ac:dyDescent="0.2">
      <c r="A33" s="3">
        <v>27</v>
      </c>
      <c r="B33" s="4" t="s">
        <v>405</v>
      </c>
      <c r="C33" s="4" t="s">
        <v>406</v>
      </c>
      <c r="D33" s="4" t="s">
        <v>357</v>
      </c>
      <c r="E33" s="5">
        <v>28000</v>
      </c>
      <c r="F33" s="6">
        <v>722.94600000000003</v>
      </c>
      <c r="G33" s="7">
        <v>1.21323E-2</v>
      </c>
      <c r="H33" s="52"/>
    </row>
    <row r="34" spans="1:8" ht="17.100000000000001" customHeight="1" x14ac:dyDescent="0.2">
      <c r="A34" s="3">
        <v>28</v>
      </c>
      <c r="B34" s="4" t="s">
        <v>708</v>
      </c>
      <c r="C34" s="4" t="s">
        <v>709</v>
      </c>
      <c r="D34" s="4" t="s">
        <v>31</v>
      </c>
      <c r="E34" s="5">
        <v>20500</v>
      </c>
      <c r="F34" s="6">
        <v>720.68775000000005</v>
      </c>
      <c r="G34" s="7">
        <v>1.20944E-2</v>
      </c>
      <c r="H34" s="52"/>
    </row>
    <row r="35" spans="1:8" ht="17.100000000000001" customHeight="1" x14ac:dyDescent="0.2">
      <c r="A35" s="3">
        <v>29</v>
      </c>
      <c r="B35" s="4" t="s">
        <v>191</v>
      </c>
      <c r="C35" s="4" t="s">
        <v>192</v>
      </c>
      <c r="D35" s="4" t="s">
        <v>28</v>
      </c>
      <c r="E35" s="5">
        <v>500000</v>
      </c>
      <c r="F35" s="6">
        <v>703.25</v>
      </c>
      <c r="G35" s="7">
        <v>1.180176E-2</v>
      </c>
      <c r="H35" s="52"/>
    </row>
    <row r="36" spans="1:8" ht="17.100000000000001" customHeight="1" x14ac:dyDescent="0.2">
      <c r="A36" s="3">
        <v>30</v>
      </c>
      <c r="B36" s="4" t="s">
        <v>65</v>
      </c>
      <c r="C36" s="4" t="s">
        <v>66</v>
      </c>
      <c r="D36" s="4" t="s">
        <v>67</v>
      </c>
      <c r="E36" s="5">
        <v>370000</v>
      </c>
      <c r="F36" s="6">
        <v>688.755</v>
      </c>
      <c r="G36" s="7">
        <v>1.1558509999999999E-2</v>
      </c>
      <c r="H36" s="52"/>
    </row>
    <row r="37" spans="1:8" ht="17.100000000000001" customHeight="1" x14ac:dyDescent="0.2">
      <c r="A37" s="3">
        <v>31</v>
      </c>
      <c r="B37" s="4" t="s">
        <v>454</v>
      </c>
      <c r="C37" s="4" t="s">
        <v>455</v>
      </c>
      <c r="D37" s="4" t="s">
        <v>31</v>
      </c>
      <c r="E37" s="5">
        <v>63000</v>
      </c>
      <c r="F37" s="6">
        <v>675.32849999999996</v>
      </c>
      <c r="G37" s="7">
        <v>1.133319E-2</v>
      </c>
      <c r="H37" s="52"/>
    </row>
    <row r="38" spans="1:8" ht="17.100000000000001" customHeight="1" x14ac:dyDescent="0.2">
      <c r="A38" s="3">
        <v>32</v>
      </c>
      <c r="B38" s="4" t="s">
        <v>565</v>
      </c>
      <c r="C38" s="4" t="s">
        <v>566</v>
      </c>
      <c r="D38" s="4" t="s">
        <v>102</v>
      </c>
      <c r="E38" s="5">
        <v>12160</v>
      </c>
      <c r="F38" s="6">
        <v>646.18848000000003</v>
      </c>
      <c r="G38" s="7">
        <v>1.084417E-2</v>
      </c>
      <c r="H38" s="52"/>
    </row>
    <row r="39" spans="1:8" ht="17.100000000000001" customHeight="1" x14ac:dyDescent="0.2">
      <c r="A39" s="3">
        <v>33</v>
      </c>
      <c r="B39" s="4" t="s">
        <v>710</v>
      </c>
      <c r="C39" s="4" t="s">
        <v>711</v>
      </c>
      <c r="D39" s="4" t="s">
        <v>60</v>
      </c>
      <c r="E39" s="5">
        <v>73000</v>
      </c>
      <c r="F39" s="6">
        <v>645.79449999999997</v>
      </c>
      <c r="G39" s="7">
        <v>1.083756E-2</v>
      </c>
      <c r="H39" s="52"/>
    </row>
    <row r="40" spans="1:8" ht="29.1" customHeight="1" x14ac:dyDescent="0.2">
      <c r="A40" s="3">
        <v>34</v>
      </c>
      <c r="B40" s="4" t="s">
        <v>333</v>
      </c>
      <c r="C40" s="4" t="s">
        <v>334</v>
      </c>
      <c r="D40" s="4" t="s">
        <v>226</v>
      </c>
      <c r="E40" s="5">
        <v>12000</v>
      </c>
      <c r="F40" s="6">
        <v>644.10599999999999</v>
      </c>
      <c r="G40" s="7">
        <v>1.080922E-2</v>
      </c>
      <c r="H40" s="52"/>
    </row>
    <row r="41" spans="1:8" ht="29.1" customHeight="1" x14ac:dyDescent="0.2">
      <c r="A41" s="3">
        <v>35</v>
      </c>
      <c r="B41" s="4" t="s">
        <v>497</v>
      </c>
      <c r="C41" s="4" t="s">
        <v>498</v>
      </c>
      <c r="D41" s="4" t="s">
        <v>226</v>
      </c>
      <c r="E41" s="5">
        <v>110000</v>
      </c>
      <c r="F41" s="6">
        <v>636.57000000000005</v>
      </c>
      <c r="G41" s="7">
        <v>1.0682759999999999E-2</v>
      </c>
      <c r="H41" s="52"/>
    </row>
    <row r="42" spans="1:8" ht="17.100000000000001" customHeight="1" x14ac:dyDescent="0.2">
      <c r="A42" s="3">
        <v>36</v>
      </c>
      <c r="B42" s="4" t="s">
        <v>323</v>
      </c>
      <c r="C42" s="4" t="s">
        <v>324</v>
      </c>
      <c r="D42" s="4" t="s">
        <v>28</v>
      </c>
      <c r="E42" s="5">
        <v>64000</v>
      </c>
      <c r="F42" s="6">
        <v>628.38400000000001</v>
      </c>
      <c r="G42" s="7">
        <v>1.054538E-2</v>
      </c>
      <c r="H42" s="52"/>
    </row>
    <row r="43" spans="1:8" ht="17.100000000000001" customHeight="1" x14ac:dyDescent="0.2">
      <c r="A43" s="3">
        <v>37</v>
      </c>
      <c r="B43" s="4" t="s">
        <v>360</v>
      </c>
      <c r="C43" s="4" t="s">
        <v>361</v>
      </c>
      <c r="D43" s="4" t="s">
        <v>60</v>
      </c>
      <c r="E43" s="5">
        <v>19000</v>
      </c>
      <c r="F43" s="6">
        <v>606.0335</v>
      </c>
      <c r="G43" s="7">
        <v>1.01703E-2</v>
      </c>
      <c r="H43" s="52"/>
    </row>
    <row r="44" spans="1:8" ht="17.100000000000001" customHeight="1" x14ac:dyDescent="0.2">
      <c r="A44" s="3">
        <v>38</v>
      </c>
      <c r="B44" s="4" t="s">
        <v>236</v>
      </c>
      <c r="C44" s="4" t="s">
        <v>237</v>
      </c>
      <c r="D44" s="4" t="s">
        <v>888</v>
      </c>
      <c r="E44" s="5">
        <v>12000</v>
      </c>
      <c r="F44" s="6">
        <v>598.11</v>
      </c>
      <c r="G44" s="7">
        <v>1.0037330000000001E-2</v>
      </c>
      <c r="H44" s="52"/>
    </row>
    <row r="45" spans="1:8" ht="17.100000000000001" customHeight="1" x14ac:dyDescent="0.2">
      <c r="A45" s="3">
        <v>39</v>
      </c>
      <c r="B45" s="4" t="s">
        <v>195</v>
      </c>
      <c r="C45" s="4" t="s">
        <v>196</v>
      </c>
      <c r="D45" s="4" t="s">
        <v>70</v>
      </c>
      <c r="E45" s="5">
        <v>30000</v>
      </c>
      <c r="F45" s="6">
        <v>563.95500000000004</v>
      </c>
      <c r="G45" s="7">
        <v>9.4641499999999993E-3</v>
      </c>
      <c r="H45" s="52"/>
    </row>
    <row r="46" spans="1:8" ht="53.1" customHeight="1" x14ac:dyDescent="0.2">
      <c r="A46" s="3">
        <v>40</v>
      </c>
      <c r="B46" s="4" t="s">
        <v>71</v>
      </c>
      <c r="C46" s="4" t="s">
        <v>72</v>
      </c>
      <c r="D46" s="4" t="s">
        <v>73</v>
      </c>
      <c r="E46" s="5">
        <v>335000</v>
      </c>
      <c r="F46" s="6">
        <v>561.79499999999996</v>
      </c>
      <c r="G46" s="7">
        <v>9.4278999999999995E-3</v>
      </c>
      <c r="H46" s="52"/>
    </row>
    <row r="47" spans="1:8" ht="17.100000000000001" customHeight="1" x14ac:dyDescent="0.2">
      <c r="A47" s="3">
        <v>41</v>
      </c>
      <c r="B47" s="4" t="s">
        <v>100</v>
      </c>
      <c r="C47" s="4" t="s">
        <v>101</v>
      </c>
      <c r="D47" s="4" t="s">
        <v>102</v>
      </c>
      <c r="E47" s="5">
        <v>5400</v>
      </c>
      <c r="F47" s="6">
        <v>561.18420000000003</v>
      </c>
      <c r="G47" s="7">
        <v>9.4176499999999996E-3</v>
      </c>
      <c r="H47" s="52"/>
    </row>
    <row r="48" spans="1:8" ht="17.100000000000001" customHeight="1" x14ac:dyDescent="0.2">
      <c r="A48" s="3">
        <v>42</v>
      </c>
      <c r="B48" s="4" t="s">
        <v>466</v>
      </c>
      <c r="C48" s="4" t="s">
        <v>467</v>
      </c>
      <c r="D48" s="4" t="s">
        <v>221</v>
      </c>
      <c r="E48" s="5">
        <v>41000</v>
      </c>
      <c r="F48" s="6">
        <v>560.81849999999997</v>
      </c>
      <c r="G48" s="7">
        <v>9.4115099999999997E-3</v>
      </c>
      <c r="H48" s="52"/>
    </row>
    <row r="49" spans="1:8" ht="17.100000000000001" customHeight="1" x14ac:dyDescent="0.2">
      <c r="A49" s="3">
        <v>43</v>
      </c>
      <c r="B49" s="4" t="s">
        <v>353</v>
      </c>
      <c r="C49" s="4" t="s">
        <v>354</v>
      </c>
      <c r="D49" s="4" t="s">
        <v>888</v>
      </c>
      <c r="E49" s="5">
        <v>11000</v>
      </c>
      <c r="F49" s="6">
        <v>556.64400000000001</v>
      </c>
      <c r="G49" s="7">
        <v>9.3414599999999993E-3</v>
      </c>
      <c r="H49" s="52"/>
    </row>
    <row r="50" spans="1:8" ht="17.100000000000001" customHeight="1" x14ac:dyDescent="0.2">
      <c r="A50" s="3">
        <v>44</v>
      </c>
      <c r="B50" s="4" t="s">
        <v>117</v>
      </c>
      <c r="C50" s="4" t="s">
        <v>118</v>
      </c>
      <c r="D50" s="4" t="s">
        <v>43</v>
      </c>
      <c r="E50" s="5">
        <v>229000</v>
      </c>
      <c r="F50" s="6">
        <v>554.63800000000003</v>
      </c>
      <c r="G50" s="7">
        <v>9.3077899999999998E-3</v>
      </c>
      <c r="H50" s="52"/>
    </row>
    <row r="51" spans="1:8" ht="17.100000000000001" customHeight="1" x14ac:dyDescent="0.2">
      <c r="A51" s="3">
        <v>45</v>
      </c>
      <c r="B51" s="4" t="s">
        <v>279</v>
      </c>
      <c r="C51" s="4" t="s">
        <v>280</v>
      </c>
      <c r="D51" s="4" t="s">
        <v>888</v>
      </c>
      <c r="E51" s="5">
        <v>45000</v>
      </c>
      <c r="F51" s="6">
        <v>547.89750000000004</v>
      </c>
      <c r="G51" s="7">
        <v>9.1946800000000002E-3</v>
      </c>
      <c r="H51" s="52"/>
    </row>
    <row r="52" spans="1:8" ht="29.1" customHeight="1" x14ac:dyDescent="0.2">
      <c r="A52" s="3">
        <v>46</v>
      </c>
      <c r="B52" s="4" t="s">
        <v>238</v>
      </c>
      <c r="C52" s="4" t="s">
        <v>239</v>
      </c>
      <c r="D52" s="4" t="s">
        <v>226</v>
      </c>
      <c r="E52" s="5">
        <v>14700</v>
      </c>
      <c r="F52" s="6">
        <v>547.11194999999998</v>
      </c>
      <c r="G52" s="7">
        <v>9.1814900000000005E-3</v>
      </c>
      <c r="H52" s="52"/>
    </row>
    <row r="53" spans="1:8" ht="17.100000000000001" customHeight="1" x14ac:dyDescent="0.2">
      <c r="A53" s="3">
        <v>47</v>
      </c>
      <c r="B53" s="4" t="s">
        <v>83</v>
      </c>
      <c r="C53" s="4" t="s">
        <v>84</v>
      </c>
      <c r="D53" s="4" t="s">
        <v>52</v>
      </c>
      <c r="E53" s="5">
        <v>22000</v>
      </c>
      <c r="F53" s="6">
        <v>539.84699999999998</v>
      </c>
      <c r="G53" s="7">
        <v>9.0595799999999994E-3</v>
      </c>
      <c r="H53" s="52"/>
    </row>
    <row r="54" spans="1:8" ht="17.100000000000001" customHeight="1" x14ac:dyDescent="0.2">
      <c r="A54" s="3">
        <v>48</v>
      </c>
      <c r="B54" s="4" t="s">
        <v>74</v>
      </c>
      <c r="C54" s="4" t="s">
        <v>75</v>
      </c>
      <c r="D54" s="4" t="s">
        <v>76</v>
      </c>
      <c r="E54" s="5">
        <v>450000</v>
      </c>
      <c r="F54" s="6">
        <v>537.75</v>
      </c>
      <c r="G54" s="7">
        <v>9.0243800000000002E-3</v>
      </c>
      <c r="H54" s="52"/>
    </row>
    <row r="55" spans="1:8" ht="17.100000000000001" customHeight="1" x14ac:dyDescent="0.2">
      <c r="A55" s="3">
        <v>49</v>
      </c>
      <c r="B55" s="4" t="s">
        <v>227</v>
      </c>
      <c r="C55" s="4" t="s">
        <v>228</v>
      </c>
      <c r="D55" s="4" t="s">
        <v>76</v>
      </c>
      <c r="E55" s="5">
        <v>200000</v>
      </c>
      <c r="F55" s="6">
        <v>535</v>
      </c>
      <c r="G55" s="7">
        <v>8.9782300000000002E-3</v>
      </c>
      <c r="H55" s="52"/>
    </row>
    <row r="56" spans="1:8" ht="29.1" customHeight="1" x14ac:dyDescent="0.2">
      <c r="A56" s="3">
        <v>50</v>
      </c>
      <c r="B56" s="4" t="s">
        <v>209</v>
      </c>
      <c r="C56" s="4" t="s">
        <v>210</v>
      </c>
      <c r="D56" s="4" t="s">
        <v>211</v>
      </c>
      <c r="E56" s="5">
        <v>50363</v>
      </c>
      <c r="F56" s="6">
        <v>525.28608999999994</v>
      </c>
      <c r="G56" s="7">
        <v>8.8152200000000003E-3</v>
      </c>
      <c r="H56" s="52"/>
    </row>
    <row r="57" spans="1:8" ht="17.100000000000001" customHeight="1" x14ac:dyDescent="0.2">
      <c r="A57" s="3">
        <v>51</v>
      </c>
      <c r="B57" s="4" t="s">
        <v>382</v>
      </c>
      <c r="C57" s="4" t="s">
        <v>383</v>
      </c>
      <c r="D57" s="4" t="s">
        <v>70</v>
      </c>
      <c r="E57" s="5">
        <v>33000</v>
      </c>
      <c r="F57" s="6">
        <v>517.95150000000001</v>
      </c>
      <c r="G57" s="7">
        <v>8.6921299999999993E-3</v>
      </c>
      <c r="H57" s="52"/>
    </row>
    <row r="58" spans="1:8" ht="17.100000000000001" customHeight="1" x14ac:dyDescent="0.2">
      <c r="A58" s="3">
        <v>52</v>
      </c>
      <c r="B58" s="4" t="s">
        <v>555</v>
      </c>
      <c r="C58" s="4" t="s">
        <v>556</v>
      </c>
      <c r="D58" s="4" t="s">
        <v>102</v>
      </c>
      <c r="E58" s="5">
        <v>35000</v>
      </c>
      <c r="F58" s="6">
        <v>510.51</v>
      </c>
      <c r="G58" s="7">
        <v>8.5672500000000002E-3</v>
      </c>
      <c r="H58" s="52"/>
    </row>
    <row r="59" spans="1:8" ht="17.100000000000001" customHeight="1" x14ac:dyDescent="0.2">
      <c r="A59" s="3">
        <v>53</v>
      </c>
      <c r="B59" s="4" t="s">
        <v>501</v>
      </c>
      <c r="C59" s="4" t="s">
        <v>502</v>
      </c>
      <c r="D59" s="4" t="s">
        <v>889</v>
      </c>
      <c r="E59" s="5">
        <v>32000</v>
      </c>
      <c r="F59" s="6">
        <v>508.30399999999997</v>
      </c>
      <c r="G59" s="7">
        <v>8.5302299999999998E-3</v>
      </c>
      <c r="H59" s="52"/>
    </row>
    <row r="60" spans="1:8" ht="17.100000000000001" customHeight="1" x14ac:dyDescent="0.2">
      <c r="A60" s="3">
        <v>54</v>
      </c>
      <c r="B60" s="4" t="s">
        <v>521</v>
      </c>
      <c r="C60" s="39" t="s">
        <v>994</v>
      </c>
      <c r="D60" s="4" t="s">
        <v>102</v>
      </c>
      <c r="E60" s="5">
        <v>120000</v>
      </c>
      <c r="F60" s="6">
        <v>504.12</v>
      </c>
      <c r="G60" s="7">
        <v>8.4600100000000004E-3</v>
      </c>
      <c r="H60" s="52"/>
    </row>
    <row r="61" spans="1:8" ht="17.100000000000001" customHeight="1" x14ac:dyDescent="0.2">
      <c r="A61" s="3">
        <v>55</v>
      </c>
      <c r="B61" s="4" t="s">
        <v>106</v>
      </c>
      <c r="C61" s="4" t="s">
        <v>107</v>
      </c>
      <c r="D61" s="4" t="s">
        <v>31</v>
      </c>
      <c r="E61" s="5">
        <v>29000</v>
      </c>
      <c r="F61" s="6">
        <v>486.1995</v>
      </c>
      <c r="G61" s="7">
        <v>8.1592799999999997E-3</v>
      </c>
      <c r="H61" s="52"/>
    </row>
    <row r="62" spans="1:8" ht="29.1" customHeight="1" x14ac:dyDescent="0.2">
      <c r="A62" s="3">
        <v>56</v>
      </c>
      <c r="B62" s="4" t="s">
        <v>390</v>
      </c>
      <c r="C62" s="4" t="s">
        <v>391</v>
      </c>
      <c r="D62" s="4" t="s">
        <v>226</v>
      </c>
      <c r="E62" s="5">
        <v>40000</v>
      </c>
      <c r="F62" s="6">
        <v>480</v>
      </c>
      <c r="G62" s="7">
        <v>8.05524E-3</v>
      </c>
      <c r="H62" s="52"/>
    </row>
    <row r="63" spans="1:8" ht="17.100000000000001" customHeight="1" x14ac:dyDescent="0.2">
      <c r="A63" s="3">
        <v>57</v>
      </c>
      <c r="B63" s="4" t="s">
        <v>401</v>
      </c>
      <c r="C63" s="4" t="s">
        <v>402</v>
      </c>
      <c r="D63" s="4" t="s">
        <v>259</v>
      </c>
      <c r="E63" s="5">
        <v>30000</v>
      </c>
      <c r="F63" s="6">
        <v>479.47500000000002</v>
      </c>
      <c r="G63" s="7">
        <v>8.0464300000000002E-3</v>
      </c>
      <c r="H63" s="52"/>
    </row>
    <row r="64" spans="1:8" ht="17.100000000000001" customHeight="1" x14ac:dyDescent="0.2">
      <c r="A64" s="3">
        <v>58</v>
      </c>
      <c r="B64" s="4" t="s">
        <v>50</v>
      </c>
      <c r="C64" s="4" t="s">
        <v>51</v>
      </c>
      <c r="D64" s="4" t="s">
        <v>52</v>
      </c>
      <c r="E64" s="5">
        <v>68282</v>
      </c>
      <c r="F64" s="6">
        <v>469.91672399999999</v>
      </c>
      <c r="G64" s="7">
        <v>7.8860200000000005E-3</v>
      </c>
      <c r="H64" s="52"/>
    </row>
    <row r="65" spans="1:8" ht="17.100000000000001" customHeight="1" x14ac:dyDescent="0.2">
      <c r="A65" s="3">
        <v>59</v>
      </c>
      <c r="B65" s="4" t="s">
        <v>364</v>
      </c>
      <c r="C65" s="4" t="s">
        <v>365</v>
      </c>
      <c r="D65" s="4" t="s">
        <v>208</v>
      </c>
      <c r="E65" s="5">
        <v>36000</v>
      </c>
      <c r="F65" s="6">
        <v>465.17399999999998</v>
      </c>
      <c r="G65" s="7">
        <v>7.8064299999999996E-3</v>
      </c>
      <c r="H65" s="52"/>
    </row>
    <row r="66" spans="1:8" ht="17.100000000000001" customHeight="1" x14ac:dyDescent="0.2">
      <c r="A66" s="3">
        <v>60</v>
      </c>
      <c r="B66" s="4" t="s">
        <v>575</v>
      </c>
      <c r="C66" s="4" t="s">
        <v>576</v>
      </c>
      <c r="D66" s="4" t="s">
        <v>242</v>
      </c>
      <c r="E66" s="5">
        <v>9850</v>
      </c>
      <c r="F66" s="6">
        <v>436.01024999999998</v>
      </c>
      <c r="G66" s="7">
        <v>7.3170099999999997E-3</v>
      </c>
      <c r="H66" s="52"/>
    </row>
    <row r="67" spans="1:8" ht="29.1" customHeight="1" x14ac:dyDescent="0.2">
      <c r="A67" s="3">
        <v>61</v>
      </c>
      <c r="B67" s="4" t="s">
        <v>214</v>
      </c>
      <c r="C67" s="4" t="s">
        <v>215</v>
      </c>
      <c r="D67" s="4" t="s">
        <v>216</v>
      </c>
      <c r="E67" s="5">
        <v>12675</v>
      </c>
      <c r="F67" s="6">
        <v>435.79818749999998</v>
      </c>
      <c r="G67" s="7">
        <v>7.31345E-3</v>
      </c>
      <c r="H67" s="52"/>
    </row>
    <row r="68" spans="1:8" ht="17.100000000000001" customHeight="1" x14ac:dyDescent="0.2">
      <c r="A68" s="3">
        <v>62</v>
      </c>
      <c r="B68" s="4" t="s">
        <v>553</v>
      </c>
      <c r="C68" s="4" t="s">
        <v>554</v>
      </c>
      <c r="D68" s="4" t="s">
        <v>283</v>
      </c>
      <c r="E68" s="5">
        <v>40000</v>
      </c>
      <c r="F68" s="6">
        <v>412.88</v>
      </c>
      <c r="G68" s="7">
        <v>6.9288500000000003E-3</v>
      </c>
      <c r="H68" s="52"/>
    </row>
    <row r="69" spans="1:8" ht="17.100000000000001" customHeight="1" x14ac:dyDescent="0.2">
      <c r="A69" s="3">
        <v>63</v>
      </c>
      <c r="B69" s="4" t="s">
        <v>243</v>
      </c>
      <c r="C69" s="4" t="s">
        <v>244</v>
      </c>
      <c r="D69" s="4" t="s">
        <v>105</v>
      </c>
      <c r="E69" s="5">
        <v>7500</v>
      </c>
      <c r="F69" s="6">
        <v>406.09875</v>
      </c>
      <c r="G69" s="7">
        <v>6.8150499999999996E-3</v>
      </c>
      <c r="H69" s="52"/>
    </row>
    <row r="70" spans="1:8" ht="17.100000000000001" customHeight="1" x14ac:dyDescent="0.2">
      <c r="A70" s="3">
        <v>64</v>
      </c>
      <c r="B70" s="4" t="s">
        <v>421</v>
      </c>
      <c r="C70" s="4" t="s">
        <v>422</v>
      </c>
      <c r="D70" s="4" t="s">
        <v>60</v>
      </c>
      <c r="E70" s="5">
        <v>36064</v>
      </c>
      <c r="F70" s="6">
        <v>391.43865599999998</v>
      </c>
      <c r="G70" s="7">
        <v>6.5690200000000001E-3</v>
      </c>
      <c r="H70" s="52"/>
    </row>
    <row r="71" spans="1:8" ht="17.100000000000001" customHeight="1" x14ac:dyDescent="0.2">
      <c r="A71" s="3">
        <v>65</v>
      </c>
      <c r="B71" s="4" t="s">
        <v>470</v>
      </c>
      <c r="C71" s="4" t="s">
        <v>471</v>
      </c>
      <c r="D71" s="4" t="s">
        <v>28</v>
      </c>
      <c r="E71" s="5">
        <v>20000</v>
      </c>
      <c r="F71" s="6">
        <v>347.88</v>
      </c>
      <c r="G71" s="7">
        <v>5.8380300000000001E-3</v>
      </c>
      <c r="H71" s="52"/>
    </row>
    <row r="72" spans="1:8" ht="29.1" customHeight="1" x14ac:dyDescent="0.2">
      <c r="A72" s="3">
        <v>66</v>
      </c>
      <c r="B72" s="4" t="s">
        <v>712</v>
      </c>
      <c r="C72" s="4" t="s">
        <v>713</v>
      </c>
      <c r="D72" s="4" t="s">
        <v>714</v>
      </c>
      <c r="E72" s="5">
        <v>10516</v>
      </c>
      <c r="F72" s="6">
        <v>337.60040600000002</v>
      </c>
      <c r="G72" s="7">
        <v>5.6655200000000003E-3</v>
      </c>
      <c r="H72" s="52"/>
    </row>
    <row r="73" spans="1:8" ht="29.1" customHeight="1" x14ac:dyDescent="0.2">
      <c r="A73" s="3">
        <v>67</v>
      </c>
      <c r="B73" s="4" t="s">
        <v>295</v>
      </c>
      <c r="C73" s="4" t="s">
        <v>296</v>
      </c>
      <c r="D73" s="4" t="s">
        <v>226</v>
      </c>
      <c r="E73" s="5">
        <v>4400</v>
      </c>
      <c r="F73" s="6">
        <v>332.64879999999999</v>
      </c>
      <c r="G73" s="7">
        <v>5.5824300000000002E-3</v>
      </c>
      <c r="H73" s="52"/>
    </row>
    <row r="74" spans="1:8" ht="17.100000000000001" customHeight="1" x14ac:dyDescent="0.2">
      <c r="A74" s="3">
        <v>68</v>
      </c>
      <c r="B74" s="4" t="s">
        <v>524</v>
      </c>
      <c r="C74" s="4" t="s">
        <v>525</v>
      </c>
      <c r="D74" s="4" t="s">
        <v>357</v>
      </c>
      <c r="E74" s="5">
        <v>45000</v>
      </c>
      <c r="F74" s="6">
        <v>287.59500000000003</v>
      </c>
      <c r="G74" s="7">
        <v>4.8263500000000001E-3</v>
      </c>
      <c r="H74" s="52"/>
    </row>
    <row r="75" spans="1:8" ht="17.100000000000001" customHeight="1" x14ac:dyDescent="0.2">
      <c r="A75" s="3">
        <v>69</v>
      </c>
      <c r="B75" s="4" t="s">
        <v>715</v>
      </c>
      <c r="C75" s="4" t="s">
        <v>716</v>
      </c>
      <c r="D75" s="4" t="s">
        <v>60</v>
      </c>
      <c r="E75" s="5">
        <v>42000</v>
      </c>
      <c r="F75" s="6">
        <v>282.72300000000001</v>
      </c>
      <c r="G75" s="7">
        <v>4.7445899999999999E-3</v>
      </c>
      <c r="H75" s="52"/>
    </row>
    <row r="76" spans="1:8" ht="17.100000000000001" customHeight="1" x14ac:dyDescent="0.2">
      <c r="A76" s="3">
        <v>70</v>
      </c>
      <c r="B76" s="4" t="s">
        <v>289</v>
      </c>
      <c r="C76" s="4" t="s">
        <v>290</v>
      </c>
      <c r="D76" s="4" t="s">
        <v>16</v>
      </c>
      <c r="E76" s="5">
        <v>100000</v>
      </c>
      <c r="F76" s="6">
        <v>247.7</v>
      </c>
      <c r="G76" s="7">
        <v>4.1568400000000002E-3</v>
      </c>
      <c r="H76" s="52"/>
    </row>
    <row r="77" spans="1:8" ht="17.100000000000001" customHeight="1" x14ac:dyDescent="0.2">
      <c r="A77" s="3">
        <v>71</v>
      </c>
      <c r="B77" s="4" t="s">
        <v>392</v>
      </c>
      <c r="C77" s="4" t="s">
        <v>393</v>
      </c>
      <c r="D77" s="4" t="s">
        <v>70</v>
      </c>
      <c r="E77" s="5">
        <v>94000</v>
      </c>
      <c r="F77" s="6">
        <v>205.86</v>
      </c>
      <c r="G77" s="7">
        <v>3.4546899999999998E-3</v>
      </c>
      <c r="H77" s="52"/>
    </row>
    <row r="78" spans="1:8" ht="17.100000000000001" customHeight="1" x14ac:dyDescent="0.2">
      <c r="A78" s="3">
        <v>72</v>
      </c>
      <c r="B78" s="4" t="s">
        <v>717</v>
      </c>
      <c r="C78" s="4" t="s">
        <v>718</v>
      </c>
      <c r="D78" s="4" t="s">
        <v>60</v>
      </c>
      <c r="E78" s="5">
        <v>13550</v>
      </c>
      <c r="F78" s="6">
        <v>146.30612500000001</v>
      </c>
      <c r="G78" s="7">
        <v>2.4552699999999998E-3</v>
      </c>
      <c r="H78" s="52"/>
    </row>
    <row r="79" spans="1:8" ht="17.100000000000001" customHeight="1" x14ac:dyDescent="0.2">
      <c r="A79" s="3">
        <v>73</v>
      </c>
      <c r="B79" s="4" t="s">
        <v>307</v>
      </c>
      <c r="C79" s="4" t="s">
        <v>308</v>
      </c>
      <c r="D79" s="4" t="s">
        <v>70</v>
      </c>
      <c r="E79" s="5">
        <v>6010</v>
      </c>
      <c r="F79" s="6">
        <v>61.380130000000001</v>
      </c>
      <c r="G79" s="7">
        <v>1.0300699999999999E-3</v>
      </c>
      <c r="H79" s="52"/>
    </row>
    <row r="80" spans="1:8" ht="14.1" customHeight="1" x14ac:dyDescent="0.2">
      <c r="A80" s="1"/>
      <c r="B80" s="1"/>
      <c r="C80" s="2" t="s">
        <v>145</v>
      </c>
      <c r="D80" s="1"/>
      <c r="E80" s="1" t="s">
        <v>146</v>
      </c>
      <c r="F80" s="9">
        <v>56654.576514999986</v>
      </c>
      <c r="G80" s="10">
        <v>0.95076272000000017</v>
      </c>
      <c r="H80" s="52"/>
    </row>
    <row r="81" spans="1:8" ht="14.1" customHeight="1" x14ac:dyDescent="0.2">
      <c r="A81" s="1"/>
      <c r="B81" s="1"/>
      <c r="C81" s="11"/>
      <c r="D81" s="1"/>
      <c r="E81" s="1"/>
      <c r="F81" s="12"/>
      <c r="G81" s="12"/>
      <c r="H81" s="52"/>
    </row>
    <row r="82" spans="1:8" ht="14.1" customHeight="1" x14ac:dyDescent="0.2">
      <c r="A82" s="1"/>
      <c r="B82" s="1"/>
      <c r="C82" s="2" t="s">
        <v>147</v>
      </c>
      <c r="D82" s="1"/>
      <c r="E82" s="1"/>
      <c r="F82" s="1"/>
      <c r="G82" s="1"/>
      <c r="H82" s="52"/>
    </row>
    <row r="83" spans="1:8" ht="14.1" customHeight="1" x14ac:dyDescent="0.2">
      <c r="A83" s="1"/>
      <c r="B83" s="1"/>
      <c r="C83" s="2" t="s">
        <v>145</v>
      </c>
      <c r="D83" s="1"/>
      <c r="E83" s="1" t="s">
        <v>146</v>
      </c>
      <c r="F83" s="13" t="s">
        <v>148</v>
      </c>
      <c r="G83" s="10">
        <v>0</v>
      </c>
      <c r="H83" s="52"/>
    </row>
    <row r="84" spans="1:8" ht="14.1" customHeight="1" x14ac:dyDescent="0.2">
      <c r="A84" s="1"/>
      <c r="B84" s="1"/>
      <c r="C84" s="11"/>
      <c r="D84" s="1"/>
      <c r="E84" s="1"/>
      <c r="F84" s="12"/>
      <c r="G84" s="12"/>
      <c r="H84" s="52"/>
    </row>
    <row r="85" spans="1:8" ht="14.1" customHeight="1" x14ac:dyDescent="0.2">
      <c r="A85" s="1"/>
      <c r="B85" s="1"/>
      <c r="C85" s="2" t="s">
        <v>149</v>
      </c>
      <c r="D85" s="1"/>
      <c r="E85" s="1"/>
      <c r="F85" s="1"/>
      <c r="G85" s="1"/>
      <c r="H85" s="52"/>
    </row>
    <row r="86" spans="1:8" ht="17.100000000000001" customHeight="1" x14ac:dyDescent="0.2">
      <c r="A86" s="3">
        <v>1</v>
      </c>
      <c r="B86" s="4" t="s">
        <v>719</v>
      </c>
      <c r="C86" s="39" t="s">
        <v>958</v>
      </c>
      <c r="D86" s="4"/>
      <c r="E86" s="5">
        <v>50000</v>
      </c>
      <c r="F86" s="6">
        <v>5.5149999999999997</v>
      </c>
      <c r="G86" s="7">
        <v>9.255E-5</v>
      </c>
      <c r="H86" s="52"/>
    </row>
    <row r="87" spans="1:8" ht="17.100000000000001" customHeight="1" x14ac:dyDescent="0.2">
      <c r="A87" s="3">
        <v>2</v>
      </c>
      <c r="B87" s="4" t="s">
        <v>720</v>
      </c>
      <c r="C87" s="39" t="s">
        <v>960</v>
      </c>
      <c r="D87" s="4"/>
      <c r="E87" s="5">
        <v>20</v>
      </c>
      <c r="F87" s="6">
        <v>0</v>
      </c>
      <c r="G87" s="8" t="s">
        <v>144</v>
      </c>
      <c r="H87" s="52"/>
    </row>
    <row r="88" spans="1:8" ht="17.100000000000001" customHeight="1" x14ac:dyDescent="0.2">
      <c r="A88" s="3">
        <v>3</v>
      </c>
      <c r="B88" s="4" t="s">
        <v>721</v>
      </c>
      <c r="C88" s="39" t="s">
        <v>959</v>
      </c>
      <c r="D88" s="4"/>
      <c r="E88" s="5">
        <v>50000</v>
      </c>
      <c r="F88" s="6">
        <v>4.9999999999999998E-7</v>
      </c>
      <c r="G88" s="8" t="s">
        <v>144</v>
      </c>
      <c r="H88" s="52"/>
    </row>
    <row r="89" spans="1:8" ht="17.100000000000001" customHeight="1" x14ac:dyDescent="0.2">
      <c r="A89" s="3">
        <v>4</v>
      </c>
      <c r="B89" s="4" t="s">
        <v>722</v>
      </c>
      <c r="C89" s="39" t="s">
        <v>961</v>
      </c>
      <c r="D89" s="4"/>
      <c r="E89" s="5">
        <v>200000</v>
      </c>
      <c r="F89" s="6">
        <v>1.9999999999999999E-6</v>
      </c>
      <c r="G89" s="8" t="s">
        <v>144</v>
      </c>
      <c r="H89" s="52"/>
    </row>
    <row r="90" spans="1:8" ht="14.1" customHeight="1" x14ac:dyDescent="0.2">
      <c r="A90" s="1"/>
      <c r="B90" s="1"/>
      <c r="C90" s="2" t="s">
        <v>145</v>
      </c>
      <c r="D90" s="1"/>
      <c r="E90" s="1" t="s">
        <v>146</v>
      </c>
      <c r="F90" s="9">
        <v>5.5150024999999996</v>
      </c>
      <c r="G90" s="10">
        <v>9.255E-5</v>
      </c>
      <c r="H90" s="52"/>
    </row>
    <row r="91" spans="1:8" ht="14.1" customHeight="1" x14ac:dyDescent="0.2">
      <c r="A91" s="1"/>
      <c r="B91" s="1"/>
      <c r="C91" s="11"/>
      <c r="D91" s="1"/>
      <c r="E91" s="1"/>
      <c r="F91" s="12"/>
      <c r="G91" s="12"/>
      <c r="H91" s="52"/>
    </row>
    <row r="92" spans="1:8" ht="14.1" customHeight="1" x14ac:dyDescent="0.2">
      <c r="A92" s="1"/>
      <c r="B92" s="1"/>
      <c r="C92" s="2" t="s">
        <v>150</v>
      </c>
      <c r="D92" s="1"/>
      <c r="E92" s="1"/>
      <c r="F92" s="1"/>
      <c r="G92" s="1"/>
      <c r="H92" s="52"/>
    </row>
    <row r="93" spans="1:8" ht="29.1" customHeight="1" x14ac:dyDescent="0.2">
      <c r="A93" s="3">
        <v>1</v>
      </c>
      <c r="B93" s="4" t="s">
        <v>312</v>
      </c>
      <c r="C93" s="4" t="s">
        <v>949</v>
      </c>
      <c r="D93" s="4" t="s">
        <v>105</v>
      </c>
      <c r="E93" s="5">
        <v>697160</v>
      </c>
      <c r="F93" s="6">
        <v>72.504639999999995</v>
      </c>
      <c r="G93" s="7">
        <v>1.2167499999999999E-3</v>
      </c>
      <c r="H93" s="52"/>
    </row>
    <row r="94" spans="1:8" ht="39.75" customHeight="1" x14ac:dyDescent="0.2">
      <c r="A94" s="3">
        <v>2</v>
      </c>
      <c r="B94" s="4" t="s">
        <v>313</v>
      </c>
      <c r="C94" s="4" t="s">
        <v>950</v>
      </c>
      <c r="D94" s="4" t="s">
        <v>70</v>
      </c>
      <c r="E94" s="5">
        <v>697</v>
      </c>
      <c r="F94" s="6">
        <v>6.9706969999999993E-2</v>
      </c>
      <c r="G94" s="41" t="s">
        <v>144</v>
      </c>
      <c r="H94" s="52"/>
    </row>
    <row r="95" spans="1:8" ht="14.1" customHeight="1" x14ac:dyDescent="0.2">
      <c r="A95" s="1"/>
      <c r="B95" s="1"/>
      <c r="C95" s="2" t="s">
        <v>145</v>
      </c>
      <c r="D95" s="1"/>
      <c r="E95" s="1" t="s">
        <v>146</v>
      </c>
      <c r="F95" s="9">
        <v>72.574346969999993</v>
      </c>
      <c r="G95" s="10">
        <v>1.2179199999999999E-3</v>
      </c>
      <c r="H95" s="52"/>
    </row>
    <row r="96" spans="1:8" ht="14.1" customHeight="1" x14ac:dyDescent="0.2">
      <c r="A96" s="1"/>
      <c r="B96" s="1"/>
      <c r="C96" s="11"/>
      <c r="D96" s="1"/>
      <c r="E96" s="1"/>
      <c r="F96" s="12"/>
      <c r="G96" s="12"/>
      <c r="H96" s="52"/>
    </row>
    <row r="97" spans="1:8" ht="14.1" customHeight="1" x14ac:dyDescent="0.2">
      <c r="A97" s="1"/>
      <c r="B97" s="1"/>
      <c r="C97" s="2" t="s">
        <v>151</v>
      </c>
      <c r="D97" s="1"/>
      <c r="E97" s="1"/>
      <c r="F97" s="12"/>
      <c r="G97" s="12"/>
      <c r="H97" s="52"/>
    </row>
    <row r="98" spans="1:8" ht="14.1" customHeight="1" x14ac:dyDescent="0.2">
      <c r="A98" s="1"/>
      <c r="B98" s="1"/>
      <c r="C98" s="2" t="s">
        <v>145</v>
      </c>
      <c r="D98" s="1"/>
      <c r="E98" s="1" t="s">
        <v>146</v>
      </c>
      <c r="F98" s="13" t="s">
        <v>148</v>
      </c>
      <c r="G98" s="10">
        <v>0</v>
      </c>
      <c r="H98" s="52"/>
    </row>
    <row r="99" spans="1:8" ht="14.1" customHeight="1" x14ac:dyDescent="0.2">
      <c r="A99" s="1"/>
      <c r="B99" s="1"/>
      <c r="C99" s="11"/>
      <c r="D99" s="1"/>
      <c r="E99" s="1"/>
      <c r="F99" s="12"/>
      <c r="G99" s="12"/>
      <c r="H99" s="52"/>
    </row>
    <row r="100" spans="1:8" ht="14.1" customHeight="1" x14ac:dyDescent="0.2">
      <c r="A100" s="1"/>
      <c r="B100" s="1"/>
      <c r="C100" s="2" t="s">
        <v>152</v>
      </c>
      <c r="D100" s="1"/>
      <c r="E100" s="1"/>
      <c r="F100" s="12"/>
      <c r="G100" s="12"/>
      <c r="H100" s="52"/>
    </row>
    <row r="101" spans="1:8" ht="14.1" customHeight="1" x14ac:dyDescent="0.2">
      <c r="A101" s="1"/>
      <c r="B101" s="1"/>
      <c r="C101" s="2" t="s">
        <v>145</v>
      </c>
      <c r="D101" s="1"/>
      <c r="E101" s="1" t="s">
        <v>146</v>
      </c>
      <c r="F101" s="13" t="s">
        <v>148</v>
      </c>
      <c r="G101" s="10">
        <v>0</v>
      </c>
      <c r="H101" s="52"/>
    </row>
    <row r="102" spans="1:8" ht="14.1" customHeight="1" x14ac:dyDescent="0.2">
      <c r="A102" s="1"/>
      <c r="B102" s="1"/>
      <c r="C102" s="11"/>
      <c r="D102" s="1"/>
      <c r="E102" s="1"/>
      <c r="F102" s="12"/>
      <c r="G102" s="12"/>
      <c r="H102" s="52"/>
    </row>
    <row r="103" spans="1:8" ht="18" customHeight="1" x14ac:dyDescent="0.2">
      <c r="A103" s="1"/>
      <c r="B103" s="1"/>
      <c r="C103" s="2" t="s">
        <v>153</v>
      </c>
      <c r="D103" s="1"/>
      <c r="E103" s="1"/>
      <c r="F103" s="9">
        <v>56732.665864469986</v>
      </c>
      <c r="G103" s="10">
        <v>0.95207319000000012</v>
      </c>
      <c r="H103" s="52"/>
    </row>
    <row r="104" spans="1:8" ht="14.1" customHeight="1" x14ac:dyDescent="0.2">
      <c r="A104" s="1"/>
      <c r="B104" s="1"/>
      <c r="C104" s="11"/>
      <c r="D104" s="1"/>
      <c r="E104" s="1"/>
      <c r="F104" s="12"/>
      <c r="G104" s="12"/>
      <c r="H104" s="52"/>
    </row>
    <row r="105" spans="1:8" ht="14.1" customHeight="1" x14ac:dyDescent="0.2">
      <c r="A105" s="1"/>
      <c r="B105" s="1"/>
      <c r="C105" s="2" t="s">
        <v>154</v>
      </c>
      <c r="D105" s="1"/>
      <c r="E105" s="1"/>
      <c r="F105" s="12"/>
      <c r="G105" s="12"/>
      <c r="H105" s="52"/>
    </row>
    <row r="106" spans="1:8" ht="24" customHeight="1" x14ac:dyDescent="0.2">
      <c r="A106" s="1"/>
      <c r="B106" s="1"/>
      <c r="C106" s="2" t="s">
        <v>10</v>
      </c>
      <c r="D106" s="1"/>
      <c r="E106" s="1"/>
      <c r="F106" s="12"/>
      <c r="G106" s="12"/>
      <c r="H106" s="52"/>
    </row>
    <row r="107" spans="1:8" ht="29.1" customHeight="1" x14ac:dyDescent="0.2">
      <c r="A107" s="3">
        <v>1</v>
      </c>
      <c r="B107" s="4" t="s">
        <v>723</v>
      </c>
      <c r="C107" s="4" t="s">
        <v>724</v>
      </c>
      <c r="D107" s="4" t="s">
        <v>589</v>
      </c>
      <c r="E107" s="5">
        <v>4200</v>
      </c>
      <c r="F107" s="6">
        <v>1.201620336</v>
      </c>
      <c r="G107" s="41" t="s">
        <v>144</v>
      </c>
      <c r="H107" s="52">
        <v>7.718</v>
      </c>
    </row>
    <row r="108" spans="1:8" ht="14.1" customHeight="1" x14ac:dyDescent="0.2">
      <c r="A108" s="1"/>
      <c r="B108" s="1"/>
      <c r="C108" s="2" t="s">
        <v>145</v>
      </c>
      <c r="D108" s="1"/>
      <c r="E108" s="1" t="s">
        <v>146</v>
      </c>
      <c r="F108" s="9">
        <v>1.201620336</v>
      </c>
      <c r="G108" s="10">
        <v>2.0169999999999998E-5</v>
      </c>
      <c r="H108" s="52"/>
    </row>
    <row r="109" spans="1:8" ht="14.1" customHeight="1" x14ac:dyDescent="0.2">
      <c r="A109" s="1"/>
      <c r="B109" s="1"/>
      <c r="C109" s="11"/>
      <c r="D109" s="1"/>
      <c r="E109" s="1"/>
      <c r="F109" s="12"/>
      <c r="G109" s="12"/>
      <c r="H109" s="52"/>
    </row>
    <row r="110" spans="1:8" ht="14.1" customHeight="1" x14ac:dyDescent="0.2">
      <c r="A110" s="1"/>
      <c r="B110" s="1"/>
      <c r="C110" s="2" t="s">
        <v>155</v>
      </c>
      <c r="D110" s="1"/>
      <c r="E110" s="1"/>
      <c r="F110" s="1"/>
      <c r="G110" s="1"/>
      <c r="H110" s="52"/>
    </row>
    <row r="111" spans="1:8" ht="14.1" customHeight="1" x14ac:dyDescent="0.2">
      <c r="A111" s="1"/>
      <c r="B111" s="1"/>
      <c r="C111" s="2" t="s">
        <v>145</v>
      </c>
      <c r="D111" s="1"/>
      <c r="E111" s="1" t="s">
        <v>146</v>
      </c>
      <c r="F111" s="13" t="s">
        <v>148</v>
      </c>
      <c r="G111" s="10">
        <v>0</v>
      </c>
      <c r="H111" s="52"/>
    </row>
    <row r="112" spans="1:8" ht="14.1" customHeight="1" x14ac:dyDescent="0.2">
      <c r="A112" s="1"/>
      <c r="B112" s="1"/>
      <c r="C112" s="11"/>
      <c r="D112" s="1"/>
      <c r="E112" s="1"/>
      <c r="F112" s="12"/>
      <c r="G112" s="12"/>
      <c r="H112" s="52"/>
    </row>
    <row r="113" spans="1:14" ht="14.1" customHeight="1" x14ac:dyDescent="0.2">
      <c r="A113" s="1"/>
      <c r="B113" s="1"/>
      <c r="C113" s="2" t="s">
        <v>156</v>
      </c>
      <c r="D113" s="1"/>
      <c r="E113" s="1"/>
      <c r="F113" s="1"/>
      <c r="G113" s="1"/>
      <c r="H113" s="52"/>
    </row>
    <row r="114" spans="1:14" ht="14.1" customHeight="1" x14ac:dyDescent="0.2">
      <c r="A114" s="1"/>
      <c r="B114" s="1"/>
      <c r="C114" s="2" t="s">
        <v>145</v>
      </c>
      <c r="D114" s="1"/>
      <c r="E114" s="1" t="s">
        <v>146</v>
      </c>
      <c r="F114" s="13" t="s">
        <v>148</v>
      </c>
      <c r="G114" s="10">
        <v>0</v>
      </c>
      <c r="H114" s="52"/>
    </row>
    <row r="115" spans="1:14" ht="14.1" customHeight="1" x14ac:dyDescent="0.2">
      <c r="A115" s="1"/>
      <c r="B115" s="1"/>
      <c r="C115" s="11"/>
      <c r="D115" s="1"/>
      <c r="E115" s="1"/>
      <c r="F115" s="12"/>
      <c r="G115" s="12"/>
      <c r="H115" s="52"/>
    </row>
    <row r="116" spans="1:14" ht="14.1" customHeight="1" x14ac:dyDescent="0.2">
      <c r="A116" s="1"/>
      <c r="B116" s="1"/>
      <c r="C116" s="2" t="s">
        <v>157</v>
      </c>
      <c r="D116" s="1"/>
      <c r="E116" s="1"/>
      <c r="F116" s="12"/>
      <c r="G116" s="12"/>
      <c r="H116" s="52"/>
    </row>
    <row r="117" spans="1:14" ht="14.1" customHeight="1" x14ac:dyDescent="0.2">
      <c r="A117" s="1"/>
      <c r="B117" s="1"/>
      <c r="C117" s="2" t="s">
        <v>145</v>
      </c>
      <c r="D117" s="1"/>
      <c r="E117" s="1" t="s">
        <v>146</v>
      </c>
      <c r="F117" s="13" t="s">
        <v>148</v>
      </c>
      <c r="G117" s="10">
        <v>0</v>
      </c>
      <c r="H117" s="52"/>
    </row>
    <row r="118" spans="1:14" ht="14.1" customHeight="1" x14ac:dyDescent="0.2">
      <c r="A118" s="1"/>
      <c r="B118" s="1"/>
      <c r="C118" s="11"/>
      <c r="D118" s="1"/>
      <c r="E118" s="1"/>
      <c r="F118" s="12"/>
      <c r="G118" s="12"/>
      <c r="H118" s="52"/>
    </row>
    <row r="119" spans="1:14" ht="14.1" customHeight="1" x14ac:dyDescent="0.2">
      <c r="A119" s="1"/>
      <c r="B119" s="1"/>
      <c r="C119" s="2" t="s">
        <v>158</v>
      </c>
      <c r="D119" s="1"/>
      <c r="E119" s="1"/>
      <c r="F119" s="9">
        <v>1.201620336</v>
      </c>
      <c r="G119" s="10">
        <v>2.0169999999999998E-5</v>
      </c>
      <c r="H119" s="52"/>
    </row>
    <row r="120" spans="1:14" ht="14.1" customHeight="1" x14ac:dyDescent="0.2">
      <c r="A120" s="1"/>
      <c r="B120" s="1"/>
      <c r="C120" s="11"/>
      <c r="D120" s="1"/>
      <c r="E120" s="1"/>
      <c r="F120" s="12"/>
      <c r="G120" s="12"/>
      <c r="H120" s="52"/>
    </row>
    <row r="121" spans="1:14" ht="14.1" customHeight="1" x14ac:dyDescent="0.2">
      <c r="A121" s="1"/>
      <c r="B121" s="1"/>
      <c r="C121" s="2" t="s">
        <v>159</v>
      </c>
      <c r="D121" s="1"/>
      <c r="E121" s="1"/>
      <c r="F121" s="12"/>
      <c r="G121" s="12"/>
      <c r="H121" s="52"/>
      <c r="J121" s="57"/>
      <c r="K121" s="57"/>
      <c r="L121" s="57"/>
      <c r="M121" s="57"/>
      <c r="N121" s="57"/>
    </row>
    <row r="122" spans="1:14" ht="14.1" customHeight="1" x14ac:dyDescent="0.2">
      <c r="A122" s="1"/>
      <c r="B122" s="1"/>
      <c r="C122" s="2" t="s">
        <v>160</v>
      </c>
      <c r="D122" s="1"/>
      <c r="E122" s="1"/>
      <c r="F122" s="12"/>
      <c r="G122" s="12"/>
      <c r="H122" s="52"/>
    </row>
    <row r="123" spans="1:14" ht="14.1" customHeight="1" x14ac:dyDescent="0.2">
      <c r="A123" s="1"/>
      <c r="B123" s="1"/>
      <c r="C123" s="2" t="s">
        <v>145</v>
      </c>
      <c r="D123" s="1"/>
      <c r="E123" s="1" t="s">
        <v>146</v>
      </c>
      <c r="F123" s="13" t="s">
        <v>148</v>
      </c>
      <c r="G123" s="10">
        <v>0</v>
      </c>
      <c r="H123" s="52"/>
    </row>
    <row r="124" spans="1:14" ht="14.1" customHeight="1" x14ac:dyDescent="0.2">
      <c r="A124" s="1"/>
      <c r="B124" s="1"/>
      <c r="C124" s="11"/>
      <c r="D124" s="1"/>
      <c r="E124" s="1"/>
      <c r="F124" s="12"/>
      <c r="G124" s="12"/>
      <c r="H124" s="52"/>
    </row>
    <row r="125" spans="1:14" ht="14.1" customHeight="1" x14ac:dyDescent="0.2">
      <c r="A125" s="1"/>
      <c r="B125" s="1"/>
      <c r="C125" s="2" t="s">
        <v>161</v>
      </c>
      <c r="D125" s="1"/>
      <c r="E125" s="1"/>
      <c r="F125" s="12"/>
      <c r="G125" s="12"/>
      <c r="H125" s="52"/>
    </row>
    <row r="126" spans="1:14" ht="14.1" customHeight="1" x14ac:dyDescent="0.2">
      <c r="A126" s="1"/>
      <c r="B126" s="1"/>
      <c r="C126" s="2" t="s">
        <v>145</v>
      </c>
      <c r="D126" s="1"/>
      <c r="E126" s="1" t="s">
        <v>146</v>
      </c>
      <c r="F126" s="13" t="s">
        <v>148</v>
      </c>
      <c r="G126" s="10">
        <v>0</v>
      </c>
      <c r="H126" s="52"/>
    </row>
    <row r="127" spans="1:14" ht="14.1" customHeight="1" x14ac:dyDescent="0.2">
      <c r="A127" s="1"/>
      <c r="B127" s="1"/>
      <c r="C127" s="11"/>
      <c r="D127" s="1"/>
      <c r="E127" s="1"/>
      <c r="F127" s="12"/>
      <c r="G127" s="12"/>
      <c r="H127" s="52"/>
    </row>
    <row r="128" spans="1:14" ht="14.1" customHeight="1" x14ac:dyDescent="0.2">
      <c r="A128" s="1"/>
      <c r="B128" s="1"/>
      <c r="C128" s="2" t="s">
        <v>162</v>
      </c>
      <c r="D128" s="1"/>
      <c r="E128" s="1"/>
      <c r="F128" s="12"/>
      <c r="G128" s="12"/>
      <c r="H128" s="52"/>
    </row>
    <row r="129" spans="1:8" ht="14.1" customHeight="1" x14ac:dyDescent="0.2">
      <c r="A129" s="1"/>
      <c r="B129" s="1"/>
      <c r="C129" s="2" t="s">
        <v>145</v>
      </c>
      <c r="D129" s="1"/>
      <c r="E129" s="1" t="s">
        <v>146</v>
      </c>
      <c r="F129" s="13" t="s">
        <v>148</v>
      </c>
      <c r="G129" s="10">
        <v>0</v>
      </c>
      <c r="H129" s="52"/>
    </row>
    <row r="130" spans="1:8" ht="14.1" customHeight="1" x14ac:dyDescent="0.2">
      <c r="A130" s="1"/>
      <c r="B130" s="1"/>
      <c r="C130" s="11"/>
      <c r="D130" s="1"/>
      <c r="E130" s="1"/>
      <c r="F130" s="12"/>
      <c r="G130" s="12"/>
      <c r="H130" s="52"/>
    </row>
    <row r="131" spans="1:8" ht="14.1" customHeight="1" x14ac:dyDescent="0.2">
      <c r="A131" s="1"/>
      <c r="B131" s="1"/>
      <c r="C131" s="2" t="s">
        <v>163</v>
      </c>
      <c r="D131" s="1"/>
      <c r="E131" s="1"/>
      <c r="F131" s="12"/>
      <c r="G131" s="12"/>
      <c r="H131" s="52"/>
    </row>
    <row r="132" spans="1:8" ht="17.100000000000001" customHeight="1" x14ac:dyDescent="0.2">
      <c r="A132" s="3">
        <v>1</v>
      </c>
      <c r="B132" s="4"/>
      <c r="C132" s="4" t="s">
        <v>164</v>
      </c>
      <c r="D132" s="4"/>
      <c r="E132" s="8"/>
      <c r="F132" s="6">
        <v>3086.9429840100001</v>
      </c>
      <c r="G132" s="7">
        <v>5.1804290000000003E-2</v>
      </c>
      <c r="H132" s="52">
        <v>6.7567375937238596</v>
      </c>
    </row>
    <row r="133" spans="1:8" ht="14.1" customHeight="1" x14ac:dyDescent="0.2">
      <c r="A133" s="1"/>
      <c r="B133" s="1"/>
      <c r="C133" s="2" t="s">
        <v>145</v>
      </c>
      <c r="D133" s="1"/>
      <c r="E133" s="1" t="s">
        <v>146</v>
      </c>
      <c r="F133" s="9">
        <v>3086.9429840100001</v>
      </c>
      <c r="G133" s="10">
        <v>5.1804290000000003E-2</v>
      </c>
      <c r="H133" s="52"/>
    </row>
    <row r="134" spans="1:8" ht="14.1" customHeight="1" x14ac:dyDescent="0.2">
      <c r="A134" s="1"/>
      <c r="B134" s="1"/>
      <c r="C134" s="11"/>
      <c r="D134" s="1"/>
      <c r="E134" s="1"/>
      <c r="F134" s="12"/>
      <c r="G134" s="12"/>
      <c r="H134" s="52"/>
    </row>
    <row r="135" spans="1:8" ht="14.1" customHeight="1" x14ac:dyDescent="0.2">
      <c r="A135" s="1"/>
      <c r="B135" s="1"/>
      <c r="C135" s="2" t="s">
        <v>165</v>
      </c>
      <c r="D135" s="1"/>
      <c r="E135" s="1"/>
      <c r="F135" s="9">
        <v>3086.9429840100001</v>
      </c>
      <c r="G135" s="10">
        <v>5.1804290000000003E-2</v>
      </c>
      <c r="H135" s="52"/>
    </row>
    <row r="136" spans="1:8" ht="14.1" customHeight="1" x14ac:dyDescent="0.2">
      <c r="A136" s="1"/>
      <c r="B136" s="1"/>
      <c r="C136" s="12"/>
      <c r="D136" s="1"/>
      <c r="E136" s="1"/>
      <c r="F136" s="1"/>
      <c r="G136" s="1"/>
      <c r="H136" s="52"/>
    </row>
    <row r="137" spans="1:8" ht="14.1" customHeight="1" x14ac:dyDescent="0.2">
      <c r="A137" s="1"/>
      <c r="B137" s="1"/>
      <c r="C137" s="2" t="s">
        <v>166</v>
      </c>
      <c r="D137" s="1"/>
      <c r="E137" s="1"/>
      <c r="F137" s="1"/>
      <c r="G137" s="1"/>
      <c r="H137" s="52"/>
    </row>
    <row r="138" spans="1:8" ht="14.1" customHeight="1" x14ac:dyDescent="0.2">
      <c r="A138" s="1"/>
      <c r="B138" s="1"/>
      <c r="C138" s="2" t="s">
        <v>167</v>
      </c>
      <c r="D138" s="1"/>
      <c r="E138" s="1"/>
      <c r="F138" s="1"/>
      <c r="G138" s="1"/>
      <c r="H138" s="52"/>
    </row>
    <row r="139" spans="1:8" ht="14.1" customHeight="1" x14ac:dyDescent="0.2">
      <c r="A139" s="1"/>
      <c r="B139" s="1"/>
      <c r="C139" s="2" t="s">
        <v>145</v>
      </c>
      <c r="D139" s="1"/>
      <c r="E139" s="1" t="s">
        <v>146</v>
      </c>
      <c r="F139" s="13" t="s">
        <v>148</v>
      </c>
      <c r="G139" s="10">
        <v>0</v>
      </c>
      <c r="H139" s="52"/>
    </row>
    <row r="140" spans="1:8" ht="14.1" customHeight="1" x14ac:dyDescent="0.2">
      <c r="A140" s="1"/>
      <c r="B140" s="1"/>
      <c r="C140" s="11"/>
      <c r="D140" s="1"/>
      <c r="E140" s="1"/>
      <c r="F140" s="12"/>
      <c r="G140" s="12"/>
      <c r="H140" s="52"/>
    </row>
    <row r="141" spans="1:8" ht="14.1" customHeight="1" x14ac:dyDescent="0.2">
      <c r="A141" s="1"/>
      <c r="B141" s="1"/>
      <c r="C141" s="2" t="s">
        <v>168</v>
      </c>
      <c r="D141" s="1"/>
      <c r="E141" s="1"/>
      <c r="F141" s="1"/>
      <c r="G141" s="1"/>
      <c r="H141" s="52"/>
    </row>
    <row r="142" spans="1:8" ht="14.1" customHeight="1" x14ac:dyDescent="0.2">
      <c r="A142" s="1"/>
      <c r="B142" s="1"/>
      <c r="C142" s="2" t="s">
        <v>169</v>
      </c>
      <c r="D142" s="1"/>
      <c r="E142" s="1"/>
      <c r="F142" s="1"/>
      <c r="G142" s="1"/>
      <c r="H142" s="52"/>
    </row>
    <row r="143" spans="1:8" ht="14.1" customHeight="1" x14ac:dyDescent="0.2">
      <c r="A143" s="1"/>
      <c r="B143" s="1"/>
      <c r="C143" s="2" t="s">
        <v>145</v>
      </c>
      <c r="D143" s="1"/>
      <c r="E143" s="1" t="s">
        <v>146</v>
      </c>
      <c r="F143" s="13" t="s">
        <v>148</v>
      </c>
      <c r="G143" s="10">
        <v>0</v>
      </c>
      <c r="H143" s="52"/>
    </row>
    <row r="144" spans="1:8" ht="14.1" customHeight="1" x14ac:dyDescent="0.2">
      <c r="A144" s="1"/>
      <c r="B144" s="1"/>
      <c r="C144" s="11"/>
      <c r="D144" s="1"/>
      <c r="E144" s="1"/>
      <c r="F144" s="12"/>
      <c r="G144" s="12"/>
      <c r="H144" s="52"/>
    </row>
    <row r="145" spans="1:8" ht="24" customHeight="1" x14ac:dyDescent="0.2">
      <c r="A145" s="1"/>
      <c r="B145" s="1"/>
      <c r="C145" s="2" t="s">
        <v>170</v>
      </c>
      <c r="D145" s="1"/>
      <c r="E145" s="1"/>
      <c r="F145" s="12"/>
      <c r="G145" s="12"/>
      <c r="H145" s="52"/>
    </row>
    <row r="146" spans="1:8" ht="14.1" customHeight="1" x14ac:dyDescent="0.2">
      <c r="A146" s="1"/>
      <c r="B146" s="1"/>
      <c r="C146" s="2" t="s">
        <v>145</v>
      </c>
      <c r="D146" s="1"/>
      <c r="E146" s="1" t="s">
        <v>146</v>
      </c>
      <c r="F146" s="13" t="s">
        <v>148</v>
      </c>
      <c r="G146" s="10">
        <v>0</v>
      </c>
      <c r="H146" s="52"/>
    </row>
    <row r="147" spans="1:8" ht="14.1" customHeight="1" x14ac:dyDescent="0.2">
      <c r="A147" s="1"/>
      <c r="B147" s="1"/>
      <c r="C147" s="11"/>
      <c r="D147" s="1"/>
      <c r="E147" s="1"/>
      <c r="F147" s="12"/>
      <c r="G147" s="12"/>
      <c r="H147" s="52"/>
    </row>
    <row r="148" spans="1:8" ht="14.1" customHeight="1" x14ac:dyDescent="0.2">
      <c r="A148" s="1"/>
      <c r="B148" s="4"/>
      <c r="C148" s="4"/>
      <c r="D148" s="2"/>
      <c r="E148" s="1"/>
      <c r="F148" s="4"/>
      <c r="G148" s="8"/>
      <c r="H148" s="52"/>
    </row>
    <row r="149" spans="1:8" ht="18" customHeight="1" x14ac:dyDescent="0.2">
      <c r="A149" s="8"/>
      <c r="B149" s="4"/>
      <c r="C149" s="39" t="s">
        <v>992</v>
      </c>
      <c r="D149" s="4"/>
      <c r="E149" s="8"/>
      <c r="F149" s="6">
        <v>-232.25158327</v>
      </c>
      <c r="G149" s="7">
        <v>-3.8975899999999998E-3</v>
      </c>
      <c r="H149" s="52"/>
    </row>
    <row r="150" spans="1:8" ht="14.1" customHeight="1" x14ac:dyDescent="0.2">
      <c r="A150" s="11"/>
      <c r="B150" s="11"/>
      <c r="C150" s="2" t="s">
        <v>172</v>
      </c>
      <c r="D150" s="12"/>
      <c r="E150" s="12"/>
      <c r="F150" s="9">
        <v>59588.558885546001</v>
      </c>
      <c r="G150" s="14">
        <v>1.0000000600000001</v>
      </c>
      <c r="H150" s="52"/>
    </row>
    <row r="151" spans="1:8" ht="14.1" customHeight="1" x14ac:dyDescent="0.2">
      <c r="A151" s="15"/>
      <c r="B151" s="15"/>
      <c r="C151" s="15"/>
      <c r="D151" s="16"/>
      <c r="E151" s="16"/>
      <c r="F151" s="16"/>
      <c r="G151" s="16"/>
    </row>
    <row r="152" spans="1:8" ht="14.1" customHeight="1" x14ac:dyDescent="0.2">
      <c r="A152" s="42"/>
      <c r="B152" s="125" t="s">
        <v>988</v>
      </c>
      <c r="C152" s="125"/>
      <c r="D152" s="125"/>
      <c r="E152" s="125"/>
      <c r="F152" s="125"/>
      <c r="G152" s="43"/>
    </row>
    <row r="153" spans="1:8" ht="17.100000000000001" customHeight="1" x14ac:dyDescent="0.2">
      <c r="A153" s="42"/>
      <c r="B153" s="125" t="s">
        <v>993</v>
      </c>
      <c r="C153" s="125"/>
      <c r="D153" s="125"/>
      <c r="E153" s="125"/>
      <c r="F153" s="125"/>
      <c r="G153" s="43"/>
    </row>
    <row r="154" spans="1:8" ht="17.100000000000001" customHeight="1" x14ac:dyDescent="0.2">
      <c r="A154" s="17"/>
      <c r="B154" s="126" t="s">
        <v>173</v>
      </c>
      <c r="C154" s="126"/>
      <c r="D154" s="126"/>
      <c r="E154" s="126"/>
      <c r="F154" s="126"/>
      <c r="G154" s="19"/>
    </row>
    <row r="155" spans="1:8" ht="14.1" customHeight="1" x14ac:dyDescent="0.2">
      <c r="A155" s="17"/>
      <c r="B155" s="17"/>
      <c r="C155" s="17"/>
      <c r="D155" s="19"/>
      <c r="E155" s="19"/>
      <c r="F155" s="19"/>
      <c r="G155" s="19"/>
    </row>
    <row r="156" spans="1:8" ht="14.1" customHeight="1" x14ac:dyDescent="0.2">
      <c r="A156" s="17"/>
      <c r="B156" s="127" t="s">
        <v>174</v>
      </c>
      <c r="C156" s="128"/>
      <c r="D156" s="129"/>
      <c r="E156" s="20"/>
      <c r="F156" s="19"/>
      <c r="G156" s="19"/>
    </row>
    <row r="157" spans="1:8" ht="29.1" customHeight="1" x14ac:dyDescent="0.2">
      <c r="A157" s="17"/>
      <c r="B157" s="121" t="s">
        <v>175</v>
      </c>
      <c r="C157" s="122"/>
      <c r="D157" s="113" t="s">
        <v>1092</v>
      </c>
      <c r="E157" s="20"/>
      <c r="F157" s="19"/>
      <c r="G157" s="19"/>
    </row>
    <row r="158" spans="1:8" ht="17.100000000000001" customHeight="1" x14ac:dyDescent="0.2">
      <c r="A158" s="17"/>
      <c r="B158" s="123" t="s">
        <v>953</v>
      </c>
      <c r="C158" s="124"/>
      <c r="D158" s="40" t="s">
        <v>956</v>
      </c>
      <c r="E158" s="20"/>
      <c r="F158" s="19"/>
      <c r="G158" s="19"/>
    </row>
    <row r="159" spans="1:8" ht="17.100000000000001" customHeight="1" x14ac:dyDescent="0.2">
      <c r="A159" s="17"/>
      <c r="B159" s="121" t="s">
        <v>178</v>
      </c>
      <c r="C159" s="122"/>
      <c r="D159" s="12" t="s">
        <v>146</v>
      </c>
      <c r="E159" s="20"/>
      <c r="F159" s="19"/>
      <c r="G159" s="19"/>
    </row>
    <row r="160" spans="1:8" ht="24" customHeight="1" x14ac:dyDescent="0.2">
      <c r="A160" s="21"/>
      <c r="B160" s="22" t="s">
        <v>146</v>
      </c>
      <c r="C160" s="22" t="s">
        <v>179</v>
      </c>
      <c r="D160" s="22" t="s">
        <v>180</v>
      </c>
      <c r="E160" s="21"/>
      <c r="F160" s="21"/>
      <c r="G160" s="21"/>
    </row>
    <row r="161" spans="1:7" ht="18" customHeight="1" x14ac:dyDescent="0.2">
      <c r="A161" s="21"/>
      <c r="B161" s="23" t="s">
        <v>181</v>
      </c>
      <c r="C161" s="22" t="s">
        <v>182</v>
      </c>
      <c r="D161" s="22" t="s">
        <v>183</v>
      </c>
      <c r="E161" s="21"/>
      <c r="F161" s="21"/>
      <c r="G161" s="21"/>
    </row>
    <row r="162" spans="1:7" ht="17.100000000000001" customHeight="1" x14ac:dyDescent="0.2">
      <c r="A162" s="21"/>
      <c r="B162" s="4" t="s">
        <v>184</v>
      </c>
      <c r="C162" s="24">
        <v>108.2794</v>
      </c>
      <c r="D162" s="24">
        <v>106.1781</v>
      </c>
      <c r="E162" s="21"/>
      <c r="F162" s="18"/>
      <c r="G162" s="25"/>
    </row>
    <row r="163" spans="1:7" ht="29.1" customHeight="1" x14ac:dyDescent="0.2">
      <c r="A163" s="21"/>
      <c r="B163" s="4" t="s">
        <v>1042</v>
      </c>
      <c r="C163" s="24">
        <v>53.844700000000003</v>
      </c>
      <c r="D163" s="24">
        <v>52.799799999999998</v>
      </c>
      <c r="E163" s="21"/>
      <c r="F163" s="18"/>
      <c r="G163" s="25"/>
    </row>
    <row r="164" spans="1:7" ht="17.100000000000001" customHeight="1" x14ac:dyDescent="0.2">
      <c r="A164" s="21"/>
      <c r="B164" s="4" t="s">
        <v>185</v>
      </c>
      <c r="C164" s="24">
        <v>101.5248</v>
      </c>
      <c r="D164" s="24">
        <v>99.440899999999999</v>
      </c>
      <c r="E164" s="21"/>
      <c r="F164" s="18"/>
      <c r="G164" s="25"/>
    </row>
    <row r="165" spans="1:7" ht="29.1" customHeight="1" x14ac:dyDescent="0.2">
      <c r="A165" s="21"/>
      <c r="B165" s="4" t="s">
        <v>1043</v>
      </c>
      <c r="C165" s="24">
        <v>32.9148</v>
      </c>
      <c r="D165" s="24">
        <v>32.239199999999997</v>
      </c>
      <c r="E165" s="21"/>
      <c r="F165" s="18"/>
      <c r="G165" s="25"/>
    </row>
    <row r="166" spans="1:7" ht="14.1" customHeight="1" x14ac:dyDescent="0.2">
      <c r="A166" s="21"/>
      <c r="B166" s="21"/>
      <c r="C166" s="21"/>
      <c r="D166" s="21"/>
      <c r="E166" s="21"/>
      <c r="F166" s="21"/>
      <c r="G166" s="21"/>
    </row>
    <row r="167" spans="1:7" ht="17.100000000000001" customHeight="1" x14ac:dyDescent="0.2">
      <c r="A167" s="21"/>
      <c r="B167" s="121" t="s">
        <v>1041</v>
      </c>
      <c r="C167" s="122"/>
      <c r="D167" s="2" t="s">
        <v>176</v>
      </c>
      <c r="E167" s="21"/>
      <c r="F167" s="21"/>
      <c r="G167" s="21"/>
    </row>
    <row r="168" spans="1:7" ht="18" customHeight="1" x14ac:dyDescent="0.2">
      <c r="A168" s="21"/>
      <c r="B168" s="26"/>
      <c r="C168" s="26"/>
      <c r="D168" s="26"/>
      <c r="E168" s="21"/>
      <c r="F168" s="21"/>
      <c r="G168" s="21"/>
    </row>
    <row r="169" spans="1:7" ht="29.1" customHeight="1" x14ac:dyDescent="0.2">
      <c r="A169" s="21"/>
      <c r="B169" s="121" t="s">
        <v>186</v>
      </c>
      <c r="C169" s="122"/>
      <c r="D169" s="2" t="s">
        <v>176</v>
      </c>
      <c r="E169" s="27"/>
      <c r="F169" s="21"/>
      <c r="G169" s="21"/>
    </row>
    <row r="170" spans="1:7" ht="29.1" customHeight="1" x14ac:dyDescent="0.2">
      <c r="A170" s="21"/>
      <c r="B170" s="121" t="s">
        <v>187</v>
      </c>
      <c r="C170" s="122"/>
      <c r="D170" s="2" t="s">
        <v>176</v>
      </c>
      <c r="E170" s="27"/>
      <c r="F170" s="21"/>
      <c r="G170" s="21"/>
    </row>
    <row r="171" spans="1:7" ht="17.100000000000001" customHeight="1" x14ac:dyDescent="0.2">
      <c r="A171" s="21"/>
      <c r="B171" s="121" t="s">
        <v>188</v>
      </c>
      <c r="C171" s="122"/>
      <c r="D171" s="2" t="s">
        <v>176</v>
      </c>
      <c r="E171" s="27"/>
      <c r="F171" s="21"/>
      <c r="G171" s="21"/>
    </row>
    <row r="172" spans="1:7" ht="17.100000000000001" customHeight="1" x14ac:dyDescent="0.2">
      <c r="A172" s="21"/>
      <c r="B172" s="121" t="s">
        <v>189</v>
      </c>
      <c r="C172" s="122"/>
      <c r="D172" s="50">
        <v>0.24103948472439998</v>
      </c>
      <c r="E172" s="21"/>
      <c r="F172" s="18"/>
      <c r="G172" s="25"/>
    </row>
    <row r="174" spans="1:7" x14ac:dyDescent="0.2">
      <c r="B174" s="78" t="s">
        <v>1036</v>
      </c>
      <c r="C174" s="78"/>
      <c r="D174" s="78"/>
      <c r="E174" s="82"/>
      <c r="F174" s="83"/>
    </row>
    <row r="175" spans="1:7" ht="38.25" x14ac:dyDescent="0.2">
      <c r="B175" s="84" t="s">
        <v>1004</v>
      </c>
      <c r="C175" s="85" t="s">
        <v>1005</v>
      </c>
      <c r="D175" s="85" t="s">
        <v>1006</v>
      </c>
      <c r="E175" s="85" t="s">
        <v>1007</v>
      </c>
      <c r="F175" s="85" t="s">
        <v>1008</v>
      </c>
    </row>
    <row r="176" spans="1:7" ht="25.5" x14ac:dyDescent="0.2">
      <c r="B176" s="86" t="s">
        <v>1032</v>
      </c>
      <c r="C176" s="87" t="s">
        <v>1033</v>
      </c>
      <c r="D176" s="88">
        <v>0</v>
      </c>
      <c r="E176" s="89">
        <v>0</v>
      </c>
      <c r="F176" s="90">
        <v>241.97234</v>
      </c>
    </row>
    <row r="177" spans="2:6" ht="25.5" x14ac:dyDescent="0.2">
      <c r="B177" s="86" t="s">
        <v>1034</v>
      </c>
      <c r="C177" s="87" t="s">
        <v>1033</v>
      </c>
      <c r="D177" s="88">
        <v>0</v>
      </c>
      <c r="E177" s="89">
        <v>0</v>
      </c>
      <c r="F177" s="90">
        <v>23.186299999999999</v>
      </c>
    </row>
  </sheetData>
  <mergeCells count="16">
    <mergeCell ref="J2:N2"/>
    <mergeCell ref="A1:H1"/>
    <mergeCell ref="A2:H2"/>
    <mergeCell ref="A3:H3"/>
    <mergeCell ref="B172:C172"/>
    <mergeCell ref="B158:C158"/>
    <mergeCell ref="B159:C159"/>
    <mergeCell ref="B167:C167"/>
    <mergeCell ref="B169:C169"/>
    <mergeCell ref="B170:C170"/>
    <mergeCell ref="B171:C171"/>
    <mergeCell ref="B157:C157"/>
    <mergeCell ref="B154:F154"/>
    <mergeCell ref="B156:D156"/>
    <mergeCell ref="B152:F152"/>
    <mergeCell ref="B153:F153"/>
  </mergeCells>
  <hyperlinks>
    <hyperlink ref="I1" location="Index!B18" display="Index" xr:uid="{0004DDCE-FAF4-4B51-928D-C0B5E3AE566E}"/>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A1:O211"/>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8" max="8" width="7.7109375" bestFit="1" customWidth="1"/>
  </cols>
  <sheetData>
    <row r="1" spans="1:15" ht="18" customHeight="1" x14ac:dyDescent="0.2">
      <c r="A1" s="116" t="s">
        <v>0</v>
      </c>
      <c r="B1" s="116"/>
      <c r="C1" s="116"/>
      <c r="D1" s="116"/>
      <c r="E1" s="116"/>
      <c r="F1" s="116"/>
      <c r="G1" s="116"/>
      <c r="H1" s="116"/>
      <c r="I1" s="98" t="s">
        <v>1053</v>
      </c>
    </row>
    <row r="2" spans="1:15" ht="17.100000000000001" customHeight="1" x14ac:dyDescent="0.2">
      <c r="A2" s="117" t="s">
        <v>725</v>
      </c>
      <c r="B2" s="118"/>
      <c r="C2" s="118"/>
      <c r="D2" s="118"/>
      <c r="E2" s="118"/>
      <c r="F2" s="118"/>
      <c r="G2" s="118"/>
      <c r="H2" s="119"/>
      <c r="J2" s="120" t="s">
        <v>1054</v>
      </c>
      <c r="K2" s="120"/>
      <c r="L2" s="120"/>
      <c r="M2" s="120"/>
      <c r="N2" s="120"/>
    </row>
    <row r="3" spans="1:15" ht="21" customHeight="1" x14ac:dyDescent="0.2">
      <c r="A3" s="116" t="s">
        <v>1049</v>
      </c>
      <c r="B3" s="116"/>
      <c r="C3" s="116"/>
      <c r="D3" s="116"/>
      <c r="E3" s="116"/>
      <c r="F3" s="116"/>
      <c r="G3" s="116"/>
      <c r="H3" s="116"/>
    </row>
    <row r="4" spans="1:15" ht="30" x14ac:dyDescent="0.2">
      <c r="A4" s="96" t="s">
        <v>2</v>
      </c>
      <c r="B4" s="96" t="s">
        <v>3</v>
      </c>
      <c r="C4" s="96" t="s">
        <v>4</v>
      </c>
      <c r="D4" s="96" t="s">
        <v>5</v>
      </c>
      <c r="E4" s="96" t="s">
        <v>6</v>
      </c>
      <c r="F4" s="96" t="s">
        <v>7</v>
      </c>
      <c r="G4" s="96" t="s">
        <v>8</v>
      </c>
      <c r="H4" s="51" t="s">
        <v>1002</v>
      </c>
      <c r="I4" s="99"/>
      <c r="J4" s="99"/>
      <c r="K4" s="99"/>
      <c r="L4" s="99"/>
      <c r="M4" s="99"/>
      <c r="N4" s="99"/>
      <c r="O4" s="99"/>
    </row>
    <row r="5" spans="1:15" ht="14.1" customHeight="1" x14ac:dyDescent="0.2">
      <c r="A5" s="1"/>
      <c r="B5" s="1"/>
      <c r="C5" s="2" t="s">
        <v>9</v>
      </c>
      <c r="D5" s="1"/>
      <c r="E5" s="1"/>
      <c r="F5" s="1"/>
      <c r="G5" s="1"/>
      <c r="H5" s="52"/>
    </row>
    <row r="6" spans="1:15" ht="24" customHeight="1" x14ac:dyDescent="0.2">
      <c r="A6" s="1"/>
      <c r="B6" s="1"/>
      <c r="C6" s="2" t="s">
        <v>10</v>
      </c>
      <c r="D6" s="1"/>
      <c r="E6" s="1"/>
      <c r="F6" s="1"/>
      <c r="G6" s="1"/>
      <c r="H6" s="52"/>
    </row>
    <row r="7" spans="1:15" ht="17.100000000000001" customHeight="1" x14ac:dyDescent="0.2">
      <c r="A7" s="3">
        <v>1</v>
      </c>
      <c r="B7" s="4" t="s">
        <v>319</v>
      </c>
      <c r="C7" s="4" t="s">
        <v>320</v>
      </c>
      <c r="D7" s="4" t="s">
        <v>28</v>
      </c>
      <c r="E7" s="5">
        <v>376913</v>
      </c>
      <c r="F7" s="6">
        <v>5565.1204449999996</v>
      </c>
      <c r="G7" s="7">
        <v>8.4728220000000007E-2</v>
      </c>
      <c r="H7" s="52"/>
    </row>
    <row r="8" spans="1:15" ht="17.100000000000001" customHeight="1" x14ac:dyDescent="0.2">
      <c r="A8" s="3">
        <v>2</v>
      </c>
      <c r="B8" s="4" t="s">
        <v>26</v>
      </c>
      <c r="C8" s="4" t="s">
        <v>27</v>
      </c>
      <c r="D8" s="4" t="s">
        <v>28</v>
      </c>
      <c r="E8" s="5">
        <v>453900</v>
      </c>
      <c r="F8" s="6">
        <v>4154.7736500000001</v>
      </c>
      <c r="G8" s="7">
        <v>6.3255870000000006E-2</v>
      </c>
      <c r="H8" s="52"/>
    </row>
    <row r="9" spans="1:15" ht="17.100000000000001" customHeight="1" x14ac:dyDescent="0.2">
      <c r="A9" s="3">
        <v>3</v>
      </c>
      <c r="B9" s="4" t="s">
        <v>14</v>
      </c>
      <c r="C9" s="4" t="s">
        <v>15</v>
      </c>
      <c r="D9" s="4" t="s">
        <v>16</v>
      </c>
      <c r="E9" s="5">
        <v>156250</v>
      </c>
      <c r="F9" s="6">
        <v>3574.84375</v>
      </c>
      <c r="G9" s="7">
        <v>5.4426519999999999E-2</v>
      </c>
      <c r="H9" s="52"/>
    </row>
    <row r="10" spans="1:15" ht="17.100000000000001" customHeight="1" x14ac:dyDescent="0.2">
      <c r="A10" s="3">
        <v>4</v>
      </c>
      <c r="B10" s="4" t="s">
        <v>321</v>
      </c>
      <c r="C10" s="4" t="s">
        <v>322</v>
      </c>
      <c r="D10" s="4" t="s">
        <v>888</v>
      </c>
      <c r="E10" s="5">
        <v>185100</v>
      </c>
      <c r="F10" s="6">
        <v>2532.9083999999998</v>
      </c>
      <c r="G10" s="7">
        <v>3.8563189999999997E-2</v>
      </c>
      <c r="H10" s="52"/>
    </row>
    <row r="11" spans="1:15" ht="17.100000000000001" customHeight="1" x14ac:dyDescent="0.2">
      <c r="A11" s="3">
        <v>5</v>
      </c>
      <c r="B11" s="4" t="s">
        <v>323</v>
      </c>
      <c r="C11" s="4" t="s">
        <v>324</v>
      </c>
      <c r="D11" s="4" t="s">
        <v>28</v>
      </c>
      <c r="E11" s="5">
        <v>249000</v>
      </c>
      <c r="F11" s="6">
        <v>2444.8065000000001</v>
      </c>
      <c r="G11" s="7">
        <v>3.7221850000000001E-2</v>
      </c>
      <c r="H11" s="52"/>
      <c r="K11" s="108"/>
      <c r="L11" s="108"/>
      <c r="M11" s="108"/>
      <c r="N11" s="108"/>
    </row>
    <row r="12" spans="1:15" ht="17.100000000000001" customHeight="1" x14ac:dyDescent="0.2">
      <c r="A12" s="3">
        <v>6</v>
      </c>
      <c r="B12" s="4" t="s">
        <v>329</v>
      </c>
      <c r="C12" s="4" t="s">
        <v>330</v>
      </c>
      <c r="D12" s="4" t="s">
        <v>28</v>
      </c>
      <c r="E12" s="5">
        <v>127500</v>
      </c>
      <c r="F12" s="6">
        <v>1837.6575</v>
      </c>
      <c r="G12" s="7">
        <v>2.7978090000000001E-2</v>
      </c>
      <c r="H12" s="52"/>
    </row>
    <row r="13" spans="1:15" ht="17.100000000000001" customHeight="1" x14ac:dyDescent="0.2">
      <c r="A13" s="3">
        <v>7</v>
      </c>
      <c r="B13" s="4" t="s">
        <v>351</v>
      </c>
      <c r="C13" s="4" t="s">
        <v>352</v>
      </c>
      <c r="D13" s="4" t="s">
        <v>344</v>
      </c>
      <c r="E13" s="5">
        <v>63000</v>
      </c>
      <c r="F13" s="6">
        <v>1564.92</v>
      </c>
      <c r="G13" s="7">
        <v>2.3825699999999998E-2</v>
      </c>
      <c r="H13" s="52"/>
      <c r="J13" s="101" t="s">
        <v>1075</v>
      </c>
    </row>
    <row r="14" spans="1:15" ht="17.100000000000001" customHeight="1" x14ac:dyDescent="0.2">
      <c r="A14" s="3">
        <v>8</v>
      </c>
      <c r="B14" s="4" t="s">
        <v>349</v>
      </c>
      <c r="C14" s="4" t="s">
        <v>350</v>
      </c>
      <c r="D14" s="4" t="s">
        <v>70</v>
      </c>
      <c r="E14" s="5">
        <v>19000</v>
      </c>
      <c r="F14" s="6">
        <v>1423.6034999999999</v>
      </c>
      <c r="G14" s="7">
        <v>2.167417E-2</v>
      </c>
      <c r="H14" s="52"/>
    </row>
    <row r="15" spans="1:15" ht="17.100000000000001" customHeight="1" x14ac:dyDescent="0.2">
      <c r="A15" s="3">
        <v>9</v>
      </c>
      <c r="B15" s="4" t="s">
        <v>358</v>
      </c>
      <c r="C15" s="4" t="s">
        <v>359</v>
      </c>
      <c r="D15" s="4" t="s">
        <v>102</v>
      </c>
      <c r="E15" s="5">
        <v>213750</v>
      </c>
      <c r="F15" s="6">
        <v>1343.7393750000001</v>
      </c>
      <c r="G15" s="7">
        <v>2.0458250000000001E-2</v>
      </c>
      <c r="H15" s="52"/>
    </row>
    <row r="16" spans="1:15" ht="17.100000000000001" customHeight="1" x14ac:dyDescent="0.2">
      <c r="A16" s="3">
        <v>10</v>
      </c>
      <c r="B16" s="4" t="s">
        <v>11</v>
      </c>
      <c r="C16" s="4" t="s">
        <v>12</v>
      </c>
      <c r="D16" s="4" t="s">
        <v>13</v>
      </c>
      <c r="E16" s="5">
        <v>42440</v>
      </c>
      <c r="F16" s="6">
        <v>1243.0888199999999</v>
      </c>
      <c r="G16" s="7">
        <v>1.8925859999999999E-2</v>
      </c>
      <c r="H16" s="52"/>
    </row>
    <row r="17" spans="1:14" ht="17.100000000000001" customHeight="1" x14ac:dyDescent="0.2">
      <c r="A17" s="3">
        <v>11</v>
      </c>
      <c r="B17" s="4" t="s">
        <v>100</v>
      </c>
      <c r="C17" s="4" t="s">
        <v>101</v>
      </c>
      <c r="D17" s="4" t="s">
        <v>102</v>
      </c>
      <c r="E17" s="5">
        <v>10400</v>
      </c>
      <c r="F17" s="6">
        <v>1080.7991999999999</v>
      </c>
      <c r="G17" s="7">
        <v>1.6455020000000001E-2</v>
      </c>
      <c r="H17" s="52"/>
    </row>
    <row r="18" spans="1:14" ht="29.1" customHeight="1" x14ac:dyDescent="0.2">
      <c r="A18" s="3">
        <v>12</v>
      </c>
      <c r="B18" s="4" t="s">
        <v>333</v>
      </c>
      <c r="C18" s="4" t="s">
        <v>334</v>
      </c>
      <c r="D18" s="4" t="s">
        <v>226</v>
      </c>
      <c r="E18" s="5">
        <v>19000</v>
      </c>
      <c r="F18" s="6">
        <v>1019.8345</v>
      </c>
      <c r="G18" s="7">
        <v>1.552684E-2</v>
      </c>
      <c r="H18" s="52"/>
    </row>
    <row r="19" spans="1:14" ht="17.100000000000001" customHeight="1" x14ac:dyDescent="0.2">
      <c r="A19" s="3">
        <v>13</v>
      </c>
      <c r="B19" s="4" t="s">
        <v>355</v>
      </c>
      <c r="C19" s="4" t="s">
        <v>356</v>
      </c>
      <c r="D19" s="4" t="s">
        <v>357</v>
      </c>
      <c r="E19" s="5">
        <v>42278</v>
      </c>
      <c r="F19" s="6">
        <v>985.45790199999999</v>
      </c>
      <c r="G19" s="7">
        <v>1.500347E-2</v>
      </c>
      <c r="H19" s="52"/>
    </row>
    <row r="20" spans="1:14" ht="17.100000000000001" customHeight="1" x14ac:dyDescent="0.2">
      <c r="A20" s="3">
        <v>14</v>
      </c>
      <c r="B20" s="4" t="s">
        <v>39</v>
      </c>
      <c r="C20" s="4" t="s">
        <v>40</v>
      </c>
      <c r="D20" s="4" t="s">
        <v>28</v>
      </c>
      <c r="E20" s="5">
        <v>171500</v>
      </c>
      <c r="F20" s="6">
        <v>969.91824999999994</v>
      </c>
      <c r="G20" s="7">
        <v>1.476688E-2</v>
      </c>
      <c r="H20" s="52"/>
    </row>
    <row r="21" spans="1:14" ht="17.100000000000001" customHeight="1" x14ac:dyDescent="0.2">
      <c r="A21" s="3">
        <v>15</v>
      </c>
      <c r="B21" s="4" t="s">
        <v>117</v>
      </c>
      <c r="C21" s="4" t="s">
        <v>118</v>
      </c>
      <c r="D21" s="4" t="s">
        <v>43</v>
      </c>
      <c r="E21" s="5">
        <v>375418</v>
      </c>
      <c r="F21" s="6">
        <v>909.26239599999997</v>
      </c>
      <c r="G21" s="7">
        <v>1.38434E-2</v>
      </c>
      <c r="H21" s="52"/>
    </row>
    <row r="22" spans="1:14" ht="29.1" customHeight="1" x14ac:dyDescent="0.2">
      <c r="A22" s="3">
        <v>16</v>
      </c>
      <c r="B22" s="4" t="s">
        <v>542</v>
      </c>
      <c r="C22" s="4" t="s">
        <v>543</v>
      </c>
      <c r="D22" s="4" t="s">
        <v>544</v>
      </c>
      <c r="E22" s="5">
        <v>215486</v>
      </c>
      <c r="F22" s="6">
        <v>840.07217100000003</v>
      </c>
      <c r="G22" s="7">
        <v>1.2789989999999999E-2</v>
      </c>
      <c r="H22" s="52"/>
    </row>
    <row r="23" spans="1:14" ht="29.1" customHeight="1" x14ac:dyDescent="0.2">
      <c r="A23" s="3">
        <v>17</v>
      </c>
      <c r="B23" s="4" t="s">
        <v>327</v>
      </c>
      <c r="C23" s="4" t="s">
        <v>328</v>
      </c>
      <c r="D23" s="4" t="s">
        <v>226</v>
      </c>
      <c r="E23" s="5">
        <v>76500</v>
      </c>
      <c r="F23" s="6">
        <v>832.779</v>
      </c>
      <c r="G23" s="7">
        <v>1.267895E-2</v>
      </c>
      <c r="H23" s="52"/>
    </row>
    <row r="24" spans="1:14" ht="17.100000000000001" customHeight="1" x14ac:dyDescent="0.2">
      <c r="A24" s="3">
        <v>18</v>
      </c>
      <c r="B24" s="4" t="s">
        <v>503</v>
      </c>
      <c r="C24" s="4" t="s">
        <v>504</v>
      </c>
      <c r="D24" s="4" t="s">
        <v>357</v>
      </c>
      <c r="E24" s="5">
        <v>15000</v>
      </c>
      <c r="F24" s="6">
        <v>818.73749999999995</v>
      </c>
      <c r="G24" s="7">
        <v>1.2465169999999999E-2</v>
      </c>
      <c r="H24" s="52"/>
    </row>
    <row r="25" spans="1:14" ht="17.100000000000001" customHeight="1" x14ac:dyDescent="0.2">
      <c r="A25" s="3">
        <v>19</v>
      </c>
      <c r="B25" s="4" t="s">
        <v>521</v>
      </c>
      <c r="C25" s="39" t="s">
        <v>994</v>
      </c>
      <c r="D25" s="4" t="s">
        <v>102</v>
      </c>
      <c r="E25" s="5">
        <v>193000</v>
      </c>
      <c r="F25" s="6">
        <v>810.79300000000001</v>
      </c>
      <c r="G25" s="7">
        <v>1.2344219999999999E-2</v>
      </c>
      <c r="H25" s="52"/>
    </row>
    <row r="26" spans="1:14" ht="17.100000000000001" customHeight="1" x14ac:dyDescent="0.2">
      <c r="A26" s="3">
        <v>20</v>
      </c>
      <c r="B26" s="4" t="s">
        <v>281</v>
      </c>
      <c r="C26" s="4" t="s">
        <v>282</v>
      </c>
      <c r="D26" s="4" t="s">
        <v>283</v>
      </c>
      <c r="E26" s="5">
        <v>50000</v>
      </c>
      <c r="F26" s="6">
        <v>807.57500000000005</v>
      </c>
      <c r="G26" s="7">
        <v>1.2295220000000001E-2</v>
      </c>
      <c r="H26" s="52"/>
    </row>
    <row r="27" spans="1:14" ht="29.1" customHeight="1" x14ac:dyDescent="0.2">
      <c r="A27" s="3">
        <v>21</v>
      </c>
      <c r="B27" s="4" t="s">
        <v>390</v>
      </c>
      <c r="C27" s="4" t="s">
        <v>391</v>
      </c>
      <c r="D27" s="4" t="s">
        <v>226</v>
      </c>
      <c r="E27" s="5">
        <v>67050</v>
      </c>
      <c r="F27" s="6">
        <v>804.6</v>
      </c>
      <c r="G27" s="7">
        <v>1.2249929999999999E-2</v>
      </c>
      <c r="H27" s="52"/>
    </row>
    <row r="28" spans="1:14" ht="17.100000000000001" customHeight="1" x14ac:dyDescent="0.2">
      <c r="A28" s="3">
        <v>22</v>
      </c>
      <c r="B28" s="4" t="s">
        <v>571</v>
      </c>
      <c r="C28" s="4" t="s">
        <v>572</v>
      </c>
      <c r="D28" s="4" t="s">
        <v>888</v>
      </c>
      <c r="E28" s="5">
        <v>68000</v>
      </c>
      <c r="F28" s="6">
        <v>770.54200000000003</v>
      </c>
      <c r="G28" s="7">
        <v>1.1731399999999999E-2</v>
      </c>
      <c r="H28" s="52"/>
    </row>
    <row r="29" spans="1:14" ht="29.1" customHeight="1" x14ac:dyDescent="0.2">
      <c r="A29" s="3">
        <v>23</v>
      </c>
      <c r="B29" s="4" t="s">
        <v>489</v>
      </c>
      <c r="C29" s="4" t="s">
        <v>490</v>
      </c>
      <c r="D29" s="4" t="s">
        <v>60</v>
      </c>
      <c r="E29" s="5">
        <v>70000</v>
      </c>
      <c r="F29" s="6">
        <v>758.20500000000004</v>
      </c>
      <c r="G29" s="7">
        <v>1.154357E-2</v>
      </c>
      <c r="H29" s="52"/>
    </row>
    <row r="30" spans="1:14" ht="17.100000000000001" customHeight="1" x14ac:dyDescent="0.2">
      <c r="A30" s="3">
        <v>24</v>
      </c>
      <c r="B30" s="4" t="s">
        <v>191</v>
      </c>
      <c r="C30" s="4" t="s">
        <v>192</v>
      </c>
      <c r="D30" s="4" t="s">
        <v>28</v>
      </c>
      <c r="E30" s="5">
        <v>507794</v>
      </c>
      <c r="F30" s="6">
        <v>714.21226100000001</v>
      </c>
      <c r="G30" s="7">
        <v>1.0873789999999999E-2</v>
      </c>
      <c r="H30" s="52"/>
    </row>
    <row r="31" spans="1:14" ht="29.1" customHeight="1" x14ac:dyDescent="0.2">
      <c r="A31" s="3">
        <v>25</v>
      </c>
      <c r="B31" s="4" t="s">
        <v>238</v>
      </c>
      <c r="C31" s="4" t="s">
        <v>239</v>
      </c>
      <c r="D31" s="4" t="s">
        <v>226</v>
      </c>
      <c r="E31" s="5">
        <v>18000</v>
      </c>
      <c r="F31" s="6">
        <v>669.93299999999999</v>
      </c>
      <c r="G31" s="7">
        <v>1.0199639999999999E-2</v>
      </c>
      <c r="H31" s="52"/>
      <c r="J31" s="108"/>
      <c r="K31" s="108"/>
      <c r="L31" s="108"/>
      <c r="M31" s="108"/>
      <c r="N31" s="108"/>
    </row>
    <row r="32" spans="1:14" ht="17.100000000000001" customHeight="1" x14ac:dyDescent="0.2">
      <c r="A32" s="3">
        <v>26</v>
      </c>
      <c r="B32" s="4" t="s">
        <v>87</v>
      </c>
      <c r="C32" s="4" t="s">
        <v>88</v>
      </c>
      <c r="D32" s="4" t="s">
        <v>43</v>
      </c>
      <c r="E32" s="5">
        <v>184000</v>
      </c>
      <c r="F32" s="6">
        <v>660.928</v>
      </c>
      <c r="G32" s="7">
        <v>1.006254E-2</v>
      </c>
      <c r="H32" s="52"/>
    </row>
    <row r="33" spans="1:8" ht="17.100000000000001" customHeight="1" x14ac:dyDescent="0.2">
      <c r="A33" s="3">
        <v>27</v>
      </c>
      <c r="B33" s="4" t="s">
        <v>366</v>
      </c>
      <c r="C33" s="4" t="s">
        <v>367</v>
      </c>
      <c r="D33" s="4" t="s">
        <v>114</v>
      </c>
      <c r="E33" s="5">
        <v>484000</v>
      </c>
      <c r="F33" s="6">
        <v>574.75</v>
      </c>
      <c r="G33" s="7">
        <v>8.7504899999999997E-3</v>
      </c>
      <c r="H33" s="52"/>
    </row>
    <row r="34" spans="1:8" ht="29.1" customHeight="1" x14ac:dyDescent="0.2">
      <c r="A34" s="3">
        <v>28</v>
      </c>
      <c r="B34" s="4" t="s">
        <v>201</v>
      </c>
      <c r="C34" s="4" t="s">
        <v>202</v>
      </c>
      <c r="D34" s="4" t="s">
        <v>70</v>
      </c>
      <c r="E34" s="5">
        <v>48000</v>
      </c>
      <c r="F34" s="6">
        <v>545.904</v>
      </c>
      <c r="G34" s="7">
        <v>8.3113200000000005E-3</v>
      </c>
      <c r="H34" s="52"/>
    </row>
    <row r="35" spans="1:8" ht="53.1" customHeight="1" x14ac:dyDescent="0.2">
      <c r="A35" s="3">
        <v>29</v>
      </c>
      <c r="B35" s="4" t="s">
        <v>71</v>
      </c>
      <c r="C35" s="4" t="s">
        <v>72</v>
      </c>
      <c r="D35" s="4" t="s">
        <v>73</v>
      </c>
      <c r="E35" s="5">
        <v>318000</v>
      </c>
      <c r="F35" s="6">
        <v>533.28599999999994</v>
      </c>
      <c r="G35" s="7">
        <v>8.11921E-3</v>
      </c>
      <c r="H35" s="52"/>
    </row>
    <row r="36" spans="1:8" ht="17.100000000000001" customHeight="1" x14ac:dyDescent="0.2">
      <c r="A36" s="3">
        <v>30</v>
      </c>
      <c r="B36" s="4" t="s">
        <v>299</v>
      </c>
      <c r="C36" s="4" t="s">
        <v>300</v>
      </c>
      <c r="D36" s="4" t="s">
        <v>208</v>
      </c>
      <c r="E36" s="5">
        <v>371000</v>
      </c>
      <c r="F36" s="6">
        <v>516.98850000000004</v>
      </c>
      <c r="G36" s="7">
        <v>7.8710800000000008E-3</v>
      </c>
      <c r="H36" s="52"/>
    </row>
    <row r="37" spans="1:8" ht="17.100000000000001" customHeight="1" x14ac:dyDescent="0.2">
      <c r="A37" s="3">
        <v>31</v>
      </c>
      <c r="B37" s="4" t="s">
        <v>540</v>
      </c>
      <c r="C37" s="4" t="s">
        <v>541</v>
      </c>
      <c r="D37" s="4" t="s">
        <v>102</v>
      </c>
      <c r="E37" s="5">
        <v>14930</v>
      </c>
      <c r="F37" s="6">
        <v>512.41999499999997</v>
      </c>
      <c r="G37" s="7">
        <v>7.8015300000000001E-3</v>
      </c>
      <c r="H37" s="52"/>
    </row>
    <row r="38" spans="1:8" ht="17.100000000000001" customHeight="1" x14ac:dyDescent="0.2">
      <c r="A38" s="3">
        <v>32</v>
      </c>
      <c r="B38" s="4" t="s">
        <v>553</v>
      </c>
      <c r="C38" s="4" t="s">
        <v>554</v>
      </c>
      <c r="D38" s="4" t="s">
        <v>283</v>
      </c>
      <c r="E38" s="5">
        <v>48300</v>
      </c>
      <c r="F38" s="6">
        <v>498.55259999999998</v>
      </c>
      <c r="G38" s="7">
        <v>7.5903999999999998E-3</v>
      </c>
      <c r="H38" s="52"/>
    </row>
    <row r="39" spans="1:8" ht="17.100000000000001" customHeight="1" x14ac:dyDescent="0.2">
      <c r="A39" s="3">
        <v>33</v>
      </c>
      <c r="B39" s="4" t="s">
        <v>325</v>
      </c>
      <c r="C39" s="4" t="s">
        <v>326</v>
      </c>
      <c r="D39" s="4" t="s">
        <v>888</v>
      </c>
      <c r="E39" s="5">
        <v>14050</v>
      </c>
      <c r="F39" s="6">
        <v>473.30937499999999</v>
      </c>
      <c r="G39" s="7">
        <v>7.2060700000000002E-3</v>
      </c>
      <c r="H39" s="52"/>
    </row>
    <row r="40" spans="1:8" ht="17.100000000000001" customHeight="1" x14ac:dyDescent="0.2">
      <c r="A40" s="3">
        <v>34</v>
      </c>
      <c r="B40" s="4" t="s">
        <v>53</v>
      </c>
      <c r="C40" s="4" t="s">
        <v>54</v>
      </c>
      <c r="D40" s="4" t="s">
        <v>31</v>
      </c>
      <c r="E40" s="5">
        <v>9000</v>
      </c>
      <c r="F40" s="6">
        <v>442.98899999999998</v>
      </c>
      <c r="G40" s="7">
        <v>6.7444499999999999E-3</v>
      </c>
      <c r="H40" s="52"/>
    </row>
    <row r="41" spans="1:8" ht="29.1" customHeight="1" x14ac:dyDescent="0.2">
      <c r="A41" s="3">
        <v>35</v>
      </c>
      <c r="B41" s="4" t="s">
        <v>23</v>
      </c>
      <c r="C41" s="4" t="s">
        <v>24</v>
      </c>
      <c r="D41" s="4" t="s">
        <v>25</v>
      </c>
      <c r="E41" s="5">
        <v>5000</v>
      </c>
      <c r="F41" s="6">
        <v>421.11250000000001</v>
      </c>
      <c r="G41" s="7">
        <v>6.4113800000000004E-3</v>
      </c>
      <c r="H41" s="52"/>
    </row>
    <row r="42" spans="1:8" ht="17.100000000000001" customHeight="1" x14ac:dyDescent="0.2">
      <c r="A42" s="3">
        <v>36</v>
      </c>
      <c r="B42" s="4" t="s">
        <v>83</v>
      </c>
      <c r="C42" s="4" t="s">
        <v>84</v>
      </c>
      <c r="D42" s="4" t="s">
        <v>52</v>
      </c>
      <c r="E42" s="5">
        <v>17000</v>
      </c>
      <c r="F42" s="6">
        <v>417.15449999999998</v>
      </c>
      <c r="G42" s="7">
        <v>6.35112E-3</v>
      </c>
      <c r="H42" s="52"/>
    </row>
    <row r="43" spans="1:8" ht="17.100000000000001" customHeight="1" x14ac:dyDescent="0.2">
      <c r="A43" s="3">
        <v>37</v>
      </c>
      <c r="B43" s="4" t="s">
        <v>726</v>
      </c>
      <c r="C43" s="4" t="s">
        <v>727</v>
      </c>
      <c r="D43" s="4" t="s">
        <v>43</v>
      </c>
      <c r="E43" s="5">
        <v>86769</v>
      </c>
      <c r="F43" s="6">
        <v>412.10936550000002</v>
      </c>
      <c r="G43" s="7">
        <v>6.27431E-3</v>
      </c>
      <c r="H43" s="52"/>
    </row>
    <row r="44" spans="1:8" ht="17.100000000000001" customHeight="1" x14ac:dyDescent="0.2">
      <c r="A44" s="3">
        <v>38</v>
      </c>
      <c r="B44" s="4" t="s">
        <v>360</v>
      </c>
      <c r="C44" s="4" t="s">
        <v>361</v>
      </c>
      <c r="D44" s="4" t="s">
        <v>60</v>
      </c>
      <c r="E44" s="5">
        <v>12000</v>
      </c>
      <c r="F44" s="6">
        <v>382.75799999999998</v>
      </c>
      <c r="G44" s="7">
        <v>5.8274399999999997E-3</v>
      </c>
      <c r="H44" s="52"/>
    </row>
    <row r="45" spans="1:8" ht="17.100000000000001" customHeight="1" x14ac:dyDescent="0.2">
      <c r="A45" s="3">
        <v>39</v>
      </c>
      <c r="B45" s="4" t="s">
        <v>289</v>
      </c>
      <c r="C45" s="4" t="s">
        <v>290</v>
      </c>
      <c r="D45" s="4" t="s">
        <v>16</v>
      </c>
      <c r="E45" s="5">
        <v>153900</v>
      </c>
      <c r="F45" s="6">
        <v>381.21030000000002</v>
      </c>
      <c r="G45" s="7">
        <v>5.80388E-3</v>
      </c>
      <c r="H45" s="52"/>
    </row>
    <row r="46" spans="1:8" ht="29.1" customHeight="1" x14ac:dyDescent="0.2">
      <c r="A46" s="3">
        <v>40</v>
      </c>
      <c r="B46" s="4" t="s">
        <v>378</v>
      </c>
      <c r="C46" s="4" t="s">
        <v>379</v>
      </c>
      <c r="D46" s="4" t="s">
        <v>226</v>
      </c>
      <c r="E46" s="5">
        <v>44000</v>
      </c>
      <c r="F46" s="6">
        <v>373.78</v>
      </c>
      <c r="G46" s="7">
        <v>5.6907499999999996E-3</v>
      </c>
      <c r="H46" s="52"/>
    </row>
    <row r="47" spans="1:8" ht="17.100000000000001" customHeight="1" x14ac:dyDescent="0.2">
      <c r="A47" s="3">
        <v>41</v>
      </c>
      <c r="B47" s="4" t="s">
        <v>376</v>
      </c>
      <c r="C47" s="4" t="s">
        <v>377</v>
      </c>
      <c r="D47" s="4" t="s">
        <v>28</v>
      </c>
      <c r="E47" s="5">
        <v>187200</v>
      </c>
      <c r="F47" s="6">
        <v>367.28640000000001</v>
      </c>
      <c r="G47" s="7">
        <v>5.5918900000000004E-3</v>
      </c>
      <c r="H47" s="52"/>
    </row>
    <row r="48" spans="1:8" ht="17.100000000000001" customHeight="1" x14ac:dyDescent="0.2">
      <c r="A48" s="3">
        <v>42</v>
      </c>
      <c r="B48" s="4" t="s">
        <v>335</v>
      </c>
      <c r="C48" s="4" t="s">
        <v>336</v>
      </c>
      <c r="D48" s="4" t="s">
        <v>28</v>
      </c>
      <c r="E48" s="5">
        <v>95000</v>
      </c>
      <c r="F48" s="6">
        <v>365.13249999999999</v>
      </c>
      <c r="G48" s="7">
        <v>5.55909E-3</v>
      </c>
      <c r="H48" s="52"/>
    </row>
    <row r="49" spans="1:8" ht="17.100000000000001" customHeight="1" x14ac:dyDescent="0.2">
      <c r="A49" s="3">
        <v>43</v>
      </c>
      <c r="B49" s="4" t="s">
        <v>342</v>
      </c>
      <c r="C49" s="4" t="s">
        <v>343</v>
      </c>
      <c r="D49" s="4" t="s">
        <v>344</v>
      </c>
      <c r="E49" s="5">
        <v>78400</v>
      </c>
      <c r="F49" s="6">
        <v>335.86559999999997</v>
      </c>
      <c r="G49" s="7">
        <v>5.1135099999999999E-3</v>
      </c>
      <c r="H49" s="52"/>
    </row>
    <row r="50" spans="1:8" ht="29.1" customHeight="1" x14ac:dyDescent="0.2">
      <c r="A50" s="3">
        <v>44</v>
      </c>
      <c r="B50" s="4" t="s">
        <v>63</v>
      </c>
      <c r="C50" s="4" t="s">
        <v>64</v>
      </c>
      <c r="D50" s="4" t="s">
        <v>25</v>
      </c>
      <c r="E50" s="5">
        <v>15869</v>
      </c>
      <c r="F50" s="6">
        <v>333.92343249999999</v>
      </c>
      <c r="G50" s="7">
        <v>5.0839400000000003E-3</v>
      </c>
      <c r="H50" s="52"/>
    </row>
    <row r="51" spans="1:8" ht="17.100000000000001" customHeight="1" x14ac:dyDescent="0.2">
      <c r="A51" s="3">
        <v>45</v>
      </c>
      <c r="B51" s="4" t="s">
        <v>253</v>
      </c>
      <c r="C51" s="4" t="s">
        <v>254</v>
      </c>
      <c r="D51" s="4" t="s">
        <v>208</v>
      </c>
      <c r="E51" s="5">
        <v>8000</v>
      </c>
      <c r="F51" s="6">
        <v>326.74</v>
      </c>
      <c r="G51" s="7">
        <v>4.9745700000000002E-3</v>
      </c>
      <c r="H51" s="52"/>
    </row>
    <row r="52" spans="1:8" ht="17.100000000000001" customHeight="1" x14ac:dyDescent="0.2">
      <c r="A52" s="3">
        <v>46</v>
      </c>
      <c r="B52" s="4" t="s">
        <v>522</v>
      </c>
      <c r="C52" s="4" t="s">
        <v>523</v>
      </c>
      <c r="D52" s="4" t="s">
        <v>888</v>
      </c>
      <c r="E52" s="5">
        <v>14000</v>
      </c>
      <c r="F52" s="6">
        <v>291.60599999999999</v>
      </c>
      <c r="G52" s="7">
        <v>4.4396599999999998E-3</v>
      </c>
      <c r="H52" s="52"/>
    </row>
    <row r="53" spans="1:8" ht="29.1" customHeight="1" x14ac:dyDescent="0.2">
      <c r="A53" s="3">
        <v>47</v>
      </c>
      <c r="B53" s="4" t="s">
        <v>728</v>
      </c>
      <c r="C53" s="4" t="s">
        <v>729</v>
      </c>
      <c r="D53" s="4" t="s">
        <v>216</v>
      </c>
      <c r="E53" s="5">
        <v>20000</v>
      </c>
      <c r="F53" s="6">
        <v>260.83999999999997</v>
      </c>
      <c r="G53" s="7">
        <v>3.97125E-3</v>
      </c>
      <c r="H53" s="52"/>
    </row>
    <row r="54" spans="1:8" ht="17.100000000000001" customHeight="1" x14ac:dyDescent="0.2">
      <c r="A54" s="3">
        <v>48</v>
      </c>
      <c r="B54" s="4" t="s">
        <v>245</v>
      </c>
      <c r="C54" s="4" t="s">
        <v>246</v>
      </c>
      <c r="D54" s="4" t="s">
        <v>60</v>
      </c>
      <c r="E54" s="5">
        <v>21793</v>
      </c>
      <c r="F54" s="6">
        <v>258.791875</v>
      </c>
      <c r="G54" s="7">
        <v>3.9400700000000004E-3</v>
      </c>
      <c r="H54" s="52"/>
    </row>
    <row r="55" spans="1:8" ht="29.1" customHeight="1" x14ac:dyDescent="0.2">
      <c r="A55" s="3">
        <v>49</v>
      </c>
      <c r="B55" s="4" t="s">
        <v>681</v>
      </c>
      <c r="C55" s="4" t="s">
        <v>682</v>
      </c>
      <c r="D55" s="4" t="s">
        <v>25</v>
      </c>
      <c r="E55" s="5">
        <v>8700</v>
      </c>
      <c r="F55" s="6">
        <v>164.27340000000001</v>
      </c>
      <c r="G55" s="7">
        <v>2.5010399999999999E-3</v>
      </c>
      <c r="H55" s="52"/>
    </row>
    <row r="56" spans="1:8" ht="17.100000000000001" customHeight="1" x14ac:dyDescent="0.2">
      <c r="A56" s="3">
        <v>50</v>
      </c>
      <c r="B56" s="4" t="s">
        <v>730</v>
      </c>
      <c r="C56" s="4" t="s">
        <v>731</v>
      </c>
      <c r="D56" s="4" t="s">
        <v>221</v>
      </c>
      <c r="E56" s="5">
        <v>26400</v>
      </c>
      <c r="F56" s="6">
        <v>163.24440000000001</v>
      </c>
      <c r="G56" s="7">
        <v>2.4853700000000002E-3</v>
      </c>
      <c r="H56" s="52"/>
    </row>
    <row r="57" spans="1:8" ht="17.100000000000001" customHeight="1" x14ac:dyDescent="0.2">
      <c r="A57" s="3">
        <v>51</v>
      </c>
      <c r="B57" s="4" t="s">
        <v>41</v>
      </c>
      <c r="C57" s="4" t="s">
        <v>42</v>
      </c>
      <c r="D57" s="4" t="s">
        <v>43</v>
      </c>
      <c r="E57" s="5">
        <v>3785</v>
      </c>
      <c r="F57" s="6">
        <v>155.53700499999999</v>
      </c>
      <c r="G57" s="7">
        <v>2.3680300000000001E-3</v>
      </c>
      <c r="H57" s="52"/>
    </row>
    <row r="58" spans="1:8" ht="17.100000000000001" customHeight="1" x14ac:dyDescent="0.2">
      <c r="A58" s="3">
        <v>52</v>
      </c>
      <c r="B58" s="4" t="s">
        <v>732</v>
      </c>
      <c r="C58" s="4" t="s">
        <v>733</v>
      </c>
      <c r="D58" s="4" t="s">
        <v>114</v>
      </c>
      <c r="E58" s="5">
        <v>20250</v>
      </c>
      <c r="F58" s="6">
        <v>149.11087499999999</v>
      </c>
      <c r="G58" s="7">
        <v>2.2701900000000001E-3</v>
      </c>
      <c r="H58" s="52"/>
    </row>
    <row r="59" spans="1:8" ht="17.100000000000001" customHeight="1" x14ac:dyDescent="0.2">
      <c r="A59" s="3">
        <v>53</v>
      </c>
      <c r="B59" s="4" t="s">
        <v>17</v>
      </c>
      <c r="C59" s="4" t="s">
        <v>18</v>
      </c>
      <c r="D59" s="4" t="s">
        <v>19</v>
      </c>
      <c r="E59" s="5">
        <v>16150</v>
      </c>
      <c r="F59" s="6">
        <v>147.6756</v>
      </c>
      <c r="G59" s="7">
        <v>2.2483400000000001E-3</v>
      </c>
      <c r="H59" s="52"/>
    </row>
    <row r="60" spans="1:8" ht="17.100000000000001" customHeight="1" x14ac:dyDescent="0.2">
      <c r="A60" s="3">
        <v>54</v>
      </c>
      <c r="B60" s="4" t="s">
        <v>673</v>
      </c>
      <c r="C60" s="4" t="s">
        <v>674</v>
      </c>
      <c r="D60" s="4" t="s">
        <v>93</v>
      </c>
      <c r="E60" s="5">
        <v>24750</v>
      </c>
      <c r="F60" s="6">
        <v>139.46625</v>
      </c>
      <c r="G60" s="7">
        <v>2.1233599999999999E-3</v>
      </c>
      <c r="H60" s="52"/>
    </row>
    <row r="61" spans="1:8" ht="29.1" customHeight="1" x14ac:dyDescent="0.2">
      <c r="A61" s="3">
        <v>55</v>
      </c>
      <c r="B61" s="4" t="s">
        <v>472</v>
      </c>
      <c r="C61" s="4" t="s">
        <v>473</v>
      </c>
      <c r="D61" s="4" t="s">
        <v>474</v>
      </c>
      <c r="E61" s="5">
        <v>15300</v>
      </c>
      <c r="F61" s="6">
        <v>137.7765</v>
      </c>
      <c r="G61" s="7">
        <v>2.0976300000000001E-3</v>
      </c>
      <c r="H61" s="52"/>
    </row>
    <row r="62" spans="1:8" ht="17.100000000000001" customHeight="1" x14ac:dyDescent="0.2">
      <c r="A62" s="3">
        <v>56</v>
      </c>
      <c r="B62" s="4" t="s">
        <v>20</v>
      </c>
      <c r="C62" s="4" t="s">
        <v>21</v>
      </c>
      <c r="D62" s="4" t="s">
        <v>22</v>
      </c>
      <c r="E62" s="5">
        <v>57000</v>
      </c>
      <c r="F62" s="6">
        <v>134.40600000000001</v>
      </c>
      <c r="G62" s="7">
        <v>2.04631E-3</v>
      </c>
      <c r="H62" s="52"/>
    </row>
    <row r="63" spans="1:8" ht="17.100000000000001" customHeight="1" x14ac:dyDescent="0.2">
      <c r="A63" s="3">
        <v>57</v>
      </c>
      <c r="B63" s="4" t="s">
        <v>555</v>
      </c>
      <c r="C63" s="4" t="s">
        <v>556</v>
      </c>
      <c r="D63" s="4" t="s">
        <v>102</v>
      </c>
      <c r="E63" s="5">
        <v>8400</v>
      </c>
      <c r="F63" s="6">
        <v>122.5224</v>
      </c>
      <c r="G63" s="7">
        <v>1.86539E-3</v>
      </c>
      <c r="H63" s="52"/>
    </row>
    <row r="64" spans="1:8" ht="17.100000000000001" customHeight="1" x14ac:dyDescent="0.2">
      <c r="A64" s="3">
        <v>58</v>
      </c>
      <c r="B64" s="4" t="s">
        <v>364</v>
      </c>
      <c r="C64" s="4" t="s">
        <v>365</v>
      </c>
      <c r="D64" s="4" t="s">
        <v>208</v>
      </c>
      <c r="E64" s="5">
        <v>9417</v>
      </c>
      <c r="F64" s="6">
        <v>121.6817655</v>
      </c>
      <c r="G64" s="7">
        <v>1.8525900000000001E-3</v>
      </c>
      <c r="H64" s="52"/>
    </row>
    <row r="65" spans="1:8" ht="17.100000000000001" customHeight="1" x14ac:dyDescent="0.2">
      <c r="A65" s="3">
        <v>59</v>
      </c>
      <c r="B65" s="4" t="s">
        <v>392</v>
      </c>
      <c r="C65" s="4" t="s">
        <v>393</v>
      </c>
      <c r="D65" s="4" t="s">
        <v>70</v>
      </c>
      <c r="E65" s="5">
        <v>36000</v>
      </c>
      <c r="F65" s="6">
        <v>78.84</v>
      </c>
      <c r="G65" s="7">
        <v>1.2003300000000001E-3</v>
      </c>
      <c r="H65" s="52"/>
    </row>
    <row r="66" spans="1:8" ht="29.1" customHeight="1" x14ac:dyDescent="0.2">
      <c r="A66" s="3">
        <v>60</v>
      </c>
      <c r="B66" s="4" t="s">
        <v>675</v>
      </c>
      <c r="C66" s="4" t="s">
        <v>676</v>
      </c>
      <c r="D66" s="4" t="s">
        <v>25</v>
      </c>
      <c r="E66" s="5">
        <v>9000</v>
      </c>
      <c r="F66" s="6">
        <v>38.200499999999998</v>
      </c>
      <c r="G66" s="7">
        <v>5.8160000000000004E-4</v>
      </c>
      <c r="H66" s="52"/>
    </row>
    <row r="67" spans="1:8" ht="17.100000000000001" customHeight="1" x14ac:dyDescent="0.2">
      <c r="A67" s="3">
        <v>61</v>
      </c>
      <c r="B67" s="4" t="s">
        <v>567</v>
      </c>
      <c r="C67" s="4" t="s">
        <v>568</v>
      </c>
      <c r="D67" s="4" t="s">
        <v>60</v>
      </c>
      <c r="E67" s="5">
        <v>1200</v>
      </c>
      <c r="F67" s="6">
        <v>35.948399999999999</v>
      </c>
      <c r="G67" s="7">
        <v>5.4730999999999996E-4</v>
      </c>
      <c r="H67" s="52"/>
    </row>
    <row r="68" spans="1:8" ht="17.100000000000001" customHeight="1" x14ac:dyDescent="0.2">
      <c r="A68" s="3">
        <v>62</v>
      </c>
      <c r="B68" s="4" t="s">
        <v>734</v>
      </c>
      <c r="C68" s="4" t="s">
        <v>735</v>
      </c>
      <c r="D68" s="4" t="s">
        <v>70</v>
      </c>
      <c r="E68" s="5">
        <v>6120</v>
      </c>
      <c r="F68" s="6">
        <v>9.5716800000000006</v>
      </c>
      <c r="G68" s="7">
        <v>1.4573E-4</v>
      </c>
      <c r="H68" s="52"/>
    </row>
    <row r="69" spans="1:8" ht="29.1" customHeight="1" x14ac:dyDescent="0.2">
      <c r="A69" s="3">
        <v>63</v>
      </c>
      <c r="B69" s="4" t="s">
        <v>685</v>
      </c>
      <c r="C69" s="4" t="s">
        <v>686</v>
      </c>
      <c r="D69" s="4" t="s">
        <v>211</v>
      </c>
      <c r="E69" s="5">
        <v>1300</v>
      </c>
      <c r="F69" s="6">
        <v>7.0265000000000004</v>
      </c>
      <c r="G69" s="7">
        <v>1.0698E-4</v>
      </c>
      <c r="H69" s="52"/>
    </row>
    <row r="70" spans="1:8" ht="14.1" customHeight="1" x14ac:dyDescent="0.2">
      <c r="A70" s="1"/>
      <c r="B70" s="1"/>
      <c r="C70" s="2" t="s">
        <v>145</v>
      </c>
      <c r="D70" s="1"/>
      <c r="E70" s="1" t="s">
        <v>146</v>
      </c>
      <c r="F70" s="9">
        <v>49770.902338499996</v>
      </c>
      <c r="G70" s="10">
        <v>0.75775535999999999</v>
      </c>
      <c r="H70" s="52"/>
    </row>
    <row r="71" spans="1:8" ht="14.1" customHeight="1" x14ac:dyDescent="0.2">
      <c r="A71" s="1"/>
      <c r="B71" s="1"/>
      <c r="C71" s="11"/>
      <c r="D71" s="1"/>
      <c r="E71" s="1"/>
      <c r="F71" s="12"/>
      <c r="G71" s="12"/>
      <c r="H71" s="52"/>
    </row>
    <row r="72" spans="1:8" ht="14.1" customHeight="1" x14ac:dyDescent="0.2">
      <c r="A72" s="1"/>
      <c r="B72" s="1"/>
      <c r="C72" s="2" t="s">
        <v>147</v>
      </c>
      <c r="D72" s="1"/>
      <c r="E72" s="1"/>
      <c r="F72" s="1"/>
      <c r="G72" s="1"/>
      <c r="H72" s="52"/>
    </row>
    <row r="73" spans="1:8" ht="14.1" customHeight="1" x14ac:dyDescent="0.2">
      <c r="A73" s="1"/>
      <c r="B73" s="1"/>
      <c r="C73" s="2" t="s">
        <v>145</v>
      </c>
      <c r="D73" s="1"/>
      <c r="E73" s="1" t="s">
        <v>146</v>
      </c>
      <c r="F73" s="13" t="s">
        <v>148</v>
      </c>
      <c r="G73" s="10">
        <v>0</v>
      </c>
      <c r="H73" s="52"/>
    </row>
    <row r="74" spans="1:8" ht="14.1" customHeight="1" x14ac:dyDescent="0.2">
      <c r="A74" s="1"/>
      <c r="B74" s="1"/>
      <c r="C74" s="11"/>
      <c r="D74" s="1"/>
      <c r="E74" s="1"/>
      <c r="F74" s="12"/>
      <c r="G74" s="12"/>
      <c r="H74" s="52"/>
    </row>
    <row r="75" spans="1:8" ht="14.1" customHeight="1" x14ac:dyDescent="0.2">
      <c r="A75" s="1"/>
      <c r="B75" s="1"/>
      <c r="C75" s="2" t="s">
        <v>149</v>
      </c>
      <c r="D75" s="1"/>
      <c r="E75" s="1"/>
      <c r="F75" s="1"/>
      <c r="G75" s="1"/>
      <c r="H75" s="52"/>
    </row>
    <row r="76" spans="1:8" ht="14.1" customHeight="1" x14ac:dyDescent="0.2">
      <c r="A76" s="1"/>
      <c r="B76" s="1"/>
      <c r="C76" s="2" t="s">
        <v>145</v>
      </c>
      <c r="D76" s="1"/>
      <c r="E76" s="1" t="s">
        <v>146</v>
      </c>
      <c r="F76" s="13" t="s">
        <v>148</v>
      </c>
      <c r="G76" s="10">
        <v>0</v>
      </c>
      <c r="H76" s="52"/>
    </row>
    <row r="77" spans="1:8" ht="14.1" customHeight="1" x14ac:dyDescent="0.2">
      <c r="A77" s="1"/>
      <c r="B77" s="1"/>
      <c r="C77" s="11"/>
      <c r="D77" s="1"/>
      <c r="E77" s="1"/>
      <c r="F77" s="12"/>
      <c r="G77" s="12"/>
      <c r="H77" s="52"/>
    </row>
    <row r="78" spans="1:8" ht="14.1" customHeight="1" x14ac:dyDescent="0.2">
      <c r="A78" s="1"/>
      <c r="B78" s="1"/>
      <c r="C78" s="2" t="s">
        <v>150</v>
      </c>
      <c r="D78" s="1"/>
      <c r="E78" s="1"/>
      <c r="F78" s="1"/>
      <c r="G78" s="1"/>
      <c r="H78" s="52"/>
    </row>
    <row r="79" spans="1:8" ht="14.1" customHeight="1" x14ac:dyDescent="0.2">
      <c r="A79" s="1"/>
      <c r="B79" s="1"/>
      <c r="C79" s="2" t="s">
        <v>145</v>
      </c>
      <c r="D79" s="1"/>
      <c r="E79" s="1" t="s">
        <v>146</v>
      </c>
      <c r="F79" s="13" t="s">
        <v>148</v>
      </c>
      <c r="G79" s="10">
        <v>0</v>
      </c>
      <c r="H79" s="52"/>
    </row>
    <row r="80" spans="1:8" ht="14.1" customHeight="1" x14ac:dyDescent="0.2">
      <c r="A80" s="1"/>
      <c r="B80" s="1"/>
      <c r="C80" s="11"/>
      <c r="D80" s="1"/>
      <c r="E80" s="1"/>
      <c r="F80" s="12"/>
      <c r="G80" s="12"/>
      <c r="H80" s="52"/>
    </row>
    <row r="81" spans="1:8" ht="14.1" customHeight="1" x14ac:dyDescent="0.2">
      <c r="A81" s="1"/>
      <c r="B81" s="1"/>
      <c r="C81" s="2" t="s">
        <v>151</v>
      </c>
      <c r="D81" s="1"/>
      <c r="E81" s="1"/>
      <c r="F81" s="12"/>
      <c r="G81" s="12"/>
      <c r="H81" s="52"/>
    </row>
    <row r="82" spans="1:8" ht="14.1" customHeight="1" x14ac:dyDescent="0.2">
      <c r="A82" s="1"/>
      <c r="B82" s="1"/>
      <c r="C82" s="2" t="s">
        <v>145</v>
      </c>
      <c r="D82" s="1"/>
      <c r="E82" s="1" t="s">
        <v>146</v>
      </c>
      <c r="F82" s="13" t="s">
        <v>148</v>
      </c>
      <c r="G82" s="10">
        <v>0</v>
      </c>
      <c r="H82" s="52"/>
    </row>
    <row r="83" spans="1:8" ht="14.1" customHeight="1" x14ac:dyDescent="0.2">
      <c r="A83" s="1"/>
      <c r="B83" s="1"/>
      <c r="C83" s="11"/>
      <c r="D83" s="1"/>
      <c r="E83" s="1"/>
      <c r="F83" s="12"/>
      <c r="G83" s="12"/>
      <c r="H83" s="52"/>
    </row>
    <row r="84" spans="1:8" ht="14.1" customHeight="1" x14ac:dyDescent="0.2">
      <c r="A84" s="1"/>
      <c r="B84" s="1"/>
      <c r="C84" s="2" t="s">
        <v>152</v>
      </c>
      <c r="D84" s="1"/>
      <c r="E84" s="1"/>
      <c r="F84" s="12"/>
      <c r="G84" s="12"/>
      <c r="H84" s="52"/>
    </row>
    <row r="85" spans="1:8" ht="17.100000000000001" customHeight="1" x14ac:dyDescent="0.2">
      <c r="A85" s="3">
        <v>1</v>
      </c>
      <c r="B85" s="4"/>
      <c r="C85" s="4" t="s">
        <v>895</v>
      </c>
      <c r="D85" s="4" t="s">
        <v>314</v>
      </c>
      <c r="E85" s="5">
        <v>-1300</v>
      </c>
      <c r="F85" s="6">
        <v>-7.06745</v>
      </c>
      <c r="G85" s="7">
        <v>-1.076E-4</v>
      </c>
      <c r="H85" s="52"/>
    </row>
    <row r="86" spans="1:8" ht="17.100000000000001" customHeight="1" x14ac:dyDescent="0.2">
      <c r="A86" s="3">
        <v>2</v>
      </c>
      <c r="B86" s="4"/>
      <c r="C86" s="4" t="s">
        <v>906</v>
      </c>
      <c r="D86" s="4" t="s">
        <v>314</v>
      </c>
      <c r="E86" s="5">
        <v>-9000</v>
      </c>
      <c r="F86" s="6">
        <v>-38.416499999999999</v>
      </c>
      <c r="G86" s="7">
        <v>-5.8489000000000002E-4</v>
      </c>
      <c r="H86" s="52"/>
    </row>
    <row r="87" spans="1:8" ht="25.5" x14ac:dyDescent="0.2">
      <c r="A87" s="3">
        <v>3</v>
      </c>
      <c r="B87" s="4"/>
      <c r="C87" s="4" t="s">
        <v>924</v>
      </c>
      <c r="D87" s="4" t="s">
        <v>314</v>
      </c>
      <c r="E87" s="5">
        <v>-10500</v>
      </c>
      <c r="F87" s="6">
        <v>-114.6495</v>
      </c>
      <c r="G87" s="7">
        <v>-1.7455200000000002E-3</v>
      </c>
      <c r="H87" s="52"/>
    </row>
    <row r="88" spans="1:8" ht="25.5" x14ac:dyDescent="0.2">
      <c r="A88" s="3">
        <v>4</v>
      </c>
      <c r="B88" s="4"/>
      <c r="C88" s="4" t="s">
        <v>934</v>
      </c>
      <c r="D88" s="4" t="s">
        <v>314</v>
      </c>
      <c r="E88" s="5">
        <v>-8400</v>
      </c>
      <c r="F88" s="6">
        <v>-123.32040000000001</v>
      </c>
      <c r="G88" s="7">
        <v>-1.87754E-3</v>
      </c>
      <c r="H88" s="52"/>
    </row>
    <row r="89" spans="1:8" ht="17.100000000000001" customHeight="1" x14ac:dyDescent="0.2">
      <c r="A89" s="3">
        <v>5</v>
      </c>
      <c r="B89" s="4"/>
      <c r="C89" s="4" t="s">
        <v>923</v>
      </c>
      <c r="D89" s="4" t="s">
        <v>314</v>
      </c>
      <c r="E89" s="5">
        <v>-57000</v>
      </c>
      <c r="F89" s="6">
        <v>-134.00700000000001</v>
      </c>
      <c r="G89" s="7">
        <v>-2.04024E-3</v>
      </c>
      <c r="H89" s="52"/>
    </row>
    <row r="90" spans="1:8" ht="25.5" x14ac:dyDescent="0.2">
      <c r="A90" s="3">
        <v>6</v>
      </c>
      <c r="B90" s="4"/>
      <c r="C90" s="4" t="s">
        <v>899</v>
      </c>
      <c r="D90" s="4" t="s">
        <v>314</v>
      </c>
      <c r="E90" s="5">
        <v>-15300</v>
      </c>
      <c r="F90" s="6">
        <v>-138.69450000000001</v>
      </c>
      <c r="G90" s="7">
        <v>-2.1116099999999999E-3</v>
      </c>
      <c r="H90" s="52"/>
    </row>
    <row r="91" spans="1:8" ht="17.100000000000001" customHeight="1" x14ac:dyDescent="0.2">
      <c r="A91" s="3">
        <v>7</v>
      </c>
      <c r="B91" s="4"/>
      <c r="C91" s="4" t="s">
        <v>908</v>
      </c>
      <c r="D91" s="4" t="s">
        <v>314</v>
      </c>
      <c r="E91" s="5">
        <v>-24750</v>
      </c>
      <c r="F91" s="6">
        <v>-140.344875</v>
      </c>
      <c r="G91" s="7">
        <v>-2.1367299999999999E-3</v>
      </c>
      <c r="H91" s="52"/>
    </row>
    <row r="92" spans="1:8" ht="25.5" x14ac:dyDescent="0.2">
      <c r="A92" s="3">
        <v>8</v>
      </c>
      <c r="B92" s="4"/>
      <c r="C92" s="4" t="s">
        <v>909</v>
      </c>
      <c r="D92" s="4" t="s">
        <v>314</v>
      </c>
      <c r="E92" s="5">
        <v>-1400</v>
      </c>
      <c r="F92" s="6">
        <v>-146.1754</v>
      </c>
      <c r="G92" s="7">
        <v>-2.2255E-3</v>
      </c>
      <c r="H92" s="52"/>
    </row>
    <row r="93" spans="1:8" ht="17.100000000000001" customHeight="1" x14ac:dyDescent="0.2">
      <c r="A93" s="3">
        <v>9</v>
      </c>
      <c r="B93" s="4"/>
      <c r="C93" s="4" t="s">
        <v>928</v>
      </c>
      <c r="D93" s="4" t="s">
        <v>314</v>
      </c>
      <c r="E93" s="5">
        <v>-16150</v>
      </c>
      <c r="F93" s="6">
        <v>-148.58000000000001</v>
      </c>
      <c r="G93" s="7">
        <v>-2.2621099999999999E-3</v>
      </c>
      <c r="H93" s="52"/>
    </row>
    <row r="94" spans="1:8" ht="17.100000000000001" customHeight="1" x14ac:dyDescent="0.2">
      <c r="A94" s="3">
        <v>10</v>
      </c>
      <c r="B94" s="4"/>
      <c r="C94" s="4" t="s">
        <v>942</v>
      </c>
      <c r="D94" s="4" t="s">
        <v>314</v>
      </c>
      <c r="E94" s="5">
        <v>-20250</v>
      </c>
      <c r="F94" s="6">
        <v>-149.70824999999999</v>
      </c>
      <c r="G94" s="7">
        <v>-2.2792899999999998E-3</v>
      </c>
      <c r="H94" s="52"/>
    </row>
    <row r="95" spans="1:8" ht="25.5" x14ac:dyDescent="0.2">
      <c r="A95" s="3">
        <v>11</v>
      </c>
      <c r="B95" s="4"/>
      <c r="C95" s="4" t="s">
        <v>943</v>
      </c>
      <c r="D95" s="4" t="s">
        <v>314</v>
      </c>
      <c r="E95" s="5">
        <v>-26400</v>
      </c>
      <c r="F95" s="6">
        <v>-163.9308</v>
      </c>
      <c r="G95" s="7">
        <v>-2.4958200000000002E-3</v>
      </c>
      <c r="H95" s="52"/>
    </row>
    <row r="96" spans="1:8" ht="17.100000000000001" customHeight="1" x14ac:dyDescent="0.2">
      <c r="A96" s="3">
        <v>12</v>
      </c>
      <c r="B96" s="4"/>
      <c r="C96" s="4" t="s">
        <v>903</v>
      </c>
      <c r="D96" s="4" t="s">
        <v>314</v>
      </c>
      <c r="E96" s="5">
        <v>-8700</v>
      </c>
      <c r="F96" s="6">
        <v>-165.01724999999999</v>
      </c>
      <c r="G96" s="7">
        <v>-2.5123699999999999E-3</v>
      </c>
      <c r="H96" s="52"/>
    </row>
    <row r="97" spans="1:8" ht="25.5" x14ac:dyDescent="0.2">
      <c r="A97" s="3">
        <v>13</v>
      </c>
      <c r="B97" s="4"/>
      <c r="C97" s="4" t="s">
        <v>935</v>
      </c>
      <c r="D97" s="4" t="s">
        <v>314</v>
      </c>
      <c r="E97" s="5">
        <v>-37500</v>
      </c>
      <c r="F97" s="6">
        <v>-212.90625</v>
      </c>
      <c r="G97" s="7">
        <v>-3.2414700000000002E-3</v>
      </c>
      <c r="H97" s="52"/>
    </row>
    <row r="98" spans="1:8" ht="25.5" x14ac:dyDescent="0.2">
      <c r="A98" s="3">
        <v>14</v>
      </c>
      <c r="B98" s="4"/>
      <c r="C98" s="4" t="s">
        <v>892</v>
      </c>
      <c r="D98" s="4" t="s">
        <v>314</v>
      </c>
      <c r="E98" s="5">
        <v>-8050</v>
      </c>
      <c r="F98" s="6">
        <v>-272.69777499999998</v>
      </c>
      <c r="G98" s="7">
        <v>-4.1517899999999998E-3</v>
      </c>
      <c r="H98" s="52"/>
    </row>
    <row r="99" spans="1:8" ht="17.100000000000001" customHeight="1" x14ac:dyDescent="0.2">
      <c r="A99" s="3">
        <v>15</v>
      </c>
      <c r="B99" s="4"/>
      <c r="C99" s="4" t="s">
        <v>894</v>
      </c>
      <c r="D99" s="4" t="s">
        <v>314</v>
      </c>
      <c r="E99" s="5">
        <v>-78400</v>
      </c>
      <c r="F99" s="6">
        <v>-337.98239999999998</v>
      </c>
      <c r="G99" s="7">
        <v>-5.1457399999999993E-3</v>
      </c>
      <c r="H99" s="52"/>
    </row>
    <row r="100" spans="1:8" ht="17.100000000000001" customHeight="1" x14ac:dyDescent="0.2">
      <c r="A100" s="3">
        <v>16</v>
      </c>
      <c r="B100" s="4"/>
      <c r="C100" s="4" t="s">
        <v>939</v>
      </c>
      <c r="D100" s="4" t="s">
        <v>314</v>
      </c>
      <c r="E100" s="5">
        <v>-187200</v>
      </c>
      <c r="F100" s="6">
        <v>-369.53280000000001</v>
      </c>
      <c r="G100" s="7">
        <v>-5.6260900000000003E-3</v>
      </c>
      <c r="H100" s="52"/>
    </row>
    <row r="101" spans="1:8" ht="25.5" x14ac:dyDescent="0.2">
      <c r="A101" s="3">
        <v>17</v>
      </c>
      <c r="B101" s="4"/>
      <c r="C101" s="4" t="s">
        <v>944</v>
      </c>
      <c r="D101" s="4" t="s">
        <v>314</v>
      </c>
      <c r="E101" s="5">
        <v>-44000</v>
      </c>
      <c r="F101" s="6">
        <v>-375.21</v>
      </c>
      <c r="G101" s="7">
        <v>-5.7125199999999996E-3</v>
      </c>
      <c r="H101" s="52"/>
    </row>
    <row r="102" spans="1:8" ht="17.100000000000001" customHeight="1" x14ac:dyDescent="0.2">
      <c r="A102" s="3">
        <v>18</v>
      </c>
      <c r="B102" s="4"/>
      <c r="C102" s="4" t="s">
        <v>904</v>
      </c>
      <c r="D102" s="4" t="s">
        <v>314</v>
      </c>
      <c r="E102" s="5">
        <v>-5000</v>
      </c>
      <c r="F102" s="6">
        <v>-375.85</v>
      </c>
      <c r="G102" s="7">
        <v>-5.7222700000000007E-3</v>
      </c>
      <c r="H102" s="52"/>
    </row>
    <row r="103" spans="1:8" ht="25.5" x14ac:dyDescent="0.2">
      <c r="A103" s="3">
        <v>19</v>
      </c>
      <c r="B103" s="4"/>
      <c r="C103" s="4" t="s">
        <v>945</v>
      </c>
      <c r="D103" s="4" t="s">
        <v>314</v>
      </c>
      <c r="E103" s="5">
        <v>-153900</v>
      </c>
      <c r="F103" s="6">
        <v>-383.90355</v>
      </c>
      <c r="G103" s="7">
        <v>-5.8448800000000002E-3</v>
      </c>
      <c r="H103" s="52"/>
    </row>
    <row r="104" spans="1:8" ht="17.100000000000001" customHeight="1" x14ac:dyDescent="0.2">
      <c r="A104" s="3">
        <v>20</v>
      </c>
      <c r="B104" s="4"/>
      <c r="C104" s="4" t="s">
        <v>936</v>
      </c>
      <c r="D104" s="4" t="s">
        <v>314</v>
      </c>
      <c r="E104" s="5">
        <v>-37050</v>
      </c>
      <c r="F104" s="6">
        <v>-446.50807500000002</v>
      </c>
      <c r="G104" s="7">
        <v>-6.79803E-3</v>
      </c>
      <c r="H104" s="52"/>
    </row>
    <row r="105" spans="1:8" ht="17.100000000000001" customHeight="1" x14ac:dyDescent="0.2">
      <c r="A105" s="3">
        <v>21</v>
      </c>
      <c r="B105" s="4"/>
      <c r="C105" s="4" t="s">
        <v>933</v>
      </c>
      <c r="D105" s="4" t="s">
        <v>314</v>
      </c>
      <c r="E105" s="5">
        <v>-48300</v>
      </c>
      <c r="F105" s="6">
        <v>-499.3254</v>
      </c>
      <c r="G105" s="7">
        <v>-7.6021600000000002E-3</v>
      </c>
      <c r="H105" s="52"/>
    </row>
    <row r="106" spans="1:8" ht="17.100000000000001" customHeight="1" x14ac:dyDescent="0.2">
      <c r="A106" s="3">
        <v>22</v>
      </c>
      <c r="B106" s="4"/>
      <c r="C106" s="4" t="s">
        <v>922</v>
      </c>
      <c r="D106" s="4" t="s">
        <v>314</v>
      </c>
      <c r="E106" s="5">
        <v>-484000</v>
      </c>
      <c r="F106" s="6">
        <v>-577.89599999999996</v>
      </c>
      <c r="G106" s="7">
        <v>-8.7983899999999997E-3</v>
      </c>
      <c r="H106" s="52"/>
    </row>
    <row r="107" spans="1:8" ht="17.100000000000001" customHeight="1" x14ac:dyDescent="0.2">
      <c r="A107" s="3">
        <v>23</v>
      </c>
      <c r="B107" s="4"/>
      <c r="C107" s="4" t="s">
        <v>932</v>
      </c>
      <c r="D107" s="4" t="s">
        <v>314</v>
      </c>
      <c r="E107" s="5">
        <v>-28800</v>
      </c>
      <c r="F107" s="6">
        <v>-847.95839999999998</v>
      </c>
      <c r="G107" s="7">
        <v>-1.2910049999999999E-2</v>
      </c>
      <c r="H107" s="52"/>
    </row>
    <row r="108" spans="1:8" ht="25.5" x14ac:dyDescent="0.2">
      <c r="A108" s="3">
        <v>24</v>
      </c>
      <c r="B108" s="4"/>
      <c r="C108" s="4" t="s">
        <v>927</v>
      </c>
      <c r="D108" s="4" t="s">
        <v>314</v>
      </c>
      <c r="E108" s="5">
        <v>-42600</v>
      </c>
      <c r="F108" s="6">
        <v>-1056.9273000000001</v>
      </c>
      <c r="G108" s="7">
        <v>-1.6091580000000001E-2</v>
      </c>
      <c r="H108" s="52"/>
    </row>
    <row r="109" spans="1:8" ht="17.100000000000001" customHeight="1" x14ac:dyDescent="0.2">
      <c r="A109" s="3">
        <v>25</v>
      </c>
      <c r="B109" s="4"/>
      <c r="C109" s="4" t="s">
        <v>937</v>
      </c>
      <c r="D109" s="4" t="s">
        <v>314</v>
      </c>
      <c r="E109" s="5">
        <v>-213750</v>
      </c>
      <c r="F109" s="6">
        <v>-1352.39625</v>
      </c>
      <c r="G109" s="7">
        <v>-2.0590049999999999E-2</v>
      </c>
      <c r="H109" s="52"/>
    </row>
    <row r="110" spans="1:8" ht="17.100000000000001" customHeight="1" x14ac:dyDescent="0.2">
      <c r="A110" s="3">
        <v>26</v>
      </c>
      <c r="B110" s="4"/>
      <c r="C110" s="4" t="s">
        <v>920</v>
      </c>
      <c r="D110" s="4" t="s">
        <v>314</v>
      </c>
      <c r="E110" s="5">
        <v>-93500</v>
      </c>
      <c r="F110" s="6">
        <v>-1352.43075</v>
      </c>
      <c r="G110" s="7">
        <v>-2.0590579999999997E-2</v>
      </c>
      <c r="H110" s="52"/>
    </row>
    <row r="111" spans="1:8" ht="17.100000000000001" customHeight="1" x14ac:dyDescent="0.2">
      <c r="A111" s="3">
        <v>27</v>
      </c>
      <c r="B111" s="4"/>
      <c r="C111" s="4" t="s">
        <v>941</v>
      </c>
      <c r="D111" s="4" t="s">
        <v>314</v>
      </c>
      <c r="E111" s="5">
        <v>-146800</v>
      </c>
      <c r="F111" s="6">
        <v>-2017.2521999999999</v>
      </c>
      <c r="G111" s="7">
        <v>-3.0712400000000001E-2</v>
      </c>
      <c r="H111" s="52"/>
    </row>
    <row r="112" spans="1:8" ht="17.100000000000001" customHeight="1" x14ac:dyDescent="0.2">
      <c r="A112" s="3">
        <v>28</v>
      </c>
      <c r="B112" s="4"/>
      <c r="C112" s="4" t="s">
        <v>930</v>
      </c>
      <c r="D112" s="4" t="s">
        <v>314</v>
      </c>
      <c r="E112" s="5">
        <v>-210000</v>
      </c>
      <c r="F112" s="6">
        <v>-2068.92</v>
      </c>
      <c r="G112" s="7">
        <v>-3.1499030000000004E-2</v>
      </c>
      <c r="H112" s="52"/>
    </row>
    <row r="113" spans="1:8" ht="25.5" x14ac:dyDescent="0.2">
      <c r="A113" s="3">
        <v>29</v>
      </c>
      <c r="B113" s="4"/>
      <c r="C113" s="4" t="s">
        <v>912</v>
      </c>
      <c r="D113" s="4" t="s">
        <v>314</v>
      </c>
      <c r="E113" s="5">
        <v>-120250</v>
      </c>
      <c r="F113" s="6">
        <v>-2768.8764999999999</v>
      </c>
      <c r="G113" s="7">
        <v>-4.2155769999999995E-2</v>
      </c>
      <c r="H113" s="52"/>
    </row>
    <row r="114" spans="1:8" ht="17.100000000000001" customHeight="1" x14ac:dyDescent="0.2">
      <c r="A114" s="3">
        <v>30</v>
      </c>
      <c r="B114" s="4"/>
      <c r="C114" s="4" t="s">
        <v>913</v>
      </c>
      <c r="D114" s="4" t="s">
        <v>314</v>
      </c>
      <c r="E114" s="5">
        <v>-347900</v>
      </c>
      <c r="F114" s="6">
        <v>-3205.3766500000002</v>
      </c>
      <c r="G114" s="7">
        <v>-4.8801430000000007E-2</v>
      </c>
      <c r="H114" s="52"/>
    </row>
    <row r="115" spans="1:8" ht="17.100000000000001" customHeight="1" x14ac:dyDescent="0.2">
      <c r="A115" s="3">
        <v>31</v>
      </c>
      <c r="B115" s="4"/>
      <c r="C115" s="4" t="s">
        <v>911</v>
      </c>
      <c r="D115" s="4" t="s">
        <v>314</v>
      </c>
      <c r="E115" s="5">
        <v>-252450</v>
      </c>
      <c r="F115" s="6">
        <v>-3747.9989249999999</v>
      </c>
      <c r="G115" s="7">
        <v>-5.706278E-2</v>
      </c>
      <c r="H115" s="52"/>
    </row>
    <row r="116" spans="1:8" ht="14.1" customHeight="1" x14ac:dyDescent="0.2">
      <c r="A116" s="1"/>
      <c r="B116" s="1"/>
      <c r="C116" s="2" t="s">
        <v>145</v>
      </c>
      <c r="D116" s="1"/>
      <c r="E116" s="1" t="s">
        <v>146</v>
      </c>
      <c r="F116" s="9">
        <v>-23739.861150000001</v>
      </c>
      <c r="G116" s="10">
        <v>-0.36143625000000001</v>
      </c>
      <c r="H116" s="52"/>
    </row>
    <row r="117" spans="1:8" ht="14.1" customHeight="1" x14ac:dyDescent="0.2">
      <c r="A117" s="1"/>
      <c r="B117" s="1"/>
      <c r="C117" s="11"/>
      <c r="D117" s="1"/>
      <c r="E117" s="1"/>
      <c r="F117" s="12"/>
      <c r="G117" s="12"/>
      <c r="H117" s="52"/>
    </row>
    <row r="118" spans="1:8" ht="18" customHeight="1" x14ac:dyDescent="0.2">
      <c r="A118" s="1"/>
      <c r="B118" s="1"/>
      <c r="C118" s="2" t="s">
        <v>153</v>
      </c>
      <c r="D118" s="1"/>
      <c r="E118" s="1"/>
      <c r="F118" s="9">
        <v>49770.902338499996</v>
      </c>
      <c r="G118" s="10">
        <v>0.75775535999999999</v>
      </c>
      <c r="H118" s="52"/>
    </row>
    <row r="119" spans="1:8" ht="14.1" customHeight="1" x14ac:dyDescent="0.2">
      <c r="A119" s="1"/>
      <c r="B119" s="1"/>
      <c r="C119" s="11"/>
      <c r="D119" s="1"/>
      <c r="E119" s="1"/>
      <c r="F119" s="12"/>
      <c r="G119" s="12"/>
      <c r="H119" s="52"/>
    </row>
    <row r="120" spans="1:8" ht="14.1" customHeight="1" x14ac:dyDescent="0.2">
      <c r="A120" s="1"/>
      <c r="B120" s="1"/>
      <c r="C120" s="2" t="s">
        <v>154</v>
      </c>
      <c r="D120" s="1"/>
      <c r="E120" s="1"/>
      <c r="F120" s="12"/>
      <c r="G120" s="12"/>
      <c r="H120" s="52"/>
    </row>
    <row r="121" spans="1:8" ht="24" customHeight="1" x14ac:dyDescent="0.2">
      <c r="A121" s="1"/>
      <c r="B121" s="1"/>
      <c r="C121" s="2" t="s">
        <v>10</v>
      </c>
      <c r="D121" s="1"/>
      <c r="E121" s="1"/>
      <c r="F121" s="12"/>
      <c r="G121" s="12"/>
      <c r="H121" s="52"/>
    </row>
    <row r="122" spans="1:8" ht="29.1" customHeight="1" x14ac:dyDescent="0.2">
      <c r="A122" s="3">
        <v>1</v>
      </c>
      <c r="B122" s="4" t="s">
        <v>590</v>
      </c>
      <c r="C122" s="4" t="s">
        <v>591</v>
      </c>
      <c r="D122" s="4" t="s">
        <v>580</v>
      </c>
      <c r="E122" s="5">
        <v>1500</v>
      </c>
      <c r="F122" s="6">
        <v>1486.5719999999999</v>
      </c>
      <c r="G122" s="7">
        <v>2.2632860000000001E-2</v>
      </c>
      <c r="H122" s="52">
        <v>7.7786999999999997</v>
      </c>
    </row>
    <row r="123" spans="1:8" ht="29.1" customHeight="1" x14ac:dyDescent="0.2">
      <c r="A123" s="3">
        <v>2</v>
      </c>
      <c r="B123" s="4" t="s">
        <v>736</v>
      </c>
      <c r="C123" s="4" t="s">
        <v>737</v>
      </c>
      <c r="D123" s="4" t="s">
        <v>580</v>
      </c>
      <c r="E123" s="5">
        <v>1000</v>
      </c>
      <c r="F123" s="6">
        <v>992.85299999999995</v>
      </c>
      <c r="G123" s="7">
        <v>1.5116050000000001E-2</v>
      </c>
      <c r="H123" s="52">
        <v>7.7750000000000004</v>
      </c>
    </row>
    <row r="124" spans="1:8" ht="29.1" customHeight="1" x14ac:dyDescent="0.2">
      <c r="A124" s="3">
        <v>3</v>
      </c>
      <c r="B124" s="4" t="s">
        <v>614</v>
      </c>
      <c r="C124" s="4" t="s">
        <v>615</v>
      </c>
      <c r="D124" s="4" t="s">
        <v>580</v>
      </c>
      <c r="E124" s="5">
        <v>100</v>
      </c>
      <c r="F124" s="6">
        <v>989.18399999999997</v>
      </c>
      <c r="G124" s="7">
        <v>1.5060189999999999E-2</v>
      </c>
      <c r="H124" s="52">
        <v>7.78</v>
      </c>
    </row>
    <row r="125" spans="1:8" ht="29.1" customHeight="1" x14ac:dyDescent="0.2">
      <c r="A125" s="3">
        <v>4</v>
      </c>
      <c r="B125" s="4" t="s">
        <v>699</v>
      </c>
      <c r="C125" s="4" t="s">
        <v>700</v>
      </c>
      <c r="D125" s="4" t="s">
        <v>589</v>
      </c>
      <c r="E125" s="5">
        <v>5</v>
      </c>
      <c r="F125" s="6">
        <v>50.136400000000002</v>
      </c>
      <c r="G125" s="7">
        <v>7.6331999999999995E-4</v>
      </c>
      <c r="H125" s="52">
        <v>7.3650000000000002</v>
      </c>
    </row>
    <row r="126" spans="1:8" ht="29.1" customHeight="1" x14ac:dyDescent="0.2">
      <c r="A126" s="3">
        <v>5</v>
      </c>
      <c r="B126" s="4" t="s">
        <v>723</v>
      </c>
      <c r="C126" s="4" t="s">
        <v>724</v>
      </c>
      <c r="D126" s="4" t="s">
        <v>589</v>
      </c>
      <c r="E126" s="5">
        <v>1640</v>
      </c>
      <c r="F126" s="6">
        <v>0.46920413100000002</v>
      </c>
      <c r="G126" s="41" t="s">
        <v>144</v>
      </c>
      <c r="H126" s="52">
        <v>7.718</v>
      </c>
    </row>
    <row r="127" spans="1:8" ht="14.1" customHeight="1" x14ac:dyDescent="0.2">
      <c r="A127" s="1"/>
      <c r="B127" s="1"/>
      <c r="C127" s="2" t="s">
        <v>145</v>
      </c>
      <c r="D127" s="1"/>
      <c r="E127" s="1" t="s">
        <v>146</v>
      </c>
      <c r="F127" s="9">
        <v>3519.2146041310002</v>
      </c>
      <c r="G127" s="10">
        <v>5.3579559999999998E-2</v>
      </c>
      <c r="H127" s="52"/>
    </row>
    <row r="128" spans="1:8" ht="14.1" customHeight="1" x14ac:dyDescent="0.2">
      <c r="A128" s="1"/>
      <c r="B128" s="1"/>
      <c r="C128" s="11"/>
      <c r="D128" s="1"/>
      <c r="E128" s="1"/>
      <c r="F128" s="12"/>
      <c r="G128" s="12"/>
      <c r="H128" s="52"/>
    </row>
    <row r="129" spans="1:8" ht="14.1" customHeight="1" x14ac:dyDescent="0.2">
      <c r="A129" s="1"/>
      <c r="B129" s="1"/>
      <c r="C129" s="2" t="s">
        <v>155</v>
      </c>
      <c r="D129" s="1"/>
      <c r="E129" s="1"/>
      <c r="F129" s="1"/>
      <c r="G129" s="1"/>
      <c r="H129" s="52"/>
    </row>
    <row r="130" spans="1:8" ht="14.1" customHeight="1" x14ac:dyDescent="0.2">
      <c r="A130" s="1"/>
      <c r="B130" s="1"/>
      <c r="C130" s="2" t="s">
        <v>145</v>
      </c>
      <c r="D130" s="1"/>
      <c r="E130" s="1" t="s">
        <v>146</v>
      </c>
      <c r="F130" s="13" t="s">
        <v>148</v>
      </c>
      <c r="G130" s="10">
        <v>0</v>
      </c>
      <c r="H130" s="52"/>
    </row>
    <row r="131" spans="1:8" ht="14.1" customHeight="1" x14ac:dyDescent="0.2">
      <c r="A131" s="1"/>
      <c r="B131" s="1"/>
      <c r="C131" s="11"/>
      <c r="D131" s="1"/>
      <c r="E131" s="1"/>
      <c r="F131" s="12"/>
      <c r="G131" s="12"/>
      <c r="H131" s="52"/>
    </row>
    <row r="132" spans="1:8" ht="14.1" customHeight="1" x14ac:dyDescent="0.2">
      <c r="A132" s="1"/>
      <c r="B132" s="1"/>
      <c r="C132" s="2" t="s">
        <v>156</v>
      </c>
      <c r="D132" s="1"/>
      <c r="E132" s="1"/>
      <c r="F132" s="1"/>
      <c r="G132" s="1"/>
      <c r="H132" s="52"/>
    </row>
    <row r="133" spans="1:8" ht="29.1" customHeight="1" x14ac:dyDescent="0.2">
      <c r="A133" s="3">
        <v>1</v>
      </c>
      <c r="B133" s="4" t="s">
        <v>647</v>
      </c>
      <c r="C133" s="39" t="s">
        <v>999</v>
      </c>
      <c r="D133" s="4" t="s">
        <v>640</v>
      </c>
      <c r="E133" s="5">
        <v>1500000</v>
      </c>
      <c r="F133" s="6">
        <v>1452.2249999999999</v>
      </c>
      <c r="G133" s="7">
        <v>2.210993E-2</v>
      </c>
      <c r="H133" s="52">
        <v>7.4668000000000001</v>
      </c>
    </row>
    <row r="134" spans="1:8" ht="29.1" customHeight="1" x14ac:dyDescent="0.2">
      <c r="A134" s="3">
        <v>2</v>
      </c>
      <c r="B134" s="4" t="s">
        <v>738</v>
      </c>
      <c r="C134" s="4" t="s">
        <v>739</v>
      </c>
      <c r="D134" s="4" t="s">
        <v>640</v>
      </c>
      <c r="E134" s="5">
        <v>500000</v>
      </c>
      <c r="F134" s="6">
        <v>479.8775</v>
      </c>
      <c r="G134" s="7">
        <v>7.3060699999999996E-3</v>
      </c>
      <c r="H134" s="52">
        <v>7.4604999999999997</v>
      </c>
    </row>
    <row r="135" spans="1:8" ht="29.1" customHeight="1" x14ac:dyDescent="0.2">
      <c r="A135" s="3">
        <v>3</v>
      </c>
      <c r="B135" s="4" t="s">
        <v>740</v>
      </c>
      <c r="C135" s="4" t="s">
        <v>741</v>
      </c>
      <c r="D135" s="4" t="s">
        <v>640</v>
      </c>
      <c r="E135" s="5">
        <v>100000</v>
      </c>
      <c r="F135" s="6">
        <v>100.944</v>
      </c>
      <c r="G135" s="7">
        <v>1.5368599999999999E-3</v>
      </c>
      <c r="H135" s="52">
        <v>7.6261999999999999</v>
      </c>
    </row>
    <row r="136" spans="1:8" ht="14.1" customHeight="1" x14ac:dyDescent="0.2">
      <c r="A136" s="1"/>
      <c r="B136" s="1"/>
      <c r="C136" s="2" t="s">
        <v>145</v>
      </c>
      <c r="D136" s="1"/>
      <c r="E136" s="1" t="s">
        <v>146</v>
      </c>
      <c r="F136" s="9">
        <v>2033.0464999999999</v>
      </c>
      <c r="G136" s="10">
        <v>3.0952859999999999E-2</v>
      </c>
      <c r="H136" s="52"/>
    </row>
    <row r="137" spans="1:8" ht="14.1" customHeight="1" x14ac:dyDescent="0.2">
      <c r="A137" s="1"/>
      <c r="B137" s="1"/>
      <c r="C137" s="11"/>
      <c r="D137" s="1"/>
      <c r="E137" s="1"/>
      <c r="F137" s="12"/>
      <c r="G137" s="12"/>
      <c r="H137" s="52"/>
    </row>
    <row r="138" spans="1:8" ht="14.1" customHeight="1" x14ac:dyDescent="0.2">
      <c r="A138" s="1"/>
      <c r="B138" s="1"/>
      <c r="C138" s="2" t="s">
        <v>157</v>
      </c>
      <c r="D138" s="1"/>
      <c r="E138" s="1"/>
      <c r="F138" s="12"/>
      <c r="G138" s="12"/>
      <c r="H138" s="52"/>
    </row>
    <row r="139" spans="1:8" ht="14.1" customHeight="1" x14ac:dyDescent="0.2">
      <c r="A139" s="1"/>
      <c r="B139" s="1"/>
      <c r="C139" s="2" t="s">
        <v>145</v>
      </c>
      <c r="D139" s="1"/>
      <c r="E139" s="1" t="s">
        <v>146</v>
      </c>
      <c r="F139" s="13" t="s">
        <v>148</v>
      </c>
      <c r="G139" s="10">
        <v>0</v>
      </c>
      <c r="H139" s="52"/>
    </row>
    <row r="140" spans="1:8" ht="14.1" customHeight="1" x14ac:dyDescent="0.2">
      <c r="A140" s="1"/>
      <c r="B140" s="1"/>
      <c r="C140" s="11"/>
      <c r="D140" s="1"/>
      <c r="E140" s="1"/>
      <c r="F140" s="12"/>
      <c r="G140" s="12"/>
      <c r="H140" s="52"/>
    </row>
    <row r="141" spans="1:8" ht="14.1" customHeight="1" x14ac:dyDescent="0.2">
      <c r="A141" s="1"/>
      <c r="B141" s="1"/>
      <c r="C141" s="2" t="s">
        <v>158</v>
      </c>
      <c r="D141" s="1"/>
      <c r="E141" s="1"/>
      <c r="F141" s="9">
        <v>5552.2611041310001</v>
      </c>
      <c r="G141" s="10">
        <v>8.4532419999999997E-2</v>
      </c>
      <c r="H141" s="52"/>
    </row>
    <row r="142" spans="1:8" ht="14.1" customHeight="1" x14ac:dyDescent="0.2">
      <c r="A142" s="1"/>
      <c r="B142" s="1"/>
      <c r="C142" s="11"/>
      <c r="D142" s="1"/>
      <c r="E142" s="1"/>
      <c r="F142" s="12"/>
      <c r="G142" s="12"/>
      <c r="H142" s="52"/>
    </row>
    <row r="143" spans="1:8" ht="14.1" customHeight="1" x14ac:dyDescent="0.2">
      <c r="A143" s="1"/>
      <c r="B143" s="1"/>
      <c r="C143" s="2" t="s">
        <v>159</v>
      </c>
      <c r="D143" s="1"/>
      <c r="E143" s="1"/>
      <c r="F143" s="12"/>
      <c r="G143" s="12"/>
      <c r="H143" s="52"/>
    </row>
    <row r="144" spans="1:8" ht="14.1" customHeight="1" x14ac:dyDescent="0.2">
      <c r="A144" s="1"/>
      <c r="B144" s="1"/>
      <c r="C144" s="2" t="s">
        <v>160</v>
      </c>
      <c r="D144" s="1"/>
      <c r="E144" s="1"/>
      <c r="F144" s="12"/>
      <c r="G144" s="12"/>
      <c r="H144" s="52"/>
    </row>
    <row r="145" spans="1:8" ht="14.1" customHeight="1" x14ac:dyDescent="0.2">
      <c r="A145" s="1"/>
      <c r="B145" s="1"/>
      <c r="C145" s="2" t="s">
        <v>145</v>
      </c>
      <c r="D145" s="1"/>
      <c r="E145" s="1" t="s">
        <v>146</v>
      </c>
      <c r="F145" s="13" t="s">
        <v>148</v>
      </c>
      <c r="G145" s="10">
        <v>0</v>
      </c>
      <c r="H145" s="52"/>
    </row>
    <row r="146" spans="1:8" ht="14.1" customHeight="1" x14ac:dyDescent="0.2">
      <c r="A146" s="1"/>
      <c r="B146" s="1"/>
      <c r="C146" s="11"/>
      <c r="D146" s="1"/>
      <c r="E146" s="1"/>
      <c r="F146" s="12"/>
      <c r="G146" s="12"/>
      <c r="H146" s="52"/>
    </row>
    <row r="147" spans="1:8" ht="14.1" customHeight="1" x14ac:dyDescent="0.2">
      <c r="A147" s="1"/>
      <c r="B147" s="1"/>
      <c r="C147" s="2" t="s">
        <v>161</v>
      </c>
      <c r="D147" s="1"/>
      <c r="E147" s="1"/>
      <c r="F147" s="12"/>
      <c r="G147" s="12"/>
      <c r="H147" s="52"/>
    </row>
    <row r="148" spans="1:8" ht="14.1" customHeight="1" x14ac:dyDescent="0.2">
      <c r="A148" s="1"/>
      <c r="B148" s="1"/>
      <c r="C148" s="2" t="s">
        <v>145</v>
      </c>
      <c r="D148" s="1"/>
      <c r="E148" s="1" t="s">
        <v>146</v>
      </c>
      <c r="F148" s="13" t="s">
        <v>148</v>
      </c>
      <c r="G148" s="10">
        <v>0</v>
      </c>
      <c r="H148" s="52"/>
    </row>
    <row r="149" spans="1:8" ht="14.1" customHeight="1" x14ac:dyDescent="0.2">
      <c r="A149" s="1"/>
      <c r="B149" s="1"/>
      <c r="C149" s="11"/>
      <c r="D149" s="1"/>
      <c r="E149" s="1"/>
      <c r="F149" s="12"/>
      <c r="G149" s="12"/>
      <c r="H149" s="52"/>
    </row>
    <row r="150" spans="1:8" ht="14.1" customHeight="1" x14ac:dyDescent="0.2">
      <c r="A150" s="1"/>
      <c r="B150" s="1"/>
      <c r="C150" s="2" t="s">
        <v>162</v>
      </c>
      <c r="D150" s="1"/>
      <c r="E150" s="1"/>
      <c r="F150" s="12"/>
      <c r="G150" s="12"/>
      <c r="H150" s="52"/>
    </row>
    <row r="151" spans="1:8" ht="17.100000000000001" customHeight="1" x14ac:dyDescent="0.2">
      <c r="A151" s="3">
        <v>1</v>
      </c>
      <c r="B151" s="4" t="s">
        <v>742</v>
      </c>
      <c r="C151" s="4" t="s">
        <v>743</v>
      </c>
      <c r="D151" s="4" t="s">
        <v>640</v>
      </c>
      <c r="E151" s="5">
        <v>5000000</v>
      </c>
      <c r="F151" s="6">
        <v>4880.8249999999998</v>
      </c>
      <c r="G151" s="7">
        <v>7.4309910000000007E-2</v>
      </c>
      <c r="H151" s="52">
        <v>7.0175000000000001</v>
      </c>
    </row>
    <row r="152" spans="1:8" ht="17.100000000000001" customHeight="1" x14ac:dyDescent="0.2">
      <c r="A152" s="3">
        <v>2</v>
      </c>
      <c r="B152" s="4" t="s">
        <v>668</v>
      </c>
      <c r="C152" s="39" t="s">
        <v>1000</v>
      </c>
      <c r="D152" s="4" t="s">
        <v>640</v>
      </c>
      <c r="E152" s="5">
        <v>1000000</v>
      </c>
      <c r="F152" s="6">
        <v>973.36599999999999</v>
      </c>
      <c r="G152" s="7">
        <v>1.481937E-2</v>
      </c>
      <c r="H152" s="52">
        <v>7.0335000000000001</v>
      </c>
    </row>
    <row r="153" spans="1:8" ht="14.1" customHeight="1" x14ac:dyDescent="0.2">
      <c r="A153" s="1"/>
      <c r="B153" s="1"/>
      <c r="C153" s="2" t="s">
        <v>145</v>
      </c>
      <c r="D153" s="1"/>
      <c r="E153" s="1" t="s">
        <v>146</v>
      </c>
      <c r="F153" s="9">
        <v>5854.1909999999998</v>
      </c>
      <c r="G153" s="10">
        <v>8.9129280000000005E-2</v>
      </c>
      <c r="H153" s="52"/>
    </row>
    <row r="154" spans="1:8" ht="14.1" customHeight="1" x14ac:dyDescent="0.2">
      <c r="A154" s="1"/>
      <c r="B154" s="1"/>
      <c r="C154" s="11"/>
      <c r="D154" s="1"/>
      <c r="E154" s="1"/>
      <c r="F154" s="12"/>
      <c r="G154" s="12"/>
      <c r="H154" s="52"/>
    </row>
    <row r="155" spans="1:8" ht="14.1" customHeight="1" x14ac:dyDescent="0.2">
      <c r="A155" s="1"/>
      <c r="B155" s="1"/>
      <c r="C155" s="2" t="s">
        <v>163</v>
      </c>
      <c r="D155" s="1"/>
      <c r="E155" s="1"/>
      <c r="F155" s="12"/>
      <c r="G155" s="12"/>
      <c r="H155" s="52"/>
    </row>
    <row r="156" spans="1:8" ht="17.100000000000001" customHeight="1" x14ac:dyDescent="0.2">
      <c r="A156" s="3">
        <v>1</v>
      </c>
      <c r="B156" s="4"/>
      <c r="C156" s="4" t="s">
        <v>164</v>
      </c>
      <c r="D156" s="4"/>
      <c r="E156" s="8"/>
      <c r="F156" s="6">
        <v>7995.4028390180001</v>
      </c>
      <c r="G156" s="7">
        <v>0.12172893999999999</v>
      </c>
      <c r="H156" s="52">
        <v>6.7567375937238596</v>
      </c>
    </row>
    <row r="157" spans="1:8" ht="14.1" customHeight="1" x14ac:dyDescent="0.2">
      <c r="A157" s="1"/>
      <c r="B157" s="1"/>
      <c r="C157" s="2" t="s">
        <v>145</v>
      </c>
      <c r="D157" s="1"/>
      <c r="E157" s="1" t="s">
        <v>146</v>
      </c>
      <c r="F157" s="9">
        <v>7995.4028390180001</v>
      </c>
      <c r="G157" s="10">
        <v>0.12172893999999999</v>
      </c>
      <c r="H157" s="52"/>
    </row>
    <row r="158" spans="1:8" ht="14.1" customHeight="1" x14ac:dyDescent="0.2">
      <c r="A158" s="1"/>
      <c r="B158" s="1"/>
      <c r="C158" s="11"/>
      <c r="D158" s="1"/>
      <c r="E158" s="1"/>
      <c r="F158" s="12"/>
      <c r="G158" s="12"/>
      <c r="H158" s="52"/>
    </row>
    <row r="159" spans="1:8" ht="14.1" customHeight="1" x14ac:dyDescent="0.2">
      <c r="A159" s="1"/>
      <c r="B159" s="1"/>
      <c r="C159" s="2" t="s">
        <v>165</v>
      </c>
      <c r="D159" s="1"/>
      <c r="E159" s="1"/>
      <c r="F159" s="9">
        <v>13849.593839018</v>
      </c>
      <c r="G159" s="10">
        <v>0.21085822000000001</v>
      </c>
      <c r="H159" s="52"/>
    </row>
    <row r="160" spans="1:8" ht="14.1" customHeight="1" x14ac:dyDescent="0.2">
      <c r="A160" s="1"/>
      <c r="B160" s="1"/>
      <c r="C160" s="12"/>
      <c r="D160" s="1"/>
      <c r="E160" s="1"/>
      <c r="F160" s="1"/>
      <c r="G160" s="1"/>
      <c r="H160" s="52"/>
    </row>
    <row r="161" spans="1:8" ht="14.1" customHeight="1" x14ac:dyDescent="0.2">
      <c r="A161" s="1"/>
      <c r="B161" s="1"/>
      <c r="C161" s="2" t="s">
        <v>166</v>
      </c>
      <c r="D161" s="1"/>
      <c r="E161" s="1"/>
      <c r="F161" s="1"/>
      <c r="G161" s="1"/>
      <c r="H161" s="52"/>
    </row>
    <row r="162" spans="1:8" ht="14.1" customHeight="1" x14ac:dyDescent="0.2">
      <c r="A162" s="1"/>
      <c r="B162" s="1"/>
      <c r="C162" s="2" t="s">
        <v>167</v>
      </c>
      <c r="D162" s="1"/>
      <c r="E162" s="1"/>
      <c r="F162" s="1"/>
      <c r="G162" s="1"/>
      <c r="H162" s="52"/>
    </row>
    <row r="163" spans="1:8" ht="14.1" customHeight="1" x14ac:dyDescent="0.2">
      <c r="A163" s="1"/>
      <c r="B163" s="1"/>
      <c r="C163" s="2" t="s">
        <v>145</v>
      </c>
      <c r="D163" s="1"/>
      <c r="E163" s="1" t="s">
        <v>146</v>
      </c>
      <c r="F163" s="13" t="s">
        <v>148</v>
      </c>
      <c r="G163" s="10">
        <v>0</v>
      </c>
      <c r="H163" s="52"/>
    </row>
    <row r="164" spans="1:8" ht="14.1" customHeight="1" x14ac:dyDescent="0.2">
      <c r="A164" s="1"/>
      <c r="B164" s="1"/>
      <c r="C164" s="11"/>
      <c r="D164" s="1"/>
      <c r="E164" s="1"/>
      <c r="F164" s="12"/>
      <c r="G164" s="12"/>
      <c r="H164" s="52"/>
    </row>
    <row r="165" spans="1:8" ht="14.1" customHeight="1" x14ac:dyDescent="0.2">
      <c r="A165" s="1"/>
      <c r="B165" s="1"/>
      <c r="C165" s="2" t="s">
        <v>168</v>
      </c>
      <c r="D165" s="1"/>
      <c r="E165" s="1"/>
      <c r="F165" s="1"/>
      <c r="G165" s="1"/>
      <c r="H165" s="52"/>
    </row>
    <row r="166" spans="1:8" ht="14.1" customHeight="1" x14ac:dyDescent="0.2">
      <c r="A166" s="1"/>
      <c r="B166" s="1"/>
      <c r="C166" s="2" t="s">
        <v>169</v>
      </c>
      <c r="D166" s="1"/>
      <c r="E166" s="1"/>
      <c r="F166" s="1"/>
      <c r="G166" s="1"/>
      <c r="H166" s="52"/>
    </row>
    <row r="167" spans="1:8" ht="14.1" customHeight="1" x14ac:dyDescent="0.2">
      <c r="A167" s="1"/>
      <c r="B167" s="1"/>
      <c r="C167" s="2" t="s">
        <v>145</v>
      </c>
      <c r="D167" s="1"/>
      <c r="E167" s="1" t="s">
        <v>146</v>
      </c>
      <c r="F167" s="13" t="s">
        <v>148</v>
      </c>
      <c r="G167" s="10">
        <v>0</v>
      </c>
      <c r="H167" s="52"/>
    </row>
    <row r="168" spans="1:8" ht="14.1" customHeight="1" x14ac:dyDescent="0.2">
      <c r="A168" s="1"/>
      <c r="B168" s="1"/>
      <c r="C168" s="11"/>
      <c r="D168" s="1"/>
      <c r="E168" s="1"/>
      <c r="F168" s="12"/>
      <c r="G168" s="12"/>
      <c r="H168" s="52"/>
    </row>
    <row r="169" spans="1:8" ht="24" customHeight="1" x14ac:dyDescent="0.2">
      <c r="A169" s="1"/>
      <c r="B169" s="1"/>
      <c r="C169" s="2" t="s">
        <v>170</v>
      </c>
      <c r="D169" s="1"/>
      <c r="E169" s="1"/>
      <c r="F169" s="12"/>
      <c r="G169" s="12"/>
      <c r="H169" s="52"/>
    </row>
    <row r="170" spans="1:8" ht="14.1" customHeight="1" x14ac:dyDescent="0.2">
      <c r="A170" s="1"/>
      <c r="B170" s="1"/>
      <c r="C170" s="2" t="s">
        <v>145</v>
      </c>
      <c r="D170" s="1"/>
      <c r="E170" s="1" t="s">
        <v>146</v>
      </c>
      <c r="F170" s="13" t="s">
        <v>148</v>
      </c>
      <c r="G170" s="10">
        <v>0</v>
      </c>
      <c r="H170" s="52"/>
    </row>
    <row r="171" spans="1:8" ht="14.1" customHeight="1" x14ac:dyDescent="0.2">
      <c r="A171" s="1"/>
      <c r="B171" s="1"/>
      <c r="C171" s="11"/>
      <c r="D171" s="1"/>
      <c r="E171" s="1"/>
      <c r="F171" s="12"/>
      <c r="G171" s="12"/>
      <c r="H171" s="52"/>
    </row>
    <row r="172" spans="1:8" ht="18" customHeight="1" x14ac:dyDescent="0.2">
      <c r="A172" s="8"/>
      <c r="B172" s="4"/>
      <c r="C172" s="4" t="s">
        <v>315</v>
      </c>
      <c r="D172" s="4"/>
      <c r="E172" s="8"/>
      <c r="F172" s="6">
        <v>3414.9984835</v>
      </c>
      <c r="G172" s="7">
        <v>5.1992895612122315E-2</v>
      </c>
      <c r="H172" s="52"/>
    </row>
    <row r="173" spans="1:8" ht="18" customHeight="1" x14ac:dyDescent="0.2">
      <c r="A173" s="8"/>
      <c r="B173" s="4"/>
      <c r="C173" s="39" t="s">
        <v>992</v>
      </c>
      <c r="D173" s="4"/>
      <c r="E173" s="8"/>
      <c r="F173" s="6">
        <v>-6905.7343409799996</v>
      </c>
      <c r="G173" s="7">
        <v>-0.10513888262334901</v>
      </c>
      <c r="H173" s="52"/>
    </row>
    <row r="174" spans="1:8" ht="14.1" customHeight="1" x14ac:dyDescent="0.2">
      <c r="A174" s="11"/>
      <c r="B174" s="11"/>
      <c r="C174" s="2" t="s">
        <v>172</v>
      </c>
      <c r="D174" s="12"/>
      <c r="E174" s="12"/>
      <c r="F174" s="9">
        <v>65682.021424168997</v>
      </c>
      <c r="G174" s="14">
        <v>0.99999998000000001</v>
      </c>
      <c r="H174" s="52"/>
    </row>
    <row r="175" spans="1:8" ht="14.1" customHeight="1" x14ac:dyDescent="0.2">
      <c r="A175" s="15"/>
      <c r="B175" s="15"/>
      <c r="C175" s="15"/>
      <c r="D175" s="16"/>
      <c r="E175" s="16"/>
      <c r="F175" s="16"/>
      <c r="G175" s="16"/>
    </row>
    <row r="176" spans="1:8" ht="14.1" customHeight="1" x14ac:dyDescent="0.2">
      <c r="A176" s="42"/>
      <c r="B176" s="125" t="s">
        <v>988</v>
      </c>
      <c r="C176" s="125"/>
      <c r="D176" s="125"/>
      <c r="E176" s="125"/>
      <c r="F176" s="125"/>
      <c r="G176" s="43"/>
    </row>
    <row r="177" spans="1:14" ht="17.100000000000001" customHeight="1" x14ac:dyDescent="0.2">
      <c r="A177" s="42"/>
      <c r="B177" s="125" t="s">
        <v>993</v>
      </c>
      <c r="C177" s="125"/>
      <c r="D177" s="125"/>
      <c r="E177" s="125"/>
      <c r="F177" s="125"/>
      <c r="G177" s="43"/>
    </row>
    <row r="178" spans="1:14" ht="17.100000000000001" customHeight="1" x14ac:dyDescent="0.2">
      <c r="A178" s="42"/>
      <c r="B178" s="125" t="s">
        <v>173</v>
      </c>
      <c r="C178" s="125"/>
      <c r="D178" s="125"/>
      <c r="E178" s="125"/>
      <c r="F178" s="125"/>
      <c r="G178" s="43"/>
      <c r="J178" s="57"/>
      <c r="K178" s="57"/>
      <c r="L178" s="57"/>
      <c r="M178" s="57"/>
      <c r="N178" s="57"/>
    </row>
    <row r="179" spans="1:14" ht="14.1" customHeight="1" x14ac:dyDescent="0.2">
      <c r="A179" s="42"/>
      <c r="B179" s="152" t="s">
        <v>1001</v>
      </c>
      <c r="C179" s="152"/>
      <c r="D179" s="152"/>
      <c r="E179" s="152"/>
      <c r="F179" s="152"/>
      <c r="G179" s="43"/>
    </row>
    <row r="180" spans="1:14" ht="14.1" customHeight="1" x14ac:dyDescent="0.2">
      <c r="A180" s="17"/>
      <c r="B180" s="17"/>
      <c r="C180" s="17"/>
      <c r="D180" s="19"/>
      <c r="E180" s="19"/>
      <c r="F180" s="19"/>
      <c r="G180" s="19"/>
    </row>
    <row r="181" spans="1:14" ht="14.1" customHeight="1" x14ac:dyDescent="0.2">
      <c r="A181" s="17"/>
      <c r="B181" s="127" t="s">
        <v>174</v>
      </c>
      <c r="C181" s="128"/>
      <c r="D181" s="129"/>
      <c r="E181" s="20"/>
      <c r="F181" s="19"/>
      <c r="G181" s="19"/>
    </row>
    <row r="182" spans="1:14" ht="29.1" customHeight="1" x14ac:dyDescent="0.2">
      <c r="A182" s="17"/>
      <c r="B182" s="121" t="s">
        <v>175</v>
      </c>
      <c r="C182" s="122"/>
      <c r="D182" s="2" t="s">
        <v>176</v>
      </c>
      <c r="E182" s="20"/>
      <c r="F182" s="19"/>
      <c r="G182" s="19"/>
    </row>
    <row r="183" spans="1:14" ht="17.100000000000001" customHeight="1" x14ac:dyDescent="0.2">
      <c r="A183" s="17"/>
      <c r="B183" s="121" t="s">
        <v>177</v>
      </c>
      <c r="C183" s="122"/>
      <c r="D183" s="2" t="s">
        <v>176</v>
      </c>
      <c r="E183" s="20"/>
      <c r="F183" s="19"/>
      <c r="G183" s="19"/>
    </row>
    <row r="184" spans="1:14" ht="17.100000000000001" customHeight="1" x14ac:dyDescent="0.2">
      <c r="A184" s="17"/>
      <c r="B184" s="121" t="s">
        <v>178</v>
      </c>
      <c r="C184" s="122"/>
      <c r="D184" s="12" t="s">
        <v>146</v>
      </c>
      <c r="E184" s="20"/>
      <c r="F184" s="19"/>
      <c r="G184" s="19"/>
    </row>
    <row r="185" spans="1:14" ht="24" customHeight="1" x14ac:dyDescent="0.2">
      <c r="A185" s="21"/>
      <c r="B185" s="22" t="s">
        <v>146</v>
      </c>
      <c r="C185" s="22" t="s">
        <v>179</v>
      </c>
      <c r="D185" s="22" t="s">
        <v>180</v>
      </c>
      <c r="E185" s="21"/>
      <c r="F185" s="21"/>
      <c r="G185" s="21"/>
    </row>
    <row r="186" spans="1:14" ht="18" customHeight="1" x14ac:dyDescent="0.2">
      <c r="A186" s="21"/>
      <c r="B186" s="23" t="s">
        <v>181</v>
      </c>
      <c r="C186" s="22" t="s">
        <v>182</v>
      </c>
      <c r="D186" s="22" t="s">
        <v>183</v>
      </c>
      <c r="E186" s="21"/>
      <c r="F186" s="21"/>
      <c r="G186" s="21"/>
    </row>
    <row r="187" spans="1:14" ht="17.100000000000001" customHeight="1" x14ac:dyDescent="0.2">
      <c r="A187" s="21"/>
      <c r="B187" s="4" t="s">
        <v>184</v>
      </c>
      <c r="C187" s="24">
        <v>64.835800000000006</v>
      </c>
      <c r="D187" s="24">
        <v>64.089699999999993</v>
      </c>
      <c r="E187" s="21"/>
      <c r="F187" s="18"/>
      <c r="G187" s="25"/>
    </row>
    <row r="188" spans="1:14" ht="29.1" customHeight="1" x14ac:dyDescent="0.2">
      <c r="A188" s="21"/>
      <c r="B188" s="4" t="s">
        <v>1051</v>
      </c>
      <c r="C188" s="24">
        <v>14.9016</v>
      </c>
      <c r="D188" s="24">
        <v>14.7301</v>
      </c>
      <c r="E188" s="21"/>
      <c r="F188" s="18"/>
      <c r="G188" s="25"/>
    </row>
    <row r="189" spans="1:14" ht="29.1" customHeight="1" x14ac:dyDescent="0.2">
      <c r="A189" s="21"/>
      <c r="B189" s="4" t="s">
        <v>1045</v>
      </c>
      <c r="C189" s="24">
        <v>22.120999999999999</v>
      </c>
      <c r="D189" s="24">
        <v>21.866399999999999</v>
      </c>
      <c r="E189" s="21"/>
      <c r="F189" s="18"/>
      <c r="G189" s="25"/>
    </row>
    <row r="190" spans="1:14" ht="17.100000000000001" customHeight="1" x14ac:dyDescent="0.2">
      <c r="A190" s="21"/>
      <c r="B190" s="4" t="s">
        <v>185</v>
      </c>
      <c r="C190" s="24">
        <v>57.483600000000003</v>
      </c>
      <c r="D190" s="24">
        <v>56.737900000000003</v>
      </c>
      <c r="E190" s="21"/>
      <c r="F190" s="18"/>
      <c r="G190" s="25"/>
    </row>
    <row r="191" spans="1:14" ht="29.1" customHeight="1" x14ac:dyDescent="0.2">
      <c r="A191" s="21"/>
      <c r="B191" s="4" t="s">
        <v>1052</v>
      </c>
      <c r="C191" s="24">
        <v>14.297700000000001</v>
      </c>
      <c r="D191" s="24">
        <v>14.112299999999999</v>
      </c>
      <c r="E191" s="21"/>
      <c r="F191" s="18"/>
      <c r="G191" s="25"/>
    </row>
    <row r="192" spans="1:14" ht="29.1" customHeight="1" x14ac:dyDescent="0.2">
      <c r="A192" s="21"/>
      <c r="B192" s="4" t="s">
        <v>1047</v>
      </c>
      <c r="C192" s="24">
        <v>15.6783</v>
      </c>
      <c r="D192" s="24">
        <v>15.4749</v>
      </c>
      <c r="E192" s="21"/>
      <c r="F192" s="18"/>
      <c r="G192" s="25"/>
    </row>
    <row r="193" spans="1:7" ht="14.1" customHeight="1" x14ac:dyDescent="0.2">
      <c r="A193" s="21"/>
      <c r="B193" s="21"/>
      <c r="C193" s="21"/>
      <c r="D193" s="21"/>
      <c r="E193" s="21"/>
      <c r="F193" s="21"/>
      <c r="G193" s="21"/>
    </row>
    <row r="194" spans="1:7" ht="17.100000000000001" customHeight="1" x14ac:dyDescent="0.2">
      <c r="A194" s="21"/>
      <c r="B194" s="121" t="s">
        <v>1041</v>
      </c>
      <c r="C194" s="122"/>
      <c r="D194" s="2" t="s">
        <v>176</v>
      </c>
      <c r="E194" s="21"/>
      <c r="F194" s="21"/>
      <c r="G194" s="21"/>
    </row>
    <row r="195" spans="1:7" ht="18" customHeight="1" x14ac:dyDescent="0.2">
      <c r="A195" s="21"/>
      <c r="B195" s="26"/>
      <c r="C195" s="26"/>
      <c r="D195" s="26"/>
      <c r="E195" s="21"/>
      <c r="F195" s="21"/>
      <c r="G195" s="21"/>
    </row>
    <row r="196" spans="1:7" ht="29.1" customHeight="1" x14ac:dyDescent="0.2">
      <c r="A196" s="21"/>
      <c r="B196" s="121" t="s">
        <v>186</v>
      </c>
      <c r="C196" s="122"/>
      <c r="D196" s="2" t="s">
        <v>989</v>
      </c>
      <c r="E196" s="27"/>
      <c r="F196" s="21"/>
      <c r="G196" s="21"/>
    </row>
    <row r="197" spans="1:7" ht="29.1" customHeight="1" x14ac:dyDescent="0.2">
      <c r="A197" s="21"/>
      <c r="B197" s="121" t="s">
        <v>187</v>
      </c>
      <c r="C197" s="122"/>
      <c r="D197" s="2" t="s">
        <v>176</v>
      </c>
      <c r="E197" s="27"/>
      <c r="F197" s="21"/>
      <c r="G197" s="21"/>
    </row>
    <row r="198" spans="1:7" ht="17.100000000000001" customHeight="1" x14ac:dyDescent="0.2">
      <c r="A198" s="21"/>
      <c r="B198" s="121" t="s">
        <v>188</v>
      </c>
      <c r="C198" s="122"/>
      <c r="D198" s="2" t="s">
        <v>176</v>
      </c>
      <c r="E198" s="27"/>
      <c r="F198" s="21"/>
      <c r="G198" s="21"/>
    </row>
    <row r="199" spans="1:7" ht="17.100000000000001" customHeight="1" x14ac:dyDescent="0.2">
      <c r="A199" s="21"/>
      <c r="B199" s="121" t="s">
        <v>189</v>
      </c>
      <c r="C199" s="122"/>
      <c r="D199" s="50">
        <v>4.1073787552644543</v>
      </c>
      <c r="E199" s="21"/>
      <c r="F199" s="18"/>
      <c r="G199" s="25"/>
    </row>
    <row r="201" spans="1:7" x14ac:dyDescent="0.2">
      <c r="B201" s="141" t="s">
        <v>1023</v>
      </c>
      <c r="C201" s="142"/>
      <c r="D201" s="143"/>
    </row>
    <row r="202" spans="1:7" ht="25.5" x14ac:dyDescent="0.2">
      <c r="B202" s="133" t="s">
        <v>1024</v>
      </c>
      <c r="C202" s="133"/>
      <c r="D202" s="75" t="s">
        <v>725</v>
      </c>
    </row>
    <row r="203" spans="1:7" x14ac:dyDescent="0.2">
      <c r="B203" s="133" t="s">
        <v>1025</v>
      </c>
      <c r="C203" s="133"/>
      <c r="D203" s="81"/>
    </row>
    <row r="204" spans="1:7" x14ac:dyDescent="0.2">
      <c r="B204" s="148"/>
      <c r="C204" s="149"/>
      <c r="D204" s="76"/>
    </row>
    <row r="205" spans="1:7" x14ac:dyDescent="0.2">
      <c r="B205" s="133" t="s">
        <v>1026</v>
      </c>
      <c r="C205" s="133"/>
      <c r="D205" s="114">
        <v>7.0969119448107358</v>
      </c>
    </row>
    <row r="206" spans="1:7" x14ac:dyDescent="0.2">
      <c r="B206" s="148"/>
      <c r="C206" s="149"/>
      <c r="D206" s="76"/>
    </row>
    <row r="207" spans="1:7" x14ac:dyDescent="0.2">
      <c r="B207" s="133" t="s">
        <v>1027</v>
      </c>
      <c r="C207" s="133"/>
      <c r="D207" s="114">
        <v>0.75901319634175557</v>
      </c>
    </row>
    <row r="208" spans="1:7" x14ac:dyDescent="0.2">
      <c r="B208" s="133" t="s">
        <v>1028</v>
      </c>
      <c r="C208" s="133"/>
      <c r="D208" s="114">
        <v>0.80888991092708495</v>
      </c>
    </row>
    <row r="209" spans="2:4" x14ac:dyDescent="0.2">
      <c r="B209" s="148"/>
      <c r="C209" s="149"/>
      <c r="D209" s="76"/>
    </row>
    <row r="210" spans="2:4" x14ac:dyDescent="0.2">
      <c r="B210" s="133" t="s">
        <v>1029</v>
      </c>
      <c r="C210" s="133"/>
      <c r="D210" s="77">
        <v>45230</v>
      </c>
    </row>
    <row r="211" spans="2:4" ht="12.75" customHeight="1" x14ac:dyDescent="0.2">
      <c r="B211" s="148" t="s">
        <v>1030</v>
      </c>
      <c r="C211" s="150"/>
      <c r="D211" s="149"/>
    </row>
  </sheetData>
  <mergeCells count="28">
    <mergeCell ref="J2:N2"/>
    <mergeCell ref="A1:H1"/>
    <mergeCell ref="A2:H2"/>
    <mergeCell ref="A3:H3"/>
    <mergeCell ref="B199:C199"/>
    <mergeCell ref="B183:C183"/>
    <mergeCell ref="B184:C184"/>
    <mergeCell ref="B194:C194"/>
    <mergeCell ref="B196:C196"/>
    <mergeCell ref="B197:C197"/>
    <mergeCell ref="B198:C198"/>
    <mergeCell ref="B182:C182"/>
    <mergeCell ref="B178:F178"/>
    <mergeCell ref="B181:D181"/>
    <mergeCell ref="B176:F176"/>
    <mergeCell ref="B177:F177"/>
    <mergeCell ref="B179:F179"/>
    <mergeCell ref="B201:D201"/>
    <mergeCell ref="B202:C202"/>
    <mergeCell ref="B203:C203"/>
    <mergeCell ref="B204:C204"/>
    <mergeCell ref="B205:C205"/>
    <mergeCell ref="B211:D211"/>
    <mergeCell ref="B206:C206"/>
    <mergeCell ref="B207:C207"/>
    <mergeCell ref="B208:C208"/>
    <mergeCell ref="B209:C209"/>
    <mergeCell ref="B210:C210"/>
  </mergeCells>
  <hyperlinks>
    <hyperlink ref="I1" location="Index!B19" display="Index" xr:uid="{68E45538-CBFF-461A-92E6-2CB7DBC67071}"/>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ummaryRight="0"/>
  </sheetPr>
  <dimension ref="A1:O119"/>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5" ht="18" customHeight="1" x14ac:dyDescent="0.2">
      <c r="A1" s="116" t="s">
        <v>0</v>
      </c>
      <c r="B1" s="116"/>
      <c r="C1" s="116"/>
      <c r="D1" s="116"/>
      <c r="E1" s="116"/>
      <c r="F1" s="116"/>
      <c r="G1" s="116"/>
      <c r="H1" s="116"/>
      <c r="I1" s="98" t="s">
        <v>1053</v>
      </c>
    </row>
    <row r="2" spans="1:15" ht="17.100000000000001" customHeight="1" x14ac:dyDescent="0.2">
      <c r="A2" s="117" t="s">
        <v>744</v>
      </c>
      <c r="B2" s="118"/>
      <c r="C2" s="118"/>
      <c r="D2" s="118"/>
      <c r="E2" s="118"/>
      <c r="F2" s="118"/>
      <c r="G2" s="118"/>
      <c r="H2" s="119"/>
      <c r="J2" s="120" t="s">
        <v>1054</v>
      </c>
      <c r="K2" s="120"/>
      <c r="L2" s="120"/>
      <c r="M2" s="120"/>
      <c r="N2" s="120"/>
    </row>
    <row r="3" spans="1:15" ht="21" customHeight="1" x14ac:dyDescent="0.2">
      <c r="A3" s="116" t="s">
        <v>1049</v>
      </c>
      <c r="B3" s="116"/>
      <c r="C3" s="116"/>
      <c r="D3" s="116"/>
      <c r="E3" s="116"/>
      <c r="F3" s="116"/>
      <c r="G3" s="116"/>
      <c r="H3" s="116"/>
    </row>
    <row r="4" spans="1:15" ht="30" x14ac:dyDescent="0.2">
      <c r="A4" s="96" t="s">
        <v>2</v>
      </c>
      <c r="B4" s="96" t="s">
        <v>3</v>
      </c>
      <c r="C4" s="96" t="s">
        <v>4</v>
      </c>
      <c r="D4" s="96" t="s">
        <v>5</v>
      </c>
      <c r="E4" s="96" t="s">
        <v>6</v>
      </c>
      <c r="F4" s="96" t="s">
        <v>7</v>
      </c>
      <c r="G4" s="96" t="s">
        <v>8</v>
      </c>
      <c r="H4" s="51" t="s">
        <v>1002</v>
      </c>
      <c r="I4" s="99"/>
      <c r="J4" s="99"/>
      <c r="K4" s="99"/>
      <c r="L4" s="99"/>
      <c r="M4" s="99"/>
      <c r="N4" s="99"/>
      <c r="O4" s="99"/>
    </row>
    <row r="5" spans="1:15" ht="14.1" customHeight="1" x14ac:dyDescent="0.2">
      <c r="A5" s="1"/>
      <c r="B5" s="1"/>
      <c r="C5" s="2" t="s">
        <v>9</v>
      </c>
      <c r="D5" s="1"/>
      <c r="E5" s="1"/>
      <c r="F5" s="1"/>
      <c r="G5" s="1"/>
      <c r="H5" s="52"/>
    </row>
    <row r="6" spans="1:15" ht="24" customHeight="1" x14ac:dyDescent="0.2">
      <c r="A6" s="1"/>
      <c r="B6" s="1"/>
      <c r="C6" s="2" t="s">
        <v>10</v>
      </c>
      <c r="D6" s="1"/>
      <c r="E6" s="1"/>
      <c r="F6" s="1"/>
      <c r="G6" s="1"/>
      <c r="H6" s="52"/>
    </row>
    <row r="7" spans="1:15" ht="17.100000000000001" customHeight="1" x14ac:dyDescent="0.2">
      <c r="A7" s="3">
        <v>1</v>
      </c>
      <c r="B7" s="4" t="s">
        <v>319</v>
      </c>
      <c r="C7" s="4" t="s">
        <v>320</v>
      </c>
      <c r="D7" s="4" t="s">
        <v>28</v>
      </c>
      <c r="E7" s="5">
        <v>514000</v>
      </c>
      <c r="F7" s="6">
        <v>7589.21</v>
      </c>
      <c r="G7" s="7">
        <v>8.4938139999999995E-2</v>
      </c>
      <c r="H7" s="52"/>
    </row>
    <row r="8" spans="1:15" ht="17.100000000000001" customHeight="1" x14ac:dyDescent="0.2">
      <c r="A8" s="3">
        <v>2</v>
      </c>
      <c r="B8" s="4" t="s">
        <v>14</v>
      </c>
      <c r="C8" s="4" t="s">
        <v>15</v>
      </c>
      <c r="D8" s="4" t="s">
        <v>16</v>
      </c>
      <c r="E8" s="5">
        <v>278000</v>
      </c>
      <c r="F8" s="6">
        <v>6360.3620000000001</v>
      </c>
      <c r="G8" s="7">
        <v>7.1184919999999999E-2</v>
      </c>
      <c r="H8" s="52"/>
    </row>
    <row r="9" spans="1:15" ht="17.100000000000001" customHeight="1" x14ac:dyDescent="0.2">
      <c r="A9" s="3">
        <v>3</v>
      </c>
      <c r="B9" s="4" t="s">
        <v>321</v>
      </c>
      <c r="C9" s="4" t="s">
        <v>322</v>
      </c>
      <c r="D9" s="4" t="s">
        <v>888</v>
      </c>
      <c r="E9" s="5">
        <v>407000</v>
      </c>
      <c r="F9" s="6">
        <v>5569.3879999999999</v>
      </c>
      <c r="G9" s="7">
        <v>6.2332369999999998E-2</v>
      </c>
      <c r="H9" s="52"/>
    </row>
    <row r="10" spans="1:15" ht="17.100000000000001" customHeight="1" x14ac:dyDescent="0.2">
      <c r="A10" s="3">
        <v>4</v>
      </c>
      <c r="B10" s="4" t="s">
        <v>26</v>
      </c>
      <c r="C10" s="4" t="s">
        <v>27</v>
      </c>
      <c r="D10" s="4" t="s">
        <v>28</v>
      </c>
      <c r="E10" s="5">
        <v>562000</v>
      </c>
      <c r="F10" s="6">
        <v>5144.2669999999998</v>
      </c>
      <c r="G10" s="7">
        <v>5.7574439999999998E-2</v>
      </c>
      <c r="H10" s="52"/>
    </row>
    <row r="11" spans="1:15" ht="17.100000000000001" customHeight="1" x14ac:dyDescent="0.2">
      <c r="A11" s="3">
        <v>5</v>
      </c>
      <c r="B11" s="4" t="s">
        <v>11</v>
      </c>
      <c r="C11" s="4" t="s">
        <v>12</v>
      </c>
      <c r="D11" s="4" t="s">
        <v>13</v>
      </c>
      <c r="E11" s="5">
        <v>152535</v>
      </c>
      <c r="F11" s="6">
        <v>4467.8264175000004</v>
      </c>
      <c r="G11" s="7">
        <v>5.0003739999999998E-2</v>
      </c>
      <c r="H11" s="52"/>
    </row>
    <row r="12" spans="1:15" ht="17.100000000000001" customHeight="1" x14ac:dyDescent="0.2">
      <c r="A12" s="3">
        <v>6</v>
      </c>
      <c r="B12" s="4" t="s">
        <v>745</v>
      </c>
      <c r="C12" s="4" t="s">
        <v>746</v>
      </c>
      <c r="D12" s="4" t="s">
        <v>242</v>
      </c>
      <c r="E12" s="5">
        <v>16400</v>
      </c>
      <c r="F12" s="6">
        <v>3974.5072</v>
      </c>
      <c r="G12" s="7">
        <v>4.4482529999999999E-2</v>
      </c>
      <c r="H12" s="52"/>
    </row>
    <row r="13" spans="1:15" ht="17.100000000000001" customHeight="1" x14ac:dyDescent="0.2">
      <c r="A13" s="3">
        <v>7</v>
      </c>
      <c r="B13" s="4" t="s">
        <v>39</v>
      </c>
      <c r="C13" s="4" t="s">
        <v>40</v>
      </c>
      <c r="D13" s="4" t="s">
        <v>28</v>
      </c>
      <c r="E13" s="5">
        <v>603000</v>
      </c>
      <c r="F13" s="6">
        <v>3410.2665000000002</v>
      </c>
      <c r="G13" s="7">
        <v>3.8167569999999998E-2</v>
      </c>
      <c r="H13" s="52"/>
      <c r="J13" s="101" t="s">
        <v>1076</v>
      </c>
    </row>
    <row r="14" spans="1:15" ht="17.100000000000001" customHeight="1" x14ac:dyDescent="0.2">
      <c r="A14" s="3">
        <v>8</v>
      </c>
      <c r="B14" s="4" t="s">
        <v>370</v>
      </c>
      <c r="C14" s="4" t="s">
        <v>371</v>
      </c>
      <c r="D14" s="4" t="s">
        <v>208</v>
      </c>
      <c r="E14" s="5">
        <v>84000</v>
      </c>
      <c r="F14" s="6">
        <v>3052.056</v>
      </c>
      <c r="G14" s="7">
        <v>3.415849E-2</v>
      </c>
      <c r="H14" s="52"/>
    </row>
    <row r="15" spans="1:15" ht="17.100000000000001" customHeight="1" x14ac:dyDescent="0.2">
      <c r="A15" s="3">
        <v>9</v>
      </c>
      <c r="B15" s="4" t="s">
        <v>335</v>
      </c>
      <c r="C15" s="4" t="s">
        <v>336</v>
      </c>
      <c r="D15" s="4" t="s">
        <v>28</v>
      </c>
      <c r="E15" s="5">
        <v>790000</v>
      </c>
      <c r="F15" s="6">
        <v>3036.3649999999998</v>
      </c>
      <c r="G15" s="7">
        <v>3.398288E-2</v>
      </c>
      <c r="H15" s="52"/>
    </row>
    <row r="16" spans="1:15" ht="17.100000000000001" customHeight="1" x14ac:dyDescent="0.2">
      <c r="A16" s="3">
        <v>10</v>
      </c>
      <c r="B16" s="4" t="s">
        <v>349</v>
      </c>
      <c r="C16" s="4" t="s">
        <v>350</v>
      </c>
      <c r="D16" s="4" t="s">
        <v>70</v>
      </c>
      <c r="E16" s="5">
        <v>37000</v>
      </c>
      <c r="F16" s="6">
        <v>2772.2804999999998</v>
      </c>
      <c r="G16" s="7">
        <v>3.1027260000000001E-2</v>
      </c>
      <c r="H16" s="52"/>
    </row>
    <row r="17" spans="1:10" ht="17.100000000000001" customHeight="1" x14ac:dyDescent="0.2">
      <c r="A17" s="3">
        <v>11</v>
      </c>
      <c r="B17" s="4" t="s">
        <v>571</v>
      </c>
      <c r="C17" s="4" t="s">
        <v>572</v>
      </c>
      <c r="D17" s="4" t="s">
        <v>888</v>
      </c>
      <c r="E17" s="5">
        <v>240000</v>
      </c>
      <c r="F17" s="6">
        <v>2719.56</v>
      </c>
      <c r="G17" s="7">
        <v>3.0437209999999999E-2</v>
      </c>
      <c r="H17" s="52"/>
    </row>
    <row r="18" spans="1:10" ht="29.1" customHeight="1" x14ac:dyDescent="0.2">
      <c r="A18" s="3">
        <v>12</v>
      </c>
      <c r="B18" s="4" t="s">
        <v>201</v>
      </c>
      <c r="C18" s="4" t="s">
        <v>202</v>
      </c>
      <c r="D18" s="4" t="s">
        <v>70</v>
      </c>
      <c r="E18" s="5">
        <v>225000</v>
      </c>
      <c r="F18" s="6">
        <v>2558.9250000000002</v>
      </c>
      <c r="G18" s="7">
        <v>2.8639390000000001E-2</v>
      </c>
      <c r="H18" s="52"/>
    </row>
    <row r="19" spans="1:10" ht="17.100000000000001" customHeight="1" x14ac:dyDescent="0.2">
      <c r="A19" s="3">
        <v>13</v>
      </c>
      <c r="B19" s="4" t="s">
        <v>503</v>
      </c>
      <c r="C19" s="4" t="s">
        <v>504</v>
      </c>
      <c r="D19" s="4" t="s">
        <v>357</v>
      </c>
      <c r="E19" s="5">
        <v>45000</v>
      </c>
      <c r="F19" s="6">
        <v>2456.2125000000001</v>
      </c>
      <c r="G19" s="7">
        <v>2.7489840000000001E-2</v>
      </c>
      <c r="H19" s="52"/>
    </row>
    <row r="20" spans="1:10" ht="17.100000000000001" customHeight="1" x14ac:dyDescent="0.2">
      <c r="A20" s="3">
        <v>14</v>
      </c>
      <c r="B20" s="4" t="s">
        <v>337</v>
      </c>
      <c r="C20" s="4" t="s">
        <v>338</v>
      </c>
      <c r="D20" s="4" t="s">
        <v>208</v>
      </c>
      <c r="E20" s="5">
        <v>2198000</v>
      </c>
      <c r="F20" s="6">
        <v>2310.098</v>
      </c>
      <c r="G20" s="7">
        <v>2.5854530000000001E-2</v>
      </c>
      <c r="H20" s="52"/>
    </row>
    <row r="21" spans="1:10" ht="29.1" customHeight="1" x14ac:dyDescent="0.2">
      <c r="A21" s="3">
        <v>15</v>
      </c>
      <c r="B21" s="4" t="s">
        <v>333</v>
      </c>
      <c r="C21" s="4" t="s">
        <v>334</v>
      </c>
      <c r="D21" s="4" t="s">
        <v>226</v>
      </c>
      <c r="E21" s="5">
        <v>43000</v>
      </c>
      <c r="F21" s="6">
        <v>2308.0464999999999</v>
      </c>
      <c r="G21" s="7">
        <v>2.5831570000000002E-2</v>
      </c>
      <c r="H21" s="52"/>
    </row>
    <row r="22" spans="1:10" ht="29.1" customHeight="1" x14ac:dyDescent="0.2">
      <c r="A22" s="3">
        <v>16</v>
      </c>
      <c r="B22" s="4" t="s">
        <v>327</v>
      </c>
      <c r="C22" s="4" t="s">
        <v>328</v>
      </c>
      <c r="D22" s="4" t="s">
        <v>226</v>
      </c>
      <c r="E22" s="5">
        <v>209000</v>
      </c>
      <c r="F22" s="6">
        <v>2275.174</v>
      </c>
      <c r="G22" s="7">
        <v>2.5463659999999999E-2</v>
      </c>
      <c r="H22" s="52"/>
      <c r="J22" s="101" t="s">
        <v>1077</v>
      </c>
    </row>
    <row r="23" spans="1:10" ht="17.100000000000001" customHeight="1" x14ac:dyDescent="0.2">
      <c r="A23" s="3">
        <v>17</v>
      </c>
      <c r="B23" s="4" t="s">
        <v>353</v>
      </c>
      <c r="C23" s="4" t="s">
        <v>354</v>
      </c>
      <c r="D23" s="4" t="s">
        <v>888</v>
      </c>
      <c r="E23" s="5">
        <v>41000</v>
      </c>
      <c r="F23" s="6">
        <v>2074.7640000000001</v>
      </c>
      <c r="G23" s="7">
        <v>2.322068E-2</v>
      </c>
      <c r="H23" s="52"/>
    </row>
    <row r="24" spans="1:10" ht="17.100000000000001" customHeight="1" x14ac:dyDescent="0.2">
      <c r="A24" s="3">
        <v>18</v>
      </c>
      <c r="B24" s="4" t="s">
        <v>299</v>
      </c>
      <c r="C24" s="4" t="s">
        <v>300</v>
      </c>
      <c r="D24" s="4" t="s">
        <v>208</v>
      </c>
      <c r="E24" s="5">
        <v>1468000</v>
      </c>
      <c r="F24" s="6">
        <v>2045.6579999999999</v>
      </c>
      <c r="G24" s="7">
        <v>2.2894930000000001E-2</v>
      </c>
      <c r="H24" s="52"/>
    </row>
    <row r="25" spans="1:10" ht="17.100000000000001" customHeight="1" x14ac:dyDescent="0.2">
      <c r="A25" s="3">
        <v>19</v>
      </c>
      <c r="B25" s="4" t="s">
        <v>87</v>
      </c>
      <c r="C25" s="4" t="s">
        <v>88</v>
      </c>
      <c r="D25" s="4" t="s">
        <v>43</v>
      </c>
      <c r="E25" s="5">
        <v>568000</v>
      </c>
      <c r="F25" s="6">
        <v>2040.2560000000001</v>
      </c>
      <c r="G25" s="7">
        <v>2.2834469999999999E-2</v>
      </c>
      <c r="H25" s="52"/>
    </row>
    <row r="26" spans="1:10" ht="53.1" customHeight="1" x14ac:dyDescent="0.2">
      <c r="A26" s="3">
        <v>20</v>
      </c>
      <c r="B26" s="4" t="s">
        <v>71</v>
      </c>
      <c r="C26" s="4" t="s">
        <v>72</v>
      </c>
      <c r="D26" s="4" t="s">
        <v>73</v>
      </c>
      <c r="E26" s="5">
        <v>1215000</v>
      </c>
      <c r="F26" s="6">
        <v>2037.5550000000001</v>
      </c>
      <c r="G26" s="7">
        <v>2.280424E-2</v>
      </c>
      <c r="H26" s="52"/>
    </row>
    <row r="27" spans="1:10" ht="29.1" customHeight="1" x14ac:dyDescent="0.2">
      <c r="A27" s="3">
        <v>21</v>
      </c>
      <c r="B27" s="4" t="s">
        <v>378</v>
      </c>
      <c r="C27" s="4" t="s">
        <v>379</v>
      </c>
      <c r="D27" s="4" t="s">
        <v>226</v>
      </c>
      <c r="E27" s="5">
        <v>233000</v>
      </c>
      <c r="F27" s="6">
        <v>1979.335</v>
      </c>
      <c r="G27" s="7">
        <v>2.2152640000000001E-2</v>
      </c>
      <c r="H27" s="52"/>
    </row>
    <row r="28" spans="1:10" ht="29.1" customHeight="1" x14ac:dyDescent="0.2">
      <c r="A28" s="3">
        <v>22</v>
      </c>
      <c r="B28" s="4" t="s">
        <v>34</v>
      </c>
      <c r="C28" s="4" t="s">
        <v>35</v>
      </c>
      <c r="D28" s="4" t="s">
        <v>36</v>
      </c>
      <c r="E28" s="5">
        <v>1460000</v>
      </c>
      <c r="F28" s="6">
        <v>1945.45</v>
      </c>
      <c r="G28" s="7">
        <v>2.1773399999999998E-2</v>
      </c>
      <c r="H28" s="52"/>
    </row>
    <row r="29" spans="1:10" ht="17.100000000000001" customHeight="1" x14ac:dyDescent="0.2">
      <c r="A29" s="3">
        <v>23</v>
      </c>
      <c r="B29" s="4" t="s">
        <v>281</v>
      </c>
      <c r="C29" s="4" t="s">
        <v>282</v>
      </c>
      <c r="D29" s="4" t="s">
        <v>283</v>
      </c>
      <c r="E29" s="5">
        <v>119000</v>
      </c>
      <c r="F29" s="6">
        <v>1922.0284999999999</v>
      </c>
      <c r="G29" s="7">
        <v>2.1511269999999999E-2</v>
      </c>
      <c r="H29" s="52"/>
    </row>
    <row r="30" spans="1:10" ht="17.100000000000001" customHeight="1" x14ac:dyDescent="0.2">
      <c r="A30" s="3">
        <v>24</v>
      </c>
      <c r="B30" s="4" t="s">
        <v>253</v>
      </c>
      <c r="C30" s="4" t="s">
        <v>254</v>
      </c>
      <c r="D30" s="4" t="s">
        <v>208</v>
      </c>
      <c r="E30" s="5">
        <v>46000</v>
      </c>
      <c r="F30" s="6">
        <v>1878.7550000000001</v>
      </c>
      <c r="G30" s="7">
        <v>2.1026949999999999E-2</v>
      </c>
      <c r="H30" s="52"/>
    </row>
    <row r="31" spans="1:10" ht="17.100000000000001" customHeight="1" x14ac:dyDescent="0.2">
      <c r="A31" s="3">
        <v>25</v>
      </c>
      <c r="B31" s="4" t="s">
        <v>110</v>
      </c>
      <c r="C31" s="4" t="s">
        <v>111</v>
      </c>
      <c r="D31" s="4" t="s">
        <v>105</v>
      </c>
      <c r="E31" s="5">
        <v>319788</v>
      </c>
      <c r="F31" s="6">
        <v>1731.65202</v>
      </c>
      <c r="G31" s="7">
        <v>1.9380580000000001E-2</v>
      </c>
      <c r="H31" s="52"/>
    </row>
    <row r="32" spans="1:10" ht="17.100000000000001" customHeight="1" x14ac:dyDescent="0.2">
      <c r="A32" s="3">
        <v>26</v>
      </c>
      <c r="B32" s="4" t="s">
        <v>364</v>
      </c>
      <c r="C32" s="4" t="s">
        <v>365</v>
      </c>
      <c r="D32" s="4" t="s">
        <v>208</v>
      </c>
      <c r="E32" s="5">
        <v>125000</v>
      </c>
      <c r="F32" s="6">
        <v>1615.1875</v>
      </c>
      <c r="G32" s="7">
        <v>1.8077119999999999E-2</v>
      </c>
      <c r="H32" s="52"/>
    </row>
    <row r="33" spans="1:8" ht="17.100000000000001" customHeight="1" x14ac:dyDescent="0.2">
      <c r="A33" s="3">
        <v>27</v>
      </c>
      <c r="B33" s="4" t="s">
        <v>117</v>
      </c>
      <c r="C33" s="4" t="s">
        <v>118</v>
      </c>
      <c r="D33" s="4" t="s">
        <v>43</v>
      </c>
      <c r="E33" s="5">
        <v>663000</v>
      </c>
      <c r="F33" s="6">
        <v>1605.7860000000001</v>
      </c>
      <c r="G33" s="7">
        <v>1.7971890000000001E-2</v>
      </c>
      <c r="H33" s="52"/>
    </row>
    <row r="34" spans="1:8" ht="17.100000000000001" customHeight="1" x14ac:dyDescent="0.2">
      <c r="A34" s="3">
        <v>28</v>
      </c>
      <c r="B34" s="4" t="s">
        <v>41</v>
      </c>
      <c r="C34" s="4" t="s">
        <v>42</v>
      </c>
      <c r="D34" s="4" t="s">
        <v>43</v>
      </c>
      <c r="E34" s="5">
        <v>39000</v>
      </c>
      <c r="F34" s="6">
        <v>1602.627</v>
      </c>
      <c r="G34" s="7">
        <v>1.7936540000000001E-2</v>
      </c>
      <c r="H34" s="52"/>
    </row>
    <row r="35" spans="1:8" ht="29.1" customHeight="1" x14ac:dyDescent="0.2">
      <c r="A35" s="3">
        <v>29</v>
      </c>
      <c r="B35" s="4" t="s">
        <v>542</v>
      </c>
      <c r="C35" s="4" t="s">
        <v>543</v>
      </c>
      <c r="D35" s="4" t="s">
        <v>544</v>
      </c>
      <c r="E35" s="5">
        <v>375000</v>
      </c>
      <c r="F35" s="6">
        <v>1461.9375</v>
      </c>
      <c r="G35" s="7">
        <v>1.636195E-2</v>
      </c>
      <c r="H35" s="52"/>
    </row>
    <row r="36" spans="1:8" ht="17.100000000000001" customHeight="1" x14ac:dyDescent="0.2">
      <c r="A36" s="3">
        <v>30</v>
      </c>
      <c r="B36" s="4" t="s">
        <v>236</v>
      </c>
      <c r="C36" s="4" t="s">
        <v>237</v>
      </c>
      <c r="D36" s="4" t="s">
        <v>888</v>
      </c>
      <c r="E36" s="5">
        <v>21210</v>
      </c>
      <c r="F36" s="6">
        <v>1057.1594250000001</v>
      </c>
      <c r="G36" s="7">
        <v>1.1831690000000001E-2</v>
      </c>
      <c r="H36" s="52"/>
    </row>
    <row r="37" spans="1:8" ht="14.1" customHeight="1" x14ac:dyDescent="0.2">
      <c r="A37" s="1"/>
      <c r="B37" s="1"/>
      <c r="C37" s="2" t="s">
        <v>145</v>
      </c>
      <c r="D37" s="1"/>
      <c r="E37" s="1" t="s">
        <v>146</v>
      </c>
      <c r="F37" s="9">
        <v>85002.695562499997</v>
      </c>
      <c r="G37" s="10">
        <v>0.95134688999999995</v>
      </c>
      <c r="H37" s="52"/>
    </row>
    <row r="38" spans="1:8" ht="14.1" customHeight="1" x14ac:dyDescent="0.2">
      <c r="A38" s="1"/>
      <c r="B38" s="1"/>
      <c r="C38" s="11"/>
      <c r="D38" s="1"/>
      <c r="E38" s="1"/>
      <c r="F38" s="12"/>
      <c r="G38" s="12"/>
      <c r="H38" s="52"/>
    </row>
    <row r="39" spans="1:8" ht="14.1" customHeight="1" x14ac:dyDescent="0.2">
      <c r="A39" s="1"/>
      <c r="B39" s="1"/>
      <c r="C39" s="2" t="s">
        <v>147</v>
      </c>
      <c r="D39" s="1"/>
      <c r="E39" s="1"/>
      <c r="F39" s="1"/>
      <c r="G39" s="1"/>
      <c r="H39" s="52"/>
    </row>
    <row r="40" spans="1:8" ht="14.1" customHeight="1" x14ac:dyDescent="0.2">
      <c r="A40" s="1"/>
      <c r="B40" s="1"/>
      <c r="C40" s="2" t="s">
        <v>145</v>
      </c>
      <c r="D40" s="1"/>
      <c r="E40" s="1" t="s">
        <v>146</v>
      </c>
      <c r="F40" s="13" t="s">
        <v>148</v>
      </c>
      <c r="G40" s="10">
        <v>0</v>
      </c>
      <c r="H40" s="52"/>
    </row>
    <row r="41" spans="1:8" ht="14.1" customHeight="1" x14ac:dyDescent="0.2">
      <c r="A41" s="1"/>
      <c r="B41" s="1"/>
      <c r="C41" s="11"/>
      <c r="D41" s="1"/>
      <c r="E41" s="1"/>
      <c r="F41" s="12"/>
      <c r="G41" s="12"/>
      <c r="H41" s="52"/>
    </row>
    <row r="42" spans="1:8" ht="14.1" customHeight="1" x14ac:dyDescent="0.2">
      <c r="A42" s="1"/>
      <c r="B42" s="1"/>
      <c r="C42" s="2" t="s">
        <v>149</v>
      </c>
      <c r="D42" s="1"/>
      <c r="E42" s="1"/>
      <c r="F42" s="1"/>
      <c r="G42" s="1"/>
      <c r="H42" s="52"/>
    </row>
    <row r="43" spans="1:8" ht="14.1" customHeight="1" x14ac:dyDescent="0.2">
      <c r="A43" s="1"/>
      <c r="B43" s="1"/>
      <c r="C43" s="2" t="s">
        <v>145</v>
      </c>
      <c r="D43" s="1"/>
      <c r="E43" s="1" t="s">
        <v>146</v>
      </c>
      <c r="F43" s="13" t="s">
        <v>148</v>
      </c>
      <c r="G43" s="10">
        <v>0</v>
      </c>
      <c r="H43" s="52"/>
    </row>
    <row r="44" spans="1:8" ht="14.1" customHeight="1" x14ac:dyDescent="0.2">
      <c r="A44" s="1"/>
      <c r="B44" s="1"/>
      <c r="C44" s="11"/>
      <c r="D44" s="1"/>
      <c r="E44" s="1"/>
      <c r="F44" s="12"/>
      <c r="G44" s="12"/>
      <c r="H44" s="52"/>
    </row>
    <row r="45" spans="1:8" ht="14.1" customHeight="1" x14ac:dyDescent="0.2">
      <c r="A45" s="1"/>
      <c r="B45" s="1"/>
      <c r="C45" s="2" t="s">
        <v>150</v>
      </c>
      <c r="D45" s="1"/>
      <c r="E45" s="1"/>
      <c r="F45" s="1"/>
      <c r="G45" s="1"/>
      <c r="H45" s="52"/>
    </row>
    <row r="46" spans="1:8" ht="14.1" customHeight="1" x14ac:dyDescent="0.2">
      <c r="A46" s="1"/>
      <c r="B46" s="1"/>
      <c r="C46" s="2" t="s">
        <v>145</v>
      </c>
      <c r="D46" s="1"/>
      <c r="E46" s="1" t="s">
        <v>146</v>
      </c>
      <c r="F46" s="13" t="s">
        <v>148</v>
      </c>
      <c r="G46" s="10">
        <v>0</v>
      </c>
      <c r="H46" s="52"/>
    </row>
    <row r="47" spans="1:8" ht="14.1" customHeight="1" x14ac:dyDescent="0.2">
      <c r="A47" s="1"/>
      <c r="B47" s="1"/>
      <c r="C47" s="11"/>
      <c r="D47" s="1"/>
      <c r="E47" s="1"/>
      <c r="F47" s="12"/>
      <c r="G47" s="12"/>
      <c r="H47" s="52"/>
    </row>
    <row r="48" spans="1:8" ht="14.1" customHeight="1" x14ac:dyDescent="0.2">
      <c r="A48" s="1"/>
      <c r="B48" s="1"/>
      <c r="C48" s="2" t="s">
        <v>151</v>
      </c>
      <c r="D48" s="1"/>
      <c r="E48" s="1"/>
      <c r="F48" s="12"/>
      <c r="G48" s="12"/>
      <c r="H48" s="52"/>
    </row>
    <row r="49" spans="1:8" ht="14.1" customHeight="1" x14ac:dyDescent="0.2">
      <c r="A49" s="1"/>
      <c r="B49" s="1"/>
      <c r="C49" s="2" t="s">
        <v>145</v>
      </c>
      <c r="D49" s="1"/>
      <c r="E49" s="1" t="s">
        <v>146</v>
      </c>
      <c r="F49" s="13" t="s">
        <v>148</v>
      </c>
      <c r="G49" s="10">
        <v>0</v>
      </c>
      <c r="H49" s="52"/>
    </row>
    <row r="50" spans="1:8" ht="14.1" customHeight="1" x14ac:dyDescent="0.2">
      <c r="A50" s="1"/>
      <c r="B50" s="1"/>
      <c r="C50" s="11"/>
      <c r="D50" s="1"/>
      <c r="E50" s="1"/>
      <c r="F50" s="12"/>
      <c r="G50" s="12"/>
      <c r="H50" s="52"/>
    </row>
    <row r="51" spans="1:8" ht="14.1" customHeight="1" x14ac:dyDescent="0.2">
      <c r="A51" s="1"/>
      <c r="B51" s="1"/>
      <c r="C51" s="2" t="s">
        <v>152</v>
      </c>
      <c r="D51" s="1"/>
      <c r="E51" s="1"/>
      <c r="F51" s="12"/>
      <c r="G51" s="12"/>
      <c r="H51" s="52"/>
    </row>
    <row r="52" spans="1:8" ht="14.1" customHeight="1" x14ac:dyDescent="0.2">
      <c r="A52" s="1"/>
      <c r="B52" s="1"/>
      <c r="C52" s="2" t="s">
        <v>145</v>
      </c>
      <c r="D52" s="1"/>
      <c r="E52" s="1" t="s">
        <v>146</v>
      </c>
      <c r="F52" s="13" t="s">
        <v>148</v>
      </c>
      <c r="G52" s="10">
        <v>0</v>
      </c>
      <c r="H52" s="52"/>
    </row>
    <row r="53" spans="1:8" ht="14.1" customHeight="1" x14ac:dyDescent="0.2">
      <c r="A53" s="1"/>
      <c r="B53" s="1"/>
      <c r="C53" s="11"/>
      <c r="D53" s="1"/>
      <c r="E53" s="1"/>
      <c r="F53" s="12"/>
      <c r="G53" s="12"/>
      <c r="H53" s="52"/>
    </row>
    <row r="54" spans="1:8" ht="18" customHeight="1" x14ac:dyDescent="0.2">
      <c r="A54" s="1"/>
      <c r="B54" s="1"/>
      <c r="C54" s="2" t="s">
        <v>153</v>
      </c>
      <c r="D54" s="1"/>
      <c r="E54" s="1"/>
      <c r="F54" s="9">
        <v>85002.695562499997</v>
      </c>
      <c r="G54" s="10">
        <v>0.95134688999999995</v>
      </c>
      <c r="H54" s="52"/>
    </row>
    <row r="55" spans="1:8" ht="14.1" customHeight="1" x14ac:dyDescent="0.2">
      <c r="A55" s="1"/>
      <c r="B55" s="1"/>
      <c r="C55" s="11"/>
      <c r="D55" s="1"/>
      <c r="E55" s="1"/>
      <c r="F55" s="12"/>
      <c r="G55" s="12"/>
      <c r="H55" s="52"/>
    </row>
    <row r="56" spans="1:8" ht="14.1" customHeight="1" x14ac:dyDescent="0.2">
      <c r="A56" s="1"/>
      <c r="B56" s="1"/>
      <c r="C56" s="2" t="s">
        <v>154</v>
      </c>
      <c r="D56" s="1"/>
      <c r="E56" s="1"/>
      <c r="F56" s="12"/>
      <c r="G56" s="12"/>
      <c r="H56" s="52"/>
    </row>
    <row r="57" spans="1:8" ht="24" customHeight="1" x14ac:dyDescent="0.2">
      <c r="A57" s="1"/>
      <c r="B57" s="1"/>
      <c r="C57" s="2" t="s">
        <v>10</v>
      </c>
      <c r="D57" s="1"/>
      <c r="E57" s="1"/>
      <c r="F57" s="12"/>
      <c r="G57" s="12"/>
      <c r="H57" s="52"/>
    </row>
    <row r="58" spans="1:8" ht="14.1" customHeight="1" x14ac:dyDescent="0.2">
      <c r="A58" s="1"/>
      <c r="B58" s="1"/>
      <c r="C58" s="2" t="s">
        <v>145</v>
      </c>
      <c r="D58" s="1"/>
      <c r="E58" s="1" t="s">
        <v>146</v>
      </c>
      <c r="F58" s="13" t="s">
        <v>148</v>
      </c>
      <c r="G58" s="10">
        <v>0</v>
      </c>
      <c r="H58" s="52"/>
    </row>
    <row r="59" spans="1:8" ht="14.1" customHeight="1" x14ac:dyDescent="0.2">
      <c r="A59" s="1"/>
      <c r="B59" s="1"/>
      <c r="C59" s="11"/>
      <c r="D59" s="1"/>
      <c r="E59" s="1"/>
      <c r="F59" s="12"/>
      <c r="G59" s="12"/>
      <c r="H59" s="52"/>
    </row>
    <row r="60" spans="1:8" ht="14.1" customHeight="1" x14ac:dyDescent="0.2">
      <c r="A60" s="1"/>
      <c r="B60" s="1"/>
      <c r="C60" s="2" t="s">
        <v>155</v>
      </c>
      <c r="D60" s="1"/>
      <c r="E60" s="1"/>
      <c r="F60" s="1"/>
      <c r="G60" s="1"/>
      <c r="H60" s="52"/>
    </row>
    <row r="61" spans="1:8" ht="14.1" customHeight="1" x14ac:dyDescent="0.2">
      <c r="A61" s="1"/>
      <c r="B61" s="1"/>
      <c r="C61" s="2" t="s">
        <v>145</v>
      </c>
      <c r="D61" s="1"/>
      <c r="E61" s="1" t="s">
        <v>146</v>
      </c>
      <c r="F61" s="13" t="s">
        <v>148</v>
      </c>
      <c r="G61" s="10">
        <v>0</v>
      </c>
      <c r="H61" s="52"/>
    </row>
    <row r="62" spans="1:8" ht="14.1" customHeight="1" x14ac:dyDescent="0.2">
      <c r="A62" s="1"/>
      <c r="B62" s="1"/>
      <c r="C62" s="11"/>
      <c r="D62" s="1"/>
      <c r="E62" s="1"/>
      <c r="F62" s="12"/>
      <c r="G62" s="12"/>
      <c r="H62" s="52"/>
    </row>
    <row r="63" spans="1:8" ht="14.1" customHeight="1" x14ac:dyDescent="0.2">
      <c r="A63" s="1"/>
      <c r="B63" s="1"/>
      <c r="C63" s="2" t="s">
        <v>156</v>
      </c>
      <c r="D63" s="1"/>
      <c r="E63" s="1"/>
      <c r="F63" s="1"/>
      <c r="G63" s="1"/>
      <c r="H63" s="52"/>
    </row>
    <row r="64" spans="1:8" ht="14.1" customHeight="1" x14ac:dyDescent="0.2">
      <c r="A64" s="1"/>
      <c r="B64" s="1"/>
      <c r="C64" s="2" t="s">
        <v>145</v>
      </c>
      <c r="D64" s="1"/>
      <c r="E64" s="1" t="s">
        <v>146</v>
      </c>
      <c r="F64" s="13" t="s">
        <v>148</v>
      </c>
      <c r="G64" s="10">
        <v>0</v>
      </c>
      <c r="H64" s="52"/>
    </row>
    <row r="65" spans="1:8" ht="14.1" customHeight="1" x14ac:dyDescent="0.2">
      <c r="A65" s="1"/>
      <c r="B65" s="1"/>
      <c r="C65" s="11"/>
      <c r="D65" s="1"/>
      <c r="E65" s="1"/>
      <c r="F65" s="12"/>
      <c r="G65" s="12"/>
      <c r="H65" s="52"/>
    </row>
    <row r="66" spans="1:8" ht="14.1" customHeight="1" x14ac:dyDescent="0.2">
      <c r="A66" s="1"/>
      <c r="B66" s="1"/>
      <c r="C66" s="2" t="s">
        <v>157</v>
      </c>
      <c r="D66" s="1"/>
      <c r="E66" s="1"/>
      <c r="F66" s="12"/>
      <c r="G66" s="12"/>
      <c r="H66" s="52"/>
    </row>
    <row r="67" spans="1:8" ht="14.1" customHeight="1" x14ac:dyDescent="0.2">
      <c r="A67" s="1"/>
      <c r="B67" s="1"/>
      <c r="C67" s="2" t="s">
        <v>145</v>
      </c>
      <c r="D67" s="1"/>
      <c r="E67" s="1" t="s">
        <v>146</v>
      </c>
      <c r="F67" s="13" t="s">
        <v>148</v>
      </c>
      <c r="G67" s="10">
        <v>0</v>
      </c>
      <c r="H67" s="52"/>
    </row>
    <row r="68" spans="1:8" ht="14.1" customHeight="1" x14ac:dyDescent="0.2">
      <c r="A68" s="1"/>
      <c r="B68" s="1"/>
      <c r="C68" s="11"/>
      <c r="D68" s="1"/>
      <c r="E68" s="1"/>
      <c r="F68" s="12"/>
      <c r="G68" s="12"/>
      <c r="H68" s="52"/>
    </row>
    <row r="69" spans="1:8" ht="14.1" customHeight="1" x14ac:dyDescent="0.2">
      <c r="A69" s="1"/>
      <c r="B69" s="1"/>
      <c r="C69" s="2" t="s">
        <v>158</v>
      </c>
      <c r="D69" s="1"/>
      <c r="E69" s="1"/>
      <c r="F69" s="9">
        <v>0</v>
      </c>
      <c r="G69" s="10">
        <v>0</v>
      </c>
      <c r="H69" s="52"/>
    </row>
    <row r="70" spans="1:8" ht="14.1" customHeight="1" x14ac:dyDescent="0.2">
      <c r="A70" s="1"/>
      <c r="B70" s="1"/>
      <c r="C70" s="11"/>
      <c r="D70" s="1"/>
      <c r="E70" s="1"/>
      <c r="F70" s="12"/>
      <c r="G70" s="12"/>
      <c r="H70" s="52"/>
    </row>
    <row r="71" spans="1:8" ht="14.1" customHeight="1" x14ac:dyDescent="0.2">
      <c r="A71" s="1"/>
      <c r="B71" s="1"/>
      <c r="C71" s="2" t="s">
        <v>159</v>
      </c>
      <c r="D71" s="1"/>
      <c r="E71" s="1"/>
      <c r="F71" s="12"/>
      <c r="G71" s="12"/>
      <c r="H71" s="52"/>
    </row>
    <row r="72" spans="1:8" ht="14.1" customHeight="1" x14ac:dyDescent="0.2">
      <c r="A72" s="1"/>
      <c r="B72" s="1"/>
      <c r="C72" s="2" t="s">
        <v>160</v>
      </c>
      <c r="D72" s="1"/>
      <c r="E72" s="1"/>
      <c r="F72" s="12"/>
      <c r="G72" s="12"/>
      <c r="H72" s="52"/>
    </row>
    <row r="73" spans="1:8" ht="14.1" customHeight="1" x14ac:dyDescent="0.2">
      <c r="A73" s="1"/>
      <c r="B73" s="1"/>
      <c r="C73" s="2" t="s">
        <v>145</v>
      </c>
      <c r="D73" s="1"/>
      <c r="E73" s="1" t="s">
        <v>146</v>
      </c>
      <c r="F73" s="13" t="s">
        <v>148</v>
      </c>
      <c r="G73" s="10">
        <v>0</v>
      </c>
      <c r="H73" s="52"/>
    </row>
    <row r="74" spans="1:8" ht="14.1" customHeight="1" x14ac:dyDescent="0.2">
      <c r="A74" s="1"/>
      <c r="B74" s="1"/>
      <c r="C74" s="11"/>
      <c r="D74" s="1"/>
      <c r="E74" s="1"/>
      <c r="F74" s="12"/>
      <c r="G74" s="12"/>
      <c r="H74" s="52"/>
    </row>
    <row r="75" spans="1:8" ht="14.1" customHeight="1" x14ac:dyDescent="0.2">
      <c r="A75" s="1"/>
      <c r="B75" s="1"/>
      <c r="C75" s="2" t="s">
        <v>161</v>
      </c>
      <c r="D75" s="1"/>
      <c r="E75" s="1"/>
      <c r="F75" s="12"/>
      <c r="G75" s="12"/>
      <c r="H75" s="52"/>
    </row>
    <row r="76" spans="1:8" ht="14.1" customHeight="1" x14ac:dyDescent="0.2">
      <c r="A76" s="1"/>
      <c r="B76" s="1"/>
      <c r="C76" s="2" t="s">
        <v>145</v>
      </c>
      <c r="D76" s="1"/>
      <c r="E76" s="1" t="s">
        <v>146</v>
      </c>
      <c r="F76" s="13" t="s">
        <v>148</v>
      </c>
      <c r="G76" s="10">
        <v>0</v>
      </c>
      <c r="H76" s="52"/>
    </row>
    <row r="77" spans="1:8" ht="14.1" customHeight="1" x14ac:dyDescent="0.2">
      <c r="A77" s="1"/>
      <c r="B77" s="1"/>
      <c r="C77" s="11"/>
      <c r="D77" s="1"/>
      <c r="E77" s="1"/>
      <c r="F77" s="12"/>
      <c r="G77" s="12"/>
      <c r="H77" s="52"/>
    </row>
    <row r="78" spans="1:8" ht="14.1" customHeight="1" x14ac:dyDescent="0.2">
      <c r="A78" s="1"/>
      <c r="B78" s="1"/>
      <c r="C78" s="2" t="s">
        <v>162</v>
      </c>
      <c r="D78" s="1"/>
      <c r="E78" s="1"/>
      <c r="F78" s="12"/>
      <c r="G78" s="12"/>
      <c r="H78" s="52"/>
    </row>
    <row r="79" spans="1:8" ht="14.1" customHeight="1" x14ac:dyDescent="0.2">
      <c r="A79" s="1"/>
      <c r="B79" s="1"/>
      <c r="C79" s="2" t="s">
        <v>145</v>
      </c>
      <c r="D79" s="1"/>
      <c r="E79" s="1" t="s">
        <v>146</v>
      </c>
      <c r="F79" s="13" t="s">
        <v>148</v>
      </c>
      <c r="G79" s="10">
        <v>0</v>
      </c>
      <c r="H79" s="52"/>
    </row>
    <row r="80" spans="1:8" ht="14.1" customHeight="1" x14ac:dyDescent="0.2">
      <c r="A80" s="1"/>
      <c r="B80" s="1"/>
      <c r="C80" s="11"/>
      <c r="D80" s="1"/>
      <c r="E80" s="1"/>
      <c r="F80" s="12"/>
      <c r="G80" s="12"/>
      <c r="H80" s="52"/>
    </row>
    <row r="81" spans="1:8" ht="14.1" customHeight="1" x14ac:dyDescent="0.2">
      <c r="A81" s="1"/>
      <c r="B81" s="1"/>
      <c r="C81" s="2" t="s">
        <v>163</v>
      </c>
      <c r="D81" s="1"/>
      <c r="E81" s="1"/>
      <c r="F81" s="12"/>
      <c r="G81" s="12"/>
      <c r="H81" s="52"/>
    </row>
    <row r="82" spans="1:8" ht="17.100000000000001" customHeight="1" x14ac:dyDescent="0.2">
      <c r="A82" s="3">
        <v>1</v>
      </c>
      <c r="B82" s="4"/>
      <c r="C82" s="4" t="s">
        <v>164</v>
      </c>
      <c r="D82" s="4"/>
      <c r="E82" s="8"/>
      <c r="F82" s="6">
        <v>4685.6830779769998</v>
      </c>
      <c r="G82" s="7">
        <v>5.2441979999999999E-2</v>
      </c>
      <c r="H82" s="52">
        <v>6.7567375937238596</v>
      </c>
    </row>
    <row r="83" spans="1:8" ht="14.1" customHeight="1" x14ac:dyDescent="0.2">
      <c r="A83" s="1"/>
      <c r="B83" s="1"/>
      <c r="C83" s="2" t="s">
        <v>145</v>
      </c>
      <c r="D83" s="1"/>
      <c r="E83" s="1" t="s">
        <v>146</v>
      </c>
      <c r="F83" s="9">
        <v>4685.6830779769998</v>
      </c>
      <c r="G83" s="10">
        <v>5.2441979999999999E-2</v>
      </c>
      <c r="H83" s="52"/>
    </row>
    <row r="84" spans="1:8" ht="14.1" customHeight="1" x14ac:dyDescent="0.2">
      <c r="A84" s="1"/>
      <c r="B84" s="1"/>
      <c r="C84" s="11"/>
      <c r="D84" s="1"/>
      <c r="E84" s="1"/>
      <c r="F84" s="12"/>
      <c r="G84" s="12"/>
      <c r="H84" s="52"/>
    </row>
    <row r="85" spans="1:8" ht="14.1" customHeight="1" x14ac:dyDescent="0.2">
      <c r="A85" s="1"/>
      <c r="B85" s="1"/>
      <c r="C85" s="2" t="s">
        <v>165</v>
      </c>
      <c r="D85" s="1"/>
      <c r="E85" s="1"/>
      <c r="F85" s="9">
        <v>4685.6830779769998</v>
      </c>
      <c r="G85" s="10">
        <v>5.2441979999999999E-2</v>
      </c>
      <c r="H85" s="52"/>
    </row>
    <row r="86" spans="1:8" ht="14.1" customHeight="1" x14ac:dyDescent="0.2">
      <c r="A86" s="1"/>
      <c r="B86" s="1"/>
      <c r="C86" s="12"/>
      <c r="D86" s="1"/>
      <c r="E86" s="1"/>
      <c r="F86" s="1"/>
      <c r="G86" s="1"/>
      <c r="H86" s="52"/>
    </row>
    <row r="87" spans="1:8" ht="14.1" customHeight="1" x14ac:dyDescent="0.2">
      <c r="A87" s="1"/>
      <c r="B87" s="1"/>
      <c r="C87" s="2" t="s">
        <v>166</v>
      </c>
      <c r="D87" s="1"/>
      <c r="E87" s="1"/>
      <c r="F87" s="1"/>
      <c r="G87" s="1"/>
      <c r="H87" s="52"/>
    </row>
    <row r="88" spans="1:8" ht="14.1" customHeight="1" x14ac:dyDescent="0.2">
      <c r="A88" s="1"/>
      <c r="B88" s="1"/>
      <c r="C88" s="2" t="s">
        <v>167</v>
      </c>
      <c r="D88" s="1"/>
      <c r="E88" s="1"/>
      <c r="F88" s="1"/>
      <c r="G88" s="1"/>
      <c r="H88" s="52"/>
    </row>
    <row r="89" spans="1:8" ht="14.1" customHeight="1" x14ac:dyDescent="0.2">
      <c r="A89" s="1"/>
      <c r="B89" s="1"/>
      <c r="C89" s="2" t="s">
        <v>145</v>
      </c>
      <c r="D89" s="1"/>
      <c r="E89" s="1" t="s">
        <v>146</v>
      </c>
      <c r="F89" s="13" t="s">
        <v>148</v>
      </c>
      <c r="G89" s="10">
        <v>0</v>
      </c>
      <c r="H89" s="52"/>
    </row>
    <row r="90" spans="1:8" ht="14.1" customHeight="1" x14ac:dyDescent="0.2">
      <c r="A90" s="1"/>
      <c r="B90" s="1"/>
      <c r="C90" s="11"/>
      <c r="D90" s="1"/>
      <c r="E90" s="1"/>
      <c r="F90" s="12"/>
      <c r="G90" s="12"/>
      <c r="H90" s="52"/>
    </row>
    <row r="91" spans="1:8" ht="14.1" customHeight="1" x14ac:dyDescent="0.2">
      <c r="A91" s="1"/>
      <c r="B91" s="1"/>
      <c r="C91" s="2" t="s">
        <v>168</v>
      </c>
      <c r="D91" s="1"/>
      <c r="E91" s="1"/>
      <c r="F91" s="1"/>
      <c r="G91" s="1"/>
      <c r="H91" s="52"/>
    </row>
    <row r="92" spans="1:8" ht="14.1" customHeight="1" x14ac:dyDescent="0.2">
      <c r="A92" s="1"/>
      <c r="B92" s="1"/>
      <c r="C92" s="2" t="s">
        <v>169</v>
      </c>
      <c r="D92" s="1"/>
      <c r="E92" s="1"/>
      <c r="F92" s="1"/>
      <c r="G92" s="1"/>
      <c r="H92" s="52"/>
    </row>
    <row r="93" spans="1:8" ht="14.1" customHeight="1" x14ac:dyDescent="0.2">
      <c r="A93" s="1"/>
      <c r="B93" s="1"/>
      <c r="C93" s="2" t="s">
        <v>145</v>
      </c>
      <c r="D93" s="1"/>
      <c r="E93" s="1" t="s">
        <v>146</v>
      </c>
      <c r="F93" s="13" t="s">
        <v>148</v>
      </c>
      <c r="G93" s="10">
        <v>0</v>
      </c>
      <c r="H93" s="52"/>
    </row>
    <row r="94" spans="1:8" ht="14.1" customHeight="1" x14ac:dyDescent="0.2">
      <c r="A94" s="1"/>
      <c r="B94" s="1"/>
      <c r="C94" s="11"/>
      <c r="D94" s="1"/>
      <c r="E94" s="1"/>
      <c r="F94" s="12"/>
      <c r="G94" s="12"/>
      <c r="H94" s="52"/>
    </row>
    <row r="95" spans="1:8" ht="24" customHeight="1" x14ac:dyDescent="0.2">
      <c r="A95" s="1"/>
      <c r="B95" s="1"/>
      <c r="C95" s="2" t="s">
        <v>170</v>
      </c>
      <c r="D95" s="1"/>
      <c r="E95" s="1"/>
      <c r="F95" s="12"/>
      <c r="G95" s="12"/>
      <c r="H95" s="52"/>
    </row>
    <row r="96" spans="1:8" ht="14.1" customHeight="1" x14ac:dyDescent="0.2">
      <c r="A96" s="1"/>
      <c r="B96" s="1"/>
      <c r="C96" s="2" t="s">
        <v>145</v>
      </c>
      <c r="D96" s="1"/>
      <c r="E96" s="1" t="s">
        <v>146</v>
      </c>
      <c r="F96" s="13" t="s">
        <v>148</v>
      </c>
      <c r="G96" s="10">
        <v>0</v>
      </c>
      <c r="H96" s="52"/>
    </row>
    <row r="97" spans="1:8" ht="14.1" customHeight="1" x14ac:dyDescent="0.2">
      <c r="A97" s="1"/>
      <c r="B97" s="1"/>
      <c r="C97" s="11"/>
      <c r="D97" s="1"/>
      <c r="E97" s="1"/>
      <c r="F97" s="12"/>
      <c r="G97" s="12"/>
      <c r="H97" s="52"/>
    </row>
    <row r="98" spans="1:8" ht="14.1" customHeight="1" x14ac:dyDescent="0.2">
      <c r="A98" s="1"/>
      <c r="B98" s="4"/>
      <c r="C98" s="4"/>
      <c r="D98" s="2"/>
      <c r="E98" s="1"/>
      <c r="F98" s="4"/>
      <c r="G98" s="8"/>
      <c r="H98" s="52"/>
    </row>
    <row r="99" spans="1:8" ht="18" customHeight="1" x14ac:dyDescent="0.2">
      <c r="A99" s="8"/>
      <c r="B99" s="4"/>
      <c r="C99" s="4" t="s">
        <v>171</v>
      </c>
      <c r="D99" s="4"/>
      <c r="E99" s="8"/>
      <c r="F99" s="6">
        <v>-338.53255675999998</v>
      </c>
      <c r="G99" s="7">
        <v>-3.7888399999999999E-3</v>
      </c>
      <c r="H99" s="52"/>
    </row>
    <row r="100" spans="1:8" ht="14.1" customHeight="1" x14ac:dyDescent="0.2">
      <c r="A100" s="11"/>
      <c r="B100" s="11"/>
      <c r="C100" s="2" t="s">
        <v>172</v>
      </c>
      <c r="D100" s="12"/>
      <c r="E100" s="12"/>
      <c r="F100" s="9">
        <v>89349.846083716999</v>
      </c>
      <c r="G100" s="14">
        <v>1.00000003</v>
      </c>
      <c r="H100" s="52"/>
    </row>
    <row r="101" spans="1:8" ht="14.1" customHeight="1" x14ac:dyDescent="0.2">
      <c r="A101" s="15"/>
      <c r="B101" s="15"/>
      <c r="C101" s="15"/>
      <c r="D101" s="16"/>
      <c r="E101" s="16"/>
      <c r="F101" s="16"/>
      <c r="G101" s="16"/>
    </row>
    <row r="102" spans="1:8" ht="14.1" customHeight="1" x14ac:dyDescent="0.2">
      <c r="A102" s="17"/>
      <c r="B102" s="17"/>
      <c r="C102" s="17"/>
      <c r="D102" s="19"/>
      <c r="E102" s="19"/>
      <c r="F102" s="19"/>
      <c r="G102" s="19"/>
    </row>
    <row r="103" spans="1:8" ht="14.1" customHeight="1" x14ac:dyDescent="0.2">
      <c r="A103" s="17"/>
      <c r="B103" s="127" t="s">
        <v>174</v>
      </c>
      <c r="C103" s="128"/>
      <c r="D103" s="129"/>
      <c r="E103" s="20"/>
      <c r="F103" s="19"/>
      <c r="G103" s="19"/>
    </row>
    <row r="104" spans="1:8" ht="29.1" customHeight="1" x14ac:dyDescent="0.2">
      <c r="A104" s="17"/>
      <c r="B104" s="121" t="s">
        <v>175</v>
      </c>
      <c r="C104" s="122"/>
      <c r="D104" s="2" t="s">
        <v>176</v>
      </c>
      <c r="E104" s="20"/>
      <c r="F104" s="19"/>
      <c r="G104" s="19"/>
    </row>
    <row r="105" spans="1:8" ht="17.100000000000001" customHeight="1" x14ac:dyDescent="0.2">
      <c r="A105" s="17"/>
      <c r="B105" s="121" t="s">
        <v>177</v>
      </c>
      <c r="C105" s="122"/>
      <c r="D105" s="2" t="s">
        <v>176</v>
      </c>
      <c r="E105" s="20"/>
      <c r="F105" s="19"/>
      <c r="G105" s="19"/>
    </row>
    <row r="106" spans="1:8" ht="17.100000000000001" customHeight="1" x14ac:dyDescent="0.2">
      <c r="A106" s="17"/>
      <c r="B106" s="121" t="s">
        <v>178</v>
      </c>
      <c r="C106" s="122"/>
      <c r="D106" s="12" t="s">
        <v>146</v>
      </c>
      <c r="E106" s="20"/>
      <c r="F106" s="19"/>
      <c r="G106" s="19"/>
    </row>
    <row r="107" spans="1:8" ht="24" customHeight="1" x14ac:dyDescent="0.2">
      <c r="A107" s="21"/>
      <c r="B107" s="22" t="s">
        <v>146</v>
      </c>
      <c r="C107" s="22" t="s">
        <v>179</v>
      </c>
      <c r="D107" s="22" t="s">
        <v>180</v>
      </c>
      <c r="E107" s="21"/>
      <c r="F107" s="21"/>
      <c r="G107" s="21"/>
    </row>
    <row r="108" spans="1:8" ht="18" customHeight="1" x14ac:dyDescent="0.2">
      <c r="A108" s="21"/>
      <c r="B108" s="23" t="s">
        <v>181</v>
      </c>
      <c r="C108" s="22" t="s">
        <v>182</v>
      </c>
      <c r="D108" s="22" t="s">
        <v>183</v>
      </c>
      <c r="E108" s="21"/>
      <c r="F108" s="21"/>
      <c r="G108" s="21"/>
    </row>
    <row r="109" spans="1:8" ht="17.100000000000001" customHeight="1" x14ac:dyDescent="0.2">
      <c r="A109" s="21"/>
      <c r="B109" s="4" t="s">
        <v>184</v>
      </c>
      <c r="C109" s="24">
        <v>135.8623</v>
      </c>
      <c r="D109" s="24">
        <v>131.26179999999999</v>
      </c>
      <c r="E109" s="21"/>
      <c r="F109" s="18"/>
      <c r="G109" s="25"/>
    </row>
    <row r="110" spans="1:8" ht="29.1" customHeight="1" x14ac:dyDescent="0.2">
      <c r="A110" s="21"/>
      <c r="B110" s="4" t="s">
        <v>1042</v>
      </c>
      <c r="C110" s="24">
        <v>38.593200000000003</v>
      </c>
      <c r="D110" s="24">
        <v>37.2864</v>
      </c>
      <c r="E110" s="21"/>
      <c r="F110" s="18"/>
      <c r="G110" s="25"/>
    </row>
    <row r="111" spans="1:8" ht="17.100000000000001" customHeight="1" x14ac:dyDescent="0.2">
      <c r="A111" s="21"/>
      <c r="B111" s="4" t="s">
        <v>185</v>
      </c>
      <c r="C111" s="24">
        <v>124.9293</v>
      </c>
      <c r="D111" s="24">
        <v>120.5941</v>
      </c>
      <c r="E111" s="21"/>
      <c r="F111" s="18"/>
      <c r="G111" s="25"/>
    </row>
    <row r="112" spans="1:8" ht="29.1" customHeight="1" x14ac:dyDescent="0.2">
      <c r="A112" s="21"/>
      <c r="B112" s="4" t="s">
        <v>1043</v>
      </c>
      <c r="C112" s="24">
        <v>36.144599999999997</v>
      </c>
      <c r="D112" s="24">
        <v>34.8904</v>
      </c>
      <c r="E112" s="21"/>
      <c r="F112" s="18"/>
      <c r="G112" s="25"/>
    </row>
    <row r="113" spans="1:7" ht="14.1" customHeight="1" x14ac:dyDescent="0.2">
      <c r="A113" s="21"/>
      <c r="B113" s="21"/>
      <c r="C113" s="21"/>
      <c r="D113" s="21"/>
      <c r="E113" s="21"/>
      <c r="F113" s="21"/>
      <c r="G113" s="21"/>
    </row>
    <row r="114" spans="1:7" ht="17.100000000000001" customHeight="1" x14ac:dyDescent="0.2">
      <c r="A114" s="21"/>
      <c r="B114" s="121" t="s">
        <v>1041</v>
      </c>
      <c r="C114" s="122"/>
      <c r="D114" s="2" t="s">
        <v>176</v>
      </c>
      <c r="E114" s="21"/>
      <c r="F114" s="21"/>
      <c r="G114" s="21"/>
    </row>
    <row r="115" spans="1:7" ht="18" customHeight="1" x14ac:dyDescent="0.2">
      <c r="A115" s="21"/>
      <c r="B115" s="26"/>
      <c r="C115" s="26"/>
      <c r="D115" s="26"/>
      <c r="E115" s="21"/>
      <c r="F115" s="21"/>
      <c r="G115" s="21"/>
    </row>
    <row r="116" spans="1:7" ht="29.1" customHeight="1" x14ac:dyDescent="0.2">
      <c r="A116" s="21"/>
      <c r="B116" s="121" t="s">
        <v>186</v>
      </c>
      <c r="C116" s="122"/>
      <c r="D116" s="2" t="s">
        <v>176</v>
      </c>
      <c r="E116" s="27"/>
      <c r="F116" s="21"/>
      <c r="G116" s="21"/>
    </row>
    <row r="117" spans="1:7" ht="29.1" customHeight="1" x14ac:dyDescent="0.2">
      <c r="A117" s="21"/>
      <c r="B117" s="121" t="s">
        <v>187</v>
      </c>
      <c r="C117" s="122"/>
      <c r="D117" s="2" t="s">
        <v>176</v>
      </c>
      <c r="E117" s="27"/>
      <c r="F117" s="21"/>
      <c r="G117" s="21"/>
    </row>
    <row r="118" spans="1:7" ht="17.100000000000001" customHeight="1" x14ac:dyDescent="0.2">
      <c r="A118" s="21"/>
      <c r="B118" s="121" t="s">
        <v>188</v>
      </c>
      <c r="C118" s="122"/>
      <c r="D118" s="2" t="s">
        <v>176</v>
      </c>
      <c r="E118" s="27"/>
      <c r="F118" s="21"/>
      <c r="G118" s="21"/>
    </row>
    <row r="119" spans="1:7" ht="17.100000000000001" customHeight="1" x14ac:dyDescent="0.2">
      <c r="A119" s="21"/>
      <c r="B119" s="121" t="s">
        <v>189</v>
      </c>
      <c r="C119" s="122"/>
      <c r="D119" s="50">
        <v>0.47516860651719373</v>
      </c>
      <c r="E119" s="21"/>
      <c r="F119" s="18"/>
      <c r="G119" s="25"/>
    </row>
  </sheetData>
  <mergeCells count="13">
    <mergeCell ref="A1:H1"/>
    <mergeCell ref="A2:H2"/>
    <mergeCell ref="A3:H3"/>
    <mergeCell ref="J2:N2"/>
    <mergeCell ref="B119:C119"/>
    <mergeCell ref="B105:C105"/>
    <mergeCell ref="B106:C106"/>
    <mergeCell ref="B114:C114"/>
    <mergeCell ref="B116:C116"/>
    <mergeCell ref="B117:C117"/>
    <mergeCell ref="B118:C118"/>
    <mergeCell ref="B104:C104"/>
    <mergeCell ref="B103:D103"/>
  </mergeCells>
  <hyperlinks>
    <hyperlink ref="I1" location="Index!B20" display="Index" xr:uid="{B8F1C432-F912-4861-897B-1891E0473FFB}"/>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ummaryRight="0"/>
  </sheetPr>
  <dimension ref="A1:O163"/>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0" width="11.140625" bestFit="1" customWidth="1"/>
  </cols>
  <sheetData>
    <row r="1" spans="1:15" ht="18" customHeight="1" x14ac:dyDescent="0.2">
      <c r="A1" s="116" t="s">
        <v>0</v>
      </c>
      <c r="B1" s="116"/>
      <c r="C1" s="116"/>
      <c r="D1" s="116"/>
      <c r="E1" s="116"/>
      <c r="F1" s="116"/>
      <c r="G1" s="116"/>
      <c r="H1" s="116"/>
      <c r="I1" s="98" t="s">
        <v>1053</v>
      </c>
    </row>
    <row r="2" spans="1:15" ht="17.100000000000001" customHeight="1" x14ac:dyDescent="0.2">
      <c r="A2" s="117" t="s">
        <v>747</v>
      </c>
      <c r="B2" s="118"/>
      <c r="C2" s="118"/>
      <c r="D2" s="118"/>
      <c r="E2" s="118"/>
      <c r="F2" s="118"/>
      <c r="G2" s="118"/>
      <c r="H2" s="119"/>
      <c r="J2" s="120" t="s">
        <v>1054</v>
      </c>
      <c r="K2" s="120"/>
      <c r="L2" s="120"/>
      <c r="M2" s="120"/>
      <c r="N2" s="120"/>
    </row>
    <row r="3" spans="1:15" ht="21" customHeight="1" x14ac:dyDescent="0.2">
      <c r="A3" s="116" t="s">
        <v>1049</v>
      </c>
      <c r="B3" s="116"/>
      <c r="C3" s="116"/>
      <c r="D3" s="116"/>
      <c r="E3" s="116"/>
      <c r="F3" s="116"/>
      <c r="G3" s="116"/>
      <c r="H3" s="116"/>
    </row>
    <row r="4" spans="1:15" ht="30" x14ac:dyDescent="0.2">
      <c r="A4" s="96" t="s">
        <v>2</v>
      </c>
      <c r="B4" s="96" t="s">
        <v>3</v>
      </c>
      <c r="C4" s="96" t="s">
        <v>4</v>
      </c>
      <c r="D4" s="96" t="s">
        <v>5</v>
      </c>
      <c r="E4" s="96" t="s">
        <v>6</v>
      </c>
      <c r="F4" s="96" t="s">
        <v>7</v>
      </c>
      <c r="G4" s="96" t="s">
        <v>8</v>
      </c>
      <c r="H4" s="51" t="s">
        <v>1002</v>
      </c>
      <c r="I4" s="99"/>
      <c r="J4" s="99"/>
      <c r="K4" s="99"/>
      <c r="L4" s="99"/>
      <c r="M4" s="99"/>
      <c r="N4" s="99"/>
      <c r="O4" s="99"/>
    </row>
    <row r="5" spans="1:15" ht="14.1" customHeight="1" x14ac:dyDescent="0.2">
      <c r="A5" s="1"/>
      <c r="B5" s="1"/>
      <c r="C5" s="2" t="s">
        <v>9</v>
      </c>
      <c r="D5" s="1"/>
      <c r="E5" s="1"/>
      <c r="F5" s="1"/>
      <c r="G5" s="1"/>
      <c r="H5" s="52"/>
    </row>
    <row r="6" spans="1:15" ht="24" customHeight="1" x14ac:dyDescent="0.2">
      <c r="A6" s="1"/>
      <c r="B6" s="1"/>
      <c r="C6" s="2" t="s">
        <v>10</v>
      </c>
      <c r="D6" s="1"/>
      <c r="E6" s="1"/>
      <c r="F6" s="1"/>
      <c r="G6" s="1"/>
      <c r="H6" s="52"/>
    </row>
    <row r="7" spans="1:15" ht="17.100000000000001" customHeight="1" x14ac:dyDescent="0.2">
      <c r="A7" s="3">
        <v>1</v>
      </c>
      <c r="B7" s="4" t="s">
        <v>26</v>
      </c>
      <c r="C7" s="4" t="s">
        <v>27</v>
      </c>
      <c r="D7" s="4" t="s">
        <v>28</v>
      </c>
      <c r="E7" s="5">
        <v>1379228</v>
      </c>
      <c r="F7" s="6">
        <v>12624.763498</v>
      </c>
      <c r="G7" s="7">
        <v>6.1894369999999997E-2</v>
      </c>
      <c r="H7" s="52"/>
    </row>
    <row r="8" spans="1:15" ht="17.100000000000001" customHeight="1" x14ac:dyDescent="0.2">
      <c r="A8" s="3">
        <v>2</v>
      </c>
      <c r="B8" s="4" t="s">
        <v>14</v>
      </c>
      <c r="C8" s="4" t="s">
        <v>15</v>
      </c>
      <c r="D8" s="4" t="s">
        <v>16</v>
      </c>
      <c r="E8" s="5">
        <v>402999</v>
      </c>
      <c r="F8" s="6">
        <v>9220.2141210000009</v>
      </c>
      <c r="G8" s="7">
        <v>4.5203170000000001E-2</v>
      </c>
      <c r="H8" s="52"/>
    </row>
    <row r="9" spans="1:15" ht="17.100000000000001" customHeight="1" x14ac:dyDescent="0.2">
      <c r="A9" s="3">
        <v>3</v>
      </c>
      <c r="B9" s="4" t="s">
        <v>319</v>
      </c>
      <c r="C9" s="4" t="s">
        <v>320</v>
      </c>
      <c r="D9" s="4" t="s">
        <v>28</v>
      </c>
      <c r="E9" s="5">
        <v>548743</v>
      </c>
      <c r="F9" s="6">
        <v>8102.1903949999996</v>
      </c>
      <c r="G9" s="7">
        <v>3.9721930000000003E-2</v>
      </c>
      <c r="H9" s="52"/>
    </row>
    <row r="10" spans="1:15" ht="17.100000000000001" customHeight="1" x14ac:dyDescent="0.2">
      <c r="A10" s="3">
        <v>4</v>
      </c>
      <c r="B10" s="4" t="s">
        <v>32</v>
      </c>
      <c r="C10" s="4" t="s">
        <v>33</v>
      </c>
      <c r="D10" s="4" t="s">
        <v>31</v>
      </c>
      <c r="E10" s="5">
        <v>207483</v>
      </c>
      <c r="F10" s="6">
        <v>6352.2995279999996</v>
      </c>
      <c r="G10" s="7">
        <v>3.1142889999999999E-2</v>
      </c>
      <c r="H10" s="52"/>
    </row>
    <row r="11" spans="1:15" ht="17.100000000000001" customHeight="1" x14ac:dyDescent="0.2">
      <c r="A11" s="3">
        <v>5</v>
      </c>
      <c r="B11" s="4" t="s">
        <v>39</v>
      </c>
      <c r="C11" s="4" t="s">
        <v>40</v>
      </c>
      <c r="D11" s="4" t="s">
        <v>28</v>
      </c>
      <c r="E11" s="5">
        <v>1107380</v>
      </c>
      <c r="F11" s="6">
        <v>6262.7875899999999</v>
      </c>
      <c r="G11" s="7">
        <v>3.070405E-2</v>
      </c>
      <c r="H11" s="52"/>
    </row>
    <row r="12" spans="1:15" ht="17.100000000000001" customHeight="1" x14ac:dyDescent="0.2">
      <c r="A12" s="3">
        <v>6</v>
      </c>
      <c r="B12" s="4" t="s">
        <v>20</v>
      </c>
      <c r="C12" s="4" t="s">
        <v>21</v>
      </c>
      <c r="D12" s="4" t="s">
        <v>22</v>
      </c>
      <c r="E12" s="5">
        <v>2433441</v>
      </c>
      <c r="F12" s="6">
        <v>5738.0538779999997</v>
      </c>
      <c r="G12" s="7">
        <v>2.813148E-2</v>
      </c>
      <c r="H12" s="52"/>
    </row>
    <row r="13" spans="1:15" ht="17.100000000000001" customHeight="1" x14ac:dyDescent="0.2">
      <c r="A13" s="3">
        <v>7</v>
      </c>
      <c r="B13" s="4" t="s">
        <v>193</v>
      </c>
      <c r="C13" s="4" t="s">
        <v>194</v>
      </c>
      <c r="D13" s="4" t="s">
        <v>70</v>
      </c>
      <c r="E13" s="5">
        <v>2176501</v>
      </c>
      <c r="F13" s="6">
        <v>5367.2514659999997</v>
      </c>
      <c r="G13" s="7">
        <v>2.631358E-2</v>
      </c>
      <c r="H13" s="52"/>
    </row>
    <row r="14" spans="1:15" ht="29.1" customHeight="1" x14ac:dyDescent="0.2">
      <c r="A14" s="3">
        <v>8</v>
      </c>
      <c r="B14" s="4" t="s">
        <v>497</v>
      </c>
      <c r="C14" s="4" t="s">
        <v>498</v>
      </c>
      <c r="D14" s="4" t="s">
        <v>226</v>
      </c>
      <c r="E14" s="5">
        <v>923033</v>
      </c>
      <c r="F14" s="6">
        <v>5341.5919709999998</v>
      </c>
      <c r="G14" s="7">
        <v>2.6187780000000001E-2</v>
      </c>
      <c r="H14" s="52"/>
      <c r="J14" s="101" t="s">
        <v>1078</v>
      </c>
    </row>
    <row r="15" spans="1:15" ht="17.100000000000001" customHeight="1" x14ac:dyDescent="0.2">
      <c r="A15" s="3">
        <v>9</v>
      </c>
      <c r="B15" s="4" t="s">
        <v>321</v>
      </c>
      <c r="C15" s="4" t="s">
        <v>322</v>
      </c>
      <c r="D15" s="4" t="s">
        <v>888</v>
      </c>
      <c r="E15" s="5">
        <v>351069</v>
      </c>
      <c r="F15" s="6">
        <v>4804.0281960000002</v>
      </c>
      <c r="G15" s="7">
        <v>2.355231E-2</v>
      </c>
      <c r="H15" s="52"/>
    </row>
    <row r="16" spans="1:15" ht="17.100000000000001" customHeight="1" x14ac:dyDescent="0.2">
      <c r="A16" s="3">
        <v>10</v>
      </c>
      <c r="B16" s="4" t="s">
        <v>203</v>
      </c>
      <c r="C16" s="4" t="s">
        <v>204</v>
      </c>
      <c r="D16" s="4" t="s">
        <v>205</v>
      </c>
      <c r="E16" s="5">
        <v>1393335</v>
      </c>
      <c r="F16" s="6">
        <v>4499.7753825</v>
      </c>
      <c r="G16" s="7">
        <v>2.2060670000000001E-2</v>
      </c>
      <c r="H16" s="52"/>
    </row>
    <row r="17" spans="1:10" ht="29.1" customHeight="1" x14ac:dyDescent="0.2">
      <c r="A17" s="3">
        <v>11</v>
      </c>
      <c r="B17" s="4" t="s">
        <v>201</v>
      </c>
      <c r="C17" s="4" t="s">
        <v>202</v>
      </c>
      <c r="D17" s="4" t="s">
        <v>70</v>
      </c>
      <c r="E17" s="5">
        <v>388492</v>
      </c>
      <c r="F17" s="6">
        <v>4418.3195159999996</v>
      </c>
      <c r="G17" s="7">
        <v>2.1661329999999999E-2</v>
      </c>
      <c r="H17" s="52"/>
    </row>
    <row r="18" spans="1:10" ht="17.100000000000001" customHeight="1" x14ac:dyDescent="0.2">
      <c r="A18" s="3">
        <v>12</v>
      </c>
      <c r="B18" s="4" t="s">
        <v>382</v>
      </c>
      <c r="C18" s="4" t="s">
        <v>383</v>
      </c>
      <c r="D18" s="4" t="s">
        <v>70</v>
      </c>
      <c r="E18" s="5">
        <v>264123</v>
      </c>
      <c r="F18" s="6">
        <v>4145.5425464999998</v>
      </c>
      <c r="G18" s="7">
        <v>2.032401E-2</v>
      </c>
      <c r="H18" s="52"/>
    </row>
    <row r="19" spans="1:10" ht="29.1" customHeight="1" x14ac:dyDescent="0.2">
      <c r="A19" s="3">
        <v>13</v>
      </c>
      <c r="B19" s="4" t="s">
        <v>327</v>
      </c>
      <c r="C19" s="4" t="s">
        <v>328</v>
      </c>
      <c r="D19" s="4" t="s">
        <v>226</v>
      </c>
      <c r="E19" s="5">
        <v>380000</v>
      </c>
      <c r="F19" s="6">
        <v>4136.68</v>
      </c>
      <c r="G19" s="7">
        <v>2.028056E-2</v>
      </c>
      <c r="H19" s="52"/>
    </row>
    <row r="20" spans="1:10" ht="17.100000000000001" customHeight="1" x14ac:dyDescent="0.2">
      <c r="A20" s="3">
        <v>14</v>
      </c>
      <c r="B20" s="4" t="s">
        <v>195</v>
      </c>
      <c r="C20" s="4" t="s">
        <v>196</v>
      </c>
      <c r="D20" s="4" t="s">
        <v>70</v>
      </c>
      <c r="E20" s="5">
        <v>213050</v>
      </c>
      <c r="F20" s="6">
        <v>4005.0204250000002</v>
      </c>
      <c r="G20" s="7">
        <v>1.9635079999999999E-2</v>
      </c>
      <c r="H20" s="52"/>
    </row>
    <row r="21" spans="1:10" ht="17.100000000000001" customHeight="1" x14ac:dyDescent="0.2">
      <c r="A21" s="3">
        <v>15</v>
      </c>
      <c r="B21" s="4" t="s">
        <v>245</v>
      </c>
      <c r="C21" s="4" t="s">
        <v>246</v>
      </c>
      <c r="D21" s="4" t="s">
        <v>60</v>
      </c>
      <c r="E21" s="5">
        <v>314277</v>
      </c>
      <c r="F21" s="6">
        <v>3732.0393749999998</v>
      </c>
      <c r="G21" s="7">
        <v>1.8296759999999999E-2</v>
      </c>
      <c r="H21" s="52"/>
    </row>
    <row r="22" spans="1:10" ht="17.100000000000001" customHeight="1" x14ac:dyDescent="0.2">
      <c r="A22" s="3">
        <v>16</v>
      </c>
      <c r="B22" s="4" t="s">
        <v>351</v>
      </c>
      <c r="C22" s="4" t="s">
        <v>352</v>
      </c>
      <c r="D22" s="4" t="s">
        <v>344</v>
      </c>
      <c r="E22" s="5">
        <v>147869</v>
      </c>
      <c r="F22" s="6">
        <v>3673.0659599999999</v>
      </c>
      <c r="G22" s="7">
        <v>1.800763E-2</v>
      </c>
      <c r="H22" s="52"/>
    </row>
    <row r="23" spans="1:10" ht="17.100000000000001" customHeight="1" x14ac:dyDescent="0.2">
      <c r="A23" s="3">
        <v>17</v>
      </c>
      <c r="B23" s="4" t="s">
        <v>48</v>
      </c>
      <c r="C23" s="4" t="s">
        <v>49</v>
      </c>
      <c r="D23" s="4" t="s">
        <v>31</v>
      </c>
      <c r="E23" s="5">
        <v>151692</v>
      </c>
      <c r="F23" s="6">
        <v>3644.2486079999999</v>
      </c>
      <c r="G23" s="7">
        <v>1.786635E-2</v>
      </c>
      <c r="H23" s="52"/>
    </row>
    <row r="24" spans="1:10" ht="17.100000000000001" customHeight="1" x14ac:dyDescent="0.2">
      <c r="A24" s="3">
        <v>18</v>
      </c>
      <c r="B24" s="4" t="s">
        <v>53</v>
      </c>
      <c r="C24" s="4" t="s">
        <v>54</v>
      </c>
      <c r="D24" s="4" t="s">
        <v>31</v>
      </c>
      <c r="E24" s="5">
        <v>73900</v>
      </c>
      <c r="F24" s="6">
        <v>3637.4319</v>
      </c>
      <c r="G24" s="7">
        <v>1.783293E-2</v>
      </c>
      <c r="H24" s="52"/>
      <c r="J24" s="101" t="s">
        <v>1079</v>
      </c>
    </row>
    <row r="25" spans="1:10" ht="17.100000000000001" customHeight="1" x14ac:dyDescent="0.2">
      <c r="A25" s="3">
        <v>19</v>
      </c>
      <c r="B25" s="4" t="s">
        <v>342</v>
      </c>
      <c r="C25" s="4" t="s">
        <v>343</v>
      </c>
      <c r="D25" s="4" t="s">
        <v>344</v>
      </c>
      <c r="E25" s="5">
        <v>830200</v>
      </c>
      <c r="F25" s="6">
        <v>3556.5767999999998</v>
      </c>
      <c r="G25" s="7">
        <v>1.7436529999999999E-2</v>
      </c>
      <c r="H25" s="52"/>
    </row>
    <row r="26" spans="1:10" ht="29.1" customHeight="1" x14ac:dyDescent="0.2">
      <c r="A26" s="3">
        <v>20</v>
      </c>
      <c r="B26" s="4" t="s">
        <v>85</v>
      </c>
      <c r="C26" s="4" t="s">
        <v>86</v>
      </c>
      <c r="D26" s="4" t="s">
        <v>25</v>
      </c>
      <c r="E26" s="5">
        <v>278332</v>
      </c>
      <c r="F26" s="6">
        <v>3543.7230239999999</v>
      </c>
      <c r="G26" s="7">
        <v>1.7373510000000002E-2</v>
      </c>
      <c r="H26" s="52"/>
    </row>
    <row r="27" spans="1:10" ht="29.1" customHeight="1" x14ac:dyDescent="0.2">
      <c r="A27" s="3">
        <v>21</v>
      </c>
      <c r="B27" s="4" t="s">
        <v>413</v>
      </c>
      <c r="C27" s="4" t="s">
        <v>414</v>
      </c>
      <c r="D27" s="4" t="s">
        <v>226</v>
      </c>
      <c r="E27" s="5">
        <v>247344</v>
      </c>
      <c r="F27" s="6">
        <v>3458.4874799999998</v>
      </c>
      <c r="G27" s="7">
        <v>1.6955640000000001E-2</v>
      </c>
      <c r="H27" s="52"/>
    </row>
    <row r="28" spans="1:10" ht="17.100000000000001" customHeight="1" x14ac:dyDescent="0.2">
      <c r="A28" s="3">
        <v>22</v>
      </c>
      <c r="B28" s="4" t="s">
        <v>325</v>
      </c>
      <c r="C28" s="4" t="s">
        <v>326</v>
      </c>
      <c r="D28" s="4" t="s">
        <v>888</v>
      </c>
      <c r="E28" s="5">
        <v>101500</v>
      </c>
      <c r="F28" s="6">
        <v>3419.28125</v>
      </c>
      <c r="G28" s="7">
        <v>1.6763420000000001E-2</v>
      </c>
      <c r="H28" s="52"/>
    </row>
    <row r="29" spans="1:10" ht="29.1" customHeight="1" x14ac:dyDescent="0.2">
      <c r="A29" s="3">
        <v>23</v>
      </c>
      <c r="B29" s="4" t="s">
        <v>222</v>
      </c>
      <c r="C29" s="4" t="s">
        <v>223</v>
      </c>
      <c r="D29" s="4" t="s">
        <v>105</v>
      </c>
      <c r="E29" s="5">
        <v>21650</v>
      </c>
      <c r="F29" s="6">
        <v>3400.0567249999999</v>
      </c>
      <c r="G29" s="7">
        <v>1.6669170000000001E-2</v>
      </c>
      <c r="H29" s="52"/>
    </row>
    <row r="30" spans="1:10" ht="17.100000000000001" customHeight="1" x14ac:dyDescent="0.2">
      <c r="A30" s="3">
        <v>24</v>
      </c>
      <c r="B30" s="4" t="s">
        <v>100</v>
      </c>
      <c r="C30" s="4" t="s">
        <v>101</v>
      </c>
      <c r="D30" s="4" t="s">
        <v>102</v>
      </c>
      <c r="E30" s="5">
        <v>31300</v>
      </c>
      <c r="F30" s="6">
        <v>3252.7899000000002</v>
      </c>
      <c r="G30" s="7">
        <v>1.5947179999999998E-2</v>
      </c>
      <c r="H30" s="52"/>
    </row>
    <row r="31" spans="1:10" ht="17.100000000000001" customHeight="1" x14ac:dyDescent="0.2">
      <c r="A31" s="3">
        <v>25</v>
      </c>
      <c r="B31" s="4" t="s">
        <v>748</v>
      </c>
      <c r="C31" s="4" t="s">
        <v>749</v>
      </c>
      <c r="D31" s="4" t="s">
        <v>750</v>
      </c>
      <c r="E31" s="5">
        <v>10845</v>
      </c>
      <c r="F31" s="6">
        <v>3227.764815</v>
      </c>
      <c r="G31" s="7">
        <v>1.582449E-2</v>
      </c>
      <c r="H31" s="52"/>
    </row>
    <row r="32" spans="1:10" ht="17.100000000000001" customHeight="1" x14ac:dyDescent="0.2">
      <c r="A32" s="3">
        <v>26</v>
      </c>
      <c r="B32" s="4" t="s">
        <v>267</v>
      </c>
      <c r="C32" s="4" t="s">
        <v>268</v>
      </c>
      <c r="D32" s="4" t="s">
        <v>70</v>
      </c>
      <c r="E32" s="5">
        <v>220779</v>
      </c>
      <c r="F32" s="6">
        <v>3108.1267619999999</v>
      </c>
      <c r="G32" s="7">
        <v>1.523795E-2</v>
      </c>
      <c r="H32" s="52"/>
    </row>
    <row r="33" spans="1:8" ht="17.100000000000001" customHeight="1" x14ac:dyDescent="0.2">
      <c r="A33" s="3">
        <v>27</v>
      </c>
      <c r="B33" s="4" t="s">
        <v>243</v>
      </c>
      <c r="C33" s="4" t="s">
        <v>244</v>
      </c>
      <c r="D33" s="4" t="s">
        <v>105</v>
      </c>
      <c r="E33" s="5">
        <v>56934</v>
      </c>
      <c r="F33" s="6">
        <v>3082.7768310000001</v>
      </c>
      <c r="G33" s="7">
        <v>1.5113669999999999E-2</v>
      </c>
      <c r="H33" s="52"/>
    </row>
    <row r="34" spans="1:8" ht="17.100000000000001" customHeight="1" x14ac:dyDescent="0.2">
      <c r="A34" s="3">
        <v>28</v>
      </c>
      <c r="B34" s="4" t="s">
        <v>98</v>
      </c>
      <c r="C34" s="4" t="s">
        <v>99</v>
      </c>
      <c r="D34" s="4" t="s">
        <v>93</v>
      </c>
      <c r="E34" s="5">
        <v>489157</v>
      </c>
      <c r="F34" s="6">
        <v>3010.5167565000002</v>
      </c>
      <c r="G34" s="7">
        <v>1.4759410000000001E-2</v>
      </c>
      <c r="H34" s="52"/>
    </row>
    <row r="35" spans="1:8" ht="17.100000000000001" customHeight="1" x14ac:dyDescent="0.2">
      <c r="A35" s="3">
        <v>29</v>
      </c>
      <c r="B35" s="4" t="s">
        <v>229</v>
      </c>
      <c r="C35" s="4" t="s">
        <v>230</v>
      </c>
      <c r="D35" s="4" t="s">
        <v>231</v>
      </c>
      <c r="E35" s="5">
        <v>558688</v>
      </c>
      <c r="F35" s="6">
        <v>2798.7475359999999</v>
      </c>
      <c r="G35" s="7">
        <v>1.3721189999999999E-2</v>
      </c>
      <c r="H35" s="52"/>
    </row>
    <row r="36" spans="1:8" ht="17.100000000000001" customHeight="1" x14ac:dyDescent="0.2">
      <c r="A36" s="3">
        <v>30</v>
      </c>
      <c r="B36" s="4" t="s">
        <v>710</v>
      </c>
      <c r="C36" s="4" t="s">
        <v>711</v>
      </c>
      <c r="D36" s="4" t="s">
        <v>60</v>
      </c>
      <c r="E36" s="5">
        <v>312000</v>
      </c>
      <c r="F36" s="6">
        <v>2760.1080000000002</v>
      </c>
      <c r="G36" s="7">
        <v>1.353175E-2</v>
      </c>
      <c r="H36" s="52"/>
    </row>
    <row r="37" spans="1:8" ht="17.100000000000001" customHeight="1" x14ac:dyDescent="0.2">
      <c r="A37" s="3">
        <v>31</v>
      </c>
      <c r="B37" s="4" t="s">
        <v>68</v>
      </c>
      <c r="C37" s="4" t="s">
        <v>69</v>
      </c>
      <c r="D37" s="4" t="s">
        <v>70</v>
      </c>
      <c r="E37" s="5">
        <v>934450</v>
      </c>
      <c r="F37" s="6">
        <v>2687.4782</v>
      </c>
      <c r="G37" s="7">
        <v>1.317568E-2</v>
      </c>
      <c r="H37" s="52"/>
    </row>
    <row r="38" spans="1:8" ht="17.100000000000001" customHeight="1" x14ac:dyDescent="0.2">
      <c r="A38" s="3">
        <v>32</v>
      </c>
      <c r="B38" s="4" t="s">
        <v>751</v>
      </c>
      <c r="C38" s="4" t="s">
        <v>752</v>
      </c>
      <c r="D38" s="4" t="s">
        <v>60</v>
      </c>
      <c r="E38" s="5">
        <v>90000</v>
      </c>
      <c r="F38" s="6">
        <v>2640.78</v>
      </c>
      <c r="G38" s="7">
        <v>1.294673E-2</v>
      </c>
      <c r="H38" s="52"/>
    </row>
    <row r="39" spans="1:8" ht="17.100000000000001" customHeight="1" x14ac:dyDescent="0.2">
      <c r="A39" s="3">
        <v>33</v>
      </c>
      <c r="B39" s="4" t="s">
        <v>236</v>
      </c>
      <c r="C39" s="4" t="s">
        <v>237</v>
      </c>
      <c r="D39" s="4" t="s">
        <v>888</v>
      </c>
      <c r="E39" s="5">
        <v>51509</v>
      </c>
      <c r="F39" s="6">
        <v>2567.3373324999998</v>
      </c>
      <c r="G39" s="7">
        <v>1.2586669999999999E-2</v>
      </c>
      <c r="H39" s="52"/>
    </row>
    <row r="40" spans="1:8" ht="17.100000000000001" customHeight="1" x14ac:dyDescent="0.2">
      <c r="A40" s="3">
        <v>34</v>
      </c>
      <c r="B40" s="4" t="s">
        <v>110</v>
      </c>
      <c r="C40" s="4" t="s">
        <v>111</v>
      </c>
      <c r="D40" s="4" t="s">
        <v>105</v>
      </c>
      <c r="E40" s="5">
        <v>470129</v>
      </c>
      <c r="F40" s="6">
        <v>2545.7485350000002</v>
      </c>
      <c r="G40" s="7">
        <v>1.248083E-2</v>
      </c>
      <c r="H40" s="52"/>
    </row>
    <row r="41" spans="1:8" ht="17.100000000000001" customHeight="1" x14ac:dyDescent="0.2">
      <c r="A41" s="3">
        <v>35</v>
      </c>
      <c r="B41" s="4" t="s">
        <v>503</v>
      </c>
      <c r="C41" s="4" t="s">
        <v>504</v>
      </c>
      <c r="D41" s="4" t="s">
        <v>357</v>
      </c>
      <c r="E41" s="5">
        <v>46583</v>
      </c>
      <c r="F41" s="6">
        <v>2542.6165974999999</v>
      </c>
      <c r="G41" s="7">
        <v>1.2465469999999999E-2</v>
      </c>
      <c r="H41" s="52"/>
    </row>
    <row r="42" spans="1:8" ht="17.100000000000001" customHeight="1" x14ac:dyDescent="0.2">
      <c r="A42" s="3">
        <v>36</v>
      </c>
      <c r="B42" s="4" t="s">
        <v>103</v>
      </c>
      <c r="C42" s="4" t="s">
        <v>104</v>
      </c>
      <c r="D42" s="4" t="s">
        <v>105</v>
      </c>
      <c r="E42" s="5">
        <v>89171</v>
      </c>
      <c r="F42" s="6">
        <v>2512.303754</v>
      </c>
      <c r="G42" s="7">
        <v>1.2316860000000001E-2</v>
      </c>
      <c r="H42" s="52"/>
    </row>
    <row r="43" spans="1:8" ht="17.100000000000001" customHeight="1" x14ac:dyDescent="0.2">
      <c r="A43" s="3">
        <v>37</v>
      </c>
      <c r="B43" s="4" t="s">
        <v>46</v>
      </c>
      <c r="C43" s="4" t="s">
        <v>47</v>
      </c>
      <c r="D43" s="4" t="s">
        <v>31</v>
      </c>
      <c r="E43" s="5">
        <v>114387</v>
      </c>
      <c r="F43" s="6">
        <v>2452.9148279999999</v>
      </c>
      <c r="G43" s="7">
        <v>1.20257E-2</v>
      </c>
      <c r="H43" s="52"/>
    </row>
    <row r="44" spans="1:8" ht="29.1" customHeight="1" x14ac:dyDescent="0.2">
      <c r="A44" s="3">
        <v>38</v>
      </c>
      <c r="B44" s="4" t="s">
        <v>214</v>
      </c>
      <c r="C44" s="4" t="s">
        <v>215</v>
      </c>
      <c r="D44" s="4" t="s">
        <v>216</v>
      </c>
      <c r="E44" s="5">
        <v>71195</v>
      </c>
      <c r="F44" s="6">
        <v>2447.8620875000001</v>
      </c>
      <c r="G44" s="7">
        <v>1.200093E-2</v>
      </c>
      <c r="H44" s="52"/>
    </row>
    <row r="45" spans="1:8" ht="17.100000000000001" customHeight="1" x14ac:dyDescent="0.2">
      <c r="A45" s="3">
        <v>39</v>
      </c>
      <c r="B45" s="4" t="s">
        <v>197</v>
      </c>
      <c r="C45" s="4" t="s">
        <v>198</v>
      </c>
      <c r="D45" s="4" t="s">
        <v>105</v>
      </c>
      <c r="E45" s="5">
        <v>77327</v>
      </c>
      <c r="F45" s="6">
        <v>2435.9551540000002</v>
      </c>
      <c r="G45" s="7">
        <v>1.194255E-2</v>
      </c>
      <c r="H45" s="52"/>
    </row>
    <row r="46" spans="1:8" ht="29.1" customHeight="1" x14ac:dyDescent="0.2">
      <c r="A46" s="3">
        <v>40</v>
      </c>
      <c r="B46" s="4" t="s">
        <v>507</v>
      </c>
      <c r="C46" s="4" t="s">
        <v>508</v>
      </c>
      <c r="D46" s="4" t="s">
        <v>216</v>
      </c>
      <c r="E46" s="5">
        <v>142944</v>
      </c>
      <c r="F46" s="6">
        <v>2274.5963999999999</v>
      </c>
      <c r="G46" s="7">
        <v>1.115147E-2</v>
      </c>
      <c r="H46" s="52"/>
    </row>
    <row r="47" spans="1:8" ht="17.100000000000001" customHeight="1" x14ac:dyDescent="0.2">
      <c r="A47" s="3">
        <v>41</v>
      </c>
      <c r="B47" s="4" t="s">
        <v>240</v>
      </c>
      <c r="C47" s="4" t="s">
        <v>241</v>
      </c>
      <c r="D47" s="4" t="s">
        <v>242</v>
      </c>
      <c r="E47" s="5">
        <v>199432</v>
      </c>
      <c r="F47" s="6">
        <v>2253.9804640000002</v>
      </c>
      <c r="G47" s="7">
        <v>1.10504E-2</v>
      </c>
      <c r="H47" s="52"/>
    </row>
    <row r="48" spans="1:8" ht="29.1" customHeight="1" x14ac:dyDescent="0.2">
      <c r="A48" s="3">
        <v>42</v>
      </c>
      <c r="B48" s="4" t="s">
        <v>542</v>
      </c>
      <c r="C48" s="4" t="s">
        <v>543</v>
      </c>
      <c r="D48" s="4" t="s">
        <v>544</v>
      </c>
      <c r="E48" s="5">
        <v>572123</v>
      </c>
      <c r="F48" s="6">
        <v>2230.4215155000002</v>
      </c>
      <c r="G48" s="7">
        <v>1.0934899999999999E-2</v>
      </c>
      <c r="H48" s="52"/>
    </row>
    <row r="49" spans="1:8" ht="17.100000000000001" customHeight="1" x14ac:dyDescent="0.2">
      <c r="A49" s="3">
        <v>43</v>
      </c>
      <c r="B49" s="4" t="s">
        <v>555</v>
      </c>
      <c r="C49" s="4" t="s">
        <v>556</v>
      </c>
      <c r="D49" s="4" t="s">
        <v>102</v>
      </c>
      <c r="E49" s="5">
        <v>151000</v>
      </c>
      <c r="F49" s="6">
        <v>2202.4859999999999</v>
      </c>
      <c r="G49" s="7">
        <v>1.0797940000000001E-2</v>
      </c>
      <c r="H49" s="52"/>
    </row>
    <row r="50" spans="1:8" ht="17.100000000000001" customHeight="1" x14ac:dyDescent="0.2">
      <c r="A50" s="3">
        <v>44</v>
      </c>
      <c r="B50" s="4" t="s">
        <v>17</v>
      </c>
      <c r="C50" s="4" t="s">
        <v>18</v>
      </c>
      <c r="D50" s="4" t="s">
        <v>19</v>
      </c>
      <c r="E50" s="5">
        <v>234818</v>
      </c>
      <c r="F50" s="6">
        <v>2147.175792</v>
      </c>
      <c r="G50" s="7">
        <v>1.0526779999999999E-2</v>
      </c>
      <c r="H50" s="52"/>
    </row>
    <row r="51" spans="1:8" ht="17.100000000000001" customHeight="1" x14ac:dyDescent="0.2">
      <c r="A51" s="3">
        <v>45</v>
      </c>
      <c r="B51" s="4" t="s">
        <v>277</v>
      </c>
      <c r="C51" s="4" t="s">
        <v>278</v>
      </c>
      <c r="D51" s="4" t="s">
        <v>60</v>
      </c>
      <c r="E51" s="5">
        <v>170074</v>
      </c>
      <c r="F51" s="6">
        <v>2145.2283990000001</v>
      </c>
      <c r="G51" s="7">
        <v>1.0517230000000001E-2</v>
      </c>
      <c r="H51" s="52"/>
    </row>
    <row r="52" spans="1:8" ht="17.100000000000001" customHeight="1" x14ac:dyDescent="0.2">
      <c r="A52" s="3">
        <v>46</v>
      </c>
      <c r="B52" s="4" t="s">
        <v>401</v>
      </c>
      <c r="C52" s="4" t="s">
        <v>402</v>
      </c>
      <c r="D52" s="4" t="s">
        <v>259</v>
      </c>
      <c r="E52" s="5">
        <v>129979</v>
      </c>
      <c r="F52" s="6">
        <v>2077.3893674999999</v>
      </c>
      <c r="G52" s="7">
        <v>1.018464E-2</v>
      </c>
      <c r="H52" s="52"/>
    </row>
    <row r="53" spans="1:8" ht="17.100000000000001" customHeight="1" x14ac:dyDescent="0.2">
      <c r="A53" s="3">
        <v>47</v>
      </c>
      <c r="B53" s="4" t="s">
        <v>253</v>
      </c>
      <c r="C53" s="4" t="s">
        <v>254</v>
      </c>
      <c r="D53" s="4" t="s">
        <v>208</v>
      </c>
      <c r="E53" s="5">
        <v>48677</v>
      </c>
      <c r="F53" s="6">
        <v>1988.0903725000001</v>
      </c>
      <c r="G53" s="7">
        <v>9.7468399999999997E-3</v>
      </c>
      <c r="H53" s="52"/>
    </row>
    <row r="54" spans="1:8" ht="29.1" customHeight="1" x14ac:dyDescent="0.2">
      <c r="A54" s="3">
        <v>48</v>
      </c>
      <c r="B54" s="4" t="s">
        <v>34</v>
      </c>
      <c r="C54" s="4" t="s">
        <v>35</v>
      </c>
      <c r="D54" s="4" t="s">
        <v>36</v>
      </c>
      <c r="E54" s="5">
        <v>1468484</v>
      </c>
      <c r="F54" s="6">
        <v>1956.7549300000001</v>
      </c>
      <c r="G54" s="7">
        <v>9.5932199999999995E-3</v>
      </c>
      <c r="H54" s="52"/>
    </row>
    <row r="55" spans="1:8" ht="29.1" customHeight="1" x14ac:dyDescent="0.2">
      <c r="A55" s="3">
        <v>49</v>
      </c>
      <c r="B55" s="4" t="s">
        <v>275</v>
      </c>
      <c r="C55" s="4" t="s">
        <v>276</v>
      </c>
      <c r="D55" s="4" t="s">
        <v>211</v>
      </c>
      <c r="E55" s="5">
        <v>54319</v>
      </c>
      <c r="F55" s="6">
        <v>1847.5249875</v>
      </c>
      <c r="G55" s="7">
        <v>9.0577100000000001E-3</v>
      </c>
      <c r="H55" s="52"/>
    </row>
    <row r="56" spans="1:8" ht="17.100000000000001" customHeight="1" x14ac:dyDescent="0.2">
      <c r="A56" s="3">
        <v>50</v>
      </c>
      <c r="B56" s="4" t="s">
        <v>372</v>
      </c>
      <c r="C56" s="4" t="s">
        <v>373</v>
      </c>
      <c r="D56" s="4" t="s">
        <v>52</v>
      </c>
      <c r="E56" s="5">
        <v>130496</v>
      </c>
      <c r="F56" s="6">
        <v>1725.7443519999999</v>
      </c>
      <c r="G56" s="7">
        <v>8.4606600000000001E-3</v>
      </c>
      <c r="H56" s="52"/>
    </row>
    <row r="57" spans="1:8" ht="17.100000000000001" customHeight="1" x14ac:dyDescent="0.2">
      <c r="A57" s="3">
        <v>51</v>
      </c>
      <c r="B57" s="4" t="s">
        <v>249</v>
      </c>
      <c r="C57" s="4" t="s">
        <v>250</v>
      </c>
      <c r="D57" s="4" t="s">
        <v>231</v>
      </c>
      <c r="E57" s="5">
        <v>292443</v>
      </c>
      <c r="F57" s="6">
        <v>1601.5640894999999</v>
      </c>
      <c r="G57" s="7">
        <v>7.8518500000000005E-3</v>
      </c>
      <c r="H57" s="52"/>
    </row>
    <row r="58" spans="1:8" ht="17.100000000000001" customHeight="1" x14ac:dyDescent="0.2">
      <c r="A58" s="3">
        <v>52</v>
      </c>
      <c r="B58" s="4" t="s">
        <v>438</v>
      </c>
      <c r="C58" s="4" t="s">
        <v>439</v>
      </c>
      <c r="D58" s="4" t="s">
        <v>889</v>
      </c>
      <c r="E58" s="5">
        <v>151698</v>
      </c>
      <c r="F58" s="6">
        <v>1594.876923</v>
      </c>
      <c r="G58" s="7">
        <v>7.8190699999999991E-3</v>
      </c>
      <c r="H58" s="52"/>
    </row>
    <row r="59" spans="1:8" ht="17.100000000000001" customHeight="1" x14ac:dyDescent="0.2">
      <c r="A59" s="3">
        <v>53</v>
      </c>
      <c r="B59" s="4" t="s">
        <v>415</v>
      </c>
      <c r="C59" s="4" t="s">
        <v>416</v>
      </c>
      <c r="D59" s="4" t="s">
        <v>70</v>
      </c>
      <c r="E59" s="5">
        <v>89694</v>
      </c>
      <c r="F59" s="6">
        <v>1432.592568</v>
      </c>
      <c r="G59" s="7">
        <v>7.0234499999999997E-3</v>
      </c>
      <c r="H59" s="52"/>
    </row>
    <row r="60" spans="1:8" ht="17.100000000000001" customHeight="1" x14ac:dyDescent="0.2">
      <c r="A60" s="3">
        <v>54</v>
      </c>
      <c r="B60" s="4" t="s">
        <v>61</v>
      </c>
      <c r="C60" s="4" t="s">
        <v>62</v>
      </c>
      <c r="D60" s="4" t="s">
        <v>31</v>
      </c>
      <c r="E60" s="5">
        <v>85238</v>
      </c>
      <c r="F60" s="6">
        <v>1334.2304140000001</v>
      </c>
      <c r="G60" s="7">
        <v>6.5412200000000004E-3</v>
      </c>
      <c r="H60" s="52"/>
    </row>
    <row r="61" spans="1:8" ht="17.100000000000001" customHeight="1" x14ac:dyDescent="0.2">
      <c r="A61" s="3">
        <v>55</v>
      </c>
      <c r="B61" s="4" t="s">
        <v>123</v>
      </c>
      <c r="C61" s="4" t="s">
        <v>124</v>
      </c>
      <c r="D61" s="4" t="s">
        <v>31</v>
      </c>
      <c r="E61" s="5">
        <v>66435</v>
      </c>
      <c r="F61" s="6">
        <v>1229.5457624999999</v>
      </c>
      <c r="G61" s="7">
        <v>6.0279900000000004E-3</v>
      </c>
      <c r="H61" s="52"/>
    </row>
    <row r="62" spans="1:8" ht="17.100000000000001" customHeight="1" x14ac:dyDescent="0.2">
      <c r="A62" s="3">
        <v>56</v>
      </c>
      <c r="B62" s="4" t="s">
        <v>753</v>
      </c>
      <c r="C62" s="4" t="s">
        <v>754</v>
      </c>
      <c r="D62" s="4" t="s">
        <v>205</v>
      </c>
      <c r="E62" s="5">
        <v>74997</v>
      </c>
      <c r="F62" s="6">
        <v>1054.0453365000001</v>
      </c>
      <c r="G62" s="7">
        <v>5.1675799999999997E-3</v>
      </c>
      <c r="H62" s="52"/>
    </row>
    <row r="63" spans="1:8" ht="17.100000000000001" customHeight="1" x14ac:dyDescent="0.2">
      <c r="A63" s="3">
        <v>57</v>
      </c>
      <c r="B63" s="4" t="s">
        <v>11</v>
      </c>
      <c r="C63" s="4" t="s">
        <v>12</v>
      </c>
      <c r="D63" s="4" t="s">
        <v>13</v>
      </c>
      <c r="E63" s="5">
        <v>30000</v>
      </c>
      <c r="F63" s="6">
        <v>878.71500000000003</v>
      </c>
      <c r="G63" s="7">
        <v>4.3080000000000002E-3</v>
      </c>
      <c r="H63" s="52"/>
    </row>
    <row r="64" spans="1:8" ht="17.100000000000001" customHeight="1" x14ac:dyDescent="0.2">
      <c r="A64" s="3">
        <v>58</v>
      </c>
      <c r="B64" s="4" t="s">
        <v>532</v>
      </c>
      <c r="C64" s="4" t="s">
        <v>533</v>
      </c>
      <c r="D64" s="4" t="s">
        <v>93</v>
      </c>
      <c r="E64" s="5">
        <v>44003</v>
      </c>
      <c r="F64" s="6">
        <v>313.6753855</v>
      </c>
      <c r="G64" s="7">
        <v>1.53783E-3</v>
      </c>
      <c r="H64" s="52"/>
    </row>
    <row r="65" spans="1:8" ht="17.100000000000001" customHeight="1" x14ac:dyDescent="0.2">
      <c r="A65" s="3">
        <v>59</v>
      </c>
      <c r="B65" s="4" t="s">
        <v>561</v>
      </c>
      <c r="C65" s="4" t="s">
        <v>562</v>
      </c>
      <c r="D65" s="4" t="s">
        <v>31</v>
      </c>
      <c r="E65" s="5">
        <v>151748</v>
      </c>
      <c r="F65" s="6">
        <v>291.43203399999999</v>
      </c>
      <c r="G65" s="7">
        <v>1.4287799999999999E-3</v>
      </c>
      <c r="H65" s="52"/>
    </row>
    <row r="66" spans="1:8" ht="17.100000000000001" customHeight="1" x14ac:dyDescent="0.2">
      <c r="A66" s="3">
        <v>60</v>
      </c>
      <c r="B66" s="4" t="s">
        <v>549</v>
      </c>
      <c r="C66" s="4" t="s">
        <v>550</v>
      </c>
      <c r="D66" s="4" t="s">
        <v>70</v>
      </c>
      <c r="E66" s="5">
        <v>244270</v>
      </c>
      <c r="F66" s="6">
        <v>201.88915499999999</v>
      </c>
      <c r="G66" s="7">
        <v>9.8978999999999994E-4</v>
      </c>
      <c r="H66" s="52"/>
    </row>
    <row r="67" spans="1:8" ht="17.100000000000001" customHeight="1" x14ac:dyDescent="0.2">
      <c r="A67" s="3">
        <v>61</v>
      </c>
      <c r="B67" s="4" t="s">
        <v>360</v>
      </c>
      <c r="C67" s="4" t="s">
        <v>361</v>
      </c>
      <c r="D67" s="4" t="s">
        <v>60</v>
      </c>
      <c r="E67" s="5">
        <v>1654</v>
      </c>
      <c r="F67" s="6">
        <v>52.756810999999999</v>
      </c>
      <c r="G67" s="7">
        <v>2.5865000000000003E-4</v>
      </c>
      <c r="H67" s="52"/>
    </row>
    <row r="68" spans="1:8" ht="14.1" customHeight="1" x14ac:dyDescent="0.2">
      <c r="A68" s="1"/>
      <c r="B68" s="1"/>
      <c r="C68" s="2" t="s">
        <v>145</v>
      </c>
      <c r="D68" s="1"/>
      <c r="E68" s="1" t="s">
        <v>146</v>
      </c>
      <c r="F68" s="9">
        <v>193991.972783</v>
      </c>
      <c r="G68" s="10">
        <v>0.95106821000000008</v>
      </c>
      <c r="H68" s="52"/>
    </row>
    <row r="69" spans="1:8" ht="14.1" customHeight="1" x14ac:dyDescent="0.2">
      <c r="A69" s="1"/>
      <c r="B69" s="1"/>
      <c r="C69" s="11"/>
      <c r="D69" s="1"/>
      <c r="E69" s="1"/>
      <c r="F69" s="12"/>
      <c r="G69" s="12"/>
      <c r="H69" s="52"/>
    </row>
    <row r="70" spans="1:8" ht="14.1" customHeight="1" x14ac:dyDescent="0.2">
      <c r="A70" s="1"/>
      <c r="B70" s="1"/>
      <c r="C70" s="2" t="s">
        <v>147</v>
      </c>
      <c r="D70" s="1"/>
      <c r="E70" s="1"/>
      <c r="F70" s="1"/>
      <c r="G70" s="1"/>
      <c r="H70" s="52"/>
    </row>
    <row r="71" spans="1:8" ht="14.1" customHeight="1" x14ac:dyDescent="0.2">
      <c r="A71" s="1"/>
      <c r="B71" s="1"/>
      <c r="C71" s="2" t="s">
        <v>145</v>
      </c>
      <c r="D71" s="1"/>
      <c r="E71" s="1" t="s">
        <v>146</v>
      </c>
      <c r="F71" s="13" t="s">
        <v>148</v>
      </c>
      <c r="G71" s="10">
        <v>0</v>
      </c>
      <c r="H71" s="52"/>
    </row>
    <row r="72" spans="1:8" ht="14.1" customHeight="1" x14ac:dyDescent="0.2">
      <c r="A72" s="1"/>
      <c r="B72" s="1"/>
      <c r="C72" s="11"/>
      <c r="D72" s="1"/>
      <c r="E72" s="1"/>
      <c r="F72" s="12"/>
      <c r="G72" s="12"/>
      <c r="H72" s="52"/>
    </row>
    <row r="73" spans="1:8" ht="14.1" customHeight="1" x14ac:dyDescent="0.2">
      <c r="A73" s="1"/>
      <c r="B73" s="1"/>
      <c r="C73" s="2" t="s">
        <v>149</v>
      </c>
      <c r="D73" s="1"/>
      <c r="E73" s="1"/>
      <c r="F73" s="1"/>
      <c r="G73" s="1"/>
      <c r="H73" s="52"/>
    </row>
    <row r="74" spans="1:8" ht="17.100000000000001" customHeight="1" x14ac:dyDescent="0.2">
      <c r="A74" s="3">
        <v>1</v>
      </c>
      <c r="B74" s="39" t="s">
        <v>577</v>
      </c>
      <c r="C74" s="39" t="s">
        <v>957</v>
      </c>
      <c r="D74" s="4" t="s">
        <v>231</v>
      </c>
      <c r="E74" s="5">
        <v>511578</v>
      </c>
      <c r="F74" s="6">
        <v>22.969852199999998</v>
      </c>
      <c r="G74" s="7">
        <v>1.1260999999999999E-4</v>
      </c>
      <c r="H74" s="52"/>
    </row>
    <row r="75" spans="1:8" ht="17.100000000000001" customHeight="1" x14ac:dyDescent="0.2">
      <c r="A75" s="3">
        <v>2</v>
      </c>
      <c r="B75" s="4" t="s">
        <v>755</v>
      </c>
      <c r="C75" s="39" t="s">
        <v>962</v>
      </c>
      <c r="D75" s="4" t="s">
        <v>357</v>
      </c>
      <c r="E75" s="5">
        <v>39500</v>
      </c>
      <c r="F75" s="6">
        <v>16.969200000000001</v>
      </c>
      <c r="G75" s="7">
        <v>8.3189999999999995E-5</v>
      </c>
      <c r="H75" s="52"/>
    </row>
    <row r="76" spans="1:8" ht="29.1" customHeight="1" x14ac:dyDescent="0.2">
      <c r="A76" s="3">
        <v>3</v>
      </c>
      <c r="B76" s="4" t="s">
        <v>756</v>
      </c>
      <c r="C76" s="39" t="s">
        <v>963</v>
      </c>
      <c r="D76" s="4" t="s">
        <v>757</v>
      </c>
      <c r="E76" s="5">
        <v>50800</v>
      </c>
      <c r="F76" s="6">
        <v>5.0800000000000003E-3</v>
      </c>
      <c r="G76" s="8" t="s">
        <v>144</v>
      </c>
      <c r="H76" s="52"/>
    </row>
    <row r="77" spans="1:8" ht="17.100000000000001" customHeight="1" x14ac:dyDescent="0.2">
      <c r="A77" s="3">
        <v>4</v>
      </c>
      <c r="B77" s="4" t="s">
        <v>758</v>
      </c>
      <c r="C77" s="39" t="s">
        <v>964</v>
      </c>
      <c r="D77" s="4"/>
      <c r="E77" s="5">
        <v>93200</v>
      </c>
      <c r="F77" s="6">
        <v>9.3200000000000003E-7</v>
      </c>
      <c r="G77" s="8" t="s">
        <v>144</v>
      </c>
      <c r="H77" s="52"/>
    </row>
    <row r="78" spans="1:8" ht="29.1" customHeight="1" x14ac:dyDescent="0.2">
      <c r="A78" s="3">
        <v>5</v>
      </c>
      <c r="B78" s="4" t="s">
        <v>759</v>
      </c>
      <c r="C78" s="39" t="s">
        <v>965</v>
      </c>
      <c r="D78" s="4"/>
      <c r="E78" s="5">
        <v>54000</v>
      </c>
      <c r="F78" s="6">
        <v>5.4000000000000002E-7</v>
      </c>
      <c r="G78" s="8" t="s">
        <v>144</v>
      </c>
      <c r="H78" s="52"/>
    </row>
    <row r="79" spans="1:8" ht="41.1" customHeight="1" x14ac:dyDescent="0.2">
      <c r="A79" s="3">
        <v>6</v>
      </c>
      <c r="B79" s="4" t="s">
        <v>760</v>
      </c>
      <c r="C79" s="39" t="s">
        <v>966</v>
      </c>
      <c r="D79" s="4" t="s">
        <v>761</v>
      </c>
      <c r="E79" s="5">
        <v>200000</v>
      </c>
      <c r="F79" s="6">
        <v>1.9999999999999999E-6</v>
      </c>
      <c r="G79" s="8" t="s">
        <v>144</v>
      </c>
      <c r="H79" s="52"/>
    </row>
    <row r="80" spans="1:8" ht="17.100000000000001" customHeight="1" x14ac:dyDescent="0.2">
      <c r="A80" s="3">
        <v>7</v>
      </c>
      <c r="B80" s="4" t="s">
        <v>762</v>
      </c>
      <c r="C80" s="39" t="s">
        <v>967</v>
      </c>
      <c r="D80" s="4"/>
      <c r="E80" s="5">
        <v>200</v>
      </c>
      <c r="F80" s="6">
        <v>2.0000000000000001E-9</v>
      </c>
      <c r="G80" s="8" t="s">
        <v>144</v>
      </c>
      <c r="H80" s="52"/>
    </row>
    <row r="81" spans="1:8" ht="17.100000000000001" customHeight="1" x14ac:dyDescent="0.2">
      <c r="A81" s="3">
        <v>8</v>
      </c>
      <c r="B81" s="4" t="s">
        <v>763</v>
      </c>
      <c r="C81" s="39" t="s">
        <v>968</v>
      </c>
      <c r="D81" s="4"/>
      <c r="E81" s="5">
        <v>176305</v>
      </c>
      <c r="F81" s="6">
        <v>1.7630000000000001E-6</v>
      </c>
      <c r="G81" s="8" t="s">
        <v>144</v>
      </c>
      <c r="H81" s="52"/>
    </row>
    <row r="82" spans="1:8" ht="14.1" customHeight="1" x14ac:dyDescent="0.2">
      <c r="A82" s="1"/>
      <c r="B82" s="1"/>
      <c r="C82" s="2" t="s">
        <v>145</v>
      </c>
      <c r="D82" s="1"/>
      <c r="E82" s="1" t="s">
        <v>146</v>
      </c>
      <c r="F82" s="9">
        <v>39.944137437000002</v>
      </c>
      <c r="G82" s="10">
        <v>1.9583E-4</v>
      </c>
      <c r="H82" s="52"/>
    </row>
    <row r="83" spans="1:8" ht="14.1" customHeight="1" x14ac:dyDescent="0.2">
      <c r="A83" s="1"/>
      <c r="B83" s="1"/>
      <c r="C83" s="11"/>
      <c r="D83" s="1"/>
      <c r="E83" s="1"/>
      <c r="F83" s="12"/>
      <c r="G83" s="12"/>
      <c r="H83" s="52"/>
    </row>
    <row r="84" spans="1:8" ht="14.1" customHeight="1" x14ac:dyDescent="0.2">
      <c r="A84" s="1"/>
      <c r="B84" s="1"/>
      <c r="C84" s="2" t="s">
        <v>150</v>
      </c>
      <c r="D84" s="1"/>
      <c r="E84" s="1"/>
      <c r="F84" s="1"/>
      <c r="G84" s="1"/>
      <c r="H84" s="52"/>
    </row>
    <row r="85" spans="1:8" ht="14.1" customHeight="1" x14ac:dyDescent="0.2">
      <c r="A85" s="1"/>
      <c r="B85" s="1"/>
      <c r="C85" s="2" t="s">
        <v>145</v>
      </c>
      <c r="D85" s="1"/>
      <c r="E85" s="1" t="s">
        <v>146</v>
      </c>
      <c r="F85" s="13" t="s">
        <v>148</v>
      </c>
      <c r="G85" s="10">
        <v>0</v>
      </c>
      <c r="H85" s="52"/>
    </row>
    <row r="86" spans="1:8" ht="14.1" customHeight="1" x14ac:dyDescent="0.2">
      <c r="A86" s="1"/>
      <c r="B86" s="1"/>
      <c r="C86" s="11"/>
      <c r="D86" s="1"/>
      <c r="E86" s="1"/>
      <c r="F86" s="12"/>
      <c r="G86" s="12"/>
      <c r="H86" s="52"/>
    </row>
    <row r="87" spans="1:8" ht="14.1" customHeight="1" x14ac:dyDescent="0.2">
      <c r="A87" s="1"/>
      <c r="B87" s="1"/>
      <c r="C87" s="2" t="s">
        <v>151</v>
      </c>
      <c r="D87" s="1"/>
      <c r="E87" s="1"/>
      <c r="F87" s="12"/>
      <c r="G87" s="12"/>
      <c r="H87" s="52"/>
    </row>
    <row r="88" spans="1:8" ht="14.1" customHeight="1" x14ac:dyDescent="0.2">
      <c r="A88" s="1"/>
      <c r="B88" s="1"/>
      <c r="C88" s="2" t="s">
        <v>145</v>
      </c>
      <c r="D88" s="1"/>
      <c r="E88" s="1" t="s">
        <v>146</v>
      </c>
      <c r="F88" s="13" t="s">
        <v>148</v>
      </c>
      <c r="G88" s="10">
        <v>0</v>
      </c>
      <c r="H88" s="52"/>
    </row>
    <row r="89" spans="1:8" ht="14.1" customHeight="1" x14ac:dyDescent="0.2">
      <c r="A89" s="1"/>
      <c r="B89" s="1"/>
      <c r="C89" s="11"/>
      <c r="D89" s="1"/>
      <c r="E89" s="1"/>
      <c r="F89" s="12"/>
      <c r="G89" s="12"/>
      <c r="H89" s="52"/>
    </row>
    <row r="90" spans="1:8" ht="14.1" customHeight="1" x14ac:dyDescent="0.2">
      <c r="A90" s="1"/>
      <c r="B90" s="1"/>
      <c r="C90" s="2" t="s">
        <v>152</v>
      </c>
      <c r="D90" s="1"/>
      <c r="E90" s="1"/>
      <c r="F90" s="12"/>
      <c r="G90" s="12"/>
      <c r="H90" s="52"/>
    </row>
    <row r="91" spans="1:8" ht="14.1" customHeight="1" x14ac:dyDescent="0.2">
      <c r="A91" s="1"/>
      <c r="B91" s="1"/>
      <c r="C91" s="2" t="s">
        <v>145</v>
      </c>
      <c r="D91" s="1"/>
      <c r="E91" s="1" t="s">
        <v>146</v>
      </c>
      <c r="F91" s="13" t="s">
        <v>148</v>
      </c>
      <c r="G91" s="10">
        <v>0</v>
      </c>
      <c r="H91" s="52"/>
    </row>
    <row r="92" spans="1:8" ht="14.1" customHeight="1" x14ac:dyDescent="0.2">
      <c r="A92" s="1"/>
      <c r="B92" s="1"/>
      <c r="C92" s="11"/>
      <c r="D92" s="1"/>
      <c r="E92" s="1"/>
      <c r="F92" s="12"/>
      <c r="G92" s="12"/>
      <c r="H92" s="52"/>
    </row>
    <row r="93" spans="1:8" ht="18" customHeight="1" x14ac:dyDescent="0.2">
      <c r="A93" s="1"/>
      <c r="B93" s="1"/>
      <c r="C93" s="2" t="s">
        <v>153</v>
      </c>
      <c r="D93" s="1"/>
      <c r="E93" s="1"/>
      <c r="F93" s="9">
        <v>194031.91692043701</v>
      </c>
      <c r="G93" s="10">
        <v>0.95126403999999998</v>
      </c>
      <c r="H93" s="52"/>
    </row>
    <row r="94" spans="1:8" ht="14.1" customHeight="1" x14ac:dyDescent="0.2">
      <c r="A94" s="1"/>
      <c r="B94" s="1"/>
      <c r="C94" s="11"/>
      <c r="D94" s="1"/>
      <c r="E94" s="1"/>
      <c r="F94" s="12"/>
      <c r="G94" s="12"/>
      <c r="H94" s="52"/>
    </row>
    <row r="95" spans="1:8" ht="14.1" customHeight="1" x14ac:dyDescent="0.2">
      <c r="A95" s="1"/>
      <c r="B95" s="1"/>
      <c r="C95" s="2" t="s">
        <v>154</v>
      </c>
      <c r="D95" s="1"/>
      <c r="E95" s="1"/>
      <c r="F95" s="12"/>
      <c r="G95" s="12"/>
      <c r="H95" s="52"/>
    </row>
    <row r="96" spans="1:8" ht="24" customHeight="1" x14ac:dyDescent="0.2">
      <c r="A96" s="1"/>
      <c r="B96" s="1"/>
      <c r="C96" s="2" t="s">
        <v>10</v>
      </c>
      <c r="D96" s="1"/>
      <c r="E96" s="1"/>
      <c r="F96" s="12"/>
      <c r="G96" s="12"/>
      <c r="H96" s="52"/>
    </row>
    <row r="97" spans="1:8" ht="14.1" customHeight="1" x14ac:dyDescent="0.2">
      <c r="A97" s="1"/>
      <c r="B97" s="1"/>
      <c r="C97" s="2" t="s">
        <v>145</v>
      </c>
      <c r="D97" s="1"/>
      <c r="E97" s="1" t="s">
        <v>146</v>
      </c>
      <c r="F97" s="13" t="s">
        <v>148</v>
      </c>
      <c r="G97" s="10">
        <v>0</v>
      </c>
      <c r="H97" s="52"/>
    </row>
    <row r="98" spans="1:8" ht="14.1" customHeight="1" x14ac:dyDescent="0.2">
      <c r="A98" s="1"/>
      <c r="B98" s="1"/>
      <c r="C98" s="11"/>
      <c r="D98" s="1"/>
      <c r="E98" s="1"/>
      <c r="F98" s="12"/>
      <c r="G98" s="12"/>
      <c r="H98" s="52"/>
    </row>
    <row r="99" spans="1:8" ht="14.1" customHeight="1" x14ac:dyDescent="0.2">
      <c r="A99" s="1"/>
      <c r="B99" s="1"/>
      <c r="C99" s="2" t="s">
        <v>155</v>
      </c>
      <c r="D99" s="1"/>
      <c r="E99" s="1"/>
      <c r="F99" s="1"/>
      <c r="G99" s="1"/>
      <c r="H99" s="52"/>
    </row>
    <row r="100" spans="1:8" ht="14.1" customHeight="1" x14ac:dyDescent="0.2">
      <c r="A100" s="1"/>
      <c r="B100" s="1"/>
      <c r="C100" s="2" t="s">
        <v>145</v>
      </c>
      <c r="D100" s="1"/>
      <c r="E100" s="1" t="s">
        <v>146</v>
      </c>
      <c r="F100" s="13" t="s">
        <v>148</v>
      </c>
      <c r="G100" s="10">
        <v>0</v>
      </c>
      <c r="H100" s="52"/>
    </row>
    <row r="101" spans="1:8" ht="14.1" customHeight="1" x14ac:dyDescent="0.2">
      <c r="A101" s="1"/>
      <c r="B101" s="1"/>
      <c r="C101" s="11"/>
      <c r="D101" s="1"/>
      <c r="E101" s="1"/>
      <c r="F101" s="12"/>
      <c r="G101" s="12"/>
      <c r="H101" s="52"/>
    </row>
    <row r="102" spans="1:8" ht="14.1" customHeight="1" x14ac:dyDescent="0.2">
      <c r="A102" s="1"/>
      <c r="B102" s="1"/>
      <c r="C102" s="2" t="s">
        <v>156</v>
      </c>
      <c r="D102" s="1"/>
      <c r="E102" s="1"/>
      <c r="F102" s="1"/>
      <c r="G102" s="1"/>
      <c r="H102" s="52"/>
    </row>
    <row r="103" spans="1:8" ht="14.1" customHeight="1" x14ac:dyDescent="0.2">
      <c r="A103" s="1"/>
      <c r="B103" s="1"/>
      <c r="C103" s="2" t="s">
        <v>145</v>
      </c>
      <c r="D103" s="1"/>
      <c r="E103" s="1" t="s">
        <v>146</v>
      </c>
      <c r="F103" s="13" t="s">
        <v>148</v>
      </c>
      <c r="G103" s="10">
        <v>0</v>
      </c>
      <c r="H103" s="52"/>
    </row>
    <row r="104" spans="1:8" ht="14.1" customHeight="1" x14ac:dyDescent="0.2">
      <c r="A104" s="1"/>
      <c r="B104" s="1"/>
      <c r="C104" s="11"/>
      <c r="D104" s="1"/>
      <c r="E104" s="1"/>
      <c r="F104" s="12"/>
      <c r="G104" s="12"/>
      <c r="H104" s="52"/>
    </row>
    <row r="105" spans="1:8" ht="14.1" customHeight="1" x14ac:dyDescent="0.2">
      <c r="A105" s="1"/>
      <c r="B105" s="1"/>
      <c r="C105" s="2" t="s">
        <v>157</v>
      </c>
      <c r="D105" s="1"/>
      <c r="E105" s="1"/>
      <c r="F105" s="12"/>
      <c r="G105" s="12"/>
      <c r="H105" s="52"/>
    </row>
    <row r="106" spans="1:8" ht="14.1" customHeight="1" x14ac:dyDescent="0.2">
      <c r="A106" s="1"/>
      <c r="B106" s="1"/>
      <c r="C106" s="2" t="s">
        <v>145</v>
      </c>
      <c r="D106" s="1"/>
      <c r="E106" s="1" t="s">
        <v>146</v>
      </c>
      <c r="F106" s="13" t="s">
        <v>148</v>
      </c>
      <c r="G106" s="10">
        <v>0</v>
      </c>
      <c r="H106" s="52"/>
    </row>
    <row r="107" spans="1:8" ht="14.1" customHeight="1" x14ac:dyDescent="0.2">
      <c r="A107" s="1"/>
      <c r="B107" s="1"/>
      <c r="C107" s="11"/>
      <c r="D107" s="1"/>
      <c r="E107" s="1"/>
      <c r="F107" s="12"/>
      <c r="G107" s="12"/>
      <c r="H107" s="52"/>
    </row>
    <row r="108" spans="1:8" ht="14.1" customHeight="1" x14ac:dyDescent="0.2">
      <c r="A108" s="1"/>
      <c r="B108" s="1"/>
      <c r="C108" s="2" t="s">
        <v>158</v>
      </c>
      <c r="D108" s="1"/>
      <c r="E108" s="1"/>
      <c r="F108" s="9">
        <v>0</v>
      </c>
      <c r="G108" s="10">
        <v>0</v>
      </c>
      <c r="H108" s="52"/>
    </row>
    <row r="109" spans="1:8" ht="14.1" customHeight="1" x14ac:dyDescent="0.2">
      <c r="A109" s="1"/>
      <c r="B109" s="1"/>
      <c r="C109" s="11"/>
      <c r="D109" s="1"/>
      <c r="E109" s="1"/>
      <c r="F109" s="12"/>
      <c r="G109" s="12"/>
      <c r="H109" s="52"/>
    </row>
    <row r="110" spans="1:8" ht="14.1" customHeight="1" x14ac:dyDescent="0.2">
      <c r="A110" s="1"/>
      <c r="B110" s="1"/>
      <c r="C110" s="2" t="s">
        <v>159</v>
      </c>
      <c r="D110" s="1"/>
      <c r="E110" s="1"/>
      <c r="F110" s="12"/>
      <c r="G110" s="12"/>
      <c r="H110" s="52"/>
    </row>
    <row r="111" spans="1:8" ht="14.1" customHeight="1" x14ac:dyDescent="0.2">
      <c r="A111" s="1"/>
      <c r="B111" s="1"/>
      <c r="C111" s="2" t="s">
        <v>160</v>
      </c>
      <c r="D111" s="1"/>
      <c r="E111" s="1"/>
      <c r="F111" s="12"/>
      <c r="G111" s="12"/>
      <c r="H111" s="52"/>
    </row>
    <row r="112" spans="1:8" ht="14.1" customHeight="1" x14ac:dyDescent="0.2">
      <c r="A112" s="1"/>
      <c r="B112" s="1"/>
      <c r="C112" s="2" t="s">
        <v>145</v>
      </c>
      <c r="D112" s="1"/>
      <c r="E112" s="1" t="s">
        <v>146</v>
      </c>
      <c r="F112" s="13" t="s">
        <v>148</v>
      </c>
      <c r="G112" s="10">
        <v>0</v>
      </c>
      <c r="H112" s="52"/>
    </row>
    <row r="113" spans="1:8" ht="14.1" customHeight="1" x14ac:dyDescent="0.2">
      <c r="A113" s="1"/>
      <c r="B113" s="1"/>
      <c r="C113" s="11"/>
      <c r="D113" s="1"/>
      <c r="E113" s="1"/>
      <c r="F113" s="12"/>
      <c r="G113" s="12"/>
      <c r="H113" s="52"/>
    </row>
    <row r="114" spans="1:8" ht="14.1" customHeight="1" x14ac:dyDescent="0.2">
      <c r="A114" s="1"/>
      <c r="B114" s="1"/>
      <c r="C114" s="2" t="s">
        <v>161</v>
      </c>
      <c r="D114" s="1"/>
      <c r="E114" s="1"/>
      <c r="F114" s="12"/>
      <c r="G114" s="12"/>
      <c r="H114" s="52"/>
    </row>
    <row r="115" spans="1:8" ht="14.1" customHeight="1" x14ac:dyDescent="0.2">
      <c r="A115" s="1"/>
      <c r="B115" s="1"/>
      <c r="C115" s="2" t="s">
        <v>145</v>
      </c>
      <c r="D115" s="1"/>
      <c r="E115" s="1" t="s">
        <v>146</v>
      </c>
      <c r="F115" s="13" t="s">
        <v>148</v>
      </c>
      <c r="G115" s="10">
        <v>0</v>
      </c>
      <c r="H115" s="52"/>
    </row>
    <row r="116" spans="1:8" ht="14.1" customHeight="1" x14ac:dyDescent="0.2">
      <c r="A116" s="1"/>
      <c r="B116" s="1"/>
      <c r="C116" s="11"/>
      <c r="D116" s="1"/>
      <c r="E116" s="1"/>
      <c r="F116" s="12"/>
      <c r="G116" s="12"/>
      <c r="H116" s="52"/>
    </row>
    <row r="117" spans="1:8" ht="14.1" customHeight="1" x14ac:dyDescent="0.2">
      <c r="A117" s="1"/>
      <c r="B117" s="1"/>
      <c r="C117" s="2" t="s">
        <v>162</v>
      </c>
      <c r="D117" s="1"/>
      <c r="E117" s="1"/>
      <c r="F117" s="12"/>
      <c r="G117" s="12"/>
      <c r="H117" s="52"/>
    </row>
    <row r="118" spans="1:8" ht="14.1" customHeight="1" x14ac:dyDescent="0.2">
      <c r="A118" s="1"/>
      <c r="B118" s="1"/>
      <c r="C118" s="2" t="s">
        <v>145</v>
      </c>
      <c r="D118" s="1"/>
      <c r="E118" s="1" t="s">
        <v>146</v>
      </c>
      <c r="F118" s="13" t="s">
        <v>148</v>
      </c>
      <c r="G118" s="10">
        <v>0</v>
      </c>
      <c r="H118" s="52"/>
    </row>
    <row r="119" spans="1:8" ht="14.1" customHeight="1" x14ac:dyDescent="0.2">
      <c r="A119" s="1"/>
      <c r="B119" s="1"/>
      <c r="C119" s="11"/>
      <c r="D119" s="1"/>
      <c r="E119" s="1"/>
      <c r="F119" s="12"/>
      <c r="G119" s="12"/>
      <c r="H119" s="52"/>
    </row>
    <row r="120" spans="1:8" ht="14.1" customHeight="1" x14ac:dyDescent="0.2">
      <c r="A120" s="1"/>
      <c r="B120" s="1"/>
      <c r="C120" s="2" t="s">
        <v>163</v>
      </c>
      <c r="D120" s="1"/>
      <c r="E120" s="1"/>
      <c r="F120" s="12"/>
      <c r="G120" s="12"/>
      <c r="H120" s="52"/>
    </row>
    <row r="121" spans="1:8" ht="17.100000000000001" customHeight="1" x14ac:dyDescent="0.2">
      <c r="A121" s="3">
        <v>1</v>
      </c>
      <c r="B121" s="4"/>
      <c r="C121" s="4" t="s">
        <v>164</v>
      </c>
      <c r="D121" s="4"/>
      <c r="E121" s="8"/>
      <c r="F121" s="6">
        <v>9186.0563500280005</v>
      </c>
      <c r="G121" s="7">
        <v>4.503571E-2</v>
      </c>
      <c r="H121" s="52">
        <v>6.7567375937238596</v>
      </c>
    </row>
    <row r="122" spans="1:8" ht="14.1" customHeight="1" x14ac:dyDescent="0.2">
      <c r="A122" s="1"/>
      <c r="B122" s="1"/>
      <c r="C122" s="2" t="s">
        <v>145</v>
      </c>
      <c r="D122" s="1"/>
      <c r="E122" s="1" t="s">
        <v>146</v>
      </c>
      <c r="F122" s="9">
        <v>9186.0563500280005</v>
      </c>
      <c r="G122" s="10">
        <v>4.503571E-2</v>
      </c>
      <c r="H122" s="52"/>
    </row>
    <row r="123" spans="1:8" ht="14.1" customHeight="1" x14ac:dyDescent="0.2">
      <c r="A123" s="1"/>
      <c r="B123" s="1"/>
      <c r="C123" s="11"/>
      <c r="D123" s="1"/>
      <c r="E123" s="1"/>
      <c r="F123" s="12"/>
      <c r="G123" s="12"/>
      <c r="H123" s="52"/>
    </row>
    <row r="124" spans="1:8" ht="14.1" customHeight="1" x14ac:dyDescent="0.2">
      <c r="A124" s="1"/>
      <c r="B124" s="1"/>
      <c r="C124" s="2" t="s">
        <v>165</v>
      </c>
      <c r="D124" s="1"/>
      <c r="E124" s="1"/>
      <c r="F124" s="9">
        <v>9186.0563500280005</v>
      </c>
      <c r="G124" s="10">
        <v>4.503571E-2</v>
      </c>
      <c r="H124" s="52"/>
    </row>
    <row r="125" spans="1:8" ht="14.1" customHeight="1" x14ac:dyDescent="0.2">
      <c r="A125" s="1"/>
      <c r="B125" s="1"/>
      <c r="C125" s="12"/>
      <c r="D125" s="1"/>
      <c r="E125" s="1"/>
      <c r="F125" s="1"/>
      <c r="G125" s="1"/>
      <c r="H125" s="52"/>
    </row>
    <row r="126" spans="1:8" ht="14.1" customHeight="1" x14ac:dyDescent="0.2">
      <c r="A126" s="1"/>
      <c r="B126" s="1"/>
      <c r="C126" s="2" t="s">
        <v>166</v>
      </c>
      <c r="D126" s="1"/>
      <c r="E126" s="1"/>
      <c r="F126" s="1"/>
      <c r="G126" s="1"/>
      <c r="H126" s="52"/>
    </row>
    <row r="127" spans="1:8" ht="14.1" customHeight="1" x14ac:dyDescent="0.2">
      <c r="A127" s="1"/>
      <c r="B127" s="1"/>
      <c r="C127" s="2" t="s">
        <v>167</v>
      </c>
      <c r="D127" s="1"/>
      <c r="E127" s="1"/>
      <c r="F127" s="1"/>
      <c r="G127" s="1"/>
      <c r="H127" s="52"/>
    </row>
    <row r="128" spans="1:8" ht="14.1" customHeight="1" x14ac:dyDescent="0.2">
      <c r="A128" s="1"/>
      <c r="B128" s="1"/>
      <c r="C128" s="2" t="s">
        <v>145</v>
      </c>
      <c r="D128" s="1"/>
      <c r="E128" s="1" t="s">
        <v>146</v>
      </c>
      <c r="F128" s="13" t="s">
        <v>148</v>
      </c>
      <c r="G128" s="10">
        <v>0</v>
      </c>
      <c r="H128" s="52"/>
    </row>
    <row r="129" spans="1:8" ht="14.1" customHeight="1" x14ac:dyDescent="0.2">
      <c r="A129" s="1"/>
      <c r="B129" s="1"/>
      <c r="C129" s="11"/>
      <c r="D129" s="1"/>
      <c r="E129" s="1"/>
      <c r="F129" s="12"/>
      <c r="G129" s="12"/>
      <c r="H129" s="52"/>
    </row>
    <row r="130" spans="1:8" ht="14.1" customHeight="1" x14ac:dyDescent="0.2">
      <c r="A130" s="1"/>
      <c r="B130" s="1"/>
      <c r="C130" s="2" t="s">
        <v>168</v>
      </c>
      <c r="D130" s="1"/>
      <c r="E130" s="1"/>
      <c r="F130" s="1"/>
      <c r="G130" s="1"/>
      <c r="H130" s="52"/>
    </row>
    <row r="131" spans="1:8" ht="14.1" customHeight="1" x14ac:dyDescent="0.2">
      <c r="A131" s="1"/>
      <c r="B131" s="1"/>
      <c r="C131" s="2" t="s">
        <v>169</v>
      </c>
      <c r="D131" s="1"/>
      <c r="E131" s="1"/>
      <c r="F131" s="1"/>
      <c r="G131" s="1"/>
      <c r="H131" s="52"/>
    </row>
    <row r="132" spans="1:8" ht="14.1" customHeight="1" x14ac:dyDescent="0.2">
      <c r="A132" s="1"/>
      <c r="B132" s="1"/>
      <c r="C132" s="2" t="s">
        <v>145</v>
      </c>
      <c r="D132" s="1"/>
      <c r="E132" s="1" t="s">
        <v>146</v>
      </c>
      <c r="F132" s="13" t="s">
        <v>148</v>
      </c>
      <c r="G132" s="10">
        <v>0</v>
      </c>
      <c r="H132" s="52"/>
    </row>
    <row r="133" spans="1:8" ht="14.1" customHeight="1" x14ac:dyDescent="0.2">
      <c r="A133" s="1"/>
      <c r="B133" s="1"/>
      <c r="C133" s="11"/>
      <c r="D133" s="1"/>
      <c r="E133" s="1"/>
      <c r="F133" s="12"/>
      <c r="G133" s="12"/>
      <c r="H133" s="52"/>
    </row>
    <row r="134" spans="1:8" ht="24" customHeight="1" x14ac:dyDescent="0.2">
      <c r="A134" s="1"/>
      <c r="B134" s="1"/>
      <c r="C134" s="2" t="s">
        <v>170</v>
      </c>
      <c r="D134" s="1"/>
      <c r="E134" s="1"/>
      <c r="F134" s="12"/>
      <c r="G134" s="12"/>
      <c r="H134" s="52"/>
    </row>
    <row r="135" spans="1:8" ht="14.1" customHeight="1" x14ac:dyDescent="0.2">
      <c r="A135" s="1"/>
      <c r="B135" s="1"/>
      <c r="C135" s="2" t="s">
        <v>145</v>
      </c>
      <c r="D135" s="1"/>
      <c r="E135" s="1" t="s">
        <v>146</v>
      </c>
      <c r="F135" s="13" t="s">
        <v>148</v>
      </c>
      <c r="G135" s="10">
        <v>0</v>
      </c>
      <c r="H135" s="52"/>
    </row>
    <row r="136" spans="1:8" ht="14.1" customHeight="1" x14ac:dyDescent="0.2">
      <c r="A136" s="1"/>
      <c r="B136" s="1"/>
      <c r="C136" s="11"/>
      <c r="D136" s="1"/>
      <c r="E136" s="1"/>
      <c r="F136" s="12"/>
      <c r="G136" s="12"/>
      <c r="H136" s="52"/>
    </row>
    <row r="137" spans="1:8" ht="14.1" customHeight="1" x14ac:dyDescent="0.2">
      <c r="A137" s="1"/>
      <c r="B137" s="4"/>
      <c r="C137" s="4"/>
      <c r="D137" s="2"/>
      <c r="E137" s="1"/>
      <c r="F137" s="4"/>
      <c r="G137" s="8"/>
      <c r="H137" s="52"/>
    </row>
    <row r="138" spans="1:8" ht="18" customHeight="1" x14ac:dyDescent="0.2">
      <c r="A138" s="8"/>
      <c r="B138" s="4"/>
      <c r="C138" s="4" t="s">
        <v>171</v>
      </c>
      <c r="D138" s="4"/>
      <c r="E138" s="8"/>
      <c r="F138" s="6">
        <v>754.74769222999998</v>
      </c>
      <c r="G138" s="7">
        <v>3.70024E-3</v>
      </c>
      <c r="H138" s="52"/>
    </row>
    <row r="139" spans="1:8" ht="14.1" customHeight="1" x14ac:dyDescent="0.2">
      <c r="A139" s="11"/>
      <c r="B139" s="11"/>
      <c r="C139" s="2" t="s">
        <v>172</v>
      </c>
      <c r="D139" s="12"/>
      <c r="E139" s="12"/>
      <c r="F139" s="9">
        <v>203972.72096269499</v>
      </c>
      <c r="G139" s="14">
        <v>0.99999998999999995</v>
      </c>
      <c r="H139" s="52"/>
    </row>
    <row r="140" spans="1:8" ht="14.1" customHeight="1" x14ac:dyDescent="0.2">
      <c r="A140" s="15"/>
      <c r="B140" s="15"/>
      <c r="C140" s="15"/>
      <c r="D140" s="16"/>
      <c r="E140" s="16"/>
      <c r="F140" s="16"/>
      <c r="G140" s="16"/>
    </row>
    <row r="141" spans="1:8" ht="17.100000000000001" customHeight="1" x14ac:dyDescent="0.2">
      <c r="A141" s="17"/>
      <c r="B141" s="126" t="s">
        <v>173</v>
      </c>
      <c r="C141" s="126"/>
      <c r="D141" s="126"/>
      <c r="E141" s="126"/>
      <c r="F141" s="126"/>
      <c r="G141" s="19"/>
    </row>
    <row r="142" spans="1:8" ht="14.1" customHeight="1" x14ac:dyDescent="0.2">
      <c r="A142" s="17"/>
      <c r="B142" s="17"/>
      <c r="C142" s="17"/>
      <c r="D142" s="19"/>
      <c r="E142" s="19"/>
      <c r="F142" s="19"/>
      <c r="G142" s="19"/>
    </row>
    <row r="143" spans="1:8" ht="14.1" customHeight="1" x14ac:dyDescent="0.2">
      <c r="A143" s="17"/>
      <c r="B143" s="127" t="s">
        <v>174</v>
      </c>
      <c r="C143" s="128"/>
      <c r="D143" s="129"/>
      <c r="E143" s="20"/>
      <c r="F143" s="19"/>
      <c r="G143" s="19"/>
    </row>
    <row r="144" spans="1:8" ht="29.1" customHeight="1" x14ac:dyDescent="0.2">
      <c r="A144" s="17"/>
      <c r="B144" s="121" t="s">
        <v>175</v>
      </c>
      <c r="C144" s="122"/>
      <c r="D144" s="113" t="s">
        <v>1092</v>
      </c>
      <c r="E144" s="20"/>
      <c r="F144" s="19"/>
      <c r="G144" s="19"/>
    </row>
    <row r="145" spans="1:7" ht="17.100000000000001" customHeight="1" x14ac:dyDescent="0.2">
      <c r="A145" s="17"/>
      <c r="B145" s="123" t="s">
        <v>947</v>
      </c>
      <c r="C145" s="124"/>
      <c r="D145" s="40" t="s">
        <v>969</v>
      </c>
      <c r="E145" s="20"/>
      <c r="F145" s="19"/>
      <c r="G145" s="19"/>
    </row>
    <row r="146" spans="1:7" ht="17.100000000000001" customHeight="1" x14ac:dyDescent="0.2">
      <c r="A146" s="17"/>
      <c r="B146" s="121" t="s">
        <v>178</v>
      </c>
      <c r="C146" s="122"/>
      <c r="D146" s="12" t="s">
        <v>146</v>
      </c>
      <c r="E146" s="20"/>
      <c r="F146" s="19"/>
      <c r="G146" s="19"/>
    </row>
    <row r="147" spans="1:7" ht="24" customHeight="1" x14ac:dyDescent="0.2">
      <c r="A147" s="21"/>
      <c r="B147" s="22" t="s">
        <v>146</v>
      </c>
      <c r="C147" s="22" t="s">
        <v>179</v>
      </c>
      <c r="D147" s="22" t="s">
        <v>180</v>
      </c>
      <c r="E147" s="21"/>
      <c r="F147" s="21"/>
      <c r="G147" s="21"/>
    </row>
    <row r="148" spans="1:7" ht="18" customHeight="1" x14ac:dyDescent="0.2">
      <c r="A148" s="21"/>
      <c r="B148" s="23" t="s">
        <v>181</v>
      </c>
      <c r="C148" s="22" t="s">
        <v>182</v>
      </c>
      <c r="D148" s="22" t="s">
        <v>183</v>
      </c>
      <c r="E148" s="21"/>
      <c r="F148" s="21"/>
      <c r="G148" s="21"/>
    </row>
    <row r="149" spans="1:7" ht="17.100000000000001" customHeight="1" x14ac:dyDescent="0.2">
      <c r="A149" s="21"/>
      <c r="B149" s="4" t="s">
        <v>184</v>
      </c>
      <c r="C149" s="24">
        <v>304.12329999999997</v>
      </c>
      <c r="D149" s="24">
        <v>294.73309999999998</v>
      </c>
      <c r="E149" s="21"/>
      <c r="F149" s="18"/>
      <c r="G149" s="25"/>
    </row>
    <row r="150" spans="1:7" ht="29.1" customHeight="1" x14ac:dyDescent="0.2">
      <c r="A150" s="21"/>
      <c r="B150" s="4" t="s">
        <v>1042</v>
      </c>
      <c r="C150" s="24">
        <v>72.459599999999995</v>
      </c>
      <c r="D150" s="24">
        <v>70.222300000000004</v>
      </c>
      <c r="E150" s="21"/>
      <c r="F150" s="18"/>
      <c r="G150" s="25"/>
    </row>
    <row r="151" spans="1:7" ht="17.100000000000001" customHeight="1" x14ac:dyDescent="0.2">
      <c r="A151" s="21"/>
      <c r="B151" s="4" t="s">
        <v>185</v>
      </c>
      <c r="C151" s="24">
        <v>278.58100000000002</v>
      </c>
      <c r="D151" s="24">
        <v>269.7242</v>
      </c>
      <c r="E151" s="21"/>
      <c r="F151" s="18"/>
      <c r="G151" s="25"/>
    </row>
    <row r="152" spans="1:7" ht="29.1" customHeight="1" x14ac:dyDescent="0.2">
      <c r="A152" s="21"/>
      <c r="B152" s="4" t="s">
        <v>1043</v>
      </c>
      <c r="C152" s="24">
        <v>54.7958</v>
      </c>
      <c r="D152" s="24">
        <v>53.053699999999999</v>
      </c>
      <c r="E152" s="21"/>
      <c r="F152" s="18"/>
      <c r="G152" s="25"/>
    </row>
    <row r="153" spans="1:7" ht="14.1" customHeight="1" x14ac:dyDescent="0.2">
      <c r="A153" s="21"/>
      <c r="B153" s="21"/>
      <c r="C153" s="21"/>
      <c r="D153" s="21"/>
      <c r="E153" s="21"/>
      <c r="F153" s="21"/>
      <c r="G153" s="21"/>
    </row>
    <row r="154" spans="1:7" ht="17.100000000000001" customHeight="1" x14ac:dyDescent="0.2">
      <c r="A154" s="21"/>
      <c r="B154" s="121" t="s">
        <v>1041</v>
      </c>
      <c r="C154" s="122"/>
      <c r="D154" s="2" t="s">
        <v>176</v>
      </c>
      <c r="E154" s="21"/>
      <c r="F154" s="21"/>
      <c r="G154" s="21"/>
    </row>
    <row r="155" spans="1:7" ht="18" customHeight="1" x14ac:dyDescent="0.2">
      <c r="A155" s="21"/>
      <c r="B155" s="26"/>
      <c r="C155" s="26"/>
      <c r="D155" s="26"/>
      <c r="E155" s="21"/>
      <c r="F155" s="21"/>
      <c r="G155" s="21"/>
    </row>
    <row r="156" spans="1:7" ht="29.1" customHeight="1" x14ac:dyDescent="0.2">
      <c r="A156" s="21"/>
      <c r="B156" s="121" t="s">
        <v>186</v>
      </c>
      <c r="C156" s="122"/>
      <c r="D156" s="2" t="s">
        <v>176</v>
      </c>
      <c r="E156" s="27"/>
      <c r="F156" s="21"/>
      <c r="G156" s="21"/>
    </row>
    <row r="157" spans="1:7" ht="29.1" customHeight="1" x14ac:dyDescent="0.2">
      <c r="A157" s="21"/>
      <c r="B157" s="121" t="s">
        <v>187</v>
      </c>
      <c r="C157" s="122"/>
      <c r="D157" s="2" t="s">
        <v>176</v>
      </c>
      <c r="E157" s="27"/>
      <c r="F157" s="21"/>
      <c r="G157" s="21"/>
    </row>
    <row r="158" spans="1:7" ht="17.100000000000001" customHeight="1" x14ac:dyDescent="0.2">
      <c r="A158" s="21"/>
      <c r="B158" s="121" t="s">
        <v>188</v>
      </c>
      <c r="C158" s="122"/>
      <c r="D158" s="2" t="s">
        <v>176</v>
      </c>
      <c r="E158" s="27"/>
      <c r="F158" s="21"/>
      <c r="G158" s="21"/>
    </row>
    <row r="159" spans="1:7" ht="17.100000000000001" customHeight="1" x14ac:dyDescent="0.2">
      <c r="A159" s="21"/>
      <c r="B159" s="121" t="s">
        <v>189</v>
      </c>
      <c r="C159" s="122"/>
      <c r="D159" s="50">
        <v>0.69463200182746543</v>
      </c>
      <c r="E159" s="21"/>
      <c r="F159" s="18"/>
      <c r="G159" s="25"/>
    </row>
    <row r="161" spans="2:6" x14ac:dyDescent="0.2">
      <c r="B161" s="91" t="s">
        <v>1036</v>
      </c>
    </row>
    <row r="162" spans="2:6" ht="38.25" x14ac:dyDescent="0.2">
      <c r="B162" s="61" t="s">
        <v>1004</v>
      </c>
      <c r="C162" s="61" t="s">
        <v>1005</v>
      </c>
      <c r="D162" s="61" t="s">
        <v>1006</v>
      </c>
      <c r="E162" s="61" t="s">
        <v>1007</v>
      </c>
      <c r="F162" s="61" t="s">
        <v>1008</v>
      </c>
    </row>
    <row r="163" spans="2:6" x14ac:dyDescent="0.2">
      <c r="B163" s="92" t="s">
        <v>1035</v>
      </c>
      <c r="C163" s="87" t="s">
        <v>1033</v>
      </c>
      <c r="D163" s="88">
        <v>0</v>
      </c>
      <c r="E163" s="89">
        <v>0</v>
      </c>
      <c r="F163" s="90">
        <v>29.407129999999999</v>
      </c>
    </row>
  </sheetData>
  <mergeCells count="14">
    <mergeCell ref="A1:H1"/>
    <mergeCell ref="A2:H2"/>
    <mergeCell ref="A3:H3"/>
    <mergeCell ref="J2:N2"/>
    <mergeCell ref="B159:C159"/>
    <mergeCell ref="B145:C145"/>
    <mergeCell ref="B146:C146"/>
    <mergeCell ref="B154:C154"/>
    <mergeCell ref="B156:C156"/>
    <mergeCell ref="B157:C157"/>
    <mergeCell ref="B158:C158"/>
    <mergeCell ref="B144:C144"/>
    <mergeCell ref="B141:F141"/>
    <mergeCell ref="B143:D143"/>
  </mergeCells>
  <hyperlinks>
    <hyperlink ref="I1" location="Index!B21" display="Index" xr:uid="{035EB8CD-A3F9-498C-A7B4-0D1B6D659570}"/>
  </hyperlinks>
  <pageMargins left="5.000000074505806E-2" right="5.000000074505806E-2" top="0.30000001192092896" bottom="0.20000000298023224" header="0" footer="0"/>
  <pageSetup paperSize="9" orientation="landscape" r:id="rId1"/>
  <headerFooter alignWithMargins="0"/>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outlinePr summaryBelow="0" summaryRight="0"/>
  </sheetPr>
  <dimension ref="A1:O197"/>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5" ht="18" customHeight="1" x14ac:dyDescent="0.2">
      <c r="A1" s="116" t="s">
        <v>0</v>
      </c>
      <c r="B1" s="116"/>
      <c r="C1" s="116"/>
      <c r="D1" s="116"/>
      <c r="E1" s="116"/>
      <c r="F1" s="116"/>
      <c r="G1" s="116"/>
      <c r="H1" s="116"/>
      <c r="I1" s="98" t="s">
        <v>1053</v>
      </c>
    </row>
    <row r="2" spans="1:15" ht="17.100000000000001" customHeight="1" x14ac:dyDescent="0.2">
      <c r="A2" s="117" t="s">
        <v>764</v>
      </c>
      <c r="B2" s="118"/>
      <c r="C2" s="118"/>
      <c r="D2" s="118"/>
      <c r="E2" s="118"/>
      <c r="F2" s="118"/>
      <c r="G2" s="118"/>
      <c r="H2" s="119"/>
      <c r="J2" s="120" t="s">
        <v>1054</v>
      </c>
      <c r="K2" s="120"/>
      <c r="L2" s="120"/>
      <c r="M2" s="120"/>
      <c r="N2" s="120"/>
    </row>
    <row r="3" spans="1:15" ht="21" customHeight="1" x14ac:dyDescent="0.2">
      <c r="A3" s="116" t="s">
        <v>1049</v>
      </c>
      <c r="B3" s="116"/>
      <c r="C3" s="116"/>
      <c r="D3" s="116"/>
      <c r="E3" s="116"/>
      <c r="F3" s="116"/>
      <c r="G3" s="116"/>
      <c r="H3" s="116"/>
    </row>
    <row r="4" spans="1:15" ht="30" x14ac:dyDescent="0.2">
      <c r="A4" s="96" t="s">
        <v>2</v>
      </c>
      <c r="B4" s="96" t="s">
        <v>3</v>
      </c>
      <c r="C4" s="96" t="s">
        <v>4</v>
      </c>
      <c r="D4" s="96" t="s">
        <v>5</v>
      </c>
      <c r="E4" s="96" t="s">
        <v>6</v>
      </c>
      <c r="F4" s="96" t="s">
        <v>7</v>
      </c>
      <c r="G4" s="96" t="s">
        <v>8</v>
      </c>
      <c r="H4" s="51" t="s">
        <v>1002</v>
      </c>
      <c r="I4" s="99"/>
      <c r="J4" s="99"/>
      <c r="K4" s="99"/>
      <c r="L4" s="99"/>
      <c r="M4" s="99"/>
      <c r="N4" s="99"/>
      <c r="O4" s="99"/>
    </row>
    <row r="5" spans="1:15" ht="14.1" customHeight="1" x14ac:dyDescent="0.2">
      <c r="A5" s="1"/>
      <c r="B5" s="1"/>
      <c r="C5" s="2" t="s">
        <v>9</v>
      </c>
      <c r="D5" s="1"/>
      <c r="E5" s="1"/>
      <c r="F5" s="1"/>
      <c r="G5" s="1"/>
      <c r="H5" s="52"/>
    </row>
    <row r="6" spans="1:15" ht="24" customHeight="1" x14ac:dyDescent="0.2">
      <c r="A6" s="1"/>
      <c r="B6" s="1"/>
      <c r="C6" s="2" t="s">
        <v>10</v>
      </c>
      <c r="D6" s="1"/>
      <c r="E6" s="1"/>
      <c r="F6" s="1"/>
      <c r="G6" s="1"/>
      <c r="H6" s="52"/>
    </row>
    <row r="7" spans="1:15" ht="17.100000000000001" customHeight="1" x14ac:dyDescent="0.2">
      <c r="A7" s="3">
        <v>1</v>
      </c>
      <c r="B7" s="4" t="s">
        <v>703</v>
      </c>
      <c r="C7" s="4" t="s">
        <v>704</v>
      </c>
      <c r="D7" s="4" t="s">
        <v>705</v>
      </c>
      <c r="E7" s="5">
        <v>21577</v>
      </c>
      <c r="F7" s="6">
        <v>67.805722500000002</v>
      </c>
      <c r="G7" s="7">
        <v>1.092769E-2</v>
      </c>
      <c r="H7" s="52"/>
    </row>
    <row r="8" spans="1:15" ht="17.100000000000001" customHeight="1" x14ac:dyDescent="0.2">
      <c r="A8" s="3">
        <v>2</v>
      </c>
      <c r="B8" s="4" t="s">
        <v>673</v>
      </c>
      <c r="C8" s="4" t="s">
        <v>674</v>
      </c>
      <c r="D8" s="4" t="s">
        <v>93</v>
      </c>
      <c r="E8" s="5">
        <v>11859</v>
      </c>
      <c r="F8" s="6">
        <v>66.825464999999994</v>
      </c>
      <c r="G8" s="7">
        <v>1.076971E-2</v>
      </c>
      <c r="H8" s="52"/>
    </row>
    <row r="9" spans="1:15" ht="17.100000000000001" customHeight="1" x14ac:dyDescent="0.2">
      <c r="A9" s="3">
        <v>3</v>
      </c>
      <c r="B9" s="4" t="s">
        <v>466</v>
      </c>
      <c r="C9" s="4" t="s">
        <v>467</v>
      </c>
      <c r="D9" s="4" t="s">
        <v>221</v>
      </c>
      <c r="E9" s="5">
        <v>4774</v>
      </c>
      <c r="F9" s="6">
        <v>65.301158999999998</v>
      </c>
      <c r="G9" s="7">
        <v>1.052405E-2</v>
      </c>
      <c r="H9" s="52"/>
    </row>
    <row r="10" spans="1:15" ht="17.100000000000001" customHeight="1" x14ac:dyDescent="0.2">
      <c r="A10" s="3">
        <v>4</v>
      </c>
      <c r="B10" s="4" t="s">
        <v>745</v>
      </c>
      <c r="C10" s="4" t="s">
        <v>746</v>
      </c>
      <c r="D10" s="4" t="s">
        <v>242</v>
      </c>
      <c r="E10" s="5">
        <v>268</v>
      </c>
      <c r="F10" s="6">
        <v>64.949263999999999</v>
      </c>
      <c r="G10" s="7">
        <v>1.046733E-2</v>
      </c>
      <c r="H10" s="52"/>
    </row>
    <row r="11" spans="1:15" ht="17.100000000000001" customHeight="1" x14ac:dyDescent="0.2">
      <c r="A11" s="3">
        <v>5</v>
      </c>
      <c r="B11" s="4" t="s">
        <v>765</v>
      </c>
      <c r="C11" s="4" t="s">
        <v>766</v>
      </c>
      <c r="D11" s="4" t="s">
        <v>70</v>
      </c>
      <c r="E11" s="5">
        <v>4989</v>
      </c>
      <c r="F11" s="6">
        <v>64.792142999999996</v>
      </c>
      <c r="G11" s="7">
        <v>1.044201E-2</v>
      </c>
      <c r="H11" s="52"/>
    </row>
    <row r="12" spans="1:15" ht="29.1" customHeight="1" x14ac:dyDescent="0.2">
      <c r="A12" s="3">
        <v>6</v>
      </c>
      <c r="B12" s="4" t="s">
        <v>767</v>
      </c>
      <c r="C12" s="4" t="s">
        <v>768</v>
      </c>
      <c r="D12" s="4" t="s">
        <v>226</v>
      </c>
      <c r="E12" s="5">
        <v>3366</v>
      </c>
      <c r="F12" s="6">
        <v>64.770255000000006</v>
      </c>
      <c r="G12" s="7">
        <v>1.043848E-2</v>
      </c>
      <c r="H12" s="52"/>
    </row>
    <row r="13" spans="1:15" ht="17.100000000000001" customHeight="1" x14ac:dyDescent="0.2">
      <c r="A13" s="3">
        <v>7</v>
      </c>
      <c r="B13" s="4" t="s">
        <v>247</v>
      </c>
      <c r="C13" s="4" t="s">
        <v>248</v>
      </c>
      <c r="D13" s="4" t="s">
        <v>102</v>
      </c>
      <c r="E13" s="5">
        <v>4059</v>
      </c>
      <c r="F13" s="6">
        <v>64.570571999999999</v>
      </c>
      <c r="G13" s="7">
        <v>1.04063E-2</v>
      </c>
      <c r="H13" s="52"/>
      <c r="J13" s="101" t="s">
        <v>1080</v>
      </c>
    </row>
    <row r="14" spans="1:15" ht="17.100000000000001" customHeight="1" x14ac:dyDescent="0.2">
      <c r="A14" s="3">
        <v>8</v>
      </c>
      <c r="B14" s="4" t="s">
        <v>565</v>
      </c>
      <c r="C14" s="4" t="s">
        <v>566</v>
      </c>
      <c r="D14" s="4" t="s">
        <v>102</v>
      </c>
      <c r="E14" s="5">
        <v>1215</v>
      </c>
      <c r="F14" s="6">
        <v>64.565707500000002</v>
      </c>
      <c r="G14" s="7">
        <v>1.040552E-2</v>
      </c>
      <c r="H14" s="52"/>
    </row>
    <row r="15" spans="1:15" ht="17.100000000000001" customHeight="1" x14ac:dyDescent="0.2">
      <c r="A15" s="3">
        <v>9</v>
      </c>
      <c r="B15" s="4" t="s">
        <v>335</v>
      </c>
      <c r="C15" s="4" t="s">
        <v>336</v>
      </c>
      <c r="D15" s="4" t="s">
        <v>28</v>
      </c>
      <c r="E15" s="5">
        <v>16766</v>
      </c>
      <c r="F15" s="6">
        <v>64.440121000000005</v>
      </c>
      <c r="G15" s="7">
        <v>1.038528E-2</v>
      </c>
      <c r="H15" s="52"/>
    </row>
    <row r="16" spans="1:15" ht="29.1" customHeight="1" x14ac:dyDescent="0.2">
      <c r="A16" s="3">
        <v>10</v>
      </c>
      <c r="B16" s="4" t="s">
        <v>769</v>
      </c>
      <c r="C16" s="4" t="s">
        <v>770</v>
      </c>
      <c r="D16" s="4" t="s">
        <v>221</v>
      </c>
      <c r="E16" s="5">
        <v>4679</v>
      </c>
      <c r="F16" s="6">
        <v>64.280101999999999</v>
      </c>
      <c r="G16" s="7">
        <v>1.0359490000000001E-2</v>
      </c>
      <c r="H16" s="52"/>
    </row>
    <row r="17" spans="1:8" ht="29.1" customHeight="1" x14ac:dyDescent="0.2">
      <c r="A17" s="3">
        <v>11</v>
      </c>
      <c r="B17" s="4" t="s">
        <v>23</v>
      </c>
      <c r="C17" s="4" t="s">
        <v>24</v>
      </c>
      <c r="D17" s="4" t="s">
        <v>25</v>
      </c>
      <c r="E17" s="5">
        <v>756</v>
      </c>
      <c r="F17" s="6">
        <v>63.67221</v>
      </c>
      <c r="G17" s="7">
        <v>1.026152E-2</v>
      </c>
      <c r="H17" s="52"/>
    </row>
    <row r="18" spans="1:8" ht="29.1" customHeight="1" x14ac:dyDescent="0.2">
      <c r="A18" s="3">
        <v>12</v>
      </c>
      <c r="B18" s="4" t="s">
        <v>390</v>
      </c>
      <c r="C18" s="4" t="s">
        <v>391</v>
      </c>
      <c r="D18" s="4" t="s">
        <v>226</v>
      </c>
      <c r="E18" s="5">
        <v>5295</v>
      </c>
      <c r="F18" s="6">
        <v>63.54</v>
      </c>
      <c r="G18" s="7">
        <v>1.024021E-2</v>
      </c>
      <c r="H18" s="52"/>
    </row>
    <row r="19" spans="1:8" ht="17.100000000000001" customHeight="1" x14ac:dyDescent="0.2">
      <c r="A19" s="3">
        <v>13</v>
      </c>
      <c r="B19" s="4" t="s">
        <v>337</v>
      </c>
      <c r="C19" s="4" t="s">
        <v>338</v>
      </c>
      <c r="D19" s="4" t="s">
        <v>208</v>
      </c>
      <c r="E19" s="5">
        <v>60294</v>
      </c>
      <c r="F19" s="6">
        <v>63.368994000000001</v>
      </c>
      <c r="G19" s="7">
        <v>1.021265E-2</v>
      </c>
      <c r="H19" s="52"/>
    </row>
    <row r="20" spans="1:8" ht="17.100000000000001" customHeight="1" x14ac:dyDescent="0.2">
      <c r="A20" s="3">
        <v>14</v>
      </c>
      <c r="B20" s="4" t="s">
        <v>771</v>
      </c>
      <c r="C20" s="4" t="s">
        <v>772</v>
      </c>
      <c r="D20" s="4" t="s">
        <v>288</v>
      </c>
      <c r="E20" s="5">
        <v>2997</v>
      </c>
      <c r="F20" s="6">
        <v>63.350586</v>
      </c>
      <c r="G20" s="7">
        <v>1.020969E-2</v>
      </c>
      <c r="H20" s="52"/>
    </row>
    <row r="21" spans="1:8" ht="17.100000000000001" customHeight="1" x14ac:dyDescent="0.2">
      <c r="A21" s="3">
        <v>15</v>
      </c>
      <c r="B21" s="4" t="s">
        <v>37</v>
      </c>
      <c r="C21" s="4" t="s">
        <v>38</v>
      </c>
      <c r="D21" s="4" t="s">
        <v>22</v>
      </c>
      <c r="E21" s="5">
        <v>31240</v>
      </c>
      <c r="F21" s="6">
        <v>63.15166</v>
      </c>
      <c r="G21" s="7">
        <v>1.017763E-2</v>
      </c>
      <c r="H21" s="52"/>
    </row>
    <row r="22" spans="1:8" ht="17.100000000000001" customHeight="1" x14ac:dyDescent="0.2">
      <c r="A22" s="3">
        <v>16</v>
      </c>
      <c r="B22" s="4" t="s">
        <v>83</v>
      </c>
      <c r="C22" s="4" t="s">
        <v>84</v>
      </c>
      <c r="D22" s="4" t="s">
        <v>52</v>
      </c>
      <c r="E22" s="5">
        <v>2572</v>
      </c>
      <c r="F22" s="6">
        <v>63.113022000000001</v>
      </c>
      <c r="G22" s="7">
        <v>1.0171400000000001E-2</v>
      </c>
      <c r="H22" s="52"/>
    </row>
    <row r="23" spans="1:8" ht="17.100000000000001" customHeight="1" x14ac:dyDescent="0.2">
      <c r="A23" s="3">
        <v>17</v>
      </c>
      <c r="B23" s="4" t="s">
        <v>553</v>
      </c>
      <c r="C23" s="4" t="s">
        <v>554</v>
      </c>
      <c r="D23" s="4" t="s">
        <v>283</v>
      </c>
      <c r="E23" s="5">
        <v>6107</v>
      </c>
      <c r="F23" s="6">
        <v>63.036453999999999</v>
      </c>
      <c r="G23" s="7">
        <v>1.0159059999999999E-2</v>
      </c>
      <c r="H23" s="52"/>
    </row>
    <row r="24" spans="1:8" ht="17.100000000000001" customHeight="1" x14ac:dyDescent="0.2">
      <c r="A24" s="3">
        <v>18</v>
      </c>
      <c r="B24" s="4" t="s">
        <v>329</v>
      </c>
      <c r="C24" s="4" t="s">
        <v>330</v>
      </c>
      <c r="D24" s="4" t="s">
        <v>28</v>
      </c>
      <c r="E24" s="5">
        <v>4350</v>
      </c>
      <c r="F24" s="6">
        <v>62.696550000000002</v>
      </c>
      <c r="G24" s="7">
        <v>1.010428E-2</v>
      </c>
      <c r="H24" s="52"/>
    </row>
    <row r="25" spans="1:8" ht="17.100000000000001" customHeight="1" x14ac:dyDescent="0.2">
      <c r="A25" s="3">
        <v>19</v>
      </c>
      <c r="B25" s="4" t="s">
        <v>773</v>
      </c>
      <c r="C25" s="4" t="s">
        <v>774</v>
      </c>
      <c r="D25" s="4" t="s">
        <v>105</v>
      </c>
      <c r="E25" s="5">
        <v>322</v>
      </c>
      <c r="F25" s="6">
        <v>62.632058999999998</v>
      </c>
      <c r="G25" s="7">
        <v>1.0093889999999999E-2</v>
      </c>
      <c r="H25" s="52"/>
    </row>
    <row r="26" spans="1:8" ht="17.100000000000001" customHeight="1" x14ac:dyDescent="0.2">
      <c r="A26" s="3">
        <v>20</v>
      </c>
      <c r="B26" s="4" t="s">
        <v>559</v>
      </c>
      <c r="C26" s="4" t="s">
        <v>560</v>
      </c>
      <c r="D26" s="4" t="s">
        <v>288</v>
      </c>
      <c r="E26" s="5">
        <v>6311</v>
      </c>
      <c r="F26" s="6">
        <v>62.595653499999997</v>
      </c>
      <c r="G26" s="7">
        <v>1.008802E-2</v>
      </c>
      <c r="H26" s="52"/>
    </row>
    <row r="27" spans="1:8" ht="17.100000000000001" customHeight="1" x14ac:dyDescent="0.2">
      <c r="A27" s="3">
        <v>21</v>
      </c>
      <c r="B27" s="4" t="s">
        <v>775</v>
      </c>
      <c r="C27" s="4" t="s">
        <v>776</v>
      </c>
      <c r="D27" s="4" t="s">
        <v>102</v>
      </c>
      <c r="E27" s="5">
        <v>2022</v>
      </c>
      <c r="F27" s="6">
        <v>62.446437000000003</v>
      </c>
      <c r="G27" s="7">
        <v>1.006397E-2</v>
      </c>
      <c r="H27" s="52"/>
    </row>
    <row r="28" spans="1:8" ht="29.1" customHeight="1" x14ac:dyDescent="0.2">
      <c r="A28" s="3">
        <v>22</v>
      </c>
      <c r="B28" s="4" t="s">
        <v>472</v>
      </c>
      <c r="C28" s="4" t="s">
        <v>473</v>
      </c>
      <c r="D28" s="4" t="s">
        <v>474</v>
      </c>
      <c r="E28" s="5">
        <v>6931</v>
      </c>
      <c r="F28" s="6">
        <v>62.413654999999999</v>
      </c>
      <c r="G28" s="7">
        <v>1.005869E-2</v>
      </c>
      <c r="H28" s="52"/>
    </row>
    <row r="29" spans="1:8" ht="17.100000000000001" customHeight="1" x14ac:dyDescent="0.2">
      <c r="A29" s="3">
        <v>23</v>
      </c>
      <c r="B29" s="4" t="s">
        <v>206</v>
      </c>
      <c r="C29" s="4" t="s">
        <v>207</v>
      </c>
      <c r="D29" s="4" t="s">
        <v>208</v>
      </c>
      <c r="E29" s="5">
        <v>2896</v>
      </c>
      <c r="F29" s="6">
        <v>62.400112</v>
      </c>
      <c r="G29" s="7">
        <v>1.0056509999999999E-2</v>
      </c>
      <c r="H29" s="52"/>
    </row>
    <row r="30" spans="1:8" ht="17.100000000000001" customHeight="1" x14ac:dyDescent="0.2">
      <c r="A30" s="3">
        <v>24</v>
      </c>
      <c r="B30" s="4" t="s">
        <v>17</v>
      </c>
      <c r="C30" s="4" t="s">
        <v>18</v>
      </c>
      <c r="D30" s="4" t="s">
        <v>19</v>
      </c>
      <c r="E30" s="5">
        <v>6791</v>
      </c>
      <c r="F30" s="6">
        <v>62.096904000000002</v>
      </c>
      <c r="G30" s="7">
        <v>1.000764E-2</v>
      </c>
      <c r="H30" s="52"/>
    </row>
    <row r="31" spans="1:8" ht="17.100000000000001" customHeight="1" x14ac:dyDescent="0.2">
      <c r="A31" s="3">
        <v>25</v>
      </c>
      <c r="B31" s="4" t="s">
        <v>11</v>
      </c>
      <c r="C31" s="4" t="s">
        <v>12</v>
      </c>
      <c r="D31" s="4" t="s">
        <v>13</v>
      </c>
      <c r="E31" s="5">
        <v>2119</v>
      </c>
      <c r="F31" s="6">
        <v>62.0665695</v>
      </c>
      <c r="G31" s="7">
        <v>1.0002749999999999E-2</v>
      </c>
      <c r="H31" s="52"/>
    </row>
    <row r="32" spans="1:8" ht="29.1" customHeight="1" x14ac:dyDescent="0.2">
      <c r="A32" s="3">
        <v>26</v>
      </c>
      <c r="B32" s="4" t="s">
        <v>275</v>
      </c>
      <c r="C32" s="4" t="s">
        <v>276</v>
      </c>
      <c r="D32" s="4" t="s">
        <v>211</v>
      </c>
      <c r="E32" s="5">
        <v>1822</v>
      </c>
      <c r="F32" s="6">
        <v>61.970775000000003</v>
      </c>
      <c r="G32" s="7">
        <v>9.9873199999999992E-3</v>
      </c>
      <c r="H32" s="52"/>
    </row>
    <row r="33" spans="1:8" ht="17.100000000000001" customHeight="1" x14ac:dyDescent="0.2">
      <c r="A33" s="3">
        <v>27</v>
      </c>
      <c r="B33" s="4" t="s">
        <v>351</v>
      </c>
      <c r="C33" s="4" t="s">
        <v>352</v>
      </c>
      <c r="D33" s="4" t="s">
        <v>344</v>
      </c>
      <c r="E33" s="5">
        <v>2494</v>
      </c>
      <c r="F33" s="6">
        <v>61.950960000000002</v>
      </c>
      <c r="G33" s="7">
        <v>9.9841200000000008E-3</v>
      </c>
      <c r="H33" s="52"/>
    </row>
    <row r="34" spans="1:8" ht="17.100000000000001" customHeight="1" x14ac:dyDescent="0.2">
      <c r="A34" s="3">
        <v>28</v>
      </c>
      <c r="B34" s="4" t="s">
        <v>468</v>
      </c>
      <c r="C34" s="4" t="s">
        <v>469</v>
      </c>
      <c r="D34" s="4" t="s">
        <v>888</v>
      </c>
      <c r="E34" s="5">
        <v>4849</v>
      </c>
      <c r="F34" s="6">
        <v>61.873240000000003</v>
      </c>
      <c r="G34" s="7">
        <v>9.9716000000000006E-3</v>
      </c>
      <c r="H34" s="52"/>
    </row>
    <row r="35" spans="1:8" ht="29.1" customHeight="1" x14ac:dyDescent="0.2">
      <c r="A35" s="3">
        <v>29</v>
      </c>
      <c r="B35" s="4" t="s">
        <v>777</v>
      </c>
      <c r="C35" s="4" t="s">
        <v>778</v>
      </c>
      <c r="D35" s="4" t="s">
        <v>288</v>
      </c>
      <c r="E35" s="5">
        <v>352</v>
      </c>
      <c r="F35" s="6">
        <v>61.743264000000003</v>
      </c>
      <c r="G35" s="7">
        <v>9.9506500000000001E-3</v>
      </c>
      <c r="H35" s="52"/>
    </row>
    <row r="36" spans="1:8" ht="17.100000000000001" customHeight="1" x14ac:dyDescent="0.2">
      <c r="A36" s="3">
        <v>30</v>
      </c>
      <c r="B36" s="4" t="s">
        <v>382</v>
      </c>
      <c r="C36" s="4" t="s">
        <v>383</v>
      </c>
      <c r="D36" s="4" t="s">
        <v>70</v>
      </c>
      <c r="E36" s="5">
        <v>3931</v>
      </c>
      <c r="F36" s="6">
        <v>61.6990105</v>
      </c>
      <c r="G36" s="7">
        <v>9.9435200000000008E-3</v>
      </c>
      <c r="H36" s="52"/>
    </row>
    <row r="37" spans="1:8" ht="17.100000000000001" customHeight="1" x14ac:dyDescent="0.2">
      <c r="A37" s="3">
        <v>31</v>
      </c>
      <c r="B37" s="4" t="s">
        <v>131</v>
      </c>
      <c r="C37" s="4" t="s">
        <v>132</v>
      </c>
      <c r="D37" s="4" t="s">
        <v>16</v>
      </c>
      <c r="E37" s="5">
        <v>17650</v>
      </c>
      <c r="F37" s="6">
        <v>61.642625000000002</v>
      </c>
      <c r="G37" s="7">
        <v>9.9344299999999993E-3</v>
      </c>
      <c r="H37" s="52"/>
    </row>
    <row r="38" spans="1:8" ht="17.100000000000001" customHeight="1" x14ac:dyDescent="0.2">
      <c r="A38" s="3">
        <v>32</v>
      </c>
      <c r="B38" s="4" t="s">
        <v>370</v>
      </c>
      <c r="C38" s="4" t="s">
        <v>371</v>
      </c>
      <c r="D38" s="4" t="s">
        <v>208</v>
      </c>
      <c r="E38" s="5">
        <v>1696</v>
      </c>
      <c r="F38" s="6">
        <v>61.622464000000001</v>
      </c>
      <c r="G38" s="7">
        <v>9.9311799999999995E-3</v>
      </c>
      <c r="H38" s="52"/>
    </row>
    <row r="39" spans="1:8" ht="17.100000000000001" customHeight="1" x14ac:dyDescent="0.2">
      <c r="A39" s="3">
        <v>33</v>
      </c>
      <c r="B39" s="4" t="s">
        <v>65</v>
      </c>
      <c r="C39" s="4" t="s">
        <v>66</v>
      </c>
      <c r="D39" s="4" t="s">
        <v>67</v>
      </c>
      <c r="E39" s="5">
        <v>33077</v>
      </c>
      <c r="F39" s="6">
        <v>61.572835499999997</v>
      </c>
      <c r="G39" s="7">
        <v>9.9231800000000002E-3</v>
      </c>
      <c r="H39" s="52"/>
    </row>
    <row r="40" spans="1:8" ht="17.100000000000001" customHeight="1" x14ac:dyDescent="0.2">
      <c r="A40" s="3">
        <v>34</v>
      </c>
      <c r="B40" s="4" t="s">
        <v>20</v>
      </c>
      <c r="C40" s="4" t="s">
        <v>21</v>
      </c>
      <c r="D40" s="4" t="s">
        <v>22</v>
      </c>
      <c r="E40" s="5">
        <v>26034</v>
      </c>
      <c r="F40" s="6">
        <v>61.388171999999997</v>
      </c>
      <c r="G40" s="7">
        <v>9.89342E-3</v>
      </c>
      <c r="H40" s="52"/>
    </row>
    <row r="41" spans="1:8" ht="17.100000000000001" customHeight="1" x14ac:dyDescent="0.2">
      <c r="A41" s="3">
        <v>35</v>
      </c>
      <c r="B41" s="4" t="s">
        <v>195</v>
      </c>
      <c r="C41" s="4" t="s">
        <v>196</v>
      </c>
      <c r="D41" s="4" t="s">
        <v>70</v>
      </c>
      <c r="E41" s="5">
        <v>3260</v>
      </c>
      <c r="F41" s="6">
        <v>61.283110000000001</v>
      </c>
      <c r="G41" s="7">
        <v>9.8764899999999999E-3</v>
      </c>
      <c r="H41" s="52"/>
    </row>
    <row r="42" spans="1:8" ht="29.1" customHeight="1" x14ac:dyDescent="0.2">
      <c r="A42" s="3">
        <v>36</v>
      </c>
      <c r="B42" s="4" t="s">
        <v>779</v>
      </c>
      <c r="C42" s="4" t="s">
        <v>780</v>
      </c>
      <c r="D42" s="4" t="s">
        <v>25</v>
      </c>
      <c r="E42" s="5">
        <v>238</v>
      </c>
      <c r="F42" s="6">
        <v>61.059018999999999</v>
      </c>
      <c r="G42" s="7">
        <v>9.8403799999999993E-3</v>
      </c>
      <c r="H42" s="52"/>
    </row>
    <row r="43" spans="1:8" ht="17.100000000000001" customHeight="1" x14ac:dyDescent="0.2">
      <c r="A43" s="3">
        <v>37</v>
      </c>
      <c r="B43" s="4" t="s">
        <v>74</v>
      </c>
      <c r="C43" s="4" t="s">
        <v>75</v>
      </c>
      <c r="D43" s="4" t="s">
        <v>76</v>
      </c>
      <c r="E43" s="5">
        <v>51076</v>
      </c>
      <c r="F43" s="6">
        <v>61.035820000000001</v>
      </c>
      <c r="G43" s="7">
        <v>9.8366400000000007E-3</v>
      </c>
      <c r="H43" s="52"/>
    </row>
    <row r="44" spans="1:8" ht="29.1" customHeight="1" x14ac:dyDescent="0.2">
      <c r="A44" s="3">
        <v>38</v>
      </c>
      <c r="B44" s="4" t="s">
        <v>333</v>
      </c>
      <c r="C44" s="4" t="s">
        <v>334</v>
      </c>
      <c r="D44" s="4" t="s">
        <v>226</v>
      </c>
      <c r="E44" s="5">
        <v>1135</v>
      </c>
      <c r="F44" s="6">
        <v>60.921692499999999</v>
      </c>
      <c r="G44" s="7">
        <v>9.8182400000000006E-3</v>
      </c>
      <c r="H44" s="52"/>
    </row>
    <row r="45" spans="1:8" ht="29.1" customHeight="1" x14ac:dyDescent="0.2">
      <c r="A45" s="3">
        <v>39</v>
      </c>
      <c r="B45" s="4" t="s">
        <v>675</v>
      </c>
      <c r="C45" s="4" t="s">
        <v>676</v>
      </c>
      <c r="D45" s="4" t="s">
        <v>25</v>
      </c>
      <c r="E45" s="5">
        <v>14346</v>
      </c>
      <c r="F45" s="6">
        <v>60.891596999999997</v>
      </c>
      <c r="G45" s="7">
        <v>9.81339E-3</v>
      </c>
      <c r="H45" s="52"/>
    </row>
    <row r="46" spans="1:8" ht="17.100000000000001" customHeight="1" x14ac:dyDescent="0.2">
      <c r="A46" s="3">
        <v>40</v>
      </c>
      <c r="B46" s="4" t="s">
        <v>470</v>
      </c>
      <c r="C46" s="4" t="s">
        <v>471</v>
      </c>
      <c r="D46" s="4" t="s">
        <v>28</v>
      </c>
      <c r="E46" s="5">
        <v>3497</v>
      </c>
      <c r="F46" s="6">
        <v>60.826818000000003</v>
      </c>
      <c r="G46" s="7">
        <v>9.8029499999999995E-3</v>
      </c>
      <c r="H46" s="52"/>
    </row>
    <row r="47" spans="1:8" ht="29.1" customHeight="1" x14ac:dyDescent="0.2">
      <c r="A47" s="3">
        <v>41</v>
      </c>
      <c r="B47" s="4" t="s">
        <v>781</v>
      </c>
      <c r="C47" s="4" t="s">
        <v>782</v>
      </c>
      <c r="D47" s="4" t="s">
        <v>216</v>
      </c>
      <c r="E47" s="5">
        <v>2474</v>
      </c>
      <c r="F47" s="6">
        <v>60.810920000000003</v>
      </c>
      <c r="G47" s="7">
        <v>9.8003900000000008E-3</v>
      </c>
      <c r="H47" s="52"/>
    </row>
    <row r="48" spans="1:8" ht="17.100000000000001" customHeight="1" x14ac:dyDescent="0.2">
      <c r="A48" s="3">
        <v>42</v>
      </c>
      <c r="B48" s="4" t="s">
        <v>100</v>
      </c>
      <c r="C48" s="4" t="s">
        <v>101</v>
      </c>
      <c r="D48" s="4" t="s">
        <v>102</v>
      </c>
      <c r="E48" s="5">
        <v>585</v>
      </c>
      <c r="F48" s="6">
        <v>60.794955000000002</v>
      </c>
      <c r="G48" s="7">
        <v>9.7978200000000005E-3</v>
      </c>
      <c r="H48" s="52"/>
    </row>
    <row r="49" spans="1:8" ht="29.1" customHeight="1" x14ac:dyDescent="0.2">
      <c r="A49" s="3">
        <v>43</v>
      </c>
      <c r="B49" s="4" t="s">
        <v>388</v>
      </c>
      <c r="C49" s="4" t="s">
        <v>389</v>
      </c>
      <c r="D49" s="4" t="s">
        <v>216</v>
      </c>
      <c r="E49" s="5">
        <v>2761</v>
      </c>
      <c r="F49" s="6">
        <v>60.612233000000003</v>
      </c>
      <c r="G49" s="7">
        <v>9.7683700000000002E-3</v>
      </c>
      <c r="H49" s="52"/>
    </row>
    <row r="50" spans="1:8" ht="17.100000000000001" customHeight="1" x14ac:dyDescent="0.2">
      <c r="A50" s="3">
        <v>44</v>
      </c>
      <c r="B50" s="4" t="s">
        <v>14</v>
      </c>
      <c r="C50" s="4" t="s">
        <v>15</v>
      </c>
      <c r="D50" s="4" t="s">
        <v>16</v>
      </c>
      <c r="E50" s="5">
        <v>2646</v>
      </c>
      <c r="F50" s="6">
        <v>60.537833999999997</v>
      </c>
      <c r="G50" s="7">
        <v>9.7563800000000003E-3</v>
      </c>
      <c r="H50" s="52"/>
    </row>
    <row r="51" spans="1:8" ht="17.100000000000001" customHeight="1" x14ac:dyDescent="0.2">
      <c r="A51" s="3">
        <v>45</v>
      </c>
      <c r="B51" s="4" t="s">
        <v>783</v>
      </c>
      <c r="C51" s="4" t="s">
        <v>784</v>
      </c>
      <c r="D51" s="4" t="s">
        <v>16</v>
      </c>
      <c r="E51" s="5">
        <v>67467</v>
      </c>
      <c r="F51" s="6">
        <v>60.517899</v>
      </c>
      <c r="G51" s="7">
        <v>9.7531700000000002E-3</v>
      </c>
      <c r="H51" s="52"/>
    </row>
    <row r="52" spans="1:8" ht="17.100000000000001" customHeight="1" x14ac:dyDescent="0.2">
      <c r="A52" s="3">
        <v>46</v>
      </c>
      <c r="B52" s="4" t="s">
        <v>360</v>
      </c>
      <c r="C52" s="4" t="s">
        <v>361</v>
      </c>
      <c r="D52" s="4" t="s">
        <v>60</v>
      </c>
      <c r="E52" s="5">
        <v>1885</v>
      </c>
      <c r="F52" s="6">
        <v>60.124902499999997</v>
      </c>
      <c r="G52" s="7">
        <v>9.68983E-3</v>
      </c>
      <c r="H52" s="52"/>
    </row>
    <row r="53" spans="1:8" ht="17.100000000000001" customHeight="1" x14ac:dyDescent="0.2">
      <c r="A53" s="3">
        <v>47</v>
      </c>
      <c r="B53" s="4" t="s">
        <v>323</v>
      </c>
      <c r="C53" s="4" t="s">
        <v>324</v>
      </c>
      <c r="D53" s="4" t="s">
        <v>28</v>
      </c>
      <c r="E53" s="5">
        <v>6118</v>
      </c>
      <c r="F53" s="6">
        <v>60.069583000000002</v>
      </c>
      <c r="G53" s="7">
        <v>9.6809200000000008E-3</v>
      </c>
      <c r="H53" s="52"/>
    </row>
    <row r="54" spans="1:8" ht="17.100000000000001" customHeight="1" x14ac:dyDescent="0.2">
      <c r="A54" s="3">
        <v>48</v>
      </c>
      <c r="B54" s="4" t="s">
        <v>339</v>
      </c>
      <c r="C54" s="4" t="s">
        <v>340</v>
      </c>
      <c r="D54" s="4" t="s">
        <v>341</v>
      </c>
      <c r="E54" s="5">
        <v>13064</v>
      </c>
      <c r="F54" s="6">
        <v>60.02908</v>
      </c>
      <c r="G54" s="7">
        <v>9.6743899999999997E-3</v>
      </c>
      <c r="H54" s="52"/>
    </row>
    <row r="55" spans="1:8" ht="29.1" customHeight="1" x14ac:dyDescent="0.2">
      <c r="A55" s="3">
        <v>49</v>
      </c>
      <c r="B55" s="4" t="s">
        <v>785</v>
      </c>
      <c r="C55" s="4" t="s">
        <v>786</v>
      </c>
      <c r="D55" s="4" t="s">
        <v>231</v>
      </c>
      <c r="E55" s="5">
        <v>9015</v>
      </c>
      <c r="F55" s="6">
        <v>59.981302499999998</v>
      </c>
      <c r="G55" s="7">
        <v>9.6666900000000004E-3</v>
      </c>
      <c r="H55" s="52"/>
    </row>
    <row r="56" spans="1:8" ht="17.100000000000001" customHeight="1" x14ac:dyDescent="0.2">
      <c r="A56" s="3">
        <v>50</v>
      </c>
      <c r="B56" s="4" t="s">
        <v>342</v>
      </c>
      <c r="C56" s="4" t="s">
        <v>343</v>
      </c>
      <c r="D56" s="4" t="s">
        <v>344</v>
      </c>
      <c r="E56" s="5">
        <v>13975</v>
      </c>
      <c r="F56" s="6">
        <v>59.868899999999996</v>
      </c>
      <c r="G56" s="7">
        <v>9.6485700000000004E-3</v>
      </c>
      <c r="H56" s="52"/>
    </row>
    <row r="57" spans="1:8" ht="17.100000000000001" customHeight="1" x14ac:dyDescent="0.2">
      <c r="A57" s="3">
        <v>51</v>
      </c>
      <c r="B57" s="4" t="s">
        <v>41</v>
      </c>
      <c r="C57" s="4" t="s">
        <v>42</v>
      </c>
      <c r="D57" s="4" t="s">
        <v>43</v>
      </c>
      <c r="E57" s="5">
        <v>1456</v>
      </c>
      <c r="F57" s="6">
        <v>59.831408000000003</v>
      </c>
      <c r="G57" s="7">
        <v>9.6425299999999999E-3</v>
      </c>
      <c r="H57" s="52"/>
    </row>
    <row r="58" spans="1:8" ht="17.100000000000001" customHeight="1" x14ac:dyDescent="0.2">
      <c r="A58" s="3">
        <v>52</v>
      </c>
      <c r="B58" s="4" t="s">
        <v>26</v>
      </c>
      <c r="C58" s="4" t="s">
        <v>27</v>
      </c>
      <c r="D58" s="4" t="s">
        <v>28</v>
      </c>
      <c r="E58" s="5">
        <v>6536</v>
      </c>
      <c r="F58" s="6">
        <v>59.827275999999998</v>
      </c>
      <c r="G58" s="7">
        <v>9.6418700000000003E-3</v>
      </c>
      <c r="H58" s="52"/>
    </row>
    <row r="59" spans="1:8" ht="29.1" customHeight="1" x14ac:dyDescent="0.2">
      <c r="A59" s="3">
        <v>53</v>
      </c>
      <c r="B59" s="4" t="s">
        <v>34</v>
      </c>
      <c r="C59" s="4" t="s">
        <v>35</v>
      </c>
      <c r="D59" s="4" t="s">
        <v>36</v>
      </c>
      <c r="E59" s="5">
        <v>44848</v>
      </c>
      <c r="F59" s="6">
        <v>59.75996</v>
      </c>
      <c r="G59" s="7">
        <v>9.6310200000000006E-3</v>
      </c>
      <c r="H59" s="52"/>
    </row>
    <row r="60" spans="1:8" ht="29.1" customHeight="1" x14ac:dyDescent="0.2">
      <c r="A60" s="3">
        <v>54</v>
      </c>
      <c r="B60" s="4" t="s">
        <v>787</v>
      </c>
      <c r="C60" s="4" t="s">
        <v>788</v>
      </c>
      <c r="D60" s="4" t="s">
        <v>25</v>
      </c>
      <c r="E60" s="5">
        <v>3163</v>
      </c>
      <c r="F60" s="6">
        <v>59.676321000000002</v>
      </c>
      <c r="G60" s="7">
        <v>9.6175400000000008E-3</v>
      </c>
      <c r="H60" s="52"/>
    </row>
    <row r="61" spans="1:8" ht="17.100000000000001" customHeight="1" x14ac:dyDescent="0.2">
      <c r="A61" s="3">
        <v>55</v>
      </c>
      <c r="B61" s="4" t="s">
        <v>575</v>
      </c>
      <c r="C61" s="4" t="s">
        <v>576</v>
      </c>
      <c r="D61" s="4" t="s">
        <v>242</v>
      </c>
      <c r="E61" s="5">
        <v>1346</v>
      </c>
      <c r="F61" s="6">
        <v>59.580689999999997</v>
      </c>
      <c r="G61" s="7">
        <v>9.6021300000000004E-3</v>
      </c>
      <c r="H61" s="52"/>
    </row>
    <row r="62" spans="1:8" ht="17.100000000000001" customHeight="1" x14ac:dyDescent="0.2">
      <c r="A62" s="3">
        <v>56</v>
      </c>
      <c r="B62" s="4" t="s">
        <v>253</v>
      </c>
      <c r="C62" s="4" t="s">
        <v>254</v>
      </c>
      <c r="D62" s="4" t="s">
        <v>208</v>
      </c>
      <c r="E62" s="5">
        <v>1457</v>
      </c>
      <c r="F62" s="6">
        <v>59.5075225</v>
      </c>
      <c r="G62" s="7">
        <v>9.5903299999999993E-3</v>
      </c>
      <c r="H62" s="52"/>
    </row>
    <row r="63" spans="1:8" ht="17.100000000000001" customHeight="1" x14ac:dyDescent="0.2">
      <c r="A63" s="3">
        <v>57</v>
      </c>
      <c r="B63" s="4" t="s">
        <v>319</v>
      </c>
      <c r="C63" s="4" t="s">
        <v>320</v>
      </c>
      <c r="D63" s="4" t="s">
        <v>28</v>
      </c>
      <c r="E63" s="5">
        <v>4030</v>
      </c>
      <c r="F63" s="6">
        <v>59.502949999999998</v>
      </c>
      <c r="G63" s="7">
        <v>9.5896000000000002E-3</v>
      </c>
      <c r="H63" s="52"/>
    </row>
    <row r="64" spans="1:8" ht="29.1" customHeight="1" x14ac:dyDescent="0.2">
      <c r="A64" s="3">
        <v>58</v>
      </c>
      <c r="B64" s="4" t="s">
        <v>327</v>
      </c>
      <c r="C64" s="4" t="s">
        <v>328</v>
      </c>
      <c r="D64" s="4" t="s">
        <v>226</v>
      </c>
      <c r="E64" s="5">
        <v>5464</v>
      </c>
      <c r="F64" s="6">
        <v>59.481104000000002</v>
      </c>
      <c r="G64" s="7">
        <v>9.5860800000000003E-3</v>
      </c>
      <c r="H64" s="52"/>
    </row>
    <row r="65" spans="1:8" ht="29.1" customHeight="1" x14ac:dyDescent="0.2">
      <c r="A65" s="3">
        <v>59</v>
      </c>
      <c r="B65" s="4" t="s">
        <v>573</v>
      </c>
      <c r="C65" s="4" t="s">
        <v>574</v>
      </c>
      <c r="D65" s="4" t="s">
        <v>141</v>
      </c>
      <c r="E65" s="5">
        <v>7569</v>
      </c>
      <c r="F65" s="6">
        <v>59.397727500000002</v>
      </c>
      <c r="G65" s="7">
        <v>9.5726400000000003E-3</v>
      </c>
      <c r="H65" s="52"/>
    </row>
    <row r="66" spans="1:8" ht="29.1" customHeight="1" x14ac:dyDescent="0.2">
      <c r="A66" s="3">
        <v>60</v>
      </c>
      <c r="B66" s="4" t="s">
        <v>789</v>
      </c>
      <c r="C66" s="4" t="s">
        <v>790</v>
      </c>
      <c r="D66" s="4" t="s">
        <v>474</v>
      </c>
      <c r="E66" s="5">
        <v>18057</v>
      </c>
      <c r="F66" s="6">
        <v>58.974162</v>
      </c>
      <c r="G66" s="7">
        <v>9.5043799999999998E-3</v>
      </c>
      <c r="H66" s="52"/>
    </row>
    <row r="67" spans="1:8" ht="17.100000000000001" customHeight="1" x14ac:dyDescent="0.2">
      <c r="A67" s="3">
        <v>61</v>
      </c>
      <c r="B67" s="4" t="s">
        <v>730</v>
      </c>
      <c r="C67" s="4" t="s">
        <v>731</v>
      </c>
      <c r="D67" s="4" t="s">
        <v>221</v>
      </c>
      <c r="E67" s="5">
        <v>9528</v>
      </c>
      <c r="F67" s="6">
        <v>58.916387999999998</v>
      </c>
      <c r="G67" s="7">
        <v>9.4950699999999996E-3</v>
      </c>
      <c r="H67" s="52"/>
    </row>
    <row r="68" spans="1:8" ht="17.100000000000001" customHeight="1" x14ac:dyDescent="0.2">
      <c r="A68" s="3">
        <v>62</v>
      </c>
      <c r="B68" s="4" t="s">
        <v>349</v>
      </c>
      <c r="C68" s="4" t="s">
        <v>350</v>
      </c>
      <c r="D68" s="4" t="s">
        <v>70</v>
      </c>
      <c r="E68" s="5">
        <v>786</v>
      </c>
      <c r="F68" s="6">
        <v>58.892229</v>
      </c>
      <c r="G68" s="7">
        <v>9.4911700000000002E-3</v>
      </c>
      <c r="H68" s="52"/>
    </row>
    <row r="69" spans="1:8" ht="17.100000000000001" customHeight="1" x14ac:dyDescent="0.2">
      <c r="A69" s="3">
        <v>63</v>
      </c>
      <c r="B69" s="4" t="s">
        <v>39</v>
      </c>
      <c r="C69" s="4" t="s">
        <v>40</v>
      </c>
      <c r="D69" s="4" t="s">
        <v>28</v>
      </c>
      <c r="E69" s="5">
        <v>10411</v>
      </c>
      <c r="F69" s="6">
        <v>58.879410499999999</v>
      </c>
      <c r="G69" s="7">
        <v>9.4891100000000003E-3</v>
      </c>
      <c r="H69" s="52"/>
    </row>
    <row r="70" spans="1:8" ht="29.1" customHeight="1" x14ac:dyDescent="0.2">
      <c r="A70" s="3">
        <v>64</v>
      </c>
      <c r="B70" s="4" t="s">
        <v>232</v>
      </c>
      <c r="C70" s="4" t="s">
        <v>233</v>
      </c>
      <c r="D70" s="4" t="s">
        <v>226</v>
      </c>
      <c r="E70" s="5">
        <v>10249</v>
      </c>
      <c r="F70" s="6">
        <v>58.783139499999997</v>
      </c>
      <c r="G70" s="7">
        <v>9.4735900000000005E-3</v>
      </c>
      <c r="H70" s="52"/>
    </row>
    <row r="71" spans="1:8" ht="17.100000000000001" customHeight="1" x14ac:dyDescent="0.2">
      <c r="A71" s="3">
        <v>65</v>
      </c>
      <c r="B71" s="4" t="s">
        <v>791</v>
      </c>
      <c r="C71" s="4" t="s">
        <v>792</v>
      </c>
      <c r="D71" s="4" t="s">
        <v>205</v>
      </c>
      <c r="E71" s="5">
        <v>1219</v>
      </c>
      <c r="F71" s="6">
        <v>58.754581000000002</v>
      </c>
      <c r="G71" s="7">
        <v>9.46899E-3</v>
      </c>
      <c r="H71" s="52"/>
    </row>
    <row r="72" spans="1:8" ht="17.100000000000001" customHeight="1" x14ac:dyDescent="0.2">
      <c r="A72" s="3">
        <v>66</v>
      </c>
      <c r="B72" s="4" t="s">
        <v>679</v>
      </c>
      <c r="C72" s="4" t="s">
        <v>680</v>
      </c>
      <c r="D72" s="4" t="s">
        <v>288</v>
      </c>
      <c r="E72" s="5">
        <v>11102</v>
      </c>
      <c r="F72" s="6">
        <v>58.718477999999998</v>
      </c>
      <c r="G72" s="7">
        <v>9.4631699999999999E-3</v>
      </c>
      <c r="H72" s="52"/>
    </row>
    <row r="73" spans="1:8" ht="29.1" customHeight="1" x14ac:dyDescent="0.2">
      <c r="A73" s="3">
        <v>67</v>
      </c>
      <c r="B73" s="4" t="s">
        <v>201</v>
      </c>
      <c r="C73" s="4" t="s">
        <v>202</v>
      </c>
      <c r="D73" s="4" t="s">
        <v>70</v>
      </c>
      <c r="E73" s="5">
        <v>5162</v>
      </c>
      <c r="F73" s="6">
        <v>58.707425999999998</v>
      </c>
      <c r="G73" s="7">
        <v>9.4613900000000001E-3</v>
      </c>
      <c r="H73" s="52"/>
    </row>
    <row r="74" spans="1:8" ht="17.100000000000001" customHeight="1" x14ac:dyDescent="0.2">
      <c r="A74" s="3">
        <v>68</v>
      </c>
      <c r="B74" s="4" t="s">
        <v>557</v>
      </c>
      <c r="C74" s="4" t="s">
        <v>558</v>
      </c>
      <c r="D74" s="4" t="s">
        <v>102</v>
      </c>
      <c r="E74" s="5">
        <v>1780</v>
      </c>
      <c r="F74" s="6">
        <v>58.660789999999999</v>
      </c>
      <c r="G74" s="7">
        <v>9.4538699999999996E-3</v>
      </c>
      <c r="H74" s="52"/>
    </row>
    <row r="75" spans="1:8" ht="17.100000000000001" customHeight="1" x14ac:dyDescent="0.2">
      <c r="A75" s="3">
        <v>69</v>
      </c>
      <c r="B75" s="4" t="s">
        <v>793</v>
      </c>
      <c r="C75" s="4" t="s">
        <v>794</v>
      </c>
      <c r="D75" s="4" t="s">
        <v>795</v>
      </c>
      <c r="E75" s="5">
        <v>27062</v>
      </c>
      <c r="F75" s="6">
        <v>58.616292000000001</v>
      </c>
      <c r="G75" s="7">
        <v>9.4467000000000006E-3</v>
      </c>
      <c r="H75" s="52"/>
    </row>
    <row r="76" spans="1:8" ht="17.100000000000001" customHeight="1" x14ac:dyDescent="0.2">
      <c r="A76" s="3">
        <v>70</v>
      </c>
      <c r="B76" s="4" t="s">
        <v>796</v>
      </c>
      <c r="C76" s="4" t="s">
        <v>797</v>
      </c>
      <c r="D76" s="4" t="s">
        <v>70</v>
      </c>
      <c r="E76" s="5">
        <v>7846</v>
      </c>
      <c r="F76" s="6">
        <v>58.542929000000001</v>
      </c>
      <c r="G76" s="7">
        <v>9.4348799999999997E-3</v>
      </c>
      <c r="H76" s="52"/>
    </row>
    <row r="77" spans="1:8" ht="17.100000000000001" customHeight="1" x14ac:dyDescent="0.2">
      <c r="A77" s="3">
        <v>71</v>
      </c>
      <c r="B77" s="4" t="s">
        <v>732</v>
      </c>
      <c r="C77" s="4" t="s">
        <v>733</v>
      </c>
      <c r="D77" s="4" t="s">
        <v>114</v>
      </c>
      <c r="E77" s="5">
        <v>7930</v>
      </c>
      <c r="F77" s="6">
        <v>58.392555000000002</v>
      </c>
      <c r="G77" s="7">
        <v>9.4106399999999996E-3</v>
      </c>
      <c r="H77" s="52"/>
    </row>
    <row r="78" spans="1:8" ht="17.100000000000001" customHeight="1" x14ac:dyDescent="0.2">
      <c r="A78" s="3">
        <v>72</v>
      </c>
      <c r="B78" s="4" t="s">
        <v>798</v>
      </c>
      <c r="C78" s="4" t="s">
        <v>799</v>
      </c>
      <c r="D78" s="4" t="s">
        <v>70</v>
      </c>
      <c r="E78" s="5">
        <v>843</v>
      </c>
      <c r="F78" s="6">
        <v>58.389973500000004</v>
      </c>
      <c r="G78" s="7">
        <v>9.4102300000000003E-3</v>
      </c>
      <c r="H78" s="52"/>
    </row>
    <row r="79" spans="1:8" ht="17.100000000000001" customHeight="1" x14ac:dyDescent="0.2">
      <c r="A79" s="3">
        <v>73</v>
      </c>
      <c r="B79" s="4" t="s">
        <v>800</v>
      </c>
      <c r="C79" s="4" t="s">
        <v>801</v>
      </c>
      <c r="D79" s="4" t="s">
        <v>22</v>
      </c>
      <c r="E79" s="5">
        <v>7584</v>
      </c>
      <c r="F79" s="6">
        <v>58.381632000000003</v>
      </c>
      <c r="G79" s="7">
        <v>9.4088799999999997E-3</v>
      </c>
      <c r="H79" s="52"/>
    </row>
    <row r="80" spans="1:8" ht="17.100000000000001" customHeight="1" x14ac:dyDescent="0.2">
      <c r="A80" s="3">
        <v>74</v>
      </c>
      <c r="B80" s="4" t="s">
        <v>802</v>
      </c>
      <c r="C80" s="4" t="s">
        <v>803</v>
      </c>
      <c r="D80" s="4" t="s">
        <v>105</v>
      </c>
      <c r="E80" s="5">
        <v>63354</v>
      </c>
      <c r="F80" s="6">
        <v>58.254002999999997</v>
      </c>
      <c r="G80" s="7">
        <v>9.3883100000000004E-3</v>
      </c>
      <c r="H80" s="52"/>
    </row>
    <row r="81" spans="1:8" ht="29.1" customHeight="1" x14ac:dyDescent="0.2">
      <c r="A81" s="3">
        <v>75</v>
      </c>
      <c r="B81" s="4" t="s">
        <v>96</v>
      </c>
      <c r="C81" s="4" t="s">
        <v>97</v>
      </c>
      <c r="D81" s="4" t="s">
        <v>36</v>
      </c>
      <c r="E81" s="5">
        <v>3188</v>
      </c>
      <c r="F81" s="6">
        <v>58.118834</v>
      </c>
      <c r="G81" s="7">
        <v>9.3665299999999996E-3</v>
      </c>
      <c r="H81" s="52"/>
    </row>
    <row r="82" spans="1:8" ht="17.100000000000001" customHeight="1" x14ac:dyDescent="0.2">
      <c r="A82" s="3">
        <v>76</v>
      </c>
      <c r="B82" s="4" t="s">
        <v>353</v>
      </c>
      <c r="C82" s="4" t="s">
        <v>354</v>
      </c>
      <c r="D82" s="4" t="s">
        <v>888</v>
      </c>
      <c r="E82" s="5">
        <v>1147</v>
      </c>
      <c r="F82" s="6">
        <v>58.042788000000002</v>
      </c>
      <c r="G82" s="7">
        <v>9.3542699999999996E-3</v>
      </c>
      <c r="H82" s="52"/>
    </row>
    <row r="83" spans="1:8" ht="17.100000000000001" customHeight="1" x14ac:dyDescent="0.2">
      <c r="A83" s="3">
        <v>77</v>
      </c>
      <c r="B83" s="4" t="s">
        <v>321</v>
      </c>
      <c r="C83" s="4" t="s">
        <v>322</v>
      </c>
      <c r="D83" s="4" t="s">
        <v>888</v>
      </c>
      <c r="E83" s="5">
        <v>4241</v>
      </c>
      <c r="F83" s="6">
        <v>58.033844000000002</v>
      </c>
      <c r="G83" s="7">
        <v>9.3528299999999995E-3</v>
      </c>
      <c r="H83" s="52"/>
    </row>
    <row r="84" spans="1:8" ht="17.100000000000001" customHeight="1" x14ac:dyDescent="0.2">
      <c r="A84" s="3">
        <v>78</v>
      </c>
      <c r="B84" s="4" t="s">
        <v>331</v>
      </c>
      <c r="C84" s="4" t="s">
        <v>332</v>
      </c>
      <c r="D84" s="4" t="s">
        <v>283</v>
      </c>
      <c r="E84" s="5">
        <v>6385</v>
      </c>
      <c r="F84" s="6">
        <v>58.026879999999998</v>
      </c>
      <c r="G84" s="7">
        <v>9.3517099999999992E-3</v>
      </c>
      <c r="H84" s="52"/>
    </row>
    <row r="85" spans="1:8" ht="17.100000000000001" customHeight="1" x14ac:dyDescent="0.2">
      <c r="A85" s="3">
        <v>79</v>
      </c>
      <c r="B85" s="4" t="s">
        <v>325</v>
      </c>
      <c r="C85" s="4" t="s">
        <v>326</v>
      </c>
      <c r="D85" s="4" t="s">
        <v>888</v>
      </c>
      <c r="E85" s="5">
        <v>1721</v>
      </c>
      <c r="F85" s="6">
        <v>57.976187500000002</v>
      </c>
      <c r="G85" s="7">
        <v>9.3435399999999991E-3</v>
      </c>
      <c r="H85" s="52"/>
    </row>
    <row r="86" spans="1:8" ht="17.100000000000001" customHeight="1" x14ac:dyDescent="0.2">
      <c r="A86" s="3">
        <v>80</v>
      </c>
      <c r="B86" s="4" t="s">
        <v>804</v>
      </c>
      <c r="C86" s="4" t="s">
        <v>805</v>
      </c>
      <c r="D86" s="4" t="s">
        <v>221</v>
      </c>
      <c r="E86" s="5">
        <v>9610</v>
      </c>
      <c r="F86" s="6">
        <v>57.876224999999998</v>
      </c>
      <c r="G86" s="7">
        <v>9.3274299999999994E-3</v>
      </c>
      <c r="H86" s="52"/>
    </row>
    <row r="87" spans="1:8" ht="29.1" customHeight="1" x14ac:dyDescent="0.2">
      <c r="A87" s="3">
        <v>81</v>
      </c>
      <c r="B87" s="4" t="s">
        <v>806</v>
      </c>
      <c r="C87" s="4" t="s">
        <v>807</v>
      </c>
      <c r="D87" s="4" t="s">
        <v>808</v>
      </c>
      <c r="E87" s="5">
        <v>2521</v>
      </c>
      <c r="F87" s="6">
        <v>57.848126499999999</v>
      </c>
      <c r="G87" s="7">
        <v>9.3229000000000003E-3</v>
      </c>
      <c r="H87" s="52"/>
    </row>
    <row r="88" spans="1:8" ht="17.100000000000001" customHeight="1" x14ac:dyDescent="0.2">
      <c r="A88" s="3">
        <v>82</v>
      </c>
      <c r="B88" s="4" t="s">
        <v>809</v>
      </c>
      <c r="C88" s="4" t="s">
        <v>810</v>
      </c>
      <c r="D88" s="4" t="s">
        <v>60</v>
      </c>
      <c r="E88" s="5">
        <v>10274</v>
      </c>
      <c r="F88" s="6">
        <v>57.390563999999998</v>
      </c>
      <c r="G88" s="7">
        <v>9.2491599999999993E-3</v>
      </c>
      <c r="H88" s="52"/>
    </row>
    <row r="89" spans="1:8" ht="17.100000000000001" customHeight="1" x14ac:dyDescent="0.2">
      <c r="A89" s="3">
        <v>83</v>
      </c>
      <c r="B89" s="4" t="s">
        <v>475</v>
      </c>
      <c r="C89" s="4" t="s">
        <v>476</v>
      </c>
      <c r="D89" s="4" t="s">
        <v>888</v>
      </c>
      <c r="E89" s="5">
        <v>14969</v>
      </c>
      <c r="F89" s="6">
        <v>57.151642000000002</v>
      </c>
      <c r="G89" s="7">
        <v>9.2106600000000007E-3</v>
      </c>
      <c r="H89" s="52"/>
    </row>
    <row r="90" spans="1:8" ht="29.1" customHeight="1" x14ac:dyDescent="0.2">
      <c r="A90" s="3">
        <v>84</v>
      </c>
      <c r="B90" s="4" t="s">
        <v>569</v>
      </c>
      <c r="C90" s="4" t="s">
        <v>570</v>
      </c>
      <c r="D90" s="4" t="s">
        <v>474</v>
      </c>
      <c r="E90" s="5">
        <v>10635</v>
      </c>
      <c r="F90" s="6">
        <v>57.062092499999999</v>
      </c>
      <c r="G90" s="7">
        <v>9.1962199999999997E-3</v>
      </c>
      <c r="H90" s="52"/>
    </row>
    <row r="91" spans="1:8" ht="17.100000000000001" customHeight="1" x14ac:dyDescent="0.2">
      <c r="A91" s="3">
        <v>85</v>
      </c>
      <c r="B91" s="4" t="s">
        <v>81</v>
      </c>
      <c r="C91" s="4" t="s">
        <v>82</v>
      </c>
      <c r="D91" s="4" t="s">
        <v>22</v>
      </c>
      <c r="E91" s="5">
        <v>23794</v>
      </c>
      <c r="F91" s="6">
        <v>56.950938999999998</v>
      </c>
      <c r="G91" s="7">
        <v>9.1783100000000003E-3</v>
      </c>
      <c r="H91" s="52"/>
    </row>
    <row r="92" spans="1:8" ht="17.100000000000001" customHeight="1" x14ac:dyDescent="0.2">
      <c r="A92" s="3">
        <v>86</v>
      </c>
      <c r="B92" s="4" t="s">
        <v>366</v>
      </c>
      <c r="C92" s="4" t="s">
        <v>367</v>
      </c>
      <c r="D92" s="4" t="s">
        <v>114</v>
      </c>
      <c r="E92" s="5">
        <v>47954</v>
      </c>
      <c r="F92" s="6">
        <v>56.945374999999999</v>
      </c>
      <c r="G92" s="7">
        <v>9.1774100000000004E-3</v>
      </c>
      <c r="H92" s="52"/>
    </row>
    <row r="93" spans="1:8" ht="17.100000000000001" customHeight="1" x14ac:dyDescent="0.2">
      <c r="A93" s="3">
        <v>87</v>
      </c>
      <c r="B93" s="4" t="s">
        <v>376</v>
      </c>
      <c r="C93" s="4" t="s">
        <v>377</v>
      </c>
      <c r="D93" s="4" t="s">
        <v>28</v>
      </c>
      <c r="E93" s="5">
        <v>28988</v>
      </c>
      <c r="F93" s="6">
        <v>56.874456000000002</v>
      </c>
      <c r="G93" s="7">
        <v>9.1659800000000007E-3</v>
      </c>
      <c r="H93" s="52"/>
    </row>
    <row r="94" spans="1:8" ht="17.100000000000001" customHeight="1" x14ac:dyDescent="0.2">
      <c r="A94" s="3">
        <v>88</v>
      </c>
      <c r="B94" s="4" t="s">
        <v>555</v>
      </c>
      <c r="C94" s="4" t="s">
        <v>556</v>
      </c>
      <c r="D94" s="4" t="s">
        <v>102</v>
      </c>
      <c r="E94" s="5">
        <v>3897</v>
      </c>
      <c r="F94" s="6">
        <v>56.841642</v>
      </c>
      <c r="G94" s="7">
        <v>9.1607000000000008E-3</v>
      </c>
      <c r="H94" s="52"/>
    </row>
    <row r="95" spans="1:8" ht="17.100000000000001" customHeight="1" x14ac:dyDescent="0.2">
      <c r="A95" s="3">
        <v>89</v>
      </c>
      <c r="B95" s="4" t="s">
        <v>811</v>
      </c>
      <c r="C95" s="4" t="s">
        <v>812</v>
      </c>
      <c r="D95" s="4" t="s">
        <v>28</v>
      </c>
      <c r="E95" s="5">
        <v>77712</v>
      </c>
      <c r="F95" s="6">
        <v>56.729759999999999</v>
      </c>
      <c r="G95" s="7">
        <v>9.1426600000000004E-3</v>
      </c>
      <c r="H95" s="52"/>
    </row>
    <row r="96" spans="1:8" ht="17.100000000000001" customHeight="1" x14ac:dyDescent="0.2">
      <c r="A96" s="3">
        <v>90</v>
      </c>
      <c r="B96" s="4" t="s">
        <v>112</v>
      </c>
      <c r="C96" s="4" t="s">
        <v>113</v>
      </c>
      <c r="D96" s="4" t="s">
        <v>114</v>
      </c>
      <c r="E96" s="5">
        <v>8894</v>
      </c>
      <c r="F96" s="6">
        <v>56.370171999999997</v>
      </c>
      <c r="G96" s="7">
        <v>9.0847099999999993E-3</v>
      </c>
      <c r="H96" s="52"/>
    </row>
    <row r="97" spans="1:8" ht="17.100000000000001" customHeight="1" x14ac:dyDescent="0.2">
      <c r="A97" s="3">
        <v>91</v>
      </c>
      <c r="B97" s="4" t="s">
        <v>94</v>
      </c>
      <c r="C97" s="4" t="s">
        <v>95</v>
      </c>
      <c r="D97" s="4" t="s">
        <v>43</v>
      </c>
      <c r="E97" s="5">
        <v>1687</v>
      </c>
      <c r="F97" s="6">
        <v>56.193126499999998</v>
      </c>
      <c r="G97" s="7">
        <v>9.0561800000000005E-3</v>
      </c>
      <c r="H97" s="52"/>
    </row>
    <row r="98" spans="1:8" ht="29.1" customHeight="1" x14ac:dyDescent="0.2">
      <c r="A98" s="3">
        <v>92</v>
      </c>
      <c r="B98" s="4" t="s">
        <v>563</v>
      </c>
      <c r="C98" s="4" t="s">
        <v>564</v>
      </c>
      <c r="D98" s="4" t="s">
        <v>221</v>
      </c>
      <c r="E98" s="5">
        <v>10687</v>
      </c>
      <c r="F98" s="6">
        <v>56.133467500000002</v>
      </c>
      <c r="G98" s="7">
        <v>9.0465700000000003E-3</v>
      </c>
      <c r="H98" s="52"/>
    </row>
    <row r="99" spans="1:8" ht="17.100000000000001" customHeight="1" x14ac:dyDescent="0.2">
      <c r="A99" s="3">
        <v>93</v>
      </c>
      <c r="B99" s="4" t="s">
        <v>813</v>
      </c>
      <c r="C99" s="4" t="s">
        <v>814</v>
      </c>
      <c r="D99" s="4" t="s">
        <v>22</v>
      </c>
      <c r="E99" s="5">
        <v>6150</v>
      </c>
      <c r="F99" s="6">
        <v>56.066474999999997</v>
      </c>
      <c r="G99" s="7">
        <v>9.0357700000000003E-3</v>
      </c>
      <c r="H99" s="52"/>
    </row>
    <row r="100" spans="1:8" ht="17.100000000000001" customHeight="1" x14ac:dyDescent="0.2">
      <c r="A100" s="3">
        <v>94</v>
      </c>
      <c r="B100" s="4" t="s">
        <v>567</v>
      </c>
      <c r="C100" s="4" t="s">
        <v>568</v>
      </c>
      <c r="D100" s="4" t="s">
        <v>60</v>
      </c>
      <c r="E100" s="5">
        <v>1871</v>
      </c>
      <c r="F100" s="6">
        <v>56.049546999999997</v>
      </c>
      <c r="G100" s="7">
        <v>9.0330400000000009E-3</v>
      </c>
      <c r="H100" s="52"/>
    </row>
    <row r="101" spans="1:8" ht="29.1" customHeight="1" x14ac:dyDescent="0.2">
      <c r="A101" s="3">
        <v>95</v>
      </c>
      <c r="B101" s="4" t="s">
        <v>362</v>
      </c>
      <c r="C101" s="4" t="s">
        <v>363</v>
      </c>
      <c r="D101" s="4" t="s">
        <v>226</v>
      </c>
      <c r="E101" s="5">
        <v>1636</v>
      </c>
      <c r="F101" s="6">
        <v>55.433405999999998</v>
      </c>
      <c r="G101" s="7">
        <v>8.9337400000000008E-3</v>
      </c>
      <c r="H101" s="52"/>
    </row>
    <row r="102" spans="1:8" ht="17.100000000000001" customHeight="1" x14ac:dyDescent="0.2">
      <c r="A102" s="3">
        <v>96</v>
      </c>
      <c r="B102" s="4" t="s">
        <v>815</v>
      </c>
      <c r="C102" s="4" t="s">
        <v>816</v>
      </c>
      <c r="D102" s="4" t="s">
        <v>76</v>
      </c>
      <c r="E102" s="5">
        <v>9798</v>
      </c>
      <c r="F102" s="6">
        <v>55.290114000000003</v>
      </c>
      <c r="G102" s="7">
        <v>8.9106500000000009E-3</v>
      </c>
      <c r="H102" s="52"/>
    </row>
    <row r="103" spans="1:8" ht="17.100000000000001" customHeight="1" x14ac:dyDescent="0.2">
      <c r="A103" s="3">
        <v>97</v>
      </c>
      <c r="B103" s="4" t="s">
        <v>817</v>
      </c>
      <c r="C103" s="4" t="s">
        <v>818</v>
      </c>
      <c r="D103" s="4" t="s">
        <v>60</v>
      </c>
      <c r="E103" s="5">
        <v>4406</v>
      </c>
      <c r="F103" s="6">
        <v>54.905369</v>
      </c>
      <c r="G103" s="7">
        <v>8.8486399999999996E-3</v>
      </c>
      <c r="H103" s="52"/>
    </row>
    <row r="104" spans="1:8" ht="17.100000000000001" customHeight="1" x14ac:dyDescent="0.2">
      <c r="A104" s="3">
        <v>98</v>
      </c>
      <c r="B104" s="4" t="s">
        <v>571</v>
      </c>
      <c r="C104" s="4" t="s">
        <v>572</v>
      </c>
      <c r="D104" s="4" t="s">
        <v>888</v>
      </c>
      <c r="E104" s="5">
        <v>4805</v>
      </c>
      <c r="F104" s="6">
        <v>54.447857499999998</v>
      </c>
      <c r="G104" s="7">
        <v>8.7749100000000003E-3</v>
      </c>
      <c r="H104" s="52"/>
    </row>
    <row r="105" spans="1:8" ht="29.1" customHeight="1" x14ac:dyDescent="0.2">
      <c r="A105" s="3">
        <v>99</v>
      </c>
      <c r="B105" s="4" t="s">
        <v>685</v>
      </c>
      <c r="C105" s="4" t="s">
        <v>686</v>
      </c>
      <c r="D105" s="4" t="s">
        <v>211</v>
      </c>
      <c r="E105" s="5">
        <v>10032</v>
      </c>
      <c r="F105" s="6">
        <v>54.22296</v>
      </c>
      <c r="G105" s="7">
        <v>8.7386600000000005E-3</v>
      </c>
      <c r="H105" s="52"/>
    </row>
    <row r="106" spans="1:8" ht="17.100000000000001" customHeight="1" x14ac:dyDescent="0.2">
      <c r="A106" s="3">
        <v>100</v>
      </c>
      <c r="B106" s="4" t="s">
        <v>358</v>
      </c>
      <c r="C106" s="4" t="s">
        <v>359</v>
      </c>
      <c r="D106" s="4" t="s">
        <v>102</v>
      </c>
      <c r="E106" s="5">
        <v>8482</v>
      </c>
      <c r="F106" s="6">
        <v>53.322093000000002</v>
      </c>
      <c r="G106" s="7">
        <v>8.5934800000000006E-3</v>
      </c>
      <c r="H106" s="52"/>
    </row>
    <row r="107" spans="1:8" ht="17.100000000000001" customHeight="1" x14ac:dyDescent="0.2">
      <c r="A107" s="3">
        <v>101</v>
      </c>
      <c r="B107" s="4" t="s">
        <v>521</v>
      </c>
      <c r="C107" s="39" t="s">
        <v>994</v>
      </c>
      <c r="D107" s="4" t="s">
        <v>102</v>
      </c>
      <c r="E107" s="5">
        <v>2251</v>
      </c>
      <c r="F107" s="6">
        <v>9.4564509999999995</v>
      </c>
      <c r="G107" s="7">
        <v>1.5240200000000001E-3</v>
      </c>
      <c r="H107" s="52"/>
    </row>
    <row r="108" spans="1:8" ht="14.1" customHeight="1" x14ac:dyDescent="0.2">
      <c r="A108" s="1"/>
      <c r="B108" s="1"/>
      <c r="C108" s="2" t="s">
        <v>145</v>
      </c>
      <c r="D108" s="1"/>
      <c r="E108" s="1" t="s">
        <v>146</v>
      </c>
      <c r="F108" s="9">
        <v>6015.8997300000001</v>
      </c>
      <c r="G108" s="10">
        <v>0.96953261000000002</v>
      </c>
      <c r="H108" s="52"/>
    </row>
    <row r="109" spans="1:8" ht="14.1" customHeight="1" x14ac:dyDescent="0.2">
      <c r="A109" s="1"/>
      <c r="B109" s="1"/>
      <c r="C109" s="11"/>
      <c r="D109" s="1"/>
      <c r="E109" s="1"/>
      <c r="F109" s="12"/>
      <c r="G109" s="12"/>
      <c r="H109" s="52"/>
    </row>
    <row r="110" spans="1:8" ht="14.1" customHeight="1" x14ac:dyDescent="0.2">
      <c r="A110" s="1"/>
      <c r="B110" s="1"/>
      <c r="C110" s="2" t="s">
        <v>147</v>
      </c>
      <c r="D110" s="1"/>
      <c r="E110" s="1"/>
      <c r="F110" s="1"/>
      <c r="G110" s="1"/>
      <c r="H110" s="52"/>
    </row>
    <row r="111" spans="1:8" ht="14.1" customHeight="1" x14ac:dyDescent="0.2">
      <c r="A111" s="1"/>
      <c r="B111" s="1"/>
      <c r="C111" s="2" t="s">
        <v>145</v>
      </c>
      <c r="D111" s="1"/>
      <c r="E111" s="1" t="s">
        <v>146</v>
      </c>
      <c r="F111" s="13" t="s">
        <v>148</v>
      </c>
      <c r="G111" s="10">
        <v>0</v>
      </c>
      <c r="H111" s="52"/>
    </row>
    <row r="112" spans="1:8" ht="14.1" customHeight="1" x14ac:dyDescent="0.2">
      <c r="A112" s="1"/>
      <c r="B112" s="1"/>
      <c r="C112" s="11"/>
      <c r="D112" s="1"/>
      <c r="E112" s="1"/>
      <c r="F112" s="12"/>
      <c r="G112" s="12"/>
      <c r="H112" s="52"/>
    </row>
    <row r="113" spans="1:8" ht="14.1" customHeight="1" x14ac:dyDescent="0.2">
      <c r="A113" s="1"/>
      <c r="B113" s="1"/>
      <c r="C113" s="2" t="s">
        <v>149</v>
      </c>
      <c r="D113" s="1"/>
      <c r="E113" s="1"/>
      <c r="F113" s="1"/>
      <c r="G113" s="1"/>
      <c r="H113" s="52"/>
    </row>
    <row r="114" spans="1:8" ht="14.1" customHeight="1" x14ac:dyDescent="0.2">
      <c r="A114" s="1"/>
      <c r="B114" s="1"/>
      <c r="C114" s="2" t="s">
        <v>145</v>
      </c>
      <c r="D114" s="1"/>
      <c r="E114" s="1" t="s">
        <v>146</v>
      </c>
      <c r="F114" s="13" t="s">
        <v>148</v>
      </c>
      <c r="G114" s="10">
        <v>0</v>
      </c>
      <c r="H114" s="52"/>
    </row>
    <row r="115" spans="1:8" ht="14.1" customHeight="1" x14ac:dyDescent="0.2">
      <c r="A115" s="1"/>
      <c r="B115" s="1"/>
      <c r="C115" s="11"/>
      <c r="D115" s="1"/>
      <c r="E115" s="1"/>
      <c r="F115" s="12"/>
      <c r="G115" s="12"/>
      <c r="H115" s="52"/>
    </row>
    <row r="116" spans="1:8" ht="14.1" customHeight="1" x14ac:dyDescent="0.2">
      <c r="A116" s="1"/>
      <c r="B116" s="1"/>
      <c r="C116" s="2" t="s">
        <v>150</v>
      </c>
      <c r="D116" s="1"/>
      <c r="E116" s="1"/>
      <c r="F116" s="1"/>
      <c r="G116" s="1"/>
      <c r="H116" s="52"/>
    </row>
    <row r="117" spans="1:8" ht="14.1" customHeight="1" x14ac:dyDescent="0.2">
      <c r="A117" s="1"/>
      <c r="B117" s="1"/>
      <c r="C117" s="2" t="s">
        <v>145</v>
      </c>
      <c r="D117" s="1"/>
      <c r="E117" s="1" t="s">
        <v>146</v>
      </c>
      <c r="F117" s="13" t="s">
        <v>148</v>
      </c>
      <c r="G117" s="10">
        <v>0</v>
      </c>
      <c r="H117" s="52"/>
    </row>
    <row r="118" spans="1:8" ht="14.1" customHeight="1" x14ac:dyDescent="0.2">
      <c r="A118" s="1"/>
      <c r="B118" s="1"/>
      <c r="C118" s="11"/>
      <c r="D118" s="1"/>
      <c r="E118" s="1"/>
      <c r="F118" s="12"/>
      <c r="G118" s="12"/>
      <c r="H118" s="52"/>
    </row>
    <row r="119" spans="1:8" ht="14.1" customHeight="1" x14ac:dyDescent="0.2">
      <c r="A119" s="1"/>
      <c r="B119" s="1"/>
      <c r="C119" s="2" t="s">
        <v>151</v>
      </c>
      <c r="D119" s="1"/>
      <c r="E119" s="1"/>
      <c r="F119" s="12"/>
      <c r="G119" s="12"/>
      <c r="H119" s="52"/>
    </row>
    <row r="120" spans="1:8" ht="14.1" customHeight="1" x14ac:dyDescent="0.2">
      <c r="A120" s="1"/>
      <c r="B120" s="1"/>
      <c r="C120" s="2" t="s">
        <v>145</v>
      </c>
      <c r="D120" s="1"/>
      <c r="E120" s="1" t="s">
        <v>146</v>
      </c>
      <c r="F120" s="13" t="s">
        <v>148</v>
      </c>
      <c r="G120" s="10">
        <v>0</v>
      </c>
      <c r="H120" s="52"/>
    </row>
    <row r="121" spans="1:8" ht="14.1" customHeight="1" x14ac:dyDescent="0.2">
      <c r="A121" s="1"/>
      <c r="B121" s="1"/>
      <c r="C121" s="11"/>
      <c r="D121" s="1"/>
      <c r="E121" s="1"/>
      <c r="F121" s="12"/>
      <c r="G121" s="12"/>
      <c r="H121" s="52"/>
    </row>
    <row r="122" spans="1:8" ht="14.1" customHeight="1" x14ac:dyDescent="0.2">
      <c r="A122" s="1"/>
      <c r="B122" s="1"/>
      <c r="C122" s="2" t="s">
        <v>152</v>
      </c>
      <c r="D122" s="1"/>
      <c r="E122" s="1"/>
      <c r="F122" s="12"/>
      <c r="G122" s="12"/>
      <c r="H122" s="52"/>
    </row>
    <row r="123" spans="1:8" ht="14.1" customHeight="1" x14ac:dyDescent="0.2">
      <c r="A123" s="1"/>
      <c r="B123" s="1"/>
      <c r="C123" s="2" t="s">
        <v>145</v>
      </c>
      <c r="D123" s="1"/>
      <c r="E123" s="1" t="s">
        <v>146</v>
      </c>
      <c r="F123" s="13" t="s">
        <v>148</v>
      </c>
      <c r="G123" s="10">
        <v>0</v>
      </c>
      <c r="H123" s="52"/>
    </row>
    <row r="124" spans="1:8" ht="14.1" customHeight="1" x14ac:dyDescent="0.2">
      <c r="A124" s="1"/>
      <c r="B124" s="1"/>
      <c r="C124" s="11"/>
      <c r="D124" s="1"/>
      <c r="E124" s="1"/>
      <c r="F124" s="12"/>
      <c r="G124" s="12"/>
      <c r="H124" s="52"/>
    </row>
    <row r="125" spans="1:8" ht="18" customHeight="1" x14ac:dyDescent="0.2">
      <c r="A125" s="1"/>
      <c r="B125" s="1"/>
      <c r="C125" s="2" t="s">
        <v>153</v>
      </c>
      <c r="D125" s="1"/>
      <c r="E125" s="1"/>
      <c r="F125" s="9">
        <v>6015.8997300000001</v>
      </c>
      <c r="G125" s="10">
        <v>0.96953261000000002</v>
      </c>
      <c r="H125" s="52"/>
    </row>
    <row r="126" spans="1:8" ht="14.1" customHeight="1" x14ac:dyDescent="0.2">
      <c r="A126" s="1"/>
      <c r="B126" s="1"/>
      <c r="C126" s="11"/>
      <c r="D126" s="1"/>
      <c r="E126" s="1"/>
      <c r="F126" s="12"/>
      <c r="G126" s="12"/>
      <c r="H126" s="52"/>
    </row>
    <row r="127" spans="1:8" ht="14.1" customHeight="1" x14ac:dyDescent="0.2">
      <c r="A127" s="1"/>
      <c r="B127" s="1"/>
      <c r="C127" s="2" t="s">
        <v>154</v>
      </c>
      <c r="D127" s="1"/>
      <c r="E127" s="1"/>
      <c r="F127" s="12"/>
      <c r="G127" s="12"/>
      <c r="H127" s="52"/>
    </row>
    <row r="128" spans="1:8" ht="24" customHeight="1" x14ac:dyDescent="0.2">
      <c r="A128" s="1"/>
      <c r="B128" s="1"/>
      <c r="C128" s="2" t="s">
        <v>10</v>
      </c>
      <c r="D128" s="1"/>
      <c r="E128" s="1"/>
      <c r="F128" s="12"/>
      <c r="G128" s="12"/>
      <c r="H128" s="52"/>
    </row>
    <row r="129" spans="1:8" ht="29.1" customHeight="1" x14ac:dyDescent="0.2">
      <c r="A129" s="3">
        <v>1</v>
      </c>
      <c r="B129" s="4" t="s">
        <v>723</v>
      </c>
      <c r="C129" s="4" t="s">
        <v>724</v>
      </c>
      <c r="D129" s="4" t="s">
        <v>589</v>
      </c>
      <c r="E129" s="5">
        <v>828</v>
      </c>
      <c r="F129" s="6">
        <v>0.23689086600000001</v>
      </c>
      <c r="G129" s="41" t="s">
        <v>144</v>
      </c>
      <c r="H129" s="52">
        <v>7.718</v>
      </c>
    </row>
    <row r="130" spans="1:8" ht="14.1" customHeight="1" x14ac:dyDescent="0.2">
      <c r="A130" s="1"/>
      <c r="B130" s="1"/>
      <c r="C130" s="2" t="s">
        <v>145</v>
      </c>
      <c r="D130" s="1"/>
      <c r="E130" s="1" t="s">
        <v>146</v>
      </c>
      <c r="F130" s="9">
        <v>0.23689086600000001</v>
      </c>
      <c r="G130" s="10">
        <v>3.8179999999999997E-5</v>
      </c>
      <c r="H130" s="52"/>
    </row>
    <row r="131" spans="1:8" ht="14.1" customHeight="1" x14ac:dyDescent="0.2">
      <c r="A131" s="1"/>
      <c r="B131" s="1"/>
      <c r="C131" s="11"/>
      <c r="D131" s="1"/>
      <c r="E131" s="1"/>
      <c r="F131" s="12"/>
      <c r="G131" s="12"/>
      <c r="H131" s="52"/>
    </row>
    <row r="132" spans="1:8" ht="14.1" customHeight="1" x14ac:dyDescent="0.2">
      <c r="A132" s="1"/>
      <c r="B132" s="1"/>
      <c r="C132" s="2" t="s">
        <v>155</v>
      </c>
      <c r="D132" s="1"/>
      <c r="E132" s="1"/>
      <c r="F132" s="1"/>
      <c r="G132" s="1"/>
      <c r="H132" s="52"/>
    </row>
    <row r="133" spans="1:8" ht="14.1" customHeight="1" x14ac:dyDescent="0.2">
      <c r="A133" s="1"/>
      <c r="B133" s="1"/>
      <c r="C133" s="2" t="s">
        <v>145</v>
      </c>
      <c r="D133" s="1"/>
      <c r="E133" s="1" t="s">
        <v>146</v>
      </c>
      <c r="F133" s="13" t="s">
        <v>148</v>
      </c>
      <c r="G133" s="10">
        <v>0</v>
      </c>
      <c r="H133" s="52"/>
    </row>
    <row r="134" spans="1:8" ht="14.1" customHeight="1" x14ac:dyDescent="0.2">
      <c r="A134" s="1"/>
      <c r="B134" s="1"/>
      <c r="C134" s="11"/>
      <c r="D134" s="1"/>
      <c r="E134" s="1"/>
      <c r="F134" s="12"/>
      <c r="G134" s="12"/>
      <c r="H134" s="52"/>
    </row>
    <row r="135" spans="1:8" ht="14.1" customHeight="1" x14ac:dyDescent="0.2">
      <c r="A135" s="1"/>
      <c r="B135" s="1"/>
      <c r="C135" s="2" t="s">
        <v>156</v>
      </c>
      <c r="D135" s="1"/>
      <c r="E135" s="1"/>
      <c r="F135" s="1"/>
      <c r="G135" s="1"/>
      <c r="H135" s="52"/>
    </row>
    <row r="136" spans="1:8" ht="14.1" customHeight="1" x14ac:dyDescent="0.2">
      <c r="A136" s="1"/>
      <c r="B136" s="1"/>
      <c r="C136" s="2" t="s">
        <v>145</v>
      </c>
      <c r="D136" s="1"/>
      <c r="E136" s="1" t="s">
        <v>146</v>
      </c>
      <c r="F136" s="13" t="s">
        <v>148</v>
      </c>
      <c r="G136" s="10">
        <v>0</v>
      </c>
      <c r="H136" s="52"/>
    </row>
    <row r="137" spans="1:8" ht="14.1" customHeight="1" x14ac:dyDescent="0.2">
      <c r="A137" s="1"/>
      <c r="B137" s="1"/>
      <c r="C137" s="11"/>
      <c r="D137" s="1"/>
      <c r="E137" s="1"/>
      <c r="F137" s="12"/>
      <c r="G137" s="12"/>
      <c r="H137" s="52"/>
    </row>
    <row r="138" spans="1:8" ht="14.1" customHeight="1" x14ac:dyDescent="0.2">
      <c r="A138" s="1"/>
      <c r="B138" s="1"/>
      <c r="C138" s="2" t="s">
        <v>157</v>
      </c>
      <c r="D138" s="1"/>
      <c r="E138" s="1"/>
      <c r="F138" s="12"/>
      <c r="G138" s="12"/>
      <c r="H138" s="52"/>
    </row>
    <row r="139" spans="1:8" ht="14.1" customHeight="1" x14ac:dyDescent="0.2">
      <c r="A139" s="1"/>
      <c r="B139" s="1"/>
      <c r="C139" s="2" t="s">
        <v>145</v>
      </c>
      <c r="D139" s="1"/>
      <c r="E139" s="1" t="s">
        <v>146</v>
      </c>
      <c r="F139" s="13" t="s">
        <v>148</v>
      </c>
      <c r="G139" s="10">
        <v>0</v>
      </c>
      <c r="H139" s="52"/>
    </row>
    <row r="140" spans="1:8" ht="14.1" customHeight="1" x14ac:dyDescent="0.2">
      <c r="A140" s="1"/>
      <c r="B140" s="1"/>
      <c r="C140" s="11"/>
      <c r="D140" s="1"/>
      <c r="E140" s="1"/>
      <c r="F140" s="12"/>
      <c r="G140" s="12"/>
      <c r="H140" s="52"/>
    </row>
    <row r="141" spans="1:8" ht="14.1" customHeight="1" x14ac:dyDescent="0.2">
      <c r="A141" s="1"/>
      <c r="B141" s="1"/>
      <c r="C141" s="2" t="s">
        <v>158</v>
      </c>
      <c r="D141" s="1"/>
      <c r="E141" s="1"/>
      <c r="F141" s="9">
        <v>0.23689086600000001</v>
      </c>
      <c r="G141" s="10">
        <v>3.8179999999999997E-5</v>
      </c>
      <c r="H141" s="52"/>
    </row>
    <row r="142" spans="1:8" ht="14.1" customHeight="1" x14ac:dyDescent="0.2">
      <c r="A142" s="1"/>
      <c r="B142" s="1"/>
      <c r="C142" s="11"/>
      <c r="D142" s="1"/>
      <c r="E142" s="1"/>
      <c r="F142" s="12"/>
      <c r="G142" s="12"/>
      <c r="H142" s="52"/>
    </row>
    <row r="143" spans="1:8" ht="14.1" customHeight="1" x14ac:dyDescent="0.2">
      <c r="A143" s="1"/>
      <c r="B143" s="1"/>
      <c r="C143" s="2" t="s">
        <v>159</v>
      </c>
      <c r="D143" s="1"/>
      <c r="E143" s="1"/>
      <c r="F143" s="12"/>
      <c r="G143" s="12"/>
      <c r="H143" s="52"/>
    </row>
    <row r="144" spans="1:8" ht="14.1" customHeight="1" x14ac:dyDescent="0.2">
      <c r="A144" s="1"/>
      <c r="B144" s="1"/>
      <c r="C144" s="2" t="s">
        <v>160</v>
      </c>
      <c r="D144" s="1"/>
      <c r="E144" s="1"/>
      <c r="F144" s="12"/>
      <c r="G144" s="12"/>
      <c r="H144" s="52"/>
    </row>
    <row r="145" spans="1:8" ht="14.1" customHeight="1" x14ac:dyDescent="0.2">
      <c r="A145" s="1"/>
      <c r="B145" s="1"/>
      <c r="C145" s="2" t="s">
        <v>145</v>
      </c>
      <c r="D145" s="1"/>
      <c r="E145" s="1" t="s">
        <v>146</v>
      </c>
      <c r="F145" s="13" t="s">
        <v>148</v>
      </c>
      <c r="G145" s="10">
        <v>0</v>
      </c>
      <c r="H145" s="52"/>
    </row>
    <row r="146" spans="1:8" ht="14.1" customHeight="1" x14ac:dyDescent="0.2">
      <c r="A146" s="1"/>
      <c r="B146" s="1"/>
      <c r="C146" s="11"/>
      <c r="D146" s="1"/>
      <c r="E146" s="1"/>
      <c r="F146" s="12"/>
      <c r="G146" s="12"/>
      <c r="H146" s="52"/>
    </row>
    <row r="147" spans="1:8" ht="14.1" customHeight="1" x14ac:dyDescent="0.2">
      <c r="A147" s="1"/>
      <c r="B147" s="1"/>
      <c r="C147" s="2" t="s">
        <v>161</v>
      </c>
      <c r="D147" s="1"/>
      <c r="E147" s="1"/>
      <c r="F147" s="12"/>
      <c r="G147" s="12"/>
      <c r="H147" s="52"/>
    </row>
    <row r="148" spans="1:8" ht="14.1" customHeight="1" x14ac:dyDescent="0.2">
      <c r="A148" s="1"/>
      <c r="B148" s="1"/>
      <c r="C148" s="2" t="s">
        <v>145</v>
      </c>
      <c r="D148" s="1"/>
      <c r="E148" s="1" t="s">
        <v>146</v>
      </c>
      <c r="F148" s="13" t="s">
        <v>148</v>
      </c>
      <c r="G148" s="10">
        <v>0</v>
      </c>
      <c r="H148" s="52"/>
    </row>
    <row r="149" spans="1:8" ht="14.1" customHeight="1" x14ac:dyDescent="0.2">
      <c r="A149" s="1"/>
      <c r="B149" s="1"/>
      <c r="C149" s="11"/>
      <c r="D149" s="1"/>
      <c r="E149" s="1"/>
      <c r="F149" s="12"/>
      <c r="G149" s="12"/>
      <c r="H149" s="52"/>
    </row>
    <row r="150" spans="1:8" ht="14.1" customHeight="1" x14ac:dyDescent="0.2">
      <c r="A150" s="1"/>
      <c r="B150" s="1"/>
      <c r="C150" s="2" t="s">
        <v>162</v>
      </c>
      <c r="D150" s="1"/>
      <c r="E150" s="1"/>
      <c r="F150" s="12"/>
      <c r="G150" s="12"/>
      <c r="H150" s="52"/>
    </row>
    <row r="151" spans="1:8" ht="14.1" customHeight="1" x14ac:dyDescent="0.2">
      <c r="A151" s="1"/>
      <c r="B151" s="1"/>
      <c r="C151" s="2" t="s">
        <v>145</v>
      </c>
      <c r="D151" s="1"/>
      <c r="E151" s="1" t="s">
        <v>146</v>
      </c>
      <c r="F151" s="13" t="s">
        <v>148</v>
      </c>
      <c r="G151" s="10">
        <v>0</v>
      </c>
      <c r="H151" s="52"/>
    </row>
    <row r="152" spans="1:8" ht="14.1" customHeight="1" x14ac:dyDescent="0.2">
      <c r="A152" s="1"/>
      <c r="B152" s="1"/>
      <c r="C152" s="11"/>
      <c r="D152" s="1"/>
      <c r="E152" s="1"/>
      <c r="F152" s="12"/>
      <c r="G152" s="12"/>
      <c r="H152" s="52"/>
    </row>
    <row r="153" spans="1:8" ht="14.1" customHeight="1" x14ac:dyDescent="0.2">
      <c r="A153" s="1"/>
      <c r="B153" s="1"/>
      <c r="C153" s="2" t="s">
        <v>163</v>
      </c>
      <c r="D153" s="1"/>
      <c r="E153" s="1"/>
      <c r="F153" s="12"/>
      <c r="G153" s="12"/>
      <c r="H153" s="52"/>
    </row>
    <row r="154" spans="1:8" ht="17.100000000000001" customHeight="1" x14ac:dyDescent="0.2">
      <c r="A154" s="3">
        <v>1</v>
      </c>
      <c r="B154" s="4"/>
      <c r="C154" s="4" t="s">
        <v>164</v>
      </c>
      <c r="D154" s="4"/>
      <c r="E154" s="8"/>
      <c r="F154" s="6">
        <v>200.03851</v>
      </c>
      <c r="G154" s="7">
        <v>3.2238549999999998E-2</v>
      </c>
      <c r="H154" s="52">
        <v>6.7567375937238596</v>
      </c>
    </row>
    <row r="155" spans="1:8" ht="14.1" customHeight="1" x14ac:dyDescent="0.2">
      <c r="A155" s="1"/>
      <c r="B155" s="1"/>
      <c r="C155" s="2" t="s">
        <v>145</v>
      </c>
      <c r="D155" s="1"/>
      <c r="E155" s="1" t="s">
        <v>146</v>
      </c>
      <c r="F155" s="9">
        <v>200.03851</v>
      </c>
      <c r="G155" s="10">
        <v>3.2238549999999998E-2</v>
      </c>
      <c r="H155" s="52"/>
    </row>
    <row r="156" spans="1:8" ht="14.1" customHeight="1" x14ac:dyDescent="0.2">
      <c r="A156" s="1"/>
      <c r="B156" s="1"/>
      <c r="C156" s="11"/>
      <c r="D156" s="1"/>
      <c r="E156" s="1"/>
      <c r="F156" s="12"/>
      <c r="G156" s="12"/>
      <c r="H156" s="52"/>
    </row>
    <row r="157" spans="1:8" ht="14.1" customHeight="1" x14ac:dyDescent="0.2">
      <c r="A157" s="1"/>
      <c r="B157" s="1"/>
      <c r="C157" s="2" t="s">
        <v>165</v>
      </c>
      <c r="D157" s="1"/>
      <c r="E157" s="1"/>
      <c r="F157" s="9">
        <v>200.03851</v>
      </c>
      <c r="G157" s="10">
        <v>3.2238549999999998E-2</v>
      </c>
      <c r="H157" s="52"/>
    </row>
    <row r="158" spans="1:8" ht="14.1" customHeight="1" x14ac:dyDescent="0.2">
      <c r="A158" s="1"/>
      <c r="B158" s="1"/>
      <c r="C158" s="12"/>
      <c r="D158" s="1"/>
      <c r="E158" s="1"/>
      <c r="F158" s="1"/>
      <c r="G158" s="1"/>
      <c r="H158" s="52"/>
    </row>
    <row r="159" spans="1:8" ht="14.1" customHeight="1" x14ac:dyDescent="0.2">
      <c r="A159" s="1"/>
      <c r="B159" s="1"/>
      <c r="C159" s="2" t="s">
        <v>166</v>
      </c>
      <c r="D159" s="1"/>
      <c r="E159" s="1"/>
      <c r="F159" s="1"/>
      <c r="G159" s="1"/>
      <c r="H159" s="52"/>
    </row>
    <row r="160" spans="1:8" ht="14.1" customHeight="1" x14ac:dyDescent="0.2">
      <c r="A160" s="1"/>
      <c r="B160" s="1"/>
      <c r="C160" s="2" t="s">
        <v>167</v>
      </c>
      <c r="D160" s="1"/>
      <c r="E160" s="1"/>
      <c r="F160" s="1"/>
      <c r="G160" s="1"/>
      <c r="H160" s="52"/>
    </row>
    <row r="161" spans="1:14" ht="14.1" customHeight="1" x14ac:dyDescent="0.2">
      <c r="A161" s="1"/>
      <c r="B161" s="1"/>
      <c r="C161" s="2" t="s">
        <v>145</v>
      </c>
      <c r="D161" s="1"/>
      <c r="E161" s="1" t="s">
        <v>146</v>
      </c>
      <c r="F161" s="13" t="s">
        <v>148</v>
      </c>
      <c r="G161" s="10">
        <v>0</v>
      </c>
      <c r="H161" s="52"/>
    </row>
    <row r="162" spans="1:14" ht="14.1" customHeight="1" x14ac:dyDescent="0.2">
      <c r="A162" s="1"/>
      <c r="B162" s="1"/>
      <c r="C162" s="11"/>
      <c r="D162" s="1"/>
      <c r="E162" s="1"/>
      <c r="F162" s="12"/>
      <c r="G162" s="12"/>
      <c r="H162" s="52"/>
    </row>
    <row r="163" spans="1:14" ht="14.1" customHeight="1" x14ac:dyDescent="0.2">
      <c r="A163" s="1"/>
      <c r="B163" s="1"/>
      <c r="C163" s="2" t="s">
        <v>168</v>
      </c>
      <c r="D163" s="1"/>
      <c r="E163" s="1"/>
      <c r="F163" s="1"/>
      <c r="G163" s="1"/>
      <c r="H163" s="52"/>
    </row>
    <row r="164" spans="1:14" ht="14.1" customHeight="1" x14ac:dyDescent="0.2">
      <c r="A164" s="1"/>
      <c r="B164" s="1"/>
      <c r="C164" s="2" t="s">
        <v>169</v>
      </c>
      <c r="D164" s="1"/>
      <c r="E164" s="1"/>
      <c r="F164" s="1"/>
      <c r="G164" s="1"/>
      <c r="H164" s="52"/>
    </row>
    <row r="165" spans="1:14" ht="14.1" customHeight="1" x14ac:dyDescent="0.2">
      <c r="A165" s="1"/>
      <c r="B165" s="1"/>
      <c r="C165" s="2" t="s">
        <v>145</v>
      </c>
      <c r="D165" s="1"/>
      <c r="E165" s="1" t="s">
        <v>146</v>
      </c>
      <c r="F165" s="13" t="s">
        <v>148</v>
      </c>
      <c r="G165" s="10">
        <v>0</v>
      </c>
      <c r="H165" s="52"/>
    </row>
    <row r="166" spans="1:14" ht="14.1" customHeight="1" x14ac:dyDescent="0.2">
      <c r="A166" s="1"/>
      <c r="B166" s="1"/>
      <c r="C166" s="11"/>
      <c r="D166" s="1"/>
      <c r="E166" s="1"/>
      <c r="F166" s="12"/>
      <c r="G166" s="12"/>
      <c r="H166" s="52"/>
    </row>
    <row r="167" spans="1:14" ht="24" customHeight="1" x14ac:dyDescent="0.2">
      <c r="A167" s="1"/>
      <c r="B167" s="1"/>
      <c r="C167" s="2" t="s">
        <v>170</v>
      </c>
      <c r="D167" s="1"/>
      <c r="E167" s="1"/>
      <c r="F167" s="12"/>
      <c r="G167" s="12"/>
      <c r="H167" s="52"/>
    </row>
    <row r="168" spans="1:14" ht="14.1" customHeight="1" x14ac:dyDescent="0.2">
      <c r="A168" s="1"/>
      <c r="B168" s="1"/>
      <c r="C168" s="2" t="s">
        <v>145</v>
      </c>
      <c r="D168" s="1"/>
      <c r="E168" s="1" t="s">
        <v>146</v>
      </c>
      <c r="F168" s="13" t="s">
        <v>148</v>
      </c>
      <c r="G168" s="10">
        <v>0</v>
      </c>
      <c r="H168" s="52"/>
    </row>
    <row r="169" spans="1:14" ht="14.1" customHeight="1" x14ac:dyDescent="0.2">
      <c r="A169" s="1"/>
      <c r="B169" s="1"/>
      <c r="C169" s="11"/>
      <c r="D169" s="1"/>
      <c r="E169" s="1"/>
      <c r="F169" s="12"/>
      <c r="G169" s="12"/>
      <c r="H169" s="52"/>
    </row>
    <row r="170" spans="1:14" ht="14.1" customHeight="1" x14ac:dyDescent="0.2">
      <c r="A170" s="1"/>
      <c r="B170" s="4"/>
      <c r="C170" s="4"/>
      <c r="D170" s="2"/>
      <c r="E170" s="1"/>
      <c r="F170" s="4"/>
      <c r="G170" s="8"/>
      <c r="H170" s="52"/>
    </row>
    <row r="171" spans="1:14" ht="18" customHeight="1" x14ac:dyDescent="0.2">
      <c r="A171" s="8"/>
      <c r="B171" s="4"/>
      <c r="C171" s="39" t="s">
        <v>992</v>
      </c>
      <c r="D171" s="4"/>
      <c r="E171" s="8"/>
      <c r="F171" s="6">
        <v>-11.22661252</v>
      </c>
      <c r="G171" s="7">
        <v>-1.8093E-3</v>
      </c>
      <c r="H171" s="52"/>
    </row>
    <row r="172" spans="1:14" ht="14.1" customHeight="1" x14ac:dyDescent="0.2">
      <c r="A172" s="11"/>
      <c r="B172" s="11"/>
      <c r="C172" s="2" t="s">
        <v>172</v>
      </c>
      <c r="D172" s="12"/>
      <c r="E172" s="12"/>
      <c r="F172" s="9">
        <v>6204.9485183460001</v>
      </c>
      <c r="G172" s="14">
        <v>1.00000004</v>
      </c>
      <c r="H172" s="52"/>
    </row>
    <row r="173" spans="1:14" ht="14.1" customHeight="1" x14ac:dyDescent="0.2">
      <c r="A173" s="15"/>
      <c r="B173" s="15"/>
      <c r="C173" s="15"/>
      <c r="D173" s="16"/>
      <c r="E173" s="16"/>
      <c r="F173" s="16"/>
      <c r="G173" s="16"/>
    </row>
    <row r="174" spans="1:14" ht="14.1" customHeight="1" x14ac:dyDescent="0.2">
      <c r="A174" s="42"/>
      <c r="B174" s="125" t="s">
        <v>988</v>
      </c>
      <c r="C174" s="125"/>
      <c r="D174" s="125"/>
      <c r="E174" s="125"/>
      <c r="F174" s="125"/>
      <c r="G174" s="43"/>
    </row>
    <row r="175" spans="1:14" ht="17.100000000000001" customHeight="1" x14ac:dyDescent="0.2">
      <c r="A175" s="42"/>
      <c r="B175" s="125" t="s">
        <v>993</v>
      </c>
      <c r="C175" s="125"/>
      <c r="D175" s="125"/>
      <c r="E175" s="125"/>
      <c r="F175" s="125"/>
      <c r="G175" s="43"/>
    </row>
    <row r="176" spans="1:14" ht="17.100000000000001" customHeight="1" x14ac:dyDescent="0.2">
      <c r="A176" s="17"/>
      <c r="B176" s="126" t="s">
        <v>173</v>
      </c>
      <c r="C176" s="126"/>
      <c r="D176" s="126"/>
      <c r="E176" s="126"/>
      <c r="F176" s="126"/>
      <c r="G176" s="19"/>
      <c r="J176" s="57"/>
      <c r="K176" s="57"/>
      <c r="L176" s="57"/>
      <c r="M176" s="57"/>
      <c r="N176" s="57"/>
    </row>
    <row r="177" spans="1:7" ht="14.1" customHeight="1" x14ac:dyDescent="0.2">
      <c r="A177" s="17"/>
      <c r="B177" s="17"/>
      <c r="C177" s="17"/>
      <c r="D177" s="19"/>
      <c r="E177" s="19"/>
      <c r="F177" s="19"/>
      <c r="G177" s="19"/>
    </row>
    <row r="178" spans="1:7" ht="14.1" customHeight="1" x14ac:dyDescent="0.2">
      <c r="A178" s="17"/>
      <c r="B178" s="127" t="s">
        <v>174</v>
      </c>
      <c r="C178" s="128"/>
      <c r="D178" s="129"/>
      <c r="E178" s="20"/>
      <c r="F178" s="19"/>
      <c r="G178" s="19"/>
    </row>
    <row r="179" spans="1:7" ht="29.1" customHeight="1" x14ac:dyDescent="0.2">
      <c r="A179" s="17"/>
      <c r="B179" s="121" t="s">
        <v>175</v>
      </c>
      <c r="C179" s="122"/>
      <c r="D179" s="2" t="s">
        <v>176</v>
      </c>
      <c r="E179" s="20"/>
      <c r="F179" s="19"/>
      <c r="G179" s="19"/>
    </row>
    <row r="180" spans="1:7" ht="17.100000000000001" customHeight="1" x14ac:dyDescent="0.2">
      <c r="A180" s="17"/>
      <c r="B180" s="121" t="s">
        <v>177</v>
      </c>
      <c r="C180" s="122"/>
      <c r="D180" s="2" t="s">
        <v>176</v>
      </c>
      <c r="E180" s="20"/>
      <c r="F180" s="19"/>
      <c r="G180" s="19"/>
    </row>
    <row r="181" spans="1:7" ht="17.100000000000001" customHeight="1" x14ac:dyDescent="0.2">
      <c r="A181" s="17"/>
      <c r="B181" s="121" t="s">
        <v>178</v>
      </c>
      <c r="C181" s="122"/>
      <c r="D181" s="12" t="s">
        <v>146</v>
      </c>
      <c r="E181" s="20"/>
      <c r="F181" s="19"/>
      <c r="G181" s="19"/>
    </row>
    <row r="182" spans="1:7" ht="24" customHeight="1" x14ac:dyDescent="0.2">
      <c r="A182" s="21"/>
      <c r="B182" s="22" t="s">
        <v>146</v>
      </c>
      <c r="C182" s="22" t="s">
        <v>179</v>
      </c>
      <c r="D182" s="22" t="s">
        <v>180</v>
      </c>
      <c r="E182" s="21"/>
      <c r="F182" s="21"/>
      <c r="G182" s="21"/>
    </row>
    <row r="183" spans="1:7" ht="18" customHeight="1" x14ac:dyDescent="0.2">
      <c r="A183" s="21"/>
      <c r="B183" s="23" t="s">
        <v>181</v>
      </c>
      <c r="C183" s="22" t="s">
        <v>182</v>
      </c>
      <c r="D183" s="22" t="s">
        <v>183</v>
      </c>
      <c r="E183" s="21"/>
      <c r="F183" s="21"/>
      <c r="G183" s="21"/>
    </row>
    <row r="184" spans="1:7" ht="17.100000000000001" customHeight="1" x14ac:dyDescent="0.2">
      <c r="A184" s="21"/>
      <c r="B184" s="4" t="s">
        <v>184</v>
      </c>
      <c r="C184" s="24">
        <v>129.5067</v>
      </c>
      <c r="D184" s="24">
        <v>126.4276</v>
      </c>
      <c r="E184" s="21"/>
      <c r="F184" s="18"/>
      <c r="G184" s="25"/>
    </row>
    <row r="185" spans="1:7" ht="17.100000000000001" customHeight="1" x14ac:dyDescent="0.2">
      <c r="A185" s="21"/>
      <c r="B185" s="4" t="s">
        <v>1039</v>
      </c>
      <c r="C185" s="24">
        <v>70.757400000000004</v>
      </c>
      <c r="D185" s="24">
        <v>64.233000000000004</v>
      </c>
      <c r="E185" s="21"/>
      <c r="F185" s="18"/>
      <c r="G185" s="25"/>
    </row>
    <row r="186" spans="1:7" ht="17.100000000000001" customHeight="1" x14ac:dyDescent="0.2">
      <c r="A186" s="21"/>
      <c r="B186" s="4" t="s">
        <v>185</v>
      </c>
      <c r="C186" s="24">
        <v>124.0123</v>
      </c>
      <c r="D186" s="24">
        <v>121.0166</v>
      </c>
      <c r="E186" s="21"/>
      <c r="F186" s="18"/>
      <c r="G186" s="25"/>
    </row>
    <row r="187" spans="1:7" ht="17.100000000000001" customHeight="1" x14ac:dyDescent="0.2">
      <c r="A187" s="21"/>
      <c r="B187" s="4" t="s">
        <v>1040</v>
      </c>
      <c r="C187" s="24">
        <v>67.759</v>
      </c>
      <c r="D187" s="24">
        <v>61.485700000000001</v>
      </c>
      <c r="E187" s="21"/>
      <c r="F187" s="18"/>
      <c r="G187" s="25"/>
    </row>
    <row r="188" spans="1:7" ht="14.1" customHeight="1" x14ac:dyDescent="0.2">
      <c r="A188" s="21"/>
      <c r="B188" s="21"/>
      <c r="C188" s="21"/>
      <c r="D188" s="21"/>
      <c r="E188" s="21"/>
      <c r="F188" s="21"/>
      <c r="G188" s="21"/>
    </row>
    <row r="189" spans="1:7" ht="17.100000000000001" customHeight="1" x14ac:dyDescent="0.2">
      <c r="A189" s="21"/>
      <c r="B189" s="121" t="s">
        <v>1041</v>
      </c>
      <c r="C189" s="122"/>
      <c r="D189" s="2" t="s">
        <v>146</v>
      </c>
      <c r="E189" s="21"/>
      <c r="F189" s="21"/>
      <c r="G189" s="21"/>
    </row>
    <row r="190" spans="1:7" ht="18" customHeight="1" x14ac:dyDescent="0.2">
      <c r="A190" s="21"/>
      <c r="B190" s="28" t="s">
        <v>181</v>
      </c>
      <c r="C190" s="29" t="s">
        <v>316</v>
      </c>
      <c r="D190" s="29" t="s">
        <v>317</v>
      </c>
      <c r="E190" s="21"/>
      <c r="F190" s="21"/>
      <c r="G190" s="21"/>
    </row>
    <row r="191" spans="1:7" ht="17.100000000000001" customHeight="1" x14ac:dyDescent="0.2">
      <c r="A191" s="21"/>
      <c r="B191" s="4" t="s">
        <v>1039</v>
      </c>
      <c r="C191" s="30">
        <v>4.9359999999999999</v>
      </c>
      <c r="D191" s="8" t="s">
        <v>551</v>
      </c>
      <c r="E191" s="21"/>
      <c r="F191" s="18"/>
      <c r="G191" s="25"/>
    </row>
    <row r="192" spans="1:7" ht="17.100000000000001" customHeight="1" x14ac:dyDescent="0.2">
      <c r="A192" s="21"/>
      <c r="B192" s="4" t="s">
        <v>1040</v>
      </c>
      <c r="C192" s="30">
        <v>4.7270000000000003</v>
      </c>
      <c r="D192" s="30">
        <v>4.7270000000000003</v>
      </c>
      <c r="E192" s="21"/>
      <c r="F192" s="18"/>
      <c r="G192" s="25"/>
    </row>
    <row r="193" spans="1:7" ht="14.1" customHeight="1" x14ac:dyDescent="0.2">
      <c r="A193" s="21"/>
      <c r="B193" s="31"/>
      <c r="C193" s="31"/>
      <c r="D193" s="32"/>
      <c r="E193" s="21"/>
      <c r="F193" s="18"/>
      <c r="G193" s="25"/>
    </row>
    <row r="194" spans="1:7" ht="29.1" customHeight="1" x14ac:dyDescent="0.2">
      <c r="A194" s="21"/>
      <c r="B194" s="121" t="s">
        <v>186</v>
      </c>
      <c r="C194" s="122"/>
      <c r="D194" s="2" t="s">
        <v>176</v>
      </c>
      <c r="E194" s="27"/>
      <c r="F194" s="21"/>
      <c r="G194" s="21"/>
    </row>
    <row r="195" spans="1:7" ht="29.1" customHeight="1" x14ac:dyDescent="0.2">
      <c r="A195" s="21"/>
      <c r="B195" s="121" t="s">
        <v>187</v>
      </c>
      <c r="C195" s="122"/>
      <c r="D195" s="2" t="s">
        <v>176</v>
      </c>
      <c r="E195" s="27"/>
      <c r="F195" s="21"/>
      <c r="G195" s="21"/>
    </row>
    <row r="196" spans="1:7" ht="17.100000000000001" customHeight="1" x14ac:dyDescent="0.2">
      <c r="A196" s="21"/>
      <c r="B196" s="121" t="s">
        <v>188</v>
      </c>
      <c r="C196" s="122"/>
      <c r="D196" s="2" t="s">
        <v>176</v>
      </c>
      <c r="E196" s="27"/>
      <c r="F196" s="21"/>
      <c r="G196" s="21"/>
    </row>
    <row r="197" spans="1:7" ht="17.100000000000001" customHeight="1" x14ac:dyDescent="0.2">
      <c r="A197" s="21"/>
      <c r="B197" s="121" t="s">
        <v>189</v>
      </c>
      <c r="C197" s="122"/>
      <c r="D197" s="50">
        <v>0.29999634336775077</v>
      </c>
      <c r="E197" s="21"/>
      <c r="F197" s="18"/>
      <c r="G197" s="25"/>
    </row>
  </sheetData>
  <mergeCells count="16">
    <mergeCell ref="J2:N2"/>
    <mergeCell ref="A1:H1"/>
    <mergeCell ref="A2:H2"/>
    <mergeCell ref="A3:H3"/>
    <mergeCell ref="B197:C197"/>
    <mergeCell ref="B180:C180"/>
    <mergeCell ref="B181:C181"/>
    <mergeCell ref="B189:C189"/>
    <mergeCell ref="B194:C194"/>
    <mergeCell ref="B195:C195"/>
    <mergeCell ref="B196:C196"/>
    <mergeCell ref="B179:C179"/>
    <mergeCell ref="B176:F176"/>
    <mergeCell ref="B178:D178"/>
    <mergeCell ref="B174:F174"/>
    <mergeCell ref="B175:F175"/>
  </mergeCells>
  <hyperlinks>
    <hyperlink ref="I1" location="Index!B22" display="Index" xr:uid="{2D22AD86-0919-4D25-8277-19ED61D1FDCF}"/>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outlinePr summaryBelow="0" summaryRight="0"/>
  </sheetPr>
  <dimension ref="A1:O163"/>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5" ht="18" customHeight="1" x14ac:dyDescent="0.2">
      <c r="A1" s="116" t="s">
        <v>0</v>
      </c>
      <c r="B1" s="116"/>
      <c r="C1" s="116"/>
      <c r="D1" s="116"/>
      <c r="E1" s="116"/>
      <c r="F1" s="116"/>
      <c r="G1" s="116"/>
      <c r="H1" s="116"/>
      <c r="I1" s="98" t="s">
        <v>1053</v>
      </c>
    </row>
    <row r="2" spans="1:15" ht="17.100000000000001" customHeight="1" x14ac:dyDescent="0.2">
      <c r="A2" s="117" t="s">
        <v>819</v>
      </c>
      <c r="B2" s="118"/>
      <c r="C2" s="118"/>
      <c r="D2" s="118"/>
      <c r="E2" s="118"/>
      <c r="F2" s="118"/>
      <c r="G2" s="118"/>
      <c r="H2" s="119"/>
      <c r="J2" s="120" t="s">
        <v>1054</v>
      </c>
      <c r="K2" s="120"/>
      <c r="L2" s="120"/>
      <c r="M2" s="120"/>
      <c r="N2" s="120"/>
    </row>
    <row r="3" spans="1:15" ht="21" customHeight="1" x14ac:dyDescent="0.2">
      <c r="A3" s="116" t="s">
        <v>1049</v>
      </c>
      <c r="B3" s="116"/>
      <c r="C3" s="116"/>
      <c r="D3" s="116"/>
      <c r="E3" s="116"/>
      <c r="F3" s="116"/>
      <c r="G3" s="116"/>
      <c r="H3" s="116"/>
    </row>
    <row r="4" spans="1:15" ht="30" x14ac:dyDescent="0.2">
      <c r="A4" s="96" t="s">
        <v>2</v>
      </c>
      <c r="B4" s="96" t="s">
        <v>3</v>
      </c>
      <c r="C4" s="96" t="s">
        <v>4</v>
      </c>
      <c r="D4" s="96" t="s">
        <v>5</v>
      </c>
      <c r="E4" s="96" t="s">
        <v>6</v>
      </c>
      <c r="F4" s="96" t="s">
        <v>7</v>
      </c>
      <c r="G4" s="96" t="s">
        <v>8</v>
      </c>
      <c r="H4" s="51" t="s">
        <v>1002</v>
      </c>
      <c r="I4" s="99"/>
      <c r="J4" s="99"/>
      <c r="K4" s="99"/>
      <c r="L4" s="99"/>
      <c r="M4" s="99"/>
      <c r="N4" s="99"/>
      <c r="O4" s="99"/>
    </row>
    <row r="5" spans="1:15" ht="14.1" customHeight="1" x14ac:dyDescent="0.2">
      <c r="A5" s="1"/>
      <c r="B5" s="1"/>
      <c r="C5" s="2" t="s">
        <v>9</v>
      </c>
      <c r="D5" s="1"/>
      <c r="E5" s="1"/>
      <c r="F5" s="1"/>
      <c r="G5" s="1"/>
      <c r="H5" s="52"/>
    </row>
    <row r="6" spans="1:15" ht="24" customHeight="1" x14ac:dyDescent="0.2">
      <c r="A6" s="1"/>
      <c r="B6" s="1"/>
      <c r="C6" s="2" t="s">
        <v>10</v>
      </c>
      <c r="D6" s="1"/>
      <c r="E6" s="1"/>
      <c r="F6" s="1"/>
      <c r="G6" s="1"/>
      <c r="H6" s="52"/>
    </row>
    <row r="7" spans="1:15" ht="17.100000000000001" customHeight="1" x14ac:dyDescent="0.2">
      <c r="A7" s="3">
        <v>1</v>
      </c>
      <c r="B7" s="4" t="s">
        <v>319</v>
      </c>
      <c r="C7" s="4" t="s">
        <v>320</v>
      </c>
      <c r="D7" s="4" t="s">
        <v>28</v>
      </c>
      <c r="E7" s="5">
        <v>606077</v>
      </c>
      <c r="F7" s="6">
        <v>8948.7269049999995</v>
      </c>
      <c r="G7" s="7">
        <v>8.4302160000000001E-2</v>
      </c>
      <c r="H7" s="52"/>
    </row>
    <row r="8" spans="1:15" ht="17.100000000000001" customHeight="1" x14ac:dyDescent="0.2">
      <c r="A8" s="3">
        <v>2</v>
      </c>
      <c r="B8" s="4" t="s">
        <v>14</v>
      </c>
      <c r="C8" s="4" t="s">
        <v>15</v>
      </c>
      <c r="D8" s="4" t="s">
        <v>16</v>
      </c>
      <c r="E8" s="5">
        <v>274000</v>
      </c>
      <c r="F8" s="6">
        <v>6268.8459999999995</v>
      </c>
      <c r="G8" s="7">
        <v>5.905614E-2</v>
      </c>
      <c r="H8" s="52"/>
    </row>
    <row r="9" spans="1:15" ht="17.100000000000001" customHeight="1" x14ac:dyDescent="0.2">
      <c r="A9" s="3">
        <v>3</v>
      </c>
      <c r="B9" s="4" t="s">
        <v>26</v>
      </c>
      <c r="C9" s="4" t="s">
        <v>27</v>
      </c>
      <c r="D9" s="4" t="s">
        <v>28</v>
      </c>
      <c r="E9" s="5">
        <v>661000</v>
      </c>
      <c r="F9" s="6">
        <v>6050.4634999999998</v>
      </c>
      <c r="G9" s="7">
        <v>5.6998849999999997E-2</v>
      </c>
      <c r="H9" s="52"/>
    </row>
    <row r="10" spans="1:15" ht="17.100000000000001" customHeight="1" x14ac:dyDescent="0.2">
      <c r="A10" s="3">
        <v>4</v>
      </c>
      <c r="B10" s="4" t="s">
        <v>321</v>
      </c>
      <c r="C10" s="4" t="s">
        <v>322</v>
      </c>
      <c r="D10" s="4" t="s">
        <v>888</v>
      </c>
      <c r="E10" s="5">
        <v>333000</v>
      </c>
      <c r="F10" s="6">
        <v>4556.7719999999999</v>
      </c>
      <c r="G10" s="7">
        <v>4.2927409999999999E-2</v>
      </c>
      <c r="H10" s="52"/>
    </row>
    <row r="11" spans="1:15" ht="17.100000000000001" customHeight="1" x14ac:dyDescent="0.2">
      <c r="A11" s="3">
        <v>5</v>
      </c>
      <c r="B11" s="4" t="s">
        <v>39</v>
      </c>
      <c r="C11" s="4" t="s">
        <v>40</v>
      </c>
      <c r="D11" s="4" t="s">
        <v>28</v>
      </c>
      <c r="E11" s="5">
        <v>596000</v>
      </c>
      <c r="F11" s="6">
        <v>3370.6779999999999</v>
      </c>
      <c r="G11" s="7">
        <v>3.1753730000000001E-2</v>
      </c>
      <c r="H11" s="52"/>
    </row>
    <row r="12" spans="1:15" ht="17.100000000000001" customHeight="1" x14ac:dyDescent="0.2">
      <c r="A12" s="3">
        <v>6</v>
      </c>
      <c r="B12" s="4" t="s">
        <v>323</v>
      </c>
      <c r="C12" s="4" t="s">
        <v>324</v>
      </c>
      <c r="D12" s="4" t="s">
        <v>28</v>
      </c>
      <c r="E12" s="5">
        <v>311000</v>
      </c>
      <c r="F12" s="6">
        <v>3053.5535</v>
      </c>
      <c r="G12" s="7">
        <v>2.876623E-2</v>
      </c>
      <c r="H12" s="52"/>
      <c r="J12" s="101" t="s">
        <v>1081</v>
      </c>
    </row>
    <row r="13" spans="1:15" ht="29.1" customHeight="1" x14ac:dyDescent="0.2">
      <c r="A13" s="3">
        <v>7</v>
      </c>
      <c r="B13" s="4" t="s">
        <v>327</v>
      </c>
      <c r="C13" s="4" t="s">
        <v>328</v>
      </c>
      <c r="D13" s="4" t="s">
        <v>226</v>
      </c>
      <c r="E13" s="5">
        <v>233000</v>
      </c>
      <c r="F13" s="6">
        <v>2536.4380000000001</v>
      </c>
      <c r="G13" s="7">
        <v>2.389471E-2</v>
      </c>
      <c r="H13" s="52"/>
    </row>
    <row r="14" spans="1:15" ht="17.100000000000001" customHeight="1" x14ac:dyDescent="0.2">
      <c r="A14" s="3">
        <v>8</v>
      </c>
      <c r="B14" s="4" t="s">
        <v>349</v>
      </c>
      <c r="C14" s="4" t="s">
        <v>350</v>
      </c>
      <c r="D14" s="4" t="s">
        <v>70</v>
      </c>
      <c r="E14" s="5">
        <v>32000</v>
      </c>
      <c r="F14" s="6">
        <v>2397.6480000000001</v>
      </c>
      <c r="G14" s="7">
        <v>2.2587220000000002E-2</v>
      </c>
      <c r="H14" s="52"/>
    </row>
    <row r="15" spans="1:15" ht="17.100000000000001" customHeight="1" x14ac:dyDescent="0.2">
      <c r="A15" s="3">
        <v>9</v>
      </c>
      <c r="B15" s="4" t="s">
        <v>53</v>
      </c>
      <c r="C15" s="4" t="s">
        <v>54</v>
      </c>
      <c r="D15" s="4" t="s">
        <v>31</v>
      </c>
      <c r="E15" s="5">
        <v>46000</v>
      </c>
      <c r="F15" s="6">
        <v>2264.1660000000002</v>
      </c>
      <c r="G15" s="7">
        <v>2.1329750000000001E-2</v>
      </c>
      <c r="H15" s="52"/>
    </row>
    <row r="16" spans="1:15" ht="17.100000000000001" customHeight="1" x14ac:dyDescent="0.2">
      <c r="A16" s="3">
        <v>10</v>
      </c>
      <c r="B16" s="4" t="s">
        <v>325</v>
      </c>
      <c r="C16" s="4" t="s">
        <v>326</v>
      </c>
      <c r="D16" s="4" t="s">
        <v>888</v>
      </c>
      <c r="E16" s="5">
        <v>62000</v>
      </c>
      <c r="F16" s="6">
        <v>2088.625</v>
      </c>
      <c r="G16" s="7">
        <v>1.967605E-2</v>
      </c>
      <c r="H16" s="52"/>
    </row>
    <row r="17" spans="1:10" ht="17.100000000000001" customHeight="1" x14ac:dyDescent="0.2">
      <c r="A17" s="3">
        <v>11</v>
      </c>
      <c r="B17" s="4" t="s">
        <v>540</v>
      </c>
      <c r="C17" s="4" t="s">
        <v>541</v>
      </c>
      <c r="D17" s="4" t="s">
        <v>102</v>
      </c>
      <c r="E17" s="5">
        <v>59013</v>
      </c>
      <c r="F17" s="6">
        <v>2025.4146794999999</v>
      </c>
      <c r="G17" s="7">
        <v>1.9080570000000002E-2</v>
      </c>
      <c r="H17" s="52"/>
    </row>
    <row r="18" spans="1:10" ht="17.100000000000001" customHeight="1" x14ac:dyDescent="0.2">
      <c r="A18" s="3">
        <v>12</v>
      </c>
      <c r="B18" s="4" t="s">
        <v>11</v>
      </c>
      <c r="C18" s="4" t="s">
        <v>12</v>
      </c>
      <c r="D18" s="4" t="s">
        <v>13</v>
      </c>
      <c r="E18" s="5">
        <v>69021</v>
      </c>
      <c r="F18" s="6">
        <v>2021.6596004999999</v>
      </c>
      <c r="G18" s="7">
        <v>1.9045200000000002E-2</v>
      </c>
      <c r="H18" s="52"/>
    </row>
    <row r="19" spans="1:10" ht="17.100000000000001" customHeight="1" x14ac:dyDescent="0.2">
      <c r="A19" s="3">
        <v>13</v>
      </c>
      <c r="B19" s="4" t="s">
        <v>281</v>
      </c>
      <c r="C19" s="4" t="s">
        <v>282</v>
      </c>
      <c r="D19" s="4" t="s">
        <v>283</v>
      </c>
      <c r="E19" s="5">
        <v>115000</v>
      </c>
      <c r="F19" s="6">
        <v>1857.4224999999999</v>
      </c>
      <c r="G19" s="7">
        <v>1.7497990000000001E-2</v>
      </c>
      <c r="H19" s="52"/>
    </row>
    <row r="20" spans="1:10" ht="29.1" customHeight="1" x14ac:dyDescent="0.2">
      <c r="A20" s="3">
        <v>14</v>
      </c>
      <c r="B20" s="4" t="s">
        <v>23</v>
      </c>
      <c r="C20" s="4" t="s">
        <v>24</v>
      </c>
      <c r="D20" s="4" t="s">
        <v>25</v>
      </c>
      <c r="E20" s="5">
        <v>22000</v>
      </c>
      <c r="F20" s="6">
        <v>1852.895</v>
      </c>
      <c r="G20" s="7">
        <v>1.745534E-2</v>
      </c>
      <c r="H20" s="52"/>
    </row>
    <row r="21" spans="1:10" ht="17.100000000000001" customHeight="1" x14ac:dyDescent="0.2">
      <c r="A21" s="3">
        <v>15</v>
      </c>
      <c r="B21" s="4" t="s">
        <v>351</v>
      </c>
      <c r="C21" s="4" t="s">
        <v>352</v>
      </c>
      <c r="D21" s="4" t="s">
        <v>344</v>
      </c>
      <c r="E21" s="5">
        <v>73000</v>
      </c>
      <c r="F21" s="6">
        <v>1813.32</v>
      </c>
      <c r="G21" s="7">
        <v>1.708252E-2</v>
      </c>
      <c r="H21" s="52"/>
    </row>
    <row r="22" spans="1:10" ht="17.100000000000001" customHeight="1" x14ac:dyDescent="0.2">
      <c r="A22" s="3">
        <v>16</v>
      </c>
      <c r="B22" s="4" t="s">
        <v>358</v>
      </c>
      <c r="C22" s="4" t="s">
        <v>359</v>
      </c>
      <c r="D22" s="4" t="s">
        <v>102</v>
      </c>
      <c r="E22" s="5">
        <v>288000</v>
      </c>
      <c r="F22" s="6">
        <v>1810.5119999999999</v>
      </c>
      <c r="G22" s="7">
        <v>1.705607E-2</v>
      </c>
      <c r="H22" s="52"/>
      <c r="J22" s="101" t="s">
        <v>1082</v>
      </c>
    </row>
    <row r="23" spans="1:10" ht="17.100000000000001" customHeight="1" x14ac:dyDescent="0.2">
      <c r="A23" s="3">
        <v>17</v>
      </c>
      <c r="B23" s="4" t="s">
        <v>503</v>
      </c>
      <c r="C23" s="4" t="s">
        <v>504</v>
      </c>
      <c r="D23" s="4" t="s">
        <v>357</v>
      </c>
      <c r="E23" s="5">
        <v>33000</v>
      </c>
      <c r="F23" s="6">
        <v>1801.2225000000001</v>
      </c>
      <c r="G23" s="7">
        <v>1.6968549999999999E-2</v>
      </c>
      <c r="H23" s="52"/>
    </row>
    <row r="24" spans="1:10" ht="17.100000000000001" customHeight="1" x14ac:dyDescent="0.2">
      <c r="A24" s="3">
        <v>18</v>
      </c>
      <c r="B24" s="4" t="s">
        <v>376</v>
      </c>
      <c r="C24" s="4" t="s">
        <v>377</v>
      </c>
      <c r="D24" s="4" t="s">
        <v>28</v>
      </c>
      <c r="E24" s="5">
        <v>906000</v>
      </c>
      <c r="F24" s="6">
        <v>1777.5719999999999</v>
      </c>
      <c r="G24" s="7">
        <v>1.674575E-2</v>
      </c>
      <c r="H24" s="52"/>
    </row>
    <row r="25" spans="1:10" ht="17.100000000000001" customHeight="1" x14ac:dyDescent="0.2">
      <c r="A25" s="3">
        <v>19</v>
      </c>
      <c r="B25" s="4" t="s">
        <v>370</v>
      </c>
      <c r="C25" s="4" t="s">
        <v>371</v>
      </c>
      <c r="D25" s="4" t="s">
        <v>208</v>
      </c>
      <c r="E25" s="5">
        <v>47000</v>
      </c>
      <c r="F25" s="6">
        <v>1707.6980000000001</v>
      </c>
      <c r="G25" s="7">
        <v>1.6087500000000001E-2</v>
      </c>
      <c r="H25" s="52"/>
    </row>
    <row r="26" spans="1:10" ht="17.100000000000001" customHeight="1" x14ac:dyDescent="0.2">
      <c r="A26" s="3">
        <v>20</v>
      </c>
      <c r="B26" s="4" t="s">
        <v>100</v>
      </c>
      <c r="C26" s="4" t="s">
        <v>101</v>
      </c>
      <c r="D26" s="4" t="s">
        <v>102</v>
      </c>
      <c r="E26" s="5">
        <v>16000</v>
      </c>
      <c r="F26" s="6">
        <v>1662.768</v>
      </c>
      <c r="G26" s="7">
        <v>1.5664230000000001E-2</v>
      </c>
      <c r="H26" s="52"/>
    </row>
    <row r="27" spans="1:10" ht="29.1" customHeight="1" x14ac:dyDescent="0.2">
      <c r="A27" s="3">
        <v>21</v>
      </c>
      <c r="B27" s="4" t="s">
        <v>201</v>
      </c>
      <c r="C27" s="4" t="s">
        <v>202</v>
      </c>
      <c r="D27" s="4" t="s">
        <v>70</v>
      </c>
      <c r="E27" s="5">
        <v>142000</v>
      </c>
      <c r="F27" s="6">
        <v>1614.9659999999999</v>
      </c>
      <c r="G27" s="7">
        <v>1.5213910000000001E-2</v>
      </c>
      <c r="H27" s="52"/>
    </row>
    <row r="28" spans="1:10" ht="53.1" customHeight="1" x14ac:dyDescent="0.2">
      <c r="A28" s="3">
        <v>22</v>
      </c>
      <c r="B28" s="4" t="s">
        <v>71</v>
      </c>
      <c r="C28" s="4" t="s">
        <v>72</v>
      </c>
      <c r="D28" s="4" t="s">
        <v>73</v>
      </c>
      <c r="E28" s="5">
        <v>951000</v>
      </c>
      <c r="F28" s="6">
        <v>1594.827</v>
      </c>
      <c r="G28" s="7">
        <v>1.502419E-2</v>
      </c>
      <c r="H28" s="52"/>
    </row>
    <row r="29" spans="1:10" ht="17.100000000000001" customHeight="1" x14ac:dyDescent="0.2">
      <c r="A29" s="3">
        <v>23</v>
      </c>
      <c r="B29" s="4" t="s">
        <v>229</v>
      </c>
      <c r="C29" s="4" t="s">
        <v>230</v>
      </c>
      <c r="D29" s="4" t="s">
        <v>231</v>
      </c>
      <c r="E29" s="5">
        <v>317000</v>
      </c>
      <c r="F29" s="6">
        <v>1588.0115000000001</v>
      </c>
      <c r="G29" s="7">
        <v>1.4959979999999999E-2</v>
      </c>
      <c r="H29" s="52"/>
    </row>
    <row r="30" spans="1:10" ht="17.100000000000001" customHeight="1" x14ac:dyDescent="0.2">
      <c r="A30" s="3">
        <v>24</v>
      </c>
      <c r="B30" s="4" t="s">
        <v>355</v>
      </c>
      <c r="C30" s="4" t="s">
        <v>356</v>
      </c>
      <c r="D30" s="4" t="s">
        <v>357</v>
      </c>
      <c r="E30" s="5">
        <v>67188</v>
      </c>
      <c r="F30" s="6">
        <v>1566.085092</v>
      </c>
      <c r="G30" s="7">
        <v>1.475342E-2</v>
      </c>
      <c r="H30" s="52"/>
    </row>
    <row r="31" spans="1:10" ht="17.100000000000001" customHeight="1" x14ac:dyDescent="0.2">
      <c r="A31" s="3">
        <v>25</v>
      </c>
      <c r="B31" s="4" t="s">
        <v>83</v>
      </c>
      <c r="C31" s="4" t="s">
        <v>84</v>
      </c>
      <c r="D31" s="4" t="s">
        <v>52</v>
      </c>
      <c r="E31" s="5">
        <v>63000</v>
      </c>
      <c r="F31" s="6">
        <v>1545.9255000000001</v>
      </c>
      <c r="G31" s="7">
        <v>1.456351E-2</v>
      </c>
      <c r="H31" s="52"/>
    </row>
    <row r="32" spans="1:10" ht="17.100000000000001" customHeight="1" x14ac:dyDescent="0.2">
      <c r="A32" s="3">
        <v>26</v>
      </c>
      <c r="B32" s="4" t="s">
        <v>477</v>
      </c>
      <c r="C32" s="39" t="s">
        <v>982</v>
      </c>
      <c r="D32" s="4" t="s">
        <v>19</v>
      </c>
      <c r="E32" s="5">
        <v>283000</v>
      </c>
      <c r="F32" s="6">
        <v>1520.559</v>
      </c>
      <c r="G32" s="7">
        <v>1.432454E-2</v>
      </c>
      <c r="H32" s="52"/>
    </row>
    <row r="33" spans="1:8" ht="17.100000000000001" customHeight="1" x14ac:dyDescent="0.2">
      <c r="A33" s="3">
        <v>27</v>
      </c>
      <c r="B33" s="4" t="s">
        <v>571</v>
      </c>
      <c r="C33" s="4" t="s">
        <v>572</v>
      </c>
      <c r="D33" s="4" t="s">
        <v>888</v>
      </c>
      <c r="E33" s="5">
        <v>130000</v>
      </c>
      <c r="F33" s="6">
        <v>1473.095</v>
      </c>
      <c r="G33" s="7">
        <v>1.38774E-2</v>
      </c>
      <c r="H33" s="52"/>
    </row>
    <row r="34" spans="1:8" ht="17.100000000000001" customHeight="1" x14ac:dyDescent="0.2">
      <c r="A34" s="3">
        <v>28</v>
      </c>
      <c r="B34" s="4" t="s">
        <v>360</v>
      </c>
      <c r="C34" s="4" t="s">
        <v>361</v>
      </c>
      <c r="D34" s="4" t="s">
        <v>60</v>
      </c>
      <c r="E34" s="5">
        <v>40000</v>
      </c>
      <c r="F34" s="6">
        <v>1275.8599999999999</v>
      </c>
      <c r="G34" s="7">
        <v>1.201934E-2</v>
      </c>
      <c r="H34" s="52"/>
    </row>
    <row r="35" spans="1:8" ht="29.1" customHeight="1" x14ac:dyDescent="0.2">
      <c r="A35" s="3">
        <v>29</v>
      </c>
      <c r="B35" s="4" t="s">
        <v>333</v>
      </c>
      <c r="C35" s="4" t="s">
        <v>334</v>
      </c>
      <c r="D35" s="4" t="s">
        <v>226</v>
      </c>
      <c r="E35" s="5">
        <v>23000</v>
      </c>
      <c r="F35" s="6">
        <v>1234.5364999999999</v>
      </c>
      <c r="G35" s="7">
        <v>1.1630039999999999E-2</v>
      </c>
      <c r="H35" s="52"/>
    </row>
    <row r="36" spans="1:8" ht="29.1" customHeight="1" x14ac:dyDescent="0.2">
      <c r="A36" s="3">
        <v>30</v>
      </c>
      <c r="B36" s="4" t="s">
        <v>390</v>
      </c>
      <c r="C36" s="4" t="s">
        <v>391</v>
      </c>
      <c r="D36" s="4" t="s">
        <v>226</v>
      </c>
      <c r="E36" s="5">
        <v>102000</v>
      </c>
      <c r="F36" s="6">
        <v>1224</v>
      </c>
      <c r="G36" s="7">
        <v>1.1530779999999999E-2</v>
      </c>
      <c r="H36" s="52"/>
    </row>
    <row r="37" spans="1:8" ht="17.100000000000001" customHeight="1" x14ac:dyDescent="0.2">
      <c r="A37" s="3">
        <v>31</v>
      </c>
      <c r="B37" s="4" t="s">
        <v>219</v>
      </c>
      <c r="C37" s="4" t="s">
        <v>220</v>
      </c>
      <c r="D37" s="4" t="s">
        <v>221</v>
      </c>
      <c r="E37" s="5">
        <v>130000</v>
      </c>
      <c r="F37" s="6">
        <v>1188.33</v>
      </c>
      <c r="G37" s="7">
        <v>1.119475E-2</v>
      </c>
      <c r="H37" s="52"/>
    </row>
    <row r="38" spans="1:8" ht="17.100000000000001" customHeight="1" x14ac:dyDescent="0.2">
      <c r="A38" s="3">
        <v>32</v>
      </c>
      <c r="B38" s="4" t="s">
        <v>236</v>
      </c>
      <c r="C38" s="4" t="s">
        <v>237</v>
      </c>
      <c r="D38" s="4" t="s">
        <v>888</v>
      </c>
      <c r="E38" s="5">
        <v>22302</v>
      </c>
      <c r="F38" s="6">
        <v>1111.5874349999999</v>
      </c>
      <c r="G38" s="7">
        <v>1.047179E-2</v>
      </c>
      <c r="H38" s="52"/>
    </row>
    <row r="39" spans="1:8" ht="17.100000000000001" customHeight="1" x14ac:dyDescent="0.2">
      <c r="A39" s="3">
        <v>33</v>
      </c>
      <c r="B39" s="4" t="s">
        <v>710</v>
      </c>
      <c r="C39" s="4" t="s">
        <v>711</v>
      </c>
      <c r="D39" s="4" t="s">
        <v>60</v>
      </c>
      <c r="E39" s="5">
        <v>122749</v>
      </c>
      <c r="F39" s="6">
        <v>1085.8990285</v>
      </c>
      <c r="G39" s="7">
        <v>1.0229790000000001E-2</v>
      </c>
      <c r="H39" s="52"/>
    </row>
    <row r="40" spans="1:8" ht="17.100000000000001" customHeight="1" x14ac:dyDescent="0.2">
      <c r="A40" s="3">
        <v>34</v>
      </c>
      <c r="B40" s="4" t="s">
        <v>191</v>
      </c>
      <c r="C40" s="4" t="s">
        <v>192</v>
      </c>
      <c r="D40" s="4" t="s">
        <v>28</v>
      </c>
      <c r="E40" s="5">
        <v>761794</v>
      </c>
      <c r="F40" s="6">
        <v>1071.4632610000001</v>
      </c>
      <c r="G40" s="7">
        <v>1.00938E-2</v>
      </c>
      <c r="H40" s="52"/>
    </row>
    <row r="41" spans="1:8" ht="17.100000000000001" customHeight="1" x14ac:dyDescent="0.2">
      <c r="A41" s="3">
        <v>35</v>
      </c>
      <c r="B41" s="4" t="s">
        <v>820</v>
      </c>
      <c r="C41" s="4" t="s">
        <v>821</v>
      </c>
      <c r="D41" s="4" t="s">
        <v>60</v>
      </c>
      <c r="E41" s="5">
        <v>65000</v>
      </c>
      <c r="F41" s="6">
        <v>1017.9325</v>
      </c>
      <c r="G41" s="7">
        <v>9.5895100000000007E-3</v>
      </c>
      <c r="H41" s="52"/>
    </row>
    <row r="42" spans="1:8" ht="17.100000000000001" customHeight="1" x14ac:dyDescent="0.2">
      <c r="A42" s="3">
        <v>36</v>
      </c>
      <c r="B42" s="4" t="s">
        <v>353</v>
      </c>
      <c r="C42" s="4" t="s">
        <v>354</v>
      </c>
      <c r="D42" s="4" t="s">
        <v>888</v>
      </c>
      <c r="E42" s="5">
        <v>20000</v>
      </c>
      <c r="F42" s="6">
        <v>1012.08</v>
      </c>
      <c r="G42" s="7">
        <v>9.5343800000000003E-3</v>
      </c>
      <c r="H42" s="52"/>
    </row>
    <row r="43" spans="1:8" ht="17.100000000000001" customHeight="1" x14ac:dyDescent="0.2">
      <c r="A43" s="3">
        <v>37</v>
      </c>
      <c r="B43" s="4" t="s">
        <v>411</v>
      </c>
      <c r="C43" s="4" t="s">
        <v>412</v>
      </c>
      <c r="D43" s="4" t="s">
        <v>70</v>
      </c>
      <c r="E43" s="5">
        <v>125000</v>
      </c>
      <c r="F43" s="6">
        <v>954.3125</v>
      </c>
      <c r="G43" s="7">
        <v>8.9901700000000005E-3</v>
      </c>
      <c r="H43" s="52"/>
    </row>
    <row r="44" spans="1:8" ht="17.100000000000001" customHeight="1" x14ac:dyDescent="0.2">
      <c r="A44" s="3">
        <v>38</v>
      </c>
      <c r="B44" s="4" t="s">
        <v>41</v>
      </c>
      <c r="C44" s="4" t="s">
        <v>42</v>
      </c>
      <c r="D44" s="4" t="s">
        <v>43</v>
      </c>
      <c r="E44" s="5">
        <v>23000</v>
      </c>
      <c r="F44" s="6">
        <v>945.13900000000001</v>
      </c>
      <c r="G44" s="7">
        <v>8.9037500000000002E-3</v>
      </c>
      <c r="H44" s="52"/>
    </row>
    <row r="45" spans="1:8" ht="17.100000000000001" customHeight="1" x14ac:dyDescent="0.2">
      <c r="A45" s="3">
        <v>39</v>
      </c>
      <c r="B45" s="4" t="s">
        <v>253</v>
      </c>
      <c r="C45" s="4" t="s">
        <v>254</v>
      </c>
      <c r="D45" s="4" t="s">
        <v>208</v>
      </c>
      <c r="E45" s="5">
        <v>22000</v>
      </c>
      <c r="F45" s="6">
        <v>898.53499999999997</v>
      </c>
      <c r="G45" s="7">
        <v>8.4647200000000002E-3</v>
      </c>
      <c r="H45" s="52"/>
    </row>
    <row r="46" spans="1:8" ht="17.100000000000001" customHeight="1" x14ac:dyDescent="0.2">
      <c r="A46" s="3">
        <v>40</v>
      </c>
      <c r="B46" s="4" t="s">
        <v>470</v>
      </c>
      <c r="C46" s="4" t="s">
        <v>471</v>
      </c>
      <c r="D46" s="4" t="s">
        <v>28</v>
      </c>
      <c r="E46" s="5">
        <v>50000</v>
      </c>
      <c r="F46" s="6">
        <v>869.7</v>
      </c>
      <c r="G46" s="7">
        <v>8.1930700000000002E-3</v>
      </c>
      <c r="H46" s="52"/>
    </row>
    <row r="47" spans="1:8" ht="17.100000000000001" customHeight="1" x14ac:dyDescent="0.2">
      <c r="A47" s="3">
        <v>41</v>
      </c>
      <c r="B47" s="4" t="s">
        <v>822</v>
      </c>
      <c r="C47" s="4" t="s">
        <v>823</v>
      </c>
      <c r="D47" s="4" t="s">
        <v>105</v>
      </c>
      <c r="E47" s="5">
        <v>233622</v>
      </c>
      <c r="F47" s="6">
        <v>866.97124199999996</v>
      </c>
      <c r="G47" s="7">
        <v>8.1673700000000002E-3</v>
      </c>
      <c r="H47" s="52"/>
    </row>
    <row r="48" spans="1:8" ht="17.100000000000001" customHeight="1" x14ac:dyDescent="0.2">
      <c r="A48" s="3">
        <v>42</v>
      </c>
      <c r="B48" s="4" t="s">
        <v>329</v>
      </c>
      <c r="C48" s="4" t="s">
        <v>330</v>
      </c>
      <c r="D48" s="4" t="s">
        <v>28</v>
      </c>
      <c r="E48" s="5">
        <v>60000</v>
      </c>
      <c r="F48" s="6">
        <v>864.78</v>
      </c>
      <c r="G48" s="7">
        <v>8.1467299999999996E-3</v>
      </c>
      <c r="H48" s="52"/>
    </row>
    <row r="49" spans="1:8" ht="29.1" customHeight="1" x14ac:dyDescent="0.2">
      <c r="A49" s="3">
        <v>43</v>
      </c>
      <c r="B49" s="4" t="s">
        <v>472</v>
      </c>
      <c r="C49" s="4" t="s">
        <v>473</v>
      </c>
      <c r="D49" s="4" t="s">
        <v>474</v>
      </c>
      <c r="E49" s="5">
        <v>92000</v>
      </c>
      <c r="F49" s="6">
        <v>828.46</v>
      </c>
      <c r="G49" s="7">
        <v>7.8045700000000003E-3</v>
      </c>
      <c r="H49" s="52"/>
    </row>
    <row r="50" spans="1:8" ht="17.100000000000001" customHeight="1" x14ac:dyDescent="0.2">
      <c r="A50" s="3">
        <v>44</v>
      </c>
      <c r="B50" s="4" t="s">
        <v>366</v>
      </c>
      <c r="C50" s="4" t="s">
        <v>367</v>
      </c>
      <c r="D50" s="4" t="s">
        <v>114</v>
      </c>
      <c r="E50" s="5">
        <v>690000</v>
      </c>
      <c r="F50" s="6">
        <v>819.375</v>
      </c>
      <c r="G50" s="7">
        <v>7.7189800000000003E-3</v>
      </c>
      <c r="H50" s="52"/>
    </row>
    <row r="51" spans="1:8" ht="29.1" customHeight="1" x14ac:dyDescent="0.2">
      <c r="A51" s="3">
        <v>45</v>
      </c>
      <c r="B51" s="4" t="s">
        <v>824</v>
      </c>
      <c r="C51" s="4" t="s">
        <v>825</v>
      </c>
      <c r="D51" s="4" t="s">
        <v>226</v>
      </c>
      <c r="E51" s="5">
        <v>79880</v>
      </c>
      <c r="F51" s="6">
        <v>785.81949999999995</v>
      </c>
      <c r="G51" s="7">
        <v>7.4028699999999998E-3</v>
      </c>
      <c r="H51" s="52"/>
    </row>
    <row r="52" spans="1:8" ht="53.1" customHeight="1" x14ac:dyDescent="0.2">
      <c r="A52" s="3">
        <v>46</v>
      </c>
      <c r="B52" s="4" t="s">
        <v>133</v>
      </c>
      <c r="C52" s="4" t="s">
        <v>134</v>
      </c>
      <c r="D52" s="4" t="s">
        <v>73</v>
      </c>
      <c r="E52" s="5">
        <v>38000</v>
      </c>
      <c r="F52" s="6">
        <v>767.88499999999999</v>
      </c>
      <c r="G52" s="7">
        <v>7.2339199999999996E-3</v>
      </c>
      <c r="H52" s="52"/>
    </row>
    <row r="53" spans="1:8" ht="17.100000000000001" customHeight="1" x14ac:dyDescent="0.2">
      <c r="A53" s="3">
        <v>47</v>
      </c>
      <c r="B53" s="4" t="s">
        <v>335</v>
      </c>
      <c r="C53" s="4" t="s">
        <v>336</v>
      </c>
      <c r="D53" s="4" t="s">
        <v>28</v>
      </c>
      <c r="E53" s="5">
        <v>194000</v>
      </c>
      <c r="F53" s="6">
        <v>745.63900000000001</v>
      </c>
      <c r="G53" s="7">
        <v>7.0243500000000004E-3</v>
      </c>
      <c r="H53" s="52"/>
    </row>
    <row r="54" spans="1:8" ht="17.100000000000001" customHeight="1" x14ac:dyDescent="0.2">
      <c r="A54" s="3">
        <v>48</v>
      </c>
      <c r="B54" s="4" t="s">
        <v>299</v>
      </c>
      <c r="C54" s="4" t="s">
        <v>300</v>
      </c>
      <c r="D54" s="4" t="s">
        <v>208</v>
      </c>
      <c r="E54" s="5">
        <v>524000</v>
      </c>
      <c r="F54" s="6">
        <v>730.19399999999996</v>
      </c>
      <c r="G54" s="7">
        <v>6.8788499999999997E-3</v>
      </c>
      <c r="H54" s="52"/>
    </row>
    <row r="55" spans="1:8" ht="17.100000000000001" customHeight="1" x14ac:dyDescent="0.2">
      <c r="A55" s="3">
        <v>49</v>
      </c>
      <c r="B55" s="4" t="s">
        <v>745</v>
      </c>
      <c r="C55" s="4" t="s">
        <v>746</v>
      </c>
      <c r="D55" s="4" t="s">
        <v>242</v>
      </c>
      <c r="E55" s="5">
        <v>3000</v>
      </c>
      <c r="F55" s="6">
        <v>727.04399999999998</v>
      </c>
      <c r="G55" s="7">
        <v>6.8491699999999999E-3</v>
      </c>
      <c r="H55" s="52"/>
    </row>
    <row r="56" spans="1:8" ht="17.100000000000001" customHeight="1" x14ac:dyDescent="0.2">
      <c r="A56" s="3">
        <v>50</v>
      </c>
      <c r="B56" s="4" t="s">
        <v>522</v>
      </c>
      <c r="C56" s="4" t="s">
        <v>523</v>
      </c>
      <c r="D56" s="4" t="s">
        <v>888</v>
      </c>
      <c r="E56" s="5">
        <v>33000</v>
      </c>
      <c r="F56" s="6">
        <v>687.35699999999997</v>
      </c>
      <c r="G56" s="7">
        <v>6.4752999999999998E-3</v>
      </c>
      <c r="H56" s="52"/>
    </row>
    <row r="57" spans="1:8" ht="17.100000000000001" customHeight="1" x14ac:dyDescent="0.2">
      <c r="A57" s="3">
        <v>51</v>
      </c>
      <c r="B57" s="4" t="s">
        <v>342</v>
      </c>
      <c r="C57" s="4" t="s">
        <v>343</v>
      </c>
      <c r="D57" s="4" t="s">
        <v>344</v>
      </c>
      <c r="E57" s="5">
        <v>159000</v>
      </c>
      <c r="F57" s="6">
        <v>681.15599999999995</v>
      </c>
      <c r="G57" s="7">
        <v>6.4168799999999998E-3</v>
      </c>
      <c r="H57" s="52"/>
    </row>
    <row r="58" spans="1:8" ht="17.100000000000001" customHeight="1" x14ac:dyDescent="0.2">
      <c r="A58" s="3">
        <v>52</v>
      </c>
      <c r="B58" s="4" t="s">
        <v>103</v>
      </c>
      <c r="C58" s="4" t="s">
        <v>104</v>
      </c>
      <c r="D58" s="4" t="s">
        <v>105</v>
      </c>
      <c r="E58" s="5">
        <v>24000</v>
      </c>
      <c r="F58" s="6">
        <v>676.17600000000004</v>
      </c>
      <c r="G58" s="7">
        <v>6.36997E-3</v>
      </c>
      <c r="H58" s="52"/>
    </row>
    <row r="59" spans="1:8" ht="29.1" customHeight="1" x14ac:dyDescent="0.2">
      <c r="A59" s="3">
        <v>53</v>
      </c>
      <c r="B59" s="4" t="s">
        <v>238</v>
      </c>
      <c r="C59" s="4" t="s">
        <v>239</v>
      </c>
      <c r="D59" s="4" t="s">
        <v>226</v>
      </c>
      <c r="E59" s="5">
        <v>18000</v>
      </c>
      <c r="F59" s="6">
        <v>669.93299999999999</v>
      </c>
      <c r="G59" s="7">
        <v>6.3111499999999997E-3</v>
      </c>
      <c r="H59" s="52"/>
    </row>
    <row r="60" spans="1:8" ht="29.1" customHeight="1" x14ac:dyDescent="0.2">
      <c r="A60" s="3">
        <v>54</v>
      </c>
      <c r="B60" s="4" t="s">
        <v>728</v>
      </c>
      <c r="C60" s="4" t="s">
        <v>729</v>
      </c>
      <c r="D60" s="4" t="s">
        <v>216</v>
      </c>
      <c r="E60" s="5">
        <v>50000</v>
      </c>
      <c r="F60" s="6">
        <v>652.1</v>
      </c>
      <c r="G60" s="7">
        <v>6.1431599999999999E-3</v>
      </c>
      <c r="H60" s="52"/>
    </row>
    <row r="61" spans="1:8" ht="17.100000000000001" customHeight="1" x14ac:dyDescent="0.2">
      <c r="A61" s="3">
        <v>55</v>
      </c>
      <c r="B61" s="4" t="s">
        <v>575</v>
      </c>
      <c r="C61" s="4" t="s">
        <v>576</v>
      </c>
      <c r="D61" s="4" t="s">
        <v>242</v>
      </c>
      <c r="E61" s="5">
        <v>14000</v>
      </c>
      <c r="F61" s="6">
        <v>619.71</v>
      </c>
      <c r="G61" s="7">
        <v>5.8380300000000001E-3</v>
      </c>
      <c r="H61" s="52"/>
    </row>
    <row r="62" spans="1:8" ht="17.100000000000001" customHeight="1" x14ac:dyDescent="0.2">
      <c r="A62" s="3">
        <v>56</v>
      </c>
      <c r="B62" s="4" t="s">
        <v>392</v>
      </c>
      <c r="C62" s="4" t="s">
        <v>393</v>
      </c>
      <c r="D62" s="4" t="s">
        <v>70</v>
      </c>
      <c r="E62" s="5">
        <v>274000</v>
      </c>
      <c r="F62" s="6">
        <v>600.05999999999995</v>
      </c>
      <c r="G62" s="7">
        <v>5.6529099999999997E-3</v>
      </c>
      <c r="H62" s="52"/>
    </row>
    <row r="63" spans="1:8" ht="29.1" customHeight="1" x14ac:dyDescent="0.2">
      <c r="A63" s="3">
        <v>57</v>
      </c>
      <c r="B63" s="4" t="s">
        <v>378</v>
      </c>
      <c r="C63" s="4" t="s">
        <v>379</v>
      </c>
      <c r="D63" s="4" t="s">
        <v>226</v>
      </c>
      <c r="E63" s="5">
        <v>70000</v>
      </c>
      <c r="F63" s="6">
        <v>594.65</v>
      </c>
      <c r="G63" s="7">
        <v>5.6019499999999996E-3</v>
      </c>
      <c r="H63" s="52"/>
    </row>
    <row r="64" spans="1:8" ht="17.100000000000001" customHeight="1" x14ac:dyDescent="0.2">
      <c r="A64" s="3">
        <v>58</v>
      </c>
      <c r="B64" s="4" t="s">
        <v>553</v>
      </c>
      <c r="C64" s="4" t="s">
        <v>554</v>
      </c>
      <c r="D64" s="4" t="s">
        <v>283</v>
      </c>
      <c r="E64" s="5">
        <v>52000</v>
      </c>
      <c r="F64" s="6">
        <v>536.74400000000003</v>
      </c>
      <c r="G64" s="7">
        <v>5.0564399999999997E-3</v>
      </c>
      <c r="H64" s="52"/>
    </row>
    <row r="65" spans="1:8" ht="17.100000000000001" customHeight="1" x14ac:dyDescent="0.2">
      <c r="A65" s="3">
        <v>59</v>
      </c>
      <c r="B65" s="4" t="s">
        <v>826</v>
      </c>
      <c r="C65" s="4" t="s">
        <v>827</v>
      </c>
      <c r="D65" s="4" t="s">
        <v>242</v>
      </c>
      <c r="E65" s="5">
        <v>35000</v>
      </c>
      <c r="F65" s="6">
        <v>535.9375</v>
      </c>
      <c r="G65" s="7">
        <v>5.0488399999999998E-3</v>
      </c>
      <c r="H65" s="52"/>
    </row>
    <row r="66" spans="1:8" ht="17.100000000000001" customHeight="1" x14ac:dyDescent="0.2">
      <c r="A66" s="3">
        <v>60</v>
      </c>
      <c r="B66" s="4" t="s">
        <v>91</v>
      </c>
      <c r="C66" s="4" t="s">
        <v>92</v>
      </c>
      <c r="D66" s="4" t="s">
        <v>93</v>
      </c>
      <c r="E66" s="5">
        <v>46000</v>
      </c>
      <c r="F66" s="6">
        <v>523.41099999999994</v>
      </c>
      <c r="G66" s="7">
        <v>4.9308299999999998E-3</v>
      </c>
      <c r="H66" s="52"/>
    </row>
    <row r="67" spans="1:8" ht="17.100000000000001" customHeight="1" x14ac:dyDescent="0.2">
      <c r="A67" s="3">
        <v>61</v>
      </c>
      <c r="B67" s="4" t="s">
        <v>257</v>
      </c>
      <c r="C67" s="4" t="s">
        <v>258</v>
      </c>
      <c r="D67" s="4" t="s">
        <v>259</v>
      </c>
      <c r="E67" s="5">
        <v>200000</v>
      </c>
      <c r="F67" s="6">
        <v>518.4</v>
      </c>
      <c r="G67" s="7">
        <v>4.8836299999999999E-3</v>
      </c>
      <c r="H67" s="52"/>
    </row>
    <row r="68" spans="1:8" ht="17.100000000000001" customHeight="1" x14ac:dyDescent="0.2">
      <c r="A68" s="3">
        <v>62</v>
      </c>
      <c r="B68" s="4" t="s">
        <v>567</v>
      </c>
      <c r="C68" s="4" t="s">
        <v>568</v>
      </c>
      <c r="D68" s="4" t="s">
        <v>60</v>
      </c>
      <c r="E68" s="5">
        <v>17000</v>
      </c>
      <c r="F68" s="6">
        <v>509.26900000000001</v>
      </c>
      <c r="G68" s="7">
        <v>4.7976099999999999E-3</v>
      </c>
      <c r="H68" s="52"/>
    </row>
    <row r="69" spans="1:8" ht="29.1" customHeight="1" x14ac:dyDescent="0.2">
      <c r="A69" s="3">
        <v>63</v>
      </c>
      <c r="B69" s="4" t="s">
        <v>63</v>
      </c>
      <c r="C69" s="4" t="s">
        <v>64</v>
      </c>
      <c r="D69" s="4" t="s">
        <v>25</v>
      </c>
      <c r="E69" s="5">
        <v>21069</v>
      </c>
      <c r="F69" s="6">
        <v>443.34443249999998</v>
      </c>
      <c r="G69" s="7">
        <v>4.1765600000000002E-3</v>
      </c>
      <c r="H69" s="52"/>
    </row>
    <row r="70" spans="1:8" ht="17.100000000000001" customHeight="1" x14ac:dyDescent="0.2">
      <c r="A70" s="3">
        <v>64</v>
      </c>
      <c r="B70" s="4" t="s">
        <v>337</v>
      </c>
      <c r="C70" s="4" t="s">
        <v>338</v>
      </c>
      <c r="D70" s="4" t="s">
        <v>208</v>
      </c>
      <c r="E70" s="5">
        <v>370890</v>
      </c>
      <c r="F70" s="6">
        <v>389.80538999999999</v>
      </c>
      <c r="G70" s="7">
        <v>3.6721900000000001E-3</v>
      </c>
      <c r="H70" s="52"/>
    </row>
    <row r="71" spans="1:8" ht="17.100000000000001" customHeight="1" x14ac:dyDescent="0.2">
      <c r="A71" s="3">
        <v>65</v>
      </c>
      <c r="B71" s="4" t="s">
        <v>417</v>
      </c>
      <c r="C71" s="4" t="s">
        <v>418</v>
      </c>
      <c r="D71" s="4" t="s">
        <v>231</v>
      </c>
      <c r="E71" s="5">
        <v>26000</v>
      </c>
      <c r="F71" s="6">
        <v>336.81700000000001</v>
      </c>
      <c r="G71" s="7">
        <v>3.17301E-3</v>
      </c>
      <c r="H71" s="52"/>
    </row>
    <row r="72" spans="1:8" ht="29.1" customHeight="1" x14ac:dyDescent="0.2">
      <c r="A72" s="3">
        <v>66</v>
      </c>
      <c r="B72" s="4" t="s">
        <v>214</v>
      </c>
      <c r="C72" s="4" t="s">
        <v>215</v>
      </c>
      <c r="D72" s="4" t="s">
        <v>216</v>
      </c>
      <c r="E72" s="5">
        <v>7000</v>
      </c>
      <c r="F72" s="6">
        <v>240.67750000000001</v>
      </c>
      <c r="G72" s="7">
        <v>2.2673200000000002E-3</v>
      </c>
      <c r="H72" s="52"/>
    </row>
    <row r="73" spans="1:8" ht="17.100000000000001" customHeight="1" x14ac:dyDescent="0.2">
      <c r="A73" s="3">
        <v>67</v>
      </c>
      <c r="B73" s="4" t="s">
        <v>734</v>
      </c>
      <c r="C73" s="4" t="s">
        <v>735</v>
      </c>
      <c r="D73" s="4" t="s">
        <v>70</v>
      </c>
      <c r="E73" s="5">
        <v>53206</v>
      </c>
      <c r="F73" s="6">
        <v>83.214184000000003</v>
      </c>
      <c r="G73" s="7">
        <v>7.8392999999999996E-4</v>
      </c>
      <c r="H73" s="52"/>
    </row>
    <row r="74" spans="1:8" ht="14.1" customHeight="1" x14ac:dyDescent="0.2">
      <c r="A74" s="1"/>
      <c r="B74" s="1"/>
      <c r="C74" s="2" t="s">
        <v>145</v>
      </c>
      <c r="D74" s="1"/>
      <c r="E74" s="1" t="s">
        <v>146</v>
      </c>
      <c r="F74" s="9">
        <v>101094.17524999997</v>
      </c>
      <c r="G74" s="10">
        <v>0.95236533000000023</v>
      </c>
      <c r="H74" s="52"/>
    </row>
    <row r="75" spans="1:8" ht="14.1" customHeight="1" x14ac:dyDescent="0.2">
      <c r="A75" s="1"/>
      <c r="B75" s="1"/>
      <c r="C75" s="11"/>
      <c r="D75" s="1"/>
      <c r="E75" s="1"/>
      <c r="F75" s="12"/>
      <c r="G75" s="12"/>
      <c r="H75" s="52"/>
    </row>
    <row r="76" spans="1:8" ht="14.1" customHeight="1" x14ac:dyDescent="0.2">
      <c r="A76" s="1"/>
      <c r="B76" s="1"/>
      <c r="C76" s="2" t="s">
        <v>147</v>
      </c>
      <c r="D76" s="1"/>
      <c r="E76" s="1"/>
      <c r="F76" s="1"/>
      <c r="G76" s="1"/>
      <c r="H76" s="52"/>
    </row>
    <row r="77" spans="1:8" ht="14.1" customHeight="1" x14ac:dyDescent="0.2">
      <c r="A77" s="1"/>
      <c r="B77" s="1"/>
      <c r="C77" s="2" t="s">
        <v>145</v>
      </c>
      <c r="D77" s="1"/>
      <c r="E77" s="1" t="s">
        <v>146</v>
      </c>
      <c r="F77" s="13" t="s">
        <v>148</v>
      </c>
      <c r="G77" s="10">
        <v>0</v>
      </c>
      <c r="H77" s="52"/>
    </row>
    <row r="78" spans="1:8" ht="14.1" customHeight="1" x14ac:dyDescent="0.2">
      <c r="A78" s="1"/>
      <c r="B78" s="1"/>
      <c r="C78" s="11"/>
      <c r="D78" s="1"/>
      <c r="E78" s="1"/>
      <c r="F78" s="12"/>
      <c r="G78" s="12"/>
      <c r="H78" s="52"/>
    </row>
    <row r="79" spans="1:8" ht="14.1" customHeight="1" x14ac:dyDescent="0.2">
      <c r="A79" s="1"/>
      <c r="B79" s="1"/>
      <c r="C79" s="2" t="s">
        <v>149</v>
      </c>
      <c r="D79" s="1"/>
      <c r="E79" s="1"/>
      <c r="F79" s="1"/>
      <c r="G79" s="1"/>
      <c r="H79" s="52"/>
    </row>
    <row r="80" spans="1:8" ht="17.100000000000001" customHeight="1" x14ac:dyDescent="0.2">
      <c r="A80" s="3">
        <v>1</v>
      </c>
      <c r="B80" s="4" t="s">
        <v>577</v>
      </c>
      <c r="C80" s="39" t="s">
        <v>957</v>
      </c>
      <c r="D80" s="4" t="s">
        <v>231</v>
      </c>
      <c r="E80" s="5">
        <v>374002</v>
      </c>
      <c r="F80" s="6">
        <v>16.792689800000002</v>
      </c>
      <c r="G80" s="7">
        <v>1.582E-4</v>
      </c>
      <c r="H80" s="52"/>
    </row>
    <row r="81" spans="1:8" ht="17.100000000000001" customHeight="1" x14ac:dyDescent="0.2">
      <c r="A81" s="3">
        <v>2</v>
      </c>
      <c r="B81" s="4" t="s">
        <v>763</v>
      </c>
      <c r="C81" s="39" t="s">
        <v>968</v>
      </c>
      <c r="D81" s="4"/>
      <c r="E81" s="5">
        <v>200000</v>
      </c>
      <c r="F81" s="6">
        <v>1.9999999999999999E-6</v>
      </c>
      <c r="G81" s="8" t="s">
        <v>144</v>
      </c>
      <c r="H81" s="52"/>
    </row>
    <row r="82" spans="1:8" ht="14.1" customHeight="1" x14ac:dyDescent="0.2">
      <c r="A82" s="1"/>
      <c r="B82" s="1"/>
      <c r="C82" s="2" t="s">
        <v>145</v>
      </c>
      <c r="D82" s="1"/>
      <c r="E82" s="1" t="s">
        <v>146</v>
      </c>
      <c r="F82" s="9">
        <v>16.7926918</v>
      </c>
      <c r="G82" s="10">
        <v>1.582E-4</v>
      </c>
      <c r="H82" s="52"/>
    </row>
    <row r="83" spans="1:8" ht="14.1" customHeight="1" x14ac:dyDescent="0.2">
      <c r="A83" s="1"/>
      <c r="B83" s="1"/>
      <c r="C83" s="11"/>
      <c r="D83" s="1"/>
      <c r="E83" s="1"/>
      <c r="F83" s="12"/>
      <c r="G83" s="12"/>
      <c r="H83" s="52"/>
    </row>
    <row r="84" spans="1:8" ht="14.1" customHeight="1" x14ac:dyDescent="0.2">
      <c r="A84" s="1"/>
      <c r="B84" s="1"/>
      <c r="C84" s="2" t="s">
        <v>150</v>
      </c>
      <c r="D84" s="1"/>
      <c r="E84" s="1"/>
      <c r="F84" s="1"/>
      <c r="G84" s="1"/>
      <c r="H84" s="52"/>
    </row>
    <row r="85" spans="1:8" ht="14.1" customHeight="1" x14ac:dyDescent="0.2">
      <c r="A85" s="1"/>
      <c r="B85" s="1"/>
      <c r="C85" s="2" t="s">
        <v>145</v>
      </c>
      <c r="D85" s="1"/>
      <c r="E85" s="1" t="s">
        <v>146</v>
      </c>
      <c r="F85" s="9">
        <v>0</v>
      </c>
      <c r="G85" s="10">
        <v>0</v>
      </c>
      <c r="H85" s="52"/>
    </row>
    <row r="86" spans="1:8" ht="14.1" customHeight="1" x14ac:dyDescent="0.2">
      <c r="A86" s="1"/>
      <c r="B86" s="1"/>
      <c r="C86" s="11"/>
      <c r="D86" s="1"/>
      <c r="E86" s="1"/>
      <c r="F86" s="12"/>
      <c r="G86" s="12"/>
      <c r="H86" s="52"/>
    </row>
    <row r="87" spans="1:8" ht="14.1" customHeight="1" x14ac:dyDescent="0.2">
      <c r="A87" s="1"/>
      <c r="B87" s="1"/>
      <c r="C87" s="2" t="s">
        <v>151</v>
      </c>
      <c r="D87" s="1"/>
      <c r="E87" s="1"/>
      <c r="F87" s="12"/>
      <c r="G87" s="12"/>
      <c r="H87" s="52"/>
    </row>
    <row r="88" spans="1:8" ht="14.1" customHeight="1" x14ac:dyDescent="0.2">
      <c r="A88" s="1"/>
      <c r="B88" s="1"/>
      <c r="C88" s="2" t="s">
        <v>145</v>
      </c>
      <c r="D88" s="1"/>
      <c r="E88" s="1" t="s">
        <v>146</v>
      </c>
      <c r="F88" s="13" t="s">
        <v>148</v>
      </c>
      <c r="G88" s="10">
        <v>0</v>
      </c>
      <c r="H88" s="52"/>
    </row>
    <row r="89" spans="1:8" ht="14.1" customHeight="1" x14ac:dyDescent="0.2">
      <c r="A89" s="1"/>
      <c r="B89" s="1"/>
      <c r="C89" s="11"/>
      <c r="D89" s="1"/>
      <c r="E89" s="1"/>
      <c r="F89" s="12"/>
      <c r="G89" s="12"/>
      <c r="H89" s="52"/>
    </row>
    <row r="90" spans="1:8" ht="14.1" customHeight="1" x14ac:dyDescent="0.2">
      <c r="A90" s="1"/>
      <c r="B90" s="1"/>
      <c r="C90" s="2" t="s">
        <v>152</v>
      </c>
      <c r="D90" s="1"/>
      <c r="E90" s="1"/>
      <c r="F90" s="12"/>
      <c r="G90" s="12"/>
      <c r="H90" s="52"/>
    </row>
    <row r="91" spans="1:8" ht="14.1" customHeight="1" x14ac:dyDescent="0.2">
      <c r="A91" s="1"/>
      <c r="B91" s="1"/>
      <c r="C91" s="2" t="s">
        <v>145</v>
      </c>
      <c r="D91" s="1"/>
      <c r="E91" s="1" t="s">
        <v>146</v>
      </c>
      <c r="F91" s="13" t="s">
        <v>148</v>
      </c>
      <c r="G91" s="10">
        <v>0</v>
      </c>
      <c r="H91" s="52"/>
    </row>
    <row r="92" spans="1:8" ht="14.1" customHeight="1" x14ac:dyDescent="0.2">
      <c r="A92" s="1"/>
      <c r="B92" s="1"/>
      <c r="C92" s="11"/>
      <c r="D92" s="1"/>
      <c r="E92" s="1"/>
      <c r="F92" s="12"/>
      <c r="G92" s="12"/>
      <c r="H92" s="52"/>
    </row>
    <row r="93" spans="1:8" ht="18" customHeight="1" x14ac:dyDescent="0.2">
      <c r="A93" s="1"/>
      <c r="B93" s="1"/>
      <c r="C93" s="2" t="s">
        <v>153</v>
      </c>
      <c r="D93" s="1"/>
      <c r="E93" s="1"/>
      <c r="F93" s="9">
        <v>101110.9679418</v>
      </c>
      <c r="G93" s="10">
        <v>0.95252353000000001</v>
      </c>
      <c r="H93" s="52"/>
    </row>
    <row r="94" spans="1:8" ht="14.1" customHeight="1" x14ac:dyDescent="0.2">
      <c r="A94" s="1"/>
      <c r="B94" s="1"/>
      <c r="C94" s="11"/>
      <c r="D94" s="1"/>
      <c r="E94" s="1"/>
      <c r="F94" s="12"/>
      <c r="G94" s="12"/>
      <c r="H94" s="52"/>
    </row>
    <row r="95" spans="1:8" ht="14.1" customHeight="1" x14ac:dyDescent="0.2">
      <c r="A95" s="1"/>
      <c r="B95" s="1"/>
      <c r="C95" s="2" t="s">
        <v>154</v>
      </c>
      <c r="D95" s="1"/>
      <c r="E95" s="1"/>
      <c r="F95" s="12"/>
      <c r="G95" s="12"/>
      <c r="H95" s="52"/>
    </row>
    <row r="96" spans="1:8" ht="24" customHeight="1" x14ac:dyDescent="0.2">
      <c r="A96" s="1"/>
      <c r="B96" s="1"/>
      <c r="C96" s="2" t="s">
        <v>10</v>
      </c>
      <c r="D96" s="1"/>
      <c r="E96" s="1"/>
      <c r="F96" s="12"/>
      <c r="G96" s="12"/>
      <c r="H96" s="52"/>
    </row>
    <row r="97" spans="1:8" ht="14.1" customHeight="1" x14ac:dyDescent="0.2">
      <c r="A97" s="1"/>
      <c r="B97" s="1"/>
      <c r="C97" s="2" t="s">
        <v>145</v>
      </c>
      <c r="D97" s="1"/>
      <c r="E97" s="1" t="s">
        <v>146</v>
      </c>
      <c r="F97" s="13" t="s">
        <v>148</v>
      </c>
      <c r="G97" s="10">
        <v>0</v>
      </c>
      <c r="H97" s="52"/>
    </row>
    <row r="98" spans="1:8" ht="14.1" customHeight="1" x14ac:dyDescent="0.2">
      <c r="A98" s="1"/>
      <c r="B98" s="1"/>
      <c r="C98" s="11"/>
      <c r="D98" s="1"/>
      <c r="E98" s="1"/>
      <c r="F98" s="12"/>
      <c r="G98" s="12"/>
      <c r="H98" s="52"/>
    </row>
    <row r="99" spans="1:8" ht="14.1" customHeight="1" x14ac:dyDescent="0.2">
      <c r="A99" s="1"/>
      <c r="B99" s="1"/>
      <c r="C99" s="2" t="s">
        <v>155</v>
      </c>
      <c r="D99" s="1"/>
      <c r="E99" s="1"/>
      <c r="F99" s="1"/>
      <c r="G99" s="1"/>
      <c r="H99" s="52"/>
    </row>
    <row r="100" spans="1:8" ht="14.1" customHeight="1" x14ac:dyDescent="0.2">
      <c r="A100" s="1"/>
      <c r="B100" s="1"/>
      <c r="C100" s="2" t="s">
        <v>145</v>
      </c>
      <c r="D100" s="1"/>
      <c r="E100" s="1" t="s">
        <v>146</v>
      </c>
      <c r="F100" s="13" t="s">
        <v>148</v>
      </c>
      <c r="G100" s="10">
        <v>0</v>
      </c>
      <c r="H100" s="52"/>
    </row>
    <row r="101" spans="1:8" ht="14.1" customHeight="1" x14ac:dyDescent="0.2">
      <c r="A101" s="1"/>
      <c r="B101" s="1"/>
      <c r="C101" s="11"/>
      <c r="D101" s="1"/>
      <c r="E101" s="1"/>
      <c r="F101" s="12"/>
      <c r="G101" s="12"/>
      <c r="H101" s="52"/>
    </row>
    <row r="102" spans="1:8" ht="14.1" customHeight="1" x14ac:dyDescent="0.2">
      <c r="A102" s="1"/>
      <c r="B102" s="1"/>
      <c r="C102" s="2" t="s">
        <v>156</v>
      </c>
      <c r="D102" s="1"/>
      <c r="E102" s="1"/>
      <c r="F102" s="1"/>
      <c r="G102" s="1"/>
      <c r="H102" s="52"/>
    </row>
    <row r="103" spans="1:8" ht="14.1" customHeight="1" x14ac:dyDescent="0.2">
      <c r="A103" s="1"/>
      <c r="B103" s="1"/>
      <c r="C103" s="2" t="s">
        <v>145</v>
      </c>
      <c r="D103" s="1"/>
      <c r="E103" s="1" t="s">
        <v>146</v>
      </c>
      <c r="F103" s="13" t="s">
        <v>148</v>
      </c>
      <c r="G103" s="10">
        <v>0</v>
      </c>
      <c r="H103" s="52"/>
    </row>
    <row r="104" spans="1:8" ht="14.1" customHeight="1" x14ac:dyDescent="0.2">
      <c r="A104" s="1"/>
      <c r="B104" s="1"/>
      <c r="C104" s="11"/>
      <c r="D104" s="1"/>
      <c r="E104" s="1"/>
      <c r="F104" s="12"/>
      <c r="G104" s="12"/>
      <c r="H104" s="52"/>
    </row>
    <row r="105" spans="1:8" ht="14.1" customHeight="1" x14ac:dyDescent="0.2">
      <c r="A105" s="1"/>
      <c r="B105" s="1"/>
      <c r="C105" s="2" t="s">
        <v>157</v>
      </c>
      <c r="D105" s="1"/>
      <c r="E105" s="1"/>
      <c r="F105" s="12"/>
      <c r="G105" s="12"/>
      <c r="H105" s="52"/>
    </row>
    <row r="106" spans="1:8" ht="14.1" customHeight="1" x14ac:dyDescent="0.2">
      <c r="A106" s="1"/>
      <c r="B106" s="1"/>
      <c r="C106" s="2" t="s">
        <v>145</v>
      </c>
      <c r="D106" s="1"/>
      <c r="E106" s="1" t="s">
        <v>146</v>
      </c>
      <c r="F106" s="13" t="s">
        <v>148</v>
      </c>
      <c r="G106" s="10">
        <v>0</v>
      </c>
      <c r="H106" s="52"/>
    </row>
    <row r="107" spans="1:8" ht="14.1" customHeight="1" x14ac:dyDescent="0.2">
      <c r="A107" s="1"/>
      <c r="B107" s="1"/>
      <c r="C107" s="11"/>
      <c r="D107" s="1"/>
      <c r="E107" s="1"/>
      <c r="F107" s="12"/>
      <c r="G107" s="12"/>
      <c r="H107" s="52"/>
    </row>
    <row r="108" spans="1:8" ht="14.1" customHeight="1" x14ac:dyDescent="0.2">
      <c r="A108" s="1"/>
      <c r="B108" s="1"/>
      <c r="C108" s="2" t="s">
        <v>158</v>
      </c>
      <c r="D108" s="1"/>
      <c r="E108" s="1"/>
      <c r="F108" s="9">
        <v>0</v>
      </c>
      <c r="G108" s="10">
        <v>0</v>
      </c>
      <c r="H108" s="52"/>
    </row>
    <row r="109" spans="1:8" ht="14.1" customHeight="1" x14ac:dyDescent="0.2">
      <c r="A109" s="1"/>
      <c r="B109" s="1"/>
      <c r="C109" s="11"/>
      <c r="D109" s="1"/>
      <c r="E109" s="1"/>
      <c r="F109" s="12"/>
      <c r="G109" s="12"/>
      <c r="H109" s="52"/>
    </row>
    <row r="110" spans="1:8" ht="14.1" customHeight="1" x14ac:dyDescent="0.2">
      <c r="A110" s="1"/>
      <c r="B110" s="1"/>
      <c r="C110" s="2" t="s">
        <v>159</v>
      </c>
      <c r="D110" s="1"/>
      <c r="E110" s="1"/>
      <c r="F110" s="12"/>
      <c r="G110" s="12"/>
      <c r="H110" s="52"/>
    </row>
    <row r="111" spans="1:8" ht="14.1" customHeight="1" x14ac:dyDescent="0.2">
      <c r="A111" s="1"/>
      <c r="B111" s="1"/>
      <c r="C111" s="2" t="s">
        <v>160</v>
      </c>
      <c r="D111" s="1"/>
      <c r="E111" s="1"/>
      <c r="F111" s="12"/>
      <c r="G111" s="12"/>
      <c r="H111" s="52"/>
    </row>
    <row r="112" spans="1:8" ht="14.1" customHeight="1" x14ac:dyDescent="0.2">
      <c r="A112" s="1"/>
      <c r="B112" s="1"/>
      <c r="C112" s="2" t="s">
        <v>145</v>
      </c>
      <c r="D112" s="1"/>
      <c r="E112" s="1" t="s">
        <v>146</v>
      </c>
      <c r="F112" s="13" t="s">
        <v>148</v>
      </c>
      <c r="G112" s="10">
        <v>0</v>
      </c>
      <c r="H112" s="52"/>
    </row>
    <row r="113" spans="1:8" ht="14.1" customHeight="1" x14ac:dyDescent="0.2">
      <c r="A113" s="1"/>
      <c r="B113" s="1"/>
      <c r="C113" s="11"/>
      <c r="D113" s="1"/>
      <c r="E113" s="1"/>
      <c r="F113" s="12"/>
      <c r="G113" s="12"/>
      <c r="H113" s="52"/>
    </row>
    <row r="114" spans="1:8" ht="14.1" customHeight="1" x14ac:dyDescent="0.2">
      <c r="A114" s="1"/>
      <c r="B114" s="1"/>
      <c r="C114" s="2" t="s">
        <v>161</v>
      </c>
      <c r="D114" s="1"/>
      <c r="E114" s="1"/>
      <c r="F114" s="12"/>
      <c r="G114" s="12"/>
      <c r="H114" s="52"/>
    </row>
    <row r="115" spans="1:8" ht="14.1" customHeight="1" x14ac:dyDescent="0.2">
      <c r="A115" s="1"/>
      <c r="B115" s="1"/>
      <c r="C115" s="2" t="s">
        <v>145</v>
      </c>
      <c r="D115" s="1"/>
      <c r="E115" s="1" t="s">
        <v>146</v>
      </c>
      <c r="F115" s="13" t="s">
        <v>148</v>
      </c>
      <c r="G115" s="10">
        <v>0</v>
      </c>
      <c r="H115" s="52"/>
    </row>
    <row r="116" spans="1:8" ht="14.1" customHeight="1" x14ac:dyDescent="0.2">
      <c r="A116" s="1"/>
      <c r="B116" s="1"/>
      <c r="C116" s="11"/>
      <c r="D116" s="1"/>
      <c r="E116" s="1"/>
      <c r="F116" s="12"/>
      <c r="G116" s="12"/>
      <c r="H116" s="52"/>
    </row>
    <row r="117" spans="1:8" ht="14.1" customHeight="1" x14ac:dyDescent="0.2">
      <c r="A117" s="1"/>
      <c r="B117" s="1"/>
      <c r="C117" s="2" t="s">
        <v>162</v>
      </c>
      <c r="D117" s="1"/>
      <c r="E117" s="1"/>
      <c r="F117" s="12"/>
      <c r="G117" s="12"/>
      <c r="H117" s="52"/>
    </row>
    <row r="118" spans="1:8" ht="14.1" customHeight="1" x14ac:dyDescent="0.2">
      <c r="A118" s="1"/>
      <c r="B118" s="1"/>
      <c r="C118" s="2" t="s">
        <v>145</v>
      </c>
      <c r="D118" s="1"/>
      <c r="E118" s="1" t="s">
        <v>146</v>
      </c>
      <c r="F118" s="13" t="s">
        <v>148</v>
      </c>
      <c r="G118" s="10">
        <v>0</v>
      </c>
      <c r="H118" s="52"/>
    </row>
    <row r="119" spans="1:8" ht="14.1" customHeight="1" x14ac:dyDescent="0.2">
      <c r="A119" s="1"/>
      <c r="B119" s="1"/>
      <c r="C119" s="11"/>
      <c r="D119" s="1"/>
      <c r="E119" s="1"/>
      <c r="F119" s="12"/>
      <c r="G119" s="12"/>
      <c r="H119" s="52"/>
    </row>
    <row r="120" spans="1:8" ht="14.1" customHeight="1" x14ac:dyDescent="0.2">
      <c r="A120" s="1"/>
      <c r="B120" s="1"/>
      <c r="C120" s="2" t="s">
        <v>163</v>
      </c>
      <c r="D120" s="1"/>
      <c r="E120" s="1"/>
      <c r="F120" s="12"/>
      <c r="G120" s="12"/>
      <c r="H120" s="52"/>
    </row>
    <row r="121" spans="1:8" ht="17.100000000000001" customHeight="1" x14ac:dyDescent="0.2">
      <c r="A121" s="3">
        <v>1</v>
      </c>
      <c r="B121" s="4"/>
      <c r="C121" s="4" t="s">
        <v>164</v>
      </c>
      <c r="D121" s="4"/>
      <c r="E121" s="8"/>
      <c r="F121" s="6">
        <v>5229.1858140140002</v>
      </c>
      <c r="G121" s="7">
        <v>4.9261939999999997E-2</v>
      </c>
      <c r="H121" s="52">
        <v>6.7567375937238596</v>
      </c>
    </row>
    <row r="122" spans="1:8" ht="14.1" customHeight="1" x14ac:dyDescent="0.2">
      <c r="A122" s="1"/>
      <c r="B122" s="1"/>
      <c r="C122" s="2" t="s">
        <v>145</v>
      </c>
      <c r="D122" s="1"/>
      <c r="E122" s="1" t="s">
        <v>146</v>
      </c>
      <c r="F122" s="9">
        <v>5229.1858140140002</v>
      </c>
      <c r="G122" s="10">
        <v>4.9261939999999997E-2</v>
      </c>
      <c r="H122" s="52"/>
    </row>
    <row r="123" spans="1:8" ht="14.1" customHeight="1" x14ac:dyDescent="0.2">
      <c r="A123" s="1"/>
      <c r="B123" s="1"/>
      <c r="C123" s="11"/>
      <c r="D123" s="1"/>
      <c r="E123" s="1"/>
      <c r="F123" s="12"/>
      <c r="G123" s="12"/>
      <c r="H123" s="52"/>
    </row>
    <row r="124" spans="1:8" ht="14.1" customHeight="1" x14ac:dyDescent="0.2">
      <c r="A124" s="1"/>
      <c r="B124" s="1"/>
      <c r="C124" s="2" t="s">
        <v>165</v>
      </c>
      <c r="D124" s="1"/>
      <c r="E124" s="1"/>
      <c r="F124" s="9">
        <v>5229.1858140140002</v>
      </c>
      <c r="G124" s="10">
        <v>4.9261939999999997E-2</v>
      </c>
      <c r="H124" s="52"/>
    </row>
    <row r="125" spans="1:8" ht="14.1" customHeight="1" x14ac:dyDescent="0.2">
      <c r="A125" s="1"/>
      <c r="B125" s="1"/>
      <c r="C125" s="12"/>
      <c r="D125" s="1"/>
      <c r="E125" s="1"/>
      <c r="F125" s="1"/>
      <c r="G125" s="1"/>
      <c r="H125" s="52"/>
    </row>
    <row r="126" spans="1:8" ht="14.1" customHeight="1" x14ac:dyDescent="0.2">
      <c r="A126" s="1"/>
      <c r="B126" s="1"/>
      <c r="C126" s="2" t="s">
        <v>166</v>
      </c>
      <c r="D126" s="1"/>
      <c r="E126" s="1"/>
      <c r="F126" s="1"/>
      <c r="G126" s="1"/>
      <c r="H126" s="52"/>
    </row>
    <row r="127" spans="1:8" ht="14.1" customHeight="1" x14ac:dyDescent="0.2">
      <c r="A127" s="1"/>
      <c r="B127" s="1"/>
      <c r="C127" s="2" t="s">
        <v>167</v>
      </c>
      <c r="D127" s="1"/>
      <c r="E127" s="1"/>
      <c r="F127" s="1"/>
      <c r="G127" s="1"/>
      <c r="H127" s="52"/>
    </row>
    <row r="128" spans="1:8" ht="14.1" customHeight="1" x14ac:dyDescent="0.2">
      <c r="A128" s="1"/>
      <c r="B128" s="1"/>
      <c r="C128" s="2" t="s">
        <v>145</v>
      </c>
      <c r="D128" s="1"/>
      <c r="E128" s="1" t="s">
        <v>146</v>
      </c>
      <c r="F128" s="13" t="s">
        <v>148</v>
      </c>
      <c r="G128" s="10">
        <v>0</v>
      </c>
      <c r="H128" s="52"/>
    </row>
    <row r="129" spans="1:8" ht="14.1" customHeight="1" x14ac:dyDescent="0.2">
      <c r="A129" s="1"/>
      <c r="B129" s="1"/>
      <c r="C129" s="11"/>
      <c r="D129" s="1"/>
      <c r="E129" s="1"/>
      <c r="F129" s="12"/>
      <c r="G129" s="12"/>
      <c r="H129" s="52"/>
    </row>
    <row r="130" spans="1:8" ht="14.1" customHeight="1" x14ac:dyDescent="0.2">
      <c r="A130" s="1"/>
      <c r="B130" s="1"/>
      <c r="C130" s="2" t="s">
        <v>168</v>
      </c>
      <c r="D130" s="1"/>
      <c r="E130" s="1"/>
      <c r="F130" s="1"/>
      <c r="G130" s="1"/>
      <c r="H130" s="52"/>
    </row>
    <row r="131" spans="1:8" ht="14.1" customHeight="1" x14ac:dyDescent="0.2">
      <c r="A131" s="1"/>
      <c r="B131" s="1"/>
      <c r="C131" s="2" t="s">
        <v>169</v>
      </c>
      <c r="D131" s="1"/>
      <c r="E131" s="1"/>
      <c r="F131" s="1"/>
      <c r="G131" s="1"/>
      <c r="H131" s="52"/>
    </row>
    <row r="132" spans="1:8" ht="14.1" customHeight="1" x14ac:dyDescent="0.2">
      <c r="A132" s="1"/>
      <c r="B132" s="1"/>
      <c r="C132" s="2" t="s">
        <v>145</v>
      </c>
      <c r="D132" s="1"/>
      <c r="E132" s="1" t="s">
        <v>146</v>
      </c>
      <c r="F132" s="13" t="s">
        <v>148</v>
      </c>
      <c r="G132" s="10">
        <v>0</v>
      </c>
      <c r="H132" s="52"/>
    </row>
    <row r="133" spans="1:8" ht="14.1" customHeight="1" x14ac:dyDescent="0.2">
      <c r="A133" s="1"/>
      <c r="B133" s="1"/>
      <c r="C133" s="11"/>
      <c r="D133" s="1"/>
      <c r="E133" s="1"/>
      <c r="F133" s="12"/>
      <c r="G133" s="12"/>
      <c r="H133" s="52"/>
    </row>
    <row r="134" spans="1:8" ht="24" customHeight="1" x14ac:dyDescent="0.2">
      <c r="A134" s="1"/>
      <c r="B134" s="1"/>
      <c r="C134" s="2" t="s">
        <v>170</v>
      </c>
      <c r="D134" s="1"/>
      <c r="E134" s="1"/>
      <c r="F134" s="12"/>
      <c r="G134" s="12"/>
      <c r="H134" s="52"/>
    </row>
    <row r="135" spans="1:8" ht="14.1" customHeight="1" x14ac:dyDescent="0.2">
      <c r="A135" s="1"/>
      <c r="B135" s="1"/>
      <c r="C135" s="2" t="s">
        <v>145</v>
      </c>
      <c r="D135" s="1"/>
      <c r="E135" s="1" t="s">
        <v>146</v>
      </c>
      <c r="F135" s="13" t="s">
        <v>148</v>
      </c>
      <c r="G135" s="10">
        <v>0</v>
      </c>
      <c r="H135" s="52"/>
    </row>
    <row r="136" spans="1:8" ht="14.1" customHeight="1" x14ac:dyDescent="0.2">
      <c r="A136" s="1"/>
      <c r="B136" s="1"/>
      <c r="C136" s="11"/>
      <c r="D136" s="1"/>
      <c r="E136" s="1"/>
      <c r="F136" s="12"/>
      <c r="G136" s="12"/>
      <c r="H136" s="52"/>
    </row>
    <row r="137" spans="1:8" ht="14.1" customHeight="1" x14ac:dyDescent="0.2">
      <c r="A137" s="1"/>
      <c r="B137" s="4"/>
      <c r="C137" s="4"/>
      <c r="D137" s="2"/>
      <c r="E137" s="1"/>
      <c r="F137" s="4"/>
      <c r="G137" s="8"/>
      <c r="H137" s="52"/>
    </row>
    <row r="138" spans="1:8" ht="18" customHeight="1" x14ac:dyDescent="0.2">
      <c r="A138" s="8"/>
      <c r="B138" s="4"/>
      <c r="C138" s="4" t="s">
        <v>171</v>
      </c>
      <c r="D138" s="4"/>
      <c r="E138" s="8"/>
      <c r="F138" s="6">
        <v>-189.52415124000001</v>
      </c>
      <c r="G138" s="7">
        <v>-1.78543E-3</v>
      </c>
      <c r="H138" s="52"/>
    </row>
    <row r="139" spans="1:8" ht="14.1" customHeight="1" x14ac:dyDescent="0.2">
      <c r="A139" s="11"/>
      <c r="B139" s="11"/>
      <c r="C139" s="2" t="s">
        <v>172</v>
      </c>
      <c r="D139" s="12"/>
      <c r="E139" s="12"/>
      <c r="F139" s="9">
        <v>106150.629604574</v>
      </c>
      <c r="G139" s="14">
        <v>1.00000004</v>
      </c>
      <c r="H139" s="52"/>
    </row>
    <row r="140" spans="1:8" ht="14.1" customHeight="1" x14ac:dyDescent="0.2">
      <c r="A140" s="15"/>
      <c r="B140" s="15"/>
      <c r="C140" s="15"/>
      <c r="D140" s="16"/>
      <c r="E140" s="16"/>
      <c r="F140" s="16"/>
      <c r="G140" s="16"/>
    </row>
    <row r="141" spans="1:8" ht="17.100000000000001" customHeight="1" x14ac:dyDescent="0.2">
      <c r="A141" s="17"/>
      <c r="B141" s="126" t="s">
        <v>173</v>
      </c>
      <c r="C141" s="126"/>
      <c r="D141" s="126"/>
      <c r="E141" s="126"/>
      <c r="F141" s="126"/>
      <c r="G141" s="19"/>
    </row>
    <row r="142" spans="1:8" ht="14.1" customHeight="1" x14ac:dyDescent="0.2">
      <c r="A142" s="17"/>
      <c r="B142" s="17"/>
      <c r="C142" s="17"/>
      <c r="D142" s="19"/>
      <c r="E142" s="19"/>
      <c r="F142" s="19"/>
      <c r="G142" s="19"/>
    </row>
    <row r="143" spans="1:8" ht="14.1" customHeight="1" x14ac:dyDescent="0.2">
      <c r="A143" s="17"/>
      <c r="B143" s="127" t="s">
        <v>174</v>
      </c>
      <c r="C143" s="128"/>
      <c r="D143" s="129"/>
      <c r="E143" s="20"/>
      <c r="F143" s="19"/>
      <c r="G143" s="19"/>
    </row>
    <row r="144" spans="1:8" ht="29.1" customHeight="1" x14ac:dyDescent="0.2">
      <c r="A144" s="17"/>
      <c r="B144" s="121" t="s">
        <v>175</v>
      </c>
      <c r="C144" s="122"/>
      <c r="D144" s="113" t="s">
        <v>1092</v>
      </c>
      <c r="E144" s="20"/>
      <c r="F144" s="19"/>
      <c r="G144" s="19"/>
    </row>
    <row r="145" spans="1:7" ht="17.100000000000001" customHeight="1" x14ac:dyDescent="0.2">
      <c r="A145" s="17"/>
      <c r="B145" s="123" t="s">
        <v>947</v>
      </c>
      <c r="C145" s="124"/>
      <c r="D145" s="40" t="s">
        <v>970</v>
      </c>
      <c r="E145" s="20"/>
      <c r="F145" s="19"/>
      <c r="G145" s="19"/>
    </row>
    <row r="146" spans="1:7" ht="17.100000000000001" customHeight="1" x14ac:dyDescent="0.2">
      <c r="A146" s="17"/>
      <c r="B146" s="121" t="s">
        <v>178</v>
      </c>
      <c r="C146" s="122"/>
      <c r="D146" s="12" t="s">
        <v>146</v>
      </c>
      <c r="E146" s="20"/>
      <c r="F146" s="19"/>
      <c r="G146" s="19"/>
    </row>
    <row r="147" spans="1:7" ht="24" customHeight="1" x14ac:dyDescent="0.2">
      <c r="A147" s="21"/>
      <c r="B147" s="22" t="s">
        <v>146</v>
      </c>
      <c r="C147" s="22" t="s">
        <v>179</v>
      </c>
      <c r="D147" s="22" t="s">
        <v>180</v>
      </c>
      <c r="E147" s="21"/>
      <c r="F147" s="21"/>
      <c r="G147" s="21"/>
    </row>
    <row r="148" spans="1:7" ht="18" customHeight="1" x14ac:dyDescent="0.2">
      <c r="A148" s="21"/>
      <c r="B148" s="23" t="s">
        <v>181</v>
      </c>
      <c r="C148" s="22" t="s">
        <v>182</v>
      </c>
      <c r="D148" s="22" t="s">
        <v>183</v>
      </c>
      <c r="E148" s="21"/>
      <c r="F148" s="21"/>
      <c r="G148" s="21"/>
    </row>
    <row r="149" spans="1:7" ht="17.100000000000001" customHeight="1" x14ac:dyDescent="0.2">
      <c r="A149" s="21"/>
      <c r="B149" s="4" t="s">
        <v>184</v>
      </c>
      <c r="C149" s="24">
        <v>409.74549999999999</v>
      </c>
      <c r="D149" s="24">
        <v>397.39139999999998</v>
      </c>
      <c r="E149" s="21"/>
      <c r="F149" s="18"/>
      <c r="G149" s="25"/>
    </row>
    <row r="150" spans="1:7" ht="29.1" customHeight="1" x14ac:dyDescent="0.2">
      <c r="A150" s="21"/>
      <c r="B150" s="4" t="s">
        <v>1042</v>
      </c>
      <c r="C150" s="24">
        <v>409.34980000000002</v>
      </c>
      <c r="D150" s="24">
        <v>397.0077</v>
      </c>
      <c r="E150" s="21"/>
      <c r="F150" s="18"/>
      <c r="G150" s="25"/>
    </row>
    <row r="151" spans="1:7" ht="17.100000000000001" customHeight="1" x14ac:dyDescent="0.2">
      <c r="A151" s="21"/>
      <c r="B151" s="4" t="s">
        <v>185</v>
      </c>
      <c r="C151" s="24">
        <v>387.05340000000001</v>
      </c>
      <c r="D151" s="24">
        <v>375.19600000000003</v>
      </c>
      <c r="E151" s="21"/>
      <c r="F151" s="18"/>
      <c r="G151" s="25"/>
    </row>
    <row r="152" spans="1:7" ht="29.1" customHeight="1" x14ac:dyDescent="0.2">
      <c r="A152" s="21"/>
      <c r="B152" s="4" t="s">
        <v>1043</v>
      </c>
      <c r="C152" s="24">
        <v>347.28919999999999</v>
      </c>
      <c r="D152" s="24">
        <v>336.6499</v>
      </c>
      <c r="E152" s="21"/>
      <c r="F152" s="18"/>
      <c r="G152" s="25"/>
    </row>
    <row r="153" spans="1:7" ht="14.1" customHeight="1" x14ac:dyDescent="0.2">
      <c r="A153" s="21"/>
      <c r="B153" s="21"/>
      <c r="C153" s="21"/>
      <c r="D153" s="21"/>
      <c r="E153" s="21"/>
      <c r="F153" s="21"/>
      <c r="G153" s="21"/>
    </row>
    <row r="154" spans="1:7" ht="17.100000000000001" customHeight="1" x14ac:dyDescent="0.2">
      <c r="A154" s="21"/>
      <c r="B154" s="121" t="s">
        <v>1041</v>
      </c>
      <c r="C154" s="122"/>
      <c r="D154" s="2" t="s">
        <v>176</v>
      </c>
      <c r="E154" s="21"/>
      <c r="F154" s="21"/>
      <c r="G154" s="21"/>
    </row>
    <row r="155" spans="1:7" ht="18" customHeight="1" x14ac:dyDescent="0.2">
      <c r="A155" s="21"/>
      <c r="B155" s="26"/>
      <c r="C155" s="26"/>
      <c r="D155" s="26"/>
      <c r="E155" s="21"/>
      <c r="F155" s="21"/>
      <c r="G155" s="21"/>
    </row>
    <row r="156" spans="1:7" ht="29.1" customHeight="1" x14ac:dyDescent="0.2">
      <c r="A156" s="21"/>
      <c r="B156" s="121" t="s">
        <v>186</v>
      </c>
      <c r="C156" s="122"/>
      <c r="D156" s="2" t="s">
        <v>176</v>
      </c>
      <c r="E156" s="27"/>
      <c r="F156" s="21"/>
      <c r="G156" s="21"/>
    </row>
    <row r="157" spans="1:7" ht="29.1" customHeight="1" x14ac:dyDescent="0.2">
      <c r="A157" s="21"/>
      <c r="B157" s="121" t="s">
        <v>187</v>
      </c>
      <c r="C157" s="122"/>
      <c r="D157" s="2" t="s">
        <v>176</v>
      </c>
      <c r="E157" s="27"/>
      <c r="F157" s="21"/>
      <c r="G157" s="21"/>
    </row>
    <row r="158" spans="1:7" ht="17.100000000000001" customHeight="1" x14ac:dyDescent="0.2">
      <c r="A158" s="21"/>
      <c r="B158" s="121" t="s">
        <v>188</v>
      </c>
      <c r="C158" s="122"/>
      <c r="D158" s="2" t="s">
        <v>176</v>
      </c>
      <c r="E158" s="27"/>
      <c r="F158" s="21"/>
      <c r="G158" s="21"/>
    </row>
    <row r="159" spans="1:7" ht="17.100000000000001" customHeight="1" x14ac:dyDescent="0.2">
      <c r="A159" s="21"/>
      <c r="B159" s="121" t="s">
        <v>189</v>
      </c>
      <c r="C159" s="122"/>
      <c r="D159" s="50">
        <v>0.35295895016530787</v>
      </c>
      <c r="E159" s="21"/>
      <c r="F159" s="18"/>
      <c r="G159" s="25"/>
    </row>
    <row r="161" spans="2:6" x14ac:dyDescent="0.2">
      <c r="B161" s="78" t="s">
        <v>1036</v>
      </c>
      <c r="C161" s="78"/>
      <c r="D161" s="78"/>
      <c r="E161" s="82"/>
      <c r="F161" s="83"/>
    </row>
    <row r="162" spans="2:6" ht="38.25" x14ac:dyDescent="0.2">
      <c r="B162" s="85" t="s">
        <v>1004</v>
      </c>
      <c r="C162" s="85" t="s">
        <v>1005</v>
      </c>
      <c r="D162" s="85" t="s">
        <v>1006</v>
      </c>
      <c r="E162" s="85" t="s">
        <v>1007</v>
      </c>
      <c r="F162" s="85" t="s">
        <v>1008</v>
      </c>
    </row>
    <row r="163" spans="2:6" x14ac:dyDescent="0.2">
      <c r="B163" s="92" t="s">
        <v>1091</v>
      </c>
      <c r="C163" s="87" t="s">
        <v>1033</v>
      </c>
      <c r="D163" s="110">
        <v>0</v>
      </c>
      <c r="E163" s="111">
        <v>0</v>
      </c>
      <c r="F163" s="112">
        <v>0.54925000000000002</v>
      </c>
    </row>
  </sheetData>
  <mergeCells count="14">
    <mergeCell ref="A1:H1"/>
    <mergeCell ref="A2:H2"/>
    <mergeCell ref="A3:H3"/>
    <mergeCell ref="J2:N2"/>
    <mergeCell ref="B159:C159"/>
    <mergeCell ref="B145:C145"/>
    <mergeCell ref="B146:C146"/>
    <mergeCell ref="B154:C154"/>
    <mergeCell ref="B156:C156"/>
    <mergeCell ref="B157:C157"/>
    <mergeCell ref="B158:C158"/>
    <mergeCell ref="B144:C144"/>
    <mergeCell ref="B141:F141"/>
    <mergeCell ref="B143:D143"/>
  </mergeCells>
  <hyperlinks>
    <hyperlink ref="I1" location="Index!B23" display="Index" xr:uid="{CF8B9C8A-8CF0-48FF-A93B-67C3A8451976}"/>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outlinePr summaryBelow="0" summaryRight="0"/>
  </sheetPr>
  <dimension ref="A1:O125"/>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5" ht="18" customHeight="1" x14ac:dyDescent="0.2">
      <c r="A1" s="116" t="s">
        <v>0</v>
      </c>
      <c r="B1" s="116"/>
      <c r="C1" s="116"/>
      <c r="D1" s="116"/>
      <c r="E1" s="116"/>
      <c r="F1" s="116"/>
      <c r="G1" s="116"/>
      <c r="H1" s="116"/>
      <c r="I1" s="98" t="s">
        <v>1053</v>
      </c>
    </row>
    <row r="2" spans="1:15" ht="17.100000000000001" customHeight="1" x14ac:dyDescent="0.2">
      <c r="A2" s="117" t="s">
        <v>828</v>
      </c>
      <c r="B2" s="118"/>
      <c r="C2" s="118"/>
      <c r="D2" s="118"/>
      <c r="E2" s="118"/>
      <c r="F2" s="118"/>
      <c r="G2" s="118"/>
      <c r="H2" s="119"/>
      <c r="J2" s="120" t="s">
        <v>1054</v>
      </c>
      <c r="K2" s="120"/>
      <c r="L2" s="120"/>
      <c r="M2" s="120"/>
      <c r="N2" s="120"/>
    </row>
    <row r="3" spans="1:15" ht="21" customHeight="1" x14ac:dyDescent="0.2">
      <c r="A3" s="116" t="s">
        <v>1049</v>
      </c>
      <c r="B3" s="116"/>
      <c r="C3" s="116"/>
      <c r="D3" s="116"/>
      <c r="E3" s="116"/>
      <c r="F3" s="116"/>
      <c r="G3" s="116"/>
      <c r="H3" s="116"/>
    </row>
    <row r="4" spans="1:15" ht="30" x14ac:dyDescent="0.2">
      <c r="A4" s="96" t="s">
        <v>2</v>
      </c>
      <c r="B4" s="96" t="s">
        <v>3</v>
      </c>
      <c r="C4" s="96" t="s">
        <v>4</v>
      </c>
      <c r="D4" s="96" t="s">
        <v>5</v>
      </c>
      <c r="E4" s="96" t="s">
        <v>6</v>
      </c>
      <c r="F4" s="96" t="s">
        <v>7</v>
      </c>
      <c r="G4" s="96" t="s">
        <v>8</v>
      </c>
      <c r="H4" s="51" t="s">
        <v>1002</v>
      </c>
      <c r="I4" s="99"/>
      <c r="J4" s="99"/>
      <c r="K4" s="99"/>
      <c r="L4" s="99"/>
      <c r="M4" s="99"/>
      <c r="N4" s="99"/>
      <c r="O4" s="99"/>
    </row>
    <row r="5" spans="1:15" ht="14.1" customHeight="1" x14ac:dyDescent="0.2">
      <c r="A5" s="1"/>
      <c r="B5" s="1"/>
      <c r="C5" s="2" t="s">
        <v>9</v>
      </c>
      <c r="D5" s="1"/>
      <c r="E5" s="1"/>
      <c r="F5" s="1"/>
      <c r="G5" s="1"/>
      <c r="H5" s="52"/>
    </row>
    <row r="6" spans="1:15" ht="24" customHeight="1" x14ac:dyDescent="0.2">
      <c r="A6" s="1"/>
      <c r="B6" s="1"/>
      <c r="C6" s="2" t="s">
        <v>10</v>
      </c>
      <c r="D6" s="1"/>
      <c r="E6" s="1"/>
      <c r="F6" s="1"/>
      <c r="G6" s="1"/>
      <c r="H6" s="52"/>
    </row>
    <row r="7" spans="1:15" ht="17.100000000000001" customHeight="1" x14ac:dyDescent="0.2">
      <c r="A7" s="3">
        <v>1</v>
      </c>
      <c r="B7" s="4" t="s">
        <v>342</v>
      </c>
      <c r="C7" s="4" t="s">
        <v>343</v>
      </c>
      <c r="D7" s="4" t="s">
        <v>344</v>
      </c>
      <c r="E7" s="5">
        <v>2249660</v>
      </c>
      <c r="F7" s="6">
        <v>9637.5434399999995</v>
      </c>
      <c r="G7" s="7">
        <v>7.5203709999999993E-2</v>
      </c>
      <c r="H7" s="52"/>
    </row>
    <row r="8" spans="1:15" ht="17.100000000000001" customHeight="1" x14ac:dyDescent="0.2">
      <c r="A8" s="3">
        <v>2</v>
      </c>
      <c r="B8" s="4" t="s">
        <v>351</v>
      </c>
      <c r="C8" s="4" t="s">
        <v>352</v>
      </c>
      <c r="D8" s="4" t="s">
        <v>344</v>
      </c>
      <c r="E8" s="5">
        <v>371782</v>
      </c>
      <c r="F8" s="6">
        <v>9235.0648799999999</v>
      </c>
      <c r="G8" s="7">
        <v>7.2063089999999996E-2</v>
      </c>
      <c r="H8" s="52"/>
    </row>
    <row r="9" spans="1:15" ht="17.100000000000001" customHeight="1" x14ac:dyDescent="0.2">
      <c r="A9" s="3">
        <v>3</v>
      </c>
      <c r="B9" s="4" t="s">
        <v>17</v>
      </c>
      <c r="C9" s="4" t="s">
        <v>18</v>
      </c>
      <c r="D9" s="4" t="s">
        <v>19</v>
      </c>
      <c r="E9" s="5">
        <v>901929</v>
      </c>
      <c r="F9" s="6">
        <v>8247.2387760000001</v>
      </c>
      <c r="G9" s="7">
        <v>6.4354880000000003E-2</v>
      </c>
      <c r="H9" s="52"/>
    </row>
    <row r="10" spans="1:15" ht="17.100000000000001" customHeight="1" x14ac:dyDescent="0.2">
      <c r="A10" s="3">
        <v>4</v>
      </c>
      <c r="B10" s="4" t="s">
        <v>360</v>
      </c>
      <c r="C10" s="4" t="s">
        <v>361</v>
      </c>
      <c r="D10" s="4" t="s">
        <v>60</v>
      </c>
      <c r="E10" s="5">
        <v>255389</v>
      </c>
      <c r="F10" s="6">
        <v>8146.0152385000001</v>
      </c>
      <c r="G10" s="7">
        <v>6.356502E-2</v>
      </c>
      <c r="H10" s="52"/>
    </row>
    <row r="11" spans="1:15" ht="17.100000000000001" customHeight="1" x14ac:dyDescent="0.2">
      <c r="A11" s="3">
        <v>5</v>
      </c>
      <c r="B11" s="4" t="s">
        <v>199</v>
      </c>
      <c r="C11" s="4" t="s">
        <v>200</v>
      </c>
      <c r="D11" s="4" t="s">
        <v>60</v>
      </c>
      <c r="E11" s="5">
        <v>2570913</v>
      </c>
      <c r="F11" s="6">
        <v>7422.2258309999997</v>
      </c>
      <c r="G11" s="7">
        <v>5.7917139999999999E-2</v>
      </c>
      <c r="H11" s="52"/>
    </row>
    <row r="12" spans="1:15" ht="17.100000000000001" customHeight="1" x14ac:dyDescent="0.2">
      <c r="A12" s="3">
        <v>6</v>
      </c>
      <c r="B12" s="4" t="s">
        <v>100</v>
      </c>
      <c r="C12" s="4" t="s">
        <v>101</v>
      </c>
      <c r="D12" s="4" t="s">
        <v>102</v>
      </c>
      <c r="E12" s="5">
        <v>63703</v>
      </c>
      <c r="F12" s="6">
        <v>6620.2068689999996</v>
      </c>
      <c r="G12" s="7">
        <v>5.1658820000000001E-2</v>
      </c>
      <c r="H12" s="52"/>
      <c r="J12" s="101"/>
    </row>
    <row r="13" spans="1:15" ht="17.100000000000001" customHeight="1" x14ac:dyDescent="0.2">
      <c r="A13" s="3">
        <v>7</v>
      </c>
      <c r="B13" s="4" t="s">
        <v>555</v>
      </c>
      <c r="C13" s="4" t="s">
        <v>556</v>
      </c>
      <c r="D13" s="4" t="s">
        <v>102</v>
      </c>
      <c r="E13" s="5">
        <v>451736</v>
      </c>
      <c r="F13" s="6">
        <v>6589.0212959999999</v>
      </c>
      <c r="G13" s="7">
        <v>5.141548E-2</v>
      </c>
      <c r="H13" s="52"/>
    </row>
    <row r="14" spans="1:15" ht="17.100000000000001" customHeight="1" x14ac:dyDescent="0.2">
      <c r="A14" s="3">
        <v>8</v>
      </c>
      <c r="B14" s="4" t="s">
        <v>553</v>
      </c>
      <c r="C14" s="4" t="s">
        <v>554</v>
      </c>
      <c r="D14" s="4" t="s">
        <v>283</v>
      </c>
      <c r="E14" s="5">
        <v>499998</v>
      </c>
      <c r="F14" s="6">
        <v>5160.9793559999998</v>
      </c>
      <c r="G14" s="7">
        <v>4.0272170000000003E-2</v>
      </c>
      <c r="H14" s="52"/>
      <c r="J14" s="101" t="s">
        <v>1083</v>
      </c>
    </row>
    <row r="15" spans="1:15" ht="17.100000000000001" customHeight="1" x14ac:dyDescent="0.2">
      <c r="A15" s="3">
        <v>9</v>
      </c>
      <c r="B15" s="4" t="s">
        <v>397</v>
      </c>
      <c r="C15" s="4" t="s">
        <v>398</v>
      </c>
      <c r="D15" s="4" t="s">
        <v>60</v>
      </c>
      <c r="E15" s="5">
        <v>123246</v>
      </c>
      <c r="F15" s="6">
        <v>5095.1128859999999</v>
      </c>
      <c r="G15" s="7">
        <v>3.97582E-2</v>
      </c>
      <c r="H15" s="52"/>
    </row>
    <row r="16" spans="1:15" ht="17.100000000000001" customHeight="1" x14ac:dyDescent="0.2">
      <c r="A16" s="3">
        <v>10</v>
      </c>
      <c r="B16" s="4" t="s">
        <v>745</v>
      </c>
      <c r="C16" s="4" t="s">
        <v>746</v>
      </c>
      <c r="D16" s="4" t="s">
        <v>242</v>
      </c>
      <c r="E16" s="5">
        <v>19417</v>
      </c>
      <c r="F16" s="6">
        <v>4705.6711160000004</v>
      </c>
      <c r="G16" s="7">
        <v>3.6719309999999998E-2</v>
      </c>
      <c r="H16" s="52"/>
    </row>
    <row r="17" spans="1:8" ht="17.100000000000001" customHeight="1" x14ac:dyDescent="0.2">
      <c r="A17" s="3">
        <v>11</v>
      </c>
      <c r="B17" s="4" t="s">
        <v>567</v>
      </c>
      <c r="C17" s="4" t="s">
        <v>568</v>
      </c>
      <c r="D17" s="4" t="s">
        <v>60</v>
      </c>
      <c r="E17" s="5">
        <v>121208</v>
      </c>
      <c r="F17" s="6">
        <v>3631.0280560000001</v>
      </c>
      <c r="G17" s="7">
        <v>2.8333649999999998E-2</v>
      </c>
      <c r="H17" s="52"/>
    </row>
    <row r="18" spans="1:8" ht="17.100000000000001" customHeight="1" x14ac:dyDescent="0.2">
      <c r="A18" s="3">
        <v>12</v>
      </c>
      <c r="B18" s="4" t="s">
        <v>791</v>
      </c>
      <c r="C18" s="4" t="s">
        <v>792</v>
      </c>
      <c r="D18" s="4" t="s">
        <v>205</v>
      </c>
      <c r="E18" s="5">
        <v>68048</v>
      </c>
      <c r="F18" s="6">
        <v>3279.8455520000002</v>
      </c>
      <c r="G18" s="7">
        <v>2.5593299999999999E-2</v>
      </c>
      <c r="H18" s="52"/>
    </row>
    <row r="19" spans="1:8" ht="17.100000000000001" customHeight="1" x14ac:dyDescent="0.2">
      <c r="A19" s="3">
        <v>13</v>
      </c>
      <c r="B19" s="4" t="s">
        <v>829</v>
      </c>
      <c r="C19" s="4" t="s">
        <v>830</v>
      </c>
      <c r="D19" s="4" t="s">
        <v>208</v>
      </c>
      <c r="E19" s="5">
        <v>1675508</v>
      </c>
      <c r="F19" s="6">
        <v>3187.6539699999998</v>
      </c>
      <c r="G19" s="7">
        <v>2.4873909999999999E-2</v>
      </c>
      <c r="H19" s="52"/>
    </row>
    <row r="20" spans="1:8" ht="17.100000000000001" customHeight="1" x14ac:dyDescent="0.2">
      <c r="A20" s="3">
        <v>14</v>
      </c>
      <c r="B20" s="4" t="s">
        <v>286</v>
      </c>
      <c r="C20" s="4" t="s">
        <v>287</v>
      </c>
      <c r="D20" s="4" t="s">
        <v>288</v>
      </c>
      <c r="E20" s="5">
        <v>601731</v>
      </c>
      <c r="F20" s="6">
        <v>3068.226369</v>
      </c>
      <c r="G20" s="7">
        <v>2.3942000000000001E-2</v>
      </c>
      <c r="H20" s="52"/>
    </row>
    <row r="21" spans="1:8" ht="17.100000000000001" customHeight="1" x14ac:dyDescent="0.2">
      <c r="A21" s="3">
        <v>15</v>
      </c>
      <c r="B21" s="4" t="s">
        <v>798</v>
      </c>
      <c r="C21" s="4" t="s">
        <v>799</v>
      </c>
      <c r="D21" s="4" t="s">
        <v>70</v>
      </c>
      <c r="E21" s="5">
        <v>42124</v>
      </c>
      <c r="F21" s="6">
        <v>2917.6977980000001</v>
      </c>
      <c r="G21" s="7">
        <v>2.2767389999999998E-2</v>
      </c>
      <c r="H21" s="52"/>
    </row>
    <row r="22" spans="1:8" ht="17.100000000000001" customHeight="1" x14ac:dyDescent="0.2">
      <c r="A22" s="3">
        <v>16</v>
      </c>
      <c r="B22" s="4" t="s">
        <v>299</v>
      </c>
      <c r="C22" s="4" t="s">
        <v>300</v>
      </c>
      <c r="D22" s="4" t="s">
        <v>208</v>
      </c>
      <c r="E22" s="5">
        <v>1884147</v>
      </c>
      <c r="F22" s="6">
        <v>2625.5588444999999</v>
      </c>
      <c r="G22" s="7">
        <v>2.0487769999999999E-2</v>
      </c>
      <c r="H22" s="52"/>
    </row>
    <row r="23" spans="1:8" ht="17.100000000000001" customHeight="1" x14ac:dyDescent="0.2">
      <c r="A23" s="3">
        <v>17</v>
      </c>
      <c r="B23" s="4" t="s">
        <v>425</v>
      </c>
      <c r="C23" s="4" t="s">
        <v>426</v>
      </c>
      <c r="D23" s="4" t="s">
        <v>231</v>
      </c>
      <c r="E23" s="5">
        <v>295409</v>
      </c>
      <c r="F23" s="6">
        <v>2344.365824</v>
      </c>
      <c r="G23" s="7">
        <v>1.829356E-2</v>
      </c>
      <c r="H23" s="52"/>
    </row>
    <row r="24" spans="1:8" ht="17.100000000000001" customHeight="1" x14ac:dyDescent="0.2">
      <c r="A24" s="3">
        <v>18</v>
      </c>
      <c r="B24" s="4" t="s">
        <v>575</v>
      </c>
      <c r="C24" s="4" t="s">
        <v>576</v>
      </c>
      <c r="D24" s="4" t="s">
        <v>242</v>
      </c>
      <c r="E24" s="5">
        <v>51578</v>
      </c>
      <c r="F24" s="6">
        <v>2283.1001700000002</v>
      </c>
      <c r="G24" s="7">
        <v>1.7815500000000001E-2</v>
      </c>
      <c r="H24" s="52"/>
    </row>
    <row r="25" spans="1:8" ht="17.100000000000001" customHeight="1" x14ac:dyDescent="0.2">
      <c r="A25" s="3">
        <v>19</v>
      </c>
      <c r="B25" s="4" t="s">
        <v>253</v>
      </c>
      <c r="C25" s="4" t="s">
        <v>254</v>
      </c>
      <c r="D25" s="4" t="s">
        <v>208</v>
      </c>
      <c r="E25" s="5">
        <v>55782</v>
      </c>
      <c r="F25" s="6">
        <v>2278.276335</v>
      </c>
      <c r="G25" s="7">
        <v>1.7777850000000001E-2</v>
      </c>
      <c r="H25" s="52"/>
    </row>
    <row r="26" spans="1:8" ht="17.100000000000001" customHeight="1" x14ac:dyDescent="0.2">
      <c r="A26" s="3">
        <v>20</v>
      </c>
      <c r="B26" s="4" t="s">
        <v>717</v>
      </c>
      <c r="C26" s="4" t="s">
        <v>718</v>
      </c>
      <c r="D26" s="4" t="s">
        <v>60</v>
      </c>
      <c r="E26" s="5">
        <v>209070</v>
      </c>
      <c r="F26" s="6">
        <v>2257.433325</v>
      </c>
      <c r="G26" s="7">
        <v>1.7615209999999999E-2</v>
      </c>
      <c r="H26" s="52"/>
    </row>
    <row r="27" spans="1:8" ht="17.100000000000001" customHeight="1" x14ac:dyDescent="0.2">
      <c r="A27" s="3">
        <v>21</v>
      </c>
      <c r="B27" s="4" t="s">
        <v>331</v>
      </c>
      <c r="C27" s="4" t="s">
        <v>332</v>
      </c>
      <c r="D27" s="4" t="s">
        <v>283</v>
      </c>
      <c r="E27" s="5">
        <v>237937</v>
      </c>
      <c r="F27" s="6">
        <v>2162.3714559999999</v>
      </c>
      <c r="G27" s="7">
        <v>1.6873429999999998E-2</v>
      </c>
      <c r="H27" s="52"/>
    </row>
    <row r="28" spans="1:8" ht="17.100000000000001" customHeight="1" x14ac:dyDescent="0.2">
      <c r="A28" s="3">
        <v>22</v>
      </c>
      <c r="B28" s="4" t="s">
        <v>386</v>
      </c>
      <c r="C28" s="4" t="s">
        <v>387</v>
      </c>
      <c r="D28" s="4" t="s">
        <v>311</v>
      </c>
      <c r="E28" s="5">
        <v>5467</v>
      </c>
      <c r="F28" s="6">
        <v>2067.4225879999999</v>
      </c>
      <c r="G28" s="7">
        <v>1.6132520000000001E-2</v>
      </c>
      <c r="H28" s="52"/>
    </row>
    <row r="29" spans="1:8" ht="17.100000000000001" customHeight="1" x14ac:dyDescent="0.2">
      <c r="A29" s="3">
        <v>23</v>
      </c>
      <c r="B29" s="4" t="s">
        <v>421</v>
      </c>
      <c r="C29" s="4" t="s">
        <v>422</v>
      </c>
      <c r="D29" s="4" t="s">
        <v>60</v>
      </c>
      <c r="E29" s="5">
        <v>174506</v>
      </c>
      <c r="F29" s="6">
        <v>1894.0881240000001</v>
      </c>
      <c r="G29" s="7">
        <v>1.477996E-2</v>
      </c>
      <c r="H29" s="52"/>
    </row>
    <row r="30" spans="1:8" ht="17.100000000000001" customHeight="1" x14ac:dyDescent="0.2">
      <c r="A30" s="3">
        <v>24</v>
      </c>
      <c r="B30" s="4" t="s">
        <v>831</v>
      </c>
      <c r="C30" s="4" t="s">
        <v>832</v>
      </c>
      <c r="D30" s="4" t="s">
        <v>231</v>
      </c>
      <c r="E30" s="5">
        <v>1022000</v>
      </c>
      <c r="F30" s="6">
        <v>1837.556</v>
      </c>
      <c r="G30" s="7">
        <v>1.433882E-2</v>
      </c>
      <c r="H30" s="52"/>
    </row>
    <row r="31" spans="1:8" ht="17.100000000000001" customHeight="1" x14ac:dyDescent="0.2">
      <c r="A31" s="3">
        <v>25</v>
      </c>
      <c r="B31" s="4" t="s">
        <v>370</v>
      </c>
      <c r="C31" s="4" t="s">
        <v>371</v>
      </c>
      <c r="D31" s="4" t="s">
        <v>208</v>
      </c>
      <c r="E31" s="5">
        <v>50167</v>
      </c>
      <c r="F31" s="6">
        <v>1822.7677779999999</v>
      </c>
      <c r="G31" s="7">
        <v>1.422343E-2</v>
      </c>
      <c r="H31" s="52"/>
    </row>
    <row r="32" spans="1:8" ht="17.100000000000001" customHeight="1" x14ac:dyDescent="0.2">
      <c r="A32" s="3">
        <v>26</v>
      </c>
      <c r="B32" s="4" t="s">
        <v>108</v>
      </c>
      <c r="C32" s="4" t="s">
        <v>109</v>
      </c>
      <c r="D32" s="4" t="s">
        <v>105</v>
      </c>
      <c r="E32" s="5">
        <v>250000</v>
      </c>
      <c r="F32" s="6">
        <v>1691.625</v>
      </c>
      <c r="G32" s="7">
        <v>1.3200089999999999E-2</v>
      </c>
      <c r="H32" s="52"/>
    </row>
    <row r="33" spans="1:8" ht="17.100000000000001" customHeight="1" x14ac:dyDescent="0.2">
      <c r="A33" s="3">
        <v>27</v>
      </c>
      <c r="B33" s="4" t="s">
        <v>240</v>
      </c>
      <c r="C33" s="4" t="s">
        <v>241</v>
      </c>
      <c r="D33" s="4" t="s">
        <v>242</v>
      </c>
      <c r="E33" s="5">
        <v>149150</v>
      </c>
      <c r="F33" s="6">
        <v>1685.6932999999999</v>
      </c>
      <c r="G33" s="7">
        <v>1.315381E-2</v>
      </c>
      <c r="H33" s="52"/>
    </row>
    <row r="34" spans="1:8" ht="17.100000000000001" customHeight="1" x14ac:dyDescent="0.2">
      <c r="A34" s="3">
        <v>28</v>
      </c>
      <c r="B34" s="4" t="s">
        <v>98</v>
      </c>
      <c r="C34" s="4" t="s">
        <v>99</v>
      </c>
      <c r="D34" s="4" t="s">
        <v>93</v>
      </c>
      <c r="E34" s="5">
        <v>262525</v>
      </c>
      <c r="F34" s="6">
        <v>1615.7101124999999</v>
      </c>
      <c r="G34" s="7">
        <v>1.2607719999999999E-2</v>
      </c>
      <c r="H34" s="52"/>
    </row>
    <row r="35" spans="1:8" ht="17.100000000000001" customHeight="1" x14ac:dyDescent="0.2">
      <c r="A35" s="3">
        <v>29</v>
      </c>
      <c r="B35" s="4" t="s">
        <v>401</v>
      </c>
      <c r="C35" s="4" t="s">
        <v>402</v>
      </c>
      <c r="D35" s="4" t="s">
        <v>259</v>
      </c>
      <c r="E35" s="5">
        <v>100000</v>
      </c>
      <c r="F35" s="6">
        <v>1598.25</v>
      </c>
      <c r="G35" s="7">
        <v>1.247147E-2</v>
      </c>
      <c r="H35" s="52"/>
    </row>
    <row r="36" spans="1:8" ht="17.100000000000001" customHeight="1" x14ac:dyDescent="0.2">
      <c r="A36" s="3">
        <v>30</v>
      </c>
      <c r="B36" s="4" t="s">
        <v>257</v>
      </c>
      <c r="C36" s="4" t="s">
        <v>258</v>
      </c>
      <c r="D36" s="4" t="s">
        <v>259</v>
      </c>
      <c r="E36" s="5">
        <v>616597</v>
      </c>
      <c r="F36" s="6">
        <v>1598.2194239999999</v>
      </c>
      <c r="G36" s="7">
        <v>1.247123E-2</v>
      </c>
      <c r="H36" s="52"/>
    </row>
    <row r="37" spans="1:8" ht="17.100000000000001" customHeight="1" x14ac:dyDescent="0.2">
      <c r="A37" s="3">
        <v>31</v>
      </c>
      <c r="B37" s="4" t="s">
        <v>565</v>
      </c>
      <c r="C37" s="4" t="s">
        <v>566</v>
      </c>
      <c r="D37" s="4" t="s">
        <v>102</v>
      </c>
      <c r="E37" s="5">
        <v>26000</v>
      </c>
      <c r="F37" s="6">
        <v>1381.653</v>
      </c>
      <c r="G37" s="7">
        <v>1.078132E-2</v>
      </c>
      <c r="H37" s="52"/>
    </row>
    <row r="38" spans="1:8" ht="17.100000000000001" customHeight="1" x14ac:dyDescent="0.2">
      <c r="A38" s="3">
        <v>32</v>
      </c>
      <c r="B38" s="4" t="s">
        <v>281</v>
      </c>
      <c r="C38" s="4" t="s">
        <v>282</v>
      </c>
      <c r="D38" s="4" t="s">
        <v>283</v>
      </c>
      <c r="E38" s="5">
        <v>81939</v>
      </c>
      <c r="F38" s="6">
        <v>1323.4377585</v>
      </c>
      <c r="G38" s="7">
        <v>1.0327050000000001E-2</v>
      </c>
      <c r="H38" s="52"/>
    </row>
    <row r="39" spans="1:8" ht="17.100000000000001" customHeight="1" x14ac:dyDescent="0.2">
      <c r="A39" s="3">
        <v>33</v>
      </c>
      <c r="B39" s="4" t="s">
        <v>820</v>
      </c>
      <c r="C39" s="4" t="s">
        <v>821</v>
      </c>
      <c r="D39" s="4" t="s">
        <v>60</v>
      </c>
      <c r="E39" s="5">
        <v>61514</v>
      </c>
      <c r="F39" s="6">
        <v>963.33999700000004</v>
      </c>
      <c r="G39" s="7">
        <v>7.5171400000000003E-3</v>
      </c>
      <c r="H39" s="52"/>
    </row>
    <row r="40" spans="1:8" ht="17.100000000000001" customHeight="1" x14ac:dyDescent="0.2">
      <c r="A40" s="3">
        <v>34</v>
      </c>
      <c r="B40" s="4" t="s">
        <v>833</v>
      </c>
      <c r="C40" s="4" t="s">
        <v>834</v>
      </c>
      <c r="D40" s="4" t="s">
        <v>60</v>
      </c>
      <c r="E40" s="5">
        <v>150000</v>
      </c>
      <c r="F40" s="6">
        <v>749.25</v>
      </c>
      <c r="G40" s="7">
        <v>5.8465499999999998E-3</v>
      </c>
      <c r="H40" s="52"/>
    </row>
    <row r="41" spans="1:8" ht="17.100000000000001" customHeight="1" x14ac:dyDescent="0.2">
      <c r="A41" s="3">
        <v>35</v>
      </c>
      <c r="B41" s="4" t="s">
        <v>715</v>
      </c>
      <c r="C41" s="4" t="s">
        <v>716</v>
      </c>
      <c r="D41" s="4" t="s">
        <v>60</v>
      </c>
      <c r="E41" s="5">
        <v>91066</v>
      </c>
      <c r="F41" s="6">
        <v>613.01077899999996</v>
      </c>
      <c r="G41" s="7">
        <v>4.7834499999999999E-3</v>
      </c>
      <c r="H41" s="52"/>
    </row>
    <row r="42" spans="1:8" ht="17.100000000000001" customHeight="1" x14ac:dyDescent="0.2">
      <c r="A42" s="3">
        <v>36</v>
      </c>
      <c r="B42" s="4" t="s">
        <v>249</v>
      </c>
      <c r="C42" s="4" t="s">
        <v>250</v>
      </c>
      <c r="D42" s="4" t="s">
        <v>231</v>
      </c>
      <c r="E42" s="5">
        <v>24600</v>
      </c>
      <c r="F42" s="6">
        <v>134.72190000000001</v>
      </c>
      <c r="G42" s="7">
        <v>1.05126E-3</v>
      </c>
      <c r="H42" s="52"/>
    </row>
    <row r="43" spans="1:8" ht="14.1" customHeight="1" x14ac:dyDescent="0.2">
      <c r="A43" s="1"/>
      <c r="B43" s="1"/>
      <c r="C43" s="2" t="s">
        <v>145</v>
      </c>
      <c r="D43" s="1"/>
      <c r="E43" s="1" t="s">
        <v>146</v>
      </c>
      <c r="F43" s="9">
        <v>121871.383149</v>
      </c>
      <c r="G43" s="10">
        <v>0.95098720999999997</v>
      </c>
      <c r="H43" s="52"/>
    </row>
    <row r="44" spans="1:8" ht="14.1" customHeight="1" x14ac:dyDescent="0.2">
      <c r="A44" s="1"/>
      <c r="B44" s="1"/>
      <c r="C44" s="11"/>
      <c r="D44" s="1"/>
      <c r="E44" s="1"/>
      <c r="F44" s="12"/>
      <c r="G44" s="12"/>
      <c r="H44" s="52"/>
    </row>
    <row r="45" spans="1:8" ht="14.1" customHeight="1" x14ac:dyDescent="0.2">
      <c r="A45" s="1"/>
      <c r="B45" s="1"/>
      <c r="C45" s="2" t="s">
        <v>147</v>
      </c>
      <c r="D45" s="1"/>
      <c r="E45" s="1"/>
      <c r="F45" s="1"/>
      <c r="G45" s="1"/>
      <c r="H45" s="52"/>
    </row>
    <row r="46" spans="1:8" ht="14.1" customHeight="1" x14ac:dyDescent="0.2">
      <c r="A46" s="1"/>
      <c r="B46" s="1"/>
      <c r="C46" s="2" t="s">
        <v>145</v>
      </c>
      <c r="D46" s="1"/>
      <c r="E46" s="1" t="s">
        <v>146</v>
      </c>
      <c r="F46" s="13" t="s">
        <v>148</v>
      </c>
      <c r="G46" s="10">
        <v>0</v>
      </c>
      <c r="H46" s="52"/>
    </row>
    <row r="47" spans="1:8" ht="14.1" customHeight="1" x14ac:dyDescent="0.2">
      <c r="A47" s="1"/>
      <c r="B47" s="1"/>
      <c r="C47" s="11"/>
      <c r="D47" s="1"/>
      <c r="E47" s="1"/>
      <c r="F47" s="12"/>
      <c r="G47" s="12"/>
      <c r="H47" s="52"/>
    </row>
    <row r="48" spans="1:8" ht="14.1" customHeight="1" x14ac:dyDescent="0.2">
      <c r="A48" s="1"/>
      <c r="B48" s="1"/>
      <c r="C48" s="2" t="s">
        <v>149</v>
      </c>
      <c r="D48" s="1"/>
      <c r="E48" s="1"/>
      <c r="F48" s="1"/>
      <c r="G48" s="1"/>
      <c r="H48" s="52"/>
    </row>
    <row r="49" spans="1:8" ht="14.1" customHeight="1" x14ac:dyDescent="0.2">
      <c r="A49" s="1"/>
      <c r="B49" s="1"/>
      <c r="C49" s="2" t="s">
        <v>145</v>
      </c>
      <c r="D49" s="1"/>
      <c r="E49" s="1" t="s">
        <v>146</v>
      </c>
      <c r="F49" s="13" t="s">
        <v>148</v>
      </c>
      <c r="G49" s="10">
        <v>0</v>
      </c>
      <c r="H49" s="52"/>
    </row>
    <row r="50" spans="1:8" ht="14.1" customHeight="1" x14ac:dyDescent="0.2">
      <c r="A50" s="1"/>
      <c r="B50" s="1"/>
      <c r="C50" s="11"/>
      <c r="D50" s="1"/>
      <c r="E50" s="1"/>
      <c r="F50" s="12"/>
      <c r="G50" s="12"/>
      <c r="H50" s="52"/>
    </row>
    <row r="51" spans="1:8" ht="14.1" customHeight="1" x14ac:dyDescent="0.2">
      <c r="A51" s="1"/>
      <c r="B51" s="1"/>
      <c r="C51" s="2" t="s">
        <v>150</v>
      </c>
      <c r="D51" s="1"/>
      <c r="E51" s="1"/>
      <c r="F51" s="1"/>
      <c r="G51" s="1"/>
      <c r="H51" s="52"/>
    </row>
    <row r="52" spans="1:8" ht="14.1" customHeight="1" x14ac:dyDescent="0.2">
      <c r="A52" s="1"/>
      <c r="B52" s="1"/>
      <c r="C52" s="2" t="s">
        <v>145</v>
      </c>
      <c r="D52" s="1"/>
      <c r="E52" s="1" t="s">
        <v>146</v>
      </c>
      <c r="F52" s="13" t="s">
        <v>148</v>
      </c>
      <c r="G52" s="10">
        <v>0</v>
      </c>
      <c r="H52" s="52"/>
    </row>
    <row r="53" spans="1:8" ht="14.1" customHeight="1" x14ac:dyDescent="0.2">
      <c r="A53" s="1"/>
      <c r="B53" s="1"/>
      <c r="C53" s="11"/>
      <c r="D53" s="1"/>
      <c r="E53" s="1"/>
      <c r="F53" s="12"/>
      <c r="G53" s="12"/>
      <c r="H53" s="52"/>
    </row>
    <row r="54" spans="1:8" ht="14.1" customHeight="1" x14ac:dyDescent="0.2">
      <c r="A54" s="1"/>
      <c r="B54" s="1"/>
      <c r="C54" s="2" t="s">
        <v>151</v>
      </c>
      <c r="D54" s="1"/>
      <c r="E54" s="1"/>
      <c r="F54" s="12"/>
      <c r="G54" s="12"/>
      <c r="H54" s="52"/>
    </row>
    <row r="55" spans="1:8" ht="14.1" customHeight="1" x14ac:dyDescent="0.2">
      <c r="A55" s="1"/>
      <c r="B55" s="1"/>
      <c r="C55" s="2" t="s">
        <v>145</v>
      </c>
      <c r="D55" s="1"/>
      <c r="E55" s="1" t="s">
        <v>146</v>
      </c>
      <c r="F55" s="13" t="s">
        <v>148</v>
      </c>
      <c r="G55" s="10">
        <v>0</v>
      </c>
      <c r="H55" s="52"/>
    </row>
    <row r="56" spans="1:8" ht="14.1" customHeight="1" x14ac:dyDescent="0.2">
      <c r="A56" s="1"/>
      <c r="B56" s="1"/>
      <c r="C56" s="11"/>
      <c r="D56" s="1"/>
      <c r="E56" s="1"/>
      <c r="F56" s="12"/>
      <c r="G56" s="12"/>
      <c r="H56" s="52"/>
    </row>
    <row r="57" spans="1:8" ht="14.1" customHeight="1" x14ac:dyDescent="0.2">
      <c r="A57" s="1"/>
      <c r="B57" s="1"/>
      <c r="C57" s="2" t="s">
        <v>152</v>
      </c>
      <c r="D57" s="1"/>
      <c r="E57" s="1"/>
      <c r="F57" s="12"/>
      <c r="G57" s="12"/>
      <c r="H57" s="52"/>
    </row>
    <row r="58" spans="1:8" ht="14.1" customHeight="1" x14ac:dyDescent="0.2">
      <c r="A58" s="1"/>
      <c r="B58" s="1"/>
      <c r="C58" s="2" t="s">
        <v>145</v>
      </c>
      <c r="D58" s="1"/>
      <c r="E58" s="1" t="s">
        <v>146</v>
      </c>
      <c r="F58" s="13" t="s">
        <v>148</v>
      </c>
      <c r="G58" s="10">
        <v>0</v>
      </c>
      <c r="H58" s="52"/>
    </row>
    <row r="59" spans="1:8" ht="14.1" customHeight="1" x14ac:dyDescent="0.2">
      <c r="A59" s="1"/>
      <c r="B59" s="1"/>
      <c r="C59" s="11"/>
      <c r="D59" s="1"/>
      <c r="E59" s="1"/>
      <c r="F59" s="12"/>
      <c r="G59" s="12"/>
      <c r="H59" s="52"/>
    </row>
    <row r="60" spans="1:8" ht="18" customHeight="1" x14ac:dyDescent="0.2">
      <c r="A60" s="1"/>
      <c r="B60" s="1"/>
      <c r="C60" s="2" t="s">
        <v>153</v>
      </c>
      <c r="D60" s="1"/>
      <c r="E60" s="1"/>
      <c r="F60" s="9">
        <v>121871.383149</v>
      </c>
      <c r="G60" s="10">
        <v>0.95098720999999997</v>
      </c>
      <c r="H60" s="52"/>
    </row>
    <row r="61" spans="1:8" ht="14.1" customHeight="1" x14ac:dyDescent="0.2">
      <c r="A61" s="1"/>
      <c r="B61" s="1"/>
      <c r="C61" s="11"/>
      <c r="D61" s="1"/>
      <c r="E61" s="1"/>
      <c r="F61" s="12"/>
      <c r="G61" s="12"/>
      <c r="H61" s="52"/>
    </row>
    <row r="62" spans="1:8" ht="14.1" customHeight="1" x14ac:dyDescent="0.2">
      <c r="A62" s="1"/>
      <c r="B62" s="1"/>
      <c r="C62" s="2" t="s">
        <v>154</v>
      </c>
      <c r="D62" s="1"/>
      <c r="E62" s="1"/>
      <c r="F62" s="12"/>
      <c r="G62" s="12"/>
      <c r="H62" s="52"/>
    </row>
    <row r="63" spans="1:8" ht="24" customHeight="1" x14ac:dyDescent="0.2">
      <c r="A63" s="1"/>
      <c r="B63" s="1"/>
      <c r="C63" s="2" t="s">
        <v>10</v>
      </c>
      <c r="D63" s="1"/>
      <c r="E63" s="1"/>
      <c r="F63" s="12"/>
      <c r="G63" s="12"/>
      <c r="H63" s="52"/>
    </row>
    <row r="64" spans="1:8" ht="14.1" customHeight="1" x14ac:dyDescent="0.2">
      <c r="A64" s="1"/>
      <c r="B64" s="1"/>
      <c r="C64" s="2" t="s">
        <v>145</v>
      </c>
      <c r="D64" s="1"/>
      <c r="E64" s="1" t="s">
        <v>146</v>
      </c>
      <c r="F64" s="13" t="s">
        <v>148</v>
      </c>
      <c r="G64" s="10">
        <v>0</v>
      </c>
      <c r="H64" s="52"/>
    </row>
    <row r="65" spans="1:8" ht="14.1" customHeight="1" x14ac:dyDescent="0.2">
      <c r="A65" s="1"/>
      <c r="B65" s="1"/>
      <c r="C65" s="11"/>
      <c r="D65" s="1"/>
      <c r="E65" s="1"/>
      <c r="F65" s="12"/>
      <c r="G65" s="12"/>
      <c r="H65" s="52"/>
    </row>
    <row r="66" spans="1:8" ht="14.1" customHeight="1" x14ac:dyDescent="0.2">
      <c r="A66" s="1"/>
      <c r="B66" s="1"/>
      <c r="C66" s="2" t="s">
        <v>155</v>
      </c>
      <c r="D66" s="1"/>
      <c r="E66" s="1"/>
      <c r="F66" s="1"/>
      <c r="G66" s="1"/>
      <c r="H66" s="52"/>
    </row>
    <row r="67" spans="1:8" ht="14.1" customHeight="1" x14ac:dyDescent="0.2">
      <c r="A67" s="1"/>
      <c r="B67" s="1"/>
      <c r="C67" s="2" t="s">
        <v>145</v>
      </c>
      <c r="D67" s="1"/>
      <c r="E67" s="1" t="s">
        <v>146</v>
      </c>
      <c r="F67" s="13" t="s">
        <v>148</v>
      </c>
      <c r="G67" s="10">
        <v>0</v>
      </c>
      <c r="H67" s="52"/>
    </row>
    <row r="68" spans="1:8" ht="14.1" customHeight="1" x14ac:dyDescent="0.2">
      <c r="A68" s="1"/>
      <c r="B68" s="1"/>
      <c r="C68" s="11"/>
      <c r="D68" s="1"/>
      <c r="E68" s="1"/>
      <c r="F68" s="12"/>
      <c r="G68" s="12"/>
      <c r="H68" s="52"/>
    </row>
    <row r="69" spans="1:8" ht="14.1" customHeight="1" x14ac:dyDescent="0.2">
      <c r="A69" s="1"/>
      <c r="B69" s="1"/>
      <c r="C69" s="2" t="s">
        <v>156</v>
      </c>
      <c r="D69" s="1"/>
      <c r="E69" s="1"/>
      <c r="F69" s="1"/>
      <c r="G69" s="1"/>
      <c r="H69" s="52"/>
    </row>
    <row r="70" spans="1:8" ht="14.1" customHeight="1" x14ac:dyDescent="0.2">
      <c r="A70" s="1"/>
      <c r="B70" s="1"/>
      <c r="C70" s="2" t="s">
        <v>145</v>
      </c>
      <c r="D70" s="1"/>
      <c r="E70" s="1" t="s">
        <v>146</v>
      </c>
      <c r="F70" s="13" t="s">
        <v>148</v>
      </c>
      <c r="G70" s="10">
        <v>0</v>
      </c>
      <c r="H70" s="52"/>
    </row>
    <row r="71" spans="1:8" ht="14.1" customHeight="1" x14ac:dyDescent="0.2">
      <c r="A71" s="1"/>
      <c r="B71" s="1"/>
      <c r="C71" s="11"/>
      <c r="D71" s="1"/>
      <c r="E71" s="1"/>
      <c r="F71" s="12"/>
      <c r="G71" s="12"/>
      <c r="H71" s="52"/>
    </row>
    <row r="72" spans="1:8" ht="14.1" customHeight="1" x14ac:dyDescent="0.2">
      <c r="A72" s="1"/>
      <c r="B72" s="1"/>
      <c r="C72" s="2" t="s">
        <v>157</v>
      </c>
      <c r="D72" s="1"/>
      <c r="E72" s="1"/>
      <c r="F72" s="12"/>
      <c r="G72" s="12"/>
      <c r="H72" s="52"/>
    </row>
    <row r="73" spans="1:8" ht="14.1" customHeight="1" x14ac:dyDescent="0.2">
      <c r="A73" s="1"/>
      <c r="B73" s="1"/>
      <c r="C73" s="2" t="s">
        <v>145</v>
      </c>
      <c r="D73" s="1"/>
      <c r="E73" s="1" t="s">
        <v>146</v>
      </c>
      <c r="F73" s="13" t="s">
        <v>148</v>
      </c>
      <c r="G73" s="10">
        <v>0</v>
      </c>
      <c r="H73" s="52"/>
    </row>
    <row r="74" spans="1:8" ht="14.1" customHeight="1" x14ac:dyDescent="0.2">
      <c r="A74" s="1"/>
      <c r="B74" s="1"/>
      <c r="C74" s="11"/>
      <c r="D74" s="1"/>
      <c r="E74" s="1"/>
      <c r="F74" s="12"/>
      <c r="G74" s="12"/>
      <c r="H74" s="52"/>
    </row>
    <row r="75" spans="1:8" ht="14.1" customHeight="1" x14ac:dyDescent="0.2">
      <c r="A75" s="1"/>
      <c r="B75" s="1"/>
      <c r="C75" s="2" t="s">
        <v>158</v>
      </c>
      <c r="D75" s="1"/>
      <c r="E75" s="1"/>
      <c r="F75" s="9">
        <v>0</v>
      </c>
      <c r="G75" s="10">
        <v>0</v>
      </c>
      <c r="H75" s="52"/>
    </row>
    <row r="76" spans="1:8" ht="14.1" customHeight="1" x14ac:dyDescent="0.2">
      <c r="A76" s="1"/>
      <c r="B76" s="1"/>
      <c r="C76" s="11"/>
      <c r="D76" s="1"/>
      <c r="E76" s="1"/>
      <c r="F76" s="12"/>
      <c r="G76" s="12"/>
      <c r="H76" s="52"/>
    </row>
    <row r="77" spans="1:8" ht="14.1" customHeight="1" x14ac:dyDescent="0.2">
      <c r="A77" s="1"/>
      <c r="B77" s="1"/>
      <c r="C77" s="2" t="s">
        <v>159</v>
      </c>
      <c r="D77" s="1"/>
      <c r="E77" s="1"/>
      <c r="F77" s="12"/>
      <c r="G77" s="12"/>
      <c r="H77" s="52"/>
    </row>
    <row r="78" spans="1:8" ht="14.1" customHeight="1" x14ac:dyDescent="0.2">
      <c r="A78" s="1"/>
      <c r="B78" s="1"/>
      <c r="C78" s="2" t="s">
        <v>160</v>
      </c>
      <c r="D78" s="1"/>
      <c r="E78" s="1"/>
      <c r="F78" s="12"/>
      <c r="G78" s="12"/>
      <c r="H78" s="52"/>
    </row>
    <row r="79" spans="1:8" ht="14.1" customHeight="1" x14ac:dyDescent="0.2">
      <c r="A79" s="1"/>
      <c r="B79" s="1"/>
      <c r="C79" s="2" t="s">
        <v>145</v>
      </c>
      <c r="D79" s="1"/>
      <c r="E79" s="1" t="s">
        <v>146</v>
      </c>
      <c r="F79" s="13" t="s">
        <v>148</v>
      </c>
      <c r="G79" s="10">
        <v>0</v>
      </c>
      <c r="H79" s="52"/>
    </row>
    <row r="80" spans="1:8" ht="14.1" customHeight="1" x14ac:dyDescent="0.2">
      <c r="A80" s="1"/>
      <c r="B80" s="1"/>
      <c r="C80" s="11"/>
      <c r="D80" s="1"/>
      <c r="E80" s="1"/>
      <c r="F80" s="12"/>
      <c r="G80" s="12"/>
      <c r="H80" s="52"/>
    </row>
    <row r="81" spans="1:8" ht="14.1" customHeight="1" x14ac:dyDescent="0.2">
      <c r="A81" s="1"/>
      <c r="B81" s="1"/>
      <c r="C81" s="2" t="s">
        <v>161</v>
      </c>
      <c r="D81" s="1"/>
      <c r="E81" s="1"/>
      <c r="F81" s="12"/>
      <c r="G81" s="12"/>
      <c r="H81" s="52"/>
    </row>
    <row r="82" spans="1:8" ht="14.1" customHeight="1" x14ac:dyDescent="0.2">
      <c r="A82" s="1"/>
      <c r="B82" s="1"/>
      <c r="C82" s="2" t="s">
        <v>145</v>
      </c>
      <c r="D82" s="1"/>
      <c r="E82" s="1" t="s">
        <v>146</v>
      </c>
      <c r="F82" s="13" t="s">
        <v>148</v>
      </c>
      <c r="G82" s="10">
        <v>0</v>
      </c>
      <c r="H82" s="52"/>
    </row>
    <row r="83" spans="1:8" ht="14.1" customHeight="1" x14ac:dyDescent="0.2">
      <c r="A83" s="1"/>
      <c r="B83" s="1"/>
      <c r="C83" s="11"/>
      <c r="D83" s="1"/>
      <c r="E83" s="1"/>
      <c r="F83" s="12"/>
      <c r="G83" s="12"/>
      <c r="H83" s="52"/>
    </row>
    <row r="84" spans="1:8" ht="14.1" customHeight="1" x14ac:dyDescent="0.2">
      <c r="A84" s="1"/>
      <c r="B84" s="1"/>
      <c r="C84" s="2" t="s">
        <v>162</v>
      </c>
      <c r="D84" s="1"/>
      <c r="E84" s="1"/>
      <c r="F84" s="12"/>
      <c r="G84" s="12"/>
      <c r="H84" s="52"/>
    </row>
    <row r="85" spans="1:8" ht="14.1" customHeight="1" x14ac:dyDescent="0.2">
      <c r="A85" s="1"/>
      <c r="B85" s="1"/>
      <c r="C85" s="2" t="s">
        <v>145</v>
      </c>
      <c r="D85" s="1"/>
      <c r="E85" s="1" t="s">
        <v>146</v>
      </c>
      <c r="F85" s="13" t="s">
        <v>148</v>
      </c>
      <c r="G85" s="10">
        <v>0</v>
      </c>
      <c r="H85" s="52"/>
    </row>
    <row r="86" spans="1:8" ht="14.1" customHeight="1" x14ac:dyDescent="0.2">
      <c r="A86" s="1"/>
      <c r="B86" s="1"/>
      <c r="C86" s="11"/>
      <c r="D86" s="1"/>
      <c r="E86" s="1"/>
      <c r="F86" s="12"/>
      <c r="G86" s="12"/>
      <c r="H86" s="52"/>
    </row>
    <row r="87" spans="1:8" ht="14.1" customHeight="1" x14ac:dyDescent="0.2">
      <c r="A87" s="1"/>
      <c r="B87" s="1"/>
      <c r="C87" s="2" t="s">
        <v>163</v>
      </c>
      <c r="D87" s="1"/>
      <c r="E87" s="1"/>
      <c r="F87" s="12"/>
      <c r="G87" s="12"/>
      <c r="H87" s="52"/>
    </row>
    <row r="88" spans="1:8" ht="17.100000000000001" customHeight="1" x14ac:dyDescent="0.2">
      <c r="A88" s="3">
        <v>1</v>
      </c>
      <c r="B88" s="4"/>
      <c r="C88" s="4" t="s">
        <v>164</v>
      </c>
      <c r="D88" s="4"/>
      <c r="E88" s="8"/>
      <c r="F88" s="6">
        <v>8570.0796670050004</v>
      </c>
      <c r="G88" s="7">
        <v>6.6874080000000002E-2</v>
      </c>
      <c r="H88" s="52">
        <v>6.7567375937238596</v>
      </c>
    </row>
    <row r="89" spans="1:8" ht="14.1" customHeight="1" x14ac:dyDescent="0.2">
      <c r="A89" s="1"/>
      <c r="B89" s="1"/>
      <c r="C89" s="2" t="s">
        <v>145</v>
      </c>
      <c r="D89" s="1"/>
      <c r="E89" s="1" t="s">
        <v>146</v>
      </c>
      <c r="F89" s="9">
        <v>8570.0796670050004</v>
      </c>
      <c r="G89" s="10">
        <v>6.6874080000000002E-2</v>
      </c>
      <c r="H89" s="52"/>
    </row>
    <row r="90" spans="1:8" ht="14.1" customHeight="1" x14ac:dyDescent="0.2">
      <c r="A90" s="1"/>
      <c r="B90" s="1"/>
      <c r="C90" s="11"/>
      <c r="D90" s="1"/>
      <c r="E90" s="1"/>
      <c r="F90" s="12"/>
      <c r="G90" s="12"/>
      <c r="H90" s="52"/>
    </row>
    <row r="91" spans="1:8" ht="14.1" customHeight="1" x14ac:dyDescent="0.2">
      <c r="A91" s="1"/>
      <c r="B91" s="1"/>
      <c r="C91" s="2" t="s">
        <v>165</v>
      </c>
      <c r="D91" s="1"/>
      <c r="E91" s="1"/>
      <c r="F91" s="9">
        <v>8570.0796670050004</v>
      </c>
      <c r="G91" s="10">
        <v>6.6874080000000002E-2</v>
      </c>
      <c r="H91" s="52"/>
    </row>
    <row r="92" spans="1:8" ht="14.1" customHeight="1" x14ac:dyDescent="0.2">
      <c r="A92" s="1"/>
      <c r="B92" s="1"/>
      <c r="C92" s="12"/>
      <c r="D92" s="1"/>
      <c r="E92" s="1"/>
      <c r="F92" s="1"/>
      <c r="G92" s="1"/>
      <c r="H92" s="52"/>
    </row>
    <row r="93" spans="1:8" ht="14.1" customHeight="1" x14ac:dyDescent="0.2">
      <c r="A93" s="1"/>
      <c r="B93" s="1"/>
      <c r="C93" s="2" t="s">
        <v>166</v>
      </c>
      <c r="D93" s="1"/>
      <c r="E93" s="1"/>
      <c r="F93" s="1"/>
      <c r="G93" s="1"/>
      <c r="H93" s="52"/>
    </row>
    <row r="94" spans="1:8" ht="14.1" customHeight="1" x14ac:dyDescent="0.2">
      <c r="A94" s="1"/>
      <c r="B94" s="1"/>
      <c r="C94" s="2" t="s">
        <v>167</v>
      </c>
      <c r="D94" s="1"/>
      <c r="E94" s="1"/>
      <c r="F94" s="1"/>
      <c r="G94" s="1"/>
      <c r="H94" s="52"/>
    </row>
    <row r="95" spans="1:8" ht="14.1" customHeight="1" x14ac:dyDescent="0.2">
      <c r="A95" s="1"/>
      <c r="B95" s="1"/>
      <c r="C95" s="2" t="s">
        <v>145</v>
      </c>
      <c r="D95" s="1"/>
      <c r="E95" s="1" t="s">
        <v>146</v>
      </c>
      <c r="F95" s="13" t="s">
        <v>148</v>
      </c>
      <c r="G95" s="10">
        <v>0</v>
      </c>
      <c r="H95" s="52"/>
    </row>
    <row r="96" spans="1:8" ht="14.1" customHeight="1" x14ac:dyDescent="0.2">
      <c r="A96" s="1"/>
      <c r="B96" s="1"/>
      <c r="C96" s="11"/>
      <c r="D96" s="1"/>
      <c r="E96" s="1"/>
      <c r="F96" s="12"/>
      <c r="G96" s="12"/>
      <c r="H96" s="52"/>
    </row>
    <row r="97" spans="1:8" ht="14.1" customHeight="1" x14ac:dyDescent="0.2">
      <c r="A97" s="1"/>
      <c r="B97" s="1"/>
      <c r="C97" s="2" t="s">
        <v>168</v>
      </c>
      <c r="D97" s="1"/>
      <c r="E97" s="1"/>
      <c r="F97" s="1"/>
      <c r="G97" s="1"/>
      <c r="H97" s="52"/>
    </row>
    <row r="98" spans="1:8" ht="14.1" customHeight="1" x14ac:dyDescent="0.2">
      <c r="A98" s="1"/>
      <c r="B98" s="1"/>
      <c r="C98" s="2" t="s">
        <v>169</v>
      </c>
      <c r="D98" s="1"/>
      <c r="E98" s="1"/>
      <c r="F98" s="1"/>
      <c r="G98" s="1"/>
      <c r="H98" s="52"/>
    </row>
    <row r="99" spans="1:8" ht="14.1" customHeight="1" x14ac:dyDescent="0.2">
      <c r="A99" s="1"/>
      <c r="B99" s="1"/>
      <c r="C99" s="2" t="s">
        <v>145</v>
      </c>
      <c r="D99" s="1"/>
      <c r="E99" s="1" t="s">
        <v>146</v>
      </c>
      <c r="F99" s="13" t="s">
        <v>148</v>
      </c>
      <c r="G99" s="10">
        <v>0</v>
      </c>
      <c r="H99" s="52"/>
    </row>
    <row r="100" spans="1:8" ht="14.1" customHeight="1" x14ac:dyDescent="0.2">
      <c r="A100" s="1"/>
      <c r="B100" s="1"/>
      <c r="C100" s="11"/>
      <c r="D100" s="1"/>
      <c r="E100" s="1"/>
      <c r="F100" s="12"/>
      <c r="G100" s="12"/>
      <c r="H100" s="52"/>
    </row>
    <row r="101" spans="1:8" ht="24" customHeight="1" x14ac:dyDescent="0.2">
      <c r="A101" s="1"/>
      <c r="B101" s="1"/>
      <c r="C101" s="2" t="s">
        <v>170</v>
      </c>
      <c r="D101" s="1"/>
      <c r="E101" s="1"/>
      <c r="F101" s="12"/>
      <c r="G101" s="12"/>
      <c r="H101" s="52"/>
    </row>
    <row r="102" spans="1:8" ht="14.1" customHeight="1" x14ac:dyDescent="0.2">
      <c r="A102" s="1"/>
      <c r="B102" s="1"/>
      <c r="C102" s="2" t="s">
        <v>145</v>
      </c>
      <c r="D102" s="1"/>
      <c r="E102" s="1" t="s">
        <v>146</v>
      </c>
      <c r="F102" s="13" t="s">
        <v>148</v>
      </c>
      <c r="G102" s="10">
        <v>0</v>
      </c>
      <c r="H102" s="52"/>
    </row>
    <row r="103" spans="1:8" ht="14.1" customHeight="1" x14ac:dyDescent="0.2">
      <c r="A103" s="1"/>
      <c r="B103" s="1"/>
      <c r="C103" s="11"/>
      <c r="D103" s="1"/>
      <c r="E103" s="1"/>
      <c r="F103" s="12"/>
      <c r="G103" s="12"/>
      <c r="H103" s="52"/>
    </row>
    <row r="104" spans="1:8" ht="14.1" customHeight="1" x14ac:dyDescent="0.2">
      <c r="A104" s="1"/>
      <c r="B104" s="4"/>
      <c r="C104" s="4"/>
      <c r="D104" s="2"/>
      <c r="E104" s="1"/>
      <c r="F104" s="4"/>
      <c r="G104" s="8"/>
      <c r="H104" s="52"/>
    </row>
    <row r="105" spans="1:8" ht="18" customHeight="1" x14ac:dyDescent="0.2">
      <c r="A105" s="8"/>
      <c r="B105" s="4"/>
      <c r="C105" s="4" t="s">
        <v>171</v>
      </c>
      <c r="D105" s="4"/>
      <c r="E105" s="8"/>
      <c r="F105" s="6">
        <v>-2288.9694676399999</v>
      </c>
      <c r="G105" s="7">
        <v>-1.78613E-2</v>
      </c>
      <c r="H105" s="52"/>
    </row>
    <row r="106" spans="1:8" ht="14.1" customHeight="1" x14ac:dyDescent="0.2">
      <c r="A106" s="11"/>
      <c r="B106" s="11"/>
      <c r="C106" s="2" t="s">
        <v>172</v>
      </c>
      <c r="D106" s="12"/>
      <c r="E106" s="12"/>
      <c r="F106" s="9">
        <v>128152.49334836499</v>
      </c>
      <c r="G106" s="14">
        <v>0.99999998999999995</v>
      </c>
      <c r="H106" s="52"/>
    </row>
    <row r="107" spans="1:8" ht="14.1" customHeight="1" x14ac:dyDescent="0.2">
      <c r="A107" s="15"/>
      <c r="B107" s="15"/>
      <c r="C107" s="15"/>
      <c r="D107" s="16"/>
      <c r="E107" s="16"/>
      <c r="F107" s="16"/>
      <c r="G107" s="16"/>
    </row>
    <row r="108" spans="1:8" ht="14.1" customHeight="1" x14ac:dyDescent="0.2">
      <c r="A108" s="17"/>
      <c r="B108" s="17"/>
      <c r="C108" s="17"/>
      <c r="D108" s="19"/>
      <c r="E108" s="19"/>
      <c r="F108" s="19"/>
      <c r="G108" s="19"/>
    </row>
    <row r="109" spans="1:8" ht="14.1" customHeight="1" x14ac:dyDescent="0.2">
      <c r="A109" s="17"/>
      <c r="B109" s="127" t="s">
        <v>174</v>
      </c>
      <c r="C109" s="128"/>
      <c r="D109" s="129"/>
      <c r="E109" s="20"/>
      <c r="F109" s="19"/>
      <c r="G109" s="19"/>
    </row>
    <row r="110" spans="1:8" ht="29.1" customHeight="1" x14ac:dyDescent="0.2">
      <c r="A110" s="17"/>
      <c r="B110" s="121" t="s">
        <v>175</v>
      </c>
      <c r="C110" s="122"/>
      <c r="D110" s="2" t="s">
        <v>176</v>
      </c>
      <c r="E110" s="20"/>
      <c r="F110" s="19"/>
      <c r="G110" s="19"/>
    </row>
    <row r="111" spans="1:8" ht="17.100000000000001" customHeight="1" x14ac:dyDescent="0.2">
      <c r="A111" s="17"/>
      <c r="B111" s="121" t="s">
        <v>177</v>
      </c>
      <c r="C111" s="122"/>
      <c r="D111" s="2" t="s">
        <v>176</v>
      </c>
      <c r="E111" s="20"/>
      <c r="F111" s="19"/>
      <c r="G111" s="19"/>
    </row>
    <row r="112" spans="1:8" ht="17.100000000000001" customHeight="1" x14ac:dyDescent="0.2">
      <c r="A112" s="17"/>
      <c r="B112" s="121" t="s">
        <v>178</v>
      </c>
      <c r="C112" s="122"/>
      <c r="D112" s="12" t="s">
        <v>146</v>
      </c>
      <c r="E112" s="20"/>
      <c r="F112" s="19"/>
      <c r="G112" s="19"/>
    </row>
    <row r="113" spans="1:7" ht="24" customHeight="1" x14ac:dyDescent="0.2">
      <c r="A113" s="21"/>
      <c r="B113" s="22" t="s">
        <v>146</v>
      </c>
      <c r="C113" s="22" t="s">
        <v>179</v>
      </c>
      <c r="D113" s="22" t="s">
        <v>180</v>
      </c>
      <c r="E113" s="21"/>
      <c r="F113" s="21"/>
      <c r="G113" s="21"/>
    </row>
    <row r="114" spans="1:7" ht="18" customHeight="1" x14ac:dyDescent="0.2">
      <c r="A114" s="21"/>
      <c r="B114" s="23" t="s">
        <v>181</v>
      </c>
      <c r="C114" s="22" t="s">
        <v>182</v>
      </c>
      <c r="D114" s="22" t="s">
        <v>183</v>
      </c>
      <c r="E114" s="21"/>
      <c r="F114" s="21"/>
      <c r="G114" s="21"/>
    </row>
    <row r="115" spans="1:7" ht="17.100000000000001" customHeight="1" x14ac:dyDescent="0.2">
      <c r="A115" s="21"/>
      <c r="B115" s="4" t="s">
        <v>184</v>
      </c>
      <c r="C115" s="24">
        <v>79.391499999999994</v>
      </c>
      <c r="D115" s="24">
        <v>79.551900000000003</v>
      </c>
      <c r="E115" s="21"/>
      <c r="F115" s="18"/>
      <c r="G115" s="25"/>
    </row>
    <row r="116" spans="1:7" ht="17.100000000000001" customHeight="1" x14ac:dyDescent="0.2">
      <c r="A116" s="21"/>
      <c r="B116" s="4" t="s">
        <v>1039</v>
      </c>
      <c r="C116" s="24">
        <v>28.422799999999999</v>
      </c>
      <c r="D116" s="24">
        <v>28.4802</v>
      </c>
      <c r="E116" s="21"/>
      <c r="F116" s="18"/>
      <c r="G116" s="25"/>
    </row>
    <row r="117" spans="1:7" ht="17.100000000000001" customHeight="1" x14ac:dyDescent="0.2">
      <c r="A117" s="21"/>
      <c r="B117" s="4" t="s">
        <v>185</v>
      </c>
      <c r="C117" s="24">
        <v>73.563299999999998</v>
      </c>
      <c r="D117" s="24">
        <v>73.657700000000006</v>
      </c>
      <c r="E117" s="21"/>
      <c r="F117" s="18"/>
      <c r="G117" s="25"/>
    </row>
    <row r="118" spans="1:7" ht="17.100000000000001" customHeight="1" x14ac:dyDescent="0.2">
      <c r="A118" s="21"/>
      <c r="B118" s="4" t="s">
        <v>1040</v>
      </c>
      <c r="C118" s="24">
        <v>25.9011</v>
      </c>
      <c r="D118" s="24">
        <v>25.9343</v>
      </c>
      <c r="E118" s="21"/>
      <c r="F118" s="18"/>
      <c r="G118" s="25"/>
    </row>
    <row r="119" spans="1:7" ht="14.1" customHeight="1" x14ac:dyDescent="0.2">
      <c r="A119" s="21"/>
      <c r="B119" s="21"/>
      <c r="C119" s="21"/>
      <c r="D119" s="21"/>
      <c r="E119" s="21"/>
      <c r="F119" s="21"/>
      <c r="G119" s="21"/>
    </row>
    <row r="120" spans="1:7" ht="17.100000000000001" customHeight="1" x14ac:dyDescent="0.2">
      <c r="A120" s="21"/>
      <c r="B120" s="121" t="s">
        <v>1041</v>
      </c>
      <c r="C120" s="122"/>
      <c r="D120" s="2" t="s">
        <v>176</v>
      </c>
      <c r="E120" s="21"/>
      <c r="F120" s="21"/>
      <c r="G120" s="21"/>
    </row>
    <row r="121" spans="1:7" ht="18" customHeight="1" x14ac:dyDescent="0.2">
      <c r="A121" s="21"/>
      <c r="B121" s="26"/>
      <c r="C121" s="26"/>
      <c r="D121" s="26"/>
      <c r="E121" s="21"/>
      <c r="F121" s="21"/>
      <c r="G121" s="21"/>
    </row>
    <row r="122" spans="1:7" ht="29.1" customHeight="1" x14ac:dyDescent="0.2">
      <c r="A122" s="21"/>
      <c r="B122" s="121" t="s">
        <v>186</v>
      </c>
      <c r="C122" s="122"/>
      <c r="D122" s="2" t="s">
        <v>176</v>
      </c>
      <c r="E122" s="27"/>
      <c r="F122" s="21"/>
      <c r="G122" s="21"/>
    </row>
    <row r="123" spans="1:7" ht="29.1" customHeight="1" x14ac:dyDescent="0.2">
      <c r="A123" s="21"/>
      <c r="B123" s="121" t="s">
        <v>187</v>
      </c>
      <c r="C123" s="122"/>
      <c r="D123" s="2" t="s">
        <v>176</v>
      </c>
      <c r="E123" s="27"/>
      <c r="F123" s="21"/>
      <c r="G123" s="21"/>
    </row>
    <row r="124" spans="1:7" ht="17.100000000000001" customHeight="1" x14ac:dyDescent="0.2">
      <c r="A124" s="21"/>
      <c r="B124" s="121" t="s">
        <v>188</v>
      </c>
      <c r="C124" s="122"/>
      <c r="D124" s="2" t="s">
        <v>176</v>
      </c>
      <c r="E124" s="27"/>
      <c r="F124" s="21"/>
      <c r="G124" s="21"/>
    </row>
    <row r="125" spans="1:7" ht="17.100000000000001" customHeight="1" x14ac:dyDescent="0.2">
      <c r="A125" s="21"/>
      <c r="B125" s="121" t="s">
        <v>189</v>
      </c>
      <c r="C125" s="122"/>
      <c r="D125" s="50">
        <v>0.39177882658821234</v>
      </c>
      <c r="E125" s="21"/>
      <c r="F125" s="18"/>
      <c r="G125" s="25"/>
    </row>
  </sheetData>
  <mergeCells count="13">
    <mergeCell ref="A1:H1"/>
    <mergeCell ref="A2:H2"/>
    <mergeCell ref="A3:H3"/>
    <mergeCell ref="J2:N2"/>
    <mergeCell ref="B125:C125"/>
    <mergeCell ref="B111:C111"/>
    <mergeCell ref="B112:C112"/>
    <mergeCell ref="B120:C120"/>
    <mergeCell ref="B122:C122"/>
    <mergeCell ref="B123:C123"/>
    <mergeCell ref="B124:C124"/>
    <mergeCell ref="B110:C110"/>
    <mergeCell ref="B109:D109"/>
  </mergeCells>
  <hyperlinks>
    <hyperlink ref="I1" location="Index!B24" display="Index" xr:uid="{B24D2209-570D-49A0-B49B-B783063A20B2}"/>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outlinePr summaryBelow="0" summaryRight="0"/>
  </sheetPr>
  <dimension ref="A1:O142"/>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5" ht="18" customHeight="1" x14ac:dyDescent="0.2">
      <c r="A1" s="116" t="s">
        <v>0</v>
      </c>
      <c r="B1" s="116"/>
      <c r="C1" s="116"/>
      <c r="D1" s="116"/>
      <c r="E1" s="116"/>
      <c r="F1" s="116"/>
      <c r="G1" s="116"/>
      <c r="H1" s="116"/>
      <c r="I1" s="98" t="s">
        <v>1053</v>
      </c>
    </row>
    <row r="2" spans="1:15" ht="17.100000000000001" customHeight="1" x14ac:dyDescent="0.2">
      <c r="A2" s="117" t="s">
        <v>835</v>
      </c>
      <c r="B2" s="118"/>
      <c r="C2" s="118"/>
      <c r="D2" s="118"/>
      <c r="E2" s="118"/>
      <c r="F2" s="118"/>
      <c r="G2" s="118"/>
      <c r="H2" s="119"/>
      <c r="J2" s="120" t="s">
        <v>1054</v>
      </c>
      <c r="K2" s="120"/>
      <c r="L2" s="120"/>
      <c r="M2" s="120"/>
      <c r="N2" s="120"/>
    </row>
    <row r="3" spans="1:15" ht="21" customHeight="1" x14ac:dyDescent="0.2">
      <c r="A3" s="116" t="s">
        <v>1049</v>
      </c>
      <c r="B3" s="116"/>
      <c r="C3" s="116"/>
      <c r="D3" s="116"/>
      <c r="E3" s="116"/>
      <c r="F3" s="116"/>
      <c r="G3" s="116"/>
      <c r="H3" s="116"/>
    </row>
    <row r="4" spans="1:15" ht="30" x14ac:dyDescent="0.2">
      <c r="A4" s="96" t="s">
        <v>2</v>
      </c>
      <c r="B4" s="96" t="s">
        <v>3</v>
      </c>
      <c r="C4" s="96" t="s">
        <v>4</v>
      </c>
      <c r="D4" s="96" t="s">
        <v>5</v>
      </c>
      <c r="E4" s="96" t="s">
        <v>6</v>
      </c>
      <c r="F4" s="96" t="s">
        <v>7</v>
      </c>
      <c r="G4" s="96" t="s">
        <v>8</v>
      </c>
      <c r="H4" s="51" t="s">
        <v>1002</v>
      </c>
      <c r="I4" s="99"/>
      <c r="J4" s="99"/>
      <c r="K4" s="99"/>
      <c r="L4" s="99"/>
      <c r="M4" s="99"/>
      <c r="N4" s="99"/>
      <c r="O4" s="99"/>
    </row>
    <row r="5" spans="1:15" ht="14.1" customHeight="1" x14ac:dyDescent="0.2">
      <c r="A5" s="1"/>
      <c r="B5" s="1"/>
      <c r="C5" s="2" t="s">
        <v>9</v>
      </c>
      <c r="D5" s="1"/>
      <c r="E5" s="1"/>
      <c r="F5" s="1"/>
      <c r="G5" s="1"/>
      <c r="H5" s="52"/>
    </row>
    <row r="6" spans="1:15" ht="24" customHeight="1" x14ac:dyDescent="0.2">
      <c r="A6" s="1"/>
      <c r="B6" s="1"/>
      <c r="C6" s="2" t="s">
        <v>10</v>
      </c>
      <c r="D6" s="1"/>
      <c r="E6" s="1"/>
      <c r="F6" s="1"/>
      <c r="G6" s="1"/>
      <c r="H6" s="52"/>
    </row>
    <row r="7" spans="1:15" ht="17.100000000000001" customHeight="1" x14ac:dyDescent="0.2">
      <c r="A7" s="3">
        <v>1</v>
      </c>
      <c r="B7" s="4" t="s">
        <v>26</v>
      </c>
      <c r="C7" s="4" t="s">
        <v>27</v>
      </c>
      <c r="D7" s="4" t="s">
        <v>28</v>
      </c>
      <c r="E7" s="5">
        <v>2909416</v>
      </c>
      <c r="F7" s="6">
        <v>26631.339356</v>
      </c>
      <c r="G7" s="7">
        <v>9.4879839999999993E-2</v>
      </c>
      <c r="H7" s="52"/>
    </row>
    <row r="8" spans="1:15" ht="17.100000000000001" customHeight="1" x14ac:dyDescent="0.2">
      <c r="A8" s="3">
        <v>2</v>
      </c>
      <c r="B8" s="4" t="s">
        <v>319</v>
      </c>
      <c r="C8" s="4" t="s">
        <v>320</v>
      </c>
      <c r="D8" s="4" t="s">
        <v>28</v>
      </c>
      <c r="E8" s="5">
        <v>1765688</v>
      </c>
      <c r="F8" s="6">
        <v>26070.383320000001</v>
      </c>
      <c r="G8" s="7">
        <v>9.2881309999999995E-2</v>
      </c>
      <c r="H8" s="52"/>
    </row>
    <row r="9" spans="1:15" ht="17.100000000000001" customHeight="1" x14ac:dyDescent="0.2">
      <c r="A9" s="3">
        <v>3</v>
      </c>
      <c r="B9" s="4" t="s">
        <v>17</v>
      </c>
      <c r="C9" s="4" t="s">
        <v>18</v>
      </c>
      <c r="D9" s="4" t="s">
        <v>19</v>
      </c>
      <c r="E9" s="5">
        <v>2277503</v>
      </c>
      <c r="F9" s="6">
        <v>20825.487432000002</v>
      </c>
      <c r="G9" s="7">
        <v>7.4195250000000004E-2</v>
      </c>
      <c r="H9" s="52"/>
    </row>
    <row r="10" spans="1:15" ht="17.100000000000001" customHeight="1" x14ac:dyDescent="0.2">
      <c r="A10" s="3">
        <v>4</v>
      </c>
      <c r="B10" s="4" t="s">
        <v>14</v>
      </c>
      <c r="C10" s="4" t="s">
        <v>15</v>
      </c>
      <c r="D10" s="4" t="s">
        <v>16</v>
      </c>
      <c r="E10" s="5">
        <v>523988</v>
      </c>
      <c r="F10" s="6">
        <v>11988.321452</v>
      </c>
      <c r="G10" s="7">
        <v>4.2710959999999999E-2</v>
      </c>
      <c r="H10" s="52"/>
    </row>
    <row r="11" spans="1:15" ht="17.100000000000001" customHeight="1" x14ac:dyDescent="0.2">
      <c r="A11" s="3">
        <v>5</v>
      </c>
      <c r="B11" s="4" t="s">
        <v>251</v>
      </c>
      <c r="C11" s="4" t="s">
        <v>252</v>
      </c>
      <c r="D11" s="4" t="s">
        <v>70</v>
      </c>
      <c r="E11" s="5">
        <v>740991</v>
      </c>
      <c r="F11" s="6">
        <v>8433.959562</v>
      </c>
      <c r="G11" s="7">
        <v>3.004778E-2</v>
      </c>
      <c r="H11" s="52"/>
    </row>
    <row r="12" spans="1:15" ht="17.100000000000001" customHeight="1" x14ac:dyDescent="0.2">
      <c r="A12" s="3">
        <v>6</v>
      </c>
      <c r="B12" s="4" t="s">
        <v>257</v>
      </c>
      <c r="C12" s="4" t="s">
        <v>258</v>
      </c>
      <c r="D12" s="4" t="s">
        <v>259</v>
      </c>
      <c r="E12" s="5">
        <v>3118735</v>
      </c>
      <c r="F12" s="6">
        <v>8083.7611200000001</v>
      </c>
      <c r="G12" s="7">
        <v>2.880013E-2</v>
      </c>
      <c r="H12" s="52"/>
    </row>
    <row r="13" spans="1:15" ht="17.100000000000001" customHeight="1" x14ac:dyDescent="0.2">
      <c r="A13" s="3">
        <v>7</v>
      </c>
      <c r="B13" s="4" t="s">
        <v>360</v>
      </c>
      <c r="C13" s="4" t="s">
        <v>361</v>
      </c>
      <c r="D13" s="4" t="s">
        <v>60</v>
      </c>
      <c r="E13" s="5">
        <v>241855</v>
      </c>
      <c r="F13" s="6">
        <v>7714.3280075000002</v>
      </c>
      <c r="G13" s="7">
        <v>2.7483939999999998E-2</v>
      </c>
      <c r="H13" s="52"/>
      <c r="J13" s="101" t="s">
        <v>1084</v>
      </c>
    </row>
    <row r="14" spans="1:15" ht="17.100000000000001" customHeight="1" x14ac:dyDescent="0.2">
      <c r="A14" s="3">
        <v>8</v>
      </c>
      <c r="B14" s="4" t="s">
        <v>791</v>
      </c>
      <c r="C14" s="4" t="s">
        <v>792</v>
      </c>
      <c r="D14" s="4" t="s">
        <v>205</v>
      </c>
      <c r="E14" s="5">
        <v>159237</v>
      </c>
      <c r="F14" s="6">
        <v>7675.064163</v>
      </c>
      <c r="G14" s="7">
        <v>2.734406E-2</v>
      </c>
      <c r="H14" s="52"/>
    </row>
    <row r="15" spans="1:15" ht="17.100000000000001" customHeight="1" x14ac:dyDescent="0.2">
      <c r="A15" s="3">
        <v>9</v>
      </c>
      <c r="B15" s="4" t="s">
        <v>355</v>
      </c>
      <c r="C15" s="4" t="s">
        <v>356</v>
      </c>
      <c r="D15" s="4" t="s">
        <v>357</v>
      </c>
      <c r="E15" s="5">
        <v>317075</v>
      </c>
      <c r="F15" s="6">
        <v>7390.7011750000001</v>
      </c>
      <c r="G15" s="7">
        <v>2.6330949999999999E-2</v>
      </c>
      <c r="H15" s="52"/>
    </row>
    <row r="16" spans="1:15" ht="17.100000000000001" customHeight="1" x14ac:dyDescent="0.2">
      <c r="A16" s="3">
        <v>10</v>
      </c>
      <c r="B16" s="4" t="s">
        <v>329</v>
      </c>
      <c r="C16" s="4" t="s">
        <v>330</v>
      </c>
      <c r="D16" s="4" t="s">
        <v>28</v>
      </c>
      <c r="E16" s="5">
        <v>488453</v>
      </c>
      <c r="F16" s="6">
        <v>7040.0730890000004</v>
      </c>
      <c r="G16" s="7">
        <v>2.5081760000000002E-2</v>
      </c>
      <c r="H16" s="52"/>
    </row>
    <row r="17" spans="1:10" ht="17.100000000000001" customHeight="1" x14ac:dyDescent="0.2">
      <c r="A17" s="3">
        <v>11</v>
      </c>
      <c r="B17" s="4" t="s">
        <v>401</v>
      </c>
      <c r="C17" s="4" t="s">
        <v>402</v>
      </c>
      <c r="D17" s="4" t="s">
        <v>259</v>
      </c>
      <c r="E17" s="5">
        <v>399510</v>
      </c>
      <c r="F17" s="6">
        <v>6385.1685749999997</v>
      </c>
      <c r="G17" s="7">
        <v>2.2748529999999999E-2</v>
      </c>
      <c r="H17" s="52"/>
    </row>
    <row r="18" spans="1:10" ht="17.100000000000001" customHeight="1" x14ac:dyDescent="0.2">
      <c r="A18" s="3">
        <v>12</v>
      </c>
      <c r="B18" s="4" t="s">
        <v>399</v>
      </c>
      <c r="C18" s="4" t="s">
        <v>400</v>
      </c>
      <c r="D18" s="4" t="s">
        <v>28</v>
      </c>
      <c r="E18" s="5">
        <v>6346636</v>
      </c>
      <c r="F18" s="6">
        <v>5886.5048900000002</v>
      </c>
      <c r="G18" s="7">
        <v>2.097193E-2</v>
      </c>
      <c r="H18" s="52"/>
    </row>
    <row r="19" spans="1:10" ht="29.1" customHeight="1" x14ac:dyDescent="0.2">
      <c r="A19" s="3">
        <v>13</v>
      </c>
      <c r="B19" s="4" t="s">
        <v>563</v>
      </c>
      <c r="C19" s="4" t="s">
        <v>564</v>
      </c>
      <c r="D19" s="4" t="s">
        <v>221</v>
      </c>
      <c r="E19" s="5">
        <v>1066608</v>
      </c>
      <c r="F19" s="6">
        <v>5602.3585199999998</v>
      </c>
      <c r="G19" s="7">
        <v>1.9959600000000001E-2</v>
      </c>
      <c r="H19" s="52"/>
    </row>
    <row r="20" spans="1:10" ht="17.100000000000001" customHeight="1" x14ac:dyDescent="0.2">
      <c r="A20" s="3">
        <v>14</v>
      </c>
      <c r="B20" s="4" t="s">
        <v>353</v>
      </c>
      <c r="C20" s="4" t="s">
        <v>354</v>
      </c>
      <c r="D20" s="4" t="s">
        <v>888</v>
      </c>
      <c r="E20" s="5">
        <v>110011</v>
      </c>
      <c r="F20" s="6">
        <v>5566.9966439999998</v>
      </c>
      <c r="G20" s="7">
        <v>1.983362E-2</v>
      </c>
      <c r="H20" s="52"/>
    </row>
    <row r="21" spans="1:10" ht="17.100000000000001" customHeight="1" x14ac:dyDescent="0.2">
      <c r="A21" s="3">
        <v>15</v>
      </c>
      <c r="B21" s="4" t="s">
        <v>323</v>
      </c>
      <c r="C21" s="4" t="s">
        <v>324</v>
      </c>
      <c r="D21" s="4" t="s">
        <v>28</v>
      </c>
      <c r="E21" s="5">
        <v>565112</v>
      </c>
      <c r="F21" s="6">
        <v>5548.5521719999997</v>
      </c>
      <c r="G21" s="7">
        <v>1.9767900000000001E-2</v>
      </c>
      <c r="H21" s="52"/>
    </row>
    <row r="22" spans="1:10" ht="17.100000000000001" customHeight="1" x14ac:dyDescent="0.2">
      <c r="A22" s="3">
        <v>16</v>
      </c>
      <c r="B22" s="4" t="s">
        <v>425</v>
      </c>
      <c r="C22" s="4" t="s">
        <v>426</v>
      </c>
      <c r="D22" s="4" t="s">
        <v>231</v>
      </c>
      <c r="E22" s="5">
        <v>670992</v>
      </c>
      <c r="F22" s="6">
        <v>5324.9925119999998</v>
      </c>
      <c r="G22" s="7">
        <v>1.8971419999999999E-2</v>
      </c>
      <c r="H22" s="52"/>
    </row>
    <row r="23" spans="1:10" ht="17.100000000000001" customHeight="1" x14ac:dyDescent="0.2">
      <c r="A23" s="3">
        <v>17</v>
      </c>
      <c r="B23" s="4" t="s">
        <v>411</v>
      </c>
      <c r="C23" s="4" t="s">
        <v>412</v>
      </c>
      <c r="D23" s="4" t="s">
        <v>70</v>
      </c>
      <c r="E23" s="5">
        <v>684127</v>
      </c>
      <c r="F23" s="6">
        <v>5222.9675815000001</v>
      </c>
      <c r="G23" s="7">
        <v>1.860794E-2</v>
      </c>
      <c r="H23" s="52"/>
    </row>
    <row r="24" spans="1:10" ht="17.100000000000001" customHeight="1" x14ac:dyDescent="0.2">
      <c r="A24" s="3">
        <v>18</v>
      </c>
      <c r="B24" s="4" t="s">
        <v>466</v>
      </c>
      <c r="C24" s="4" t="s">
        <v>467</v>
      </c>
      <c r="D24" s="4" t="s">
        <v>221</v>
      </c>
      <c r="E24" s="5">
        <v>378452</v>
      </c>
      <c r="F24" s="6">
        <v>5176.6556819999996</v>
      </c>
      <c r="G24" s="7">
        <v>1.8442940000000001E-2</v>
      </c>
      <c r="H24" s="52"/>
    </row>
    <row r="25" spans="1:10" ht="17.100000000000001" customHeight="1" x14ac:dyDescent="0.2">
      <c r="A25" s="3">
        <v>19</v>
      </c>
      <c r="B25" s="4" t="s">
        <v>405</v>
      </c>
      <c r="C25" s="4" t="s">
        <v>406</v>
      </c>
      <c r="D25" s="4" t="s">
        <v>357</v>
      </c>
      <c r="E25" s="5">
        <v>176842</v>
      </c>
      <c r="F25" s="6">
        <v>4565.9720189999998</v>
      </c>
      <c r="G25" s="7">
        <v>1.626725E-2</v>
      </c>
      <c r="H25" s="52"/>
      <c r="J25" s="101" t="s">
        <v>1085</v>
      </c>
    </row>
    <row r="26" spans="1:10" ht="17.100000000000001" customHeight="1" x14ac:dyDescent="0.2">
      <c r="A26" s="3">
        <v>20</v>
      </c>
      <c r="B26" s="4" t="s">
        <v>203</v>
      </c>
      <c r="C26" s="4" t="s">
        <v>204</v>
      </c>
      <c r="D26" s="4" t="s">
        <v>205</v>
      </c>
      <c r="E26" s="5">
        <v>1408236</v>
      </c>
      <c r="F26" s="6">
        <v>4547.8981620000004</v>
      </c>
      <c r="G26" s="7">
        <v>1.6202859999999999E-2</v>
      </c>
      <c r="H26" s="52"/>
    </row>
    <row r="27" spans="1:10" ht="17.100000000000001" customHeight="1" x14ac:dyDescent="0.2">
      <c r="A27" s="3">
        <v>21</v>
      </c>
      <c r="B27" s="4" t="s">
        <v>386</v>
      </c>
      <c r="C27" s="4" t="s">
        <v>387</v>
      </c>
      <c r="D27" s="4" t="s">
        <v>311</v>
      </c>
      <c r="E27" s="5">
        <v>11684</v>
      </c>
      <c r="F27" s="6">
        <v>4418.4681760000003</v>
      </c>
      <c r="G27" s="7">
        <v>1.5741740000000001E-2</v>
      </c>
      <c r="H27" s="52"/>
    </row>
    <row r="28" spans="1:10" ht="17.100000000000001" customHeight="1" x14ac:dyDescent="0.2">
      <c r="A28" s="3">
        <v>22</v>
      </c>
      <c r="B28" s="4" t="s">
        <v>291</v>
      </c>
      <c r="C28" s="4" t="s">
        <v>292</v>
      </c>
      <c r="D28" s="4" t="s">
        <v>76</v>
      </c>
      <c r="E28" s="5">
        <v>1155489</v>
      </c>
      <c r="F28" s="6">
        <v>4418.0121915</v>
      </c>
      <c r="G28" s="7">
        <v>1.5740110000000002E-2</v>
      </c>
      <c r="H28" s="52"/>
    </row>
    <row r="29" spans="1:10" ht="17.100000000000001" customHeight="1" x14ac:dyDescent="0.2">
      <c r="A29" s="3">
        <v>23</v>
      </c>
      <c r="B29" s="4" t="s">
        <v>427</v>
      </c>
      <c r="C29" s="4" t="s">
        <v>428</v>
      </c>
      <c r="D29" s="4" t="s">
        <v>93</v>
      </c>
      <c r="E29" s="5">
        <v>241257</v>
      </c>
      <c r="F29" s="6">
        <v>4379.6589494999998</v>
      </c>
      <c r="G29" s="7">
        <v>1.5603469999999999E-2</v>
      </c>
      <c r="H29" s="52"/>
    </row>
    <row r="30" spans="1:10" ht="17.100000000000001" customHeight="1" x14ac:dyDescent="0.2">
      <c r="A30" s="3">
        <v>24</v>
      </c>
      <c r="B30" s="4" t="s">
        <v>236</v>
      </c>
      <c r="C30" s="4" t="s">
        <v>237</v>
      </c>
      <c r="D30" s="4" t="s">
        <v>888</v>
      </c>
      <c r="E30" s="5">
        <v>87018</v>
      </c>
      <c r="F30" s="6">
        <v>4337.194665</v>
      </c>
      <c r="G30" s="7">
        <v>1.5452179999999999E-2</v>
      </c>
      <c r="H30" s="52"/>
    </row>
    <row r="31" spans="1:10" ht="17.100000000000001" customHeight="1" x14ac:dyDescent="0.2">
      <c r="A31" s="3">
        <v>25</v>
      </c>
      <c r="B31" s="4" t="s">
        <v>249</v>
      </c>
      <c r="C31" s="4" t="s">
        <v>250</v>
      </c>
      <c r="D31" s="4" t="s">
        <v>231</v>
      </c>
      <c r="E31" s="5">
        <v>748590</v>
      </c>
      <c r="F31" s="6">
        <v>4099.6531349999996</v>
      </c>
      <c r="G31" s="7">
        <v>1.460589E-2</v>
      </c>
      <c r="H31" s="52"/>
    </row>
    <row r="32" spans="1:10" ht="17.100000000000001" customHeight="1" x14ac:dyDescent="0.2">
      <c r="A32" s="3">
        <v>26</v>
      </c>
      <c r="B32" s="4" t="s">
        <v>438</v>
      </c>
      <c r="C32" s="4" t="s">
        <v>439</v>
      </c>
      <c r="D32" s="4" t="s">
        <v>889</v>
      </c>
      <c r="E32" s="5">
        <v>377955</v>
      </c>
      <c r="F32" s="6">
        <v>3973.6298925000001</v>
      </c>
      <c r="G32" s="7">
        <v>1.415691E-2</v>
      </c>
      <c r="H32" s="52"/>
    </row>
    <row r="33" spans="1:8" ht="17.100000000000001" customHeight="1" x14ac:dyDescent="0.2">
      <c r="A33" s="3">
        <v>27</v>
      </c>
      <c r="B33" s="4" t="s">
        <v>50</v>
      </c>
      <c r="C33" s="4" t="s">
        <v>51</v>
      </c>
      <c r="D33" s="4" t="s">
        <v>52</v>
      </c>
      <c r="E33" s="5">
        <v>557919</v>
      </c>
      <c r="F33" s="6">
        <v>3839.5985580000001</v>
      </c>
      <c r="G33" s="7">
        <v>1.367939E-2</v>
      </c>
      <c r="H33" s="52"/>
    </row>
    <row r="34" spans="1:8" ht="17.100000000000001" customHeight="1" x14ac:dyDescent="0.2">
      <c r="A34" s="3">
        <v>28</v>
      </c>
      <c r="B34" s="4" t="s">
        <v>267</v>
      </c>
      <c r="C34" s="4" t="s">
        <v>268</v>
      </c>
      <c r="D34" s="4" t="s">
        <v>70</v>
      </c>
      <c r="E34" s="5">
        <v>265869</v>
      </c>
      <c r="F34" s="6">
        <v>3742.9037819999999</v>
      </c>
      <c r="G34" s="7">
        <v>1.333489E-2</v>
      </c>
      <c r="H34" s="52"/>
    </row>
    <row r="35" spans="1:8" ht="17.100000000000001" customHeight="1" x14ac:dyDescent="0.2">
      <c r="A35" s="3">
        <v>29</v>
      </c>
      <c r="B35" s="4" t="s">
        <v>212</v>
      </c>
      <c r="C35" s="4" t="s">
        <v>213</v>
      </c>
      <c r="D35" s="4" t="s">
        <v>888</v>
      </c>
      <c r="E35" s="5">
        <v>56935</v>
      </c>
      <c r="F35" s="6">
        <v>3507.30987</v>
      </c>
      <c r="G35" s="7">
        <v>1.2495539999999999E-2</v>
      </c>
      <c r="H35" s="52"/>
    </row>
    <row r="36" spans="1:8" ht="17.100000000000001" customHeight="1" x14ac:dyDescent="0.2">
      <c r="A36" s="3">
        <v>30</v>
      </c>
      <c r="B36" s="4" t="s">
        <v>519</v>
      </c>
      <c r="C36" s="4" t="s">
        <v>520</v>
      </c>
      <c r="D36" s="4" t="s">
        <v>888</v>
      </c>
      <c r="E36" s="5">
        <v>546107</v>
      </c>
      <c r="F36" s="6">
        <v>3408.5268405000002</v>
      </c>
      <c r="G36" s="7">
        <v>1.2143610000000001E-2</v>
      </c>
      <c r="H36" s="52"/>
    </row>
    <row r="37" spans="1:8" ht="17.100000000000001" customHeight="1" x14ac:dyDescent="0.2">
      <c r="A37" s="3">
        <v>31</v>
      </c>
      <c r="B37" s="4" t="s">
        <v>370</v>
      </c>
      <c r="C37" s="4" t="s">
        <v>371</v>
      </c>
      <c r="D37" s="4" t="s">
        <v>208</v>
      </c>
      <c r="E37" s="5">
        <v>90068</v>
      </c>
      <c r="F37" s="6">
        <v>3272.5307120000002</v>
      </c>
      <c r="G37" s="7">
        <v>1.165909E-2</v>
      </c>
      <c r="H37" s="52"/>
    </row>
    <row r="38" spans="1:8" ht="17.100000000000001" customHeight="1" x14ac:dyDescent="0.2">
      <c r="A38" s="3">
        <v>32</v>
      </c>
      <c r="B38" s="4" t="s">
        <v>417</v>
      </c>
      <c r="C38" s="4" t="s">
        <v>418</v>
      </c>
      <c r="D38" s="4" t="s">
        <v>231</v>
      </c>
      <c r="E38" s="5">
        <v>226690</v>
      </c>
      <c r="F38" s="6">
        <v>2936.6556049999999</v>
      </c>
      <c r="G38" s="7">
        <v>1.046246E-2</v>
      </c>
      <c r="H38" s="52"/>
    </row>
    <row r="39" spans="1:8" ht="17.100000000000001" customHeight="1" x14ac:dyDescent="0.2">
      <c r="A39" s="3">
        <v>33</v>
      </c>
      <c r="B39" s="4" t="s">
        <v>227</v>
      </c>
      <c r="C39" s="4" t="s">
        <v>228</v>
      </c>
      <c r="D39" s="4" t="s">
        <v>76</v>
      </c>
      <c r="E39" s="5">
        <v>1095226</v>
      </c>
      <c r="F39" s="6">
        <v>2929.72955</v>
      </c>
      <c r="G39" s="7">
        <v>1.0437790000000001E-2</v>
      </c>
      <c r="H39" s="52"/>
    </row>
    <row r="40" spans="1:8" ht="17.100000000000001" customHeight="1" x14ac:dyDescent="0.2">
      <c r="A40" s="3">
        <v>34</v>
      </c>
      <c r="B40" s="4" t="s">
        <v>452</v>
      </c>
      <c r="C40" s="4" t="s">
        <v>453</v>
      </c>
      <c r="D40" s="4" t="s">
        <v>52</v>
      </c>
      <c r="E40" s="5">
        <v>353653</v>
      </c>
      <c r="F40" s="6">
        <v>2895.7107639999999</v>
      </c>
      <c r="G40" s="7">
        <v>1.031659E-2</v>
      </c>
      <c r="H40" s="52"/>
    </row>
    <row r="41" spans="1:8" ht="17.100000000000001" customHeight="1" x14ac:dyDescent="0.2">
      <c r="A41" s="3">
        <v>35</v>
      </c>
      <c r="B41" s="4" t="s">
        <v>253</v>
      </c>
      <c r="C41" s="4" t="s">
        <v>254</v>
      </c>
      <c r="D41" s="4" t="s">
        <v>208</v>
      </c>
      <c r="E41" s="5">
        <v>67293</v>
      </c>
      <c r="F41" s="6">
        <v>2748.4143524999999</v>
      </c>
      <c r="G41" s="7">
        <v>9.7918099999999998E-3</v>
      </c>
      <c r="H41" s="52"/>
    </row>
    <row r="42" spans="1:8" ht="17.100000000000001" customHeight="1" x14ac:dyDescent="0.2">
      <c r="A42" s="3">
        <v>36</v>
      </c>
      <c r="B42" s="4" t="s">
        <v>715</v>
      </c>
      <c r="C42" s="4" t="s">
        <v>716</v>
      </c>
      <c r="D42" s="4" t="s">
        <v>60</v>
      </c>
      <c r="E42" s="5">
        <v>403356</v>
      </c>
      <c r="F42" s="6">
        <v>2715.1909139999998</v>
      </c>
      <c r="G42" s="7">
        <v>9.6734500000000001E-3</v>
      </c>
      <c r="H42" s="52"/>
    </row>
    <row r="43" spans="1:8" ht="17.100000000000001" customHeight="1" x14ac:dyDescent="0.2">
      <c r="A43" s="3">
        <v>37</v>
      </c>
      <c r="B43" s="4" t="s">
        <v>462</v>
      </c>
      <c r="C43" s="4" t="s">
        <v>463</v>
      </c>
      <c r="D43" s="4" t="s">
        <v>28</v>
      </c>
      <c r="E43" s="5">
        <v>742103</v>
      </c>
      <c r="F43" s="6">
        <v>2451.908312</v>
      </c>
      <c r="G43" s="7">
        <v>8.7354500000000005E-3</v>
      </c>
      <c r="H43" s="52"/>
    </row>
    <row r="44" spans="1:8" ht="29.1" customHeight="1" x14ac:dyDescent="0.2">
      <c r="A44" s="3">
        <v>38</v>
      </c>
      <c r="B44" s="4" t="s">
        <v>486</v>
      </c>
      <c r="C44" s="4" t="s">
        <v>487</v>
      </c>
      <c r="D44" s="4" t="s">
        <v>488</v>
      </c>
      <c r="E44" s="5">
        <v>572545</v>
      </c>
      <c r="F44" s="6">
        <v>2360.3167625000001</v>
      </c>
      <c r="G44" s="7">
        <v>8.4091300000000008E-3</v>
      </c>
      <c r="H44" s="52"/>
    </row>
    <row r="45" spans="1:8" ht="17.100000000000001" customHeight="1" x14ac:dyDescent="0.2">
      <c r="A45" s="3">
        <v>39</v>
      </c>
      <c r="B45" s="4" t="s">
        <v>836</v>
      </c>
      <c r="C45" s="4" t="s">
        <v>837</v>
      </c>
      <c r="D45" s="4" t="s">
        <v>205</v>
      </c>
      <c r="E45" s="5">
        <v>290239</v>
      </c>
      <c r="F45" s="6">
        <v>2277.2151939999999</v>
      </c>
      <c r="G45" s="7">
        <v>8.11307E-3</v>
      </c>
      <c r="H45" s="52"/>
    </row>
    <row r="46" spans="1:8" ht="17.100000000000001" customHeight="1" x14ac:dyDescent="0.2">
      <c r="A46" s="3">
        <v>40</v>
      </c>
      <c r="B46" s="4" t="s">
        <v>415</v>
      </c>
      <c r="C46" s="4" t="s">
        <v>416</v>
      </c>
      <c r="D46" s="4" t="s">
        <v>70</v>
      </c>
      <c r="E46" s="5">
        <v>136278</v>
      </c>
      <c r="F46" s="6">
        <v>2176.632216</v>
      </c>
      <c r="G46" s="7">
        <v>7.7547199999999997E-3</v>
      </c>
      <c r="H46" s="52"/>
    </row>
    <row r="47" spans="1:8" ht="29.1" customHeight="1" x14ac:dyDescent="0.2">
      <c r="A47" s="3">
        <v>41</v>
      </c>
      <c r="B47" s="4" t="s">
        <v>769</v>
      </c>
      <c r="C47" s="4" t="s">
        <v>770</v>
      </c>
      <c r="D47" s="4" t="s">
        <v>221</v>
      </c>
      <c r="E47" s="5">
        <v>152148</v>
      </c>
      <c r="F47" s="6">
        <v>2090.2092240000002</v>
      </c>
      <c r="G47" s="7">
        <v>7.4468199999999998E-3</v>
      </c>
      <c r="H47" s="52"/>
    </row>
    <row r="48" spans="1:8" ht="17.100000000000001" customHeight="1" x14ac:dyDescent="0.2">
      <c r="A48" s="3">
        <v>42</v>
      </c>
      <c r="B48" s="4" t="s">
        <v>528</v>
      </c>
      <c r="C48" s="4" t="s">
        <v>529</v>
      </c>
      <c r="D48" s="4" t="s">
        <v>357</v>
      </c>
      <c r="E48" s="5">
        <v>260880</v>
      </c>
      <c r="F48" s="6">
        <v>1962.60024</v>
      </c>
      <c r="G48" s="7">
        <v>6.9921799999999997E-3</v>
      </c>
      <c r="H48" s="52"/>
    </row>
    <row r="49" spans="1:8" ht="17.100000000000001" customHeight="1" x14ac:dyDescent="0.2">
      <c r="A49" s="3">
        <v>43</v>
      </c>
      <c r="B49" s="4" t="s">
        <v>753</v>
      </c>
      <c r="C49" s="4" t="s">
        <v>754</v>
      </c>
      <c r="D49" s="4" t="s">
        <v>205</v>
      </c>
      <c r="E49" s="5">
        <v>139519</v>
      </c>
      <c r="F49" s="6">
        <v>1960.8697855</v>
      </c>
      <c r="G49" s="7">
        <v>6.9860199999999999E-3</v>
      </c>
      <c r="H49" s="52"/>
    </row>
    <row r="50" spans="1:8" ht="29.1" customHeight="1" x14ac:dyDescent="0.2">
      <c r="A50" s="3">
        <v>44</v>
      </c>
      <c r="B50" s="4" t="s">
        <v>201</v>
      </c>
      <c r="C50" s="4" t="s">
        <v>202</v>
      </c>
      <c r="D50" s="4" t="s">
        <v>70</v>
      </c>
      <c r="E50" s="5">
        <v>169140</v>
      </c>
      <c r="F50" s="6">
        <v>1923.62922</v>
      </c>
      <c r="G50" s="7">
        <v>6.8533400000000003E-3</v>
      </c>
      <c r="H50" s="52"/>
    </row>
    <row r="51" spans="1:8" ht="17.100000000000001" customHeight="1" x14ac:dyDescent="0.2">
      <c r="A51" s="3">
        <v>45</v>
      </c>
      <c r="B51" s="4" t="s">
        <v>522</v>
      </c>
      <c r="C51" s="4" t="s">
        <v>523</v>
      </c>
      <c r="D51" s="4" t="s">
        <v>888</v>
      </c>
      <c r="E51" s="5">
        <v>85578</v>
      </c>
      <c r="F51" s="6">
        <v>1782.504162</v>
      </c>
      <c r="G51" s="7">
        <v>6.3505499999999999E-3</v>
      </c>
      <c r="H51" s="52"/>
    </row>
    <row r="52" spans="1:8" ht="17.100000000000001" customHeight="1" x14ac:dyDescent="0.2">
      <c r="A52" s="3">
        <v>46</v>
      </c>
      <c r="B52" s="4" t="s">
        <v>349</v>
      </c>
      <c r="C52" s="4" t="s">
        <v>350</v>
      </c>
      <c r="D52" s="4" t="s">
        <v>70</v>
      </c>
      <c r="E52" s="5">
        <v>19041</v>
      </c>
      <c r="F52" s="6">
        <v>1426.6754865</v>
      </c>
      <c r="G52" s="7">
        <v>5.0828399999999999E-3</v>
      </c>
      <c r="H52" s="52"/>
    </row>
    <row r="53" spans="1:8" ht="17.100000000000001" customHeight="1" x14ac:dyDescent="0.2">
      <c r="A53" s="3">
        <v>47</v>
      </c>
      <c r="B53" s="4" t="s">
        <v>470</v>
      </c>
      <c r="C53" s="4" t="s">
        <v>471</v>
      </c>
      <c r="D53" s="4" t="s">
        <v>28</v>
      </c>
      <c r="E53" s="5">
        <v>64839</v>
      </c>
      <c r="F53" s="6">
        <v>1127.8095659999999</v>
      </c>
      <c r="G53" s="7">
        <v>4.0180600000000004E-3</v>
      </c>
      <c r="H53" s="52"/>
    </row>
    <row r="54" spans="1:8" ht="17.100000000000001" customHeight="1" x14ac:dyDescent="0.2">
      <c r="A54" s="3">
        <v>48</v>
      </c>
      <c r="B54" s="4" t="s">
        <v>549</v>
      </c>
      <c r="C54" s="4" t="s">
        <v>550</v>
      </c>
      <c r="D54" s="4" t="s">
        <v>70</v>
      </c>
      <c r="E54" s="5">
        <v>780579</v>
      </c>
      <c r="F54" s="6">
        <v>645.14854349999996</v>
      </c>
      <c r="G54" s="7">
        <v>2.2984799999999999E-3</v>
      </c>
      <c r="H54" s="52"/>
    </row>
    <row r="55" spans="1:8" ht="17.100000000000001" customHeight="1" x14ac:dyDescent="0.2">
      <c r="A55" s="3">
        <v>49</v>
      </c>
      <c r="B55" s="4" t="s">
        <v>505</v>
      </c>
      <c r="C55" s="4" t="s">
        <v>506</v>
      </c>
      <c r="D55" s="4" t="s">
        <v>70</v>
      </c>
      <c r="E55" s="5">
        <v>100000</v>
      </c>
      <c r="F55" s="6">
        <v>535.20000000000005</v>
      </c>
      <c r="G55" s="7">
        <v>1.90676E-3</v>
      </c>
      <c r="H55" s="52"/>
    </row>
    <row r="56" spans="1:8" ht="14.1" customHeight="1" x14ac:dyDescent="0.2">
      <c r="A56" s="1"/>
      <c r="B56" s="1"/>
      <c r="C56" s="2" t="s">
        <v>145</v>
      </c>
      <c r="D56" s="1"/>
      <c r="E56" s="1" t="s">
        <v>146</v>
      </c>
      <c r="F56" s="9">
        <v>266025.39210350002</v>
      </c>
      <c r="G56" s="10">
        <v>0.94777230999999995</v>
      </c>
      <c r="H56" s="52"/>
    </row>
    <row r="57" spans="1:8" ht="14.1" customHeight="1" x14ac:dyDescent="0.2">
      <c r="A57" s="1"/>
      <c r="B57" s="1"/>
      <c r="C57" s="11"/>
      <c r="D57" s="1"/>
      <c r="E57" s="1"/>
      <c r="F57" s="12"/>
      <c r="G57" s="12"/>
      <c r="H57" s="52"/>
    </row>
    <row r="58" spans="1:8" ht="14.1" customHeight="1" x14ac:dyDescent="0.2">
      <c r="A58" s="1"/>
      <c r="B58" s="1"/>
      <c r="C58" s="2" t="s">
        <v>147</v>
      </c>
      <c r="D58" s="1"/>
      <c r="E58" s="1"/>
      <c r="F58" s="1"/>
      <c r="G58" s="1"/>
      <c r="H58" s="52"/>
    </row>
    <row r="59" spans="1:8" ht="17.100000000000001" customHeight="1" x14ac:dyDescent="0.2">
      <c r="A59" s="3">
        <v>1</v>
      </c>
      <c r="B59" s="4" t="s">
        <v>838</v>
      </c>
      <c r="C59" s="39" t="s">
        <v>990</v>
      </c>
      <c r="D59" s="4" t="s">
        <v>231</v>
      </c>
      <c r="E59" s="5">
        <v>37829</v>
      </c>
      <c r="F59" s="6">
        <v>1219.991346522</v>
      </c>
      <c r="G59" s="7">
        <v>4.3464799999999998E-3</v>
      </c>
      <c r="H59" s="52"/>
    </row>
    <row r="60" spans="1:8" ht="14.1" customHeight="1" x14ac:dyDescent="0.2">
      <c r="A60" s="1"/>
      <c r="B60" s="1"/>
      <c r="C60" s="2" t="s">
        <v>145</v>
      </c>
      <c r="D60" s="1"/>
      <c r="E60" s="1" t="s">
        <v>146</v>
      </c>
      <c r="F60" s="9">
        <v>1219.991346522</v>
      </c>
      <c r="G60" s="10">
        <v>4.3464799999999998E-3</v>
      </c>
      <c r="H60" s="52"/>
    </row>
    <row r="61" spans="1:8" ht="14.1" customHeight="1" x14ac:dyDescent="0.2">
      <c r="A61" s="1"/>
      <c r="B61" s="1"/>
      <c r="C61" s="11"/>
      <c r="D61" s="1"/>
      <c r="E61" s="1"/>
      <c r="F61" s="12"/>
      <c r="G61" s="12"/>
      <c r="H61" s="52"/>
    </row>
    <row r="62" spans="1:8" ht="14.1" customHeight="1" x14ac:dyDescent="0.2">
      <c r="A62" s="1"/>
      <c r="B62" s="1"/>
      <c r="C62" s="2" t="s">
        <v>149</v>
      </c>
      <c r="D62" s="1"/>
      <c r="E62" s="1"/>
      <c r="F62" s="1"/>
      <c r="G62" s="1"/>
      <c r="H62" s="52"/>
    </row>
    <row r="63" spans="1:8" ht="14.1" customHeight="1" x14ac:dyDescent="0.2">
      <c r="A63" s="1"/>
      <c r="B63" s="1"/>
      <c r="C63" s="2" t="s">
        <v>145</v>
      </c>
      <c r="D63" s="1"/>
      <c r="E63" s="1" t="s">
        <v>146</v>
      </c>
      <c r="F63" s="13" t="s">
        <v>148</v>
      </c>
      <c r="G63" s="10">
        <v>0</v>
      </c>
      <c r="H63" s="52"/>
    </row>
    <row r="64" spans="1:8" ht="14.1" customHeight="1" x14ac:dyDescent="0.2">
      <c r="A64" s="1"/>
      <c r="B64" s="1"/>
      <c r="C64" s="11"/>
      <c r="D64" s="1"/>
      <c r="E64" s="1"/>
      <c r="F64" s="12"/>
      <c r="G64" s="12"/>
      <c r="H64" s="52"/>
    </row>
    <row r="65" spans="1:8" ht="14.1" customHeight="1" x14ac:dyDescent="0.2">
      <c r="A65" s="1"/>
      <c r="B65" s="1"/>
      <c r="C65" s="2" t="s">
        <v>150</v>
      </c>
      <c r="D65" s="1"/>
      <c r="E65" s="1"/>
      <c r="F65" s="1"/>
      <c r="G65" s="1"/>
      <c r="H65" s="52"/>
    </row>
    <row r="66" spans="1:8" ht="14.1" customHeight="1" x14ac:dyDescent="0.2">
      <c r="A66" s="1"/>
      <c r="B66" s="1"/>
      <c r="C66" s="2" t="s">
        <v>145</v>
      </c>
      <c r="D66" s="1"/>
      <c r="E66" s="1" t="s">
        <v>146</v>
      </c>
      <c r="F66" s="13" t="s">
        <v>148</v>
      </c>
      <c r="G66" s="10">
        <v>0</v>
      </c>
      <c r="H66" s="52"/>
    </row>
    <row r="67" spans="1:8" ht="14.1" customHeight="1" x14ac:dyDescent="0.2">
      <c r="A67" s="1"/>
      <c r="B67" s="1"/>
      <c r="C67" s="11"/>
      <c r="D67" s="1"/>
      <c r="E67" s="1"/>
      <c r="F67" s="12"/>
      <c r="G67" s="12"/>
      <c r="H67" s="52"/>
    </row>
    <row r="68" spans="1:8" ht="14.1" customHeight="1" x14ac:dyDescent="0.2">
      <c r="A68" s="1"/>
      <c r="B68" s="1"/>
      <c r="C68" s="2" t="s">
        <v>151</v>
      </c>
      <c r="D68" s="1"/>
      <c r="E68" s="1"/>
      <c r="F68" s="12"/>
      <c r="G68" s="12"/>
      <c r="H68" s="52"/>
    </row>
    <row r="69" spans="1:8" ht="14.1" customHeight="1" x14ac:dyDescent="0.2">
      <c r="A69" s="1"/>
      <c r="B69" s="1"/>
      <c r="C69" s="2" t="s">
        <v>145</v>
      </c>
      <c r="D69" s="1"/>
      <c r="E69" s="1" t="s">
        <v>146</v>
      </c>
      <c r="F69" s="13" t="s">
        <v>148</v>
      </c>
      <c r="G69" s="10">
        <v>0</v>
      </c>
      <c r="H69" s="52"/>
    </row>
    <row r="70" spans="1:8" ht="14.1" customHeight="1" x14ac:dyDescent="0.2">
      <c r="A70" s="1"/>
      <c r="B70" s="1"/>
      <c r="C70" s="11"/>
      <c r="D70" s="1"/>
      <c r="E70" s="1"/>
      <c r="F70" s="12"/>
      <c r="G70" s="12"/>
      <c r="H70" s="52"/>
    </row>
    <row r="71" spans="1:8" ht="14.1" customHeight="1" x14ac:dyDescent="0.2">
      <c r="A71" s="1"/>
      <c r="B71" s="1"/>
      <c r="C71" s="2" t="s">
        <v>152</v>
      </c>
      <c r="D71" s="1"/>
      <c r="E71" s="1"/>
      <c r="F71" s="12"/>
      <c r="G71" s="12"/>
      <c r="H71" s="52"/>
    </row>
    <row r="72" spans="1:8" ht="14.1" customHeight="1" x14ac:dyDescent="0.2">
      <c r="A72" s="1"/>
      <c r="B72" s="1"/>
      <c r="C72" s="2" t="s">
        <v>145</v>
      </c>
      <c r="D72" s="1"/>
      <c r="E72" s="1" t="s">
        <v>146</v>
      </c>
      <c r="F72" s="13" t="s">
        <v>148</v>
      </c>
      <c r="G72" s="10">
        <v>0</v>
      </c>
      <c r="H72" s="52"/>
    </row>
    <row r="73" spans="1:8" ht="14.1" customHeight="1" x14ac:dyDescent="0.2">
      <c r="A73" s="1"/>
      <c r="B73" s="1"/>
      <c r="C73" s="11"/>
      <c r="D73" s="1"/>
      <c r="E73" s="1"/>
      <c r="F73" s="12"/>
      <c r="G73" s="12"/>
      <c r="H73" s="52"/>
    </row>
    <row r="74" spans="1:8" ht="18" customHeight="1" x14ac:dyDescent="0.2">
      <c r="A74" s="1"/>
      <c r="B74" s="1"/>
      <c r="C74" s="2" t="s">
        <v>153</v>
      </c>
      <c r="D74" s="1"/>
      <c r="E74" s="1"/>
      <c r="F74" s="9">
        <v>267245.38345002203</v>
      </c>
      <c r="G74" s="10">
        <v>0.95211878999999999</v>
      </c>
      <c r="H74" s="52"/>
    </row>
    <row r="75" spans="1:8" ht="14.1" customHeight="1" x14ac:dyDescent="0.2">
      <c r="A75" s="1"/>
      <c r="B75" s="1"/>
      <c r="C75" s="11"/>
      <c r="D75" s="1"/>
      <c r="E75" s="1"/>
      <c r="F75" s="12"/>
      <c r="G75" s="12"/>
      <c r="H75" s="52"/>
    </row>
    <row r="76" spans="1:8" ht="14.1" customHeight="1" x14ac:dyDescent="0.2">
      <c r="A76" s="1"/>
      <c r="B76" s="1"/>
      <c r="C76" s="2" t="s">
        <v>154</v>
      </c>
      <c r="D76" s="1"/>
      <c r="E76" s="1"/>
      <c r="F76" s="12"/>
      <c r="G76" s="12"/>
      <c r="H76" s="52"/>
    </row>
    <row r="77" spans="1:8" ht="24" customHeight="1" x14ac:dyDescent="0.2">
      <c r="A77" s="1"/>
      <c r="B77" s="1"/>
      <c r="C77" s="2" t="s">
        <v>10</v>
      </c>
      <c r="D77" s="1"/>
      <c r="E77" s="1"/>
      <c r="F77" s="12"/>
      <c r="G77" s="12"/>
      <c r="H77" s="52"/>
    </row>
    <row r="78" spans="1:8" ht="14.1" customHeight="1" x14ac:dyDescent="0.2">
      <c r="A78" s="1"/>
      <c r="B78" s="1"/>
      <c r="C78" s="2" t="s">
        <v>145</v>
      </c>
      <c r="D78" s="1"/>
      <c r="E78" s="1" t="s">
        <v>146</v>
      </c>
      <c r="F78" s="13" t="s">
        <v>148</v>
      </c>
      <c r="G78" s="10">
        <v>0</v>
      </c>
      <c r="H78" s="52"/>
    </row>
    <row r="79" spans="1:8" ht="14.1" customHeight="1" x14ac:dyDescent="0.2">
      <c r="A79" s="1"/>
      <c r="B79" s="1"/>
      <c r="C79" s="11"/>
      <c r="D79" s="1"/>
      <c r="E79" s="1"/>
      <c r="F79" s="12"/>
      <c r="G79" s="12"/>
      <c r="H79" s="52"/>
    </row>
    <row r="80" spans="1:8" ht="14.1" customHeight="1" x14ac:dyDescent="0.2">
      <c r="A80" s="1"/>
      <c r="B80" s="1"/>
      <c r="C80" s="2" t="s">
        <v>155</v>
      </c>
      <c r="D80" s="1"/>
      <c r="E80" s="1"/>
      <c r="F80" s="1"/>
      <c r="G80" s="1"/>
      <c r="H80" s="52"/>
    </row>
    <row r="81" spans="1:8" ht="14.1" customHeight="1" x14ac:dyDescent="0.2">
      <c r="A81" s="1"/>
      <c r="B81" s="1"/>
      <c r="C81" s="2" t="s">
        <v>145</v>
      </c>
      <c r="D81" s="1"/>
      <c r="E81" s="1" t="s">
        <v>146</v>
      </c>
      <c r="F81" s="13" t="s">
        <v>148</v>
      </c>
      <c r="G81" s="10">
        <v>0</v>
      </c>
      <c r="H81" s="52"/>
    </row>
    <row r="82" spans="1:8" ht="14.1" customHeight="1" x14ac:dyDescent="0.2">
      <c r="A82" s="1"/>
      <c r="B82" s="1"/>
      <c r="C82" s="11"/>
      <c r="D82" s="1"/>
      <c r="E82" s="1"/>
      <c r="F82" s="12"/>
      <c r="G82" s="12"/>
      <c r="H82" s="52"/>
    </row>
    <row r="83" spans="1:8" ht="14.1" customHeight="1" x14ac:dyDescent="0.2">
      <c r="A83" s="1"/>
      <c r="B83" s="1"/>
      <c r="C83" s="2" t="s">
        <v>156</v>
      </c>
      <c r="D83" s="1"/>
      <c r="E83" s="1"/>
      <c r="F83" s="1"/>
      <c r="G83" s="1"/>
      <c r="H83" s="52"/>
    </row>
    <row r="84" spans="1:8" ht="14.1" customHeight="1" x14ac:dyDescent="0.2">
      <c r="A84" s="1"/>
      <c r="B84" s="1"/>
      <c r="C84" s="2" t="s">
        <v>145</v>
      </c>
      <c r="D84" s="1"/>
      <c r="E84" s="1" t="s">
        <v>146</v>
      </c>
      <c r="F84" s="13" t="s">
        <v>148</v>
      </c>
      <c r="G84" s="10">
        <v>0</v>
      </c>
      <c r="H84" s="52"/>
    </row>
    <row r="85" spans="1:8" ht="14.1" customHeight="1" x14ac:dyDescent="0.2">
      <c r="A85" s="1"/>
      <c r="B85" s="1"/>
      <c r="C85" s="11"/>
      <c r="D85" s="1"/>
      <c r="E85" s="1"/>
      <c r="F85" s="12"/>
      <c r="G85" s="12"/>
      <c r="H85" s="52"/>
    </row>
    <row r="86" spans="1:8" ht="14.1" customHeight="1" x14ac:dyDescent="0.2">
      <c r="A86" s="1"/>
      <c r="B86" s="1"/>
      <c r="C86" s="2" t="s">
        <v>157</v>
      </c>
      <c r="D86" s="1"/>
      <c r="E86" s="1"/>
      <c r="F86" s="12"/>
      <c r="G86" s="12"/>
      <c r="H86" s="52"/>
    </row>
    <row r="87" spans="1:8" ht="14.1" customHeight="1" x14ac:dyDescent="0.2">
      <c r="A87" s="1"/>
      <c r="B87" s="1"/>
      <c r="C87" s="2" t="s">
        <v>145</v>
      </c>
      <c r="D87" s="1"/>
      <c r="E87" s="1" t="s">
        <v>146</v>
      </c>
      <c r="F87" s="13" t="s">
        <v>148</v>
      </c>
      <c r="G87" s="10">
        <v>0</v>
      </c>
      <c r="H87" s="52"/>
    </row>
    <row r="88" spans="1:8" ht="14.1" customHeight="1" x14ac:dyDescent="0.2">
      <c r="A88" s="1"/>
      <c r="B88" s="1"/>
      <c r="C88" s="11"/>
      <c r="D88" s="1"/>
      <c r="E88" s="1"/>
      <c r="F88" s="12"/>
      <c r="G88" s="12"/>
      <c r="H88" s="52"/>
    </row>
    <row r="89" spans="1:8" ht="14.1" customHeight="1" x14ac:dyDescent="0.2">
      <c r="A89" s="1"/>
      <c r="B89" s="1"/>
      <c r="C89" s="2" t="s">
        <v>158</v>
      </c>
      <c r="D89" s="1"/>
      <c r="E89" s="1"/>
      <c r="F89" s="9">
        <v>0</v>
      </c>
      <c r="G89" s="10">
        <v>0</v>
      </c>
      <c r="H89" s="52"/>
    </row>
    <row r="90" spans="1:8" ht="14.1" customHeight="1" x14ac:dyDescent="0.2">
      <c r="A90" s="1"/>
      <c r="B90" s="1"/>
      <c r="C90" s="11"/>
      <c r="D90" s="1"/>
      <c r="E90" s="1"/>
      <c r="F90" s="12"/>
      <c r="G90" s="12"/>
      <c r="H90" s="52"/>
    </row>
    <row r="91" spans="1:8" ht="14.1" customHeight="1" x14ac:dyDescent="0.2">
      <c r="A91" s="1"/>
      <c r="B91" s="1"/>
      <c r="C91" s="2" t="s">
        <v>159</v>
      </c>
      <c r="D91" s="1"/>
      <c r="E91" s="1"/>
      <c r="F91" s="12"/>
      <c r="G91" s="12"/>
      <c r="H91" s="52"/>
    </row>
    <row r="92" spans="1:8" ht="14.1" customHeight="1" x14ac:dyDescent="0.2">
      <c r="A92" s="1"/>
      <c r="B92" s="1"/>
      <c r="C92" s="2" t="s">
        <v>160</v>
      </c>
      <c r="D92" s="1"/>
      <c r="E92" s="1"/>
      <c r="F92" s="12"/>
      <c r="G92" s="12"/>
      <c r="H92" s="52"/>
    </row>
    <row r="93" spans="1:8" ht="14.1" customHeight="1" x14ac:dyDescent="0.2">
      <c r="A93" s="1"/>
      <c r="B93" s="1"/>
      <c r="C93" s="2" t="s">
        <v>145</v>
      </c>
      <c r="D93" s="1"/>
      <c r="E93" s="1" t="s">
        <v>146</v>
      </c>
      <c r="F93" s="13" t="s">
        <v>148</v>
      </c>
      <c r="G93" s="10">
        <v>0</v>
      </c>
      <c r="H93" s="52"/>
    </row>
    <row r="94" spans="1:8" ht="14.1" customHeight="1" x14ac:dyDescent="0.2">
      <c r="A94" s="1"/>
      <c r="B94" s="1"/>
      <c r="C94" s="11"/>
      <c r="D94" s="1"/>
      <c r="E94" s="1"/>
      <c r="F94" s="12"/>
      <c r="G94" s="12"/>
      <c r="H94" s="52"/>
    </row>
    <row r="95" spans="1:8" ht="14.1" customHeight="1" x14ac:dyDescent="0.2">
      <c r="A95" s="1"/>
      <c r="B95" s="1"/>
      <c r="C95" s="2" t="s">
        <v>161</v>
      </c>
      <c r="D95" s="1"/>
      <c r="E95" s="1"/>
      <c r="F95" s="12"/>
      <c r="G95" s="12"/>
      <c r="H95" s="52"/>
    </row>
    <row r="96" spans="1:8" ht="14.1" customHeight="1" x14ac:dyDescent="0.2">
      <c r="A96" s="1"/>
      <c r="B96" s="1"/>
      <c r="C96" s="2" t="s">
        <v>145</v>
      </c>
      <c r="D96" s="1"/>
      <c r="E96" s="1" t="s">
        <v>146</v>
      </c>
      <c r="F96" s="13" t="s">
        <v>148</v>
      </c>
      <c r="G96" s="10">
        <v>0</v>
      </c>
      <c r="H96" s="52"/>
    </row>
    <row r="97" spans="1:8" ht="14.1" customHeight="1" x14ac:dyDescent="0.2">
      <c r="A97" s="1"/>
      <c r="B97" s="1"/>
      <c r="C97" s="11"/>
      <c r="D97" s="1"/>
      <c r="E97" s="1"/>
      <c r="F97" s="12"/>
      <c r="G97" s="12"/>
      <c r="H97" s="52"/>
    </row>
    <row r="98" spans="1:8" ht="14.1" customHeight="1" x14ac:dyDescent="0.2">
      <c r="A98" s="1"/>
      <c r="B98" s="1"/>
      <c r="C98" s="2" t="s">
        <v>162</v>
      </c>
      <c r="D98" s="1"/>
      <c r="E98" s="1"/>
      <c r="F98" s="12"/>
      <c r="G98" s="12"/>
      <c r="H98" s="52"/>
    </row>
    <row r="99" spans="1:8" ht="14.1" customHeight="1" x14ac:dyDescent="0.2">
      <c r="A99" s="1"/>
      <c r="B99" s="1"/>
      <c r="C99" s="2" t="s">
        <v>145</v>
      </c>
      <c r="D99" s="1"/>
      <c r="E99" s="1" t="s">
        <v>146</v>
      </c>
      <c r="F99" s="13" t="s">
        <v>148</v>
      </c>
      <c r="G99" s="10">
        <v>0</v>
      </c>
      <c r="H99" s="52"/>
    </row>
    <row r="100" spans="1:8" ht="14.1" customHeight="1" x14ac:dyDescent="0.2">
      <c r="A100" s="1"/>
      <c r="B100" s="1"/>
      <c r="C100" s="11"/>
      <c r="D100" s="1"/>
      <c r="E100" s="1"/>
      <c r="F100" s="12"/>
      <c r="G100" s="12"/>
      <c r="H100" s="52"/>
    </row>
    <row r="101" spans="1:8" ht="14.1" customHeight="1" x14ac:dyDescent="0.2">
      <c r="A101" s="1"/>
      <c r="B101" s="1"/>
      <c r="C101" s="2" t="s">
        <v>163</v>
      </c>
      <c r="D101" s="1"/>
      <c r="E101" s="1"/>
      <c r="F101" s="12"/>
      <c r="G101" s="12"/>
      <c r="H101" s="52"/>
    </row>
    <row r="102" spans="1:8" ht="17.100000000000001" customHeight="1" x14ac:dyDescent="0.2">
      <c r="A102" s="3">
        <v>1</v>
      </c>
      <c r="B102" s="4"/>
      <c r="C102" s="4" t="s">
        <v>164</v>
      </c>
      <c r="D102" s="4"/>
      <c r="E102" s="8"/>
      <c r="F102" s="6">
        <v>13937.471489965001</v>
      </c>
      <c r="G102" s="7">
        <v>4.965522E-2</v>
      </c>
      <c r="H102" s="52">
        <v>6.7567375937238596</v>
      </c>
    </row>
    <row r="103" spans="1:8" ht="14.1" customHeight="1" x14ac:dyDescent="0.2">
      <c r="A103" s="1"/>
      <c r="B103" s="1"/>
      <c r="C103" s="2" t="s">
        <v>145</v>
      </c>
      <c r="D103" s="1"/>
      <c r="E103" s="1" t="s">
        <v>146</v>
      </c>
      <c r="F103" s="9">
        <v>13937.471489965001</v>
      </c>
      <c r="G103" s="10">
        <v>4.965522E-2</v>
      </c>
      <c r="H103" s="52"/>
    </row>
    <row r="104" spans="1:8" ht="14.1" customHeight="1" x14ac:dyDescent="0.2">
      <c r="A104" s="1"/>
      <c r="B104" s="1"/>
      <c r="C104" s="11"/>
      <c r="D104" s="1"/>
      <c r="E104" s="1"/>
      <c r="F104" s="12"/>
      <c r="G104" s="12"/>
      <c r="H104" s="52"/>
    </row>
    <row r="105" spans="1:8" ht="14.1" customHeight="1" x14ac:dyDescent="0.2">
      <c r="A105" s="1"/>
      <c r="B105" s="1"/>
      <c r="C105" s="2" t="s">
        <v>165</v>
      </c>
      <c r="D105" s="1"/>
      <c r="E105" s="1"/>
      <c r="F105" s="9">
        <v>13937.471489965001</v>
      </c>
      <c r="G105" s="10">
        <v>4.965522E-2</v>
      </c>
      <c r="H105" s="52"/>
    </row>
    <row r="106" spans="1:8" ht="14.1" customHeight="1" x14ac:dyDescent="0.2">
      <c r="A106" s="1"/>
      <c r="B106" s="1"/>
      <c r="C106" s="12"/>
      <c r="D106" s="1"/>
      <c r="E106" s="1"/>
      <c r="F106" s="1"/>
      <c r="G106" s="1"/>
      <c r="H106" s="52"/>
    </row>
    <row r="107" spans="1:8" ht="14.1" customHeight="1" x14ac:dyDescent="0.2">
      <c r="A107" s="1"/>
      <c r="B107" s="1"/>
      <c r="C107" s="2" t="s">
        <v>166</v>
      </c>
      <c r="D107" s="1"/>
      <c r="E107" s="1"/>
      <c r="F107" s="1"/>
      <c r="G107" s="1"/>
      <c r="H107" s="52"/>
    </row>
    <row r="108" spans="1:8" ht="14.1" customHeight="1" x14ac:dyDescent="0.2">
      <c r="A108" s="1"/>
      <c r="B108" s="1"/>
      <c r="C108" s="2" t="s">
        <v>167</v>
      </c>
      <c r="D108" s="1"/>
      <c r="E108" s="1"/>
      <c r="F108" s="1"/>
      <c r="G108" s="1"/>
      <c r="H108" s="52"/>
    </row>
    <row r="109" spans="1:8" ht="14.1" customHeight="1" x14ac:dyDescent="0.2">
      <c r="A109" s="1"/>
      <c r="B109" s="1"/>
      <c r="C109" s="2" t="s">
        <v>145</v>
      </c>
      <c r="D109" s="1"/>
      <c r="E109" s="1" t="s">
        <v>146</v>
      </c>
      <c r="F109" s="13" t="s">
        <v>148</v>
      </c>
      <c r="G109" s="10">
        <v>0</v>
      </c>
      <c r="H109" s="52"/>
    </row>
    <row r="110" spans="1:8" ht="14.1" customHeight="1" x14ac:dyDescent="0.2">
      <c r="A110" s="1"/>
      <c r="B110" s="1"/>
      <c r="C110" s="11"/>
      <c r="D110" s="1"/>
      <c r="E110" s="1"/>
      <c r="F110" s="12"/>
      <c r="G110" s="12"/>
      <c r="H110" s="52"/>
    </row>
    <row r="111" spans="1:8" ht="14.1" customHeight="1" x14ac:dyDescent="0.2">
      <c r="A111" s="1"/>
      <c r="B111" s="1"/>
      <c r="C111" s="2" t="s">
        <v>168</v>
      </c>
      <c r="D111" s="1"/>
      <c r="E111" s="1"/>
      <c r="F111" s="1"/>
      <c r="G111" s="1"/>
      <c r="H111" s="52"/>
    </row>
    <row r="112" spans="1:8" ht="14.1" customHeight="1" x14ac:dyDescent="0.2">
      <c r="A112" s="1"/>
      <c r="B112" s="1"/>
      <c r="C112" s="2" t="s">
        <v>169</v>
      </c>
      <c r="D112" s="1"/>
      <c r="E112" s="1"/>
      <c r="F112" s="1"/>
      <c r="G112" s="1"/>
      <c r="H112" s="52"/>
    </row>
    <row r="113" spans="1:8" ht="14.1" customHeight="1" x14ac:dyDescent="0.2">
      <c r="A113" s="1"/>
      <c r="B113" s="1"/>
      <c r="C113" s="2" t="s">
        <v>145</v>
      </c>
      <c r="D113" s="1"/>
      <c r="E113" s="1" t="s">
        <v>146</v>
      </c>
      <c r="F113" s="13" t="s">
        <v>148</v>
      </c>
      <c r="G113" s="10">
        <v>0</v>
      </c>
      <c r="H113" s="52"/>
    </row>
    <row r="114" spans="1:8" ht="14.1" customHeight="1" x14ac:dyDescent="0.2">
      <c r="A114" s="1"/>
      <c r="B114" s="1"/>
      <c r="C114" s="11"/>
      <c r="D114" s="1"/>
      <c r="E114" s="1"/>
      <c r="F114" s="12"/>
      <c r="G114" s="12"/>
      <c r="H114" s="52"/>
    </row>
    <row r="115" spans="1:8" ht="24" customHeight="1" x14ac:dyDescent="0.2">
      <c r="A115" s="1"/>
      <c r="B115" s="1"/>
      <c r="C115" s="2" t="s">
        <v>170</v>
      </c>
      <c r="D115" s="1"/>
      <c r="E115" s="1"/>
      <c r="F115" s="12"/>
      <c r="G115" s="12"/>
      <c r="H115" s="52"/>
    </row>
    <row r="116" spans="1:8" ht="14.1" customHeight="1" x14ac:dyDescent="0.2">
      <c r="A116" s="1"/>
      <c r="B116" s="1"/>
      <c r="C116" s="2" t="s">
        <v>145</v>
      </c>
      <c r="D116" s="1"/>
      <c r="E116" s="1" t="s">
        <v>146</v>
      </c>
      <c r="F116" s="13" t="s">
        <v>148</v>
      </c>
      <c r="G116" s="10">
        <v>0</v>
      </c>
      <c r="H116" s="52"/>
    </row>
    <row r="117" spans="1:8" ht="14.1" customHeight="1" x14ac:dyDescent="0.2">
      <c r="A117" s="1"/>
      <c r="B117" s="1"/>
      <c r="C117" s="11"/>
      <c r="D117" s="1"/>
      <c r="E117" s="1"/>
      <c r="F117" s="12"/>
      <c r="G117" s="12"/>
      <c r="H117" s="52"/>
    </row>
    <row r="118" spans="1:8" ht="14.1" customHeight="1" x14ac:dyDescent="0.2">
      <c r="A118" s="1"/>
      <c r="B118" s="4"/>
      <c r="C118" s="4"/>
      <c r="D118" s="2"/>
      <c r="E118" s="1"/>
      <c r="F118" s="4"/>
      <c r="G118" s="8"/>
      <c r="H118" s="52"/>
    </row>
    <row r="119" spans="1:8" ht="18" customHeight="1" x14ac:dyDescent="0.2">
      <c r="A119" s="8"/>
      <c r="B119" s="4"/>
      <c r="C119" s="4" t="s">
        <v>171</v>
      </c>
      <c r="D119" s="4"/>
      <c r="E119" s="8"/>
      <c r="F119" s="6">
        <v>-497.93256285000001</v>
      </c>
      <c r="G119" s="7">
        <v>-1.77399E-3</v>
      </c>
      <c r="H119" s="52"/>
    </row>
    <row r="120" spans="1:8" ht="14.1" customHeight="1" x14ac:dyDescent="0.2">
      <c r="A120" s="11"/>
      <c r="B120" s="11"/>
      <c r="C120" s="2" t="s">
        <v>172</v>
      </c>
      <c r="D120" s="12"/>
      <c r="E120" s="12"/>
      <c r="F120" s="9">
        <v>280684.922377137</v>
      </c>
      <c r="G120" s="14">
        <v>1.0000000200000001</v>
      </c>
      <c r="H120" s="52"/>
    </row>
    <row r="121" spans="1:8" ht="14.1" customHeight="1" x14ac:dyDescent="0.2">
      <c r="A121" s="15"/>
      <c r="B121" s="15"/>
      <c r="C121" s="15"/>
      <c r="D121" s="16"/>
      <c r="E121" s="16"/>
      <c r="F121" s="16"/>
      <c r="G121" s="16"/>
    </row>
    <row r="122" spans="1:8" ht="14.1" customHeight="1" x14ac:dyDescent="0.2">
      <c r="A122" s="17"/>
      <c r="B122" s="17"/>
      <c r="C122" s="17"/>
      <c r="D122" s="19"/>
      <c r="E122" s="19"/>
      <c r="F122" s="19"/>
      <c r="G122" s="19"/>
    </row>
    <row r="123" spans="1:8" ht="14.1" customHeight="1" x14ac:dyDescent="0.2">
      <c r="A123" s="17"/>
      <c r="B123" s="127" t="s">
        <v>174</v>
      </c>
      <c r="C123" s="128"/>
      <c r="D123" s="129"/>
      <c r="E123" s="20"/>
      <c r="F123" s="19"/>
      <c r="G123" s="19"/>
    </row>
    <row r="124" spans="1:8" ht="29.1" customHeight="1" x14ac:dyDescent="0.2">
      <c r="A124" s="17"/>
      <c r="B124" s="121" t="s">
        <v>175</v>
      </c>
      <c r="C124" s="122"/>
      <c r="D124" s="2" t="s">
        <v>176</v>
      </c>
      <c r="E124" s="20"/>
      <c r="F124" s="19"/>
      <c r="G124" s="19"/>
    </row>
    <row r="125" spans="1:8" ht="17.100000000000001" customHeight="1" x14ac:dyDescent="0.2">
      <c r="A125" s="17"/>
      <c r="B125" s="121" t="s">
        <v>177</v>
      </c>
      <c r="C125" s="122"/>
      <c r="D125" s="2" t="s">
        <v>176</v>
      </c>
      <c r="E125" s="20"/>
      <c r="F125" s="19"/>
      <c r="G125" s="19"/>
    </row>
    <row r="126" spans="1:8" ht="17.100000000000001" customHeight="1" x14ac:dyDescent="0.2">
      <c r="A126" s="17"/>
      <c r="B126" s="121" t="s">
        <v>178</v>
      </c>
      <c r="C126" s="122"/>
      <c r="D126" s="12" t="s">
        <v>146</v>
      </c>
      <c r="E126" s="20"/>
      <c r="F126" s="19"/>
      <c r="G126" s="19"/>
    </row>
    <row r="127" spans="1:8" ht="24" customHeight="1" x14ac:dyDescent="0.2">
      <c r="A127" s="21"/>
      <c r="B127" s="22" t="s">
        <v>146</v>
      </c>
      <c r="C127" s="22" t="s">
        <v>179</v>
      </c>
      <c r="D127" s="22" t="s">
        <v>180</v>
      </c>
      <c r="E127" s="21"/>
      <c r="F127" s="21"/>
      <c r="G127" s="21"/>
    </row>
    <row r="128" spans="1:8" ht="18" customHeight="1" x14ac:dyDescent="0.2">
      <c r="A128" s="21"/>
      <c r="B128" s="23" t="s">
        <v>181</v>
      </c>
      <c r="C128" s="22" t="s">
        <v>182</v>
      </c>
      <c r="D128" s="22" t="s">
        <v>183</v>
      </c>
      <c r="E128" s="21"/>
      <c r="F128" s="21"/>
      <c r="G128" s="21"/>
    </row>
    <row r="129" spans="1:7" ht="17.100000000000001" customHeight="1" x14ac:dyDescent="0.2">
      <c r="A129" s="21"/>
      <c r="B129" s="4" t="s">
        <v>184</v>
      </c>
      <c r="C129" s="24">
        <v>26.6113</v>
      </c>
      <c r="D129" s="24">
        <v>26.183</v>
      </c>
      <c r="E129" s="21"/>
      <c r="F129" s="18"/>
      <c r="G129" s="25"/>
    </row>
    <row r="130" spans="1:7" ht="17.100000000000001" customHeight="1" x14ac:dyDescent="0.2">
      <c r="A130" s="21"/>
      <c r="B130" s="4" t="s">
        <v>1039</v>
      </c>
      <c r="C130" s="24">
        <v>21.167200000000001</v>
      </c>
      <c r="D130" s="24">
        <v>19.369599999999998</v>
      </c>
      <c r="E130" s="21"/>
      <c r="F130" s="18"/>
      <c r="G130" s="25"/>
    </row>
    <row r="131" spans="1:7" ht="17.100000000000001" customHeight="1" x14ac:dyDescent="0.2">
      <c r="A131" s="21"/>
      <c r="B131" s="4" t="s">
        <v>185</v>
      </c>
      <c r="C131" s="24">
        <v>25.097899999999999</v>
      </c>
      <c r="D131" s="24">
        <v>24.670200000000001</v>
      </c>
      <c r="E131" s="21"/>
      <c r="F131" s="18"/>
      <c r="G131" s="25"/>
    </row>
    <row r="132" spans="1:7" ht="17.100000000000001" customHeight="1" x14ac:dyDescent="0.2">
      <c r="A132" s="21"/>
      <c r="B132" s="4" t="s">
        <v>1040</v>
      </c>
      <c r="C132" s="24">
        <v>19.943300000000001</v>
      </c>
      <c r="D132" s="24">
        <v>18.231100000000001</v>
      </c>
      <c r="E132" s="21"/>
      <c r="F132" s="18"/>
      <c r="G132" s="25"/>
    </row>
    <row r="133" spans="1:7" ht="14.1" customHeight="1" x14ac:dyDescent="0.2">
      <c r="A133" s="21"/>
      <c r="B133" s="21"/>
      <c r="C133" s="21"/>
      <c r="D133" s="21"/>
      <c r="E133" s="21"/>
      <c r="F133" s="21"/>
      <c r="G133" s="21"/>
    </row>
    <row r="134" spans="1:7" ht="17.100000000000001" customHeight="1" x14ac:dyDescent="0.2">
      <c r="A134" s="21"/>
      <c r="B134" s="121" t="s">
        <v>1041</v>
      </c>
      <c r="C134" s="122"/>
      <c r="D134" s="2" t="s">
        <v>146</v>
      </c>
      <c r="E134" s="21"/>
      <c r="F134" s="21"/>
      <c r="G134" s="21"/>
    </row>
    <row r="135" spans="1:7" ht="18" customHeight="1" x14ac:dyDescent="0.2">
      <c r="A135" s="21"/>
      <c r="B135" s="28" t="s">
        <v>181</v>
      </c>
      <c r="C135" s="29" t="s">
        <v>316</v>
      </c>
      <c r="D135" s="29" t="s">
        <v>317</v>
      </c>
      <c r="E135" s="21"/>
      <c r="F135" s="21"/>
      <c r="G135" s="21"/>
    </row>
    <row r="136" spans="1:7" ht="17.100000000000001" customHeight="1" x14ac:dyDescent="0.2">
      <c r="A136" s="21"/>
      <c r="B136" s="4" t="s">
        <v>1039</v>
      </c>
      <c r="C136" s="30">
        <v>1.49</v>
      </c>
      <c r="D136" s="30">
        <v>1.49</v>
      </c>
      <c r="E136" s="21"/>
      <c r="F136" s="18"/>
      <c r="G136" s="25"/>
    </row>
    <row r="137" spans="1:7" ht="17.100000000000001" customHeight="1" x14ac:dyDescent="0.2">
      <c r="A137" s="21"/>
      <c r="B137" s="4" t="s">
        <v>1040</v>
      </c>
      <c r="C137" s="30">
        <v>1.4039999999999999</v>
      </c>
      <c r="D137" s="30">
        <v>1.4039999999999999</v>
      </c>
      <c r="E137" s="21"/>
      <c r="F137" s="18"/>
      <c r="G137" s="25"/>
    </row>
    <row r="138" spans="1:7" ht="14.1" customHeight="1" x14ac:dyDescent="0.2">
      <c r="A138" s="21"/>
      <c r="B138" s="31"/>
      <c r="C138" s="31"/>
      <c r="D138" s="32"/>
      <c r="E138" s="21"/>
      <c r="F138" s="18"/>
      <c r="G138" s="25"/>
    </row>
    <row r="139" spans="1:7" ht="29.1" customHeight="1" x14ac:dyDescent="0.2">
      <c r="A139" s="21"/>
      <c r="B139" s="121" t="s">
        <v>186</v>
      </c>
      <c r="C139" s="122"/>
      <c r="D139" s="2" t="s">
        <v>176</v>
      </c>
      <c r="E139" s="27"/>
      <c r="F139" s="21"/>
      <c r="G139" s="21"/>
    </row>
    <row r="140" spans="1:7" ht="29.1" customHeight="1" x14ac:dyDescent="0.2">
      <c r="A140" s="21"/>
      <c r="B140" s="121" t="s">
        <v>187</v>
      </c>
      <c r="C140" s="122"/>
      <c r="D140" s="40" t="s">
        <v>991</v>
      </c>
      <c r="E140" s="27"/>
      <c r="F140" s="21"/>
      <c r="G140" s="21"/>
    </row>
    <row r="141" spans="1:7" ht="17.100000000000001" customHeight="1" x14ac:dyDescent="0.2">
      <c r="A141" s="21"/>
      <c r="B141" s="121" t="s">
        <v>188</v>
      </c>
      <c r="C141" s="122"/>
      <c r="D141" s="2" t="s">
        <v>176</v>
      </c>
      <c r="E141" s="27"/>
      <c r="F141" s="21"/>
      <c r="G141" s="21"/>
    </row>
    <row r="142" spans="1:7" ht="17.100000000000001" customHeight="1" x14ac:dyDescent="0.2">
      <c r="A142" s="21"/>
      <c r="B142" s="121" t="s">
        <v>189</v>
      </c>
      <c r="C142" s="122"/>
      <c r="D142" s="50">
        <v>0.32828217766735018</v>
      </c>
      <c r="E142" s="21"/>
      <c r="F142" s="18"/>
      <c r="G142" s="25"/>
    </row>
  </sheetData>
  <mergeCells count="13">
    <mergeCell ref="A1:H1"/>
    <mergeCell ref="A2:H2"/>
    <mergeCell ref="A3:H3"/>
    <mergeCell ref="J2:N2"/>
    <mergeCell ref="B142:C142"/>
    <mergeCell ref="B125:C125"/>
    <mergeCell ref="B126:C126"/>
    <mergeCell ref="B134:C134"/>
    <mergeCell ref="B139:C139"/>
    <mergeCell ref="B140:C140"/>
    <mergeCell ref="B141:C141"/>
    <mergeCell ref="B124:C124"/>
    <mergeCell ref="B123:D123"/>
  </mergeCells>
  <hyperlinks>
    <hyperlink ref="I1" location="Index!B25" display="Index" xr:uid="{C3DD3907-A0FE-4174-9623-DE72E5CD9D0F}"/>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outlinePr summaryBelow="0" summaryRight="0"/>
  </sheetPr>
  <dimension ref="A1:O153"/>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5" ht="18" customHeight="1" x14ac:dyDescent="0.2">
      <c r="A1" s="116" t="s">
        <v>0</v>
      </c>
      <c r="B1" s="116"/>
      <c r="C1" s="116"/>
      <c r="D1" s="116"/>
      <c r="E1" s="116"/>
      <c r="F1" s="116"/>
      <c r="G1" s="116"/>
      <c r="H1" s="116"/>
      <c r="I1" s="98" t="s">
        <v>1053</v>
      </c>
    </row>
    <row r="2" spans="1:15" ht="17.100000000000001" customHeight="1" x14ac:dyDescent="0.2">
      <c r="A2" s="117" t="s">
        <v>839</v>
      </c>
      <c r="B2" s="118"/>
      <c r="C2" s="118"/>
      <c r="D2" s="118"/>
      <c r="E2" s="118"/>
      <c r="F2" s="118"/>
      <c r="G2" s="118"/>
      <c r="H2" s="119"/>
      <c r="J2" s="120" t="s">
        <v>1054</v>
      </c>
      <c r="K2" s="120"/>
      <c r="L2" s="120"/>
      <c r="M2" s="120"/>
      <c r="N2" s="120"/>
    </row>
    <row r="3" spans="1:15" ht="21" customHeight="1" x14ac:dyDescent="0.2">
      <c r="A3" s="116" t="s">
        <v>1049</v>
      </c>
      <c r="B3" s="116"/>
      <c r="C3" s="116"/>
      <c r="D3" s="116"/>
      <c r="E3" s="116"/>
      <c r="F3" s="116"/>
      <c r="G3" s="116"/>
      <c r="H3" s="116"/>
    </row>
    <row r="4" spans="1:15" ht="30" x14ac:dyDescent="0.2">
      <c r="A4" s="96" t="s">
        <v>2</v>
      </c>
      <c r="B4" s="96" t="s">
        <v>3</v>
      </c>
      <c r="C4" s="96" t="s">
        <v>4</v>
      </c>
      <c r="D4" s="96" t="s">
        <v>5</v>
      </c>
      <c r="E4" s="96" t="s">
        <v>6</v>
      </c>
      <c r="F4" s="96" t="s">
        <v>7</v>
      </c>
      <c r="G4" s="96" t="s">
        <v>8</v>
      </c>
      <c r="H4" s="51" t="s">
        <v>1002</v>
      </c>
      <c r="I4" s="99"/>
      <c r="J4" s="99"/>
      <c r="K4" s="99"/>
      <c r="L4" s="99"/>
      <c r="M4" s="99"/>
      <c r="N4" s="99"/>
      <c r="O4" s="99"/>
    </row>
    <row r="5" spans="1:15" ht="14.1" customHeight="1" x14ac:dyDescent="0.2">
      <c r="A5" s="1"/>
      <c r="B5" s="1"/>
      <c r="C5" s="2" t="s">
        <v>9</v>
      </c>
      <c r="D5" s="1"/>
      <c r="E5" s="1"/>
      <c r="F5" s="1"/>
      <c r="G5" s="1"/>
      <c r="H5" s="52"/>
    </row>
    <row r="6" spans="1:15" ht="24" customHeight="1" x14ac:dyDescent="0.2">
      <c r="A6" s="1"/>
      <c r="B6" s="1"/>
      <c r="C6" s="2" t="s">
        <v>10</v>
      </c>
      <c r="D6" s="1"/>
      <c r="E6" s="1"/>
      <c r="F6" s="1"/>
      <c r="G6" s="1"/>
      <c r="H6" s="52"/>
    </row>
    <row r="7" spans="1:15" ht="17.100000000000001" customHeight="1" x14ac:dyDescent="0.2">
      <c r="A7" s="3">
        <v>1</v>
      </c>
      <c r="B7" s="4" t="s">
        <v>319</v>
      </c>
      <c r="C7" s="4" t="s">
        <v>320</v>
      </c>
      <c r="D7" s="4" t="s">
        <v>28</v>
      </c>
      <c r="E7" s="5">
        <v>968960</v>
      </c>
      <c r="F7" s="6">
        <v>14306.6944</v>
      </c>
      <c r="G7" s="7">
        <v>9.2680589999999993E-2</v>
      </c>
      <c r="H7" s="52"/>
    </row>
    <row r="8" spans="1:15" ht="17.100000000000001" customHeight="1" x14ac:dyDescent="0.2">
      <c r="A8" s="3">
        <v>2</v>
      </c>
      <c r="B8" s="4" t="s">
        <v>26</v>
      </c>
      <c r="C8" s="4" t="s">
        <v>27</v>
      </c>
      <c r="D8" s="4" t="s">
        <v>28</v>
      </c>
      <c r="E8" s="5">
        <v>1178000</v>
      </c>
      <c r="F8" s="6">
        <v>10782.823</v>
      </c>
      <c r="G8" s="7">
        <v>6.9852510000000007E-2</v>
      </c>
      <c r="H8" s="52"/>
    </row>
    <row r="9" spans="1:15" ht="17.100000000000001" customHeight="1" x14ac:dyDescent="0.2">
      <c r="A9" s="3">
        <v>3</v>
      </c>
      <c r="B9" s="4" t="s">
        <v>14</v>
      </c>
      <c r="C9" s="4" t="s">
        <v>15</v>
      </c>
      <c r="D9" s="4" t="s">
        <v>16</v>
      </c>
      <c r="E9" s="5">
        <v>460000</v>
      </c>
      <c r="F9" s="6">
        <v>10524.34</v>
      </c>
      <c r="G9" s="7">
        <v>6.8178020000000006E-2</v>
      </c>
      <c r="H9" s="52"/>
    </row>
    <row r="10" spans="1:15" ht="17.100000000000001" customHeight="1" x14ac:dyDescent="0.2">
      <c r="A10" s="3">
        <v>4</v>
      </c>
      <c r="B10" s="4" t="s">
        <v>321</v>
      </c>
      <c r="C10" s="4" t="s">
        <v>322</v>
      </c>
      <c r="D10" s="4" t="s">
        <v>888</v>
      </c>
      <c r="E10" s="5">
        <v>570000</v>
      </c>
      <c r="F10" s="6">
        <v>7799.88</v>
      </c>
      <c r="G10" s="7">
        <v>5.0528620000000003E-2</v>
      </c>
      <c r="H10" s="52"/>
    </row>
    <row r="11" spans="1:15" ht="17.100000000000001" customHeight="1" x14ac:dyDescent="0.2">
      <c r="A11" s="3">
        <v>5</v>
      </c>
      <c r="B11" s="4" t="s">
        <v>39</v>
      </c>
      <c r="C11" s="4" t="s">
        <v>40</v>
      </c>
      <c r="D11" s="4" t="s">
        <v>28</v>
      </c>
      <c r="E11" s="5">
        <v>865000</v>
      </c>
      <c r="F11" s="6">
        <v>4892.0074999999997</v>
      </c>
      <c r="G11" s="7">
        <v>3.1691049999999998E-2</v>
      </c>
      <c r="H11" s="52"/>
    </row>
    <row r="12" spans="1:15" ht="17.100000000000001" customHeight="1" x14ac:dyDescent="0.2">
      <c r="A12" s="3">
        <v>6</v>
      </c>
      <c r="B12" s="4" t="s">
        <v>323</v>
      </c>
      <c r="C12" s="4" t="s">
        <v>324</v>
      </c>
      <c r="D12" s="4" t="s">
        <v>28</v>
      </c>
      <c r="E12" s="5">
        <v>483000</v>
      </c>
      <c r="F12" s="6">
        <v>4742.3355000000001</v>
      </c>
      <c r="G12" s="7">
        <v>3.0721459999999999E-2</v>
      </c>
      <c r="H12" s="52"/>
    </row>
    <row r="13" spans="1:15" ht="17.100000000000001" customHeight="1" x14ac:dyDescent="0.25">
      <c r="A13" s="3">
        <v>7</v>
      </c>
      <c r="B13" s="4" t="s">
        <v>11</v>
      </c>
      <c r="C13" s="4" t="s">
        <v>12</v>
      </c>
      <c r="D13" s="4" t="s">
        <v>13</v>
      </c>
      <c r="E13" s="5">
        <v>156446</v>
      </c>
      <c r="F13" s="6">
        <v>4582.3815629999999</v>
      </c>
      <c r="G13" s="7">
        <v>2.968525E-2</v>
      </c>
      <c r="H13" s="52"/>
      <c r="J13" s="109" t="s">
        <v>1081</v>
      </c>
    </row>
    <row r="14" spans="1:15" ht="29.1" customHeight="1" x14ac:dyDescent="0.2">
      <c r="A14" s="3">
        <v>8</v>
      </c>
      <c r="B14" s="4" t="s">
        <v>327</v>
      </c>
      <c r="C14" s="4" t="s">
        <v>328</v>
      </c>
      <c r="D14" s="4" t="s">
        <v>226</v>
      </c>
      <c r="E14" s="5">
        <v>388000</v>
      </c>
      <c r="F14" s="6">
        <v>4223.768</v>
      </c>
      <c r="G14" s="7">
        <v>2.7362109999999999E-2</v>
      </c>
      <c r="H14" s="52"/>
      <c r="J14" s="101"/>
    </row>
    <row r="15" spans="1:15" ht="17.100000000000001" customHeight="1" x14ac:dyDescent="0.2">
      <c r="A15" s="3">
        <v>9</v>
      </c>
      <c r="B15" s="4" t="s">
        <v>325</v>
      </c>
      <c r="C15" s="4" t="s">
        <v>326</v>
      </c>
      <c r="D15" s="4" t="s">
        <v>888</v>
      </c>
      <c r="E15" s="5">
        <v>116000</v>
      </c>
      <c r="F15" s="6">
        <v>3907.75</v>
      </c>
      <c r="G15" s="7">
        <v>2.5314900000000001E-2</v>
      </c>
      <c r="H15" s="52"/>
    </row>
    <row r="16" spans="1:15" ht="17.100000000000001" customHeight="1" x14ac:dyDescent="0.2">
      <c r="A16" s="3">
        <v>10</v>
      </c>
      <c r="B16" s="4" t="s">
        <v>503</v>
      </c>
      <c r="C16" s="4" t="s">
        <v>504</v>
      </c>
      <c r="D16" s="4" t="s">
        <v>357</v>
      </c>
      <c r="E16" s="5">
        <v>67000</v>
      </c>
      <c r="F16" s="6">
        <v>3657.0275000000001</v>
      </c>
      <c r="G16" s="7">
        <v>2.369069E-2</v>
      </c>
      <c r="H16" s="52"/>
    </row>
    <row r="17" spans="1:10" ht="17.100000000000001" customHeight="1" x14ac:dyDescent="0.2">
      <c r="A17" s="3">
        <v>11</v>
      </c>
      <c r="B17" s="4" t="s">
        <v>53</v>
      </c>
      <c r="C17" s="4" t="s">
        <v>54</v>
      </c>
      <c r="D17" s="4" t="s">
        <v>31</v>
      </c>
      <c r="E17" s="5">
        <v>69000</v>
      </c>
      <c r="F17" s="6">
        <v>3396.2489999999998</v>
      </c>
      <c r="G17" s="7">
        <v>2.2001340000000001E-2</v>
      </c>
      <c r="H17" s="52"/>
    </row>
    <row r="18" spans="1:10" ht="17.100000000000001" customHeight="1" x14ac:dyDescent="0.2">
      <c r="A18" s="3">
        <v>12</v>
      </c>
      <c r="B18" s="4" t="s">
        <v>17</v>
      </c>
      <c r="C18" s="4" t="s">
        <v>18</v>
      </c>
      <c r="D18" s="4" t="s">
        <v>19</v>
      </c>
      <c r="E18" s="5">
        <v>334000</v>
      </c>
      <c r="F18" s="6">
        <v>3054.096</v>
      </c>
      <c r="G18" s="7">
        <v>1.9784820000000002E-2</v>
      </c>
      <c r="H18" s="52"/>
    </row>
    <row r="19" spans="1:10" ht="17.100000000000001" customHeight="1" x14ac:dyDescent="0.2">
      <c r="A19" s="3">
        <v>13</v>
      </c>
      <c r="B19" s="4" t="s">
        <v>46</v>
      </c>
      <c r="C19" s="4" t="s">
        <v>47</v>
      </c>
      <c r="D19" s="4" t="s">
        <v>31</v>
      </c>
      <c r="E19" s="5">
        <v>138000</v>
      </c>
      <c r="F19" s="6">
        <v>2959.2719999999999</v>
      </c>
      <c r="G19" s="7">
        <v>1.917054E-2</v>
      </c>
      <c r="H19" s="52"/>
    </row>
    <row r="20" spans="1:10" ht="17.100000000000001" customHeight="1" x14ac:dyDescent="0.2">
      <c r="A20" s="3">
        <v>14</v>
      </c>
      <c r="B20" s="4" t="s">
        <v>358</v>
      </c>
      <c r="C20" s="4" t="s">
        <v>359</v>
      </c>
      <c r="D20" s="4" t="s">
        <v>102</v>
      </c>
      <c r="E20" s="5">
        <v>457000</v>
      </c>
      <c r="F20" s="6">
        <v>2872.9304999999999</v>
      </c>
      <c r="G20" s="7">
        <v>1.861121E-2</v>
      </c>
      <c r="H20" s="52"/>
    </row>
    <row r="21" spans="1:10" ht="17.100000000000001" customHeight="1" x14ac:dyDescent="0.2">
      <c r="A21" s="3">
        <v>15</v>
      </c>
      <c r="B21" s="4" t="s">
        <v>382</v>
      </c>
      <c r="C21" s="4" t="s">
        <v>383</v>
      </c>
      <c r="D21" s="4" t="s">
        <v>70</v>
      </c>
      <c r="E21" s="5">
        <v>176000</v>
      </c>
      <c r="F21" s="6">
        <v>2762.4079999999999</v>
      </c>
      <c r="G21" s="7">
        <v>1.7895230000000002E-2</v>
      </c>
      <c r="H21" s="52"/>
    </row>
    <row r="22" spans="1:10" ht="29.1" customHeight="1" x14ac:dyDescent="0.2">
      <c r="A22" s="3">
        <v>16</v>
      </c>
      <c r="B22" s="4" t="s">
        <v>201</v>
      </c>
      <c r="C22" s="4" t="s">
        <v>202</v>
      </c>
      <c r="D22" s="4" t="s">
        <v>70</v>
      </c>
      <c r="E22" s="5">
        <v>231000</v>
      </c>
      <c r="F22" s="6">
        <v>2627.163</v>
      </c>
      <c r="G22" s="7">
        <v>1.7019099999999999E-2</v>
      </c>
      <c r="H22" s="52"/>
    </row>
    <row r="23" spans="1:10" ht="29.1" customHeight="1" x14ac:dyDescent="0.2">
      <c r="A23" s="3">
        <v>17</v>
      </c>
      <c r="B23" s="4" t="s">
        <v>23</v>
      </c>
      <c r="C23" s="4" t="s">
        <v>24</v>
      </c>
      <c r="D23" s="4" t="s">
        <v>25</v>
      </c>
      <c r="E23" s="5">
        <v>31000</v>
      </c>
      <c r="F23" s="6">
        <v>2610.8975</v>
      </c>
      <c r="G23" s="7">
        <v>1.6913729999999998E-2</v>
      </c>
      <c r="H23" s="52"/>
      <c r="J23" s="101" t="s">
        <v>1082</v>
      </c>
    </row>
    <row r="24" spans="1:10" ht="53.1" customHeight="1" x14ac:dyDescent="0.2">
      <c r="A24" s="3">
        <v>18</v>
      </c>
      <c r="B24" s="4" t="s">
        <v>71</v>
      </c>
      <c r="C24" s="4" t="s">
        <v>72</v>
      </c>
      <c r="D24" s="4" t="s">
        <v>73</v>
      </c>
      <c r="E24" s="5">
        <v>1538000</v>
      </c>
      <c r="F24" s="6">
        <v>2579.2260000000001</v>
      </c>
      <c r="G24" s="7">
        <v>1.6708560000000001E-2</v>
      </c>
      <c r="H24" s="52"/>
    </row>
    <row r="25" spans="1:10" ht="17.100000000000001" customHeight="1" x14ac:dyDescent="0.2">
      <c r="A25" s="3">
        <v>19</v>
      </c>
      <c r="B25" s="4" t="s">
        <v>351</v>
      </c>
      <c r="C25" s="4" t="s">
        <v>352</v>
      </c>
      <c r="D25" s="4" t="s">
        <v>344</v>
      </c>
      <c r="E25" s="5">
        <v>103000</v>
      </c>
      <c r="F25" s="6">
        <v>2558.52</v>
      </c>
      <c r="G25" s="7">
        <v>1.6574419999999999E-2</v>
      </c>
      <c r="H25" s="52"/>
    </row>
    <row r="26" spans="1:10" ht="17.100000000000001" customHeight="1" x14ac:dyDescent="0.2">
      <c r="A26" s="3">
        <v>20</v>
      </c>
      <c r="B26" s="4" t="s">
        <v>83</v>
      </c>
      <c r="C26" s="4" t="s">
        <v>84</v>
      </c>
      <c r="D26" s="4" t="s">
        <v>52</v>
      </c>
      <c r="E26" s="5">
        <v>104000</v>
      </c>
      <c r="F26" s="6">
        <v>2552.0039999999999</v>
      </c>
      <c r="G26" s="7">
        <v>1.6532209999999999E-2</v>
      </c>
      <c r="H26" s="52"/>
    </row>
    <row r="27" spans="1:10" ht="17.100000000000001" customHeight="1" x14ac:dyDescent="0.2">
      <c r="A27" s="3">
        <v>21</v>
      </c>
      <c r="B27" s="4" t="s">
        <v>100</v>
      </c>
      <c r="C27" s="4" t="s">
        <v>101</v>
      </c>
      <c r="D27" s="4" t="s">
        <v>102</v>
      </c>
      <c r="E27" s="5">
        <v>24000</v>
      </c>
      <c r="F27" s="6">
        <v>2494.152</v>
      </c>
      <c r="G27" s="7">
        <v>1.6157439999999999E-2</v>
      </c>
      <c r="H27" s="52"/>
    </row>
    <row r="28" spans="1:10" ht="17.100000000000001" customHeight="1" x14ac:dyDescent="0.2">
      <c r="A28" s="3">
        <v>22</v>
      </c>
      <c r="B28" s="4" t="s">
        <v>229</v>
      </c>
      <c r="C28" s="4" t="s">
        <v>230</v>
      </c>
      <c r="D28" s="4" t="s">
        <v>231</v>
      </c>
      <c r="E28" s="5">
        <v>469000</v>
      </c>
      <c r="F28" s="6">
        <v>2349.4555</v>
      </c>
      <c r="G28" s="7">
        <v>1.522007E-2</v>
      </c>
      <c r="H28" s="52"/>
    </row>
    <row r="29" spans="1:10" ht="17.100000000000001" customHeight="1" x14ac:dyDescent="0.2">
      <c r="A29" s="3">
        <v>23</v>
      </c>
      <c r="B29" s="4" t="s">
        <v>219</v>
      </c>
      <c r="C29" s="4" t="s">
        <v>220</v>
      </c>
      <c r="D29" s="4" t="s">
        <v>221</v>
      </c>
      <c r="E29" s="5">
        <v>238000</v>
      </c>
      <c r="F29" s="6">
        <v>2175.558</v>
      </c>
      <c r="G29" s="7">
        <v>1.409354E-2</v>
      </c>
      <c r="H29" s="52"/>
    </row>
    <row r="30" spans="1:10" ht="29.1" customHeight="1" x14ac:dyDescent="0.2">
      <c r="A30" s="3">
        <v>24</v>
      </c>
      <c r="B30" s="4" t="s">
        <v>390</v>
      </c>
      <c r="C30" s="4" t="s">
        <v>391</v>
      </c>
      <c r="D30" s="4" t="s">
        <v>226</v>
      </c>
      <c r="E30" s="5">
        <v>171000</v>
      </c>
      <c r="F30" s="6">
        <v>2052</v>
      </c>
      <c r="G30" s="7">
        <v>1.329312E-2</v>
      </c>
      <c r="H30" s="52"/>
    </row>
    <row r="31" spans="1:10" ht="17.100000000000001" customHeight="1" x14ac:dyDescent="0.2">
      <c r="A31" s="3">
        <v>25</v>
      </c>
      <c r="B31" s="4" t="s">
        <v>360</v>
      </c>
      <c r="C31" s="4" t="s">
        <v>361</v>
      </c>
      <c r="D31" s="4" t="s">
        <v>60</v>
      </c>
      <c r="E31" s="5">
        <v>64000</v>
      </c>
      <c r="F31" s="6">
        <v>2041.376</v>
      </c>
      <c r="G31" s="7">
        <v>1.32243E-2</v>
      </c>
      <c r="H31" s="52"/>
    </row>
    <row r="32" spans="1:10" ht="17.100000000000001" customHeight="1" x14ac:dyDescent="0.2">
      <c r="A32" s="3">
        <v>26</v>
      </c>
      <c r="B32" s="4" t="s">
        <v>376</v>
      </c>
      <c r="C32" s="4" t="s">
        <v>377</v>
      </c>
      <c r="D32" s="4" t="s">
        <v>28</v>
      </c>
      <c r="E32" s="5">
        <v>1000000</v>
      </c>
      <c r="F32" s="6">
        <v>1962</v>
      </c>
      <c r="G32" s="7">
        <v>1.271009E-2</v>
      </c>
      <c r="H32" s="52"/>
    </row>
    <row r="33" spans="1:8" ht="17.100000000000001" customHeight="1" x14ac:dyDescent="0.2">
      <c r="A33" s="3">
        <v>27</v>
      </c>
      <c r="B33" s="4" t="s">
        <v>281</v>
      </c>
      <c r="C33" s="4" t="s">
        <v>282</v>
      </c>
      <c r="D33" s="4" t="s">
        <v>283</v>
      </c>
      <c r="E33" s="5">
        <v>121000</v>
      </c>
      <c r="F33" s="6">
        <v>1954.3315</v>
      </c>
      <c r="G33" s="7">
        <v>1.266041E-2</v>
      </c>
      <c r="H33" s="52"/>
    </row>
    <row r="34" spans="1:8" ht="29.1" customHeight="1" x14ac:dyDescent="0.2">
      <c r="A34" s="3">
        <v>28</v>
      </c>
      <c r="B34" s="4" t="s">
        <v>238</v>
      </c>
      <c r="C34" s="4" t="s">
        <v>239</v>
      </c>
      <c r="D34" s="4" t="s">
        <v>226</v>
      </c>
      <c r="E34" s="5">
        <v>51000</v>
      </c>
      <c r="F34" s="6">
        <v>1898.1434999999999</v>
      </c>
      <c r="G34" s="7">
        <v>1.2296420000000001E-2</v>
      </c>
      <c r="H34" s="52"/>
    </row>
    <row r="35" spans="1:8" ht="17.100000000000001" customHeight="1" x14ac:dyDescent="0.2">
      <c r="A35" s="3">
        <v>29</v>
      </c>
      <c r="B35" s="4" t="s">
        <v>370</v>
      </c>
      <c r="C35" s="4" t="s">
        <v>371</v>
      </c>
      <c r="D35" s="4" t="s">
        <v>208</v>
      </c>
      <c r="E35" s="5">
        <v>52000</v>
      </c>
      <c r="F35" s="6">
        <v>1889.3679999999999</v>
      </c>
      <c r="G35" s="7">
        <v>1.223957E-2</v>
      </c>
      <c r="H35" s="52"/>
    </row>
    <row r="36" spans="1:8" ht="17.100000000000001" customHeight="1" x14ac:dyDescent="0.2">
      <c r="A36" s="3">
        <v>30</v>
      </c>
      <c r="B36" s="4" t="s">
        <v>331</v>
      </c>
      <c r="C36" s="4" t="s">
        <v>332</v>
      </c>
      <c r="D36" s="4" t="s">
        <v>283</v>
      </c>
      <c r="E36" s="5">
        <v>188000</v>
      </c>
      <c r="F36" s="6">
        <v>1708.5440000000001</v>
      </c>
      <c r="G36" s="7">
        <v>1.106817E-2</v>
      </c>
      <c r="H36" s="52"/>
    </row>
    <row r="37" spans="1:8" ht="17.100000000000001" customHeight="1" x14ac:dyDescent="0.2">
      <c r="A37" s="3">
        <v>31</v>
      </c>
      <c r="B37" s="4" t="s">
        <v>191</v>
      </c>
      <c r="C37" s="4" t="s">
        <v>192</v>
      </c>
      <c r="D37" s="4" t="s">
        <v>28</v>
      </c>
      <c r="E37" s="5">
        <v>1130470</v>
      </c>
      <c r="F37" s="6">
        <v>1590.0060550000001</v>
      </c>
      <c r="G37" s="7">
        <v>1.030026E-2</v>
      </c>
      <c r="H37" s="52"/>
    </row>
    <row r="38" spans="1:8" ht="17.100000000000001" customHeight="1" x14ac:dyDescent="0.2">
      <c r="A38" s="3">
        <v>32</v>
      </c>
      <c r="B38" s="4" t="s">
        <v>522</v>
      </c>
      <c r="C38" s="4" t="s">
        <v>523</v>
      </c>
      <c r="D38" s="4" t="s">
        <v>888</v>
      </c>
      <c r="E38" s="5">
        <v>74000</v>
      </c>
      <c r="F38" s="6">
        <v>1541.346</v>
      </c>
      <c r="G38" s="7">
        <v>9.9850400000000006E-3</v>
      </c>
      <c r="H38" s="52"/>
    </row>
    <row r="39" spans="1:8" ht="17.100000000000001" customHeight="1" x14ac:dyDescent="0.2">
      <c r="A39" s="3">
        <v>33</v>
      </c>
      <c r="B39" s="4" t="s">
        <v>353</v>
      </c>
      <c r="C39" s="4" t="s">
        <v>354</v>
      </c>
      <c r="D39" s="4" t="s">
        <v>888</v>
      </c>
      <c r="E39" s="5">
        <v>30000</v>
      </c>
      <c r="F39" s="6">
        <v>1518.12</v>
      </c>
      <c r="G39" s="7">
        <v>9.8345800000000008E-3</v>
      </c>
      <c r="H39" s="52"/>
    </row>
    <row r="40" spans="1:8" ht="17.100000000000001" customHeight="1" x14ac:dyDescent="0.2">
      <c r="A40" s="3">
        <v>34</v>
      </c>
      <c r="B40" s="4" t="s">
        <v>253</v>
      </c>
      <c r="C40" s="4" t="s">
        <v>254</v>
      </c>
      <c r="D40" s="4" t="s">
        <v>208</v>
      </c>
      <c r="E40" s="5">
        <v>37000</v>
      </c>
      <c r="F40" s="6">
        <v>1511.1724999999999</v>
      </c>
      <c r="G40" s="7">
        <v>9.7895699999999992E-3</v>
      </c>
      <c r="H40" s="52"/>
    </row>
    <row r="41" spans="1:8" ht="17.100000000000001" customHeight="1" x14ac:dyDescent="0.2">
      <c r="A41" s="3">
        <v>35</v>
      </c>
      <c r="B41" s="4" t="s">
        <v>820</v>
      </c>
      <c r="C41" s="4" t="s">
        <v>821</v>
      </c>
      <c r="D41" s="4" t="s">
        <v>60</v>
      </c>
      <c r="E41" s="5">
        <v>96000</v>
      </c>
      <c r="F41" s="6">
        <v>1503.4079999999999</v>
      </c>
      <c r="G41" s="7">
        <v>9.7392699999999995E-3</v>
      </c>
      <c r="H41" s="52"/>
    </row>
    <row r="42" spans="1:8" ht="29.1" customHeight="1" x14ac:dyDescent="0.2">
      <c r="A42" s="3">
        <v>36</v>
      </c>
      <c r="B42" s="4" t="s">
        <v>472</v>
      </c>
      <c r="C42" s="4" t="s">
        <v>473</v>
      </c>
      <c r="D42" s="4" t="s">
        <v>474</v>
      </c>
      <c r="E42" s="5">
        <v>162000</v>
      </c>
      <c r="F42" s="6">
        <v>1458.81</v>
      </c>
      <c r="G42" s="7">
        <v>9.4503599999999997E-3</v>
      </c>
      <c r="H42" s="52"/>
    </row>
    <row r="43" spans="1:8" ht="29.1" customHeight="1" x14ac:dyDescent="0.2">
      <c r="A43" s="3">
        <v>37</v>
      </c>
      <c r="B43" s="4" t="s">
        <v>728</v>
      </c>
      <c r="C43" s="4" t="s">
        <v>729</v>
      </c>
      <c r="D43" s="4" t="s">
        <v>216</v>
      </c>
      <c r="E43" s="5">
        <v>100000</v>
      </c>
      <c r="F43" s="6">
        <v>1304.2</v>
      </c>
      <c r="G43" s="7">
        <v>8.4487699999999995E-3</v>
      </c>
      <c r="H43" s="52"/>
    </row>
    <row r="44" spans="1:8" ht="17.100000000000001" customHeight="1" x14ac:dyDescent="0.2">
      <c r="A44" s="3">
        <v>38</v>
      </c>
      <c r="B44" s="4" t="s">
        <v>103</v>
      </c>
      <c r="C44" s="4" t="s">
        <v>104</v>
      </c>
      <c r="D44" s="4" t="s">
        <v>105</v>
      </c>
      <c r="E44" s="5">
        <v>46000</v>
      </c>
      <c r="F44" s="6">
        <v>1296.0039999999999</v>
      </c>
      <c r="G44" s="7">
        <v>8.3956800000000009E-3</v>
      </c>
      <c r="H44" s="52"/>
    </row>
    <row r="45" spans="1:8" ht="17.100000000000001" customHeight="1" x14ac:dyDescent="0.2">
      <c r="A45" s="3">
        <v>39</v>
      </c>
      <c r="B45" s="4" t="s">
        <v>571</v>
      </c>
      <c r="C45" s="4" t="s">
        <v>572</v>
      </c>
      <c r="D45" s="4" t="s">
        <v>888</v>
      </c>
      <c r="E45" s="5">
        <v>113000</v>
      </c>
      <c r="F45" s="6">
        <v>1280.4594999999999</v>
      </c>
      <c r="G45" s="7">
        <v>8.2949800000000004E-3</v>
      </c>
      <c r="H45" s="52"/>
    </row>
    <row r="46" spans="1:8" ht="17.100000000000001" customHeight="1" x14ac:dyDescent="0.2">
      <c r="A46" s="3">
        <v>40</v>
      </c>
      <c r="B46" s="4" t="s">
        <v>335</v>
      </c>
      <c r="C46" s="4" t="s">
        <v>336</v>
      </c>
      <c r="D46" s="4" t="s">
        <v>28</v>
      </c>
      <c r="E46" s="5">
        <v>333000</v>
      </c>
      <c r="F46" s="6">
        <v>1279.8855000000001</v>
      </c>
      <c r="G46" s="7">
        <v>8.2912599999999999E-3</v>
      </c>
      <c r="H46" s="52"/>
    </row>
    <row r="47" spans="1:8" ht="17.100000000000001" customHeight="1" x14ac:dyDescent="0.2">
      <c r="A47" s="3">
        <v>41</v>
      </c>
      <c r="B47" s="4" t="s">
        <v>41</v>
      </c>
      <c r="C47" s="4" t="s">
        <v>42</v>
      </c>
      <c r="D47" s="4" t="s">
        <v>43</v>
      </c>
      <c r="E47" s="5">
        <v>31000</v>
      </c>
      <c r="F47" s="6">
        <v>1273.883</v>
      </c>
      <c r="G47" s="7">
        <v>8.2523800000000001E-3</v>
      </c>
      <c r="H47" s="52"/>
    </row>
    <row r="48" spans="1:8" ht="17.100000000000001" customHeight="1" x14ac:dyDescent="0.2">
      <c r="A48" s="3">
        <v>42</v>
      </c>
      <c r="B48" s="4" t="s">
        <v>112</v>
      </c>
      <c r="C48" s="4" t="s">
        <v>113</v>
      </c>
      <c r="D48" s="4" t="s">
        <v>114</v>
      </c>
      <c r="E48" s="5">
        <v>194000</v>
      </c>
      <c r="F48" s="6">
        <v>1229.5719999999999</v>
      </c>
      <c r="G48" s="7">
        <v>7.9653299999999996E-3</v>
      </c>
      <c r="H48" s="52"/>
    </row>
    <row r="49" spans="1:8" ht="17.100000000000001" customHeight="1" x14ac:dyDescent="0.2">
      <c r="A49" s="3">
        <v>43</v>
      </c>
      <c r="B49" s="4" t="s">
        <v>710</v>
      </c>
      <c r="C49" s="4" t="s">
        <v>711</v>
      </c>
      <c r="D49" s="4" t="s">
        <v>60</v>
      </c>
      <c r="E49" s="5">
        <v>138229</v>
      </c>
      <c r="F49" s="6">
        <v>1222.8428484999999</v>
      </c>
      <c r="G49" s="7">
        <v>7.9217300000000001E-3</v>
      </c>
      <c r="H49" s="52"/>
    </row>
    <row r="50" spans="1:8" ht="17.100000000000001" customHeight="1" x14ac:dyDescent="0.2">
      <c r="A50" s="3">
        <v>44</v>
      </c>
      <c r="B50" s="4" t="s">
        <v>329</v>
      </c>
      <c r="C50" s="4" t="s">
        <v>330</v>
      </c>
      <c r="D50" s="4" t="s">
        <v>28</v>
      </c>
      <c r="E50" s="5">
        <v>84000</v>
      </c>
      <c r="F50" s="6">
        <v>1210.692</v>
      </c>
      <c r="G50" s="7">
        <v>7.8430199999999992E-3</v>
      </c>
      <c r="H50" s="52"/>
    </row>
    <row r="51" spans="1:8" ht="17.100000000000001" customHeight="1" x14ac:dyDescent="0.2">
      <c r="A51" s="3">
        <v>45</v>
      </c>
      <c r="B51" s="4" t="s">
        <v>236</v>
      </c>
      <c r="C51" s="4" t="s">
        <v>237</v>
      </c>
      <c r="D51" s="4" t="s">
        <v>888</v>
      </c>
      <c r="E51" s="5">
        <v>23000</v>
      </c>
      <c r="F51" s="6">
        <v>1146.3775000000001</v>
      </c>
      <c r="G51" s="7">
        <v>7.4263799999999998E-3</v>
      </c>
      <c r="H51" s="52"/>
    </row>
    <row r="52" spans="1:8" ht="17.100000000000001" customHeight="1" x14ac:dyDescent="0.2">
      <c r="A52" s="3">
        <v>46</v>
      </c>
      <c r="B52" s="4" t="s">
        <v>342</v>
      </c>
      <c r="C52" s="4" t="s">
        <v>343</v>
      </c>
      <c r="D52" s="4" t="s">
        <v>344</v>
      </c>
      <c r="E52" s="5">
        <v>240000</v>
      </c>
      <c r="F52" s="6">
        <v>1028.1600000000001</v>
      </c>
      <c r="G52" s="7">
        <v>6.6605500000000003E-3</v>
      </c>
      <c r="H52" s="52"/>
    </row>
    <row r="53" spans="1:8" ht="17.100000000000001" customHeight="1" x14ac:dyDescent="0.2">
      <c r="A53" s="3">
        <v>47</v>
      </c>
      <c r="B53" s="4" t="s">
        <v>826</v>
      </c>
      <c r="C53" s="4" t="s">
        <v>827</v>
      </c>
      <c r="D53" s="4" t="s">
        <v>242</v>
      </c>
      <c r="E53" s="5">
        <v>67000</v>
      </c>
      <c r="F53" s="6">
        <v>1025.9375</v>
      </c>
      <c r="G53" s="7">
        <v>6.64615E-3</v>
      </c>
      <c r="H53" s="52"/>
    </row>
    <row r="54" spans="1:8" ht="17.100000000000001" customHeight="1" x14ac:dyDescent="0.2">
      <c r="A54" s="3">
        <v>48</v>
      </c>
      <c r="B54" s="4" t="s">
        <v>392</v>
      </c>
      <c r="C54" s="4" t="s">
        <v>393</v>
      </c>
      <c r="D54" s="4" t="s">
        <v>70</v>
      </c>
      <c r="E54" s="5">
        <v>460000</v>
      </c>
      <c r="F54" s="6">
        <v>1007.4</v>
      </c>
      <c r="G54" s="7">
        <v>6.5260700000000001E-3</v>
      </c>
      <c r="H54" s="52"/>
    </row>
    <row r="55" spans="1:8" ht="17.100000000000001" customHeight="1" x14ac:dyDescent="0.2">
      <c r="A55" s="3">
        <v>49</v>
      </c>
      <c r="B55" s="4" t="s">
        <v>355</v>
      </c>
      <c r="C55" s="4" t="s">
        <v>356</v>
      </c>
      <c r="D55" s="4" t="s">
        <v>357</v>
      </c>
      <c r="E55" s="5">
        <v>42778</v>
      </c>
      <c r="F55" s="6">
        <v>997.11240199999997</v>
      </c>
      <c r="G55" s="7">
        <v>6.4594199999999996E-3</v>
      </c>
      <c r="H55" s="52"/>
    </row>
    <row r="56" spans="1:8" ht="17.100000000000001" customHeight="1" x14ac:dyDescent="0.2">
      <c r="A56" s="3">
        <v>50</v>
      </c>
      <c r="B56" s="4" t="s">
        <v>553</v>
      </c>
      <c r="C56" s="4" t="s">
        <v>554</v>
      </c>
      <c r="D56" s="4" t="s">
        <v>283</v>
      </c>
      <c r="E56" s="5">
        <v>96000</v>
      </c>
      <c r="F56" s="6">
        <v>990.91200000000003</v>
      </c>
      <c r="G56" s="7">
        <v>6.4192600000000004E-3</v>
      </c>
      <c r="H56" s="52"/>
    </row>
    <row r="57" spans="1:8" ht="17.100000000000001" customHeight="1" x14ac:dyDescent="0.2">
      <c r="A57" s="3">
        <v>51</v>
      </c>
      <c r="B57" s="4" t="s">
        <v>575</v>
      </c>
      <c r="C57" s="4" t="s">
        <v>576</v>
      </c>
      <c r="D57" s="4" t="s">
        <v>242</v>
      </c>
      <c r="E57" s="5">
        <v>22000</v>
      </c>
      <c r="F57" s="6">
        <v>973.83</v>
      </c>
      <c r="G57" s="7">
        <v>6.3086000000000001E-3</v>
      </c>
      <c r="H57" s="52"/>
    </row>
    <row r="58" spans="1:8" ht="17.100000000000001" customHeight="1" x14ac:dyDescent="0.2">
      <c r="A58" s="3">
        <v>52</v>
      </c>
      <c r="B58" s="4" t="s">
        <v>745</v>
      </c>
      <c r="C58" s="4" t="s">
        <v>746</v>
      </c>
      <c r="D58" s="4" t="s">
        <v>242</v>
      </c>
      <c r="E58" s="5">
        <v>4000</v>
      </c>
      <c r="F58" s="6">
        <v>969.39200000000005</v>
      </c>
      <c r="G58" s="7">
        <v>6.27985E-3</v>
      </c>
      <c r="H58" s="52"/>
    </row>
    <row r="59" spans="1:8" ht="17.100000000000001" customHeight="1" x14ac:dyDescent="0.2">
      <c r="A59" s="3">
        <v>53</v>
      </c>
      <c r="B59" s="4" t="s">
        <v>299</v>
      </c>
      <c r="C59" s="4" t="s">
        <v>300</v>
      </c>
      <c r="D59" s="4" t="s">
        <v>208</v>
      </c>
      <c r="E59" s="5">
        <v>663000</v>
      </c>
      <c r="F59" s="6">
        <v>923.89049999999997</v>
      </c>
      <c r="G59" s="7">
        <v>5.9850800000000003E-3</v>
      </c>
      <c r="H59" s="52"/>
    </row>
    <row r="60" spans="1:8" ht="17.100000000000001" customHeight="1" x14ac:dyDescent="0.2">
      <c r="A60" s="3">
        <v>54</v>
      </c>
      <c r="B60" s="4" t="s">
        <v>567</v>
      </c>
      <c r="C60" s="4" t="s">
        <v>568</v>
      </c>
      <c r="D60" s="4" t="s">
        <v>60</v>
      </c>
      <c r="E60" s="5">
        <v>29000</v>
      </c>
      <c r="F60" s="6">
        <v>868.75300000000004</v>
      </c>
      <c r="G60" s="7">
        <v>5.62789E-3</v>
      </c>
      <c r="H60" s="52"/>
    </row>
    <row r="61" spans="1:8" ht="17.100000000000001" customHeight="1" x14ac:dyDescent="0.2">
      <c r="A61" s="3">
        <v>55</v>
      </c>
      <c r="B61" s="4" t="s">
        <v>257</v>
      </c>
      <c r="C61" s="4" t="s">
        <v>258</v>
      </c>
      <c r="D61" s="4" t="s">
        <v>259</v>
      </c>
      <c r="E61" s="5">
        <v>300000</v>
      </c>
      <c r="F61" s="6">
        <v>777.6</v>
      </c>
      <c r="G61" s="7">
        <v>5.0373900000000001E-3</v>
      </c>
      <c r="H61" s="52"/>
    </row>
    <row r="62" spans="1:8" ht="17.100000000000001" customHeight="1" x14ac:dyDescent="0.2">
      <c r="A62" s="3">
        <v>56</v>
      </c>
      <c r="B62" s="4" t="s">
        <v>411</v>
      </c>
      <c r="C62" s="4" t="s">
        <v>412</v>
      </c>
      <c r="D62" s="4" t="s">
        <v>70</v>
      </c>
      <c r="E62" s="5">
        <v>100000</v>
      </c>
      <c r="F62" s="6">
        <v>763.45</v>
      </c>
      <c r="G62" s="7">
        <v>4.9457299999999997E-3</v>
      </c>
      <c r="H62" s="52"/>
    </row>
    <row r="63" spans="1:8" ht="17.100000000000001" customHeight="1" x14ac:dyDescent="0.2">
      <c r="A63" s="3">
        <v>57</v>
      </c>
      <c r="B63" s="4" t="s">
        <v>91</v>
      </c>
      <c r="C63" s="4" t="s">
        <v>92</v>
      </c>
      <c r="D63" s="4" t="s">
        <v>93</v>
      </c>
      <c r="E63" s="5">
        <v>67000</v>
      </c>
      <c r="F63" s="6">
        <v>762.35950000000003</v>
      </c>
      <c r="G63" s="7">
        <v>4.9386600000000001E-3</v>
      </c>
      <c r="H63" s="52"/>
    </row>
    <row r="64" spans="1:8" ht="17.100000000000001" customHeight="1" x14ac:dyDescent="0.2">
      <c r="A64" s="3">
        <v>58</v>
      </c>
      <c r="B64" s="4" t="s">
        <v>470</v>
      </c>
      <c r="C64" s="4" t="s">
        <v>471</v>
      </c>
      <c r="D64" s="4" t="s">
        <v>28</v>
      </c>
      <c r="E64" s="5">
        <v>42000</v>
      </c>
      <c r="F64" s="6">
        <v>730.548</v>
      </c>
      <c r="G64" s="7">
        <v>4.7325800000000001E-3</v>
      </c>
      <c r="H64" s="52"/>
    </row>
    <row r="65" spans="1:8" ht="29.1" customHeight="1" x14ac:dyDescent="0.2">
      <c r="A65" s="3">
        <v>59</v>
      </c>
      <c r="B65" s="4" t="s">
        <v>63</v>
      </c>
      <c r="C65" s="4" t="s">
        <v>64</v>
      </c>
      <c r="D65" s="4" t="s">
        <v>25</v>
      </c>
      <c r="E65" s="5">
        <v>32737</v>
      </c>
      <c r="F65" s="6">
        <v>688.86832249999998</v>
      </c>
      <c r="G65" s="7">
        <v>4.4625799999999998E-3</v>
      </c>
      <c r="H65" s="52"/>
    </row>
    <row r="66" spans="1:8" ht="29.1" customHeight="1" x14ac:dyDescent="0.2">
      <c r="A66" s="3">
        <v>60</v>
      </c>
      <c r="B66" s="4" t="s">
        <v>214</v>
      </c>
      <c r="C66" s="4" t="s">
        <v>215</v>
      </c>
      <c r="D66" s="4" t="s">
        <v>216</v>
      </c>
      <c r="E66" s="5">
        <v>20000</v>
      </c>
      <c r="F66" s="6">
        <v>687.65</v>
      </c>
      <c r="G66" s="7">
        <v>4.4546899999999999E-3</v>
      </c>
      <c r="H66" s="52"/>
    </row>
    <row r="67" spans="1:8" ht="17.100000000000001" customHeight="1" x14ac:dyDescent="0.2">
      <c r="A67" s="3">
        <v>61</v>
      </c>
      <c r="B67" s="4" t="s">
        <v>417</v>
      </c>
      <c r="C67" s="4" t="s">
        <v>418</v>
      </c>
      <c r="D67" s="4" t="s">
        <v>231</v>
      </c>
      <c r="E67" s="5">
        <v>46000</v>
      </c>
      <c r="F67" s="6">
        <v>595.90700000000004</v>
      </c>
      <c r="G67" s="7">
        <v>3.8603600000000002E-3</v>
      </c>
      <c r="H67" s="52"/>
    </row>
    <row r="68" spans="1:8" ht="17.100000000000001" customHeight="1" x14ac:dyDescent="0.2">
      <c r="A68" s="3">
        <v>62</v>
      </c>
      <c r="B68" s="4" t="s">
        <v>366</v>
      </c>
      <c r="C68" s="4" t="s">
        <v>367</v>
      </c>
      <c r="D68" s="4" t="s">
        <v>114</v>
      </c>
      <c r="E68" s="5">
        <v>300000</v>
      </c>
      <c r="F68" s="6">
        <v>356.25</v>
      </c>
      <c r="G68" s="7">
        <v>2.3078299999999999E-3</v>
      </c>
      <c r="H68" s="52"/>
    </row>
    <row r="69" spans="1:8" ht="29.1" customHeight="1" x14ac:dyDescent="0.2">
      <c r="A69" s="3">
        <v>63</v>
      </c>
      <c r="B69" s="4" t="s">
        <v>378</v>
      </c>
      <c r="C69" s="4" t="s">
        <v>379</v>
      </c>
      <c r="D69" s="4" t="s">
        <v>226</v>
      </c>
      <c r="E69" s="5">
        <v>40000</v>
      </c>
      <c r="F69" s="6">
        <v>339.8</v>
      </c>
      <c r="G69" s="7">
        <v>2.20127E-3</v>
      </c>
      <c r="H69" s="52"/>
    </row>
    <row r="70" spans="1:8" ht="17.100000000000001" customHeight="1" x14ac:dyDescent="0.2">
      <c r="A70" s="3">
        <v>64</v>
      </c>
      <c r="B70" s="4" t="s">
        <v>734</v>
      </c>
      <c r="C70" s="4" t="s">
        <v>735</v>
      </c>
      <c r="D70" s="4" t="s">
        <v>70</v>
      </c>
      <c r="E70" s="5">
        <v>49718</v>
      </c>
      <c r="F70" s="6">
        <v>77.758951999999994</v>
      </c>
      <c r="G70" s="7">
        <v>5.0372999999999998E-4</v>
      </c>
      <c r="H70" s="52"/>
    </row>
    <row r="71" spans="1:8" ht="14.1" customHeight="1" x14ac:dyDescent="0.2">
      <c r="A71" s="1"/>
      <c r="B71" s="1"/>
      <c r="C71" s="2" t="s">
        <v>145</v>
      </c>
      <c r="D71" s="1"/>
      <c r="E71" s="1" t="s">
        <v>146</v>
      </c>
      <c r="F71" s="9">
        <v>152849.060043</v>
      </c>
      <c r="G71" s="10">
        <v>0.99017579</v>
      </c>
      <c r="H71" s="52"/>
    </row>
    <row r="72" spans="1:8" ht="14.1" customHeight="1" x14ac:dyDescent="0.2">
      <c r="A72" s="1"/>
      <c r="B72" s="1"/>
      <c r="C72" s="11"/>
      <c r="D72" s="1"/>
      <c r="E72" s="1"/>
      <c r="F72" s="12"/>
      <c r="G72" s="12"/>
      <c r="H72" s="52"/>
    </row>
    <row r="73" spans="1:8" ht="14.1" customHeight="1" x14ac:dyDescent="0.2">
      <c r="A73" s="1"/>
      <c r="B73" s="1"/>
      <c r="C73" s="2" t="s">
        <v>147</v>
      </c>
      <c r="D73" s="1"/>
      <c r="E73" s="1"/>
      <c r="F73" s="1"/>
      <c r="G73" s="1"/>
      <c r="H73" s="52"/>
    </row>
    <row r="74" spans="1:8" ht="14.1" customHeight="1" x14ac:dyDescent="0.2">
      <c r="A74" s="1"/>
      <c r="B74" s="1"/>
      <c r="C74" s="2" t="s">
        <v>145</v>
      </c>
      <c r="D74" s="1"/>
      <c r="E74" s="1" t="s">
        <v>146</v>
      </c>
      <c r="F74" s="13" t="s">
        <v>148</v>
      </c>
      <c r="G74" s="10">
        <v>0</v>
      </c>
      <c r="H74" s="52"/>
    </row>
    <row r="75" spans="1:8" ht="14.1" customHeight="1" x14ac:dyDescent="0.2">
      <c r="A75" s="1"/>
      <c r="B75" s="1"/>
      <c r="C75" s="11"/>
      <c r="D75" s="1"/>
      <c r="E75" s="1"/>
      <c r="F75" s="12"/>
      <c r="G75" s="12"/>
      <c r="H75" s="52"/>
    </row>
    <row r="76" spans="1:8" ht="14.1" customHeight="1" x14ac:dyDescent="0.2">
      <c r="A76" s="1"/>
      <c r="B76" s="1"/>
      <c r="C76" s="2" t="s">
        <v>149</v>
      </c>
      <c r="D76" s="1"/>
      <c r="E76" s="1"/>
      <c r="F76" s="1"/>
      <c r="G76" s="1"/>
      <c r="H76" s="52"/>
    </row>
    <row r="77" spans="1:8" ht="14.1" customHeight="1" x14ac:dyDescent="0.2">
      <c r="A77" s="1"/>
      <c r="B77" s="1"/>
      <c r="C77" s="2" t="s">
        <v>145</v>
      </c>
      <c r="D77" s="1"/>
      <c r="E77" s="1" t="s">
        <v>146</v>
      </c>
      <c r="F77" s="13" t="s">
        <v>148</v>
      </c>
      <c r="G77" s="10">
        <v>0</v>
      </c>
      <c r="H77" s="52"/>
    </row>
    <row r="78" spans="1:8" ht="14.1" customHeight="1" x14ac:dyDescent="0.2">
      <c r="A78" s="1"/>
      <c r="B78" s="1"/>
      <c r="C78" s="11"/>
      <c r="D78" s="1"/>
      <c r="E78" s="1"/>
      <c r="F78" s="12"/>
      <c r="G78" s="12"/>
      <c r="H78" s="52"/>
    </row>
    <row r="79" spans="1:8" ht="14.1" customHeight="1" x14ac:dyDescent="0.2">
      <c r="A79" s="1"/>
      <c r="B79" s="1"/>
      <c r="C79" s="2" t="s">
        <v>150</v>
      </c>
      <c r="D79" s="1"/>
      <c r="E79" s="1"/>
      <c r="F79" s="1"/>
      <c r="G79" s="1"/>
      <c r="H79" s="52"/>
    </row>
    <row r="80" spans="1:8" ht="14.1" customHeight="1" x14ac:dyDescent="0.2">
      <c r="A80" s="1"/>
      <c r="B80" s="1"/>
      <c r="C80" s="2" t="s">
        <v>145</v>
      </c>
      <c r="D80" s="1"/>
      <c r="E80" s="1" t="s">
        <v>146</v>
      </c>
      <c r="F80" s="13" t="s">
        <v>148</v>
      </c>
      <c r="G80" s="10">
        <v>0</v>
      </c>
      <c r="H80" s="52"/>
    </row>
    <row r="81" spans="1:8" ht="14.1" customHeight="1" x14ac:dyDescent="0.2">
      <c r="A81" s="1"/>
      <c r="B81" s="1"/>
      <c r="C81" s="11"/>
      <c r="D81" s="1"/>
      <c r="E81" s="1"/>
      <c r="F81" s="12"/>
      <c r="G81" s="12"/>
      <c r="H81" s="52"/>
    </row>
    <row r="82" spans="1:8" ht="14.1" customHeight="1" x14ac:dyDescent="0.2">
      <c r="A82" s="1"/>
      <c r="B82" s="1"/>
      <c r="C82" s="2" t="s">
        <v>151</v>
      </c>
      <c r="D82" s="1"/>
      <c r="E82" s="1"/>
      <c r="F82" s="12"/>
      <c r="G82" s="12"/>
      <c r="H82" s="52"/>
    </row>
    <row r="83" spans="1:8" ht="14.1" customHeight="1" x14ac:dyDescent="0.2">
      <c r="A83" s="1"/>
      <c r="B83" s="1"/>
      <c r="C83" s="2" t="s">
        <v>145</v>
      </c>
      <c r="D83" s="1"/>
      <c r="E83" s="1" t="s">
        <v>146</v>
      </c>
      <c r="F83" s="13" t="s">
        <v>148</v>
      </c>
      <c r="G83" s="10">
        <v>0</v>
      </c>
      <c r="H83" s="52"/>
    </row>
    <row r="84" spans="1:8" ht="14.1" customHeight="1" x14ac:dyDescent="0.2">
      <c r="A84" s="1"/>
      <c r="B84" s="1"/>
      <c r="C84" s="11"/>
      <c r="D84" s="1"/>
      <c r="E84" s="1"/>
      <c r="F84" s="12"/>
      <c r="G84" s="12"/>
      <c r="H84" s="52"/>
    </row>
    <row r="85" spans="1:8" ht="14.1" customHeight="1" x14ac:dyDescent="0.2">
      <c r="A85" s="1"/>
      <c r="B85" s="1"/>
      <c r="C85" s="2" t="s">
        <v>152</v>
      </c>
      <c r="D85" s="1"/>
      <c r="E85" s="1"/>
      <c r="F85" s="12"/>
      <c r="G85" s="12"/>
      <c r="H85" s="52"/>
    </row>
    <row r="86" spans="1:8" ht="14.1" customHeight="1" x14ac:dyDescent="0.2">
      <c r="A86" s="1"/>
      <c r="B86" s="1"/>
      <c r="C86" s="2" t="s">
        <v>145</v>
      </c>
      <c r="D86" s="1"/>
      <c r="E86" s="1" t="s">
        <v>146</v>
      </c>
      <c r="F86" s="13" t="s">
        <v>148</v>
      </c>
      <c r="G86" s="10">
        <v>0</v>
      </c>
      <c r="H86" s="52"/>
    </row>
    <row r="87" spans="1:8" ht="14.1" customHeight="1" x14ac:dyDescent="0.2">
      <c r="A87" s="1"/>
      <c r="B87" s="1"/>
      <c r="C87" s="11"/>
      <c r="D87" s="1"/>
      <c r="E87" s="1"/>
      <c r="F87" s="12"/>
      <c r="G87" s="12"/>
      <c r="H87" s="52"/>
    </row>
    <row r="88" spans="1:8" ht="18" customHeight="1" x14ac:dyDescent="0.2">
      <c r="A88" s="1"/>
      <c r="B88" s="1"/>
      <c r="C88" s="2" t="s">
        <v>153</v>
      </c>
      <c r="D88" s="1"/>
      <c r="E88" s="1"/>
      <c r="F88" s="9">
        <v>152849.060043</v>
      </c>
      <c r="G88" s="10">
        <v>0.99017579</v>
      </c>
      <c r="H88" s="52"/>
    </row>
    <row r="89" spans="1:8" ht="14.1" customHeight="1" x14ac:dyDescent="0.2">
      <c r="A89" s="1"/>
      <c r="B89" s="1"/>
      <c r="C89" s="11"/>
      <c r="D89" s="1"/>
      <c r="E89" s="1"/>
      <c r="F89" s="12"/>
      <c r="G89" s="12"/>
      <c r="H89" s="52"/>
    </row>
    <row r="90" spans="1:8" ht="14.1" customHeight="1" x14ac:dyDescent="0.2">
      <c r="A90" s="1"/>
      <c r="B90" s="1"/>
      <c r="C90" s="2" t="s">
        <v>154</v>
      </c>
      <c r="D90" s="1"/>
      <c r="E90" s="1"/>
      <c r="F90" s="12"/>
      <c r="G90" s="12"/>
      <c r="H90" s="52"/>
    </row>
    <row r="91" spans="1:8" ht="24" customHeight="1" x14ac:dyDescent="0.2">
      <c r="A91" s="1"/>
      <c r="B91" s="1"/>
      <c r="C91" s="2" t="s">
        <v>10</v>
      </c>
      <c r="D91" s="1"/>
      <c r="E91" s="1"/>
      <c r="F91" s="12"/>
      <c r="G91" s="12"/>
      <c r="H91" s="52"/>
    </row>
    <row r="92" spans="1:8" ht="14.1" customHeight="1" x14ac:dyDescent="0.2">
      <c r="A92" s="1"/>
      <c r="B92" s="1"/>
      <c r="C92" s="2" t="s">
        <v>145</v>
      </c>
      <c r="D92" s="1"/>
      <c r="E92" s="1" t="s">
        <v>146</v>
      </c>
      <c r="F92" s="13" t="s">
        <v>148</v>
      </c>
      <c r="G92" s="10">
        <v>0</v>
      </c>
      <c r="H92" s="52"/>
    </row>
    <row r="93" spans="1:8" ht="14.1" customHeight="1" x14ac:dyDescent="0.2">
      <c r="A93" s="1"/>
      <c r="B93" s="1"/>
      <c r="C93" s="11"/>
      <c r="D93" s="1"/>
      <c r="E93" s="1"/>
      <c r="F93" s="12"/>
      <c r="G93" s="12"/>
      <c r="H93" s="52"/>
    </row>
    <row r="94" spans="1:8" ht="14.1" customHeight="1" x14ac:dyDescent="0.2">
      <c r="A94" s="1"/>
      <c r="B94" s="1"/>
      <c r="C94" s="2" t="s">
        <v>155</v>
      </c>
      <c r="D94" s="1"/>
      <c r="E94" s="1"/>
      <c r="F94" s="1"/>
      <c r="G94" s="1"/>
      <c r="H94" s="52"/>
    </row>
    <row r="95" spans="1:8" ht="14.1" customHeight="1" x14ac:dyDescent="0.2">
      <c r="A95" s="1"/>
      <c r="B95" s="1"/>
      <c r="C95" s="2" t="s">
        <v>145</v>
      </c>
      <c r="D95" s="1"/>
      <c r="E95" s="1" t="s">
        <v>146</v>
      </c>
      <c r="F95" s="13" t="s">
        <v>148</v>
      </c>
      <c r="G95" s="10">
        <v>0</v>
      </c>
      <c r="H95" s="52"/>
    </row>
    <row r="96" spans="1:8" ht="14.1" customHeight="1" x14ac:dyDescent="0.2">
      <c r="A96" s="1"/>
      <c r="B96" s="1"/>
      <c r="C96" s="11"/>
      <c r="D96" s="1"/>
      <c r="E96" s="1"/>
      <c r="F96" s="12"/>
      <c r="G96" s="12"/>
      <c r="H96" s="52"/>
    </row>
    <row r="97" spans="1:8" ht="14.1" customHeight="1" x14ac:dyDescent="0.2">
      <c r="A97" s="1"/>
      <c r="B97" s="1"/>
      <c r="C97" s="2" t="s">
        <v>156</v>
      </c>
      <c r="D97" s="1"/>
      <c r="E97" s="1"/>
      <c r="F97" s="1"/>
      <c r="G97" s="1"/>
      <c r="H97" s="52"/>
    </row>
    <row r="98" spans="1:8" ht="14.1" customHeight="1" x14ac:dyDescent="0.2">
      <c r="A98" s="1"/>
      <c r="B98" s="1"/>
      <c r="C98" s="2" t="s">
        <v>145</v>
      </c>
      <c r="D98" s="1"/>
      <c r="E98" s="1" t="s">
        <v>146</v>
      </c>
      <c r="F98" s="13" t="s">
        <v>148</v>
      </c>
      <c r="G98" s="10">
        <v>0</v>
      </c>
      <c r="H98" s="52"/>
    </row>
    <row r="99" spans="1:8" ht="14.1" customHeight="1" x14ac:dyDescent="0.2">
      <c r="A99" s="1"/>
      <c r="B99" s="1"/>
      <c r="C99" s="11"/>
      <c r="D99" s="1"/>
      <c r="E99" s="1"/>
      <c r="F99" s="12"/>
      <c r="G99" s="12"/>
      <c r="H99" s="52"/>
    </row>
    <row r="100" spans="1:8" ht="14.1" customHeight="1" x14ac:dyDescent="0.2">
      <c r="A100" s="1"/>
      <c r="B100" s="1"/>
      <c r="C100" s="2" t="s">
        <v>157</v>
      </c>
      <c r="D100" s="1"/>
      <c r="E100" s="1"/>
      <c r="F100" s="12"/>
      <c r="G100" s="12"/>
      <c r="H100" s="52"/>
    </row>
    <row r="101" spans="1:8" ht="14.1" customHeight="1" x14ac:dyDescent="0.2">
      <c r="A101" s="1"/>
      <c r="B101" s="1"/>
      <c r="C101" s="2" t="s">
        <v>145</v>
      </c>
      <c r="D101" s="1"/>
      <c r="E101" s="1" t="s">
        <v>146</v>
      </c>
      <c r="F101" s="13" t="s">
        <v>148</v>
      </c>
      <c r="G101" s="10">
        <v>0</v>
      </c>
      <c r="H101" s="52"/>
    </row>
    <row r="102" spans="1:8" ht="14.1" customHeight="1" x14ac:dyDescent="0.2">
      <c r="A102" s="1"/>
      <c r="B102" s="1"/>
      <c r="C102" s="11"/>
      <c r="D102" s="1"/>
      <c r="E102" s="1"/>
      <c r="F102" s="12"/>
      <c r="G102" s="12"/>
      <c r="H102" s="52"/>
    </row>
    <row r="103" spans="1:8" ht="14.1" customHeight="1" x14ac:dyDescent="0.2">
      <c r="A103" s="1"/>
      <c r="B103" s="1"/>
      <c r="C103" s="2" t="s">
        <v>158</v>
      </c>
      <c r="D103" s="1"/>
      <c r="E103" s="1"/>
      <c r="F103" s="9">
        <v>0</v>
      </c>
      <c r="G103" s="10">
        <v>0</v>
      </c>
      <c r="H103" s="52"/>
    </row>
    <row r="104" spans="1:8" ht="14.1" customHeight="1" x14ac:dyDescent="0.2">
      <c r="A104" s="1"/>
      <c r="B104" s="1"/>
      <c r="C104" s="11"/>
      <c r="D104" s="1"/>
      <c r="E104" s="1"/>
      <c r="F104" s="12"/>
      <c r="G104" s="12"/>
      <c r="H104" s="52"/>
    </row>
    <row r="105" spans="1:8" ht="14.1" customHeight="1" x14ac:dyDescent="0.2">
      <c r="A105" s="1"/>
      <c r="B105" s="1"/>
      <c r="C105" s="2" t="s">
        <v>159</v>
      </c>
      <c r="D105" s="1"/>
      <c r="E105" s="1"/>
      <c r="F105" s="12"/>
      <c r="G105" s="12"/>
      <c r="H105" s="52"/>
    </row>
    <row r="106" spans="1:8" ht="14.1" customHeight="1" x14ac:dyDescent="0.2">
      <c r="A106" s="1"/>
      <c r="B106" s="1"/>
      <c r="C106" s="2" t="s">
        <v>160</v>
      </c>
      <c r="D106" s="1"/>
      <c r="E106" s="1"/>
      <c r="F106" s="12"/>
      <c r="G106" s="12"/>
      <c r="H106" s="52"/>
    </row>
    <row r="107" spans="1:8" ht="14.1" customHeight="1" x14ac:dyDescent="0.2">
      <c r="A107" s="1"/>
      <c r="B107" s="1"/>
      <c r="C107" s="2" t="s">
        <v>145</v>
      </c>
      <c r="D107" s="1"/>
      <c r="E107" s="1" t="s">
        <v>146</v>
      </c>
      <c r="F107" s="13" t="s">
        <v>148</v>
      </c>
      <c r="G107" s="10">
        <v>0</v>
      </c>
      <c r="H107" s="52"/>
    </row>
    <row r="108" spans="1:8" ht="14.1" customHeight="1" x14ac:dyDescent="0.2">
      <c r="A108" s="1"/>
      <c r="B108" s="1"/>
      <c r="C108" s="11"/>
      <c r="D108" s="1"/>
      <c r="E108" s="1"/>
      <c r="F108" s="12"/>
      <c r="G108" s="12"/>
      <c r="H108" s="52"/>
    </row>
    <row r="109" spans="1:8" ht="14.1" customHeight="1" x14ac:dyDescent="0.2">
      <c r="A109" s="1"/>
      <c r="B109" s="1"/>
      <c r="C109" s="2" t="s">
        <v>161</v>
      </c>
      <c r="D109" s="1"/>
      <c r="E109" s="1"/>
      <c r="F109" s="12"/>
      <c r="G109" s="12"/>
      <c r="H109" s="52"/>
    </row>
    <row r="110" spans="1:8" ht="14.1" customHeight="1" x14ac:dyDescent="0.2">
      <c r="A110" s="1"/>
      <c r="B110" s="1"/>
      <c r="C110" s="2" t="s">
        <v>145</v>
      </c>
      <c r="D110" s="1"/>
      <c r="E110" s="1" t="s">
        <v>146</v>
      </c>
      <c r="F110" s="13" t="s">
        <v>148</v>
      </c>
      <c r="G110" s="10">
        <v>0</v>
      </c>
      <c r="H110" s="52"/>
    </row>
    <row r="111" spans="1:8" ht="14.1" customHeight="1" x14ac:dyDescent="0.2">
      <c r="A111" s="1"/>
      <c r="B111" s="1"/>
      <c r="C111" s="11"/>
      <c r="D111" s="1"/>
      <c r="E111" s="1"/>
      <c r="F111" s="12"/>
      <c r="G111" s="12"/>
      <c r="H111" s="52"/>
    </row>
    <row r="112" spans="1:8" ht="14.1" customHeight="1" x14ac:dyDescent="0.2">
      <c r="A112" s="1"/>
      <c r="B112" s="1"/>
      <c r="C112" s="2" t="s">
        <v>162</v>
      </c>
      <c r="D112" s="1"/>
      <c r="E112" s="1"/>
      <c r="F112" s="12"/>
      <c r="G112" s="12"/>
      <c r="H112" s="52"/>
    </row>
    <row r="113" spans="1:8" ht="14.1" customHeight="1" x14ac:dyDescent="0.2">
      <c r="A113" s="1"/>
      <c r="B113" s="1"/>
      <c r="C113" s="2" t="s">
        <v>145</v>
      </c>
      <c r="D113" s="1"/>
      <c r="E113" s="1" t="s">
        <v>146</v>
      </c>
      <c r="F113" s="13" t="s">
        <v>148</v>
      </c>
      <c r="G113" s="10">
        <v>0</v>
      </c>
      <c r="H113" s="52"/>
    </row>
    <row r="114" spans="1:8" ht="14.1" customHeight="1" x14ac:dyDescent="0.2">
      <c r="A114" s="1"/>
      <c r="B114" s="1"/>
      <c r="C114" s="11"/>
      <c r="D114" s="1"/>
      <c r="E114" s="1"/>
      <c r="F114" s="12"/>
      <c r="G114" s="12"/>
      <c r="H114" s="52"/>
    </row>
    <row r="115" spans="1:8" ht="14.1" customHeight="1" x14ac:dyDescent="0.2">
      <c r="A115" s="1"/>
      <c r="B115" s="1"/>
      <c r="C115" s="2" t="s">
        <v>163</v>
      </c>
      <c r="D115" s="1"/>
      <c r="E115" s="1"/>
      <c r="F115" s="12"/>
      <c r="G115" s="12"/>
      <c r="H115" s="52"/>
    </row>
    <row r="116" spans="1:8" ht="17.100000000000001" customHeight="1" x14ac:dyDescent="0.2">
      <c r="A116" s="3">
        <v>1</v>
      </c>
      <c r="B116" s="4"/>
      <c r="C116" s="4" t="s">
        <v>164</v>
      </c>
      <c r="D116" s="4"/>
      <c r="E116" s="8"/>
      <c r="F116" s="6">
        <v>1809.661161002</v>
      </c>
      <c r="G116" s="7">
        <v>1.1723219999999999E-2</v>
      </c>
      <c r="H116" s="52">
        <v>6.7567375937238596</v>
      </c>
    </row>
    <row r="117" spans="1:8" ht="14.1" customHeight="1" x14ac:dyDescent="0.2">
      <c r="A117" s="1"/>
      <c r="B117" s="1"/>
      <c r="C117" s="2" t="s">
        <v>145</v>
      </c>
      <c r="D117" s="1"/>
      <c r="E117" s="1" t="s">
        <v>146</v>
      </c>
      <c r="F117" s="9">
        <v>1809.661161002</v>
      </c>
      <c r="G117" s="10">
        <v>1.1723219999999999E-2</v>
      </c>
      <c r="H117" s="52"/>
    </row>
    <row r="118" spans="1:8" ht="14.1" customHeight="1" x14ac:dyDescent="0.2">
      <c r="A118" s="1"/>
      <c r="B118" s="1"/>
      <c r="C118" s="11"/>
      <c r="D118" s="1"/>
      <c r="E118" s="1"/>
      <c r="F118" s="12"/>
      <c r="G118" s="12"/>
      <c r="H118" s="52"/>
    </row>
    <row r="119" spans="1:8" ht="14.1" customHeight="1" x14ac:dyDescent="0.2">
      <c r="A119" s="1"/>
      <c r="B119" s="1"/>
      <c r="C119" s="2" t="s">
        <v>165</v>
      </c>
      <c r="D119" s="1"/>
      <c r="E119" s="1"/>
      <c r="F119" s="9">
        <v>1809.661161002</v>
      </c>
      <c r="G119" s="10">
        <v>1.1723219999999999E-2</v>
      </c>
      <c r="H119" s="52"/>
    </row>
    <row r="120" spans="1:8" ht="14.1" customHeight="1" x14ac:dyDescent="0.2">
      <c r="A120" s="1"/>
      <c r="B120" s="1"/>
      <c r="C120" s="12"/>
      <c r="D120" s="1"/>
      <c r="E120" s="1"/>
      <c r="F120" s="1"/>
      <c r="G120" s="1"/>
      <c r="H120" s="52"/>
    </row>
    <row r="121" spans="1:8" ht="14.1" customHeight="1" x14ac:dyDescent="0.2">
      <c r="A121" s="1"/>
      <c r="B121" s="1"/>
      <c r="C121" s="2" t="s">
        <v>166</v>
      </c>
      <c r="D121" s="1"/>
      <c r="E121" s="1"/>
      <c r="F121" s="1"/>
      <c r="G121" s="1"/>
      <c r="H121" s="52"/>
    </row>
    <row r="122" spans="1:8" ht="14.1" customHeight="1" x14ac:dyDescent="0.2">
      <c r="A122" s="1"/>
      <c r="B122" s="1"/>
      <c r="C122" s="2" t="s">
        <v>167</v>
      </c>
      <c r="D122" s="1"/>
      <c r="E122" s="1"/>
      <c r="F122" s="1"/>
      <c r="G122" s="1"/>
      <c r="H122" s="52"/>
    </row>
    <row r="123" spans="1:8" ht="14.1" customHeight="1" x14ac:dyDescent="0.2">
      <c r="A123" s="1"/>
      <c r="B123" s="1"/>
      <c r="C123" s="2" t="s">
        <v>145</v>
      </c>
      <c r="D123" s="1"/>
      <c r="E123" s="1" t="s">
        <v>146</v>
      </c>
      <c r="F123" s="13" t="s">
        <v>148</v>
      </c>
      <c r="G123" s="10">
        <v>0</v>
      </c>
      <c r="H123" s="52"/>
    </row>
    <row r="124" spans="1:8" ht="14.1" customHeight="1" x14ac:dyDescent="0.2">
      <c r="A124" s="1"/>
      <c r="B124" s="1"/>
      <c r="C124" s="11"/>
      <c r="D124" s="1"/>
      <c r="E124" s="1"/>
      <c r="F124" s="12"/>
      <c r="G124" s="12"/>
      <c r="H124" s="52"/>
    </row>
    <row r="125" spans="1:8" ht="14.1" customHeight="1" x14ac:dyDescent="0.2">
      <c r="A125" s="1"/>
      <c r="B125" s="1"/>
      <c r="C125" s="2" t="s">
        <v>168</v>
      </c>
      <c r="D125" s="1"/>
      <c r="E125" s="1"/>
      <c r="F125" s="1"/>
      <c r="G125" s="1"/>
      <c r="H125" s="52"/>
    </row>
    <row r="126" spans="1:8" ht="14.1" customHeight="1" x14ac:dyDescent="0.2">
      <c r="A126" s="1"/>
      <c r="B126" s="1"/>
      <c r="C126" s="2" t="s">
        <v>169</v>
      </c>
      <c r="D126" s="1"/>
      <c r="E126" s="1"/>
      <c r="F126" s="1"/>
      <c r="G126" s="1"/>
      <c r="H126" s="52"/>
    </row>
    <row r="127" spans="1:8" ht="14.1" customHeight="1" x14ac:dyDescent="0.2">
      <c r="A127" s="1"/>
      <c r="B127" s="1"/>
      <c r="C127" s="2" t="s">
        <v>145</v>
      </c>
      <c r="D127" s="1"/>
      <c r="E127" s="1" t="s">
        <v>146</v>
      </c>
      <c r="F127" s="13" t="s">
        <v>148</v>
      </c>
      <c r="G127" s="10">
        <v>0</v>
      </c>
      <c r="H127" s="52"/>
    </row>
    <row r="128" spans="1:8" ht="14.1" customHeight="1" x14ac:dyDescent="0.2">
      <c r="A128" s="1"/>
      <c r="B128" s="1"/>
      <c r="C128" s="11"/>
      <c r="D128" s="1"/>
      <c r="E128" s="1"/>
      <c r="F128" s="12"/>
      <c r="G128" s="12"/>
      <c r="H128" s="52"/>
    </row>
    <row r="129" spans="1:8" ht="24" customHeight="1" x14ac:dyDescent="0.2">
      <c r="A129" s="1"/>
      <c r="B129" s="1"/>
      <c r="C129" s="2" t="s">
        <v>170</v>
      </c>
      <c r="D129" s="1"/>
      <c r="E129" s="1"/>
      <c r="F129" s="12"/>
      <c r="G129" s="12"/>
      <c r="H129" s="52"/>
    </row>
    <row r="130" spans="1:8" ht="14.1" customHeight="1" x14ac:dyDescent="0.2">
      <c r="A130" s="1"/>
      <c r="B130" s="1"/>
      <c r="C130" s="2" t="s">
        <v>145</v>
      </c>
      <c r="D130" s="1"/>
      <c r="E130" s="1" t="s">
        <v>146</v>
      </c>
      <c r="F130" s="13" t="s">
        <v>148</v>
      </c>
      <c r="G130" s="10">
        <v>0</v>
      </c>
      <c r="H130" s="52"/>
    </row>
    <row r="131" spans="1:8" ht="14.1" customHeight="1" x14ac:dyDescent="0.2">
      <c r="A131" s="1"/>
      <c r="B131" s="1"/>
      <c r="C131" s="11"/>
      <c r="D131" s="1"/>
      <c r="E131" s="1"/>
      <c r="F131" s="12"/>
      <c r="G131" s="12"/>
      <c r="H131" s="52"/>
    </row>
    <row r="132" spans="1:8" ht="14.1" customHeight="1" x14ac:dyDescent="0.2">
      <c r="A132" s="1"/>
      <c r="B132" s="4"/>
      <c r="C132" s="4"/>
      <c r="D132" s="2"/>
      <c r="E132" s="1"/>
      <c r="F132" s="4"/>
      <c r="G132" s="8"/>
      <c r="H132" s="52"/>
    </row>
    <row r="133" spans="1:8" ht="18" customHeight="1" x14ac:dyDescent="0.2">
      <c r="A133" s="8"/>
      <c r="B133" s="4"/>
      <c r="C133" s="4" t="s">
        <v>171</v>
      </c>
      <c r="D133" s="4"/>
      <c r="E133" s="8"/>
      <c r="F133" s="6">
        <v>-293.13385088000001</v>
      </c>
      <c r="G133" s="7">
        <v>-1.8989600000000001E-3</v>
      </c>
      <c r="H133" s="52"/>
    </row>
    <row r="134" spans="1:8" ht="14.1" customHeight="1" x14ac:dyDescent="0.2">
      <c r="A134" s="11"/>
      <c r="B134" s="11"/>
      <c r="C134" s="2" t="s">
        <v>172</v>
      </c>
      <c r="D134" s="12"/>
      <c r="E134" s="12"/>
      <c r="F134" s="9">
        <v>154365.58735312201</v>
      </c>
      <c r="G134" s="14">
        <v>1.0000000499999999</v>
      </c>
      <c r="H134" s="52"/>
    </row>
    <row r="135" spans="1:8" ht="14.1" customHeight="1" x14ac:dyDescent="0.2">
      <c r="A135" s="15"/>
      <c r="B135" s="15"/>
      <c r="C135" s="15"/>
      <c r="D135" s="16"/>
      <c r="E135" s="16"/>
      <c r="F135" s="16"/>
      <c r="G135" s="16"/>
    </row>
    <row r="136" spans="1:8" ht="14.1" customHeight="1" x14ac:dyDescent="0.2">
      <c r="A136" s="17"/>
      <c r="B136" s="17"/>
      <c r="C136" s="17"/>
      <c r="D136" s="19"/>
      <c r="E136" s="19"/>
      <c r="F136" s="19"/>
      <c r="G136" s="19"/>
    </row>
    <row r="137" spans="1:8" ht="14.1" customHeight="1" x14ac:dyDescent="0.2">
      <c r="A137" s="17"/>
      <c r="B137" s="127" t="s">
        <v>174</v>
      </c>
      <c r="C137" s="128"/>
      <c r="D137" s="129"/>
      <c r="E137" s="20"/>
      <c r="F137" s="19"/>
      <c r="G137" s="19"/>
    </row>
    <row r="138" spans="1:8" ht="29.1" customHeight="1" x14ac:dyDescent="0.2">
      <c r="A138" s="17"/>
      <c r="B138" s="121" t="s">
        <v>175</v>
      </c>
      <c r="C138" s="122"/>
      <c r="D138" s="2" t="s">
        <v>176</v>
      </c>
      <c r="E138" s="20"/>
      <c r="F138" s="19"/>
      <c r="G138" s="19"/>
    </row>
    <row r="139" spans="1:8" ht="17.100000000000001" customHeight="1" x14ac:dyDescent="0.2">
      <c r="A139" s="17"/>
      <c r="B139" s="121" t="s">
        <v>177</v>
      </c>
      <c r="C139" s="122"/>
      <c r="D139" s="2" t="s">
        <v>176</v>
      </c>
      <c r="E139" s="20"/>
      <c r="F139" s="19"/>
      <c r="G139" s="19"/>
    </row>
    <row r="140" spans="1:8" ht="17.100000000000001" customHeight="1" x14ac:dyDescent="0.2">
      <c r="A140" s="17"/>
      <c r="B140" s="121" t="s">
        <v>178</v>
      </c>
      <c r="C140" s="122"/>
      <c r="D140" s="12" t="s">
        <v>146</v>
      </c>
      <c r="E140" s="20"/>
      <c r="F140" s="19"/>
      <c r="G140" s="19"/>
    </row>
    <row r="141" spans="1:8" ht="24" customHeight="1" x14ac:dyDescent="0.2">
      <c r="A141" s="21"/>
      <c r="B141" s="22" t="s">
        <v>146</v>
      </c>
      <c r="C141" s="22" t="s">
        <v>179</v>
      </c>
      <c r="D141" s="22" t="s">
        <v>180</v>
      </c>
      <c r="E141" s="21"/>
      <c r="F141" s="21"/>
      <c r="G141" s="21"/>
    </row>
    <row r="142" spans="1:8" ht="18" customHeight="1" x14ac:dyDescent="0.2">
      <c r="A142" s="21"/>
      <c r="B142" s="23" t="s">
        <v>181</v>
      </c>
      <c r="C142" s="22" t="s">
        <v>182</v>
      </c>
      <c r="D142" s="22" t="s">
        <v>183</v>
      </c>
      <c r="E142" s="21"/>
      <c r="F142" s="21"/>
      <c r="G142" s="21"/>
    </row>
    <row r="143" spans="1:8" ht="17.100000000000001" customHeight="1" x14ac:dyDescent="0.2">
      <c r="A143" s="21"/>
      <c r="B143" s="4" t="s">
        <v>184</v>
      </c>
      <c r="C143" s="24">
        <v>181.6525</v>
      </c>
      <c r="D143" s="24">
        <v>176.4873</v>
      </c>
      <c r="E143" s="21"/>
      <c r="F143" s="18"/>
      <c r="G143" s="25"/>
    </row>
    <row r="144" spans="1:8" ht="17.100000000000001" customHeight="1" x14ac:dyDescent="0.2">
      <c r="A144" s="21"/>
      <c r="B144" s="4" t="s">
        <v>1039</v>
      </c>
      <c r="C144" s="24">
        <v>16.8857</v>
      </c>
      <c r="D144" s="24">
        <v>16.4055</v>
      </c>
      <c r="E144" s="21"/>
      <c r="F144" s="18"/>
      <c r="G144" s="25"/>
    </row>
    <row r="145" spans="1:7" ht="17.100000000000001" customHeight="1" x14ac:dyDescent="0.2">
      <c r="A145" s="21"/>
      <c r="B145" s="4" t="s">
        <v>185</v>
      </c>
      <c r="C145" s="24">
        <v>173.19040000000001</v>
      </c>
      <c r="D145" s="24">
        <v>168.1831</v>
      </c>
      <c r="E145" s="21"/>
      <c r="F145" s="18"/>
      <c r="G145" s="25"/>
    </row>
    <row r="146" spans="1:7" ht="17.100000000000001" customHeight="1" x14ac:dyDescent="0.2">
      <c r="A146" s="21"/>
      <c r="B146" s="4" t="s">
        <v>1040</v>
      </c>
      <c r="C146" s="24">
        <v>14.0364</v>
      </c>
      <c r="D146" s="24">
        <v>13.6305</v>
      </c>
      <c r="E146" s="21"/>
      <c r="F146" s="18"/>
      <c r="G146" s="25"/>
    </row>
    <row r="147" spans="1:7" ht="14.1" customHeight="1" x14ac:dyDescent="0.2">
      <c r="A147" s="21"/>
      <c r="B147" s="21"/>
      <c r="C147" s="21"/>
      <c r="D147" s="21"/>
      <c r="E147" s="21"/>
      <c r="F147" s="21"/>
      <c r="G147" s="21"/>
    </row>
    <row r="148" spans="1:7" ht="17.100000000000001" customHeight="1" x14ac:dyDescent="0.2">
      <c r="A148" s="21"/>
      <c r="B148" s="121" t="s">
        <v>1041</v>
      </c>
      <c r="C148" s="122"/>
      <c r="D148" s="2" t="s">
        <v>176</v>
      </c>
      <c r="E148" s="21"/>
      <c r="F148" s="21"/>
      <c r="G148" s="21"/>
    </row>
    <row r="149" spans="1:7" ht="18" customHeight="1" x14ac:dyDescent="0.2">
      <c r="A149" s="21"/>
      <c r="B149" s="26"/>
      <c r="C149" s="26"/>
      <c r="D149" s="26"/>
      <c r="E149" s="21"/>
      <c r="F149" s="21"/>
      <c r="G149" s="21"/>
    </row>
    <row r="150" spans="1:7" ht="29.1" customHeight="1" x14ac:dyDescent="0.2">
      <c r="A150" s="21"/>
      <c r="B150" s="121" t="s">
        <v>186</v>
      </c>
      <c r="C150" s="122"/>
      <c r="D150" s="2" t="s">
        <v>176</v>
      </c>
      <c r="E150" s="27"/>
      <c r="F150" s="21"/>
      <c r="G150" s="21"/>
    </row>
    <row r="151" spans="1:7" ht="29.1" customHeight="1" x14ac:dyDescent="0.2">
      <c r="A151" s="21"/>
      <c r="B151" s="121" t="s">
        <v>187</v>
      </c>
      <c r="C151" s="122"/>
      <c r="D151" s="2" t="s">
        <v>176</v>
      </c>
      <c r="E151" s="27"/>
      <c r="F151" s="21"/>
      <c r="G151" s="21"/>
    </row>
    <row r="152" spans="1:7" ht="17.100000000000001" customHeight="1" x14ac:dyDescent="0.2">
      <c r="A152" s="21"/>
      <c r="B152" s="121" t="s">
        <v>188</v>
      </c>
      <c r="C152" s="122"/>
      <c r="D152" s="2" t="s">
        <v>176</v>
      </c>
      <c r="E152" s="27"/>
      <c r="F152" s="21"/>
      <c r="G152" s="21"/>
    </row>
    <row r="153" spans="1:7" ht="17.100000000000001" customHeight="1" x14ac:dyDescent="0.2">
      <c r="A153" s="21"/>
      <c r="B153" s="121" t="s">
        <v>189</v>
      </c>
      <c r="C153" s="122"/>
      <c r="D153" s="50">
        <v>0.22642356527383692</v>
      </c>
      <c r="E153" s="21"/>
      <c r="F153" s="18"/>
      <c r="G153" s="25"/>
    </row>
  </sheetData>
  <mergeCells count="13">
    <mergeCell ref="A1:H1"/>
    <mergeCell ref="A2:H2"/>
    <mergeCell ref="A3:H3"/>
    <mergeCell ref="J2:N2"/>
    <mergeCell ref="B153:C153"/>
    <mergeCell ref="B139:C139"/>
    <mergeCell ref="B140:C140"/>
    <mergeCell ref="B148:C148"/>
    <mergeCell ref="B150:C150"/>
    <mergeCell ref="B151:C151"/>
    <mergeCell ref="B152:C152"/>
    <mergeCell ref="B138:C138"/>
    <mergeCell ref="B137:D137"/>
  </mergeCells>
  <hyperlinks>
    <hyperlink ref="I1" location="Index!B26" display="Index" xr:uid="{C04865D6-1639-49A5-A422-F697A21933E1}"/>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outlinePr summaryBelow="0" summaryRight="0"/>
  </sheetPr>
  <dimension ref="A1:O146"/>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5" ht="18" customHeight="1" x14ac:dyDescent="0.2">
      <c r="A1" s="116" t="s">
        <v>0</v>
      </c>
      <c r="B1" s="116"/>
      <c r="C1" s="116"/>
      <c r="D1" s="116"/>
      <c r="E1" s="116"/>
      <c r="F1" s="116"/>
      <c r="G1" s="116"/>
      <c r="H1" s="116"/>
      <c r="I1" s="98" t="s">
        <v>1053</v>
      </c>
    </row>
    <row r="2" spans="1:15" ht="17.100000000000001" customHeight="1" x14ac:dyDescent="0.2">
      <c r="A2" s="117" t="s">
        <v>840</v>
      </c>
      <c r="B2" s="118"/>
      <c r="C2" s="118"/>
      <c r="D2" s="118"/>
      <c r="E2" s="118"/>
      <c r="F2" s="118"/>
      <c r="G2" s="118"/>
      <c r="H2" s="119"/>
      <c r="J2" s="120" t="s">
        <v>1054</v>
      </c>
      <c r="K2" s="120"/>
      <c r="L2" s="120"/>
      <c r="M2" s="120"/>
      <c r="N2" s="120"/>
    </row>
    <row r="3" spans="1:15" ht="21" customHeight="1" x14ac:dyDescent="0.2">
      <c r="A3" s="116" t="s">
        <v>1049</v>
      </c>
      <c r="B3" s="116"/>
      <c r="C3" s="116"/>
      <c r="D3" s="116"/>
      <c r="E3" s="116"/>
      <c r="F3" s="116"/>
      <c r="G3" s="116"/>
      <c r="H3" s="116"/>
    </row>
    <row r="4" spans="1:15" ht="30" x14ac:dyDescent="0.2">
      <c r="A4" s="96" t="s">
        <v>2</v>
      </c>
      <c r="B4" s="96" t="s">
        <v>3</v>
      </c>
      <c r="C4" s="96" t="s">
        <v>4</v>
      </c>
      <c r="D4" s="96" t="s">
        <v>5</v>
      </c>
      <c r="E4" s="96" t="s">
        <v>6</v>
      </c>
      <c r="F4" s="96" t="s">
        <v>7</v>
      </c>
      <c r="G4" s="96" t="s">
        <v>8</v>
      </c>
      <c r="H4" s="51" t="s">
        <v>1002</v>
      </c>
      <c r="I4" s="99"/>
      <c r="J4" s="99"/>
      <c r="K4" s="99"/>
      <c r="L4" s="99"/>
      <c r="M4" s="99"/>
      <c r="N4" s="99"/>
      <c r="O4" s="99"/>
    </row>
    <row r="5" spans="1:15" ht="14.1" customHeight="1" x14ac:dyDescent="0.2">
      <c r="A5" s="1"/>
      <c r="B5" s="1"/>
      <c r="C5" s="2" t="s">
        <v>9</v>
      </c>
      <c r="D5" s="1"/>
      <c r="E5" s="1"/>
      <c r="F5" s="1"/>
      <c r="G5" s="1"/>
      <c r="H5" s="52"/>
    </row>
    <row r="6" spans="1:15" ht="24" customHeight="1" x14ac:dyDescent="0.2">
      <c r="A6" s="1"/>
      <c r="B6" s="1"/>
      <c r="C6" s="2" t="s">
        <v>10</v>
      </c>
      <c r="D6" s="1"/>
      <c r="E6" s="1"/>
      <c r="F6" s="1"/>
      <c r="G6" s="1"/>
      <c r="H6" s="52"/>
    </row>
    <row r="7" spans="1:15" ht="17.100000000000001" customHeight="1" x14ac:dyDescent="0.2">
      <c r="A7" s="3">
        <v>1</v>
      </c>
      <c r="B7" s="4" t="s">
        <v>319</v>
      </c>
      <c r="C7" s="4" t="s">
        <v>320</v>
      </c>
      <c r="D7" s="4" t="s">
        <v>28</v>
      </c>
      <c r="E7" s="5">
        <v>1839000</v>
      </c>
      <c r="F7" s="6">
        <v>27152.834999999999</v>
      </c>
      <c r="G7" s="7">
        <v>9.0704119999999999E-2</v>
      </c>
      <c r="H7" s="52"/>
    </row>
    <row r="8" spans="1:15" ht="17.100000000000001" customHeight="1" x14ac:dyDescent="0.2">
      <c r="A8" s="3">
        <v>2</v>
      </c>
      <c r="B8" s="4" t="s">
        <v>14</v>
      </c>
      <c r="C8" s="4" t="s">
        <v>15</v>
      </c>
      <c r="D8" s="4" t="s">
        <v>16</v>
      </c>
      <c r="E8" s="5">
        <v>1043000</v>
      </c>
      <c r="F8" s="6">
        <v>23862.796999999999</v>
      </c>
      <c r="G8" s="7">
        <v>7.9713740000000005E-2</v>
      </c>
      <c r="H8" s="52"/>
    </row>
    <row r="9" spans="1:15" ht="17.100000000000001" customHeight="1" x14ac:dyDescent="0.2">
      <c r="A9" s="3">
        <v>3</v>
      </c>
      <c r="B9" s="4" t="s">
        <v>26</v>
      </c>
      <c r="C9" s="4" t="s">
        <v>27</v>
      </c>
      <c r="D9" s="4" t="s">
        <v>28</v>
      </c>
      <c r="E9" s="5">
        <v>2485000</v>
      </c>
      <c r="F9" s="6">
        <v>22746.447499999998</v>
      </c>
      <c r="G9" s="7">
        <v>7.5984570000000001E-2</v>
      </c>
      <c r="H9" s="52"/>
    </row>
    <row r="10" spans="1:15" ht="17.100000000000001" customHeight="1" x14ac:dyDescent="0.2">
      <c r="A10" s="3">
        <v>4</v>
      </c>
      <c r="B10" s="4" t="s">
        <v>11</v>
      </c>
      <c r="C10" s="4" t="s">
        <v>12</v>
      </c>
      <c r="D10" s="4" t="s">
        <v>13</v>
      </c>
      <c r="E10" s="5">
        <v>657070</v>
      </c>
      <c r="F10" s="6">
        <v>19245.908834999998</v>
      </c>
      <c r="G10" s="7">
        <v>6.4291009999999996E-2</v>
      </c>
      <c r="H10" s="52"/>
    </row>
    <row r="11" spans="1:15" ht="17.100000000000001" customHeight="1" x14ac:dyDescent="0.2">
      <c r="A11" s="3">
        <v>5</v>
      </c>
      <c r="B11" s="4" t="s">
        <v>321</v>
      </c>
      <c r="C11" s="4" t="s">
        <v>322</v>
      </c>
      <c r="D11" s="4" t="s">
        <v>888</v>
      </c>
      <c r="E11" s="5">
        <v>1316000</v>
      </c>
      <c r="F11" s="6">
        <v>18008.144</v>
      </c>
      <c r="G11" s="7">
        <v>6.0156250000000001E-2</v>
      </c>
      <c r="H11" s="52"/>
    </row>
    <row r="12" spans="1:15" ht="17.100000000000001" customHeight="1" x14ac:dyDescent="0.2">
      <c r="A12" s="3">
        <v>6</v>
      </c>
      <c r="B12" s="4" t="s">
        <v>39</v>
      </c>
      <c r="C12" s="4" t="s">
        <v>40</v>
      </c>
      <c r="D12" s="4" t="s">
        <v>28</v>
      </c>
      <c r="E12" s="5">
        <v>2318000</v>
      </c>
      <c r="F12" s="6">
        <v>13109.449000000001</v>
      </c>
      <c r="G12" s="7">
        <v>4.3792150000000002E-2</v>
      </c>
      <c r="H12" s="52"/>
    </row>
    <row r="13" spans="1:15" ht="17.100000000000001" customHeight="1" x14ac:dyDescent="0.2">
      <c r="A13" s="3">
        <v>7</v>
      </c>
      <c r="B13" s="4" t="s">
        <v>323</v>
      </c>
      <c r="C13" s="4" t="s">
        <v>324</v>
      </c>
      <c r="D13" s="4" t="s">
        <v>28</v>
      </c>
      <c r="E13" s="5">
        <v>1165000</v>
      </c>
      <c r="F13" s="6">
        <v>11438.5525</v>
      </c>
      <c r="G13" s="7">
        <v>3.8210519999999998E-2</v>
      </c>
      <c r="H13" s="52"/>
      <c r="J13" s="101" t="s">
        <v>1086</v>
      </c>
    </row>
    <row r="14" spans="1:15" ht="29.1" customHeight="1" x14ac:dyDescent="0.2">
      <c r="A14" s="3">
        <v>8</v>
      </c>
      <c r="B14" s="4" t="s">
        <v>327</v>
      </c>
      <c r="C14" s="4" t="s">
        <v>328</v>
      </c>
      <c r="D14" s="4" t="s">
        <v>226</v>
      </c>
      <c r="E14" s="5">
        <v>1030000</v>
      </c>
      <c r="F14" s="6">
        <v>11212.58</v>
      </c>
      <c r="G14" s="7">
        <v>3.745565E-2</v>
      </c>
      <c r="H14" s="52"/>
    </row>
    <row r="15" spans="1:15" ht="17.100000000000001" customHeight="1" x14ac:dyDescent="0.2">
      <c r="A15" s="3">
        <v>9</v>
      </c>
      <c r="B15" s="4" t="s">
        <v>100</v>
      </c>
      <c r="C15" s="4" t="s">
        <v>101</v>
      </c>
      <c r="D15" s="4" t="s">
        <v>102</v>
      </c>
      <c r="E15" s="5">
        <v>72000</v>
      </c>
      <c r="F15" s="6">
        <v>7482.4560000000001</v>
      </c>
      <c r="G15" s="7">
        <v>2.4995159999999999E-2</v>
      </c>
      <c r="H15" s="52"/>
    </row>
    <row r="16" spans="1:15" ht="17.100000000000001" customHeight="1" x14ac:dyDescent="0.2">
      <c r="A16" s="3">
        <v>10</v>
      </c>
      <c r="B16" s="4" t="s">
        <v>17</v>
      </c>
      <c r="C16" s="4" t="s">
        <v>18</v>
      </c>
      <c r="D16" s="4" t="s">
        <v>19</v>
      </c>
      <c r="E16" s="5">
        <v>816000</v>
      </c>
      <c r="F16" s="6">
        <v>7461.5039999999999</v>
      </c>
      <c r="G16" s="7">
        <v>2.492517E-2</v>
      </c>
      <c r="H16" s="52"/>
    </row>
    <row r="17" spans="1:10" ht="17.100000000000001" customHeight="1" x14ac:dyDescent="0.2">
      <c r="A17" s="3">
        <v>11</v>
      </c>
      <c r="B17" s="4" t="s">
        <v>325</v>
      </c>
      <c r="C17" s="4" t="s">
        <v>326</v>
      </c>
      <c r="D17" s="4" t="s">
        <v>888</v>
      </c>
      <c r="E17" s="5">
        <v>206000</v>
      </c>
      <c r="F17" s="6">
        <v>6939.625</v>
      </c>
      <c r="G17" s="7">
        <v>2.3181839999999999E-2</v>
      </c>
      <c r="H17" s="52"/>
    </row>
    <row r="18" spans="1:10" ht="17.100000000000001" customHeight="1" x14ac:dyDescent="0.2">
      <c r="A18" s="3">
        <v>12</v>
      </c>
      <c r="B18" s="4" t="s">
        <v>351</v>
      </c>
      <c r="C18" s="4" t="s">
        <v>352</v>
      </c>
      <c r="D18" s="4" t="s">
        <v>344</v>
      </c>
      <c r="E18" s="5">
        <v>260000</v>
      </c>
      <c r="F18" s="6">
        <v>6458.4</v>
      </c>
      <c r="G18" s="7">
        <v>2.1574300000000001E-2</v>
      </c>
      <c r="H18" s="52"/>
    </row>
    <row r="19" spans="1:10" ht="17.100000000000001" customHeight="1" x14ac:dyDescent="0.2">
      <c r="A19" s="3">
        <v>13</v>
      </c>
      <c r="B19" s="4" t="s">
        <v>382</v>
      </c>
      <c r="C19" s="4" t="s">
        <v>383</v>
      </c>
      <c r="D19" s="4" t="s">
        <v>70</v>
      </c>
      <c r="E19" s="5">
        <v>381000</v>
      </c>
      <c r="F19" s="6">
        <v>5979.9854999999998</v>
      </c>
      <c r="G19" s="7">
        <v>1.997616E-2</v>
      </c>
      <c r="H19" s="52"/>
    </row>
    <row r="20" spans="1:10" ht="17.100000000000001" customHeight="1" x14ac:dyDescent="0.2">
      <c r="A20" s="3">
        <v>14</v>
      </c>
      <c r="B20" s="4" t="s">
        <v>329</v>
      </c>
      <c r="C20" s="4" t="s">
        <v>330</v>
      </c>
      <c r="D20" s="4" t="s">
        <v>28</v>
      </c>
      <c r="E20" s="5">
        <v>398000</v>
      </c>
      <c r="F20" s="6">
        <v>5736.3739999999998</v>
      </c>
      <c r="G20" s="7">
        <v>1.9162370000000001E-2</v>
      </c>
      <c r="H20" s="52"/>
    </row>
    <row r="21" spans="1:10" ht="17.100000000000001" customHeight="1" x14ac:dyDescent="0.2">
      <c r="A21" s="3">
        <v>15</v>
      </c>
      <c r="B21" s="4" t="s">
        <v>521</v>
      </c>
      <c r="C21" s="39" t="s">
        <v>994</v>
      </c>
      <c r="D21" s="4" t="s">
        <v>102</v>
      </c>
      <c r="E21" s="5">
        <v>1312000</v>
      </c>
      <c r="F21" s="6">
        <v>5511.7120000000004</v>
      </c>
      <c r="G21" s="7">
        <v>1.841189E-2</v>
      </c>
      <c r="H21" s="52"/>
    </row>
    <row r="22" spans="1:10" ht="53.1" customHeight="1" x14ac:dyDescent="0.2">
      <c r="A22" s="3">
        <v>16</v>
      </c>
      <c r="B22" s="4" t="s">
        <v>71</v>
      </c>
      <c r="C22" s="4" t="s">
        <v>72</v>
      </c>
      <c r="D22" s="4" t="s">
        <v>73</v>
      </c>
      <c r="E22" s="5">
        <v>3096000</v>
      </c>
      <c r="F22" s="6">
        <v>5191.9920000000002</v>
      </c>
      <c r="G22" s="7">
        <v>1.7343859999999999E-2</v>
      </c>
      <c r="H22" s="52"/>
    </row>
    <row r="23" spans="1:10" ht="29.1" customHeight="1" x14ac:dyDescent="0.2">
      <c r="A23" s="3">
        <v>17</v>
      </c>
      <c r="B23" s="4" t="s">
        <v>390</v>
      </c>
      <c r="C23" s="4" t="s">
        <v>391</v>
      </c>
      <c r="D23" s="4" t="s">
        <v>226</v>
      </c>
      <c r="E23" s="5">
        <v>424000</v>
      </c>
      <c r="F23" s="6">
        <v>5088</v>
      </c>
      <c r="G23" s="7">
        <v>1.6996480000000001E-2</v>
      </c>
      <c r="H23" s="52"/>
      <c r="J23" s="101" t="s">
        <v>1087</v>
      </c>
    </row>
    <row r="24" spans="1:10" ht="29.1" customHeight="1" x14ac:dyDescent="0.2">
      <c r="A24" s="3">
        <v>18</v>
      </c>
      <c r="B24" s="4" t="s">
        <v>23</v>
      </c>
      <c r="C24" s="4" t="s">
        <v>24</v>
      </c>
      <c r="D24" s="4" t="s">
        <v>25</v>
      </c>
      <c r="E24" s="5">
        <v>59000</v>
      </c>
      <c r="F24" s="6">
        <v>4969.1274999999996</v>
      </c>
      <c r="G24" s="7">
        <v>1.659938E-2</v>
      </c>
      <c r="H24" s="52"/>
    </row>
    <row r="25" spans="1:10" ht="17.100000000000001" customHeight="1" x14ac:dyDescent="0.2">
      <c r="A25" s="3">
        <v>19</v>
      </c>
      <c r="B25" s="4" t="s">
        <v>20</v>
      </c>
      <c r="C25" s="4" t="s">
        <v>21</v>
      </c>
      <c r="D25" s="4" t="s">
        <v>22</v>
      </c>
      <c r="E25" s="5">
        <v>2077000</v>
      </c>
      <c r="F25" s="6">
        <v>4897.5659999999998</v>
      </c>
      <c r="G25" s="7">
        <v>1.6360329999999999E-2</v>
      </c>
      <c r="H25" s="52"/>
    </row>
    <row r="26" spans="1:10" ht="17.100000000000001" customHeight="1" x14ac:dyDescent="0.2">
      <c r="A26" s="3">
        <v>20</v>
      </c>
      <c r="B26" s="4" t="s">
        <v>349</v>
      </c>
      <c r="C26" s="4" t="s">
        <v>350</v>
      </c>
      <c r="D26" s="4" t="s">
        <v>70</v>
      </c>
      <c r="E26" s="5">
        <v>63000</v>
      </c>
      <c r="F26" s="6">
        <v>4720.3694999999998</v>
      </c>
      <c r="G26" s="7">
        <v>1.576841E-2</v>
      </c>
      <c r="H26" s="52"/>
    </row>
    <row r="27" spans="1:10" ht="17.100000000000001" customHeight="1" x14ac:dyDescent="0.2">
      <c r="A27" s="3">
        <v>21</v>
      </c>
      <c r="B27" s="4" t="s">
        <v>331</v>
      </c>
      <c r="C27" s="4" t="s">
        <v>332</v>
      </c>
      <c r="D27" s="4" t="s">
        <v>283</v>
      </c>
      <c r="E27" s="5">
        <v>501000</v>
      </c>
      <c r="F27" s="6">
        <v>4553.0879999999997</v>
      </c>
      <c r="G27" s="7">
        <v>1.52096E-2</v>
      </c>
      <c r="H27" s="52"/>
    </row>
    <row r="28" spans="1:10" ht="29.1" customHeight="1" x14ac:dyDescent="0.2">
      <c r="A28" s="3">
        <v>22</v>
      </c>
      <c r="B28" s="4" t="s">
        <v>201</v>
      </c>
      <c r="C28" s="4" t="s">
        <v>202</v>
      </c>
      <c r="D28" s="4" t="s">
        <v>70</v>
      </c>
      <c r="E28" s="5">
        <v>391000</v>
      </c>
      <c r="F28" s="6">
        <v>4446.8429999999998</v>
      </c>
      <c r="G28" s="7">
        <v>1.485469E-2</v>
      </c>
      <c r="H28" s="52"/>
    </row>
    <row r="29" spans="1:10" ht="17.100000000000001" customHeight="1" x14ac:dyDescent="0.2">
      <c r="A29" s="3">
        <v>23</v>
      </c>
      <c r="B29" s="4" t="s">
        <v>83</v>
      </c>
      <c r="C29" s="4" t="s">
        <v>84</v>
      </c>
      <c r="D29" s="4" t="s">
        <v>52</v>
      </c>
      <c r="E29" s="5">
        <v>168000</v>
      </c>
      <c r="F29" s="6">
        <v>4122.4679999999998</v>
      </c>
      <c r="G29" s="7">
        <v>1.377112E-2</v>
      </c>
      <c r="H29" s="52"/>
    </row>
    <row r="30" spans="1:10" ht="17.100000000000001" customHeight="1" x14ac:dyDescent="0.2">
      <c r="A30" s="3">
        <v>24</v>
      </c>
      <c r="B30" s="4" t="s">
        <v>571</v>
      </c>
      <c r="C30" s="4" t="s">
        <v>572</v>
      </c>
      <c r="D30" s="4" t="s">
        <v>888</v>
      </c>
      <c r="E30" s="5">
        <v>337000</v>
      </c>
      <c r="F30" s="6">
        <v>3818.7154999999998</v>
      </c>
      <c r="G30" s="7">
        <v>1.2756429999999999E-2</v>
      </c>
      <c r="H30" s="52"/>
    </row>
    <row r="31" spans="1:10" ht="17.100000000000001" customHeight="1" x14ac:dyDescent="0.2">
      <c r="A31" s="3">
        <v>25</v>
      </c>
      <c r="B31" s="4" t="s">
        <v>342</v>
      </c>
      <c r="C31" s="4" t="s">
        <v>343</v>
      </c>
      <c r="D31" s="4" t="s">
        <v>344</v>
      </c>
      <c r="E31" s="5">
        <v>885000</v>
      </c>
      <c r="F31" s="6">
        <v>3791.34</v>
      </c>
      <c r="G31" s="7">
        <v>1.2664979999999999E-2</v>
      </c>
      <c r="H31" s="52"/>
    </row>
    <row r="32" spans="1:10" ht="17.100000000000001" customHeight="1" x14ac:dyDescent="0.2">
      <c r="A32" s="3">
        <v>26</v>
      </c>
      <c r="B32" s="4" t="s">
        <v>468</v>
      </c>
      <c r="C32" s="4" t="s">
        <v>469</v>
      </c>
      <c r="D32" s="4" t="s">
        <v>888</v>
      </c>
      <c r="E32" s="5">
        <v>285965</v>
      </c>
      <c r="F32" s="6">
        <v>3648.9133999999999</v>
      </c>
      <c r="G32" s="7">
        <v>1.2189210000000001E-2</v>
      </c>
      <c r="H32" s="52"/>
    </row>
    <row r="33" spans="1:8" ht="29.1" customHeight="1" x14ac:dyDescent="0.2">
      <c r="A33" s="3">
        <v>27</v>
      </c>
      <c r="B33" s="4" t="s">
        <v>333</v>
      </c>
      <c r="C33" s="4" t="s">
        <v>334</v>
      </c>
      <c r="D33" s="4" t="s">
        <v>226</v>
      </c>
      <c r="E33" s="5">
        <v>66000</v>
      </c>
      <c r="F33" s="6">
        <v>3542.5830000000001</v>
      </c>
      <c r="G33" s="7">
        <v>1.1834010000000001E-2</v>
      </c>
      <c r="H33" s="52"/>
    </row>
    <row r="34" spans="1:8" ht="17.100000000000001" customHeight="1" x14ac:dyDescent="0.2">
      <c r="A34" s="3">
        <v>28</v>
      </c>
      <c r="B34" s="4" t="s">
        <v>745</v>
      </c>
      <c r="C34" s="4" t="s">
        <v>746</v>
      </c>
      <c r="D34" s="4" t="s">
        <v>242</v>
      </c>
      <c r="E34" s="5">
        <v>14000</v>
      </c>
      <c r="F34" s="6">
        <v>3392.8719999999998</v>
      </c>
      <c r="G34" s="7">
        <v>1.1333899999999999E-2</v>
      </c>
      <c r="H34" s="52"/>
    </row>
    <row r="35" spans="1:8" ht="17.100000000000001" customHeight="1" x14ac:dyDescent="0.2">
      <c r="A35" s="3">
        <v>29</v>
      </c>
      <c r="B35" s="4" t="s">
        <v>553</v>
      </c>
      <c r="C35" s="4" t="s">
        <v>554</v>
      </c>
      <c r="D35" s="4" t="s">
        <v>283</v>
      </c>
      <c r="E35" s="5">
        <v>326000</v>
      </c>
      <c r="F35" s="6">
        <v>3364.9720000000002</v>
      </c>
      <c r="G35" s="7">
        <v>1.1240699999999999E-2</v>
      </c>
      <c r="H35" s="52"/>
    </row>
    <row r="36" spans="1:8" ht="17.100000000000001" customHeight="1" x14ac:dyDescent="0.2">
      <c r="A36" s="3">
        <v>30</v>
      </c>
      <c r="B36" s="4" t="s">
        <v>353</v>
      </c>
      <c r="C36" s="4" t="s">
        <v>354</v>
      </c>
      <c r="D36" s="4" t="s">
        <v>888</v>
      </c>
      <c r="E36" s="5">
        <v>60000</v>
      </c>
      <c r="F36" s="6">
        <v>3036.24</v>
      </c>
      <c r="G36" s="7">
        <v>1.014257E-2</v>
      </c>
      <c r="H36" s="52"/>
    </row>
    <row r="37" spans="1:8" ht="17.100000000000001" customHeight="1" x14ac:dyDescent="0.2">
      <c r="A37" s="3">
        <v>31</v>
      </c>
      <c r="B37" s="4" t="s">
        <v>360</v>
      </c>
      <c r="C37" s="4" t="s">
        <v>361</v>
      </c>
      <c r="D37" s="4" t="s">
        <v>60</v>
      </c>
      <c r="E37" s="5">
        <v>95000</v>
      </c>
      <c r="F37" s="6">
        <v>3030.1675</v>
      </c>
      <c r="G37" s="7">
        <v>1.0122280000000001E-2</v>
      </c>
      <c r="H37" s="52"/>
    </row>
    <row r="38" spans="1:8" ht="29.1" customHeight="1" x14ac:dyDescent="0.2">
      <c r="A38" s="3">
        <v>32</v>
      </c>
      <c r="B38" s="4" t="s">
        <v>777</v>
      </c>
      <c r="C38" s="4" t="s">
        <v>778</v>
      </c>
      <c r="D38" s="4" t="s">
        <v>288</v>
      </c>
      <c r="E38" s="5">
        <v>16757</v>
      </c>
      <c r="F38" s="6">
        <v>2939.2950989999999</v>
      </c>
      <c r="G38" s="7">
        <v>9.8187199999999995E-3</v>
      </c>
      <c r="H38" s="52"/>
    </row>
    <row r="39" spans="1:8" ht="29.1" customHeight="1" x14ac:dyDescent="0.2">
      <c r="A39" s="3">
        <v>33</v>
      </c>
      <c r="B39" s="4" t="s">
        <v>472</v>
      </c>
      <c r="C39" s="4" t="s">
        <v>473</v>
      </c>
      <c r="D39" s="4" t="s">
        <v>474</v>
      </c>
      <c r="E39" s="5">
        <v>305000</v>
      </c>
      <c r="F39" s="6">
        <v>2746.5250000000001</v>
      </c>
      <c r="G39" s="7">
        <v>9.1747700000000005E-3</v>
      </c>
      <c r="H39" s="52"/>
    </row>
    <row r="40" spans="1:8" ht="17.100000000000001" customHeight="1" x14ac:dyDescent="0.2">
      <c r="A40" s="3">
        <v>34</v>
      </c>
      <c r="B40" s="4" t="s">
        <v>110</v>
      </c>
      <c r="C40" s="4" t="s">
        <v>111</v>
      </c>
      <c r="D40" s="4" t="s">
        <v>105</v>
      </c>
      <c r="E40" s="5">
        <v>493000</v>
      </c>
      <c r="F40" s="6">
        <v>2669.5949999999998</v>
      </c>
      <c r="G40" s="7">
        <v>8.9177900000000001E-3</v>
      </c>
      <c r="H40" s="52"/>
    </row>
    <row r="41" spans="1:8" ht="17.100000000000001" customHeight="1" x14ac:dyDescent="0.2">
      <c r="A41" s="3">
        <v>35</v>
      </c>
      <c r="B41" s="4" t="s">
        <v>567</v>
      </c>
      <c r="C41" s="4" t="s">
        <v>568</v>
      </c>
      <c r="D41" s="4" t="s">
        <v>60</v>
      </c>
      <c r="E41" s="5">
        <v>80000</v>
      </c>
      <c r="F41" s="6">
        <v>2396.56</v>
      </c>
      <c r="G41" s="7">
        <v>8.0057199999999992E-3</v>
      </c>
      <c r="H41" s="52"/>
    </row>
    <row r="42" spans="1:8" ht="17.100000000000001" customHeight="1" x14ac:dyDescent="0.2">
      <c r="A42" s="3">
        <v>36</v>
      </c>
      <c r="B42" s="4" t="s">
        <v>370</v>
      </c>
      <c r="C42" s="4" t="s">
        <v>371</v>
      </c>
      <c r="D42" s="4" t="s">
        <v>208</v>
      </c>
      <c r="E42" s="5">
        <v>63000</v>
      </c>
      <c r="F42" s="6">
        <v>2289.0419999999999</v>
      </c>
      <c r="G42" s="7">
        <v>7.6465500000000002E-3</v>
      </c>
      <c r="H42" s="52"/>
    </row>
    <row r="43" spans="1:8" ht="17.100000000000001" customHeight="1" x14ac:dyDescent="0.2">
      <c r="A43" s="3">
        <v>37</v>
      </c>
      <c r="B43" s="4" t="s">
        <v>392</v>
      </c>
      <c r="C43" s="4" t="s">
        <v>393</v>
      </c>
      <c r="D43" s="4" t="s">
        <v>70</v>
      </c>
      <c r="E43" s="5">
        <v>1043000</v>
      </c>
      <c r="F43" s="6">
        <v>2284.17</v>
      </c>
      <c r="G43" s="7">
        <v>7.6302799999999997E-3</v>
      </c>
      <c r="H43" s="52"/>
    </row>
    <row r="44" spans="1:8" ht="17.100000000000001" customHeight="1" x14ac:dyDescent="0.2">
      <c r="A44" s="3">
        <v>38</v>
      </c>
      <c r="B44" s="4" t="s">
        <v>470</v>
      </c>
      <c r="C44" s="4" t="s">
        <v>471</v>
      </c>
      <c r="D44" s="4" t="s">
        <v>28</v>
      </c>
      <c r="E44" s="5">
        <v>130000</v>
      </c>
      <c r="F44" s="6">
        <v>2261.2199999999998</v>
      </c>
      <c r="G44" s="7">
        <v>7.5536099999999997E-3</v>
      </c>
      <c r="H44" s="52"/>
    </row>
    <row r="45" spans="1:8" ht="17.100000000000001" customHeight="1" x14ac:dyDescent="0.2">
      <c r="A45" s="3">
        <v>39</v>
      </c>
      <c r="B45" s="4" t="s">
        <v>339</v>
      </c>
      <c r="C45" s="4" t="s">
        <v>340</v>
      </c>
      <c r="D45" s="4" t="s">
        <v>341</v>
      </c>
      <c r="E45" s="5">
        <v>466000</v>
      </c>
      <c r="F45" s="6">
        <v>2141.27</v>
      </c>
      <c r="G45" s="7">
        <v>7.1529200000000001E-3</v>
      </c>
      <c r="H45" s="52"/>
    </row>
    <row r="46" spans="1:8" ht="17.100000000000001" customHeight="1" x14ac:dyDescent="0.2">
      <c r="A46" s="3">
        <v>40</v>
      </c>
      <c r="B46" s="4" t="s">
        <v>299</v>
      </c>
      <c r="C46" s="4" t="s">
        <v>300</v>
      </c>
      <c r="D46" s="4" t="s">
        <v>208</v>
      </c>
      <c r="E46" s="5">
        <v>1475000</v>
      </c>
      <c r="F46" s="6">
        <v>2055.4124999999999</v>
      </c>
      <c r="G46" s="7">
        <v>6.8661099999999999E-3</v>
      </c>
      <c r="H46" s="52"/>
    </row>
    <row r="47" spans="1:8" ht="17.100000000000001" customHeight="1" x14ac:dyDescent="0.2">
      <c r="A47" s="3">
        <v>41</v>
      </c>
      <c r="B47" s="4" t="s">
        <v>466</v>
      </c>
      <c r="C47" s="4" t="s">
        <v>467</v>
      </c>
      <c r="D47" s="4" t="s">
        <v>221</v>
      </c>
      <c r="E47" s="5">
        <v>143000</v>
      </c>
      <c r="F47" s="6">
        <v>1956.0255</v>
      </c>
      <c r="G47" s="7">
        <v>6.5341100000000001E-3</v>
      </c>
      <c r="H47" s="52"/>
    </row>
    <row r="48" spans="1:8" ht="29.1" customHeight="1" x14ac:dyDescent="0.2">
      <c r="A48" s="3">
        <v>42</v>
      </c>
      <c r="B48" s="4" t="s">
        <v>238</v>
      </c>
      <c r="C48" s="4" t="s">
        <v>239</v>
      </c>
      <c r="D48" s="4" t="s">
        <v>226</v>
      </c>
      <c r="E48" s="5">
        <v>52000</v>
      </c>
      <c r="F48" s="6">
        <v>1935.3620000000001</v>
      </c>
      <c r="G48" s="7">
        <v>6.4650799999999998E-3</v>
      </c>
      <c r="H48" s="52"/>
    </row>
    <row r="49" spans="1:8" ht="17.100000000000001" customHeight="1" x14ac:dyDescent="0.2">
      <c r="A49" s="3">
        <v>43</v>
      </c>
      <c r="B49" s="4" t="s">
        <v>253</v>
      </c>
      <c r="C49" s="4" t="s">
        <v>254</v>
      </c>
      <c r="D49" s="4" t="s">
        <v>208</v>
      </c>
      <c r="E49" s="5">
        <v>47000</v>
      </c>
      <c r="F49" s="6">
        <v>1919.5975000000001</v>
      </c>
      <c r="G49" s="7">
        <v>6.4124200000000003E-3</v>
      </c>
      <c r="H49" s="52"/>
    </row>
    <row r="50" spans="1:8" ht="17.100000000000001" customHeight="1" x14ac:dyDescent="0.2">
      <c r="A50" s="3">
        <v>44</v>
      </c>
      <c r="B50" s="4" t="s">
        <v>575</v>
      </c>
      <c r="C50" s="4" t="s">
        <v>576</v>
      </c>
      <c r="D50" s="4" t="s">
        <v>242</v>
      </c>
      <c r="E50" s="5">
        <v>38000</v>
      </c>
      <c r="F50" s="6">
        <v>1682.07</v>
      </c>
      <c r="G50" s="7">
        <v>5.6189600000000001E-3</v>
      </c>
      <c r="H50" s="52"/>
    </row>
    <row r="51" spans="1:8" ht="17.100000000000001" customHeight="1" x14ac:dyDescent="0.2">
      <c r="A51" s="3">
        <v>45</v>
      </c>
      <c r="B51" s="4" t="s">
        <v>817</v>
      </c>
      <c r="C51" s="4" t="s">
        <v>818</v>
      </c>
      <c r="D51" s="4" t="s">
        <v>60</v>
      </c>
      <c r="E51" s="5">
        <v>127000</v>
      </c>
      <c r="F51" s="6">
        <v>1582.6105</v>
      </c>
      <c r="G51" s="7">
        <v>5.28672E-3</v>
      </c>
      <c r="H51" s="52"/>
    </row>
    <row r="52" spans="1:8" ht="29.1" customHeight="1" x14ac:dyDescent="0.2">
      <c r="A52" s="3">
        <v>46</v>
      </c>
      <c r="B52" s="4" t="s">
        <v>542</v>
      </c>
      <c r="C52" s="4" t="s">
        <v>543</v>
      </c>
      <c r="D52" s="4" t="s">
        <v>544</v>
      </c>
      <c r="E52" s="5">
        <v>359147</v>
      </c>
      <c r="F52" s="6">
        <v>1400.1345795</v>
      </c>
      <c r="G52" s="7">
        <v>4.6771499999999997E-3</v>
      </c>
      <c r="H52" s="52"/>
    </row>
    <row r="53" spans="1:8" ht="17.100000000000001" customHeight="1" x14ac:dyDescent="0.2">
      <c r="A53" s="3">
        <v>47</v>
      </c>
      <c r="B53" s="4" t="s">
        <v>366</v>
      </c>
      <c r="C53" s="4" t="s">
        <v>367</v>
      </c>
      <c r="D53" s="4" t="s">
        <v>114</v>
      </c>
      <c r="E53" s="5">
        <v>800000</v>
      </c>
      <c r="F53" s="6">
        <v>950</v>
      </c>
      <c r="G53" s="7">
        <v>3.1734799999999998E-3</v>
      </c>
      <c r="H53" s="52"/>
    </row>
    <row r="54" spans="1:8" ht="17.100000000000001" customHeight="1" x14ac:dyDescent="0.2">
      <c r="A54" s="3">
        <v>48</v>
      </c>
      <c r="B54" s="4" t="s">
        <v>791</v>
      </c>
      <c r="C54" s="4" t="s">
        <v>792</v>
      </c>
      <c r="D54" s="4" t="s">
        <v>205</v>
      </c>
      <c r="E54" s="5">
        <v>19000</v>
      </c>
      <c r="F54" s="6">
        <v>915.78099999999995</v>
      </c>
      <c r="G54" s="7">
        <v>3.0591699999999999E-3</v>
      </c>
      <c r="H54" s="52"/>
    </row>
    <row r="55" spans="1:8" ht="29.1" customHeight="1" x14ac:dyDescent="0.2">
      <c r="A55" s="3">
        <v>49</v>
      </c>
      <c r="B55" s="4" t="s">
        <v>569</v>
      </c>
      <c r="C55" s="4" t="s">
        <v>570</v>
      </c>
      <c r="D55" s="4" t="s">
        <v>474</v>
      </c>
      <c r="E55" s="5">
        <v>165000</v>
      </c>
      <c r="F55" s="6">
        <v>885.3075</v>
      </c>
      <c r="G55" s="7">
        <v>2.95737E-3</v>
      </c>
      <c r="H55" s="52"/>
    </row>
    <row r="56" spans="1:8" ht="17.100000000000001" customHeight="1" x14ac:dyDescent="0.2">
      <c r="A56" s="3">
        <v>50</v>
      </c>
      <c r="B56" s="4" t="s">
        <v>335</v>
      </c>
      <c r="C56" s="4" t="s">
        <v>336</v>
      </c>
      <c r="D56" s="4" t="s">
        <v>28</v>
      </c>
      <c r="E56" s="5">
        <v>225000</v>
      </c>
      <c r="F56" s="6">
        <v>864.78750000000002</v>
      </c>
      <c r="G56" s="7">
        <v>2.8888299999999998E-3</v>
      </c>
      <c r="H56" s="52"/>
    </row>
    <row r="57" spans="1:8" ht="17.100000000000001" customHeight="1" x14ac:dyDescent="0.2">
      <c r="A57" s="3">
        <v>51</v>
      </c>
      <c r="B57" s="4" t="s">
        <v>41</v>
      </c>
      <c r="C57" s="4" t="s">
        <v>42</v>
      </c>
      <c r="D57" s="4" t="s">
        <v>43</v>
      </c>
      <c r="E57" s="5">
        <v>18000</v>
      </c>
      <c r="F57" s="6">
        <v>739.67399999999998</v>
      </c>
      <c r="G57" s="7">
        <v>2.47088E-3</v>
      </c>
      <c r="H57" s="52"/>
    </row>
    <row r="58" spans="1:8" ht="29.1" customHeight="1" x14ac:dyDescent="0.2">
      <c r="A58" s="3">
        <v>52</v>
      </c>
      <c r="B58" s="4" t="s">
        <v>63</v>
      </c>
      <c r="C58" s="4" t="s">
        <v>64</v>
      </c>
      <c r="D58" s="4" t="s">
        <v>25</v>
      </c>
      <c r="E58" s="5">
        <v>31690</v>
      </c>
      <c r="F58" s="6">
        <v>666.83682499999998</v>
      </c>
      <c r="G58" s="7">
        <v>2.2275699999999999E-3</v>
      </c>
      <c r="H58" s="52"/>
    </row>
    <row r="59" spans="1:8" ht="17.100000000000001" customHeight="1" x14ac:dyDescent="0.2">
      <c r="A59" s="3">
        <v>53</v>
      </c>
      <c r="B59" s="4" t="s">
        <v>358</v>
      </c>
      <c r="C59" s="4" t="s">
        <v>359</v>
      </c>
      <c r="D59" s="4" t="s">
        <v>102</v>
      </c>
      <c r="E59" s="5">
        <v>58791</v>
      </c>
      <c r="F59" s="6">
        <v>369.58962150000002</v>
      </c>
      <c r="G59" s="7">
        <v>1.2346200000000001E-3</v>
      </c>
      <c r="H59" s="52"/>
    </row>
    <row r="60" spans="1:8" ht="14.1" customHeight="1" x14ac:dyDescent="0.2">
      <c r="A60" s="1"/>
      <c r="B60" s="1"/>
      <c r="C60" s="2" t="s">
        <v>145</v>
      </c>
      <c r="D60" s="1"/>
      <c r="E60" s="1" t="s">
        <v>146</v>
      </c>
      <c r="F60" s="9">
        <v>295612.89386000001</v>
      </c>
      <c r="G60" s="10">
        <v>0.98749567999999999</v>
      </c>
      <c r="H60" s="52"/>
    </row>
    <row r="61" spans="1:8" ht="14.1" customHeight="1" x14ac:dyDescent="0.2">
      <c r="A61" s="1"/>
      <c r="B61" s="1"/>
      <c r="C61" s="11"/>
      <c r="D61" s="1"/>
      <c r="E61" s="1"/>
      <c r="F61" s="12"/>
      <c r="G61" s="12"/>
      <c r="H61" s="52"/>
    </row>
    <row r="62" spans="1:8" ht="14.1" customHeight="1" x14ac:dyDescent="0.2">
      <c r="A62" s="1"/>
      <c r="B62" s="1"/>
      <c r="C62" s="2" t="s">
        <v>147</v>
      </c>
      <c r="D62" s="1"/>
      <c r="E62" s="1"/>
      <c r="F62" s="1"/>
      <c r="G62" s="1"/>
      <c r="H62" s="52"/>
    </row>
    <row r="63" spans="1:8" ht="14.1" customHeight="1" x14ac:dyDescent="0.2">
      <c r="A63" s="1"/>
      <c r="B63" s="1"/>
      <c r="C63" s="2" t="s">
        <v>145</v>
      </c>
      <c r="D63" s="1"/>
      <c r="E63" s="1" t="s">
        <v>146</v>
      </c>
      <c r="F63" s="13" t="s">
        <v>148</v>
      </c>
      <c r="G63" s="10">
        <v>0</v>
      </c>
      <c r="H63" s="52"/>
    </row>
    <row r="64" spans="1:8" ht="14.1" customHeight="1" x14ac:dyDescent="0.2">
      <c r="A64" s="1"/>
      <c r="B64" s="1"/>
      <c r="C64" s="11"/>
      <c r="D64" s="1"/>
      <c r="E64" s="1"/>
      <c r="F64" s="12"/>
      <c r="G64" s="12"/>
      <c r="H64" s="52"/>
    </row>
    <row r="65" spans="1:8" ht="14.1" customHeight="1" x14ac:dyDescent="0.2">
      <c r="A65" s="1"/>
      <c r="B65" s="1"/>
      <c r="C65" s="2" t="s">
        <v>149</v>
      </c>
      <c r="D65" s="1"/>
      <c r="E65" s="1"/>
      <c r="F65" s="1"/>
      <c r="G65" s="1"/>
      <c r="H65" s="52"/>
    </row>
    <row r="66" spans="1:8" ht="14.1" customHeight="1" x14ac:dyDescent="0.2">
      <c r="A66" s="1"/>
      <c r="B66" s="1"/>
      <c r="C66" s="2" t="s">
        <v>145</v>
      </c>
      <c r="D66" s="1"/>
      <c r="E66" s="1" t="s">
        <v>146</v>
      </c>
      <c r="F66" s="13" t="s">
        <v>148</v>
      </c>
      <c r="G66" s="10">
        <v>0</v>
      </c>
      <c r="H66" s="52"/>
    </row>
    <row r="67" spans="1:8" ht="14.1" customHeight="1" x14ac:dyDescent="0.2">
      <c r="A67" s="1"/>
      <c r="B67" s="1"/>
      <c r="C67" s="11"/>
      <c r="D67" s="1"/>
      <c r="E67" s="1"/>
      <c r="F67" s="12"/>
      <c r="G67" s="12"/>
      <c r="H67" s="52"/>
    </row>
    <row r="68" spans="1:8" ht="14.1" customHeight="1" x14ac:dyDescent="0.2">
      <c r="A68" s="1"/>
      <c r="B68" s="1"/>
      <c r="C68" s="2" t="s">
        <v>150</v>
      </c>
      <c r="D68" s="1"/>
      <c r="E68" s="1"/>
      <c r="F68" s="1"/>
      <c r="G68" s="1"/>
      <c r="H68" s="52"/>
    </row>
    <row r="69" spans="1:8" ht="14.1" customHeight="1" x14ac:dyDescent="0.2">
      <c r="A69" s="1"/>
      <c r="B69" s="1"/>
      <c r="C69" s="2" t="s">
        <v>145</v>
      </c>
      <c r="D69" s="1"/>
      <c r="E69" s="1" t="s">
        <v>146</v>
      </c>
      <c r="F69" s="13" t="s">
        <v>148</v>
      </c>
      <c r="G69" s="10">
        <v>0</v>
      </c>
      <c r="H69" s="52"/>
    </row>
    <row r="70" spans="1:8" ht="14.1" customHeight="1" x14ac:dyDescent="0.2">
      <c r="A70" s="1"/>
      <c r="B70" s="1"/>
      <c r="C70" s="11"/>
      <c r="D70" s="1"/>
      <c r="E70" s="1"/>
      <c r="F70" s="12"/>
      <c r="G70" s="12"/>
      <c r="H70" s="52"/>
    </row>
    <row r="71" spans="1:8" ht="14.1" customHeight="1" x14ac:dyDescent="0.2">
      <c r="A71" s="1"/>
      <c r="B71" s="1"/>
      <c r="C71" s="2" t="s">
        <v>151</v>
      </c>
      <c r="D71" s="1"/>
      <c r="E71" s="1"/>
      <c r="F71" s="12"/>
      <c r="G71" s="12"/>
      <c r="H71" s="52"/>
    </row>
    <row r="72" spans="1:8" ht="14.1" customHeight="1" x14ac:dyDescent="0.2">
      <c r="A72" s="1"/>
      <c r="B72" s="1"/>
      <c r="C72" s="2" t="s">
        <v>145</v>
      </c>
      <c r="D72" s="1"/>
      <c r="E72" s="1" t="s">
        <v>146</v>
      </c>
      <c r="F72" s="13" t="s">
        <v>148</v>
      </c>
      <c r="G72" s="10">
        <v>0</v>
      </c>
      <c r="H72" s="52"/>
    </row>
    <row r="73" spans="1:8" ht="14.1" customHeight="1" x14ac:dyDescent="0.2">
      <c r="A73" s="1"/>
      <c r="B73" s="1"/>
      <c r="C73" s="11"/>
      <c r="D73" s="1"/>
      <c r="E73" s="1"/>
      <c r="F73" s="12"/>
      <c r="G73" s="12"/>
      <c r="H73" s="52"/>
    </row>
    <row r="74" spans="1:8" ht="14.1" customHeight="1" x14ac:dyDescent="0.2">
      <c r="A74" s="1"/>
      <c r="B74" s="1"/>
      <c r="C74" s="2" t="s">
        <v>152</v>
      </c>
      <c r="D74" s="1"/>
      <c r="E74" s="1"/>
      <c r="F74" s="12"/>
      <c r="G74" s="12"/>
      <c r="H74" s="52"/>
    </row>
    <row r="75" spans="1:8" ht="14.1" customHeight="1" x14ac:dyDescent="0.2">
      <c r="A75" s="1"/>
      <c r="B75" s="1"/>
      <c r="C75" s="2" t="s">
        <v>145</v>
      </c>
      <c r="D75" s="1"/>
      <c r="E75" s="1" t="s">
        <v>146</v>
      </c>
      <c r="F75" s="13" t="s">
        <v>148</v>
      </c>
      <c r="G75" s="10">
        <v>0</v>
      </c>
      <c r="H75" s="52"/>
    </row>
    <row r="76" spans="1:8" ht="14.1" customHeight="1" x14ac:dyDescent="0.2">
      <c r="A76" s="1"/>
      <c r="B76" s="1"/>
      <c r="C76" s="11"/>
      <c r="D76" s="1"/>
      <c r="E76" s="1"/>
      <c r="F76" s="12"/>
      <c r="G76" s="12"/>
      <c r="H76" s="52"/>
    </row>
    <row r="77" spans="1:8" ht="18" customHeight="1" x14ac:dyDescent="0.2">
      <c r="A77" s="1"/>
      <c r="B77" s="1"/>
      <c r="C77" s="2" t="s">
        <v>153</v>
      </c>
      <c r="D77" s="1"/>
      <c r="E77" s="1"/>
      <c r="F77" s="9">
        <v>295612.89386000001</v>
      </c>
      <c r="G77" s="10">
        <v>0.98749567999999999</v>
      </c>
      <c r="H77" s="52"/>
    </row>
    <row r="78" spans="1:8" ht="14.1" customHeight="1" x14ac:dyDescent="0.2">
      <c r="A78" s="1"/>
      <c r="B78" s="1"/>
      <c r="C78" s="11"/>
      <c r="D78" s="1"/>
      <c r="E78" s="1"/>
      <c r="F78" s="12"/>
      <c r="G78" s="12"/>
      <c r="H78" s="52"/>
    </row>
    <row r="79" spans="1:8" ht="14.1" customHeight="1" x14ac:dyDescent="0.2">
      <c r="A79" s="1"/>
      <c r="B79" s="1"/>
      <c r="C79" s="2" t="s">
        <v>154</v>
      </c>
      <c r="D79" s="1"/>
      <c r="E79" s="1"/>
      <c r="F79" s="12"/>
      <c r="G79" s="12"/>
      <c r="H79" s="52"/>
    </row>
    <row r="80" spans="1:8" ht="24" customHeight="1" x14ac:dyDescent="0.2">
      <c r="A80" s="1"/>
      <c r="B80" s="1"/>
      <c r="C80" s="2" t="s">
        <v>10</v>
      </c>
      <c r="D80" s="1"/>
      <c r="E80" s="1"/>
      <c r="F80" s="12"/>
      <c r="G80" s="12"/>
      <c r="H80" s="52"/>
    </row>
    <row r="81" spans="1:8" ht="29.1" customHeight="1" x14ac:dyDescent="0.2">
      <c r="A81" s="3">
        <v>1</v>
      </c>
      <c r="B81" s="4" t="s">
        <v>723</v>
      </c>
      <c r="C81" s="4" t="s">
        <v>724</v>
      </c>
      <c r="D81" s="4" t="s">
        <v>589</v>
      </c>
      <c r="E81" s="5">
        <v>28980</v>
      </c>
      <c r="F81" s="6">
        <v>8.2911803180000003</v>
      </c>
      <c r="G81" s="41" t="s">
        <v>144</v>
      </c>
      <c r="H81" s="52">
        <v>7.718</v>
      </c>
    </row>
    <row r="82" spans="1:8" ht="14.1" customHeight="1" x14ac:dyDescent="0.2">
      <c r="A82" s="1"/>
      <c r="B82" s="1"/>
      <c r="C82" s="2" t="s">
        <v>145</v>
      </c>
      <c r="D82" s="1"/>
      <c r="E82" s="1" t="s">
        <v>146</v>
      </c>
      <c r="F82" s="9">
        <v>8.2911803180000003</v>
      </c>
      <c r="G82" s="10">
        <v>2.7699999999999999E-5</v>
      </c>
      <c r="H82" s="52"/>
    </row>
    <row r="83" spans="1:8" ht="14.1" customHeight="1" x14ac:dyDescent="0.2">
      <c r="A83" s="1"/>
      <c r="B83" s="1"/>
      <c r="C83" s="11"/>
      <c r="D83" s="1"/>
      <c r="E83" s="1"/>
      <c r="F83" s="12"/>
      <c r="G83" s="12"/>
      <c r="H83" s="52"/>
    </row>
    <row r="84" spans="1:8" ht="14.1" customHeight="1" x14ac:dyDescent="0.2">
      <c r="A84" s="1"/>
      <c r="B84" s="1"/>
      <c r="C84" s="2" t="s">
        <v>155</v>
      </c>
      <c r="D84" s="1"/>
      <c r="E84" s="1"/>
      <c r="F84" s="1"/>
      <c r="G84" s="1"/>
      <c r="H84" s="52"/>
    </row>
    <row r="85" spans="1:8" ht="14.1" customHeight="1" x14ac:dyDescent="0.2">
      <c r="A85" s="1"/>
      <c r="B85" s="1"/>
      <c r="C85" s="2" t="s">
        <v>145</v>
      </c>
      <c r="D85" s="1"/>
      <c r="E85" s="1" t="s">
        <v>146</v>
      </c>
      <c r="F85" s="13" t="s">
        <v>148</v>
      </c>
      <c r="G85" s="10">
        <v>0</v>
      </c>
      <c r="H85" s="52"/>
    </row>
    <row r="86" spans="1:8" ht="14.1" customHeight="1" x14ac:dyDescent="0.2">
      <c r="A86" s="1"/>
      <c r="B86" s="1"/>
      <c r="C86" s="11"/>
      <c r="D86" s="1"/>
      <c r="E86" s="1"/>
      <c r="F86" s="12"/>
      <c r="G86" s="12"/>
      <c r="H86" s="52"/>
    </row>
    <row r="87" spans="1:8" ht="14.1" customHeight="1" x14ac:dyDescent="0.2">
      <c r="A87" s="1"/>
      <c r="B87" s="1"/>
      <c r="C87" s="2" t="s">
        <v>156</v>
      </c>
      <c r="D87" s="1"/>
      <c r="E87" s="1"/>
      <c r="F87" s="1"/>
      <c r="G87" s="1"/>
      <c r="H87" s="52"/>
    </row>
    <row r="88" spans="1:8" ht="14.1" customHeight="1" x14ac:dyDescent="0.2">
      <c r="A88" s="1"/>
      <c r="B88" s="1"/>
      <c r="C88" s="2" t="s">
        <v>145</v>
      </c>
      <c r="D88" s="1"/>
      <c r="E88" s="1" t="s">
        <v>146</v>
      </c>
      <c r="F88" s="13" t="s">
        <v>148</v>
      </c>
      <c r="G88" s="10">
        <v>0</v>
      </c>
      <c r="H88" s="52"/>
    </row>
    <row r="89" spans="1:8" ht="14.1" customHeight="1" x14ac:dyDescent="0.2">
      <c r="A89" s="1"/>
      <c r="B89" s="1"/>
      <c r="C89" s="11"/>
      <c r="D89" s="1"/>
      <c r="E89" s="1"/>
      <c r="F89" s="12"/>
      <c r="G89" s="12"/>
      <c r="H89" s="52"/>
    </row>
    <row r="90" spans="1:8" ht="14.1" customHeight="1" x14ac:dyDescent="0.2">
      <c r="A90" s="1"/>
      <c r="B90" s="1"/>
      <c r="C90" s="2" t="s">
        <v>157</v>
      </c>
      <c r="D90" s="1"/>
      <c r="E90" s="1"/>
      <c r="F90" s="12"/>
      <c r="G90" s="12"/>
      <c r="H90" s="52"/>
    </row>
    <row r="91" spans="1:8" ht="14.1" customHeight="1" x14ac:dyDescent="0.2">
      <c r="A91" s="1"/>
      <c r="B91" s="1"/>
      <c r="C91" s="2" t="s">
        <v>145</v>
      </c>
      <c r="D91" s="1"/>
      <c r="E91" s="1" t="s">
        <v>146</v>
      </c>
      <c r="F91" s="13" t="s">
        <v>148</v>
      </c>
      <c r="G91" s="10">
        <v>0</v>
      </c>
      <c r="H91" s="52"/>
    </row>
    <row r="92" spans="1:8" ht="14.1" customHeight="1" x14ac:dyDescent="0.2">
      <c r="A92" s="1"/>
      <c r="B92" s="1"/>
      <c r="C92" s="11"/>
      <c r="D92" s="1"/>
      <c r="E92" s="1"/>
      <c r="F92" s="12"/>
      <c r="G92" s="12"/>
      <c r="H92" s="52"/>
    </row>
    <row r="93" spans="1:8" ht="14.1" customHeight="1" x14ac:dyDescent="0.2">
      <c r="A93" s="1"/>
      <c r="B93" s="1"/>
      <c r="C93" s="2" t="s">
        <v>158</v>
      </c>
      <c r="D93" s="1"/>
      <c r="E93" s="1"/>
      <c r="F93" s="9">
        <v>8.2911803180000003</v>
      </c>
      <c r="G93" s="10">
        <v>2.7699999999999999E-5</v>
      </c>
      <c r="H93" s="52"/>
    </row>
    <row r="94" spans="1:8" ht="14.1" customHeight="1" x14ac:dyDescent="0.2">
      <c r="A94" s="1"/>
      <c r="B94" s="1"/>
      <c r="C94" s="11"/>
      <c r="D94" s="1"/>
      <c r="E94" s="1"/>
      <c r="F94" s="12"/>
      <c r="G94" s="12"/>
      <c r="H94" s="52"/>
    </row>
    <row r="95" spans="1:8" ht="14.1" customHeight="1" x14ac:dyDescent="0.2">
      <c r="A95" s="1"/>
      <c r="B95" s="1"/>
      <c r="C95" s="2" t="s">
        <v>159</v>
      </c>
      <c r="D95" s="1"/>
      <c r="E95" s="1"/>
      <c r="F95" s="12"/>
      <c r="G95" s="12"/>
      <c r="H95" s="52"/>
    </row>
    <row r="96" spans="1:8" ht="14.1" customHeight="1" x14ac:dyDescent="0.2">
      <c r="A96" s="1"/>
      <c r="B96" s="1"/>
      <c r="C96" s="2" t="s">
        <v>160</v>
      </c>
      <c r="D96" s="1"/>
      <c r="E96" s="1"/>
      <c r="F96" s="12"/>
      <c r="G96" s="12"/>
      <c r="H96" s="52"/>
    </row>
    <row r="97" spans="1:8" ht="14.1" customHeight="1" x14ac:dyDescent="0.2">
      <c r="A97" s="1"/>
      <c r="B97" s="1"/>
      <c r="C97" s="2" t="s">
        <v>145</v>
      </c>
      <c r="D97" s="1"/>
      <c r="E97" s="1" t="s">
        <v>146</v>
      </c>
      <c r="F97" s="13" t="s">
        <v>148</v>
      </c>
      <c r="G97" s="10">
        <v>0</v>
      </c>
      <c r="H97" s="52"/>
    </row>
    <row r="98" spans="1:8" ht="14.1" customHeight="1" x14ac:dyDescent="0.2">
      <c r="A98" s="1"/>
      <c r="B98" s="1"/>
      <c r="C98" s="11"/>
      <c r="D98" s="1"/>
      <c r="E98" s="1"/>
      <c r="F98" s="12"/>
      <c r="G98" s="12"/>
      <c r="H98" s="52"/>
    </row>
    <row r="99" spans="1:8" ht="14.1" customHeight="1" x14ac:dyDescent="0.2">
      <c r="A99" s="1"/>
      <c r="B99" s="1"/>
      <c r="C99" s="2" t="s">
        <v>161</v>
      </c>
      <c r="D99" s="1"/>
      <c r="E99" s="1"/>
      <c r="F99" s="12"/>
      <c r="G99" s="12"/>
      <c r="H99" s="52"/>
    </row>
    <row r="100" spans="1:8" ht="14.1" customHeight="1" x14ac:dyDescent="0.2">
      <c r="A100" s="1"/>
      <c r="B100" s="1"/>
      <c r="C100" s="2" t="s">
        <v>145</v>
      </c>
      <c r="D100" s="1"/>
      <c r="E100" s="1" t="s">
        <v>146</v>
      </c>
      <c r="F100" s="13" t="s">
        <v>148</v>
      </c>
      <c r="G100" s="10">
        <v>0</v>
      </c>
      <c r="H100" s="52"/>
    </row>
    <row r="101" spans="1:8" ht="14.1" customHeight="1" x14ac:dyDescent="0.2">
      <c r="A101" s="1"/>
      <c r="B101" s="1"/>
      <c r="C101" s="11"/>
      <c r="D101" s="1"/>
      <c r="E101" s="1"/>
      <c r="F101" s="12"/>
      <c r="G101" s="12"/>
      <c r="H101" s="52"/>
    </row>
    <row r="102" spans="1:8" ht="14.1" customHeight="1" x14ac:dyDescent="0.2">
      <c r="A102" s="1"/>
      <c r="B102" s="1"/>
      <c r="C102" s="2" t="s">
        <v>162</v>
      </c>
      <c r="D102" s="1"/>
      <c r="E102" s="1"/>
      <c r="F102" s="12"/>
      <c r="G102" s="12"/>
      <c r="H102" s="52"/>
    </row>
    <row r="103" spans="1:8" ht="14.1" customHeight="1" x14ac:dyDescent="0.2">
      <c r="A103" s="1"/>
      <c r="B103" s="1"/>
      <c r="C103" s="2" t="s">
        <v>145</v>
      </c>
      <c r="D103" s="1"/>
      <c r="E103" s="1" t="s">
        <v>146</v>
      </c>
      <c r="F103" s="13" t="s">
        <v>148</v>
      </c>
      <c r="G103" s="10">
        <v>0</v>
      </c>
      <c r="H103" s="52"/>
    </row>
    <row r="104" spans="1:8" ht="14.1" customHeight="1" x14ac:dyDescent="0.2">
      <c r="A104" s="1"/>
      <c r="B104" s="1"/>
      <c r="C104" s="11"/>
      <c r="D104" s="1"/>
      <c r="E104" s="1"/>
      <c r="F104" s="12"/>
      <c r="G104" s="12"/>
      <c r="H104" s="52"/>
    </row>
    <row r="105" spans="1:8" ht="14.1" customHeight="1" x14ac:dyDescent="0.2">
      <c r="A105" s="1"/>
      <c r="B105" s="1"/>
      <c r="C105" s="2" t="s">
        <v>163</v>
      </c>
      <c r="D105" s="1"/>
      <c r="E105" s="1"/>
      <c r="F105" s="12"/>
      <c r="G105" s="12"/>
      <c r="H105" s="52"/>
    </row>
    <row r="106" spans="1:8" ht="17.100000000000001" customHeight="1" x14ac:dyDescent="0.2">
      <c r="A106" s="3">
        <v>1</v>
      </c>
      <c r="B106" s="4"/>
      <c r="C106" s="4" t="s">
        <v>164</v>
      </c>
      <c r="D106" s="4"/>
      <c r="E106" s="8"/>
      <c r="F106" s="6">
        <v>4205.369602019</v>
      </c>
      <c r="G106" s="7">
        <v>1.4048049999999999E-2</v>
      </c>
      <c r="H106" s="52">
        <v>6.7567375937238596</v>
      </c>
    </row>
    <row r="107" spans="1:8" ht="14.1" customHeight="1" x14ac:dyDescent="0.2">
      <c r="A107" s="1"/>
      <c r="B107" s="1"/>
      <c r="C107" s="2" t="s">
        <v>145</v>
      </c>
      <c r="D107" s="1"/>
      <c r="E107" s="1" t="s">
        <v>146</v>
      </c>
      <c r="F107" s="9">
        <v>4205.369602019</v>
      </c>
      <c r="G107" s="10">
        <v>1.4048049999999999E-2</v>
      </c>
      <c r="H107" s="52"/>
    </row>
    <row r="108" spans="1:8" ht="14.1" customHeight="1" x14ac:dyDescent="0.2">
      <c r="A108" s="1"/>
      <c r="B108" s="1"/>
      <c r="C108" s="11"/>
      <c r="D108" s="1"/>
      <c r="E108" s="1"/>
      <c r="F108" s="12"/>
      <c r="G108" s="12"/>
      <c r="H108" s="52"/>
    </row>
    <row r="109" spans="1:8" ht="14.1" customHeight="1" x14ac:dyDescent="0.2">
      <c r="A109" s="1"/>
      <c r="B109" s="1"/>
      <c r="C109" s="2" t="s">
        <v>165</v>
      </c>
      <c r="D109" s="1"/>
      <c r="E109" s="1"/>
      <c r="F109" s="9">
        <v>4205.369602019</v>
      </c>
      <c r="G109" s="10">
        <v>1.4048049999999999E-2</v>
      </c>
      <c r="H109" s="52"/>
    </row>
    <row r="110" spans="1:8" ht="14.1" customHeight="1" x14ac:dyDescent="0.2">
      <c r="A110" s="1"/>
      <c r="B110" s="1"/>
      <c r="C110" s="12"/>
      <c r="D110" s="1"/>
      <c r="E110" s="1"/>
      <c r="F110" s="1"/>
      <c r="G110" s="1"/>
      <c r="H110" s="52"/>
    </row>
    <row r="111" spans="1:8" ht="14.1" customHeight="1" x14ac:dyDescent="0.2">
      <c r="A111" s="1"/>
      <c r="B111" s="1"/>
      <c r="C111" s="2" t="s">
        <v>166</v>
      </c>
      <c r="D111" s="1"/>
      <c r="E111" s="1"/>
      <c r="F111" s="1"/>
      <c r="G111" s="1"/>
      <c r="H111" s="52"/>
    </row>
    <row r="112" spans="1:8" ht="14.1" customHeight="1" x14ac:dyDescent="0.2">
      <c r="A112" s="1"/>
      <c r="B112" s="1"/>
      <c r="C112" s="2" t="s">
        <v>167</v>
      </c>
      <c r="D112" s="1"/>
      <c r="E112" s="1"/>
      <c r="F112" s="1"/>
      <c r="G112" s="1"/>
      <c r="H112" s="52"/>
    </row>
    <row r="113" spans="1:14" ht="14.1" customHeight="1" x14ac:dyDescent="0.2">
      <c r="A113" s="1"/>
      <c r="B113" s="1"/>
      <c r="C113" s="2" t="s">
        <v>145</v>
      </c>
      <c r="D113" s="1"/>
      <c r="E113" s="1" t="s">
        <v>146</v>
      </c>
      <c r="F113" s="13" t="s">
        <v>148</v>
      </c>
      <c r="G113" s="10">
        <v>0</v>
      </c>
      <c r="H113" s="52"/>
    </row>
    <row r="114" spans="1:14" ht="14.1" customHeight="1" x14ac:dyDescent="0.2">
      <c r="A114" s="1"/>
      <c r="B114" s="1"/>
      <c r="C114" s="11"/>
      <c r="D114" s="1"/>
      <c r="E114" s="1"/>
      <c r="F114" s="12"/>
      <c r="G114" s="12"/>
      <c r="H114" s="52"/>
    </row>
    <row r="115" spans="1:14" ht="14.1" customHeight="1" x14ac:dyDescent="0.2">
      <c r="A115" s="1"/>
      <c r="B115" s="1"/>
      <c r="C115" s="2" t="s">
        <v>168</v>
      </c>
      <c r="D115" s="1"/>
      <c r="E115" s="1"/>
      <c r="F115" s="1"/>
      <c r="G115" s="1"/>
      <c r="H115" s="52"/>
    </row>
    <row r="116" spans="1:14" ht="14.1" customHeight="1" x14ac:dyDescent="0.2">
      <c r="A116" s="1"/>
      <c r="B116" s="1"/>
      <c r="C116" s="2" t="s">
        <v>169</v>
      </c>
      <c r="D116" s="1"/>
      <c r="E116" s="1"/>
      <c r="F116" s="1"/>
      <c r="G116" s="1"/>
      <c r="H116" s="52"/>
    </row>
    <row r="117" spans="1:14" ht="14.1" customHeight="1" x14ac:dyDescent="0.2">
      <c r="A117" s="1"/>
      <c r="B117" s="1"/>
      <c r="C117" s="2" t="s">
        <v>145</v>
      </c>
      <c r="D117" s="1"/>
      <c r="E117" s="1" t="s">
        <v>146</v>
      </c>
      <c r="F117" s="13" t="s">
        <v>148</v>
      </c>
      <c r="G117" s="10">
        <v>0</v>
      </c>
      <c r="H117" s="52"/>
    </row>
    <row r="118" spans="1:14" ht="14.1" customHeight="1" x14ac:dyDescent="0.2">
      <c r="A118" s="1"/>
      <c r="B118" s="1"/>
      <c r="C118" s="11"/>
      <c r="D118" s="1"/>
      <c r="E118" s="1"/>
      <c r="F118" s="12"/>
      <c r="G118" s="12"/>
      <c r="H118" s="52"/>
    </row>
    <row r="119" spans="1:14" ht="24" customHeight="1" x14ac:dyDescent="0.2">
      <c r="A119" s="1"/>
      <c r="B119" s="1"/>
      <c r="C119" s="2" t="s">
        <v>170</v>
      </c>
      <c r="D119" s="1"/>
      <c r="E119" s="1"/>
      <c r="F119" s="12"/>
      <c r="G119" s="12"/>
      <c r="H119" s="52"/>
    </row>
    <row r="120" spans="1:14" ht="14.1" customHeight="1" x14ac:dyDescent="0.2">
      <c r="A120" s="1"/>
      <c r="B120" s="1"/>
      <c r="C120" s="2" t="s">
        <v>145</v>
      </c>
      <c r="D120" s="1"/>
      <c r="E120" s="1" t="s">
        <v>146</v>
      </c>
      <c r="F120" s="13" t="s">
        <v>148</v>
      </c>
      <c r="G120" s="10">
        <v>0</v>
      </c>
      <c r="H120" s="52"/>
    </row>
    <row r="121" spans="1:14" ht="14.1" customHeight="1" x14ac:dyDescent="0.2">
      <c r="A121" s="1"/>
      <c r="B121" s="1"/>
      <c r="C121" s="11"/>
      <c r="D121" s="1"/>
      <c r="E121" s="1"/>
      <c r="F121" s="12"/>
      <c r="G121" s="12"/>
      <c r="H121" s="52"/>
    </row>
    <row r="122" spans="1:14" ht="14.1" customHeight="1" x14ac:dyDescent="0.2">
      <c r="A122" s="1"/>
      <c r="B122" s="4"/>
      <c r="C122" s="4"/>
      <c r="D122" s="2"/>
      <c r="E122" s="1"/>
      <c r="F122" s="4"/>
      <c r="G122" s="8"/>
      <c r="H122" s="52"/>
    </row>
    <row r="123" spans="1:14" ht="18" customHeight="1" x14ac:dyDescent="0.2">
      <c r="A123" s="8"/>
      <c r="B123" s="4"/>
      <c r="C123" s="39" t="s">
        <v>992</v>
      </c>
      <c r="D123" s="4"/>
      <c r="E123" s="8"/>
      <c r="F123" s="6">
        <v>-470.41210640999998</v>
      </c>
      <c r="G123" s="7">
        <v>-1.5714100000000001E-3</v>
      </c>
      <c r="H123" s="52"/>
    </row>
    <row r="124" spans="1:14" ht="14.1" customHeight="1" x14ac:dyDescent="0.2">
      <c r="A124" s="11"/>
      <c r="B124" s="11"/>
      <c r="C124" s="2" t="s">
        <v>172</v>
      </c>
      <c r="D124" s="12"/>
      <c r="E124" s="12"/>
      <c r="F124" s="9">
        <v>299356.14253592701</v>
      </c>
      <c r="G124" s="14">
        <v>1.0000000200000001</v>
      </c>
      <c r="H124" s="52"/>
    </row>
    <row r="125" spans="1:14" ht="14.1" customHeight="1" x14ac:dyDescent="0.2">
      <c r="A125" s="15"/>
      <c r="B125" s="15"/>
      <c r="C125" s="15"/>
      <c r="D125" s="16"/>
      <c r="E125" s="16"/>
      <c r="F125" s="16"/>
      <c r="G125" s="16"/>
      <c r="J125" s="57"/>
      <c r="K125" s="57"/>
      <c r="L125" s="57"/>
      <c r="M125" s="57"/>
      <c r="N125" s="57"/>
    </row>
    <row r="126" spans="1:14" ht="14.1" customHeight="1" x14ac:dyDescent="0.2">
      <c r="A126" s="42"/>
      <c r="B126" s="125" t="s">
        <v>988</v>
      </c>
      <c r="C126" s="125"/>
      <c r="D126" s="125"/>
      <c r="E126" s="125"/>
      <c r="F126" s="125"/>
      <c r="G126" s="43"/>
    </row>
    <row r="127" spans="1:14" ht="17.100000000000001" customHeight="1" x14ac:dyDescent="0.2">
      <c r="A127" s="42"/>
      <c r="B127" s="125" t="s">
        <v>993</v>
      </c>
      <c r="C127" s="125"/>
      <c r="D127" s="125"/>
      <c r="E127" s="125"/>
      <c r="F127" s="125"/>
      <c r="G127" s="43"/>
    </row>
    <row r="128" spans="1:14" ht="17.100000000000001" customHeight="1" x14ac:dyDescent="0.2">
      <c r="A128" s="42"/>
      <c r="B128" s="125" t="s">
        <v>173</v>
      </c>
      <c r="C128" s="125"/>
      <c r="D128" s="125"/>
      <c r="E128" s="125"/>
      <c r="F128" s="125"/>
      <c r="G128" s="43"/>
    </row>
    <row r="129" spans="1:7" ht="14.1" customHeight="1" x14ac:dyDescent="0.2">
      <c r="A129" s="17"/>
      <c r="B129" s="17"/>
      <c r="C129" s="17"/>
      <c r="D129" s="19"/>
      <c r="E129" s="19"/>
      <c r="F129" s="19"/>
      <c r="G129" s="19"/>
    </row>
    <row r="130" spans="1:7" ht="14.1" customHeight="1" x14ac:dyDescent="0.2">
      <c r="A130" s="17"/>
      <c r="B130" s="127" t="s">
        <v>174</v>
      </c>
      <c r="C130" s="128"/>
      <c r="D130" s="129"/>
      <c r="E130" s="20"/>
      <c r="F130" s="19"/>
      <c r="G130" s="19"/>
    </row>
    <row r="131" spans="1:7" ht="29.1" customHeight="1" x14ac:dyDescent="0.2">
      <c r="A131" s="17"/>
      <c r="B131" s="121" t="s">
        <v>175</v>
      </c>
      <c r="C131" s="122"/>
      <c r="D131" s="2" t="s">
        <v>176</v>
      </c>
      <c r="E131" s="20"/>
      <c r="F131" s="19"/>
      <c r="G131" s="19"/>
    </row>
    <row r="132" spans="1:7" ht="17.100000000000001" customHeight="1" x14ac:dyDescent="0.2">
      <c r="A132" s="17"/>
      <c r="B132" s="121" t="s">
        <v>177</v>
      </c>
      <c r="C132" s="122"/>
      <c r="D132" s="2" t="s">
        <v>176</v>
      </c>
      <c r="E132" s="20"/>
      <c r="F132" s="19"/>
      <c r="G132" s="19"/>
    </row>
    <row r="133" spans="1:7" ht="17.100000000000001" customHeight="1" x14ac:dyDescent="0.2">
      <c r="A133" s="17"/>
      <c r="B133" s="121" t="s">
        <v>178</v>
      </c>
      <c r="C133" s="122"/>
      <c r="D133" s="12" t="s">
        <v>146</v>
      </c>
      <c r="E133" s="20"/>
      <c r="F133" s="19"/>
      <c r="G133" s="19"/>
    </row>
    <row r="134" spans="1:7" ht="24" customHeight="1" x14ac:dyDescent="0.2">
      <c r="A134" s="21"/>
      <c r="B134" s="22" t="s">
        <v>146</v>
      </c>
      <c r="C134" s="22" t="s">
        <v>179</v>
      </c>
      <c r="D134" s="22" t="s">
        <v>180</v>
      </c>
      <c r="E134" s="21"/>
      <c r="F134" s="21"/>
      <c r="G134" s="21"/>
    </row>
    <row r="135" spans="1:7" ht="18" customHeight="1" x14ac:dyDescent="0.2">
      <c r="A135" s="21"/>
      <c r="B135" s="23" t="s">
        <v>181</v>
      </c>
      <c r="C135" s="22" t="s">
        <v>182</v>
      </c>
      <c r="D135" s="22" t="s">
        <v>183</v>
      </c>
      <c r="E135" s="21"/>
      <c r="F135" s="21"/>
      <c r="G135" s="21"/>
    </row>
    <row r="136" spans="1:7" ht="17.100000000000001" customHeight="1" x14ac:dyDescent="0.2">
      <c r="A136" s="21"/>
      <c r="B136" s="4" t="s">
        <v>184</v>
      </c>
      <c r="C136" s="24">
        <v>17.793199999999999</v>
      </c>
      <c r="D136" s="24">
        <v>17.278700000000001</v>
      </c>
      <c r="E136" s="21"/>
      <c r="F136" s="18"/>
      <c r="G136" s="25"/>
    </row>
    <row r="137" spans="1:7" ht="17.100000000000001" customHeight="1" x14ac:dyDescent="0.2">
      <c r="A137" s="21"/>
      <c r="B137" s="4" t="s">
        <v>1039</v>
      </c>
      <c r="C137" s="24">
        <v>15.3399</v>
      </c>
      <c r="D137" s="24">
        <v>14.8963</v>
      </c>
      <c r="E137" s="21"/>
      <c r="F137" s="18"/>
      <c r="G137" s="25"/>
    </row>
    <row r="138" spans="1:7" ht="17.100000000000001" customHeight="1" x14ac:dyDescent="0.2">
      <c r="A138" s="21"/>
      <c r="B138" s="4" t="s">
        <v>185</v>
      </c>
      <c r="C138" s="24">
        <v>16.959599999999998</v>
      </c>
      <c r="D138" s="24">
        <v>16.4511</v>
      </c>
      <c r="E138" s="21"/>
      <c r="F138" s="18"/>
      <c r="G138" s="25"/>
    </row>
    <row r="139" spans="1:7" ht="17.100000000000001" customHeight="1" x14ac:dyDescent="0.2">
      <c r="A139" s="21"/>
      <c r="B139" s="4" t="s">
        <v>1040</v>
      </c>
      <c r="C139" s="24">
        <v>14.6073</v>
      </c>
      <c r="D139" s="24">
        <v>14.1693</v>
      </c>
      <c r="E139" s="21"/>
      <c r="F139" s="18"/>
      <c r="G139" s="25"/>
    </row>
    <row r="140" spans="1:7" ht="14.1" customHeight="1" x14ac:dyDescent="0.2">
      <c r="A140" s="21"/>
      <c r="B140" s="21"/>
      <c r="C140" s="21"/>
      <c r="D140" s="21"/>
      <c r="E140" s="21"/>
      <c r="F140" s="21"/>
      <c r="G140" s="21"/>
    </row>
    <row r="141" spans="1:7" ht="17.100000000000001" customHeight="1" x14ac:dyDescent="0.2">
      <c r="A141" s="21"/>
      <c r="B141" s="121" t="s">
        <v>1041</v>
      </c>
      <c r="C141" s="122"/>
      <c r="D141" s="2" t="s">
        <v>176</v>
      </c>
      <c r="E141" s="21"/>
      <c r="F141" s="21"/>
      <c r="G141" s="21"/>
    </row>
    <row r="142" spans="1:7" ht="18" customHeight="1" x14ac:dyDescent="0.2">
      <c r="A142" s="21"/>
      <c r="B142" s="26"/>
      <c r="C142" s="26"/>
      <c r="D142" s="26"/>
      <c r="E142" s="21"/>
      <c r="F142" s="21"/>
      <c r="G142" s="21"/>
    </row>
    <row r="143" spans="1:7" ht="29.1" customHeight="1" x14ac:dyDescent="0.2">
      <c r="A143" s="21"/>
      <c r="B143" s="121" t="s">
        <v>186</v>
      </c>
      <c r="C143" s="122"/>
      <c r="D143" s="2" t="s">
        <v>176</v>
      </c>
      <c r="E143" s="27"/>
      <c r="F143" s="21"/>
      <c r="G143" s="21"/>
    </row>
    <row r="144" spans="1:7" ht="29.1" customHeight="1" x14ac:dyDescent="0.2">
      <c r="A144" s="21"/>
      <c r="B144" s="121" t="s">
        <v>187</v>
      </c>
      <c r="C144" s="122"/>
      <c r="D144" s="2" t="s">
        <v>176</v>
      </c>
      <c r="E144" s="27"/>
      <c r="F144" s="21"/>
      <c r="G144" s="21"/>
    </row>
    <row r="145" spans="1:7" ht="17.100000000000001" customHeight="1" x14ac:dyDescent="0.2">
      <c r="A145" s="21"/>
      <c r="B145" s="121" t="s">
        <v>188</v>
      </c>
      <c r="C145" s="122"/>
      <c r="D145" s="2" t="s">
        <v>176</v>
      </c>
      <c r="E145" s="27"/>
      <c r="F145" s="21"/>
      <c r="G145" s="21"/>
    </row>
    <row r="146" spans="1:7" ht="17.100000000000001" customHeight="1" x14ac:dyDescent="0.2">
      <c r="A146" s="21"/>
      <c r="B146" s="121" t="s">
        <v>189</v>
      </c>
      <c r="C146" s="122"/>
      <c r="D146" s="50">
        <v>0.22263264039250763</v>
      </c>
      <c r="E146" s="21"/>
      <c r="F146" s="18"/>
      <c r="G146" s="25"/>
    </row>
  </sheetData>
  <mergeCells count="16">
    <mergeCell ref="J2:N2"/>
    <mergeCell ref="A1:H1"/>
    <mergeCell ref="A2:H2"/>
    <mergeCell ref="A3:H3"/>
    <mergeCell ref="B146:C146"/>
    <mergeCell ref="B132:C132"/>
    <mergeCell ref="B133:C133"/>
    <mergeCell ref="B141:C141"/>
    <mergeCell ref="B143:C143"/>
    <mergeCell ref="B144:C144"/>
    <mergeCell ref="B145:C145"/>
    <mergeCell ref="B131:C131"/>
    <mergeCell ref="B128:F128"/>
    <mergeCell ref="B130:D130"/>
    <mergeCell ref="B126:F126"/>
    <mergeCell ref="B127:F127"/>
  </mergeCells>
  <hyperlinks>
    <hyperlink ref="I1" location="Index!B27" display="Index" xr:uid="{057ACA80-6CFA-4E79-90AE-3AFC7C20A00D}"/>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outlinePr summaryBelow="0" summaryRight="0"/>
  </sheetPr>
  <dimension ref="A1:O154"/>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0" width="12" customWidth="1"/>
  </cols>
  <sheetData>
    <row r="1" spans="1:15" ht="18" customHeight="1" x14ac:dyDescent="0.2">
      <c r="A1" s="116" t="s">
        <v>0</v>
      </c>
      <c r="B1" s="116"/>
      <c r="C1" s="116"/>
      <c r="D1" s="116"/>
      <c r="E1" s="116"/>
      <c r="F1" s="116"/>
      <c r="G1" s="116"/>
      <c r="H1" s="116"/>
      <c r="I1" s="98" t="s">
        <v>1053</v>
      </c>
      <c r="J1" s="57"/>
      <c r="K1" s="57"/>
      <c r="L1" s="57"/>
      <c r="M1" s="57"/>
      <c r="N1" s="57"/>
    </row>
    <row r="2" spans="1:15" ht="17.100000000000001" customHeight="1" x14ac:dyDescent="0.2">
      <c r="A2" s="117" t="s">
        <v>841</v>
      </c>
      <c r="B2" s="118"/>
      <c r="C2" s="118"/>
      <c r="D2" s="118"/>
      <c r="E2" s="118"/>
      <c r="F2" s="118"/>
      <c r="G2" s="118"/>
      <c r="H2" s="119"/>
      <c r="J2" s="120" t="s">
        <v>1054</v>
      </c>
      <c r="K2" s="120"/>
      <c r="L2" s="120"/>
      <c r="M2" s="120"/>
      <c r="N2" s="120"/>
    </row>
    <row r="3" spans="1:15" ht="21" customHeight="1" x14ac:dyDescent="0.2">
      <c r="A3" s="116" t="s">
        <v>1049</v>
      </c>
      <c r="B3" s="116"/>
      <c r="C3" s="116"/>
      <c r="D3" s="116"/>
      <c r="E3" s="116"/>
      <c r="F3" s="116"/>
      <c r="G3" s="116"/>
      <c r="H3" s="116"/>
      <c r="J3" s="57"/>
      <c r="K3" s="57"/>
      <c r="L3" s="57"/>
      <c r="M3" s="57"/>
      <c r="N3" s="57"/>
    </row>
    <row r="4" spans="1:15" ht="30" x14ac:dyDescent="0.2">
      <c r="A4" s="96" t="s">
        <v>2</v>
      </c>
      <c r="B4" s="96" t="s">
        <v>3</v>
      </c>
      <c r="C4" s="96" t="s">
        <v>4</v>
      </c>
      <c r="D4" s="96" t="s">
        <v>5</v>
      </c>
      <c r="E4" s="96" t="s">
        <v>6</v>
      </c>
      <c r="F4" s="96" t="s">
        <v>7</v>
      </c>
      <c r="G4" s="96" t="s">
        <v>8</v>
      </c>
      <c r="H4" s="51" t="s">
        <v>1002</v>
      </c>
      <c r="I4" s="99"/>
      <c r="J4" s="102"/>
      <c r="K4" s="102"/>
      <c r="L4" s="102"/>
      <c r="M4" s="102"/>
      <c r="N4" s="102"/>
      <c r="O4" s="99"/>
    </row>
    <row r="5" spans="1:15" ht="14.1" customHeight="1" x14ac:dyDescent="0.2">
      <c r="A5" s="1"/>
      <c r="B5" s="1"/>
      <c r="C5" s="2" t="s">
        <v>9</v>
      </c>
      <c r="D5" s="1"/>
      <c r="E5" s="1"/>
      <c r="F5" s="1"/>
      <c r="G5" s="1"/>
      <c r="H5" s="52"/>
      <c r="J5" s="57"/>
      <c r="K5" s="57"/>
      <c r="L5" s="57"/>
      <c r="M5" s="57"/>
      <c r="N5" s="57"/>
    </row>
    <row r="6" spans="1:15" ht="24" customHeight="1" x14ac:dyDescent="0.2">
      <c r="A6" s="1"/>
      <c r="B6" s="1"/>
      <c r="C6" s="2" t="s">
        <v>10</v>
      </c>
      <c r="D6" s="1"/>
      <c r="E6" s="1"/>
      <c r="F6" s="1"/>
      <c r="G6" s="1"/>
      <c r="H6" s="52"/>
      <c r="J6" s="57"/>
      <c r="K6" s="57"/>
      <c r="L6" s="57"/>
      <c r="M6" s="57"/>
      <c r="N6" s="57"/>
    </row>
    <row r="7" spans="1:15" ht="17.100000000000001" customHeight="1" x14ac:dyDescent="0.2">
      <c r="A7" s="3">
        <v>1</v>
      </c>
      <c r="B7" s="4" t="s">
        <v>319</v>
      </c>
      <c r="C7" s="4" t="s">
        <v>320</v>
      </c>
      <c r="D7" s="4" t="s">
        <v>28</v>
      </c>
      <c r="E7" s="5">
        <v>1122765</v>
      </c>
      <c r="F7" s="6">
        <v>16577.625225</v>
      </c>
      <c r="G7" s="7">
        <v>8.3708569999999996E-2</v>
      </c>
      <c r="H7" s="52"/>
      <c r="J7" s="57"/>
      <c r="K7" s="57"/>
      <c r="L7" s="57"/>
      <c r="M7" s="57"/>
      <c r="N7" s="57"/>
    </row>
    <row r="8" spans="1:15" ht="17.100000000000001" customHeight="1" x14ac:dyDescent="0.2">
      <c r="A8" s="3">
        <v>2</v>
      </c>
      <c r="B8" s="4" t="s">
        <v>14</v>
      </c>
      <c r="C8" s="4" t="s">
        <v>15</v>
      </c>
      <c r="D8" s="4" t="s">
        <v>16</v>
      </c>
      <c r="E8" s="5">
        <v>548000</v>
      </c>
      <c r="F8" s="6">
        <v>12537.691999999999</v>
      </c>
      <c r="G8" s="7">
        <v>6.3308970000000006E-2</v>
      </c>
      <c r="H8" s="52"/>
      <c r="J8" s="57"/>
      <c r="K8" s="57"/>
      <c r="L8" s="57"/>
      <c r="M8" s="57"/>
      <c r="N8" s="57"/>
    </row>
    <row r="9" spans="1:15" ht="17.100000000000001" customHeight="1" x14ac:dyDescent="0.2">
      <c r="A9" s="3">
        <v>3</v>
      </c>
      <c r="B9" s="4" t="s">
        <v>321</v>
      </c>
      <c r="C9" s="4" t="s">
        <v>322</v>
      </c>
      <c r="D9" s="4" t="s">
        <v>888</v>
      </c>
      <c r="E9" s="5">
        <v>767000</v>
      </c>
      <c r="F9" s="6">
        <v>10495.628000000001</v>
      </c>
      <c r="G9" s="7">
        <v>5.2997580000000002E-2</v>
      </c>
      <c r="H9" s="52"/>
      <c r="J9" s="57"/>
      <c r="K9" s="57"/>
      <c r="L9" s="57"/>
      <c r="M9" s="57"/>
      <c r="N9" s="57"/>
    </row>
    <row r="10" spans="1:15" ht="17.100000000000001" customHeight="1" x14ac:dyDescent="0.2">
      <c r="A10" s="3">
        <v>4</v>
      </c>
      <c r="B10" s="4" t="s">
        <v>26</v>
      </c>
      <c r="C10" s="4" t="s">
        <v>27</v>
      </c>
      <c r="D10" s="4" t="s">
        <v>28</v>
      </c>
      <c r="E10" s="5">
        <v>980000</v>
      </c>
      <c r="F10" s="6">
        <v>8970.43</v>
      </c>
      <c r="G10" s="7">
        <v>4.5296110000000001E-2</v>
      </c>
      <c r="H10" s="52"/>
      <c r="J10" s="57"/>
      <c r="K10" s="57"/>
      <c r="L10" s="57"/>
      <c r="M10" s="57"/>
      <c r="N10" s="57"/>
    </row>
    <row r="11" spans="1:15" ht="17.100000000000001" customHeight="1" x14ac:dyDescent="0.2">
      <c r="A11" s="3">
        <v>5</v>
      </c>
      <c r="B11" s="4" t="s">
        <v>39</v>
      </c>
      <c r="C11" s="4" t="s">
        <v>40</v>
      </c>
      <c r="D11" s="4" t="s">
        <v>28</v>
      </c>
      <c r="E11" s="5">
        <v>1223000</v>
      </c>
      <c r="F11" s="6">
        <v>6916.6764999999996</v>
      </c>
      <c r="G11" s="7">
        <v>3.4925699999999997E-2</v>
      </c>
      <c r="H11" s="52"/>
      <c r="J11" s="57"/>
      <c r="K11" s="57"/>
      <c r="L11" s="57"/>
      <c r="M11" s="57"/>
      <c r="N11" s="57"/>
    </row>
    <row r="12" spans="1:15" ht="17.100000000000001" customHeight="1" x14ac:dyDescent="0.2">
      <c r="A12" s="3">
        <v>6</v>
      </c>
      <c r="B12" s="4" t="s">
        <v>11</v>
      </c>
      <c r="C12" s="4" t="s">
        <v>12</v>
      </c>
      <c r="D12" s="4" t="s">
        <v>13</v>
      </c>
      <c r="E12" s="5">
        <v>202401</v>
      </c>
      <c r="F12" s="6">
        <v>5928.4264905</v>
      </c>
      <c r="G12" s="7">
        <v>2.993554E-2</v>
      </c>
      <c r="H12" s="52"/>
      <c r="J12" s="57"/>
      <c r="K12" s="57"/>
      <c r="L12" s="57"/>
      <c r="M12" s="57"/>
      <c r="N12" s="57"/>
    </row>
    <row r="13" spans="1:15" ht="17.100000000000001" customHeight="1" x14ac:dyDescent="0.2">
      <c r="A13" s="3">
        <v>7</v>
      </c>
      <c r="B13" s="4" t="s">
        <v>349</v>
      </c>
      <c r="C13" s="4" t="s">
        <v>350</v>
      </c>
      <c r="D13" s="4" t="s">
        <v>70</v>
      </c>
      <c r="E13" s="5">
        <v>65000</v>
      </c>
      <c r="F13" s="6">
        <v>4870.2224999999999</v>
      </c>
      <c r="G13" s="7">
        <v>2.459215E-2</v>
      </c>
      <c r="H13" s="52"/>
      <c r="J13" s="101" t="s">
        <v>1088</v>
      </c>
      <c r="L13" s="57"/>
      <c r="M13" s="57"/>
      <c r="N13" s="57"/>
    </row>
    <row r="14" spans="1:15" ht="17.100000000000001" customHeight="1" x14ac:dyDescent="0.2">
      <c r="A14" s="3">
        <v>8</v>
      </c>
      <c r="B14" s="4" t="s">
        <v>342</v>
      </c>
      <c r="C14" s="4" t="s">
        <v>343</v>
      </c>
      <c r="D14" s="4" t="s">
        <v>344</v>
      </c>
      <c r="E14" s="5">
        <v>1100000</v>
      </c>
      <c r="F14" s="6">
        <v>4712.3999999999996</v>
      </c>
      <c r="G14" s="7">
        <v>2.3795219999999999E-2</v>
      </c>
      <c r="H14" s="52"/>
      <c r="J14" s="57"/>
      <c r="K14" s="57"/>
      <c r="L14" s="57"/>
      <c r="M14" s="57"/>
      <c r="N14" s="57"/>
    </row>
    <row r="15" spans="1:15" ht="17.100000000000001" customHeight="1" x14ac:dyDescent="0.2">
      <c r="A15" s="3">
        <v>9</v>
      </c>
      <c r="B15" s="4" t="s">
        <v>87</v>
      </c>
      <c r="C15" s="4" t="s">
        <v>88</v>
      </c>
      <c r="D15" s="4" t="s">
        <v>43</v>
      </c>
      <c r="E15" s="5">
        <v>1244000</v>
      </c>
      <c r="F15" s="6">
        <v>4468.4480000000003</v>
      </c>
      <c r="G15" s="7">
        <v>2.2563389999999999E-2</v>
      </c>
      <c r="H15" s="52"/>
      <c r="J15" s="57"/>
      <c r="K15" s="57"/>
      <c r="L15" s="57"/>
      <c r="M15" s="57"/>
      <c r="N15" s="57"/>
    </row>
    <row r="16" spans="1:15" ht="29.1" customHeight="1" x14ac:dyDescent="0.2">
      <c r="A16" s="3">
        <v>10</v>
      </c>
      <c r="B16" s="4" t="s">
        <v>23</v>
      </c>
      <c r="C16" s="4" t="s">
        <v>24</v>
      </c>
      <c r="D16" s="4" t="s">
        <v>25</v>
      </c>
      <c r="E16" s="5">
        <v>51000</v>
      </c>
      <c r="F16" s="6">
        <v>4295.3474999999999</v>
      </c>
      <c r="G16" s="7">
        <v>2.1689320000000002E-2</v>
      </c>
      <c r="H16" s="52"/>
      <c r="J16" s="57"/>
      <c r="K16" s="57"/>
      <c r="L16" s="57"/>
      <c r="M16" s="57"/>
      <c r="N16" s="57"/>
    </row>
    <row r="17" spans="1:14" ht="17.100000000000001" customHeight="1" x14ac:dyDescent="0.2">
      <c r="A17" s="3">
        <v>11</v>
      </c>
      <c r="B17" s="4" t="s">
        <v>325</v>
      </c>
      <c r="C17" s="4" t="s">
        <v>326</v>
      </c>
      <c r="D17" s="4" t="s">
        <v>888</v>
      </c>
      <c r="E17" s="5">
        <v>119000</v>
      </c>
      <c r="F17" s="6">
        <v>4008.8125</v>
      </c>
      <c r="G17" s="7">
        <v>2.024246E-2</v>
      </c>
      <c r="H17" s="52"/>
      <c r="J17" s="57"/>
      <c r="K17" s="57"/>
      <c r="L17" s="57"/>
      <c r="M17" s="57"/>
      <c r="N17" s="57"/>
    </row>
    <row r="18" spans="1:14" ht="17.100000000000001" customHeight="1" x14ac:dyDescent="0.2">
      <c r="A18" s="3">
        <v>12</v>
      </c>
      <c r="B18" s="4" t="s">
        <v>323</v>
      </c>
      <c r="C18" s="4" t="s">
        <v>324</v>
      </c>
      <c r="D18" s="4" t="s">
        <v>28</v>
      </c>
      <c r="E18" s="5">
        <v>401535</v>
      </c>
      <c r="F18" s="6">
        <v>3942.4713975</v>
      </c>
      <c r="G18" s="7">
        <v>1.9907480000000002E-2</v>
      </c>
      <c r="H18" s="52"/>
      <c r="J18" s="57"/>
      <c r="K18" s="57"/>
      <c r="L18" s="57"/>
      <c r="M18" s="57"/>
      <c r="N18" s="57"/>
    </row>
    <row r="19" spans="1:14" ht="29.1" customHeight="1" x14ac:dyDescent="0.2">
      <c r="A19" s="3">
        <v>13</v>
      </c>
      <c r="B19" s="4" t="s">
        <v>327</v>
      </c>
      <c r="C19" s="4" t="s">
        <v>328</v>
      </c>
      <c r="D19" s="4" t="s">
        <v>226</v>
      </c>
      <c r="E19" s="5">
        <v>360000</v>
      </c>
      <c r="F19" s="6">
        <v>3918.96</v>
      </c>
      <c r="G19" s="7">
        <v>1.9788750000000001E-2</v>
      </c>
      <c r="H19" s="52"/>
      <c r="J19" s="57"/>
      <c r="K19" s="57"/>
      <c r="L19" s="57"/>
      <c r="M19" s="57"/>
      <c r="N19" s="57"/>
    </row>
    <row r="20" spans="1:14" ht="17.100000000000001" customHeight="1" x14ac:dyDescent="0.2">
      <c r="A20" s="3">
        <v>14</v>
      </c>
      <c r="B20" s="4" t="s">
        <v>329</v>
      </c>
      <c r="C20" s="4" t="s">
        <v>330</v>
      </c>
      <c r="D20" s="4" t="s">
        <v>28</v>
      </c>
      <c r="E20" s="5">
        <v>253000</v>
      </c>
      <c r="F20" s="6">
        <v>3646.489</v>
      </c>
      <c r="G20" s="7">
        <v>1.8412910000000001E-2</v>
      </c>
      <c r="H20" s="52"/>
      <c r="J20" s="57"/>
      <c r="K20" s="57"/>
      <c r="L20" s="57"/>
      <c r="M20" s="57"/>
      <c r="N20" s="57"/>
    </row>
    <row r="21" spans="1:14" ht="17.100000000000001" customHeight="1" x14ac:dyDescent="0.2">
      <c r="A21" s="3">
        <v>15</v>
      </c>
      <c r="B21" s="4" t="s">
        <v>281</v>
      </c>
      <c r="C21" s="4" t="s">
        <v>282</v>
      </c>
      <c r="D21" s="4" t="s">
        <v>283</v>
      </c>
      <c r="E21" s="5">
        <v>222000</v>
      </c>
      <c r="F21" s="6">
        <v>3585.6329999999998</v>
      </c>
      <c r="G21" s="7">
        <v>1.8105619999999999E-2</v>
      </c>
      <c r="H21" s="52"/>
      <c r="K21" s="57"/>
      <c r="L21" s="57"/>
      <c r="M21" s="57"/>
      <c r="N21" s="57"/>
    </row>
    <row r="22" spans="1:14" ht="17.100000000000001" customHeight="1" x14ac:dyDescent="0.2">
      <c r="A22" s="3">
        <v>16</v>
      </c>
      <c r="B22" s="4" t="s">
        <v>351</v>
      </c>
      <c r="C22" s="4" t="s">
        <v>352</v>
      </c>
      <c r="D22" s="4" t="s">
        <v>344</v>
      </c>
      <c r="E22" s="5">
        <v>140000</v>
      </c>
      <c r="F22" s="6">
        <v>3477.6</v>
      </c>
      <c r="G22" s="7">
        <v>1.756011E-2</v>
      </c>
      <c r="H22" s="52"/>
      <c r="J22" s="101" t="s">
        <v>1089</v>
      </c>
      <c r="K22" s="57"/>
      <c r="L22" s="57"/>
      <c r="M22" s="57"/>
      <c r="N22" s="57"/>
    </row>
    <row r="23" spans="1:14" ht="17.100000000000001" customHeight="1" x14ac:dyDescent="0.2">
      <c r="A23" s="3">
        <v>17</v>
      </c>
      <c r="B23" s="4" t="s">
        <v>100</v>
      </c>
      <c r="C23" s="4" t="s">
        <v>101</v>
      </c>
      <c r="D23" s="4" t="s">
        <v>102</v>
      </c>
      <c r="E23" s="5">
        <v>33000</v>
      </c>
      <c r="F23" s="6">
        <v>3429.4589999999998</v>
      </c>
      <c r="G23" s="7">
        <v>1.7317019999999999E-2</v>
      </c>
      <c r="H23" s="52"/>
      <c r="J23" s="57"/>
      <c r="K23" s="57"/>
      <c r="L23" s="57"/>
      <c r="M23" s="57"/>
      <c r="N23" s="57"/>
    </row>
    <row r="24" spans="1:14" ht="17.100000000000001" customHeight="1" x14ac:dyDescent="0.2">
      <c r="A24" s="3">
        <v>18</v>
      </c>
      <c r="B24" s="4" t="s">
        <v>355</v>
      </c>
      <c r="C24" s="4" t="s">
        <v>356</v>
      </c>
      <c r="D24" s="4" t="s">
        <v>357</v>
      </c>
      <c r="E24" s="5">
        <v>137756</v>
      </c>
      <c r="F24" s="6">
        <v>3210.954604</v>
      </c>
      <c r="G24" s="7">
        <v>1.6213689999999999E-2</v>
      </c>
      <c r="H24" s="52"/>
      <c r="J24" s="57"/>
      <c r="K24" s="57"/>
      <c r="L24" s="57"/>
      <c r="M24" s="57"/>
      <c r="N24" s="57"/>
    </row>
    <row r="25" spans="1:14" ht="17.100000000000001" customHeight="1" x14ac:dyDescent="0.2">
      <c r="A25" s="3">
        <v>19</v>
      </c>
      <c r="B25" s="4" t="s">
        <v>83</v>
      </c>
      <c r="C25" s="4" t="s">
        <v>84</v>
      </c>
      <c r="D25" s="4" t="s">
        <v>52</v>
      </c>
      <c r="E25" s="5">
        <v>127000</v>
      </c>
      <c r="F25" s="6">
        <v>3116.3895000000002</v>
      </c>
      <c r="G25" s="7">
        <v>1.5736179999999999E-2</v>
      </c>
      <c r="H25" s="52"/>
      <c r="J25" s="57"/>
      <c r="K25" s="57"/>
      <c r="L25" s="57"/>
      <c r="M25" s="57"/>
      <c r="N25" s="57"/>
    </row>
    <row r="26" spans="1:14" ht="29.1" customHeight="1" x14ac:dyDescent="0.2">
      <c r="A26" s="3">
        <v>20</v>
      </c>
      <c r="B26" s="4" t="s">
        <v>201</v>
      </c>
      <c r="C26" s="4" t="s">
        <v>202</v>
      </c>
      <c r="D26" s="4" t="s">
        <v>70</v>
      </c>
      <c r="E26" s="5">
        <v>269000</v>
      </c>
      <c r="F26" s="6">
        <v>3059.337</v>
      </c>
      <c r="G26" s="7">
        <v>1.5448099999999999E-2</v>
      </c>
      <c r="H26" s="52"/>
      <c r="J26" s="57"/>
      <c r="K26" s="57"/>
      <c r="L26" s="57"/>
      <c r="M26" s="57"/>
      <c r="N26" s="57"/>
    </row>
    <row r="27" spans="1:14" ht="53.1" customHeight="1" x14ac:dyDescent="0.2">
      <c r="A27" s="3">
        <v>21</v>
      </c>
      <c r="B27" s="4" t="s">
        <v>71</v>
      </c>
      <c r="C27" s="4" t="s">
        <v>72</v>
      </c>
      <c r="D27" s="4" t="s">
        <v>73</v>
      </c>
      <c r="E27" s="5">
        <v>1706000</v>
      </c>
      <c r="F27" s="6">
        <v>2860.962</v>
      </c>
      <c r="G27" s="7">
        <v>1.44464E-2</v>
      </c>
      <c r="H27" s="52"/>
      <c r="J27" s="57"/>
      <c r="K27" s="57"/>
      <c r="L27" s="57"/>
      <c r="M27" s="57"/>
      <c r="N27" s="57"/>
    </row>
    <row r="28" spans="1:14" ht="29.1" customHeight="1" x14ac:dyDescent="0.2">
      <c r="A28" s="3">
        <v>22</v>
      </c>
      <c r="B28" s="4" t="s">
        <v>333</v>
      </c>
      <c r="C28" s="4" t="s">
        <v>334</v>
      </c>
      <c r="D28" s="4" t="s">
        <v>226</v>
      </c>
      <c r="E28" s="5">
        <v>52000</v>
      </c>
      <c r="F28" s="6">
        <v>2791.1260000000002</v>
      </c>
      <c r="G28" s="7">
        <v>1.409377E-2</v>
      </c>
      <c r="H28" s="52"/>
    </row>
    <row r="29" spans="1:14" ht="17.100000000000001" customHeight="1" x14ac:dyDescent="0.2">
      <c r="A29" s="3">
        <v>23</v>
      </c>
      <c r="B29" s="4" t="s">
        <v>503</v>
      </c>
      <c r="C29" s="4" t="s">
        <v>504</v>
      </c>
      <c r="D29" s="4" t="s">
        <v>357</v>
      </c>
      <c r="E29" s="5">
        <v>50000</v>
      </c>
      <c r="F29" s="6">
        <v>2729.125</v>
      </c>
      <c r="G29" s="7">
        <v>1.378069E-2</v>
      </c>
      <c r="H29" s="52"/>
    </row>
    <row r="30" spans="1:14" ht="17.100000000000001" customHeight="1" x14ac:dyDescent="0.2">
      <c r="A30" s="3">
        <v>24</v>
      </c>
      <c r="B30" s="4" t="s">
        <v>411</v>
      </c>
      <c r="C30" s="4" t="s">
        <v>412</v>
      </c>
      <c r="D30" s="4" t="s">
        <v>70</v>
      </c>
      <c r="E30" s="5">
        <v>352000</v>
      </c>
      <c r="F30" s="6">
        <v>2687.3440000000001</v>
      </c>
      <c r="G30" s="7">
        <v>1.356972E-2</v>
      </c>
      <c r="H30" s="52"/>
    </row>
    <row r="31" spans="1:14" ht="29.1" customHeight="1" x14ac:dyDescent="0.2">
      <c r="A31" s="3">
        <v>25</v>
      </c>
      <c r="B31" s="4" t="s">
        <v>390</v>
      </c>
      <c r="C31" s="4" t="s">
        <v>391</v>
      </c>
      <c r="D31" s="4" t="s">
        <v>226</v>
      </c>
      <c r="E31" s="5">
        <v>210000</v>
      </c>
      <c r="F31" s="6">
        <v>2520</v>
      </c>
      <c r="G31" s="7">
        <v>1.272472E-2</v>
      </c>
      <c r="H31" s="52"/>
    </row>
    <row r="32" spans="1:14" ht="29.1" customHeight="1" x14ac:dyDescent="0.2">
      <c r="A32" s="3">
        <v>26</v>
      </c>
      <c r="B32" s="4" t="s">
        <v>509</v>
      </c>
      <c r="C32" s="4" t="s">
        <v>510</v>
      </c>
      <c r="D32" s="4" t="s">
        <v>488</v>
      </c>
      <c r="E32" s="5">
        <v>1600000</v>
      </c>
      <c r="F32" s="6">
        <v>2496.8000000000002</v>
      </c>
      <c r="G32" s="7">
        <v>1.260757E-2</v>
      </c>
      <c r="H32" s="52"/>
    </row>
    <row r="33" spans="1:8" ht="17.100000000000001" customHeight="1" x14ac:dyDescent="0.2">
      <c r="A33" s="3">
        <v>27</v>
      </c>
      <c r="B33" s="4" t="s">
        <v>360</v>
      </c>
      <c r="C33" s="4" t="s">
        <v>361</v>
      </c>
      <c r="D33" s="4" t="s">
        <v>60</v>
      </c>
      <c r="E33" s="5">
        <v>77000</v>
      </c>
      <c r="F33" s="6">
        <v>2456.0304999999998</v>
      </c>
      <c r="G33" s="7">
        <v>1.240171E-2</v>
      </c>
      <c r="H33" s="52"/>
    </row>
    <row r="34" spans="1:8" ht="17.100000000000001" customHeight="1" x14ac:dyDescent="0.2">
      <c r="A34" s="3">
        <v>28</v>
      </c>
      <c r="B34" s="4" t="s">
        <v>353</v>
      </c>
      <c r="C34" s="4" t="s">
        <v>354</v>
      </c>
      <c r="D34" s="4" t="s">
        <v>888</v>
      </c>
      <c r="E34" s="5">
        <v>48000</v>
      </c>
      <c r="F34" s="6">
        <v>2428.9920000000002</v>
      </c>
      <c r="G34" s="7">
        <v>1.2265170000000001E-2</v>
      </c>
      <c r="H34" s="52"/>
    </row>
    <row r="35" spans="1:8" ht="17.100000000000001" customHeight="1" x14ac:dyDescent="0.2">
      <c r="A35" s="3">
        <v>29</v>
      </c>
      <c r="B35" s="4" t="s">
        <v>745</v>
      </c>
      <c r="C35" s="4" t="s">
        <v>746</v>
      </c>
      <c r="D35" s="4" t="s">
        <v>242</v>
      </c>
      <c r="E35" s="5">
        <v>10000</v>
      </c>
      <c r="F35" s="6">
        <v>2423.48</v>
      </c>
      <c r="G35" s="7">
        <v>1.2237339999999999E-2</v>
      </c>
      <c r="H35" s="52"/>
    </row>
    <row r="36" spans="1:8" ht="17.100000000000001" customHeight="1" x14ac:dyDescent="0.2">
      <c r="A36" s="3">
        <v>30</v>
      </c>
      <c r="B36" s="4" t="s">
        <v>108</v>
      </c>
      <c r="C36" s="4" t="s">
        <v>109</v>
      </c>
      <c r="D36" s="4" t="s">
        <v>105</v>
      </c>
      <c r="E36" s="5">
        <v>355000</v>
      </c>
      <c r="F36" s="6">
        <v>2402.1075000000001</v>
      </c>
      <c r="G36" s="7">
        <v>1.212942E-2</v>
      </c>
      <c r="H36" s="52"/>
    </row>
    <row r="37" spans="1:8" ht="29.1" customHeight="1" x14ac:dyDescent="0.2">
      <c r="A37" s="3">
        <v>31</v>
      </c>
      <c r="B37" s="4" t="s">
        <v>238</v>
      </c>
      <c r="C37" s="4" t="s">
        <v>239</v>
      </c>
      <c r="D37" s="4" t="s">
        <v>226</v>
      </c>
      <c r="E37" s="5">
        <v>64000</v>
      </c>
      <c r="F37" s="6">
        <v>2381.9839999999999</v>
      </c>
      <c r="G37" s="7">
        <v>1.202781E-2</v>
      </c>
      <c r="H37" s="52"/>
    </row>
    <row r="38" spans="1:8" ht="29.1" customHeight="1" x14ac:dyDescent="0.2">
      <c r="A38" s="3">
        <v>32</v>
      </c>
      <c r="B38" s="4" t="s">
        <v>542</v>
      </c>
      <c r="C38" s="4" t="s">
        <v>543</v>
      </c>
      <c r="D38" s="4" t="s">
        <v>544</v>
      </c>
      <c r="E38" s="5">
        <v>600000</v>
      </c>
      <c r="F38" s="6">
        <v>2339.1</v>
      </c>
      <c r="G38" s="7">
        <v>1.181127E-2</v>
      </c>
      <c r="H38" s="52"/>
    </row>
    <row r="39" spans="1:8" ht="29.1" customHeight="1" x14ac:dyDescent="0.2">
      <c r="A39" s="3">
        <v>33</v>
      </c>
      <c r="B39" s="4" t="s">
        <v>63</v>
      </c>
      <c r="C39" s="4" t="s">
        <v>64</v>
      </c>
      <c r="D39" s="4" t="s">
        <v>25</v>
      </c>
      <c r="E39" s="5">
        <v>110137</v>
      </c>
      <c r="F39" s="6">
        <v>2317.5578224999999</v>
      </c>
      <c r="G39" s="7">
        <v>1.1702489999999999E-2</v>
      </c>
      <c r="H39" s="52"/>
    </row>
    <row r="40" spans="1:8" ht="17.100000000000001" customHeight="1" x14ac:dyDescent="0.2">
      <c r="A40" s="3">
        <v>34</v>
      </c>
      <c r="B40" s="4" t="s">
        <v>219</v>
      </c>
      <c r="C40" s="4" t="s">
        <v>220</v>
      </c>
      <c r="D40" s="4" t="s">
        <v>221</v>
      </c>
      <c r="E40" s="5">
        <v>249000</v>
      </c>
      <c r="F40" s="6">
        <v>2276.1089999999999</v>
      </c>
      <c r="G40" s="7">
        <v>1.149319E-2</v>
      </c>
      <c r="H40" s="52"/>
    </row>
    <row r="41" spans="1:8" ht="17.100000000000001" customHeight="1" x14ac:dyDescent="0.2">
      <c r="A41" s="3">
        <v>35</v>
      </c>
      <c r="B41" s="4" t="s">
        <v>253</v>
      </c>
      <c r="C41" s="4" t="s">
        <v>254</v>
      </c>
      <c r="D41" s="4" t="s">
        <v>208</v>
      </c>
      <c r="E41" s="5">
        <v>50000</v>
      </c>
      <c r="F41" s="6">
        <v>2042.125</v>
      </c>
      <c r="G41" s="7">
        <v>1.031169E-2</v>
      </c>
      <c r="H41" s="52"/>
    </row>
    <row r="42" spans="1:8" ht="17.100000000000001" customHeight="1" x14ac:dyDescent="0.2">
      <c r="A42" s="3">
        <v>36</v>
      </c>
      <c r="B42" s="4" t="s">
        <v>358</v>
      </c>
      <c r="C42" s="4" t="s">
        <v>359</v>
      </c>
      <c r="D42" s="4" t="s">
        <v>102</v>
      </c>
      <c r="E42" s="5">
        <v>318000</v>
      </c>
      <c r="F42" s="6">
        <v>1999.107</v>
      </c>
      <c r="G42" s="7">
        <v>1.0094469999999999E-2</v>
      </c>
      <c r="H42" s="52"/>
    </row>
    <row r="43" spans="1:8" ht="17.100000000000001" customHeight="1" x14ac:dyDescent="0.2">
      <c r="A43" s="3">
        <v>37</v>
      </c>
      <c r="B43" s="4" t="s">
        <v>191</v>
      </c>
      <c r="C43" s="4" t="s">
        <v>192</v>
      </c>
      <c r="D43" s="4" t="s">
        <v>28</v>
      </c>
      <c r="E43" s="5">
        <v>1416588</v>
      </c>
      <c r="F43" s="6">
        <v>1992.431022</v>
      </c>
      <c r="G43" s="7">
        <v>1.006076E-2</v>
      </c>
      <c r="H43" s="52"/>
    </row>
    <row r="44" spans="1:8" ht="17.100000000000001" customHeight="1" x14ac:dyDescent="0.2">
      <c r="A44" s="3">
        <v>38</v>
      </c>
      <c r="B44" s="4" t="s">
        <v>20</v>
      </c>
      <c r="C44" s="4" t="s">
        <v>21</v>
      </c>
      <c r="D44" s="4" t="s">
        <v>22</v>
      </c>
      <c r="E44" s="5">
        <v>840000</v>
      </c>
      <c r="F44" s="6">
        <v>1980.72</v>
      </c>
      <c r="G44" s="7">
        <v>1.0001629999999999E-2</v>
      </c>
      <c r="H44" s="52"/>
    </row>
    <row r="45" spans="1:8" ht="17.100000000000001" customHeight="1" x14ac:dyDescent="0.2">
      <c r="A45" s="3">
        <v>39</v>
      </c>
      <c r="B45" s="4" t="s">
        <v>753</v>
      </c>
      <c r="C45" s="4" t="s">
        <v>754</v>
      </c>
      <c r="D45" s="4" t="s">
        <v>205</v>
      </c>
      <c r="E45" s="5">
        <v>140000</v>
      </c>
      <c r="F45" s="6">
        <v>1967.63</v>
      </c>
      <c r="G45" s="7">
        <v>9.9355299999999997E-3</v>
      </c>
      <c r="H45" s="52"/>
    </row>
    <row r="46" spans="1:8" ht="17.100000000000001" customHeight="1" x14ac:dyDescent="0.2">
      <c r="A46" s="3">
        <v>40</v>
      </c>
      <c r="B46" s="4" t="s">
        <v>17</v>
      </c>
      <c r="C46" s="4" t="s">
        <v>18</v>
      </c>
      <c r="D46" s="4" t="s">
        <v>19</v>
      </c>
      <c r="E46" s="5">
        <v>215000</v>
      </c>
      <c r="F46" s="6">
        <v>1965.96</v>
      </c>
      <c r="G46" s="7">
        <v>9.9270999999999995E-3</v>
      </c>
      <c r="H46" s="52"/>
    </row>
    <row r="47" spans="1:8" ht="17.100000000000001" customHeight="1" x14ac:dyDescent="0.2">
      <c r="A47" s="3">
        <v>41</v>
      </c>
      <c r="B47" s="4" t="s">
        <v>366</v>
      </c>
      <c r="C47" s="4" t="s">
        <v>367</v>
      </c>
      <c r="D47" s="4" t="s">
        <v>114</v>
      </c>
      <c r="E47" s="5">
        <v>1625000</v>
      </c>
      <c r="F47" s="6">
        <v>1929.6875</v>
      </c>
      <c r="G47" s="7">
        <v>9.7439399999999995E-3</v>
      </c>
      <c r="H47" s="52"/>
    </row>
    <row r="48" spans="1:8" ht="29.1" customHeight="1" x14ac:dyDescent="0.2">
      <c r="A48" s="3">
        <v>42</v>
      </c>
      <c r="B48" s="4" t="s">
        <v>378</v>
      </c>
      <c r="C48" s="4" t="s">
        <v>379</v>
      </c>
      <c r="D48" s="4" t="s">
        <v>226</v>
      </c>
      <c r="E48" s="5">
        <v>226000</v>
      </c>
      <c r="F48" s="6">
        <v>1919.87</v>
      </c>
      <c r="G48" s="7">
        <v>9.6943700000000008E-3</v>
      </c>
      <c r="H48" s="52"/>
    </row>
    <row r="49" spans="1:8" ht="17.100000000000001" customHeight="1" x14ac:dyDescent="0.2">
      <c r="A49" s="3">
        <v>43</v>
      </c>
      <c r="B49" s="4" t="s">
        <v>53</v>
      </c>
      <c r="C49" s="4" t="s">
        <v>54</v>
      </c>
      <c r="D49" s="4" t="s">
        <v>31</v>
      </c>
      <c r="E49" s="5">
        <v>39000</v>
      </c>
      <c r="F49" s="6">
        <v>1919.6189999999999</v>
      </c>
      <c r="G49" s="7">
        <v>9.6930999999999996E-3</v>
      </c>
      <c r="H49" s="52"/>
    </row>
    <row r="50" spans="1:8" ht="17.100000000000001" customHeight="1" x14ac:dyDescent="0.2">
      <c r="A50" s="3">
        <v>44</v>
      </c>
      <c r="B50" s="4" t="s">
        <v>538</v>
      </c>
      <c r="C50" s="4" t="s">
        <v>539</v>
      </c>
      <c r="D50" s="4" t="s">
        <v>357</v>
      </c>
      <c r="E50" s="5">
        <v>150000</v>
      </c>
      <c r="F50" s="6">
        <v>1798.875</v>
      </c>
      <c r="G50" s="7">
        <v>9.0834000000000002E-3</v>
      </c>
      <c r="H50" s="52"/>
    </row>
    <row r="51" spans="1:8" ht="17.100000000000001" customHeight="1" x14ac:dyDescent="0.2">
      <c r="A51" s="3">
        <v>45</v>
      </c>
      <c r="B51" s="4" t="s">
        <v>726</v>
      </c>
      <c r="C51" s="4" t="s">
        <v>727</v>
      </c>
      <c r="D51" s="4" t="s">
        <v>43</v>
      </c>
      <c r="E51" s="5">
        <v>348738</v>
      </c>
      <c r="F51" s="6">
        <v>1656.3311309999999</v>
      </c>
      <c r="G51" s="7">
        <v>8.3636300000000004E-3</v>
      </c>
      <c r="H51" s="52"/>
    </row>
    <row r="52" spans="1:8" ht="17.100000000000001" customHeight="1" x14ac:dyDescent="0.2">
      <c r="A52" s="3">
        <v>46</v>
      </c>
      <c r="B52" s="4" t="s">
        <v>50</v>
      </c>
      <c r="C52" s="4" t="s">
        <v>51</v>
      </c>
      <c r="D52" s="4" t="s">
        <v>52</v>
      </c>
      <c r="E52" s="5">
        <v>240000</v>
      </c>
      <c r="F52" s="6">
        <v>1651.68</v>
      </c>
      <c r="G52" s="7">
        <v>8.3401399999999994E-3</v>
      </c>
      <c r="H52" s="52"/>
    </row>
    <row r="53" spans="1:8" ht="17.100000000000001" customHeight="1" x14ac:dyDescent="0.2">
      <c r="A53" s="3">
        <v>47</v>
      </c>
      <c r="B53" s="4" t="s">
        <v>710</v>
      </c>
      <c r="C53" s="4" t="s">
        <v>711</v>
      </c>
      <c r="D53" s="4" t="s">
        <v>60</v>
      </c>
      <c r="E53" s="5">
        <v>180121</v>
      </c>
      <c r="F53" s="6">
        <v>1593.4404265000001</v>
      </c>
      <c r="G53" s="7">
        <v>8.0460600000000007E-3</v>
      </c>
      <c r="H53" s="52"/>
    </row>
    <row r="54" spans="1:8" ht="17.100000000000001" customHeight="1" x14ac:dyDescent="0.2">
      <c r="A54" s="3">
        <v>48</v>
      </c>
      <c r="B54" s="4" t="s">
        <v>513</v>
      </c>
      <c r="C54" s="4" t="s">
        <v>514</v>
      </c>
      <c r="D54" s="4" t="s">
        <v>288</v>
      </c>
      <c r="E54" s="5">
        <v>26000</v>
      </c>
      <c r="F54" s="6">
        <v>1592.318</v>
      </c>
      <c r="G54" s="7">
        <v>8.0403999999999996E-3</v>
      </c>
      <c r="H54" s="52"/>
    </row>
    <row r="55" spans="1:8" ht="17.100000000000001" customHeight="1" x14ac:dyDescent="0.2">
      <c r="A55" s="3">
        <v>49</v>
      </c>
      <c r="B55" s="4" t="s">
        <v>335</v>
      </c>
      <c r="C55" s="4" t="s">
        <v>336</v>
      </c>
      <c r="D55" s="4" t="s">
        <v>28</v>
      </c>
      <c r="E55" s="5">
        <v>408000</v>
      </c>
      <c r="F55" s="6">
        <v>1568.1479999999999</v>
      </c>
      <c r="G55" s="7">
        <v>7.9183499999999993E-3</v>
      </c>
      <c r="H55" s="52"/>
    </row>
    <row r="56" spans="1:8" ht="17.100000000000001" customHeight="1" x14ac:dyDescent="0.2">
      <c r="A56" s="3">
        <v>50</v>
      </c>
      <c r="B56" s="4" t="s">
        <v>567</v>
      </c>
      <c r="C56" s="4" t="s">
        <v>568</v>
      </c>
      <c r="D56" s="4" t="s">
        <v>60</v>
      </c>
      <c r="E56" s="5">
        <v>51000</v>
      </c>
      <c r="F56" s="6">
        <v>1527.807</v>
      </c>
      <c r="G56" s="7">
        <v>7.71465E-3</v>
      </c>
      <c r="H56" s="52"/>
    </row>
    <row r="57" spans="1:8" ht="17.100000000000001" customHeight="1" x14ac:dyDescent="0.2">
      <c r="A57" s="3">
        <v>51</v>
      </c>
      <c r="B57" s="4" t="s">
        <v>571</v>
      </c>
      <c r="C57" s="4" t="s">
        <v>572</v>
      </c>
      <c r="D57" s="4" t="s">
        <v>888</v>
      </c>
      <c r="E57" s="5">
        <v>129000</v>
      </c>
      <c r="F57" s="6">
        <v>1461.7635</v>
      </c>
      <c r="G57" s="7">
        <v>7.3811600000000003E-3</v>
      </c>
      <c r="H57" s="52"/>
    </row>
    <row r="58" spans="1:8" ht="17.100000000000001" customHeight="1" x14ac:dyDescent="0.2">
      <c r="A58" s="3">
        <v>52</v>
      </c>
      <c r="B58" s="4" t="s">
        <v>370</v>
      </c>
      <c r="C58" s="4" t="s">
        <v>371</v>
      </c>
      <c r="D58" s="4" t="s">
        <v>208</v>
      </c>
      <c r="E58" s="5">
        <v>40000</v>
      </c>
      <c r="F58" s="6">
        <v>1453.36</v>
      </c>
      <c r="G58" s="7">
        <v>7.3387299999999999E-3</v>
      </c>
      <c r="H58" s="52"/>
    </row>
    <row r="59" spans="1:8" ht="17.100000000000001" customHeight="1" x14ac:dyDescent="0.2">
      <c r="A59" s="3">
        <v>53</v>
      </c>
      <c r="B59" s="4" t="s">
        <v>229</v>
      </c>
      <c r="C59" s="4" t="s">
        <v>230</v>
      </c>
      <c r="D59" s="4" t="s">
        <v>231</v>
      </c>
      <c r="E59" s="5">
        <v>285000</v>
      </c>
      <c r="F59" s="6">
        <v>1427.7075</v>
      </c>
      <c r="G59" s="7">
        <v>7.2091999999999998E-3</v>
      </c>
      <c r="H59" s="52"/>
    </row>
    <row r="60" spans="1:8" ht="17.100000000000001" customHeight="1" x14ac:dyDescent="0.2">
      <c r="A60" s="3">
        <v>54</v>
      </c>
      <c r="B60" s="4" t="s">
        <v>372</v>
      </c>
      <c r="C60" s="4" t="s">
        <v>373</v>
      </c>
      <c r="D60" s="4" t="s">
        <v>52</v>
      </c>
      <c r="E60" s="5">
        <v>104000</v>
      </c>
      <c r="F60" s="6">
        <v>1375.348</v>
      </c>
      <c r="G60" s="7">
        <v>6.94481E-3</v>
      </c>
      <c r="H60" s="52"/>
    </row>
    <row r="61" spans="1:8" ht="17.100000000000001" customHeight="1" x14ac:dyDescent="0.2">
      <c r="A61" s="3">
        <v>55</v>
      </c>
      <c r="B61" s="4" t="s">
        <v>421</v>
      </c>
      <c r="C61" s="4" t="s">
        <v>422</v>
      </c>
      <c r="D61" s="4" t="s">
        <v>60</v>
      </c>
      <c r="E61" s="5">
        <v>119455</v>
      </c>
      <c r="F61" s="6">
        <v>1296.56457</v>
      </c>
      <c r="G61" s="7">
        <v>6.5469899999999999E-3</v>
      </c>
      <c r="H61" s="52"/>
    </row>
    <row r="62" spans="1:8" ht="17.100000000000001" customHeight="1" x14ac:dyDescent="0.2">
      <c r="A62" s="3">
        <v>56</v>
      </c>
      <c r="B62" s="4" t="s">
        <v>368</v>
      </c>
      <c r="C62" s="4" t="s">
        <v>369</v>
      </c>
      <c r="D62" s="4" t="s">
        <v>231</v>
      </c>
      <c r="E62" s="5">
        <v>336000</v>
      </c>
      <c r="F62" s="6">
        <v>1288.2239999999999</v>
      </c>
      <c r="G62" s="7">
        <v>6.5048800000000002E-3</v>
      </c>
      <c r="H62" s="52"/>
    </row>
    <row r="63" spans="1:8" ht="17.100000000000001" customHeight="1" x14ac:dyDescent="0.2">
      <c r="A63" s="3">
        <v>57</v>
      </c>
      <c r="B63" s="4" t="s">
        <v>392</v>
      </c>
      <c r="C63" s="4" t="s">
        <v>393</v>
      </c>
      <c r="D63" s="4" t="s">
        <v>70</v>
      </c>
      <c r="E63" s="5">
        <v>548000</v>
      </c>
      <c r="F63" s="6">
        <v>1200.1199999999999</v>
      </c>
      <c r="G63" s="7">
        <v>6.0600000000000003E-3</v>
      </c>
      <c r="H63" s="52"/>
    </row>
    <row r="64" spans="1:8" ht="17.100000000000001" customHeight="1" x14ac:dyDescent="0.2">
      <c r="A64" s="3">
        <v>58</v>
      </c>
      <c r="B64" s="4" t="s">
        <v>524</v>
      </c>
      <c r="C64" s="4" t="s">
        <v>525</v>
      </c>
      <c r="D64" s="4" t="s">
        <v>357</v>
      </c>
      <c r="E64" s="5">
        <v>185000</v>
      </c>
      <c r="F64" s="6">
        <v>1182.335</v>
      </c>
      <c r="G64" s="7">
        <v>5.9701900000000002E-3</v>
      </c>
      <c r="H64" s="52"/>
    </row>
    <row r="65" spans="1:8" ht="17.100000000000001" customHeight="1" x14ac:dyDescent="0.2">
      <c r="A65" s="3">
        <v>59</v>
      </c>
      <c r="B65" s="4" t="s">
        <v>37</v>
      </c>
      <c r="C65" s="4" t="s">
        <v>38</v>
      </c>
      <c r="D65" s="4" t="s">
        <v>22</v>
      </c>
      <c r="E65" s="5">
        <v>560000</v>
      </c>
      <c r="F65" s="6">
        <v>1132.04</v>
      </c>
      <c r="G65" s="7">
        <v>5.7162300000000001E-3</v>
      </c>
      <c r="H65" s="52"/>
    </row>
    <row r="66" spans="1:8" ht="17.100000000000001" customHeight="1" x14ac:dyDescent="0.2">
      <c r="A66" s="3">
        <v>60</v>
      </c>
      <c r="B66" s="4" t="s">
        <v>347</v>
      </c>
      <c r="C66" s="4" t="s">
        <v>348</v>
      </c>
      <c r="D66" s="4" t="s">
        <v>888</v>
      </c>
      <c r="E66" s="5">
        <v>50000</v>
      </c>
      <c r="F66" s="6">
        <v>1061.7</v>
      </c>
      <c r="G66" s="7">
        <v>5.36105E-3</v>
      </c>
      <c r="H66" s="52"/>
    </row>
    <row r="67" spans="1:8" ht="17.100000000000001" customHeight="1" x14ac:dyDescent="0.2">
      <c r="A67" s="3">
        <v>61</v>
      </c>
      <c r="B67" s="4" t="s">
        <v>257</v>
      </c>
      <c r="C67" s="4" t="s">
        <v>258</v>
      </c>
      <c r="D67" s="4" t="s">
        <v>259</v>
      </c>
      <c r="E67" s="5">
        <v>400000</v>
      </c>
      <c r="F67" s="6">
        <v>1036.8</v>
      </c>
      <c r="G67" s="7">
        <v>5.23531E-3</v>
      </c>
      <c r="H67" s="52"/>
    </row>
    <row r="68" spans="1:8" ht="17.100000000000001" customHeight="1" x14ac:dyDescent="0.2">
      <c r="A68" s="3">
        <v>62</v>
      </c>
      <c r="B68" s="4" t="s">
        <v>299</v>
      </c>
      <c r="C68" s="4" t="s">
        <v>300</v>
      </c>
      <c r="D68" s="4" t="s">
        <v>208</v>
      </c>
      <c r="E68" s="5">
        <v>713000</v>
      </c>
      <c r="F68" s="6">
        <v>993.56550000000004</v>
      </c>
      <c r="G68" s="7">
        <v>5.0169999999999998E-3</v>
      </c>
      <c r="H68" s="52"/>
    </row>
    <row r="69" spans="1:8" ht="17.100000000000001" customHeight="1" x14ac:dyDescent="0.2">
      <c r="A69" s="3">
        <v>63</v>
      </c>
      <c r="B69" s="4" t="s">
        <v>842</v>
      </c>
      <c r="C69" s="4" t="s">
        <v>843</v>
      </c>
      <c r="D69" s="4" t="s">
        <v>208</v>
      </c>
      <c r="E69" s="5">
        <v>410000</v>
      </c>
      <c r="F69" s="6">
        <v>880.47500000000002</v>
      </c>
      <c r="G69" s="7">
        <v>4.4459499999999997E-3</v>
      </c>
      <c r="H69" s="52"/>
    </row>
    <row r="70" spans="1:8" ht="17.100000000000001" customHeight="1" x14ac:dyDescent="0.2">
      <c r="A70" s="3">
        <v>64</v>
      </c>
      <c r="B70" s="4" t="s">
        <v>470</v>
      </c>
      <c r="C70" s="4" t="s">
        <v>471</v>
      </c>
      <c r="D70" s="4" t="s">
        <v>28</v>
      </c>
      <c r="E70" s="5">
        <v>50000</v>
      </c>
      <c r="F70" s="6">
        <v>869.7</v>
      </c>
      <c r="G70" s="7">
        <v>4.3915400000000002E-3</v>
      </c>
      <c r="H70" s="52"/>
    </row>
    <row r="71" spans="1:8" ht="17.100000000000001" customHeight="1" x14ac:dyDescent="0.2">
      <c r="A71" s="3">
        <v>65</v>
      </c>
      <c r="B71" s="4" t="s">
        <v>417</v>
      </c>
      <c r="C71" s="4" t="s">
        <v>418</v>
      </c>
      <c r="D71" s="4" t="s">
        <v>231</v>
      </c>
      <c r="E71" s="5">
        <v>66000</v>
      </c>
      <c r="F71" s="6">
        <v>854.99699999999996</v>
      </c>
      <c r="G71" s="7">
        <v>4.3172999999999996E-3</v>
      </c>
      <c r="H71" s="52"/>
    </row>
    <row r="72" spans="1:8" ht="14.1" customHeight="1" x14ac:dyDescent="0.2">
      <c r="A72" s="1"/>
      <c r="B72" s="1"/>
      <c r="C72" s="2" t="s">
        <v>145</v>
      </c>
      <c r="D72" s="1"/>
      <c r="E72" s="1" t="s">
        <v>146</v>
      </c>
      <c r="F72" s="9">
        <v>196900.16918900001</v>
      </c>
      <c r="G72" s="10">
        <v>0.99424570000000001</v>
      </c>
      <c r="H72" s="52"/>
    </row>
    <row r="73" spans="1:8" ht="14.1" customHeight="1" x14ac:dyDescent="0.2">
      <c r="A73" s="1"/>
      <c r="B73" s="1"/>
      <c r="C73" s="11"/>
      <c r="D73" s="1"/>
      <c r="E73" s="1"/>
      <c r="F73" s="12"/>
      <c r="G73" s="12"/>
      <c r="H73" s="52"/>
    </row>
    <row r="74" spans="1:8" ht="14.1" customHeight="1" x14ac:dyDescent="0.2">
      <c r="A74" s="1"/>
      <c r="B74" s="1"/>
      <c r="C74" s="2" t="s">
        <v>147</v>
      </c>
      <c r="D74" s="1"/>
      <c r="E74" s="1"/>
      <c r="F74" s="1"/>
      <c r="G74" s="1"/>
      <c r="H74" s="52"/>
    </row>
    <row r="75" spans="1:8" ht="14.1" customHeight="1" x14ac:dyDescent="0.2">
      <c r="A75" s="1"/>
      <c r="B75" s="1"/>
      <c r="C75" s="2" t="s">
        <v>145</v>
      </c>
      <c r="D75" s="1"/>
      <c r="E75" s="1" t="s">
        <v>146</v>
      </c>
      <c r="F75" s="13" t="s">
        <v>148</v>
      </c>
      <c r="G75" s="10">
        <v>0</v>
      </c>
      <c r="H75" s="52"/>
    </row>
    <row r="76" spans="1:8" ht="14.1" customHeight="1" x14ac:dyDescent="0.2">
      <c r="A76" s="1"/>
      <c r="B76" s="1"/>
      <c r="C76" s="11"/>
      <c r="D76" s="1"/>
      <c r="E76" s="1"/>
      <c r="F76" s="12"/>
      <c r="G76" s="12"/>
      <c r="H76" s="52"/>
    </row>
    <row r="77" spans="1:8" ht="14.1" customHeight="1" x14ac:dyDescent="0.2">
      <c r="A77" s="1"/>
      <c r="B77" s="1"/>
      <c r="C77" s="2" t="s">
        <v>149</v>
      </c>
      <c r="D77" s="1"/>
      <c r="E77" s="1"/>
      <c r="F77" s="1"/>
      <c r="G77" s="1"/>
      <c r="H77" s="52"/>
    </row>
    <row r="78" spans="1:8" ht="14.1" customHeight="1" x14ac:dyDescent="0.2">
      <c r="A78" s="1"/>
      <c r="B78" s="1"/>
      <c r="C78" s="2" t="s">
        <v>145</v>
      </c>
      <c r="D78" s="1"/>
      <c r="E78" s="1" t="s">
        <v>146</v>
      </c>
      <c r="F78" s="13" t="s">
        <v>148</v>
      </c>
      <c r="G78" s="10">
        <v>0</v>
      </c>
      <c r="H78" s="52"/>
    </row>
    <row r="79" spans="1:8" ht="14.1" customHeight="1" x14ac:dyDescent="0.2">
      <c r="A79" s="1"/>
      <c r="B79" s="1"/>
      <c r="C79" s="11"/>
      <c r="D79" s="1"/>
      <c r="E79" s="1"/>
      <c r="F79" s="12"/>
      <c r="G79" s="12"/>
      <c r="H79" s="52"/>
    </row>
    <row r="80" spans="1:8" ht="14.1" customHeight="1" x14ac:dyDescent="0.2">
      <c r="A80" s="1"/>
      <c r="B80" s="1"/>
      <c r="C80" s="2" t="s">
        <v>150</v>
      </c>
      <c r="D80" s="1"/>
      <c r="E80" s="1"/>
      <c r="F80" s="1"/>
      <c r="G80" s="1"/>
      <c r="H80" s="52"/>
    </row>
    <row r="81" spans="1:8" ht="14.1" customHeight="1" x14ac:dyDescent="0.2">
      <c r="A81" s="1"/>
      <c r="B81" s="1"/>
      <c r="C81" s="2" t="s">
        <v>145</v>
      </c>
      <c r="D81" s="1"/>
      <c r="E81" s="1" t="s">
        <v>146</v>
      </c>
      <c r="F81" s="13" t="s">
        <v>148</v>
      </c>
      <c r="G81" s="10">
        <v>0</v>
      </c>
      <c r="H81" s="52"/>
    </row>
    <row r="82" spans="1:8" ht="14.1" customHeight="1" x14ac:dyDescent="0.2">
      <c r="A82" s="1"/>
      <c r="B82" s="1"/>
      <c r="C82" s="11"/>
      <c r="D82" s="1"/>
      <c r="E82" s="1"/>
      <c r="F82" s="12"/>
      <c r="G82" s="12"/>
      <c r="H82" s="52"/>
    </row>
    <row r="83" spans="1:8" ht="14.1" customHeight="1" x14ac:dyDescent="0.2">
      <c r="A83" s="1"/>
      <c r="B83" s="1"/>
      <c r="C83" s="2" t="s">
        <v>151</v>
      </c>
      <c r="D83" s="1"/>
      <c r="E83" s="1"/>
      <c r="F83" s="12"/>
      <c r="G83" s="12"/>
      <c r="H83" s="52"/>
    </row>
    <row r="84" spans="1:8" ht="14.1" customHeight="1" x14ac:dyDescent="0.2">
      <c r="A84" s="1"/>
      <c r="B84" s="1"/>
      <c r="C84" s="2" t="s">
        <v>145</v>
      </c>
      <c r="D84" s="1"/>
      <c r="E84" s="1" t="s">
        <v>146</v>
      </c>
      <c r="F84" s="13" t="s">
        <v>148</v>
      </c>
      <c r="G84" s="10">
        <v>0</v>
      </c>
      <c r="H84" s="52"/>
    </row>
    <row r="85" spans="1:8" ht="14.1" customHeight="1" x14ac:dyDescent="0.2">
      <c r="A85" s="1"/>
      <c r="B85" s="1"/>
      <c r="C85" s="11"/>
      <c r="D85" s="1"/>
      <c r="E85" s="1"/>
      <c r="F85" s="12"/>
      <c r="G85" s="12"/>
      <c r="H85" s="52"/>
    </row>
    <row r="86" spans="1:8" ht="14.1" customHeight="1" x14ac:dyDescent="0.2">
      <c r="A86" s="1"/>
      <c r="B86" s="1"/>
      <c r="C86" s="2" t="s">
        <v>152</v>
      </c>
      <c r="D86" s="1"/>
      <c r="E86" s="1"/>
      <c r="F86" s="12"/>
      <c r="G86" s="12"/>
      <c r="H86" s="52"/>
    </row>
    <row r="87" spans="1:8" ht="14.1" customHeight="1" x14ac:dyDescent="0.2">
      <c r="A87" s="1"/>
      <c r="B87" s="1"/>
      <c r="C87" s="2" t="s">
        <v>145</v>
      </c>
      <c r="D87" s="1"/>
      <c r="E87" s="1" t="s">
        <v>146</v>
      </c>
      <c r="F87" s="13" t="s">
        <v>148</v>
      </c>
      <c r="G87" s="10">
        <v>0</v>
      </c>
      <c r="H87" s="52"/>
    </row>
    <row r="88" spans="1:8" ht="14.1" customHeight="1" x14ac:dyDescent="0.2">
      <c r="A88" s="1"/>
      <c r="B88" s="1"/>
      <c r="C88" s="11"/>
      <c r="D88" s="1"/>
      <c r="E88" s="1"/>
      <c r="F88" s="12"/>
      <c r="G88" s="12"/>
      <c r="H88" s="52"/>
    </row>
    <row r="89" spans="1:8" ht="18" customHeight="1" x14ac:dyDescent="0.2">
      <c r="A89" s="1"/>
      <c r="B89" s="1"/>
      <c r="C89" s="2" t="s">
        <v>153</v>
      </c>
      <c r="D89" s="1"/>
      <c r="E89" s="1"/>
      <c r="F89" s="9">
        <v>196900.16918900001</v>
      </c>
      <c r="G89" s="10">
        <v>0.99424570000000001</v>
      </c>
      <c r="H89" s="52"/>
    </row>
    <row r="90" spans="1:8" ht="14.1" customHeight="1" x14ac:dyDescent="0.2">
      <c r="A90" s="1"/>
      <c r="B90" s="1"/>
      <c r="C90" s="11"/>
      <c r="D90" s="1"/>
      <c r="E90" s="1"/>
      <c r="F90" s="12"/>
      <c r="G90" s="12"/>
      <c r="H90" s="52"/>
    </row>
    <row r="91" spans="1:8" ht="14.1" customHeight="1" x14ac:dyDescent="0.2">
      <c r="A91" s="1"/>
      <c r="B91" s="1"/>
      <c r="C91" s="2" t="s">
        <v>154</v>
      </c>
      <c r="D91" s="1"/>
      <c r="E91" s="1"/>
      <c r="F91" s="12"/>
      <c r="G91" s="12"/>
      <c r="H91" s="52"/>
    </row>
    <row r="92" spans="1:8" ht="24" customHeight="1" x14ac:dyDescent="0.2">
      <c r="A92" s="1"/>
      <c r="B92" s="1"/>
      <c r="C92" s="2" t="s">
        <v>10</v>
      </c>
      <c r="D92" s="1"/>
      <c r="E92" s="1"/>
      <c r="F92" s="12"/>
      <c r="G92" s="12"/>
      <c r="H92" s="52"/>
    </row>
    <row r="93" spans="1:8" ht="14.1" customHeight="1" x14ac:dyDescent="0.2">
      <c r="A93" s="1"/>
      <c r="B93" s="1"/>
      <c r="C93" s="2" t="s">
        <v>145</v>
      </c>
      <c r="D93" s="1"/>
      <c r="E93" s="1" t="s">
        <v>146</v>
      </c>
      <c r="F93" s="13" t="s">
        <v>148</v>
      </c>
      <c r="G93" s="10">
        <v>0</v>
      </c>
      <c r="H93" s="52"/>
    </row>
    <row r="94" spans="1:8" ht="14.1" customHeight="1" x14ac:dyDescent="0.2">
      <c r="A94" s="1"/>
      <c r="B94" s="1"/>
      <c r="C94" s="11"/>
      <c r="D94" s="1"/>
      <c r="E94" s="1"/>
      <c r="F94" s="12"/>
      <c r="G94" s="12"/>
      <c r="H94" s="52"/>
    </row>
    <row r="95" spans="1:8" ht="14.1" customHeight="1" x14ac:dyDescent="0.2">
      <c r="A95" s="1"/>
      <c r="B95" s="1"/>
      <c r="C95" s="2" t="s">
        <v>155</v>
      </c>
      <c r="D95" s="1"/>
      <c r="E95" s="1"/>
      <c r="F95" s="1"/>
      <c r="G95" s="1"/>
      <c r="H95" s="52"/>
    </row>
    <row r="96" spans="1:8" ht="14.1" customHeight="1" x14ac:dyDescent="0.2">
      <c r="A96" s="1"/>
      <c r="B96" s="1"/>
      <c r="C96" s="2" t="s">
        <v>145</v>
      </c>
      <c r="D96" s="1"/>
      <c r="E96" s="1" t="s">
        <v>146</v>
      </c>
      <c r="F96" s="13" t="s">
        <v>148</v>
      </c>
      <c r="G96" s="10">
        <v>0</v>
      </c>
      <c r="H96" s="52"/>
    </row>
    <row r="97" spans="1:8" ht="14.1" customHeight="1" x14ac:dyDescent="0.2">
      <c r="A97" s="1"/>
      <c r="B97" s="1"/>
      <c r="C97" s="11"/>
      <c r="D97" s="1"/>
      <c r="E97" s="1"/>
      <c r="F97" s="12"/>
      <c r="G97" s="12"/>
      <c r="H97" s="52"/>
    </row>
    <row r="98" spans="1:8" ht="14.1" customHeight="1" x14ac:dyDescent="0.2">
      <c r="A98" s="1"/>
      <c r="B98" s="1"/>
      <c r="C98" s="2" t="s">
        <v>156</v>
      </c>
      <c r="D98" s="1"/>
      <c r="E98" s="1"/>
      <c r="F98" s="1"/>
      <c r="G98" s="1"/>
      <c r="H98" s="52"/>
    </row>
    <row r="99" spans="1:8" ht="14.1" customHeight="1" x14ac:dyDescent="0.2">
      <c r="A99" s="1"/>
      <c r="B99" s="1"/>
      <c r="C99" s="2" t="s">
        <v>145</v>
      </c>
      <c r="D99" s="1"/>
      <c r="E99" s="1" t="s">
        <v>146</v>
      </c>
      <c r="F99" s="13" t="s">
        <v>148</v>
      </c>
      <c r="G99" s="10">
        <v>0</v>
      </c>
      <c r="H99" s="52"/>
    </row>
    <row r="100" spans="1:8" ht="14.1" customHeight="1" x14ac:dyDescent="0.2">
      <c r="A100" s="1"/>
      <c r="B100" s="1"/>
      <c r="C100" s="11"/>
      <c r="D100" s="1"/>
      <c r="E100" s="1"/>
      <c r="F100" s="12"/>
      <c r="G100" s="12"/>
      <c r="H100" s="52"/>
    </row>
    <row r="101" spans="1:8" ht="14.1" customHeight="1" x14ac:dyDescent="0.2">
      <c r="A101" s="1"/>
      <c r="B101" s="1"/>
      <c r="C101" s="2" t="s">
        <v>157</v>
      </c>
      <c r="D101" s="1"/>
      <c r="E101" s="1"/>
      <c r="F101" s="12"/>
      <c r="G101" s="12"/>
      <c r="H101" s="52"/>
    </row>
    <row r="102" spans="1:8" ht="14.1" customHeight="1" x14ac:dyDescent="0.2">
      <c r="A102" s="1"/>
      <c r="B102" s="1"/>
      <c r="C102" s="2" t="s">
        <v>145</v>
      </c>
      <c r="D102" s="1"/>
      <c r="E102" s="1" t="s">
        <v>146</v>
      </c>
      <c r="F102" s="13" t="s">
        <v>148</v>
      </c>
      <c r="G102" s="10">
        <v>0</v>
      </c>
      <c r="H102" s="52"/>
    </row>
    <row r="103" spans="1:8" ht="14.1" customHeight="1" x14ac:dyDescent="0.2">
      <c r="A103" s="1"/>
      <c r="B103" s="1"/>
      <c r="C103" s="11"/>
      <c r="D103" s="1"/>
      <c r="E103" s="1"/>
      <c r="F103" s="12"/>
      <c r="G103" s="12"/>
      <c r="H103" s="52"/>
    </row>
    <row r="104" spans="1:8" ht="14.1" customHeight="1" x14ac:dyDescent="0.2">
      <c r="A104" s="1"/>
      <c r="B104" s="1"/>
      <c r="C104" s="2" t="s">
        <v>158</v>
      </c>
      <c r="D104" s="1"/>
      <c r="E104" s="1"/>
      <c r="F104" s="9">
        <v>0</v>
      </c>
      <c r="G104" s="10">
        <v>0</v>
      </c>
      <c r="H104" s="52"/>
    </row>
    <row r="105" spans="1:8" ht="14.1" customHeight="1" x14ac:dyDescent="0.2">
      <c r="A105" s="1"/>
      <c r="B105" s="1"/>
      <c r="C105" s="11"/>
      <c r="D105" s="1"/>
      <c r="E105" s="1"/>
      <c r="F105" s="12"/>
      <c r="G105" s="12"/>
      <c r="H105" s="52"/>
    </row>
    <row r="106" spans="1:8" ht="14.1" customHeight="1" x14ac:dyDescent="0.2">
      <c r="A106" s="1"/>
      <c r="B106" s="1"/>
      <c r="C106" s="2" t="s">
        <v>159</v>
      </c>
      <c r="D106" s="1"/>
      <c r="E106" s="1"/>
      <c r="F106" s="12"/>
      <c r="G106" s="12"/>
      <c r="H106" s="52"/>
    </row>
    <row r="107" spans="1:8" ht="14.1" customHeight="1" x14ac:dyDescent="0.2">
      <c r="A107" s="1"/>
      <c r="B107" s="1"/>
      <c r="C107" s="2" t="s">
        <v>160</v>
      </c>
      <c r="D107" s="1"/>
      <c r="E107" s="1"/>
      <c r="F107" s="12"/>
      <c r="G107" s="12"/>
      <c r="H107" s="52"/>
    </row>
    <row r="108" spans="1:8" ht="14.1" customHeight="1" x14ac:dyDescent="0.2">
      <c r="A108" s="1"/>
      <c r="B108" s="1"/>
      <c r="C108" s="2" t="s">
        <v>145</v>
      </c>
      <c r="D108" s="1"/>
      <c r="E108" s="1" t="s">
        <v>146</v>
      </c>
      <c r="F108" s="13" t="s">
        <v>148</v>
      </c>
      <c r="G108" s="10">
        <v>0</v>
      </c>
      <c r="H108" s="52"/>
    </row>
    <row r="109" spans="1:8" ht="14.1" customHeight="1" x14ac:dyDescent="0.2">
      <c r="A109" s="1"/>
      <c r="B109" s="1"/>
      <c r="C109" s="11"/>
      <c r="D109" s="1"/>
      <c r="E109" s="1"/>
      <c r="F109" s="12"/>
      <c r="G109" s="12"/>
      <c r="H109" s="52"/>
    </row>
    <row r="110" spans="1:8" ht="14.1" customHeight="1" x14ac:dyDescent="0.2">
      <c r="A110" s="1"/>
      <c r="B110" s="1"/>
      <c r="C110" s="2" t="s">
        <v>161</v>
      </c>
      <c r="D110" s="1"/>
      <c r="E110" s="1"/>
      <c r="F110" s="12"/>
      <c r="G110" s="12"/>
      <c r="H110" s="52"/>
    </row>
    <row r="111" spans="1:8" ht="14.1" customHeight="1" x14ac:dyDescent="0.2">
      <c r="A111" s="1"/>
      <c r="B111" s="1"/>
      <c r="C111" s="2" t="s">
        <v>145</v>
      </c>
      <c r="D111" s="1"/>
      <c r="E111" s="1" t="s">
        <v>146</v>
      </c>
      <c r="F111" s="13" t="s">
        <v>148</v>
      </c>
      <c r="G111" s="10">
        <v>0</v>
      </c>
      <c r="H111" s="52"/>
    </row>
    <row r="112" spans="1:8" ht="14.1" customHeight="1" x14ac:dyDescent="0.2">
      <c r="A112" s="1"/>
      <c r="B112" s="1"/>
      <c r="C112" s="11"/>
      <c r="D112" s="1"/>
      <c r="E112" s="1"/>
      <c r="F112" s="12"/>
      <c r="G112" s="12"/>
      <c r="H112" s="52"/>
    </row>
    <row r="113" spans="1:8" ht="14.1" customHeight="1" x14ac:dyDescent="0.2">
      <c r="A113" s="1"/>
      <c r="B113" s="1"/>
      <c r="C113" s="2" t="s">
        <v>162</v>
      </c>
      <c r="D113" s="1"/>
      <c r="E113" s="1"/>
      <c r="F113" s="12"/>
      <c r="G113" s="12"/>
      <c r="H113" s="52"/>
    </row>
    <row r="114" spans="1:8" ht="14.1" customHeight="1" x14ac:dyDescent="0.2">
      <c r="A114" s="1"/>
      <c r="B114" s="1"/>
      <c r="C114" s="2" t="s">
        <v>145</v>
      </c>
      <c r="D114" s="1"/>
      <c r="E114" s="1" t="s">
        <v>146</v>
      </c>
      <c r="F114" s="13" t="s">
        <v>148</v>
      </c>
      <c r="G114" s="10">
        <v>0</v>
      </c>
      <c r="H114" s="52"/>
    </row>
    <row r="115" spans="1:8" ht="14.1" customHeight="1" x14ac:dyDescent="0.2">
      <c r="A115" s="1"/>
      <c r="B115" s="1"/>
      <c r="C115" s="11"/>
      <c r="D115" s="1"/>
      <c r="E115" s="1"/>
      <c r="F115" s="12"/>
      <c r="G115" s="12"/>
      <c r="H115" s="52"/>
    </row>
    <row r="116" spans="1:8" ht="14.1" customHeight="1" x14ac:dyDescent="0.2">
      <c r="A116" s="1"/>
      <c r="B116" s="1"/>
      <c r="C116" s="2" t="s">
        <v>163</v>
      </c>
      <c r="D116" s="1"/>
      <c r="E116" s="1"/>
      <c r="F116" s="12"/>
      <c r="G116" s="12"/>
      <c r="H116" s="52"/>
    </row>
    <row r="117" spans="1:8" ht="17.100000000000001" customHeight="1" x14ac:dyDescent="0.2">
      <c r="A117" s="3">
        <v>1</v>
      </c>
      <c r="B117" s="4"/>
      <c r="C117" s="4" t="s">
        <v>164</v>
      </c>
      <c r="D117" s="4"/>
      <c r="E117" s="8"/>
      <c r="F117" s="6">
        <v>1485.807379006</v>
      </c>
      <c r="G117" s="7">
        <v>7.5025700000000001E-3</v>
      </c>
      <c r="H117" s="52">
        <v>6.7567375937238596</v>
      </c>
    </row>
    <row r="118" spans="1:8" ht="14.1" customHeight="1" x14ac:dyDescent="0.2">
      <c r="A118" s="1"/>
      <c r="B118" s="1"/>
      <c r="C118" s="2" t="s">
        <v>145</v>
      </c>
      <c r="D118" s="1"/>
      <c r="E118" s="1" t="s">
        <v>146</v>
      </c>
      <c r="F118" s="9">
        <v>1485.807379006</v>
      </c>
      <c r="G118" s="10">
        <v>7.5025700000000001E-3</v>
      </c>
      <c r="H118" s="52"/>
    </row>
    <row r="119" spans="1:8" ht="14.1" customHeight="1" x14ac:dyDescent="0.2">
      <c r="A119" s="1"/>
      <c r="B119" s="1"/>
      <c r="C119" s="11"/>
      <c r="D119" s="1"/>
      <c r="E119" s="1"/>
      <c r="F119" s="12"/>
      <c r="G119" s="12"/>
      <c r="H119" s="52"/>
    </row>
    <row r="120" spans="1:8" ht="14.1" customHeight="1" x14ac:dyDescent="0.2">
      <c r="A120" s="1"/>
      <c r="B120" s="1"/>
      <c r="C120" s="2" t="s">
        <v>165</v>
      </c>
      <c r="D120" s="1"/>
      <c r="E120" s="1"/>
      <c r="F120" s="9">
        <v>1485.807379006</v>
      </c>
      <c r="G120" s="10">
        <v>7.5025700000000001E-3</v>
      </c>
      <c r="H120" s="52"/>
    </row>
    <row r="121" spans="1:8" ht="14.1" customHeight="1" x14ac:dyDescent="0.2">
      <c r="A121" s="1"/>
      <c r="B121" s="1"/>
      <c r="C121" s="12"/>
      <c r="D121" s="1"/>
      <c r="E121" s="1"/>
      <c r="F121" s="1"/>
      <c r="G121" s="1"/>
      <c r="H121" s="52"/>
    </row>
    <row r="122" spans="1:8" ht="14.1" customHeight="1" x14ac:dyDescent="0.2">
      <c r="A122" s="1"/>
      <c r="B122" s="1"/>
      <c r="C122" s="2" t="s">
        <v>166</v>
      </c>
      <c r="D122" s="1"/>
      <c r="E122" s="1"/>
      <c r="F122" s="1"/>
      <c r="G122" s="1"/>
      <c r="H122" s="52"/>
    </row>
    <row r="123" spans="1:8" ht="14.1" customHeight="1" x14ac:dyDescent="0.2">
      <c r="A123" s="1"/>
      <c r="B123" s="1"/>
      <c r="C123" s="2" t="s">
        <v>167</v>
      </c>
      <c r="D123" s="1"/>
      <c r="E123" s="1"/>
      <c r="F123" s="1"/>
      <c r="G123" s="1"/>
      <c r="H123" s="52"/>
    </row>
    <row r="124" spans="1:8" ht="14.1" customHeight="1" x14ac:dyDescent="0.2">
      <c r="A124" s="1"/>
      <c r="B124" s="1"/>
      <c r="C124" s="2" t="s">
        <v>145</v>
      </c>
      <c r="D124" s="1"/>
      <c r="E124" s="1" t="s">
        <v>146</v>
      </c>
      <c r="F124" s="13" t="s">
        <v>148</v>
      </c>
      <c r="G124" s="10">
        <v>0</v>
      </c>
      <c r="H124" s="52"/>
    </row>
    <row r="125" spans="1:8" ht="14.1" customHeight="1" x14ac:dyDescent="0.2">
      <c r="A125" s="1"/>
      <c r="B125" s="1"/>
      <c r="C125" s="11"/>
      <c r="D125" s="1"/>
      <c r="E125" s="1"/>
      <c r="F125" s="12"/>
      <c r="G125" s="12"/>
      <c r="H125" s="52"/>
    </row>
    <row r="126" spans="1:8" ht="14.1" customHeight="1" x14ac:dyDescent="0.2">
      <c r="A126" s="1"/>
      <c r="B126" s="1"/>
      <c r="C126" s="2" t="s">
        <v>168</v>
      </c>
      <c r="D126" s="1"/>
      <c r="E126" s="1"/>
      <c r="F126" s="1"/>
      <c r="G126" s="1"/>
      <c r="H126" s="52"/>
    </row>
    <row r="127" spans="1:8" ht="14.1" customHeight="1" x14ac:dyDescent="0.2">
      <c r="A127" s="1"/>
      <c r="B127" s="1"/>
      <c r="C127" s="2" t="s">
        <v>169</v>
      </c>
      <c r="D127" s="1"/>
      <c r="E127" s="1"/>
      <c r="F127" s="1"/>
      <c r="G127" s="1"/>
      <c r="H127" s="52"/>
    </row>
    <row r="128" spans="1:8" ht="14.1" customHeight="1" x14ac:dyDescent="0.2">
      <c r="A128" s="1"/>
      <c r="B128" s="1"/>
      <c r="C128" s="2" t="s">
        <v>145</v>
      </c>
      <c r="D128" s="1"/>
      <c r="E128" s="1" t="s">
        <v>146</v>
      </c>
      <c r="F128" s="13" t="s">
        <v>148</v>
      </c>
      <c r="G128" s="10">
        <v>0</v>
      </c>
      <c r="H128" s="52"/>
    </row>
    <row r="129" spans="1:8" ht="14.1" customHeight="1" x14ac:dyDescent="0.2">
      <c r="A129" s="1"/>
      <c r="B129" s="1"/>
      <c r="C129" s="11"/>
      <c r="D129" s="1"/>
      <c r="E129" s="1"/>
      <c r="F129" s="12"/>
      <c r="G129" s="12"/>
      <c r="H129" s="52"/>
    </row>
    <row r="130" spans="1:8" ht="24" customHeight="1" x14ac:dyDescent="0.2">
      <c r="A130" s="1"/>
      <c r="B130" s="1"/>
      <c r="C130" s="2" t="s">
        <v>170</v>
      </c>
      <c r="D130" s="1"/>
      <c r="E130" s="1"/>
      <c r="F130" s="12"/>
      <c r="G130" s="12"/>
      <c r="H130" s="52"/>
    </row>
    <row r="131" spans="1:8" ht="14.1" customHeight="1" x14ac:dyDescent="0.2">
      <c r="A131" s="1"/>
      <c r="B131" s="1"/>
      <c r="C131" s="2" t="s">
        <v>145</v>
      </c>
      <c r="D131" s="1"/>
      <c r="E131" s="1" t="s">
        <v>146</v>
      </c>
      <c r="F131" s="13" t="s">
        <v>148</v>
      </c>
      <c r="G131" s="10">
        <v>0</v>
      </c>
      <c r="H131" s="52"/>
    </row>
    <row r="132" spans="1:8" ht="14.1" customHeight="1" x14ac:dyDescent="0.2">
      <c r="A132" s="1"/>
      <c r="B132" s="1"/>
      <c r="C132" s="11"/>
      <c r="D132" s="1"/>
      <c r="E132" s="1"/>
      <c r="F132" s="12"/>
      <c r="G132" s="12"/>
      <c r="H132" s="52"/>
    </row>
    <row r="133" spans="1:8" ht="14.1" customHeight="1" x14ac:dyDescent="0.2">
      <c r="A133" s="1"/>
      <c r="B133" s="4"/>
      <c r="C133" s="4"/>
      <c r="D133" s="2"/>
      <c r="E133" s="1"/>
      <c r="F133" s="4"/>
      <c r="G133" s="8"/>
      <c r="H133" s="52"/>
    </row>
    <row r="134" spans="1:8" ht="18" customHeight="1" x14ac:dyDescent="0.2">
      <c r="A134" s="8"/>
      <c r="B134" s="4"/>
      <c r="C134" s="4" t="s">
        <v>171</v>
      </c>
      <c r="D134" s="4"/>
      <c r="E134" s="8"/>
      <c r="F134" s="6">
        <v>-346.22354740999998</v>
      </c>
      <c r="G134" s="7">
        <v>-1.74825E-3</v>
      </c>
      <c r="H134" s="52"/>
    </row>
    <row r="135" spans="1:8" ht="14.1" customHeight="1" x14ac:dyDescent="0.2">
      <c r="A135" s="11"/>
      <c r="B135" s="11"/>
      <c r="C135" s="2" t="s">
        <v>172</v>
      </c>
      <c r="D135" s="12"/>
      <c r="E135" s="12"/>
      <c r="F135" s="9">
        <v>198039.75302059599</v>
      </c>
      <c r="G135" s="14">
        <v>1.0000000200000001</v>
      </c>
      <c r="H135" s="52"/>
    </row>
    <row r="136" spans="1:8" ht="14.1" customHeight="1" x14ac:dyDescent="0.2">
      <c r="A136" s="15"/>
      <c r="B136" s="15"/>
      <c r="C136" s="15"/>
      <c r="D136" s="16"/>
      <c r="E136" s="16"/>
      <c r="F136" s="16"/>
      <c r="G136" s="16"/>
    </row>
    <row r="137" spans="1:8" ht="14.1" customHeight="1" x14ac:dyDescent="0.2">
      <c r="A137" s="17"/>
      <c r="B137" s="17"/>
      <c r="C137" s="17"/>
      <c r="D137" s="19"/>
      <c r="E137" s="19"/>
      <c r="F137" s="19"/>
      <c r="G137" s="19"/>
    </row>
    <row r="138" spans="1:8" ht="14.1" customHeight="1" x14ac:dyDescent="0.2">
      <c r="A138" s="17"/>
      <c r="B138" s="127" t="s">
        <v>174</v>
      </c>
      <c r="C138" s="128"/>
      <c r="D138" s="129"/>
      <c r="E138" s="20"/>
      <c r="F138" s="19"/>
      <c r="G138" s="19"/>
    </row>
    <row r="139" spans="1:8" ht="29.1" customHeight="1" x14ac:dyDescent="0.2">
      <c r="A139" s="17"/>
      <c r="B139" s="121" t="s">
        <v>175</v>
      </c>
      <c r="C139" s="122"/>
      <c r="D139" s="2" t="s">
        <v>176</v>
      </c>
      <c r="E139" s="20"/>
      <c r="F139" s="19"/>
      <c r="G139" s="19"/>
    </row>
    <row r="140" spans="1:8" ht="17.100000000000001" customHeight="1" x14ac:dyDescent="0.2">
      <c r="A140" s="17"/>
      <c r="B140" s="121" t="s">
        <v>177</v>
      </c>
      <c r="C140" s="122"/>
      <c r="D140" s="2" t="s">
        <v>176</v>
      </c>
      <c r="E140" s="20"/>
      <c r="F140" s="19"/>
      <c r="G140" s="19"/>
    </row>
    <row r="141" spans="1:8" ht="17.100000000000001" customHeight="1" x14ac:dyDescent="0.2">
      <c r="A141" s="17"/>
      <c r="B141" s="121" t="s">
        <v>178</v>
      </c>
      <c r="C141" s="122"/>
      <c r="D141" s="12" t="s">
        <v>146</v>
      </c>
      <c r="E141" s="20"/>
      <c r="F141" s="19"/>
      <c r="G141" s="19"/>
    </row>
    <row r="142" spans="1:8" ht="24" customHeight="1" x14ac:dyDescent="0.2">
      <c r="A142" s="21"/>
      <c r="B142" s="22" t="s">
        <v>146</v>
      </c>
      <c r="C142" s="22" t="s">
        <v>179</v>
      </c>
      <c r="D142" s="22" t="s">
        <v>180</v>
      </c>
      <c r="E142" s="21"/>
      <c r="F142" s="21"/>
      <c r="G142" s="21"/>
    </row>
    <row r="143" spans="1:8" ht="18" customHeight="1" x14ac:dyDescent="0.2">
      <c r="A143" s="21"/>
      <c r="B143" s="23" t="s">
        <v>181</v>
      </c>
      <c r="C143" s="22" t="s">
        <v>182</v>
      </c>
      <c r="D143" s="22" t="s">
        <v>183</v>
      </c>
      <c r="E143" s="21"/>
      <c r="F143" s="21"/>
      <c r="G143" s="21"/>
    </row>
    <row r="144" spans="1:8" ht="17.100000000000001" customHeight="1" x14ac:dyDescent="0.2">
      <c r="A144" s="21"/>
      <c r="B144" s="4" t="s">
        <v>184</v>
      </c>
      <c r="C144" s="24">
        <v>11.5801</v>
      </c>
      <c r="D144" s="24">
        <v>11.219900000000001</v>
      </c>
      <c r="E144" s="21"/>
      <c r="F144" s="18"/>
      <c r="G144" s="25"/>
    </row>
    <row r="145" spans="1:7" ht="17.100000000000001" customHeight="1" x14ac:dyDescent="0.2">
      <c r="A145" s="21"/>
      <c r="B145" s="4" t="s">
        <v>1039</v>
      </c>
      <c r="C145" s="24">
        <v>11.58</v>
      </c>
      <c r="D145" s="24">
        <v>11.219799999999999</v>
      </c>
      <c r="E145" s="21"/>
      <c r="F145" s="18"/>
      <c r="G145" s="25"/>
    </row>
    <row r="146" spans="1:7" ht="17.100000000000001" customHeight="1" x14ac:dyDescent="0.2">
      <c r="A146" s="21"/>
      <c r="B146" s="4" t="s">
        <v>185</v>
      </c>
      <c r="C146" s="24">
        <v>11.3611</v>
      </c>
      <c r="D146" s="24">
        <v>10.991400000000001</v>
      </c>
      <c r="E146" s="21"/>
      <c r="F146" s="18"/>
      <c r="G146" s="25"/>
    </row>
    <row r="147" spans="1:7" ht="17.100000000000001" customHeight="1" x14ac:dyDescent="0.2">
      <c r="A147" s="21"/>
      <c r="B147" s="4" t="s">
        <v>1040</v>
      </c>
      <c r="C147" s="24">
        <v>11.361000000000001</v>
      </c>
      <c r="D147" s="24">
        <v>10.991400000000001</v>
      </c>
      <c r="E147" s="21"/>
      <c r="F147" s="18"/>
      <c r="G147" s="25"/>
    </row>
    <row r="148" spans="1:7" ht="14.1" customHeight="1" x14ac:dyDescent="0.2">
      <c r="A148" s="21"/>
      <c r="B148" s="21"/>
      <c r="C148" s="21"/>
      <c r="D148" s="21"/>
      <c r="E148" s="21"/>
      <c r="F148" s="21"/>
      <c r="G148" s="21"/>
    </row>
    <row r="149" spans="1:7" ht="17.100000000000001" customHeight="1" x14ac:dyDescent="0.2">
      <c r="A149" s="21"/>
      <c r="B149" s="121" t="s">
        <v>1041</v>
      </c>
      <c r="C149" s="122"/>
      <c r="D149" s="2" t="s">
        <v>176</v>
      </c>
      <c r="E149" s="21"/>
      <c r="F149" s="21"/>
      <c r="G149" s="21"/>
    </row>
    <row r="150" spans="1:7" ht="18" customHeight="1" x14ac:dyDescent="0.2">
      <c r="A150" s="21"/>
      <c r="B150" s="26"/>
      <c r="C150" s="26"/>
      <c r="D150" s="26"/>
      <c r="E150" s="21"/>
      <c r="F150" s="21"/>
      <c r="G150" s="21"/>
    </row>
    <row r="151" spans="1:7" ht="29.1" customHeight="1" x14ac:dyDescent="0.2">
      <c r="A151" s="21"/>
      <c r="B151" s="121" t="s">
        <v>186</v>
      </c>
      <c r="C151" s="122"/>
      <c r="D151" s="2" t="s">
        <v>176</v>
      </c>
      <c r="E151" s="27"/>
      <c r="F151" s="21"/>
      <c r="G151" s="21"/>
    </row>
    <row r="152" spans="1:7" ht="29.1" customHeight="1" x14ac:dyDescent="0.2">
      <c r="A152" s="21"/>
      <c r="B152" s="121" t="s">
        <v>187</v>
      </c>
      <c r="C152" s="122"/>
      <c r="D152" s="2" t="s">
        <v>176</v>
      </c>
      <c r="E152" s="27"/>
      <c r="F152" s="21"/>
      <c r="G152" s="21"/>
    </row>
    <row r="153" spans="1:7" ht="17.100000000000001" customHeight="1" x14ac:dyDescent="0.2">
      <c r="A153" s="21"/>
      <c r="B153" s="121" t="s">
        <v>188</v>
      </c>
      <c r="C153" s="122"/>
      <c r="D153" s="2" t="s">
        <v>176</v>
      </c>
      <c r="E153" s="27"/>
      <c r="F153" s="21"/>
      <c r="G153" s="21"/>
    </row>
    <row r="154" spans="1:7" ht="17.100000000000001" customHeight="1" x14ac:dyDescent="0.2">
      <c r="A154" s="21"/>
      <c r="B154" s="121" t="s">
        <v>189</v>
      </c>
      <c r="C154" s="122"/>
      <c r="D154" s="50">
        <v>0.36400806661904295</v>
      </c>
      <c r="E154" s="21"/>
      <c r="F154" s="18"/>
      <c r="G154" s="25"/>
    </row>
  </sheetData>
  <mergeCells count="13">
    <mergeCell ref="A1:H1"/>
    <mergeCell ref="A2:H2"/>
    <mergeCell ref="A3:H3"/>
    <mergeCell ref="J2:N2"/>
    <mergeCell ref="B154:C154"/>
    <mergeCell ref="B140:C140"/>
    <mergeCell ref="B141:C141"/>
    <mergeCell ref="B149:C149"/>
    <mergeCell ref="B151:C151"/>
    <mergeCell ref="B152:C152"/>
    <mergeCell ref="B153:C153"/>
    <mergeCell ref="B139:C139"/>
    <mergeCell ref="B138:D138"/>
  </mergeCells>
  <hyperlinks>
    <hyperlink ref="I1" location="Index!B28" display="Index" xr:uid="{7C12058B-648D-4E77-BF15-957C24F02A8F}"/>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outlinePr summaryBelow="0" summaryRight="0"/>
  </sheetPr>
  <dimension ref="A1:O120"/>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5" ht="18" customHeight="1" x14ac:dyDescent="0.2">
      <c r="A1" s="116" t="s">
        <v>0</v>
      </c>
      <c r="B1" s="116"/>
      <c r="C1" s="116"/>
      <c r="D1" s="116"/>
      <c r="E1" s="116"/>
      <c r="F1" s="116"/>
      <c r="G1" s="116"/>
      <c r="H1" s="116"/>
      <c r="I1" s="98" t="s">
        <v>1053</v>
      </c>
    </row>
    <row r="2" spans="1:15" ht="17.100000000000001" customHeight="1" x14ac:dyDescent="0.2">
      <c r="A2" s="117" t="s">
        <v>844</v>
      </c>
      <c r="B2" s="118"/>
      <c r="C2" s="118"/>
      <c r="D2" s="118"/>
      <c r="E2" s="118"/>
      <c r="F2" s="118"/>
      <c r="G2" s="118"/>
      <c r="H2" s="119"/>
      <c r="J2" s="120" t="s">
        <v>1054</v>
      </c>
      <c r="K2" s="120"/>
      <c r="L2" s="120"/>
      <c r="M2" s="120"/>
      <c r="N2" s="120"/>
    </row>
    <row r="3" spans="1:15" ht="21" customHeight="1" x14ac:dyDescent="0.2">
      <c r="A3" s="116" t="s">
        <v>1049</v>
      </c>
      <c r="B3" s="116"/>
      <c r="C3" s="116"/>
      <c r="D3" s="116"/>
      <c r="E3" s="116"/>
      <c r="F3" s="116"/>
      <c r="G3" s="116"/>
      <c r="H3" s="116"/>
    </row>
    <row r="4" spans="1:15" ht="30" x14ac:dyDescent="0.2">
      <c r="A4" s="96" t="s">
        <v>2</v>
      </c>
      <c r="B4" s="96" t="s">
        <v>3</v>
      </c>
      <c r="C4" s="96" t="s">
        <v>4</v>
      </c>
      <c r="D4" s="96" t="s">
        <v>5</v>
      </c>
      <c r="E4" s="96" t="s">
        <v>6</v>
      </c>
      <c r="F4" s="96" t="s">
        <v>7</v>
      </c>
      <c r="G4" s="96" t="s">
        <v>8</v>
      </c>
      <c r="H4" s="51" t="s">
        <v>1002</v>
      </c>
      <c r="I4" s="99"/>
      <c r="J4" s="99"/>
      <c r="K4" s="99"/>
      <c r="L4" s="99"/>
      <c r="M4" s="99"/>
      <c r="N4" s="99"/>
      <c r="O4" s="99"/>
    </row>
    <row r="5" spans="1:15" ht="14.1" customHeight="1" x14ac:dyDescent="0.2">
      <c r="A5" s="1"/>
      <c r="B5" s="1"/>
      <c r="C5" s="2" t="s">
        <v>9</v>
      </c>
      <c r="D5" s="1"/>
      <c r="E5" s="1"/>
      <c r="F5" s="1"/>
      <c r="G5" s="1"/>
      <c r="H5" s="52"/>
    </row>
    <row r="6" spans="1:15" ht="24" customHeight="1" x14ac:dyDescent="0.2">
      <c r="A6" s="1"/>
      <c r="B6" s="1"/>
      <c r="C6" s="2" t="s">
        <v>10</v>
      </c>
      <c r="D6" s="1"/>
      <c r="E6" s="1"/>
      <c r="F6" s="1"/>
      <c r="G6" s="1"/>
      <c r="H6" s="52"/>
    </row>
    <row r="7" spans="1:15" ht="17.100000000000001" customHeight="1" x14ac:dyDescent="0.2">
      <c r="A7" s="3">
        <v>1</v>
      </c>
      <c r="B7" s="4" t="s">
        <v>319</v>
      </c>
      <c r="C7" s="4" t="s">
        <v>320</v>
      </c>
      <c r="D7" s="4" t="s">
        <v>28</v>
      </c>
      <c r="E7" s="5">
        <v>1253375</v>
      </c>
      <c r="F7" s="6">
        <v>18506.081875</v>
      </c>
      <c r="G7" s="7">
        <v>0.21120484</v>
      </c>
      <c r="H7" s="52"/>
    </row>
    <row r="8" spans="1:15" ht="17.100000000000001" customHeight="1" x14ac:dyDescent="0.2">
      <c r="A8" s="3">
        <v>2</v>
      </c>
      <c r="B8" s="4" t="s">
        <v>26</v>
      </c>
      <c r="C8" s="4" t="s">
        <v>27</v>
      </c>
      <c r="D8" s="4" t="s">
        <v>28</v>
      </c>
      <c r="E8" s="5">
        <v>1713760</v>
      </c>
      <c r="F8" s="6">
        <v>15686.90216</v>
      </c>
      <c r="G8" s="7">
        <v>0.17903031</v>
      </c>
      <c r="H8" s="52"/>
    </row>
    <row r="9" spans="1:15" ht="17.100000000000001" customHeight="1" x14ac:dyDescent="0.2">
      <c r="A9" s="3">
        <v>3</v>
      </c>
      <c r="B9" s="4" t="s">
        <v>323</v>
      </c>
      <c r="C9" s="4" t="s">
        <v>324</v>
      </c>
      <c r="D9" s="4" t="s">
        <v>28</v>
      </c>
      <c r="E9" s="5">
        <v>625683</v>
      </c>
      <c r="F9" s="6">
        <v>6143.2685355000003</v>
      </c>
      <c r="G9" s="7">
        <v>7.0111439999999997E-2</v>
      </c>
      <c r="H9" s="52"/>
    </row>
    <row r="10" spans="1:15" ht="17.100000000000001" customHeight="1" x14ac:dyDescent="0.2">
      <c r="A10" s="3">
        <v>4</v>
      </c>
      <c r="B10" s="4" t="s">
        <v>39</v>
      </c>
      <c r="C10" s="4" t="s">
        <v>40</v>
      </c>
      <c r="D10" s="4" t="s">
        <v>28</v>
      </c>
      <c r="E10" s="5">
        <v>1066346</v>
      </c>
      <c r="F10" s="6">
        <v>6030.719803</v>
      </c>
      <c r="G10" s="7">
        <v>6.8826949999999998E-2</v>
      </c>
      <c r="H10" s="52"/>
    </row>
    <row r="11" spans="1:15" ht="17.100000000000001" customHeight="1" x14ac:dyDescent="0.2">
      <c r="A11" s="3">
        <v>5</v>
      </c>
      <c r="B11" s="4" t="s">
        <v>193</v>
      </c>
      <c r="C11" s="4" t="s">
        <v>194</v>
      </c>
      <c r="D11" s="4" t="s">
        <v>70</v>
      </c>
      <c r="E11" s="5">
        <v>1606525</v>
      </c>
      <c r="F11" s="6">
        <v>3961.69065</v>
      </c>
      <c r="G11" s="7">
        <v>4.5213690000000001E-2</v>
      </c>
      <c r="H11" s="52"/>
    </row>
    <row r="12" spans="1:15" ht="17.100000000000001" customHeight="1" x14ac:dyDescent="0.2">
      <c r="A12" s="3">
        <v>6</v>
      </c>
      <c r="B12" s="4" t="s">
        <v>251</v>
      </c>
      <c r="C12" s="4" t="s">
        <v>252</v>
      </c>
      <c r="D12" s="4" t="s">
        <v>70</v>
      </c>
      <c r="E12" s="5">
        <v>305545</v>
      </c>
      <c r="F12" s="6">
        <v>3477.7131899999999</v>
      </c>
      <c r="G12" s="7">
        <v>3.969019E-2</v>
      </c>
      <c r="H12" s="52"/>
    </row>
    <row r="13" spans="1:15" ht="17.100000000000001" customHeight="1" x14ac:dyDescent="0.2">
      <c r="A13" s="3">
        <v>7</v>
      </c>
      <c r="B13" s="4" t="s">
        <v>399</v>
      </c>
      <c r="C13" s="4" t="s">
        <v>400</v>
      </c>
      <c r="D13" s="4" t="s">
        <v>28</v>
      </c>
      <c r="E13" s="5">
        <v>3326672</v>
      </c>
      <c r="F13" s="6">
        <v>3085.48828</v>
      </c>
      <c r="G13" s="7">
        <v>3.5213830000000002E-2</v>
      </c>
      <c r="H13" s="52"/>
      <c r="J13" s="101" t="s">
        <v>1090</v>
      </c>
    </row>
    <row r="14" spans="1:15" ht="17.100000000000001" customHeight="1" x14ac:dyDescent="0.2">
      <c r="A14" s="3">
        <v>8</v>
      </c>
      <c r="B14" s="4" t="s">
        <v>355</v>
      </c>
      <c r="C14" s="4" t="s">
        <v>356</v>
      </c>
      <c r="D14" s="4" t="s">
        <v>357</v>
      </c>
      <c r="E14" s="5">
        <v>131801</v>
      </c>
      <c r="F14" s="6">
        <v>3072.1495089999999</v>
      </c>
      <c r="G14" s="7">
        <v>3.5061599999999998E-2</v>
      </c>
      <c r="H14" s="52"/>
    </row>
    <row r="15" spans="1:15" ht="17.100000000000001" customHeight="1" x14ac:dyDescent="0.2">
      <c r="A15" s="3">
        <v>9</v>
      </c>
      <c r="B15" s="4" t="s">
        <v>505</v>
      </c>
      <c r="C15" s="4" t="s">
        <v>506</v>
      </c>
      <c r="D15" s="4" t="s">
        <v>70</v>
      </c>
      <c r="E15" s="5">
        <v>521732</v>
      </c>
      <c r="F15" s="6">
        <v>2792.3096639999999</v>
      </c>
      <c r="G15" s="7">
        <v>3.1867859999999998E-2</v>
      </c>
      <c r="H15" s="52"/>
    </row>
    <row r="16" spans="1:15" ht="17.100000000000001" customHeight="1" x14ac:dyDescent="0.2">
      <c r="A16" s="3">
        <v>10</v>
      </c>
      <c r="B16" s="4" t="s">
        <v>411</v>
      </c>
      <c r="C16" s="4" t="s">
        <v>412</v>
      </c>
      <c r="D16" s="4" t="s">
        <v>70</v>
      </c>
      <c r="E16" s="5">
        <v>355545</v>
      </c>
      <c r="F16" s="6">
        <v>2714.4083025</v>
      </c>
      <c r="G16" s="7">
        <v>3.0978800000000001E-2</v>
      </c>
      <c r="H16" s="52"/>
    </row>
    <row r="17" spans="1:8" ht="17.100000000000001" customHeight="1" x14ac:dyDescent="0.2">
      <c r="A17" s="3">
        <v>11</v>
      </c>
      <c r="B17" s="4" t="s">
        <v>329</v>
      </c>
      <c r="C17" s="4" t="s">
        <v>330</v>
      </c>
      <c r="D17" s="4" t="s">
        <v>28</v>
      </c>
      <c r="E17" s="5">
        <v>155261</v>
      </c>
      <c r="F17" s="6">
        <v>2237.776793</v>
      </c>
      <c r="G17" s="7">
        <v>2.553913E-2</v>
      </c>
      <c r="H17" s="52"/>
    </row>
    <row r="18" spans="1:8" ht="17.100000000000001" customHeight="1" x14ac:dyDescent="0.2">
      <c r="A18" s="3">
        <v>12</v>
      </c>
      <c r="B18" s="4" t="s">
        <v>195</v>
      </c>
      <c r="C18" s="4" t="s">
        <v>196</v>
      </c>
      <c r="D18" s="4" t="s">
        <v>70</v>
      </c>
      <c r="E18" s="5">
        <v>102354</v>
      </c>
      <c r="F18" s="6">
        <v>1924.1016689999999</v>
      </c>
      <c r="G18" s="7">
        <v>2.195925E-2</v>
      </c>
      <c r="H18" s="52"/>
    </row>
    <row r="19" spans="1:8" ht="17.100000000000001" customHeight="1" x14ac:dyDescent="0.2">
      <c r="A19" s="3">
        <v>13</v>
      </c>
      <c r="B19" s="4" t="s">
        <v>68</v>
      </c>
      <c r="C19" s="4" t="s">
        <v>69</v>
      </c>
      <c r="D19" s="4" t="s">
        <v>70</v>
      </c>
      <c r="E19" s="5">
        <v>632284</v>
      </c>
      <c r="F19" s="6">
        <v>1818.4487839999999</v>
      </c>
      <c r="G19" s="7">
        <v>2.0753460000000001E-2</v>
      </c>
      <c r="H19" s="52"/>
    </row>
    <row r="20" spans="1:8" ht="17.100000000000001" customHeight="1" x14ac:dyDescent="0.2">
      <c r="A20" s="3">
        <v>14</v>
      </c>
      <c r="B20" s="4" t="s">
        <v>524</v>
      </c>
      <c r="C20" s="4" t="s">
        <v>525</v>
      </c>
      <c r="D20" s="4" t="s">
        <v>357</v>
      </c>
      <c r="E20" s="5">
        <v>250546</v>
      </c>
      <c r="F20" s="6">
        <v>1601.2394859999999</v>
      </c>
      <c r="G20" s="7">
        <v>1.8274510000000001E-2</v>
      </c>
      <c r="H20" s="52"/>
    </row>
    <row r="21" spans="1:8" ht="17.100000000000001" customHeight="1" x14ac:dyDescent="0.2">
      <c r="A21" s="3">
        <v>15</v>
      </c>
      <c r="B21" s="4" t="s">
        <v>462</v>
      </c>
      <c r="C21" s="4" t="s">
        <v>463</v>
      </c>
      <c r="D21" s="4" t="s">
        <v>28</v>
      </c>
      <c r="E21" s="5">
        <v>474883</v>
      </c>
      <c r="F21" s="6">
        <v>1569.013432</v>
      </c>
      <c r="G21" s="7">
        <v>1.7906720000000001E-2</v>
      </c>
      <c r="H21" s="52"/>
    </row>
    <row r="22" spans="1:8" ht="17.100000000000001" customHeight="1" x14ac:dyDescent="0.2">
      <c r="A22" s="3">
        <v>16</v>
      </c>
      <c r="B22" s="4" t="s">
        <v>267</v>
      </c>
      <c r="C22" s="4" t="s">
        <v>268</v>
      </c>
      <c r="D22" s="4" t="s">
        <v>70</v>
      </c>
      <c r="E22" s="5">
        <v>93393</v>
      </c>
      <c r="F22" s="6">
        <v>1314.786654</v>
      </c>
      <c r="G22" s="7">
        <v>1.5005299999999999E-2</v>
      </c>
      <c r="H22" s="52"/>
    </row>
    <row r="23" spans="1:8" ht="17.100000000000001" customHeight="1" x14ac:dyDescent="0.2">
      <c r="A23" s="3">
        <v>17</v>
      </c>
      <c r="B23" s="4" t="s">
        <v>405</v>
      </c>
      <c r="C23" s="4" t="s">
        <v>406</v>
      </c>
      <c r="D23" s="4" t="s">
        <v>357</v>
      </c>
      <c r="E23" s="5">
        <v>50573</v>
      </c>
      <c r="F23" s="6">
        <v>1305.7695735</v>
      </c>
      <c r="G23" s="7">
        <v>1.490239E-2</v>
      </c>
      <c r="H23" s="52"/>
    </row>
    <row r="24" spans="1:8" ht="29.1" customHeight="1" x14ac:dyDescent="0.2">
      <c r="A24" s="3">
        <v>18</v>
      </c>
      <c r="B24" s="4" t="s">
        <v>563</v>
      </c>
      <c r="C24" s="4" t="s">
        <v>564</v>
      </c>
      <c r="D24" s="4" t="s">
        <v>221</v>
      </c>
      <c r="E24" s="5">
        <v>231652</v>
      </c>
      <c r="F24" s="6">
        <v>1216.7521300000001</v>
      </c>
      <c r="G24" s="7">
        <v>1.388646E-2</v>
      </c>
      <c r="H24" s="52"/>
    </row>
    <row r="25" spans="1:8" ht="17.100000000000001" customHeight="1" x14ac:dyDescent="0.2">
      <c r="A25" s="3">
        <v>19</v>
      </c>
      <c r="B25" s="4" t="s">
        <v>466</v>
      </c>
      <c r="C25" s="4" t="s">
        <v>467</v>
      </c>
      <c r="D25" s="4" t="s">
        <v>221</v>
      </c>
      <c r="E25" s="5">
        <v>86450</v>
      </c>
      <c r="F25" s="6">
        <v>1182.5063250000001</v>
      </c>
      <c r="G25" s="7">
        <v>1.349562E-2</v>
      </c>
      <c r="H25" s="52"/>
    </row>
    <row r="26" spans="1:8" ht="29.1" customHeight="1" x14ac:dyDescent="0.2">
      <c r="A26" s="3">
        <v>20</v>
      </c>
      <c r="B26" s="4" t="s">
        <v>201</v>
      </c>
      <c r="C26" s="4" t="s">
        <v>202</v>
      </c>
      <c r="D26" s="4" t="s">
        <v>70</v>
      </c>
      <c r="E26" s="5">
        <v>75948</v>
      </c>
      <c r="F26" s="6">
        <v>863.75660400000004</v>
      </c>
      <c r="G26" s="7">
        <v>9.8578199999999998E-3</v>
      </c>
      <c r="H26" s="52"/>
    </row>
    <row r="27" spans="1:8" ht="17.100000000000001" customHeight="1" x14ac:dyDescent="0.2">
      <c r="A27" s="3">
        <v>21</v>
      </c>
      <c r="B27" s="4" t="s">
        <v>349</v>
      </c>
      <c r="C27" s="4" t="s">
        <v>350</v>
      </c>
      <c r="D27" s="4" t="s">
        <v>70</v>
      </c>
      <c r="E27" s="5">
        <v>11527</v>
      </c>
      <c r="F27" s="6">
        <v>863.67776549999996</v>
      </c>
      <c r="G27" s="7">
        <v>9.8569199999999999E-3</v>
      </c>
      <c r="H27" s="52"/>
    </row>
    <row r="28" spans="1:8" ht="17.100000000000001" customHeight="1" x14ac:dyDescent="0.2">
      <c r="A28" s="3">
        <v>22</v>
      </c>
      <c r="B28" s="4" t="s">
        <v>470</v>
      </c>
      <c r="C28" s="4" t="s">
        <v>471</v>
      </c>
      <c r="D28" s="4" t="s">
        <v>28</v>
      </c>
      <c r="E28" s="5">
        <v>41132</v>
      </c>
      <c r="F28" s="6">
        <v>715.45000800000003</v>
      </c>
      <c r="G28" s="7">
        <v>8.1652400000000007E-3</v>
      </c>
      <c r="H28" s="52"/>
    </row>
    <row r="29" spans="1:8" ht="17.100000000000001" customHeight="1" x14ac:dyDescent="0.2">
      <c r="A29" s="3">
        <v>23</v>
      </c>
      <c r="B29" s="4" t="s">
        <v>415</v>
      </c>
      <c r="C29" s="4" t="s">
        <v>416</v>
      </c>
      <c r="D29" s="4" t="s">
        <v>70</v>
      </c>
      <c r="E29" s="5">
        <v>43799</v>
      </c>
      <c r="F29" s="6">
        <v>699.55762800000002</v>
      </c>
      <c r="G29" s="7">
        <v>7.9838600000000006E-3</v>
      </c>
      <c r="H29" s="52"/>
    </row>
    <row r="30" spans="1:8" ht="29.1" customHeight="1" x14ac:dyDescent="0.2">
      <c r="A30" s="3">
        <v>24</v>
      </c>
      <c r="B30" s="4" t="s">
        <v>769</v>
      </c>
      <c r="C30" s="4" t="s">
        <v>770</v>
      </c>
      <c r="D30" s="4" t="s">
        <v>221</v>
      </c>
      <c r="E30" s="5">
        <v>32775</v>
      </c>
      <c r="F30" s="6">
        <v>450.26294999999999</v>
      </c>
      <c r="G30" s="7">
        <v>5.1387300000000002E-3</v>
      </c>
      <c r="H30" s="52"/>
    </row>
    <row r="31" spans="1:8" ht="17.100000000000001" customHeight="1" x14ac:dyDescent="0.2">
      <c r="A31" s="3">
        <v>25</v>
      </c>
      <c r="B31" s="4" t="s">
        <v>549</v>
      </c>
      <c r="C31" s="4" t="s">
        <v>550</v>
      </c>
      <c r="D31" s="4" t="s">
        <v>70</v>
      </c>
      <c r="E31" s="5">
        <v>227868</v>
      </c>
      <c r="F31" s="6">
        <v>188.33290199999999</v>
      </c>
      <c r="G31" s="7">
        <v>2.1493900000000002E-3</v>
      </c>
      <c r="H31" s="52"/>
    </row>
    <row r="32" spans="1:8" ht="14.1" customHeight="1" x14ac:dyDescent="0.2">
      <c r="A32" s="1"/>
      <c r="B32" s="1"/>
      <c r="C32" s="2" t="s">
        <v>145</v>
      </c>
      <c r="D32" s="1"/>
      <c r="E32" s="1" t="s">
        <v>146</v>
      </c>
      <c r="F32" s="9">
        <v>83422.164673000007</v>
      </c>
      <c r="G32" s="10">
        <v>0.95207430999999998</v>
      </c>
      <c r="H32" s="52"/>
    </row>
    <row r="33" spans="1:8" ht="14.1" customHeight="1" x14ac:dyDescent="0.2">
      <c r="A33" s="1"/>
      <c r="B33" s="1"/>
      <c r="C33" s="11"/>
      <c r="D33" s="1"/>
      <c r="E33" s="1"/>
      <c r="F33" s="12"/>
      <c r="G33" s="12"/>
      <c r="H33" s="52"/>
    </row>
    <row r="34" spans="1:8" ht="14.1" customHeight="1" x14ac:dyDescent="0.2">
      <c r="A34" s="1"/>
      <c r="B34" s="1"/>
      <c r="C34" s="2" t="s">
        <v>147</v>
      </c>
      <c r="D34" s="1"/>
      <c r="E34" s="1"/>
      <c r="F34" s="1"/>
      <c r="G34" s="1"/>
      <c r="H34" s="52"/>
    </row>
    <row r="35" spans="1:8" ht="14.1" customHeight="1" x14ac:dyDescent="0.2">
      <c r="A35" s="1"/>
      <c r="B35" s="1"/>
      <c r="C35" s="2" t="s">
        <v>145</v>
      </c>
      <c r="D35" s="1"/>
      <c r="E35" s="1" t="s">
        <v>146</v>
      </c>
      <c r="F35" s="13" t="s">
        <v>148</v>
      </c>
      <c r="G35" s="10">
        <v>0</v>
      </c>
      <c r="H35" s="52"/>
    </row>
    <row r="36" spans="1:8" ht="14.1" customHeight="1" x14ac:dyDescent="0.2">
      <c r="A36" s="1"/>
      <c r="B36" s="1"/>
      <c r="C36" s="11"/>
      <c r="D36" s="1"/>
      <c r="E36" s="1"/>
      <c r="F36" s="12"/>
      <c r="G36" s="12"/>
      <c r="H36" s="52"/>
    </row>
    <row r="37" spans="1:8" ht="14.1" customHeight="1" x14ac:dyDescent="0.2">
      <c r="A37" s="1"/>
      <c r="B37" s="1"/>
      <c r="C37" s="2" t="s">
        <v>149</v>
      </c>
      <c r="D37" s="1"/>
      <c r="E37" s="1"/>
      <c r="F37" s="1"/>
      <c r="G37" s="1"/>
      <c r="H37" s="52"/>
    </row>
    <row r="38" spans="1:8" ht="14.1" customHeight="1" x14ac:dyDescent="0.2">
      <c r="A38" s="1"/>
      <c r="B38" s="1"/>
      <c r="C38" s="2" t="s">
        <v>145</v>
      </c>
      <c r="D38" s="1"/>
      <c r="E38" s="1" t="s">
        <v>146</v>
      </c>
      <c r="F38" s="13" t="s">
        <v>148</v>
      </c>
      <c r="G38" s="10">
        <v>0</v>
      </c>
      <c r="H38" s="52"/>
    </row>
    <row r="39" spans="1:8" ht="14.1" customHeight="1" x14ac:dyDescent="0.2">
      <c r="A39" s="1"/>
      <c r="B39" s="1"/>
      <c r="C39" s="11"/>
      <c r="D39" s="1"/>
      <c r="E39" s="1"/>
      <c r="F39" s="12"/>
      <c r="G39" s="12"/>
      <c r="H39" s="52"/>
    </row>
    <row r="40" spans="1:8" ht="14.1" customHeight="1" x14ac:dyDescent="0.2">
      <c r="A40" s="1"/>
      <c r="B40" s="1"/>
      <c r="C40" s="2" t="s">
        <v>150</v>
      </c>
      <c r="D40" s="1"/>
      <c r="E40" s="1"/>
      <c r="F40" s="1"/>
      <c r="G40" s="1"/>
      <c r="H40" s="52"/>
    </row>
    <row r="41" spans="1:8" ht="14.1" customHeight="1" x14ac:dyDescent="0.2">
      <c r="A41" s="1"/>
      <c r="B41" s="1"/>
      <c r="C41" s="2" t="s">
        <v>145</v>
      </c>
      <c r="D41" s="1"/>
      <c r="E41" s="1" t="s">
        <v>146</v>
      </c>
      <c r="F41" s="13" t="s">
        <v>148</v>
      </c>
      <c r="G41" s="10">
        <v>0</v>
      </c>
      <c r="H41" s="52"/>
    </row>
    <row r="42" spans="1:8" ht="14.1" customHeight="1" x14ac:dyDescent="0.2">
      <c r="A42" s="1"/>
      <c r="B42" s="1"/>
      <c r="C42" s="11"/>
      <c r="D42" s="1"/>
      <c r="E42" s="1"/>
      <c r="F42" s="12"/>
      <c r="G42" s="12"/>
      <c r="H42" s="52"/>
    </row>
    <row r="43" spans="1:8" ht="14.1" customHeight="1" x14ac:dyDescent="0.2">
      <c r="A43" s="1"/>
      <c r="B43" s="1"/>
      <c r="C43" s="2" t="s">
        <v>151</v>
      </c>
      <c r="D43" s="1"/>
      <c r="E43" s="1"/>
      <c r="F43" s="12"/>
      <c r="G43" s="12"/>
      <c r="H43" s="52"/>
    </row>
    <row r="44" spans="1:8" ht="14.1" customHeight="1" x14ac:dyDescent="0.2">
      <c r="A44" s="1"/>
      <c r="B44" s="1"/>
      <c r="C44" s="2" t="s">
        <v>145</v>
      </c>
      <c r="D44" s="1"/>
      <c r="E44" s="1" t="s">
        <v>146</v>
      </c>
      <c r="F44" s="13" t="s">
        <v>148</v>
      </c>
      <c r="G44" s="10">
        <v>0</v>
      </c>
      <c r="H44" s="52"/>
    </row>
    <row r="45" spans="1:8" ht="14.1" customHeight="1" x14ac:dyDescent="0.2">
      <c r="A45" s="1"/>
      <c r="B45" s="1"/>
      <c r="C45" s="11"/>
      <c r="D45" s="1"/>
      <c r="E45" s="1"/>
      <c r="F45" s="12"/>
      <c r="G45" s="12"/>
      <c r="H45" s="52"/>
    </row>
    <row r="46" spans="1:8" ht="14.1" customHeight="1" x14ac:dyDescent="0.2">
      <c r="A46" s="1"/>
      <c r="B46" s="1"/>
      <c r="C46" s="2" t="s">
        <v>152</v>
      </c>
      <c r="D46" s="1"/>
      <c r="E46" s="1"/>
      <c r="F46" s="12"/>
      <c r="G46" s="12"/>
      <c r="H46" s="52"/>
    </row>
    <row r="47" spans="1:8" ht="14.1" customHeight="1" x14ac:dyDescent="0.2">
      <c r="A47" s="1"/>
      <c r="B47" s="1"/>
      <c r="C47" s="2" t="s">
        <v>145</v>
      </c>
      <c r="D47" s="1"/>
      <c r="E47" s="1" t="s">
        <v>146</v>
      </c>
      <c r="F47" s="13" t="s">
        <v>148</v>
      </c>
      <c r="G47" s="10">
        <v>0</v>
      </c>
      <c r="H47" s="52"/>
    </row>
    <row r="48" spans="1:8" ht="14.1" customHeight="1" x14ac:dyDescent="0.2">
      <c r="A48" s="1"/>
      <c r="B48" s="1"/>
      <c r="C48" s="11"/>
      <c r="D48" s="1"/>
      <c r="E48" s="1"/>
      <c r="F48" s="12"/>
      <c r="G48" s="12"/>
      <c r="H48" s="52"/>
    </row>
    <row r="49" spans="1:8" ht="18" customHeight="1" x14ac:dyDescent="0.2">
      <c r="A49" s="1"/>
      <c r="B49" s="1"/>
      <c r="C49" s="2" t="s">
        <v>153</v>
      </c>
      <c r="D49" s="1"/>
      <c r="E49" s="1"/>
      <c r="F49" s="9">
        <v>83422.164673000007</v>
      </c>
      <c r="G49" s="10">
        <v>0.95207430999999998</v>
      </c>
      <c r="H49" s="52"/>
    </row>
    <row r="50" spans="1:8" ht="14.1" customHeight="1" x14ac:dyDescent="0.2">
      <c r="A50" s="1"/>
      <c r="B50" s="1"/>
      <c r="C50" s="11"/>
      <c r="D50" s="1"/>
      <c r="E50" s="1"/>
      <c r="F50" s="12"/>
      <c r="G50" s="12"/>
      <c r="H50" s="52"/>
    </row>
    <row r="51" spans="1:8" ht="14.1" customHeight="1" x14ac:dyDescent="0.2">
      <c r="A51" s="1"/>
      <c r="B51" s="1"/>
      <c r="C51" s="2" t="s">
        <v>154</v>
      </c>
      <c r="D51" s="1"/>
      <c r="E51" s="1"/>
      <c r="F51" s="12"/>
      <c r="G51" s="12"/>
      <c r="H51" s="52"/>
    </row>
    <row r="52" spans="1:8" ht="24" customHeight="1" x14ac:dyDescent="0.2">
      <c r="A52" s="1"/>
      <c r="B52" s="1"/>
      <c r="C52" s="2" t="s">
        <v>10</v>
      </c>
      <c r="D52" s="1"/>
      <c r="E52" s="1"/>
      <c r="F52" s="12"/>
      <c r="G52" s="12"/>
      <c r="H52" s="52"/>
    </row>
    <row r="53" spans="1:8" ht="14.1" customHeight="1" x14ac:dyDescent="0.2">
      <c r="A53" s="1"/>
      <c r="B53" s="1"/>
      <c r="C53" s="2" t="s">
        <v>145</v>
      </c>
      <c r="D53" s="1"/>
      <c r="E53" s="1" t="s">
        <v>146</v>
      </c>
      <c r="F53" s="13" t="s">
        <v>148</v>
      </c>
      <c r="G53" s="10">
        <v>0</v>
      </c>
      <c r="H53" s="52"/>
    </row>
    <row r="54" spans="1:8" ht="14.1" customHeight="1" x14ac:dyDescent="0.2">
      <c r="A54" s="1"/>
      <c r="B54" s="1"/>
      <c r="C54" s="11"/>
      <c r="D54" s="1"/>
      <c r="E54" s="1"/>
      <c r="F54" s="12"/>
      <c r="G54" s="12"/>
      <c r="H54" s="52"/>
    </row>
    <row r="55" spans="1:8" ht="14.1" customHeight="1" x14ac:dyDescent="0.2">
      <c r="A55" s="1"/>
      <c r="B55" s="1"/>
      <c r="C55" s="2" t="s">
        <v>155</v>
      </c>
      <c r="D55" s="1"/>
      <c r="E55" s="1"/>
      <c r="F55" s="1"/>
      <c r="G55" s="1"/>
      <c r="H55" s="52"/>
    </row>
    <row r="56" spans="1:8" ht="14.1" customHeight="1" x14ac:dyDescent="0.2">
      <c r="A56" s="1"/>
      <c r="B56" s="1"/>
      <c r="C56" s="2" t="s">
        <v>145</v>
      </c>
      <c r="D56" s="1"/>
      <c r="E56" s="1" t="s">
        <v>146</v>
      </c>
      <c r="F56" s="13" t="s">
        <v>148</v>
      </c>
      <c r="G56" s="10">
        <v>0</v>
      </c>
      <c r="H56" s="52"/>
    </row>
    <row r="57" spans="1:8" ht="14.1" customHeight="1" x14ac:dyDescent="0.2">
      <c r="A57" s="1"/>
      <c r="B57" s="1"/>
      <c r="C57" s="11"/>
      <c r="D57" s="1"/>
      <c r="E57" s="1"/>
      <c r="F57" s="12"/>
      <c r="G57" s="12"/>
      <c r="H57" s="52"/>
    </row>
    <row r="58" spans="1:8" ht="14.1" customHeight="1" x14ac:dyDescent="0.2">
      <c r="A58" s="1"/>
      <c r="B58" s="1"/>
      <c r="C58" s="2" t="s">
        <v>156</v>
      </c>
      <c r="D58" s="1"/>
      <c r="E58" s="1"/>
      <c r="F58" s="1"/>
      <c r="G58" s="1"/>
      <c r="H58" s="52"/>
    </row>
    <row r="59" spans="1:8" ht="14.1" customHeight="1" x14ac:dyDescent="0.2">
      <c r="A59" s="1"/>
      <c r="B59" s="1"/>
      <c r="C59" s="2" t="s">
        <v>145</v>
      </c>
      <c r="D59" s="1"/>
      <c r="E59" s="1" t="s">
        <v>146</v>
      </c>
      <c r="F59" s="13" t="s">
        <v>148</v>
      </c>
      <c r="G59" s="10">
        <v>0</v>
      </c>
      <c r="H59" s="52"/>
    </row>
    <row r="60" spans="1:8" ht="14.1" customHeight="1" x14ac:dyDescent="0.2">
      <c r="A60" s="1"/>
      <c r="B60" s="1"/>
      <c r="C60" s="11"/>
      <c r="D60" s="1"/>
      <c r="E60" s="1"/>
      <c r="F60" s="12"/>
      <c r="G60" s="12"/>
      <c r="H60" s="52"/>
    </row>
    <row r="61" spans="1:8" ht="14.1" customHeight="1" x14ac:dyDescent="0.2">
      <c r="A61" s="1"/>
      <c r="B61" s="1"/>
      <c r="C61" s="2" t="s">
        <v>157</v>
      </c>
      <c r="D61" s="1"/>
      <c r="E61" s="1"/>
      <c r="F61" s="12"/>
      <c r="G61" s="12"/>
      <c r="H61" s="52"/>
    </row>
    <row r="62" spans="1:8" ht="14.1" customHeight="1" x14ac:dyDescent="0.2">
      <c r="A62" s="1"/>
      <c r="B62" s="1"/>
      <c r="C62" s="2" t="s">
        <v>145</v>
      </c>
      <c r="D62" s="1"/>
      <c r="E62" s="1" t="s">
        <v>146</v>
      </c>
      <c r="F62" s="13" t="s">
        <v>148</v>
      </c>
      <c r="G62" s="10">
        <v>0</v>
      </c>
      <c r="H62" s="52"/>
    </row>
    <row r="63" spans="1:8" ht="14.1" customHeight="1" x14ac:dyDescent="0.2">
      <c r="A63" s="1"/>
      <c r="B63" s="1"/>
      <c r="C63" s="11"/>
      <c r="D63" s="1"/>
      <c r="E63" s="1"/>
      <c r="F63" s="12"/>
      <c r="G63" s="12"/>
      <c r="H63" s="52"/>
    </row>
    <row r="64" spans="1:8" ht="14.1" customHeight="1" x14ac:dyDescent="0.2">
      <c r="A64" s="1"/>
      <c r="B64" s="1"/>
      <c r="C64" s="2" t="s">
        <v>158</v>
      </c>
      <c r="D64" s="1"/>
      <c r="E64" s="1"/>
      <c r="F64" s="9">
        <v>0</v>
      </c>
      <c r="G64" s="10">
        <v>0</v>
      </c>
      <c r="H64" s="52"/>
    </row>
    <row r="65" spans="1:8" ht="14.1" customHeight="1" x14ac:dyDescent="0.2">
      <c r="A65" s="1"/>
      <c r="B65" s="1"/>
      <c r="C65" s="11"/>
      <c r="D65" s="1"/>
      <c r="E65" s="1"/>
      <c r="F65" s="12"/>
      <c r="G65" s="12"/>
      <c r="H65" s="52"/>
    </row>
    <row r="66" spans="1:8" ht="14.1" customHeight="1" x14ac:dyDescent="0.2">
      <c r="A66" s="1"/>
      <c r="B66" s="1"/>
      <c r="C66" s="2" t="s">
        <v>159</v>
      </c>
      <c r="D66" s="1"/>
      <c r="E66" s="1"/>
      <c r="F66" s="12"/>
      <c r="G66" s="12"/>
      <c r="H66" s="52"/>
    </row>
    <row r="67" spans="1:8" ht="14.1" customHeight="1" x14ac:dyDescent="0.2">
      <c r="A67" s="1"/>
      <c r="B67" s="1"/>
      <c r="C67" s="2" t="s">
        <v>160</v>
      </c>
      <c r="D67" s="1"/>
      <c r="E67" s="1"/>
      <c r="F67" s="12"/>
      <c r="G67" s="12"/>
      <c r="H67" s="52"/>
    </row>
    <row r="68" spans="1:8" ht="14.1" customHeight="1" x14ac:dyDescent="0.2">
      <c r="A68" s="1"/>
      <c r="B68" s="1"/>
      <c r="C68" s="2" t="s">
        <v>145</v>
      </c>
      <c r="D68" s="1"/>
      <c r="E68" s="1" t="s">
        <v>146</v>
      </c>
      <c r="F68" s="13" t="s">
        <v>148</v>
      </c>
      <c r="G68" s="10">
        <v>0</v>
      </c>
      <c r="H68" s="52"/>
    </row>
    <row r="69" spans="1:8" ht="14.1" customHeight="1" x14ac:dyDescent="0.2">
      <c r="A69" s="1"/>
      <c r="B69" s="1"/>
      <c r="C69" s="11"/>
      <c r="D69" s="1"/>
      <c r="E69" s="1"/>
      <c r="F69" s="12"/>
      <c r="G69" s="12"/>
      <c r="H69" s="52"/>
    </row>
    <row r="70" spans="1:8" ht="14.1" customHeight="1" x14ac:dyDescent="0.2">
      <c r="A70" s="1"/>
      <c r="B70" s="1"/>
      <c r="C70" s="2" t="s">
        <v>161</v>
      </c>
      <c r="D70" s="1"/>
      <c r="E70" s="1"/>
      <c r="F70" s="12"/>
      <c r="G70" s="12"/>
      <c r="H70" s="52"/>
    </row>
    <row r="71" spans="1:8" ht="14.1" customHeight="1" x14ac:dyDescent="0.2">
      <c r="A71" s="1"/>
      <c r="B71" s="1"/>
      <c r="C71" s="2" t="s">
        <v>145</v>
      </c>
      <c r="D71" s="1"/>
      <c r="E71" s="1" t="s">
        <v>146</v>
      </c>
      <c r="F71" s="13" t="s">
        <v>148</v>
      </c>
      <c r="G71" s="10">
        <v>0</v>
      </c>
      <c r="H71" s="52"/>
    </row>
    <row r="72" spans="1:8" ht="14.1" customHeight="1" x14ac:dyDescent="0.2">
      <c r="A72" s="1"/>
      <c r="B72" s="1"/>
      <c r="C72" s="11"/>
      <c r="D72" s="1"/>
      <c r="E72" s="1"/>
      <c r="F72" s="12"/>
      <c r="G72" s="12"/>
      <c r="H72" s="52"/>
    </row>
    <row r="73" spans="1:8" ht="14.1" customHeight="1" x14ac:dyDescent="0.2">
      <c r="A73" s="1"/>
      <c r="B73" s="1"/>
      <c r="C73" s="2" t="s">
        <v>162</v>
      </c>
      <c r="D73" s="1"/>
      <c r="E73" s="1"/>
      <c r="F73" s="12"/>
      <c r="G73" s="12"/>
      <c r="H73" s="52"/>
    </row>
    <row r="74" spans="1:8" ht="14.1" customHeight="1" x14ac:dyDescent="0.2">
      <c r="A74" s="1"/>
      <c r="B74" s="1"/>
      <c r="C74" s="2" t="s">
        <v>145</v>
      </c>
      <c r="D74" s="1"/>
      <c r="E74" s="1" t="s">
        <v>146</v>
      </c>
      <c r="F74" s="13" t="s">
        <v>148</v>
      </c>
      <c r="G74" s="10">
        <v>0</v>
      </c>
      <c r="H74" s="52"/>
    </row>
    <row r="75" spans="1:8" ht="14.1" customHeight="1" x14ac:dyDescent="0.2">
      <c r="A75" s="1"/>
      <c r="B75" s="1"/>
      <c r="C75" s="11"/>
      <c r="D75" s="1"/>
      <c r="E75" s="1"/>
      <c r="F75" s="12"/>
      <c r="G75" s="12"/>
      <c r="H75" s="52"/>
    </row>
    <row r="76" spans="1:8" ht="14.1" customHeight="1" x14ac:dyDescent="0.2">
      <c r="A76" s="1"/>
      <c r="B76" s="1"/>
      <c r="C76" s="2" t="s">
        <v>163</v>
      </c>
      <c r="D76" s="1"/>
      <c r="E76" s="1"/>
      <c r="F76" s="12"/>
      <c r="G76" s="12"/>
      <c r="H76" s="52"/>
    </row>
    <row r="77" spans="1:8" ht="17.100000000000001" customHeight="1" x14ac:dyDescent="0.2">
      <c r="A77" s="3">
        <v>1</v>
      </c>
      <c r="B77" s="4"/>
      <c r="C77" s="4" t="s">
        <v>164</v>
      </c>
      <c r="D77" s="4"/>
      <c r="E77" s="8"/>
      <c r="F77" s="6">
        <v>4898.8772120020003</v>
      </c>
      <c r="G77" s="7">
        <v>5.5909540000000001E-2</v>
      </c>
      <c r="H77" s="52">
        <v>6.7567375937238596</v>
      </c>
    </row>
    <row r="78" spans="1:8" ht="14.1" customHeight="1" x14ac:dyDescent="0.2">
      <c r="A78" s="1"/>
      <c r="B78" s="1"/>
      <c r="C78" s="2" t="s">
        <v>145</v>
      </c>
      <c r="D78" s="1"/>
      <c r="E78" s="1" t="s">
        <v>146</v>
      </c>
      <c r="F78" s="9">
        <v>4898.8772120020003</v>
      </c>
      <c r="G78" s="10">
        <v>5.5909540000000001E-2</v>
      </c>
      <c r="H78" s="52"/>
    </row>
    <row r="79" spans="1:8" ht="14.1" customHeight="1" x14ac:dyDescent="0.2">
      <c r="A79" s="1"/>
      <c r="B79" s="1"/>
      <c r="C79" s="11"/>
      <c r="D79" s="1"/>
      <c r="E79" s="1"/>
      <c r="F79" s="12"/>
      <c r="G79" s="12"/>
      <c r="H79" s="52"/>
    </row>
    <row r="80" spans="1:8" ht="14.1" customHeight="1" x14ac:dyDescent="0.2">
      <c r="A80" s="1"/>
      <c r="B80" s="1"/>
      <c r="C80" s="2" t="s">
        <v>165</v>
      </c>
      <c r="D80" s="1"/>
      <c r="E80" s="1"/>
      <c r="F80" s="9">
        <v>4898.8772120020003</v>
      </c>
      <c r="G80" s="10">
        <v>5.5909540000000001E-2</v>
      </c>
      <c r="H80" s="52"/>
    </row>
    <row r="81" spans="1:8" ht="14.1" customHeight="1" x14ac:dyDescent="0.2">
      <c r="A81" s="1"/>
      <c r="B81" s="1"/>
      <c r="C81" s="12"/>
      <c r="D81" s="1"/>
      <c r="E81" s="1"/>
      <c r="F81" s="1"/>
      <c r="G81" s="1"/>
      <c r="H81" s="52"/>
    </row>
    <row r="82" spans="1:8" ht="14.1" customHeight="1" x14ac:dyDescent="0.2">
      <c r="A82" s="1"/>
      <c r="B82" s="1"/>
      <c r="C82" s="2" t="s">
        <v>166</v>
      </c>
      <c r="D82" s="1"/>
      <c r="E82" s="1"/>
      <c r="F82" s="1"/>
      <c r="G82" s="1"/>
      <c r="H82" s="52"/>
    </row>
    <row r="83" spans="1:8" ht="14.1" customHeight="1" x14ac:dyDescent="0.2">
      <c r="A83" s="1"/>
      <c r="B83" s="1"/>
      <c r="C83" s="2" t="s">
        <v>167</v>
      </c>
      <c r="D83" s="1"/>
      <c r="E83" s="1"/>
      <c r="F83" s="1"/>
      <c r="G83" s="1"/>
      <c r="H83" s="52"/>
    </row>
    <row r="84" spans="1:8" ht="14.1" customHeight="1" x14ac:dyDescent="0.2">
      <c r="A84" s="1"/>
      <c r="B84" s="1"/>
      <c r="C84" s="2" t="s">
        <v>145</v>
      </c>
      <c r="D84" s="1"/>
      <c r="E84" s="1" t="s">
        <v>146</v>
      </c>
      <c r="F84" s="13" t="s">
        <v>148</v>
      </c>
      <c r="G84" s="10">
        <v>0</v>
      </c>
      <c r="H84" s="52"/>
    </row>
    <row r="85" spans="1:8" ht="14.1" customHeight="1" x14ac:dyDescent="0.2">
      <c r="A85" s="1"/>
      <c r="B85" s="1"/>
      <c r="C85" s="11"/>
      <c r="D85" s="1"/>
      <c r="E85" s="1"/>
      <c r="F85" s="12"/>
      <c r="G85" s="12"/>
      <c r="H85" s="52"/>
    </row>
    <row r="86" spans="1:8" ht="14.1" customHeight="1" x14ac:dyDescent="0.2">
      <c r="A86" s="1"/>
      <c r="B86" s="1"/>
      <c r="C86" s="2" t="s">
        <v>168</v>
      </c>
      <c r="D86" s="1"/>
      <c r="E86" s="1"/>
      <c r="F86" s="1"/>
      <c r="G86" s="1"/>
      <c r="H86" s="52"/>
    </row>
    <row r="87" spans="1:8" ht="14.1" customHeight="1" x14ac:dyDescent="0.2">
      <c r="A87" s="1"/>
      <c r="B87" s="1"/>
      <c r="C87" s="2" t="s">
        <v>169</v>
      </c>
      <c r="D87" s="1"/>
      <c r="E87" s="1"/>
      <c r="F87" s="1"/>
      <c r="G87" s="1"/>
      <c r="H87" s="52"/>
    </row>
    <row r="88" spans="1:8" ht="14.1" customHeight="1" x14ac:dyDescent="0.2">
      <c r="A88" s="1"/>
      <c r="B88" s="1"/>
      <c r="C88" s="2" t="s">
        <v>145</v>
      </c>
      <c r="D88" s="1"/>
      <c r="E88" s="1" t="s">
        <v>146</v>
      </c>
      <c r="F88" s="13" t="s">
        <v>148</v>
      </c>
      <c r="G88" s="10">
        <v>0</v>
      </c>
      <c r="H88" s="52"/>
    </row>
    <row r="89" spans="1:8" ht="14.1" customHeight="1" x14ac:dyDescent="0.2">
      <c r="A89" s="1"/>
      <c r="B89" s="1"/>
      <c r="C89" s="11"/>
      <c r="D89" s="1"/>
      <c r="E89" s="1"/>
      <c r="F89" s="12"/>
      <c r="G89" s="12"/>
      <c r="H89" s="52"/>
    </row>
    <row r="90" spans="1:8" ht="24" customHeight="1" x14ac:dyDescent="0.2">
      <c r="A90" s="1"/>
      <c r="B90" s="1"/>
      <c r="C90" s="2" t="s">
        <v>170</v>
      </c>
      <c r="D90" s="1"/>
      <c r="E90" s="1"/>
      <c r="F90" s="12"/>
      <c r="G90" s="12"/>
      <c r="H90" s="52"/>
    </row>
    <row r="91" spans="1:8" ht="14.1" customHeight="1" x14ac:dyDescent="0.2">
      <c r="A91" s="1"/>
      <c r="B91" s="1"/>
      <c r="C91" s="2" t="s">
        <v>145</v>
      </c>
      <c r="D91" s="1"/>
      <c r="E91" s="1" t="s">
        <v>146</v>
      </c>
      <c r="F91" s="13" t="s">
        <v>148</v>
      </c>
      <c r="G91" s="10">
        <v>0</v>
      </c>
      <c r="H91" s="52"/>
    </row>
    <row r="92" spans="1:8" ht="14.1" customHeight="1" x14ac:dyDescent="0.2">
      <c r="A92" s="1"/>
      <c r="B92" s="1"/>
      <c r="C92" s="11"/>
      <c r="D92" s="1"/>
      <c r="E92" s="1"/>
      <c r="F92" s="12"/>
      <c r="G92" s="12"/>
      <c r="H92" s="52"/>
    </row>
    <row r="93" spans="1:8" ht="14.1" customHeight="1" x14ac:dyDescent="0.2">
      <c r="A93" s="1"/>
      <c r="B93" s="4"/>
      <c r="C93" s="4"/>
      <c r="D93" s="2"/>
      <c r="E93" s="1"/>
      <c r="F93" s="4"/>
      <c r="G93" s="8"/>
      <c r="H93" s="52"/>
    </row>
    <row r="94" spans="1:8" ht="18" customHeight="1" x14ac:dyDescent="0.2">
      <c r="A94" s="8"/>
      <c r="B94" s="4"/>
      <c r="C94" s="4" t="s">
        <v>171</v>
      </c>
      <c r="D94" s="4"/>
      <c r="E94" s="8"/>
      <c r="F94" s="6">
        <v>-699.55466191000005</v>
      </c>
      <c r="G94" s="7">
        <v>-7.9838300000000008E-3</v>
      </c>
      <c r="H94" s="52"/>
    </row>
    <row r="95" spans="1:8" ht="14.1" customHeight="1" x14ac:dyDescent="0.2">
      <c r="A95" s="11"/>
      <c r="B95" s="11"/>
      <c r="C95" s="2" t="s">
        <v>172</v>
      </c>
      <c r="D95" s="12"/>
      <c r="E95" s="12"/>
      <c r="F95" s="9">
        <v>87621.487223092001</v>
      </c>
      <c r="G95" s="14">
        <v>1.0000000200000001</v>
      </c>
      <c r="H95" s="52"/>
    </row>
    <row r="96" spans="1:8" ht="14.1" customHeight="1" x14ac:dyDescent="0.2">
      <c r="A96" s="15"/>
      <c r="B96" s="15"/>
      <c r="C96" s="15"/>
      <c r="D96" s="16"/>
      <c r="E96" s="16"/>
      <c r="F96" s="16"/>
      <c r="G96" s="16"/>
    </row>
    <row r="97" spans="1:7" ht="14.1" customHeight="1" x14ac:dyDescent="0.2">
      <c r="A97" s="17"/>
      <c r="B97" s="17"/>
      <c r="C97" s="17"/>
      <c r="D97" s="19"/>
      <c r="E97" s="19"/>
      <c r="F97" s="19"/>
      <c r="G97" s="19"/>
    </row>
    <row r="98" spans="1:7" ht="14.1" customHeight="1" x14ac:dyDescent="0.2">
      <c r="A98" s="17"/>
      <c r="B98" s="127" t="s">
        <v>174</v>
      </c>
      <c r="C98" s="128"/>
      <c r="D98" s="129"/>
      <c r="E98" s="20"/>
      <c r="F98" s="19"/>
      <c r="G98" s="19"/>
    </row>
    <row r="99" spans="1:7" ht="29.1" customHeight="1" x14ac:dyDescent="0.2">
      <c r="A99" s="17"/>
      <c r="B99" s="121" t="s">
        <v>175</v>
      </c>
      <c r="C99" s="122"/>
      <c r="D99" s="2" t="s">
        <v>176</v>
      </c>
      <c r="E99" s="20"/>
      <c r="F99" s="19"/>
      <c r="G99" s="19"/>
    </row>
    <row r="100" spans="1:7" ht="17.100000000000001" customHeight="1" x14ac:dyDescent="0.2">
      <c r="A100" s="17"/>
      <c r="B100" s="121" t="s">
        <v>177</v>
      </c>
      <c r="C100" s="122"/>
      <c r="D100" s="2" t="s">
        <v>176</v>
      </c>
      <c r="E100" s="20"/>
      <c r="F100" s="19"/>
      <c r="G100" s="19"/>
    </row>
    <row r="101" spans="1:7" ht="17.100000000000001" customHeight="1" x14ac:dyDescent="0.2">
      <c r="A101" s="17"/>
      <c r="B101" s="121" t="s">
        <v>178</v>
      </c>
      <c r="C101" s="122"/>
      <c r="D101" s="12" t="s">
        <v>146</v>
      </c>
      <c r="E101" s="20"/>
      <c r="F101" s="19"/>
      <c r="G101" s="19"/>
    </row>
    <row r="102" spans="1:7" ht="24" customHeight="1" x14ac:dyDescent="0.2">
      <c r="A102" s="21"/>
      <c r="B102" s="22" t="s">
        <v>146</v>
      </c>
      <c r="C102" s="22" t="s">
        <v>179</v>
      </c>
      <c r="D102" s="22" t="s">
        <v>180</v>
      </c>
      <c r="E102" s="21"/>
      <c r="F102" s="21"/>
      <c r="G102" s="21"/>
    </row>
    <row r="103" spans="1:7" ht="18" customHeight="1" x14ac:dyDescent="0.2">
      <c r="A103" s="21"/>
      <c r="B103" s="23" t="s">
        <v>181</v>
      </c>
      <c r="C103" s="22" t="s">
        <v>182</v>
      </c>
      <c r="D103" s="22" t="s">
        <v>183</v>
      </c>
      <c r="E103" s="21"/>
      <c r="F103" s="21"/>
      <c r="G103" s="21"/>
    </row>
    <row r="104" spans="1:7" ht="17.100000000000001" customHeight="1" x14ac:dyDescent="0.2">
      <c r="A104" s="21"/>
      <c r="B104" s="4" t="s">
        <v>184</v>
      </c>
      <c r="C104" s="24">
        <v>86.168999999999997</v>
      </c>
      <c r="D104" s="24">
        <v>85.264700000000005</v>
      </c>
      <c r="E104" s="21"/>
      <c r="F104" s="18"/>
      <c r="G104" s="25"/>
    </row>
    <row r="105" spans="1:7" ht="17.100000000000001" customHeight="1" x14ac:dyDescent="0.2">
      <c r="A105" s="21"/>
      <c r="B105" s="4" t="s">
        <v>1039</v>
      </c>
      <c r="C105" s="24">
        <v>31.4894</v>
      </c>
      <c r="D105" s="24">
        <v>28.984300000000001</v>
      </c>
      <c r="E105" s="21"/>
      <c r="F105" s="18"/>
      <c r="G105" s="25"/>
    </row>
    <row r="106" spans="1:7" ht="29.1" customHeight="1" x14ac:dyDescent="0.2">
      <c r="A106" s="21"/>
      <c r="B106" s="4" t="s">
        <v>845</v>
      </c>
      <c r="C106" s="24">
        <v>88.5976</v>
      </c>
      <c r="D106" s="24">
        <v>87.667900000000003</v>
      </c>
      <c r="E106" s="21"/>
      <c r="F106" s="18"/>
      <c r="G106" s="25"/>
    </row>
    <row r="107" spans="1:7" ht="29.1" customHeight="1" x14ac:dyDescent="0.2">
      <c r="A107" s="21"/>
      <c r="B107" s="4" t="s">
        <v>1048</v>
      </c>
      <c r="C107" s="24">
        <v>32.036000000000001</v>
      </c>
      <c r="D107" s="24">
        <v>29.486799999999999</v>
      </c>
      <c r="E107" s="21"/>
      <c r="F107" s="18"/>
      <c r="G107" s="25"/>
    </row>
    <row r="108" spans="1:7" ht="17.100000000000001" customHeight="1" x14ac:dyDescent="0.2">
      <c r="A108" s="21"/>
      <c r="B108" s="4" t="s">
        <v>185</v>
      </c>
      <c r="C108" s="24">
        <v>78.231899999999996</v>
      </c>
      <c r="D108" s="24">
        <v>77.319999999999993</v>
      </c>
      <c r="E108" s="21"/>
      <c r="F108" s="18"/>
      <c r="G108" s="25"/>
    </row>
    <row r="109" spans="1:7" ht="17.100000000000001" customHeight="1" x14ac:dyDescent="0.2">
      <c r="A109" s="21"/>
      <c r="B109" s="4" t="s">
        <v>1040</v>
      </c>
      <c r="C109" s="24">
        <v>28.123899999999999</v>
      </c>
      <c r="D109" s="24">
        <v>25.855</v>
      </c>
      <c r="E109" s="21"/>
      <c r="F109" s="18"/>
      <c r="G109" s="25"/>
    </row>
    <row r="110" spans="1:7" ht="14.1" customHeight="1" x14ac:dyDescent="0.2">
      <c r="A110" s="21"/>
      <c r="B110" s="21"/>
      <c r="C110" s="21"/>
      <c r="D110" s="21"/>
      <c r="E110" s="21"/>
      <c r="F110" s="21"/>
      <c r="G110" s="21"/>
    </row>
    <row r="111" spans="1:7" ht="17.100000000000001" customHeight="1" x14ac:dyDescent="0.2">
      <c r="A111" s="21"/>
      <c r="B111" s="121" t="s">
        <v>1041</v>
      </c>
      <c r="C111" s="122"/>
      <c r="D111" s="2" t="s">
        <v>146</v>
      </c>
      <c r="E111" s="21"/>
      <c r="F111" s="21"/>
      <c r="G111" s="21"/>
    </row>
    <row r="112" spans="1:7" ht="18" customHeight="1" x14ac:dyDescent="0.2">
      <c r="A112" s="21"/>
      <c r="B112" s="28" t="s">
        <v>181</v>
      </c>
      <c r="C112" s="29" t="s">
        <v>316</v>
      </c>
      <c r="D112" s="29" t="s">
        <v>317</v>
      </c>
      <c r="E112" s="21"/>
      <c r="F112" s="21"/>
      <c r="G112" s="21"/>
    </row>
    <row r="113" spans="1:7" ht="17.100000000000001" customHeight="1" x14ac:dyDescent="0.2">
      <c r="A113" s="21"/>
      <c r="B113" s="4" t="s">
        <v>1039</v>
      </c>
      <c r="C113" s="30">
        <v>2.2050000000000001</v>
      </c>
      <c r="D113" s="30">
        <v>2.2050000000000001</v>
      </c>
      <c r="E113" s="21"/>
      <c r="F113" s="18"/>
      <c r="G113" s="25"/>
    </row>
    <row r="114" spans="1:7" ht="29.1" customHeight="1" x14ac:dyDescent="0.2">
      <c r="A114" s="21"/>
      <c r="B114" s="4" t="s">
        <v>1048</v>
      </c>
      <c r="C114" s="30">
        <v>2.2440000000000002</v>
      </c>
      <c r="D114" s="8" t="s">
        <v>551</v>
      </c>
      <c r="E114" s="21"/>
      <c r="F114" s="18"/>
      <c r="G114" s="25"/>
    </row>
    <row r="115" spans="1:7" ht="17.100000000000001" customHeight="1" x14ac:dyDescent="0.2">
      <c r="A115" s="21"/>
      <c r="B115" s="4" t="s">
        <v>1040</v>
      </c>
      <c r="C115" s="30">
        <v>1.9690000000000001</v>
      </c>
      <c r="D115" s="30">
        <v>1.9690000000000001</v>
      </c>
      <c r="E115" s="21"/>
      <c r="F115" s="18"/>
      <c r="G115" s="25"/>
    </row>
    <row r="116" spans="1:7" ht="14.1" customHeight="1" x14ac:dyDescent="0.2">
      <c r="A116" s="21"/>
      <c r="B116" s="31"/>
      <c r="C116" s="31"/>
      <c r="D116" s="32"/>
      <c r="E116" s="21"/>
      <c r="F116" s="18"/>
      <c r="G116" s="25"/>
    </row>
    <row r="117" spans="1:7" ht="29.1" customHeight="1" x14ac:dyDescent="0.2">
      <c r="A117" s="21"/>
      <c r="B117" s="121" t="s">
        <v>186</v>
      </c>
      <c r="C117" s="122"/>
      <c r="D117" s="2" t="s">
        <v>176</v>
      </c>
      <c r="E117" s="27"/>
      <c r="F117" s="21"/>
      <c r="G117" s="21"/>
    </row>
    <row r="118" spans="1:7" ht="29.1" customHeight="1" x14ac:dyDescent="0.2">
      <c r="A118" s="21"/>
      <c r="B118" s="121" t="s">
        <v>187</v>
      </c>
      <c r="C118" s="122"/>
      <c r="D118" s="2" t="s">
        <v>176</v>
      </c>
      <c r="E118" s="27"/>
      <c r="F118" s="21"/>
      <c r="G118" s="21"/>
    </row>
    <row r="119" spans="1:7" ht="17.100000000000001" customHeight="1" x14ac:dyDescent="0.2">
      <c r="A119" s="21"/>
      <c r="B119" s="121" t="s">
        <v>188</v>
      </c>
      <c r="C119" s="122"/>
      <c r="D119" s="2" t="s">
        <v>176</v>
      </c>
      <c r="E119" s="27"/>
      <c r="F119" s="21"/>
      <c r="G119" s="21"/>
    </row>
    <row r="120" spans="1:7" ht="17.100000000000001" customHeight="1" x14ac:dyDescent="0.2">
      <c r="A120" s="21"/>
      <c r="B120" s="121" t="s">
        <v>189</v>
      </c>
      <c r="C120" s="122"/>
      <c r="D120" s="50">
        <v>0.77214150091931277</v>
      </c>
      <c r="E120" s="21"/>
      <c r="F120" s="18"/>
      <c r="G120" s="25"/>
    </row>
  </sheetData>
  <mergeCells count="13">
    <mergeCell ref="A1:H1"/>
    <mergeCell ref="A2:H2"/>
    <mergeCell ref="A3:H3"/>
    <mergeCell ref="J2:N2"/>
    <mergeCell ref="B120:C120"/>
    <mergeCell ref="B100:C100"/>
    <mergeCell ref="B101:C101"/>
    <mergeCell ref="B111:C111"/>
    <mergeCell ref="B117:C117"/>
    <mergeCell ref="B118:C118"/>
    <mergeCell ref="B119:C119"/>
    <mergeCell ref="B99:C99"/>
    <mergeCell ref="B98:D98"/>
  </mergeCells>
  <hyperlinks>
    <hyperlink ref="I1" location="Index!B29" display="Index" xr:uid="{8C68E61F-51BB-48EF-9CB4-C4D69931066C}"/>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D7CB5-92B0-487B-894A-CD59B2A8D06F}">
  <dimension ref="B1:G208"/>
  <sheetViews>
    <sheetView workbookViewId="0">
      <selection activeCell="B8" sqref="B8"/>
    </sheetView>
  </sheetViews>
  <sheetFormatPr defaultRowHeight="12.75" x14ac:dyDescent="0.2"/>
  <cols>
    <col min="1" max="1" width="9.5703125" style="91" customWidth="1"/>
    <col min="2" max="2" width="31.42578125" style="91" customWidth="1"/>
    <col min="3" max="3" width="58" style="91" customWidth="1"/>
    <col min="4" max="4" width="17.28515625" style="91" bestFit="1" customWidth="1"/>
    <col min="5" max="5" width="20.140625" style="91" bestFit="1" customWidth="1"/>
    <col min="6" max="6" width="16.42578125" style="91" bestFit="1" customWidth="1"/>
    <col min="7" max="7" width="17.85546875" style="91" bestFit="1" customWidth="1"/>
    <col min="8" max="16384" width="9.140625" style="91"/>
  </cols>
  <sheetData>
    <row r="1" spans="2:7" x14ac:dyDescent="0.2">
      <c r="G1" s="153" t="s">
        <v>989</v>
      </c>
    </row>
    <row r="2" spans="2:7" x14ac:dyDescent="0.2">
      <c r="B2" s="154" t="s">
        <v>1093</v>
      </c>
      <c r="C2" s="154"/>
      <c r="D2" s="154"/>
      <c r="E2" s="154"/>
      <c r="F2" s="154"/>
      <c r="G2" s="154"/>
    </row>
    <row r="3" spans="2:7" x14ac:dyDescent="0.2">
      <c r="B3" s="154" t="s">
        <v>1094</v>
      </c>
      <c r="C3" s="154"/>
      <c r="D3" s="154"/>
      <c r="E3" s="154"/>
      <c r="F3" s="154"/>
      <c r="G3" s="154"/>
    </row>
    <row r="4" spans="2:7" x14ac:dyDescent="0.2">
      <c r="B4" s="153"/>
      <c r="C4" s="153"/>
      <c r="D4" s="153"/>
      <c r="E4" s="153"/>
      <c r="F4" s="153"/>
      <c r="G4" s="153"/>
    </row>
    <row r="5" spans="2:7" x14ac:dyDescent="0.2">
      <c r="B5" s="154" t="s">
        <v>1095</v>
      </c>
      <c r="C5" s="154"/>
      <c r="D5" s="154"/>
      <c r="E5" s="154"/>
      <c r="F5" s="154"/>
      <c r="G5" s="154"/>
    </row>
    <row r="6" spans="2:7" x14ac:dyDescent="0.2">
      <c r="B6" s="153" t="s">
        <v>1096</v>
      </c>
    </row>
    <row r="8" spans="2:7" ht="25.5" x14ac:dyDescent="0.2">
      <c r="B8" s="155" t="s">
        <v>1097</v>
      </c>
      <c r="C8" s="155" t="s">
        <v>1098</v>
      </c>
      <c r="D8" s="155" t="s">
        <v>1099</v>
      </c>
      <c r="E8" s="156" t="s">
        <v>1100</v>
      </c>
      <c r="F8" s="156" t="s">
        <v>1101</v>
      </c>
      <c r="G8" s="156" t="s">
        <v>1102</v>
      </c>
    </row>
    <row r="9" spans="2:7" x14ac:dyDescent="0.2">
      <c r="B9" s="157" t="s">
        <v>190</v>
      </c>
      <c r="C9" s="158" t="s">
        <v>1103</v>
      </c>
      <c r="D9" s="159" t="s">
        <v>1104</v>
      </c>
      <c r="E9" s="160">
        <v>1874.28</v>
      </c>
      <c r="F9" s="161">
        <v>1872.45</v>
      </c>
      <c r="G9" s="162">
        <v>801.96824500000002</v>
      </c>
    </row>
    <row r="10" spans="2:7" x14ac:dyDescent="0.2">
      <c r="B10" s="155"/>
      <c r="C10" s="155"/>
      <c r="D10" s="155"/>
      <c r="E10" s="163"/>
      <c r="F10" s="163"/>
      <c r="G10" s="156"/>
    </row>
    <row r="11" spans="2:7" x14ac:dyDescent="0.2">
      <c r="B11" s="158" t="s">
        <v>670</v>
      </c>
      <c r="C11" s="158" t="s">
        <v>1105</v>
      </c>
      <c r="D11" s="159" t="s">
        <v>1104</v>
      </c>
      <c r="E11" s="164">
        <v>2017.32</v>
      </c>
      <c r="F11" s="164">
        <v>1896.75</v>
      </c>
      <c r="G11" s="162">
        <v>42.996752000000001</v>
      </c>
    </row>
    <row r="12" spans="2:7" x14ac:dyDescent="0.2">
      <c r="B12" s="158" t="s">
        <v>670</v>
      </c>
      <c r="C12" s="158" t="s">
        <v>1106</v>
      </c>
      <c r="D12" s="159" t="s">
        <v>1104</v>
      </c>
      <c r="E12" s="164">
        <v>7783.47</v>
      </c>
      <c r="F12" s="164">
        <v>7517</v>
      </c>
      <c r="G12" s="162">
        <v>51.558264000000001</v>
      </c>
    </row>
    <row r="13" spans="2:7" x14ac:dyDescent="0.2">
      <c r="B13" s="158" t="s">
        <v>670</v>
      </c>
      <c r="C13" s="158" t="s">
        <v>1107</v>
      </c>
      <c r="D13" s="159" t="s">
        <v>1104</v>
      </c>
      <c r="E13" s="164">
        <v>520.49</v>
      </c>
      <c r="F13" s="164">
        <v>529.4</v>
      </c>
      <c r="G13" s="162">
        <v>50.030177500000001</v>
      </c>
    </row>
    <row r="14" spans="2:7" x14ac:dyDescent="0.2">
      <c r="B14" s="158" t="s">
        <v>670</v>
      </c>
      <c r="C14" s="158" t="s">
        <v>1108</v>
      </c>
      <c r="D14" s="159" t="s">
        <v>1104</v>
      </c>
      <c r="E14" s="164">
        <v>548.73</v>
      </c>
      <c r="F14" s="164">
        <v>567.04999999999995</v>
      </c>
      <c r="G14" s="162">
        <v>97.174552800000015</v>
      </c>
    </row>
    <row r="15" spans="2:7" x14ac:dyDescent="0.2">
      <c r="B15" s="158" t="s">
        <v>670</v>
      </c>
      <c r="C15" s="158" t="s">
        <v>1109</v>
      </c>
      <c r="D15" s="159" t="s">
        <v>1104</v>
      </c>
      <c r="E15" s="164">
        <v>3434.71</v>
      </c>
      <c r="F15" s="164">
        <v>3309.25</v>
      </c>
      <c r="G15" s="162">
        <v>13.513780800000001</v>
      </c>
    </row>
    <row r="16" spans="2:7" x14ac:dyDescent="0.2">
      <c r="B16" s="158" t="s">
        <v>670</v>
      </c>
      <c r="C16" s="158" t="s">
        <v>1110</v>
      </c>
      <c r="D16" s="159" t="s">
        <v>1104</v>
      </c>
      <c r="E16" s="164">
        <v>126.73</v>
      </c>
      <c r="F16" s="164">
        <v>120.1</v>
      </c>
      <c r="G16" s="162">
        <v>3.8710803999999999</v>
      </c>
    </row>
    <row r="17" spans="2:7" x14ac:dyDescent="0.2">
      <c r="B17" s="158" t="s">
        <v>670</v>
      </c>
      <c r="C17" s="158" t="s">
        <v>1111</v>
      </c>
      <c r="D17" s="159" t="s">
        <v>1104</v>
      </c>
      <c r="E17" s="164">
        <v>426.58</v>
      </c>
      <c r="F17" s="164">
        <v>429.1</v>
      </c>
      <c r="G17" s="162">
        <v>31.942674</v>
      </c>
    </row>
    <row r="18" spans="2:7" x14ac:dyDescent="0.2">
      <c r="B18" s="158" t="s">
        <v>670</v>
      </c>
      <c r="C18" s="165" t="s">
        <v>1112</v>
      </c>
      <c r="D18" s="159" t="s">
        <v>1104</v>
      </c>
      <c r="E18" s="164">
        <v>439.06</v>
      </c>
      <c r="F18" s="164">
        <v>426.85</v>
      </c>
      <c r="G18" s="162">
        <v>74.125610999999992</v>
      </c>
    </row>
    <row r="19" spans="2:7" x14ac:dyDescent="0.2">
      <c r="B19" s="158" t="s">
        <v>670</v>
      </c>
      <c r="C19" s="165" t="s">
        <v>1113</v>
      </c>
      <c r="D19" s="159" t="s">
        <v>1104</v>
      </c>
      <c r="E19" s="164">
        <v>1495.54</v>
      </c>
      <c r="F19" s="164">
        <v>1493.25</v>
      </c>
      <c r="G19" s="162">
        <v>27.6866214</v>
      </c>
    </row>
    <row r="20" spans="2:7" x14ac:dyDescent="0.2">
      <c r="B20" s="158" t="s">
        <v>670</v>
      </c>
      <c r="C20" s="165" t="s">
        <v>1114</v>
      </c>
      <c r="D20" s="159" t="s">
        <v>1104</v>
      </c>
      <c r="E20" s="164">
        <v>1540.58</v>
      </c>
      <c r="F20" s="164">
        <v>1484.65</v>
      </c>
      <c r="G20" s="162">
        <v>107.23377740000001</v>
      </c>
    </row>
    <row r="21" spans="2:7" x14ac:dyDescent="0.2">
      <c r="B21" s="158" t="s">
        <v>670</v>
      </c>
      <c r="C21" s="165" t="s">
        <v>1115</v>
      </c>
      <c r="D21" s="159" t="s">
        <v>1104</v>
      </c>
      <c r="E21" s="164">
        <v>941.65</v>
      </c>
      <c r="F21" s="164">
        <v>921.35</v>
      </c>
      <c r="G21" s="162">
        <v>127.40255879999999</v>
      </c>
    </row>
    <row r="22" spans="2:7" x14ac:dyDescent="0.2">
      <c r="B22" s="158" t="s">
        <v>670</v>
      </c>
      <c r="C22" s="165" t="s">
        <v>1116</v>
      </c>
      <c r="D22" s="159" t="s">
        <v>1104</v>
      </c>
      <c r="E22" s="164">
        <v>188.63</v>
      </c>
      <c r="F22" s="164">
        <v>173.5</v>
      </c>
      <c r="G22" s="162">
        <v>131.598445</v>
      </c>
    </row>
    <row r="23" spans="2:7" x14ac:dyDescent="0.2">
      <c r="B23" s="158" t="s">
        <v>670</v>
      </c>
      <c r="C23" s="165" t="s">
        <v>1117</v>
      </c>
      <c r="D23" s="159" t="s">
        <v>1104</v>
      </c>
      <c r="E23" s="164">
        <v>439.16</v>
      </c>
      <c r="F23" s="164">
        <v>431.1</v>
      </c>
      <c r="G23" s="162">
        <v>7.3332959999999998</v>
      </c>
    </row>
    <row r="24" spans="2:7" x14ac:dyDescent="0.2">
      <c r="B24" s="158" t="s">
        <v>670</v>
      </c>
      <c r="C24" s="165" t="s">
        <v>1118</v>
      </c>
      <c r="D24" s="159" t="s">
        <v>1104</v>
      </c>
      <c r="E24" s="164">
        <v>1720.4</v>
      </c>
      <c r="F24" s="164">
        <v>1756.15</v>
      </c>
      <c r="G24" s="162">
        <v>11.067309000000002</v>
      </c>
    </row>
    <row r="25" spans="2:7" x14ac:dyDescent="0.2">
      <c r="B25" s="158" t="s">
        <v>670</v>
      </c>
      <c r="C25" s="165" t="s">
        <v>1119</v>
      </c>
      <c r="D25" s="159" t="s">
        <v>1104</v>
      </c>
      <c r="E25" s="164">
        <v>142.09</v>
      </c>
      <c r="F25" s="164">
        <v>137.4</v>
      </c>
      <c r="G25" s="162">
        <v>135.39707999999999</v>
      </c>
    </row>
    <row r="26" spans="2:7" x14ac:dyDescent="0.2">
      <c r="B26" s="158" t="s">
        <v>670</v>
      </c>
      <c r="C26" s="165" t="s">
        <v>1120</v>
      </c>
      <c r="D26" s="159" t="s">
        <v>1104</v>
      </c>
      <c r="E26" s="164">
        <v>10859.19</v>
      </c>
      <c r="F26" s="164">
        <v>10441.1</v>
      </c>
      <c r="G26" s="162">
        <v>94.159188599999993</v>
      </c>
    </row>
    <row r="27" spans="2:7" x14ac:dyDescent="0.2">
      <c r="B27" s="158" t="s">
        <v>670</v>
      </c>
      <c r="C27" s="165" t="s">
        <v>1121</v>
      </c>
      <c r="D27" s="159" t="s">
        <v>1104</v>
      </c>
      <c r="E27" s="164">
        <v>2327.62</v>
      </c>
      <c r="F27" s="164">
        <v>2302.6</v>
      </c>
      <c r="G27" s="162">
        <v>127.07861</v>
      </c>
    </row>
    <row r="28" spans="2:7" x14ac:dyDescent="0.2">
      <c r="B28" s="158" t="s">
        <v>670</v>
      </c>
      <c r="C28" s="165" t="s">
        <v>1122</v>
      </c>
      <c r="D28" s="159" t="s">
        <v>1104</v>
      </c>
      <c r="E28" s="164">
        <v>3475.3</v>
      </c>
      <c r="F28" s="164">
        <v>3349.7</v>
      </c>
      <c r="G28" s="162">
        <v>6.6640343999999994</v>
      </c>
    </row>
    <row r="29" spans="2:7" x14ac:dyDescent="0.2">
      <c r="B29" s="158" t="s">
        <v>670</v>
      </c>
      <c r="C29" s="165" t="s">
        <v>1123</v>
      </c>
      <c r="D29" s="159" t="s">
        <v>1104</v>
      </c>
      <c r="E29" s="164">
        <v>1747.59</v>
      </c>
      <c r="F29" s="164">
        <v>1669.9</v>
      </c>
      <c r="G29" s="162">
        <v>25.379737499999997</v>
      </c>
    </row>
    <row r="30" spans="2:7" x14ac:dyDescent="0.2">
      <c r="B30" s="158" t="s">
        <v>670</v>
      </c>
      <c r="C30" s="165" t="s">
        <v>1124</v>
      </c>
      <c r="D30" s="159" t="s">
        <v>1104</v>
      </c>
      <c r="E30" s="164">
        <v>3420.9</v>
      </c>
      <c r="F30" s="164">
        <v>3387.55</v>
      </c>
      <c r="G30" s="162">
        <v>5.247687</v>
      </c>
    </row>
    <row r="31" spans="2:7" x14ac:dyDescent="0.2">
      <c r="B31" s="158" t="s">
        <v>670</v>
      </c>
      <c r="C31" s="165" t="s">
        <v>1125</v>
      </c>
      <c r="D31" s="159" t="s">
        <v>1104</v>
      </c>
      <c r="E31" s="164">
        <v>893.92</v>
      </c>
      <c r="F31" s="164">
        <v>906.5</v>
      </c>
      <c r="G31" s="162">
        <v>14.308875</v>
      </c>
    </row>
    <row r="32" spans="2:7" x14ac:dyDescent="0.2">
      <c r="B32" s="158" t="s">
        <v>670</v>
      </c>
      <c r="C32" s="165" t="s">
        <v>1126</v>
      </c>
      <c r="D32" s="159" t="s">
        <v>1104</v>
      </c>
      <c r="E32" s="164">
        <v>597.54999999999995</v>
      </c>
      <c r="F32" s="164">
        <v>543.65</v>
      </c>
      <c r="G32" s="162">
        <v>9.9567264000000009</v>
      </c>
    </row>
    <row r="33" spans="2:7" x14ac:dyDescent="0.2">
      <c r="B33" s="158" t="s">
        <v>670</v>
      </c>
      <c r="C33" s="165" t="s">
        <v>1127</v>
      </c>
      <c r="D33" s="159" t="s">
        <v>1104</v>
      </c>
      <c r="E33" s="164">
        <v>262.36</v>
      </c>
      <c r="F33" s="164">
        <v>260.35000000000002</v>
      </c>
      <c r="G33" s="162">
        <v>229.83078909999998</v>
      </c>
    </row>
    <row r="34" spans="2:7" x14ac:dyDescent="0.2">
      <c r="B34" s="158" t="s">
        <v>670</v>
      </c>
      <c r="C34" s="165" t="s">
        <v>1128</v>
      </c>
      <c r="D34" s="159" t="s">
        <v>1104</v>
      </c>
      <c r="E34" s="164">
        <v>584.17999999999995</v>
      </c>
      <c r="F34" s="164">
        <v>577.4</v>
      </c>
      <c r="G34" s="162">
        <v>11.107692</v>
      </c>
    </row>
    <row r="35" spans="2:7" x14ac:dyDescent="0.2">
      <c r="B35" s="158"/>
      <c r="C35" s="166"/>
      <c r="D35" s="159"/>
      <c r="E35" s="164"/>
      <c r="F35" s="167"/>
      <c r="G35" s="168"/>
    </row>
    <row r="36" spans="2:7" x14ac:dyDescent="0.2">
      <c r="B36" s="158" t="s">
        <v>692</v>
      </c>
      <c r="C36" s="169" t="s">
        <v>1129</v>
      </c>
      <c r="D36" s="159" t="s">
        <v>1104</v>
      </c>
      <c r="E36" s="160">
        <v>778.49</v>
      </c>
      <c r="F36" s="160">
        <v>789.95</v>
      </c>
      <c r="G36" s="162">
        <v>17.239045999999998</v>
      </c>
    </row>
    <row r="37" spans="2:7" x14ac:dyDescent="0.2">
      <c r="B37" s="158" t="s">
        <v>692</v>
      </c>
      <c r="C37" s="169" t="s">
        <v>1130</v>
      </c>
      <c r="D37" s="159" t="s">
        <v>1104</v>
      </c>
      <c r="E37" s="160">
        <v>981.66</v>
      </c>
      <c r="F37" s="160">
        <v>985.2</v>
      </c>
      <c r="G37" s="162">
        <v>58.088662500000005</v>
      </c>
    </row>
    <row r="38" spans="2:7" x14ac:dyDescent="0.2">
      <c r="B38" s="158" t="s">
        <v>692</v>
      </c>
      <c r="C38" s="169" t="s">
        <v>1131</v>
      </c>
      <c r="D38" s="159" t="s">
        <v>1104</v>
      </c>
      <c r="E38" s="160">
        <v>5345.03</v>
      </c>
      <c r="F38" s="160">
        <v>5344.1</v>
      </c>
      <c r="G38" s="162">
        <v>5.8936719999999996</v>
      </c>
    </row>
    <row r="39" spans="2:7" x14ac:dyDescent="0.2">
      <c r="B39" s="158" t="s">
        <v>692</v>
      </c>
      <c r="C39" s="169" t="s">
        <v>1106</v>
      </c>
      <c r="D39" s="159" t="s">
        <v>1104</v>
      </c>
      <c r="E39" s="160">
        <v>7861.95</v>
      </c>
      <c r="F39" s="160">
        <v>7517</v>
      </c>
      <c r="G39" s="162">
        <v>223.41914399999999</v>
      </c>
    </row>
    <row r="40" spans="2:7" x14ac:dyDescent="0.2">
      <c r="B40" s="158" t="s">
        <v>692</v>
      </c>
      <c r="C40" s="169" t="s">
        <v>1132</v>
      </c>
      <c r="D40" s="159" t="s">
        <v>1104</v>
      </c>
      <c r="E40" s="160">
        <v>1581.08</v>
      </c>
      <c r="F40" s="160">
        <v>1575.8</v>
      </c>
      <c r="G40" s="162">
        <v>18.358145</v>
      </c>
    </row>
    <row r="41" spans="2:7" x14ac:dyDescent="0.2">
      <c r="B41" s="158" t="s">
        <v>692</v>
      </c>
      <c r="C41" s="169" t="s">
        <v>1133</v>
      </c>
      <c r="D41" s="159" t="s">
        <v>1104</v>
      </c>
      <c r="E41" s="160">
        <v>200.97</v>
      </c>
      <c r="F41" s="160">
        <v>197.4</v>
      </c>
      <c r="G41" s="162">
        <v>403.11851939999997</v>
      </c>
    </row>
    <row r="42" spans="2:7" x14ac:dyDescent="0.2">
      <c r="B42" s="158" t="s">
        <v>692</v>
      </c>
      <c r="C42" s="169" t="s">
        <v>1134</v>
      </c>
      <c r="D42" s="159" t="s">
        <v>1104</v>
      </c>
      <c r="E42" s="160">
        <v>920</v>
      </c>
      <c r="F42" s="160">
        <v>920</v>
      </c>
      <c r="G42" s="162">
        <v>48.33334</v>
      </c>
    </row>
    <row r="43" spans="2:7" x14ac:dyDescent="0.2">
      <c r="B43" s="158" t="s">
        <v>692</v>
      </c>
      <c r="C43" s="169" t="s">
        <v>1135</v>
      </c>
      <c r="D43" s="159" t="s">
        <v>1104</v>
      </c>
      <c r="E43" s="160">
        <v>1205.04</v>
      </c>
      <c r="F43" s="160">
        <v>1205.1500000000001</v>
      </c>
      <c r="G43" s="162">
        <v>176.50964480000002</v>
      </c>
    </row>
    <row r="44" spans="2:7" x14ac:dyDescent="0.2">
      <c r="B44" s="158" t="s">
        <v>692</v>
      </c>
      <c r="C44" s="169" t="s">
        <v>1136</v>
      </c>
      <c r="D44" s="159" t="s">
        <v>1104</v>
      </c>
      <c r="E44" s="160">
        <v>1039.08</v>
      </c>
      <c r="F44" s="160">
        <v>1040.45</v>
      </c>
      <c r="G44" s="162">
        <v>32.313007500000005</v>
      </c>
    </row>
    <row r="45" spans="2:7" x14ac:dyDescent="0.2">
      <c r="B45" s="158" t="s">
        <v>692</v>
      </c>
      <c r="C45" s="169" t="s">
        <v>1109</v>
      </c>
      <c r="D45" s="159" t="s">
        <v>1104</v>
      </c>
      <c r="E45" s="160">
        <v>3313.6</v>
      </c>
      <c r="F45" s="160">
        <v>3309.25</v>
      </c>
      <c r="G45" s="162">
        <v>42.620385599999999</v>
      </c>
    </row>
    <row r="46" spans="2:7" x14ac:dyDescent="0.2">
      <c r="B46" s="158" t="s">
        <v>692</v>
      </c>
      <c r="C46" s="169" t="s">
        <v>1137</v>
      </c>
      <c r="D46" s="159" t="s">
        <v>1104</v>
      </c>
      <c r="E46" s="160">
        <v>1260.75</v>
      </c>
      <c r="F46" s="160">
        <v>1279.0999999999999</v>
      </c>
      <c r="G46" s="162">
        <v>26.761731500000003</v>
      </c>
    </row>
    <row r="47" spans="2:7" x14ac:dyDescent="0.2">
      <c r="B47" s="158" t="s">
        <v>692</v>
      </c>
      <c r="C47" s="169" t="s">
        <v>1114</v>
      </c>
      <c r="D47" s="159" t="s">
        <v>1104</v>
      </c>
      <c r="E47" s="160">
        <v>1506.38</v>
      </c>
      <c r="F47" s="160">
        <v>1484.65</v>
      </c>
      <c r="G47" s="162">
        <v>544.86351760000002</v>
      </c>
    </row>
    <row r="48" spans="2:7" x14ac:dyDescent="0.2">
      <c r="B48" s="158" t="s">
        <v>692</v>
      </c>
      <c r="C48" s="169" t="s">
        <v>1138</v>
      </c>
      <c r="D48" s="159" t="s">
        <v>1104</v>
      </c>
      <c r="E48" s="160">
        <v>2476.36</v>
      </c>
      <c r="F48" s="160">
        <v>2481.0500000000002</v>
      </c>
      <c r="G48" s="162">
        <v>46.187060500000001</v>
      </c>
    </row>
    <row r="49" spans="2:7" x14ac:dyDescent="0.2">
      <c r="B49" s="158" t="s">
        <v>692</v>
      </c>
      <c r="C49" s="169" t="s">
        <v>1115</v>
      </c>
      <c r="D49" s="159" t="s">
        <v>1104</v>
      </c>
      <c r="E49" s="160">
        <v>935.18</v>
      </c>
      <c r="F49" s="160">
        <v>921.35</v>
      </c>
      <c r="G49" s="162">
        <v>459.10831999999999</v>
      </c>
    </row>
    <row r="50" spans="2:7" x14ac:dyDescent="0.2">
      <c r="B50" s="158" t="s">
        <v>692</v>
      </c>
      <c r="C50" s="169" t="s">
        <v>1139</v>
      </c>
      <c r="D50" s="159" t="s">
        <v>1104</v>
      </c>
      <c r="E50" s="160">
        <v>1437.14</v>
      </c>
      <c r="F50" s="160">
        <v>1446.45</v>
      </c>
      <c r="G50" s="162">
        <v>21.811932000000002</v>
      </c>
    </row>
    <row r="51" spans="2:7" x14ac:dyDescent="0.2">
      <c r="B51" s="158" t="s">
        <v>692</v>
      </c>
      <c r="C51" s="169" t="s">
        <v>1140</v>
      </c>
      <c r="D51" s="159" t="s">
        <v>1104</v>
      </c>
      <c r="E51" s="160">
        <v>1399.5</v>
      </c>
      <c r="F51" s="160">
        <v>1374.15</v>
      </c>
      <c r="G51" s="162">
        <v>349.71623800000003</v>
      </c>
    </row>
    <row r="52" spans="2:7" x14ac:dyDescent="0.2">
      <c r="B52" s="158" t="s">
        <v>692</v>
      </c>
      <c r="C52" s="169" t="s">
        <v>1117</v>
      </c>
      <c r="D52" s="159" t="s">
        <v>1104</v>
      </c>
      <c r="E52" s="160">
        <v>433.21</v>
      </c>
      <c r="F52" s="160">
        <v>431.1</v>
      </c>
      <c r="G52" s="162">
        <v>81.888471999999993</v>
      </c>
    </row>
    <row r="53" spans="2:7" x14ac:dyDescent="0.2">
      <c r="B53" s="158" t="s">
        <v>692</v>
      </c>
      <c r="C53" s="169" t="s">
        <v>1141</v>
      </c>
      <c r="D53" s="159" t="s">
        <v>1104</v>
      </c>
      <c r="E53" s="160">
        <v>676.36</v>
      </c>
      <c r="F53" s="160">
        <v>636.4</v>
      </c>
      <c r="G53" s="162">
        <v>245.27527499999999</v>
      </c>
    </row>
    <row r="54" spans="2:7" x14ac:dyDescent="0.2">
      <c r="B54" s="158" t="s">
        <v>692</v>
      </c>
      <c r="C54" s="169" t="s">
        <v>1142</v>
      </c>
      <c r="D54" s="159" t="s">
        <v>1104</v>
      </c>
      <c r="E54" s="160">
        <v>1764.07</v>
      </c>
      <c r="F54" s="160">
        <v>1745.55</v>
      </c>
      <c r="G54" s="162">
        <v>333.81812100000002</v>
      </c>
    </row>
    <row r="55" spans="2:7" x14ac:dyDescent="0.2">
      <c r="B55" s="158" t="s">
        <v>692</v>
      </c>
      <c r="C55" s="169" t="s">
        <v>1143</v>
      </c>
      <c r="D55" s="159" t="s">
        <v>1104</v>
      </c>
      <c r="E55" s="160">
        <v>2916.37</v>
      </c>
      <c r="F55" s="160">
        <v>2944.3</v>
      </c>
      <c r="G55" s="162">
        <v>74.854151999999999</v>
      </c>
    </row>
    <row r="56" spans="2:7" x14ac:dyDescent="0.2">
      <c r="B56" s="158" t="s">
        <v>692</v>
      </c>
      <c r="C56" s="169" t="s">
        <v>1144</v>
      </c>
      <c r="D56" s="159" t="s">
        <v>1104</v>
      </c>
      <c r="E56" s="160">
        <v>5109.1899999999996</v>
      </c>
      <c r="F56" s="160">
        <v>5093.1499999999996</v>
      </c>
      <c r="G56" s="162">
        <v>68.314158399999997</v>
      </c>
    </row>
    <row r="57" spans="2:7" x14ac:dyDescent="0.2">
      <c r="B57" s="158" t="s">
        <v>692</v>
      </c>
      <c r="C57" s="169" t="s">
        <v>1145</v>
      </c>
      <c r="D57" s="159" t="s">
        <v>1104</v>
      </c>
      <c r="E57" s="160">
        <v>1561.83</v>
      </c>
      <c r="F57" s="160">
        <v>1468.1</v>
      </c>
      <c r="G57" s="162">
        <v>163.05208479999999</v>
      </c>
    </row>
    <row r="58" spans="2:7" x14ac:dyDescent="0.2">
      <c r="B58" s="158" t="s">
        <v>692</v>
      </c>
      <c r="C58" s="169" t="s">
        <v>1120</v>
      </c>
      <c r="D58" s="159" t="s">
        <v>1104</v>
      </c>
      <c r="E58" s="160">
        <v>10821.81</v>
      </c>
      <c r="F58" s="160">
        <v>10441.1</v>
      </c>
      <c r="G58" s="162">
        <v>361.86668559999998</v>
      </c>
    </row>
    <row r="59" spans="2:7" x14ac:dyDescent="0.2">
      <c r="B59" s="158" t="s">
        <v>692</v>
      </c>
      <c r="C59" s="169" t="s">
        <v>1146</v>
      </c>
      <c r="D59" s="159" t="s">
        <v>1104</v>
      </c>
      <c r="E59" s="160">
        <v>232.54</v>
      </c>
      <c r="F59" s="160">
        <v>235.1</v>
      </c>
      <c r="G59" s="162">
        <v>22.48479</v>
      </c>
    </row>
    <row r="60" spans="2:7" x14ac:dyDescent="0.2">
      <c r="B60" s="158" t="s">
        <v>692</v>
      </c>
      <c r="C60" s="169" t="s">
        <v>1121</v>
      </c>
      <c r="D60" s="159" t="s">
        <v>1104</v>
      </c>
      <c r="E60" s="160">
        <v>2273.71</v>
      </c>
      <c r="F60" s="160">
        <v>2302.6</v>
      </c>
      <c r="G60" s="162">
        <v>166.02205499999999</v>
      </c>
    </row>
    <row r="61" spans="2:7" x14ac:dyDescent="0.2">
      <c r="B61" s="158" t="s">
        <v>692</v>
      </c>
      <c r="C61" s="169" t="s">
        <v>1147</v>
      </c>
      <c r="D61" s="159" t="s">
        <v>1104</v>
      </c>
      <c r="E61" s="160">
        <v>1344.71</v>
      </c>
      <c r="F61" s="160">
        <v>1374.85</v>
      </c>
      <c r="G61" s="162">
        <v>10.664988600000001</v>
      </c>
    </row>
    <row r="62" spans="2:7" x14ac:dyDescent="0.2">
      <c r="B62" s="158" t="s">
        <v>692</v>
      </c>
      <c r="C62" s="169" t="s">
        <v>1148</v>
      </c>
      <c r="D62" s="159" t="s">
        <v>1104</v>
      </c>
      <c r="E62" s="160">
        <v>555.29999999999995</v>
      </c>
      <c r="F62" s="160">
        <v>567.75</v>
      </c>
      <c r="G62" s="162">
        <v>165.596068</v>
      </c>
    </row>
    <row r="63" spans="2:7" x14ac:dyDescent="0.2">
      <c r="B63" s="158" t="s">
        <v>692</v>
      </c>
      <c r="C63" s="169" t="s">
        <v>1149</v>
      </c>
      <c r="D63" s="159" t="s">
        <v>1104</v>
      </c>
      <c r="E63" s="160">
        <v>1101.6300000000001</v>
      </c>
      <c r="F63" s="160">
        <v>1091.9000000000001</v>
      </c>
      <c r="G63" s="162">
        <v>24.826598999999998</v>
      </c>
    </row>
    <row r="64" spans="2:7" x14ac:dyDescent="0.2">
      <c r="B64" s="158" t="s">
        <v>692</v>
      </c>
      <c r="C64" s="169" t="s">
        <v>1124</v>
      </c>
      <c r="D64" s="159" t="s">
        <v>1104</v>
      </c>
      <c r="E64" s="160">
        <v>3376.15</v>
      </c>
      <c r="F64" s="160">
        <v>3387.55</v>
      </c>
      <c r="G64" s="162">
        <v>73.467618000000002</v>
      </c>
    </row>
    <row r="65" spans="2:7" x14ac:dyDescent="0.2">
      <c r="B65" s="158" t="s">
        <v>692</v>
      </c>
      <c r="C65" s="169" t="s">
        <v>1150</v>
      </c>
      <c r="D65" s="159" t="s">
        <v>1104</v>
      </c>
      <c r="E65" s="160">
        <v>671.15</v>
      </c>
      <c r="F65" s="160">
        <v>632.70000000000005</v>
      </c>
      <c r="G65" s="162">
        <v>203.2003374</v>
      </c>
    </row>
    <row r="66" spans="2:7" x14ac:dyDescent="0.2">
      <c r="B66" s="158" t="s">
        <v>692</v>
      </c>
      <c r="C66" s="169" t="s">
        <v>1151</v>
      </c>
      <c r="D66" s="159" t="s">
        <v>1104</v>
      </c>
      <c r="E66" s="160">
        <v>120.03</v>
      </c>
      <c r="F66" s="160">
        <v>119.4</v>
      </c>
      <c r="G66" s="162">
        <v>21.354465000000001</v>
      </c>
    </row>
    <row r="67" spans="2:7" x14ac:dyDescent="0.2">
      <c r="B67" s="158" t="s">
        <v>692</v>
      </c>
      <c r="C67" s="169" t="s">
        <v>1152</v>
      </c>
      <c r="D67" s="159" t="s">
        <v>1104</v>
      </c>
      <c r="E67" s="160">
        <v>1116</v>
      </c>
      <c r="F67" s="160">
        <v>1128.25</v>
      </c>
      <c r="G67" s="162">
        <v>14.39847</v>
      </c>
    </row>
    <row r="68" spans="2:7" x14ac:dyDescent="0.2">
      <c r="B68" s="158" t="s">
        <v>692</v>
      </c>
      <c r="C68" s="169" t="s">
        <v>1153</v>
      </c>
      <c r="D68" s="159" t="s">
        <v>1104</v>
      </c>
      <c r="E68" s="160">
        <v>1560.01</v>
      </c>
      <c r="F68" s="160">
        <v>1587.7</v>
      </c>
      <c r="G68" s="162">
        <v>53.8063182</v>
      </c>
    </row>
    <row r="69" spans="2:7" x14ac:dyDescent="0.2">
      <c r="B69" s="158" t="s">
        <v>692</v>
      </c>
      <c r="C69" s="169" t="s">
        <v>1154</v>
      </c>
      <c r="D69" s="159" t="s">
        <v>1104</v>
      </c>
      <c r="E69" s="160">
        <v>8365.69</v>
      </c>
      <c r="F69" s="160">
        <v>8460.15</v>
      </c>
      <c r="G69" s="162">
        <v>19.405298899999998</v>
      </c>
    </row>
    <row r="70" spans="2:7" x14ac:dyDescent="0.2">
      <c r="B70" s="158" t="s">
        <v>692</v>
      </c>
      <c r="C70" s="169" t="s">
        <v>1155</v>
      </c>
      <c r="D70" s="159" t="s">
        <v>1104</v>
      </c>
      <c r="E70" s="160">
        <v>1046.4000000000001</v>
      </c>
      <c r="F70" s="160">
        <v>1033.8</v>
      </c>
      <c r="G70" s="162">
        <v>140.57351</v>
      </c>
    </row>
    <row r="71" spans="2:7" x14ac:dyDescent="0.2">
      <c r="B71" s="158"/>
      <c r="C71" s="169"/>
      <c r="D71" s="159"/>
      <c r="E71" s="170"/>
      <c r="F71" s="171"/>
      <c r="G71" s="162"/>
    </row>
    <row r="72" spans="2:7" x14ac:dyDescent="0.2">
      <c r="B72" s="158" t="s">
        <v>725</v>
      </c>
      <c r="C72" s="39" t="s">
        <v>1105</v>
      </c>
      <c r="D72" s="159" t="s">
        <v>1104</v>
      </c>
      <c r="E72" s="160">
        <v>1980.81</v>
      </c>
      <c r="F72" s="160">
        <v>1896.75</v>
      </c>
      <c r="G72" s="172">
        <v>31.172645200000002</v>
      </c>
    </row>
    <row r="73" spans="2:7" x14ac:dyDescent="0.2">
      <c r="B73" s="158" t="s">
        <v>725</v>
      </c>
      <c r="C73" s="39" t="s">
        <v>1156</v>
      </c>
      <c r="D73" s="159" t="s">
        <v>1104</v>
      </c>
      <c r="E73" s="160">
        <v>871</v>
      </c>
      <c r="F73" s="160">
        <v>852.75</v>
      </c>
      <c r="G73" s="172">
        <v>74.494752000000005</v>
      </c>
    </row>
    <row r="74" spans="2:7" x14ac:dyDescent="0.2">
      <c r="B74" s="158" t="s">
        <v>725</v>
      </c>
      <c r="C74" s="39" t="s">
        <v>1130</v>
      </c>
      <c r="D74" s="159" t="s">
        <v>1104</v>
      </c>
      <c r="E74" s="160">
        <v>977.53</v>
      </c>
      <c r="F74" s="160">
        <v>985.2</v>
      </c>
      <c r="G74" s="172">
        <v>368.2602</v>
      </c>
    </row>
    <row r="75" spans="2:7" x14ac:dyDescent="0.2">
      <c r="B75" s="158" t="s">
        <v>725</v>
      </c>
      <c r="C75" s="39" t="s">
        <v>1106</v>
      </c>
      <c r="D75" s="159" t="s">
        <v>1104</v>
      </c>
      <c r="E75" s="160">
        <v>7893.32</v>
      </c>
      <c r="F75" s="160">
        <v>7517</v>
      </c>
      <c r="G75" s="172">
        <v>68.744351999999992</v>
      </c>
    </row>
    <row r="76" spans="2:7" x14ac:dyDescent="0.2">
      <c r="B76" s="158" t="s">
        <v>725</v>
      </c>
      <c r="C76" s="39" t="s">
        <v>1133</v>
      </c>
      <c r="D76" s="159" t="s">
        <v>1104</v>
      </c>
      <c r="E76" s="160">
        <v>202.91</v>
      </c>
      <c r="F76" s="160">
        <v>197.4</v>
      </c>
      <c r="G76" s="172">
        <v>81.130771199999998</v>
      </c>
    </row>
    <row r="77" spans="2:7" x14ac:dyDescent="0.2">
      <c r="B77" s="158" t="s">
        <v>725</v>
      </c>
      <c r="C77" s="39" t="s">
        <v>1134</v>
      </c>
      <c r="D77" s="159" t="s">
        <v>1104</v>
      </c>
      <c r="E77" s="160">
        <v>929.37</v>
      </c>
      <c r="F77" s="160">
        <v>920</v>
      </c>
      <c r="G77" s="172">
        <v>26.505379999999999</v>
      </c>
    </row>
    <row r="78" spans="2:7" x14ac:dyDescent="0.2">
      <c r="B78" s="158" t="s">
        <v>725</v>
      </c>
      <c r="C78" s="39" t="s">
        <v>1135</v>
      </c>
      <c r="D78" s="159" t="s">
        <v>1104</v>
      </c>
      <c r="E78" s="160">
        <v>1202.55</v>
      </c>
      <c r="F78" s="160">
        <v>1205.1500000000001</v>
      </c>
      <c r="G78" s="172">
        <v>78.601951200000002</v>
      </c>
    </row>
    <row r="79" spans="2:7" x14ac:dyDescent="0.2">
      <c r="B79" s="158" t="s">
        <v>725</v>
      </c>
      <c r="C79" s="39" t="s">
        <v>1108</v>
      </c>
      <c r="D79" s="159" t="s">
        <v>1104</v>
      </c>
      <c r="E79" s="160">
        <v>525.80999999999995</v>
      </c>
      <c r="F79" s="160">
        <v>567.04999999999995</v>
      </c>
      <c r="G79" s="172">
        <v>28.031121000000002</v>
      </c>
    </row>
    <row r="80" spans="2:7" x14ac:dyDescent="0.2">
      <c r="B80" s="158" t="s">
        <v>725</v>
      </c>
      <c r="C80" s="39" t="s">
        <v>1112</v>
      </c>
      <c r="D80" s="159" t="s">
        <v>1104</v>
      </c>
      <c r="E80" s="160">
        <v>434.38</v>
      </c>
      <c r="F80" s="160">
        <v>426.85</v>
      </c>
      <c r="G80" s="172">
        <v>8.8244775000000004</v>
      </c>
    </row>
    <row r="81" spans="2:7" x14ac:dyDescent="0.2">
      <c r="B81" s="158" t="s">
        <v>725</v>
      </c>
      <c r="C81" s="39" t="s">
        <v>1114</v>
      </c>
      <c r="D81" s="159" t="s">
        <v>1104</v>
      </c>
      <c r="E81" s="160">
        <v>1531.54</v>
      </c>
      <c r="F81" s="160">
        <v>1484.65</v>
      </c>
      <c r="G81" s="172">
        <v>665.13924090000012</v>
      </c>
    </row>
    <row r="82" spans="2:7" x14ac:dyDescent="0.2">
      <c r="B82" s="158" t="s">
        <v>725</v>
      </c>
      <c r="C82" s="39" t="s">
        <v>1157</v>
      </c>
      <c r="D82" s="159" t="s">
        <v>1104</v>
      </c>
      <c r="E82" s="160">
        <v>642.54999999999995</v>
      </c>
      <c r="F82" s="160">
        <v>620.95000000000005</v>
      </c>
      <c r="G82" s="162">
        <v>28.581499200000003</v>
      </c>
    </row>
    <row r="83" spans="2:7" x14ac:dyDescent="0.2">
      <c r="B83" s="158" t="s">
        <v>725</v>
      </c>
      <c r="C83" s="39" t="s">
        <v>1158</v>
      </c>
      <c r="D83" s="159" t="s">
        <v>1104</v>
      </c>
      <c r="E83" s="160">
        <v>251.33</v>
      </c>
      <c r="F83" s="160">
        <v>249.45</v>
      </c>
      <c r="G83" s="162">
        <v>74.427197100000001</v>
      </c>
    </row>
    <row r="84" spans="2:7" x14ac:dyDescent="0.2">
      <c r="B84" s="158" t="s">
        <v>725</v>
      </c>
      <c r="C84" s="39" t="s">
        <v>1138</v>
      </c>
      <c r="D84" s="159" t="s">
        <v>1104</v>
      </c>
      <c r="E84" s="160">
        <v>2492.9299999999998</v>
      </c>
      <c r="F84" s="160">
        <v>2481.0500000000002</v>
      </c>
      <c r="G84" s="162">
        <v>187.3875026</v>
      </c>
    </row>
    <row r="85" spans="2:7" x14ac:dyDescent="0.2">
      <c r="B85" s="158" t="s">
        <v>725</v>
      </c>
      <c r="C85" s="39" t="s">
        <v>1115</v>
      </c>
      <c r="D85" s="159" t="s">
        <v>1104</v>
      </c>
      <c r="E85" s="160">
        <v>934.99</v>
      </c>
      <c r="F85" s="160">
        <v>921.35</v>
      </c>
      <c r="G85" s="162">
        <v>570.44208760000004</v>
      </c>
    </row>
    <row r="86" spans="2:7" x14ac:dyDescent="0.2">
      <c r="B86" s="158" t="s">
        <v>725</v>
      </c>
      <c r="C86" s="39" t="s">
        <v>1139</v>
      </c>
      <c r="D86" s="159" t="s">
        <v>1104</v>
      </c>
      <c r="E86" s="160">
        <v>1468.09</v>
      </c>
      <c r="F86" s="160">
        <v>1446.45</v>
      </c>
      <c r="G86" s="162">
        <v>271.9220856</v>
      </c>
    </row>
    <row r="87" spans="2:7" x14ac:dyDescent="0.2">
      <c r="B87" s="158" t="s">
        <v>725</v>
      </c>
      <c r="C87" s="39" t="s">
        <v>1140</v>
      </c>
      <c r="D87" s="159" t="s">
        <v>1104</v>
      </c>
      <c r="E87" s="160">
        <v>1410.9</v>
      </c>
      <c r="F87" s="160">
        <v>1374.15</v>
      </c>
      <c r="G87" s="162">
        <v>358.50798700000001</v>
      </c>
    </row>
    <row r="88" spans="2:7" x14ac:dyDescent="0.2">
      <c r="B88" s="158" t="s">
        <v>725</v>
      </c>
      <c r="C88" s="39" t="s">
        <v>1117</v>
      </c>
      <c r="D88" s="159" t="s">
        <v>1104</v>
      </c>
      <c r="E88" s="160">
        <v>431.96</v>
      </c>
      <c r="F88" s="160">
        <v>431.1</v>
      </c>
      <c r="G88" s="162">
        <v>59.888584000000002</v>
      </c>
    </row>
    <row r="89" spans="2:7" x14ac:dyDescent="0.2">
      <c r="B89" s="158" t="s">
        <v>725</v>
      </c>
      <c r="C89" s="39" t="s">
        <v>1159</v>
      </c>
      <c r="D89" s="159" t="s">
        <v>1104</v>
      </c>
      <c r="E89" s="160">
        <v>772.56</v>
      </c>
      <c r="F89" s="160">
        <v>739.3</v>
      </c>
      <c r="G89" s="162">
        <v>26.564988000000003</v>
      </c>
    </row>
    <row r="90" spans="2:7" x14ac:dyDescent="0.2">
      <c r="B90" s="158" t="s">
        <v>725</v>
      </c>
      <c r="C90" s="39" t="s">
        <v>1143</v>
      </c>
      <c r="D90" s="159" t="s">
        <v>1104</v>
      </c>
      <c r="E90" s="160">
        <v>2951.69</v>
      </c>
      <c r="F90" s="160">
        <v>2944.3</v>
      </c>
      <c r="G90" s="162">
        <v>149.708304</v>
      </c>
    </row>
    <row r="91" spans="2:7" x14ac:dyDescent="0.2">
      <c r="B91" s="158" t="s">
        <v>725</v>
      </c>
      <c r="C91" s="39" t="s">
        <v>1145</v>
      </c>
      <c r="D91" s="159" t="s">
        <v>1104</v>
      </c>
      <c r="E91" s="160">
        <v>1580.39</v>
      </c>
      <c r="F91" s="160">
        <v>1468.1</v>
      </c>
      <c r="G91" s="162">
        <v>22.234375199999999</v>
      </c>
    </row>
    <row r="92" spans="2:7" x14ac:dyDescent="0.2">
      <c r="B92" s="158" t="s">
        <v>725</v>
      </c>
      <c r="C92" s="39" t="s">
        <v>1120</v>
      </c>
      <c r="D92" s="159" t="s">
        <v>1104</v>
      </c>
      <c r="E92" s="160">
        <v>10824.59</v>
      </c>
      <c r="F92" s="160">
        <v>10441.1</v>
      </c>
      <c r="G92" s="162">
        <v>25.847620399999997</v>
      </c>
    </row>
    <row r="93" spans="2:7" x14ac:dyDescent="0.2">
      <c r="B93" s="158" t="s">
        <v>725</v>
      </c>
      <c r="C93" s="39" t="s">
        <v>1146</v>
      </c>
      <c r="D93" s="159" t="s">
        <v>1104</v>
      </c>
      <c r="E93" s="160">
        <v>234.95</v>
      </c>
      <c r="F93" s="160">
        <v>235.1</v>
      </c>
      <c r="G93" s="162">
        <v>23.733944999999999</v>
      </c>
    </row>
    <row r="94" spans="2:7" x14ac:dyDescent="0.2">
      <c r="B94" s="158" t="s">
        <v>725</v>
      </c>
      <c r="C94" s="39" t="s">
        <v>1121</v>
      </c>
      <c r="D94" s="159" t="s">
        <v>1104</v>
      </c>
      <c r="E94" s="160">
        <v>2313.88</v>
      </c>
      <c r="F94" s="160">
        <v>2302.6</v>
      </c>
      <c r="G94" s="162">
        <v>492.94202749999999</v>
      </c>
    </row>
    <row r="95" spans="2:7" x14ac:dyDescent="0.2">
      <c r="B95" s="158" t="s">
        <v>725</v>
      </c>
      <c r="C95" s="39" t="s">
        <v>1148</v>
      </c>
      <c r="D95" s="159" t="s">
        <v>1104</v>
      </c>
      <c r="E95" s="160">
        <v>552.44000000000005</v>
      </c>
      <c r="F95" s="160">
        <v>567.75</v>
      </c>
      <c r="G95" s="162">
        <v>37.635469999999998</v>
      </c>
    </row>
    <row r="96" spans="2:7" x14ac:dyDescent="0.2">
      <c r="B96" s="158" t="s">
        <v>725</v>
      </c>
      <c r="C96" s="39" t="s">
        <v>1149</v>
      </c>
      <c r="D96" s="159" t="s">
        <v>1104</v>
      </c>
      <c r="E96" s="160">
        <v>1149.68</v>
      </c>
      <c r="F96" s="160">
        <v>1091.9000000000001</v>
      </c>
      <c r="G96" s="162">
        <v>20.6888325</v>
      </c>
    </row>
    <row r="97" spans="2:7" x14ac:dyDescent="0.2">
      <c r="B97" s="158" t="s">
        <v>725</v>
      </c>
      <c r="C97" s="39" t="s">
        <v>1124</v>
      </c>
      <c r="D97" s="159" t="s">
        <v>1104</v>
      </c>
      <c r="E97" s="160">
        <v>3426.01</v>
      </c>
      <c r="F97" s="160">
        <v>3387.55</v>
      </c>
      <c r="G97" s="162">
        <v>48.278720399999997</v>
      </c>
    </row>
    <row r="98" spans="2:7" x14ac:dyDescent="0.2">
      <c r="B98" s="158" t="s">
        <v>725</v>
      </c>
      <c r="C98" s="39" t="s">
        <v>1125</v>
      </c>
      <c r="D98" s="159" t="s">
        <v>1104</v>
      </c>
      <c r="E98" s="160">
        <v>895.75</v>
      </c>
      <c r="F98" s="160">
        <v>906.5</v>
      </c>
      <c r="G98" s="162">
        <v>24.325087500000002</v>
      </c>
    </row>
    <row r="99" spans="2:7" x14ac:dyDescent="0.2">
      <c r="B99" s="158" t="s">
        <v>725</v>
      </c>
      <c r="C99" s="39" t="s">
        <v>1150</v>
      </c>
      <c r="D99" s="159" t="s">
        <v>1104</v>
      </c>
      <c r="E99" s="160">
        <v>672.17</v>
      </c>
      <c r="F99" s="160">
        <v>632.70000000000005</v>
      </c>
      <c r="G99" s="162">
        <v>267.36886500000003</v>
      </c>
    </row>
    <row r="100" spans="2:7" x14ac:dyDescent="0.2">
      <c r="B100" s="158" t="s">
        <v>725</v>
      </c>
      <c r="C100" s="39" t="s">
        <v>1151</v>
      </c>
      <c r="D100" s="159" t="s">
        <v>1104</v>
      </c>
      <c r="E100" s="160">
        <v>122.04</v>
      </c>
      <c r="F100" s="160">
        <v>119.4</v>
      </c>
      <c r="G100" s="162">
        <v>110.54076000000001</v>
      </c>
    </row>
    <row r="101" spans="2:7" x14ac:dyDescent="0.2">
      <c r="B101" s="158" t="s">
        <v>725</v>
      </c>
      <c r="C101" s="39" t="s">
        <v>1155</v>
      </c>
      <c r="D101" s="159" t="s">
        <v>1104</v>
      </c>
      <c r="E101" s="160">
        <v>1037.44</v>
      </c>
      <c r="F101" s="160">
        <v>1033.8</v>
      </c>
      <c r="G101" s="162">
        <v>88.177929000000006</v>
      </c>
    </row>
    <row r="102" spans="2:7" x14ac:dyDescent="0.2">
      <c r="B102" s="158" t="s">
        <v>725</v>
      </c>
      <c r="C102" s="39" t="s">
        <v>1126</v>
      </c>
      <c r="D102" s="159" t="s">
        <v>1104</v>
      </c>
      <c r="E102" s="160">
        <v>543.35</v>
      </c>
      <c r="F102" s="160">
        <v>543.65</v>
      </c>
      <c r="G102" s="162">
        <v>1.2445908000000001</v>
      </c>
    </row>
    <row r="104" spans="2:7" x14ac:dyDescent="0.2">
      <c r="B104" s="153" t="s">
        <v>1160</v>
      </c>
      <c r="E104" s="173"/>
      <c r="F104" s="173"/>
      <c r="G104" s="173"/>
    </row>
    <row r="106" spans="2:7" x14ac:dyDescent="0.2">
      <c r="B106" s="174" t="s">
        <v>1097</v>
      </c>
      <c r="C106" s="174" t="s">
        <v>1161</v>
      </c>
    </row>
    <row r="107" spans="2:7" x14ac:dyDescent="0.2">
      <c r="B107" s="157" t="s">
        <v>190</v>
      </c>
      <c r="C107" s="177">
        <v>4.3E-3</v>
      </c>
    </row>
    <row r="108" spans="2:7" x14ac:dyDescent="0.2">
      <c r="B108" s="158" t="s">
        <v>670</v>
      </c>
      <c r="C108" s="176">
        <v>0.66749999999999998</v>
      </c>
    </row>
    <row r="109" spans="2:7" x14ac:dyDescent="0.2">
      <c r="B109" s="158" t="s">
        <v>692</v>
      </c>
      <c r="C109" s="177">
        <v>0.17169999999999999</v>
      </c>
    </row>
    <row r="110" spans="2:7" x14ac:dyDescent="0.2">
      <c r="B110" s="157" t="s">
        <v>725</v>
      </c>
      <c r="C110" s="177">
        <v>0.3614</v>
      </c>
    </row>
    <row r="112" spans="2:7" x14ac:dyDescent="0.2">
      <c r="B112" s="153" t="s">
        <v>1162</v>
      </c>
    </row>
    <row r="113" spans="2:7" x14ac:dyDescent="0.2">
      <c r="B113" s="153"/>
    </row>
    <row r="114" spans="2:7" ht="63.75" x14ac:dyDescent="0.2">
      <c r="B114" s="155" t="s">
        <v>1097</v>
      </c>
      <c r="C114" s="156" t="s">
        <v>1163</v>
      </c>
      <c r="D114" s="156" t="s">
        <v>1164</v>
      </c>
      <c r="E114" s="156" t="s">
        <v>1165</v>
      </c>
      <c r="F114" s="156" t="s">
        <v>1166</v>
      </c>
      <c r="G114" s="156" t="s">
        <v>1167</v>
      </c>
    </row>
    <row r="115" spans="2:7" x14ac:dyDescent="0.2">
      <c r="B115" s="158" t="s">
        <v>670</v>
      </c>
      <c r="C115" s="221">
        <v>6053</v>
      </c>
      <c r="D115" s="221">
        <v>6053</v>
      </c>
      <c r="E115" s="172">
        <v>44328.49</v>
      </c>
      <c r="F115" s="172">
        <v>43370.2</v>
      </c>
      <c r="G115" s="179">
        <v>-958.29000000000087</v>
      </c>
    </row>
    <row r="116" spans="2:7" x14ac:dyDescent="0.2">
      <c r="B116" s="157" t="s">
        <v>190</v>
      </c>
      <c r="C116" s="221">
        <v>500</v>
      </c>
      <c r="D116" s="221">
        <v>500</v>
      </c>
      <c r="E116" s="172">
        <v>3396.6</v>
      </c>
      <c r="F116" s="172">
        <v>2906.52</v>
      </c>
      <c r="G116" s="182">
        <v>-490.07999999999993</v>
      </c>
    </row>
    <row r="117" spans="2:7" x14ac:dyDescent="0.2">
      <c r="B117" s="158" t="s">
        <v>692</v>
      </c>
      <c r="C117" s="221">
        <v>22598</v>
      </c>
      <c r="D117" s="221">
        <v>22598</v>
      </c>
      <c r="E117" s="183">
        <v>187878.86</v>
      </c>
      <c r="F117" s="183">
        <v>185218.46</v>
      </c>
      <c r="G117" s="179">
        <v>-2663.4895999999944</v>
      </c>
    </row>
    <row r="118" spans="2:7" x14ac:dyDescent="0.2">
      <c r="B118" s="157" t="s">
        <v>725</v>
      </c>
      <c r="C118" s="221">
        <v>14305</v>
      </c>
      <c r="D118" s="221">
        <v>14305</v>
      </c>
      <c r="E118" s="172">
        <v>104774.54</v>
      </c>
      <c r="F118" s="172">
        <v>103763.64</v>
      </c>
      <c r="G118" s="179">
        <v>-1074.8624999999943</v>
      </c>
    </row>
    <row r="119" spans="2:7" hidden="1" x14ac:dyDescent="0.2">
      <c r="B119" s="184" t="s">
        <v>840</v>
      </c>
      <c r="C119" s="221"/>
      <c r="D119" s="221"/>
      <c r="E119" s="172"/>
      <c r="F119" s="172"/>
      <c r="G119" s="179">
        <v>0</v>
      </c>
    </row>
    <row r="120" spans="2:7" x14ac:dyDescent="0.2">
      <c r="B120" s="158" t="s">
        <v>552</v>
      </c>
      <c r="C120" s="221">
        <v>1924</v>
      </c>
      <c r="D120" s="221">
        <v>1924</v>
      </c>
      <c r="E120" s="183">
        <v>13686.55</v>
      </c>
      <c r="F120" s="183">
        <v>13837.2</v>
      </c>
      <c r="G120" s="179">
        <v>165.05000000000146</v>
      </c>
    </row>
    <row r="121" spans="2:7" hidden="1" x14ac:dyDescent="0.2">
      <c r="B121" s="158" t="s">
        <v>835</v>
      </c>
      <c r="C121" s="221"/>
      <c r="D121" s="221"/>
      <c r="E121" s="185"/>
      <c r="F121" s="183"/>
      <c r="G121" s="179">
        <v>0</v>
      </c>
    </row>
    <row r="122" spans="2:7" x14ac:dyDescent="0.2">
      <c r="B122" s="157" t="s">
        <v>844</v>
      </c>
      <c r="C122" s="222">
        <v>320</v>
      </c>
      <c r="D122" s="222">
        <v>320</v>
      </c>
      <c r="E122" s="186">
        <v>2679.71</v>
      </c>
      <c r="F122" s="186">
        <v>2696.2</v>
      </c>
      <c r="G122" s="187">
        <v>16.489999999999782</v>
      </c>
    </row>
    <row r="124" spans="2:7" x14ac:dyDescent="0.2">
      <c r="E124" s="181"/>
      <c r="F124" s="181"/>
    </row>
    <row r="125" spans="2:7" x14ac:dyDescent="0.2">
      <c r="B125" s="153" t="s">
        <v>1168</v>
      </c>
      <c r="F125" s="181"/>
      <c r="G125" s="180"/>
    </row>
    <row r="127" spans="2:7" ht="25.5" x14ac:dyDescent="0.2">
      <c r="B127" s="155" t="s">
        <v>1097</v>
      </c>
      <c r="C127" s="155" t="s">
        <v>1098</v>
      </c>
      <c r="D127" s="155" t="s">
        <v>1099</v>
      </c>
      <c r="E127" s="156" t="s">
        <v>1100</v>
      </c>
      <c r="F127" s="156" t="s">
        <v>1101</v>
      </c>
      <c r="G127" s="156" t="s">
        <v>1169</v>
      </c>
    </row>
    <row r="128" spans="2:7" x14ac:dyDescent="0.2">
      <c r="B128" s="159"/>
      <c r="C128" s="159"/>
      <c r="D128" s="159" t="s">
        <v>1170</v>
      </c>
      <c r="E128" s="159"/>
      <c r="F128" s="159"/>
      <c r="G128" s="159"/>
    </row>
    <row r="129" spans="2:7" x14ac:dyDescent="0.2">
      <c r="C129" s="188"/>
      <c r="D129" s="189"/>
      <c r="E129" s="190"/>
      <c r="F129" s="191"/>
      <c r="G129" s="191"/>
    </row>
    <row r="130" spans="2:7" x14ac:dyDescent="0.2">
      <c r="B130" s="153" t="s">
        <v>1171</v>
      </c>
    </row>
    <row r="132" spans="2:7" x14ac:dyDescent="0.2">
      <c r="B132" s="174" t="s">
        <v>1097</v>
      </c>
      <c r="C132" s="174" t="s">
        <v>1161</v>
      </c>
    </row>
    <row r="133" spans="2:7" x14ac:dyDescent="0.2">
      <c r="B133" s="159"/>
      <c r="C133" s="177"/>
    </row>
    <row r="134" spans="2:7" x14ac:dyDescent="0.2">
      <c r="B134" s="192"/>
      <c r="C134" s="193"/>
    </row>
    <row r="135" spans="2:7" x14ac:dyDescent="0.2">
      <c r="B135" s="153" t="s">
        <v>1172</v>
      </c>
    </row>
    <row r="136" spans="2:7" x14ac:dyDescent="0.2">
      <c r="B136" s="153"/>
    </row>
    <row r="137" spans="2:7" ht="63.75" x14ac:dyDescent="0.2">
      <c r="B137" s="155" t="s">
        <v>1097</v>
      </c>
      <c r="C137" s="156" t="s">
        <v>1163</v>
      </c>
      <c r="D137" s="156" t="s">
        <v>1164</v>
      </c>
      <c r="E137" s="156" t="s">
        <v>1165</v>
      </c>
      <c r="F137" s="156" t="s">
        <v>1173</v>
      </c>
      <c r="G137" s="156" t="s">
        <v>1174</v>
      </c>
    </row>
    <row r="138" spans="2:7" x14ac:dyDescent="0.2">
      <c r="B138" s="158" t="s">
        <v>692</v>
      </c>
      <c r="C138" s="221">
        <v>899</v>
      </c>
      <c r="D138" s="221">
        <v>899</v>
      </c>
      <c r="E138" s="183">
        <v>7146.2599999999993</v>
      </c>
      <c r="F138" s="183">
        <v>7145.2</v>
      </c>
      <c r="G138" s="187">
        <v>11.42000000000051</v>
      </c>
    </row>
    <row r="139" spans="2:7" x14ac:dyDescent="0.2">
      <c r="B139" s="157" t="s">
        <v>190</v>
      </c>
      <c r="C139" s="222">
        <v>2406</v>
      </c>
      <c r="D139" s="222">
        <v>2406</v>
      </c>
      <c r="E139" s="186">
        <v>20201.5</v>
      </c>
      <c r="F139" s="186">
        <v>20025.64</v>
      </c>
      <c r="G139" s="187">
        <v>-175.86000000000058</v>
      </c>
    </row>
    <row r="140" spans="2:7" x14ac:dyDescent="0.2">
      <c r="B140" s="157" t="s">
        <v>1175</v>
      </c>
      <c r="C140" s="222">
        <v>120</v>
      </c>
      <c r="D140" s="222">
        <v>120</v>
      </c>
      <c r="E140" s="186">
        <v>840.49</v>
      </c>
      <c r="F140" s="186">
        <v>838.46</v>
      </c>
      <c r="G140" s="187">
        <v>-2.0299999999999727</v>
      </c>
    </row>
    <row r="141" spans="2:7" hidden="1" x14ac:dyDescent="0.2">
      <c r="B141" s="158" t="s">
        <v>844</v>
      </c>
      <c r="C141" s="222"/>
      <c r="D141" s="222"/>
      <c r="E141" s="186"/>
      <c r="F141" s="186"/>
      <c r="G141" s="187">
        <v>0</v>
      </c>
    </row>
    <row r="142" spans="2:7" x14ac:dyDescent="0.2">
      <c r="B142" s="158" t="s">
        <v>1176</v>
      </c>
      <c r="C142" s="222">
        <v>1467</v>
      </c>
      <c r="D142" s="222">
        <v>1467</v>
      </c>
      <c r="E142" s="186">
        <v>11229.67</v>
      </c>
      <c r="F142" s="186">
        <v>11093.68</v>
      </c>
      <c r="G142" s="187">
        <v>-110.33999999999978</v>
      </c>
    </row>
    <row r="143" spans="2:7" x14ac:dyDescent="0.2">
      <c r="B143" s="158" t="s">
        <v>835</v>
      </c>
      <c r="C143" s="221">
        <v>350</v>
      </c>
      <c r="D143" s="221">
        <v>350</v>
      </c>
      <c r="E143" s="185">
        <v>3061.37</v>
      </c>
      <c r="F143" s="183">
        <v>3023.5600000000004</v>
      </c>
      <c r="G143" s="179">
        <v>-37.809999999999491</v>
      </c>
    </row>
    <row r="144" spans="2:7" x14ac:dyDescent="0.2">
      <c r="B144" s="158" t="s">
        <v>552</v>
      </c>
      <c r="C144" s="222">
        <v>2186</v>
      </c>
      <c r="D144" s="222">
        <v>2186</v>
      </c>
      <c r="E144" s="186">
        <v>16070.37</v>
      </c>
      <c r="F144" s="186">
        <v>16335.714999999998</v>
      </c>
      <c r="G144" s="187">
        <v>265.34499999999753</v>
      </c>
    </row>
    <row r="145" spans="2:7" hidden="1" x14ac:dyDescent="0.2">
      <c r="B145" s="184"/>
      <c r="C145" s="194"/>
      <c r="D145" s="194"/>
      <c r="E145" s="195"/>
      <c r="F145" s="195"/>
      <c r="G145" s="196">
        <v>0</v>
      </c>
    </row>
    <row r="147" spans="2:7" x14ac:dyDescent="0.2">
      <c r="B147" s="197"/>
      <c r="C147" s="198"/>
      <c r="D147" s="198"/>
      <c r="E147" s="199"/>
      <c r="F147" s="199"/>
      <c r="G147" s="199"/>
    </row>
    <row r="148" spans="2:7" x14ac:dyDescent="0.2">
      <c r="B148" s="153" t="s">
        <v>1177</v>
      </c>
      <c r="D148" s="200"/>
    </row>
    <row r="150" spans="2:7" ht="25.5" x14ac:dyDescent="0.2">
      <c r="B150" s="156" t="s">
        <v>1097</v>
      </c>
      <c r="C150" s="156" t="s">
        <v>1098</v>
      </c>
      <c r="D150" s="156" t="s">
        <v>1178</v>
      </c>
      <c r="E150" s="156" t="s">
        <v>1179</v>
      </c>
      <c r="F150" s="156" t="s">
        <v>1180</v>
      </c>
      <c r="G150" s="156" t="s">
        <v>1181</v>
      </c>
    </row>
    <row r="151" spans="2:7" x14ac:dyDescent="0.2">
      <c r="B151" s="201" t="s">
        <v>551</v>
      </c>
      <c r="C151" s="201" t="s">
        <v>551</v>
      </c>
      <c r="D151" s="201" t="s">
        <v>551</v>
      </c>
      <c r="E151" s="201" t="s">
        <v>551</v>
      </c>
      <c r="F151" s="201" t="s">
        <v>551</v>
      </c>
      <c r="G151" s="201" t="s">
        <v>551</v>
      </c>
    </row>
    <row r="152" spans="2:7" x14ac:dyDescent="0.2">
      <c r="D152" s="200"/>
      <c r="E152" s="200"/>
      <c r="F152" s="202"/>
      <c r="G152" s="202"/>
    </row>
    <row r="153" spans="2:7" x14ac:dyDescent="0.2">
      <c r="D153" s="200"/>
      <c r="E153" s="200"/>
      <c r="F153" s="202"/>
      <c r="G153" s="202"/>
    </row>
    <row r="154" spans="2:7" x14ac:dyDescent="0.2">
      <c r="B154" s="153" t="s">
        <v>1182</v>
      </c>
      <c r="G154" s="91" t="s">
        <v>1183</v>
      </c>
    </row>
    <row r="155" spans="2:7" x14ac:dyDescent="0.2">
      <c r="B155" s="153"/>
    </row>
    <row r="156" spans="2:7" x14ac:dyDescent="0.2">
      <c r="B156" s="174" t="s">
        <v>1097</v>
      </c>
      <c r="C156" s="174" t="s">
        <v>1161</v>
      </c>
    </row>
    <row r="157" spans="2:7" x14ac:dyDescent="0.2">
      <c r="B157" s="201" t="s">
        <v>551</v>
      </c>
      <c r="C157" s="201" t="s">
        <v>551</v>
      </c>
    </row>
    <row r="158" spans="2:7" x14ac:dyDescent="0.2">
      <c r="C158" s="203"/>
      <c r="D158" s="193"/>
    </row>
    <row r="159" spans="2:7" x14ac:dyDescent="0.2">
      <c r="B159" s="153" t="s">
        <v>1184</v>
      </c>
    </row>
    <row r="161" spans="2:7" ht="38.25" x14ac:dyDescent="0.2">
      <c r="B161" s="155" t="s">
        <v>1097</v>
      </c>
      <c r="C161" s="156" t="s">
        <v>1185</v>
      </c>
      <c r="D161" s="156" t="s">
        <v>1186</v>
      </c>
      <c r="E161" s="156" t="s">
        <v>1187</v>
      </c>
      <c r="F161" s="156" t="s">
        <v>1188</v>
      </c>
    </row>
    <row r="162" spans="2:7" x14ac:dyDescent="0.2">
      <c r="B162" s="204"/>
      <c r="C162" s="201"/>
      <c r="D162" s="205"/>
      <c r="E162" s="187"/>
      <c r="F162" s="187">
        <v>0</v>
      </c>
    </row>
    <row r="163" spans="2:7" x14ac:dyDescent="0.2">
      <c r="B163" s="206"/>
      <c r="C163" s="207"/>
      <c r="D163" s="208"/>
      <c r="E163" s="208"/>
      <c r="F163" s="209"/>
    </row>
    <row r="164" spans="2:7" x14ac:dyDescent="0.2">
      <c r="B164" s="206"/>
      <c r="C164" s="207"/>
      <c r="D164" s="208"/>
      <c r="E164" s="208"/>
      <c r="F164" s="209"/>
    </row>
    <row r="166" spans="2:7" x14ac:dyDescent="0.2">
      <c r="B166" s="153" t="s">
        <v>1189</v>
      </c>
    </row>
    <row r="168" spans="2:7" ht="25.5" x14ac:dyDescent="0.2">
      <c r="B168" s="156" t="s">
        <v>1097</v>
      </c>
      <c r="C168" s="156" t="s">
        <v>1098</v>
      </c>
      <c r="D168" s="156" t="s">
        <v>1178</v>
      </c>
      <c r="E168" s="156" t="s">
        <v>1179</v>
      </c>
      <c r="F168" s="156" t="s">
        <v>1180</v>
      </c>
      <c r="G168" s="156" t="s">
        <v>1181</v>
      </c>
    </row>
    <row r="169" spans="2:7" x14ac:dyDescent="0.2">
      <c r="B169" s="158" t="s">
        <v>551</v>
      </c>
      <c r="C169" s="158" t="s">
        <v>551</v>
      </c>
      <c r="D169" s="158" t="s">
        <v>551</v>
      </c>
      <c r="E169" s="158" t="s">
        <v>551</v>
      </c>
      <c r="F169" s="158" t="s">
        <v>551</v>
      </c>
      <c r="G169" s="158" t="s">
        <v>551</v>
      </c>
    </row>
    <row r="170" spans="2:7" x14ac:dyDescent="0.2">
      <c r="C170" s="188"/>
      <c r="D170" s="210"/>
      <c r="E170" s="211"/>
      <c r="F170" s="202"/>
      <c r="G170" s="202"/>
    </row>
    <row r="171" spans="2:7" x14ac:dyDescent="0.2">
      <c r="B171" s="153" t="s">
        <v>1190</v>
      </c>
    </row>
    <row r="172" spans="2:7" x14ac:dyDescent="0.2">
      <c r="B172" s="153"/>
    </row>
    <row r="173" spans="2:7" x14ac:dyDescent="0.2">
      <c r="B173" s="174" t="s">
        <v>1097</v>
      </c>
      <c r="C173" s="174" t="s">
        <v>1161</v>
      </c>
    </row>
    <row r="174" spans="2:7" x14ac:dyDescent="0.2">
      <c r="B174" s="158" t="s">
        <v>551</v>
      </c>
      <c r="C174" s="158" t="s">
        <v>551</v>
      </c>
    </row>
    <row r="175" spans="2:7" x14ac:dyDescent="0.2">
      <c r="B175" s="192"/>
      <c r="C175" s="193"/>
    </row>
    <row r="176" spans="2:7" x14ac:dyDescent="0.2">
      <c r="B176" s="153" t="s">
        <v>1191</v>
      </c>
    </row>
    <row r="178" spans="2:7" ht="38.25" x14ac:dyDescent="0.2">
      <c r="B178" s="155" t="s">
        <v>1097</v>
      </c>
      <c r="C178" s="156" t="s">
        <v>1185</v>
      </c>
      <c r="D178" s="156" t="s">
        <v>1192</v>
      </c>
      <c r="E178" s="156" t="s">
        <v>1193</v>
      </c>
      <c r="F178" s="156" t="s">
        <v>1188</v>
      </c>
    </row>
    <row r="179" spans="2:7" x14ac:dyDescent="0.2">
      <c r="B179" s="158"/>
      <c r="C179" s="201"/>
      <c r="D179" s="205"/>
      <c r="E179" s="201"/>
      <c r="F179" s="201"/>
    </row>
    <row r="180" spans="2:7" x14ac:dyDescent="0.2">
      <c r="G180" s="212"/>
    </row>
    <row r="181" spans="2:7" x14ac:dyDescent="0.2">
      <c r="F181" s="213"/>
      <c r="G181" s="181"/>
    </row>
    <row r="182" spans="2:7" x14ac:dyDescent="0.2">
      <c r="B182" s="153" t="s">
        <v>1194</v>
      </c>
    </row>
    <row r="183" spans="2:7" x14ac:dyDescent="0.2">
      <c r="B183" s="153"/>
    </row>
    <row r="184" spans="2:7" x14ac:dyDescent="0.2">
      <c r="E184" s="181"/>
    </row>
    <row r="185" spans="2:7" x14ac:dyDescent="0.2">
      <c r="B185" s="153" t="s">
        <v>1195</v>
      </c>
      <c r="E185" s="181"/>
    </row>
    <row r="186" spans="2:7" x14ac:dyDescent="0.2">
      <c r="E186" s="181"/>
    </row>
    <row r="187" spans="2:7" ht="25.5" x14ac:dyDescent="0.2">
      <c r="B187" s="155" t="s">
        <v>1097</v>
      </c>
      <c r="C187" s="156" t="s">
        <v>1098</v>
      </c>
      <c r="D187" s="156" t="s">
        <v>1099</v>
      </c>
      <c r="E187" s="156" t="s">
        <v>1196</v>
      </c>
      <c r="F187" s="156" t="s">
        <v>1197</v>
      </c>
      <c r="G187" s="156" t="s">
        <v>1198</v>
      </c>
    </row>
    <row r="188" spans="2:7" x14ac:dyDescent="0.2">
      <c r="B188" s="157" t="s">
        <v>551</v>
      </c>
      <c r="C188" s="214" t="s">
        <v>551</v>
      </c>
      <c r="D188" s="215" t="s">
        <v>551</v>
      </c>
      <c r="E188" s="216" t="s">
        <v>551</v>
      </c>
      <c r="F188" s="216" t="s">
        <v>551</v>
      </c>
      <c r="G188" s="216" t="s">
        <v>551</v>
      </c>
    </row>
    <row r="189" spans="2:7" x14ac:dyDescent="0.2">
      <c r="E189" s="181"/>
    </row>
    <row r="190" spans="2:7" x14ac:dyDescent="0.2">
      <c r="B190" s="153" t="s">
        <v>1199</v>
      </c>
      <c r="E190" s="181"/>
    </row>
    <row r="191" spans="2:7" x14ac:dyDescent="0.2">
      <c r="B191" s="153"/>
      <c r="E191" s="181"/>
    </row>
    <row r="192" spans="2:7" x14ac:dyDescent="0.2">
      <c r="B192" s="174" t="s">
        <v>1097</v>
      </c>
      <c r="C192" s="174" t="s">
        <v>1161</v>
      </c>
      <c r="E192" s="181"/>
    </row>
    <row r="193" spans="2:7" x14ac:dyDescent="0.2">
      <c r="B193" s="201" t="s">
        <v>551</v>
      </c>
      <c r="C193" s="175" t="s">
        <v>551</v>
      </c>
      <c r="E193" s="181"/>
    </row>
    <row r="194" spans="2:7" x14ac:dyDescent="0.2">
      <c r="E194" s="181"/>
    </row>
    <row r="195" spans="2:7" x14ac:dyDescent="0.2">
      <c r="B195" s="153" t="s">
        <v>1200</v>
      </c>
      <c r="E195" s="181"/>
    </row>
    <row r="196" spans="2:7" x14ac:dyDescent="0.2">
      <c r="E196" s="181"/>
    </row>
    <row r="197" spans="2:7" ht="63.75" x14ac:dyDescent="0.2">
      <c r="B197" s="155" t="s">
        <v>1097</v>
      </c>
      <c r="C197" s="156" t="s">
        <v>1163</v>
      </c>
      <c r="D197" s="156" t="s">
        <v>1164</v>
      </c>
      <c r="E197" s="156" t="s">
        <v>1165</v>
      </c>
      <c r="F197" s="156" t="s">
        <v>1166</v>
      </c>
      <c r="G197" s="156" t="s">
        <v>1167</v>
      </c>
    </row>
    <row r="198" spans="2:7" x14ac:dyDescent="0.2">
      <c r="B198" s="175"/>
      <c r="C198" s="175"/>
      <c r="D198" s="178"/>
      <c r="E198" s="217"/>
      <c r="F198" s="218"/>
      <c r="G198" s="219"/>
    </row>
    <row r="199" spans="2:7" x14ac:dyDescent="0.2">
      <c r="E199" s="181"/>
    </row>
    <row r="200" spans="2:7" x14ac:dyDescent="0.2">
      <c r="E200" s="181"/>
    </row>
    <row r="201" spans="2:7" x14ac:dyDescent="0.2">
      <c r="B201" s="153" t="s">
        <v>1201</v>
      </c>
      <c r="E201" s="181"/>
    </row>
    <row r="202" spans="2:7" x14ac:dyDescent="0.2">
      <c r="E202" s="181"/>
    </row>
    <row r="203" spans="2:7" ht="63.75" x14ac:dyDescent="0.2">
      <c r="B203" s="155" t="s">
        <v>1097</v>
      </c>
      <c r="C203" s="156" t="s">
        <v>1163</v>
      </c>
      <c r="D203" s="156" t="s">
        <v>1164</v>
      </c>
      <c r="E203" s="156" t="s">
        <v>1165</v>
      </c>
      <c r="F203" s="156" t="s">
        <v>1166</v>
      </c>
      <c r="G203" s="156" t="s">
        <v>1167</v>
      </c>
    </row>
    <row r="204" spans="2:7" x14ac:dyDescent="0.2">
      <c r="B204" s="159"/>
      <c r="C204" s="201"/>
      <c r="D204" s="201"/>
      <c r="E204" s="220"/>
      <c r="F204" s="220"/>
      <c r="G204" s="220"/>
    </row>
    <row r="205" spans="2:7" x14ac:dyDescent="0.2">
      <c r="E205" s="181"/>
    </row>
    <row r="206" spans="2:7" x14ac:dyDescent="0.2">
      <c r="E206" s="181"/>
    </row>
    <row r="207" spans="2:7" x14ac:dyDescent="0.2">
      <c r="E207" s="181"/>
    </row>
    <row r="208" spans="2:7" x14ac:dyDescent="0.2">
      <c r="B208" s="91" t="s">
        <v>1202</v>
      </c>
    </row>
  </sheetData>
  <mergeCells count="3">
    <mergeCell ref="B2:G2"/>
    <mergeCell ref="B3:G3"/>
    <mergeCell ref="B5:G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30</vt:i4>
      </vt:variant>
    </vt:vector>
  </HeadingPairs>
  <TitlesOfParts>
    <vt:vector size="30" baseType="lpstr">
      <vt:lpstr>Index</vt:lpstr>
      <vt:lpstr>CAPEXG</vt:lpstr>
      <vt:lpstr>GLOB</vt:lpstr>
      <vt:lpstr>MIDCAP</vt:lpstr>
      <vt:lpstr>MULTIP</vt:lpstr>
      <vt:lpstr>SLTADV3</vt:lpstr>
      <vt:lpstr>SLTADV4</vt:lpstr>
      <vt:lpstr>SLTAX1</vt:lpstr>
      <vt:lpstr>SLTAX2</vt:lpstr>
      <vt:lpstr>SLTAX3</vt:lpstr>
      <vt:lpstr>SLTAX4</vt:lpstr>
      <vt:lpstr>SLTAX5</vt:lpstr>
      <vt:lpstr>SLTAX6</vt:lpstr>
      <vt:lpstr>SMILE</vt:lpstr>
      <vt:lpstr>SPAHF</vt:lpstr>
      <vt:lpstr>SPARF</vt:lpstr>
      <vt:lpstr>SPBAF</vt:lpstr>
      <vt:lpstr>SPDYF</vt:lpstr>
      <vt:lpstr>SPESF</vt:lpstr>
      <vt:lpstr>SPFOCUS</vt:lpstr>
      <vt:lpstr>SPMUCF</vt:lpstr>
      <vt:lpstr>SPSN100</vt:lpstr>
      <vt:lpstr>SPTAX</vt:lpstr>
      <vt:lpstr>SRURAL</vt:lpstr>
      <vt:lpstr>SSFUND</vt:lpstr>
      <vt:lpstr>STAX</vt:lpstr>
      <vt:lpstr>SUNBCF</vt:lpstr>
      <vt:lpstr>SUNFCF</vt:lpstr>
      <vt:lpstr>SUNFOP</vt:lpstr>
      <vt:lpstr>Annexure-A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Boopathi V - Sundaram Mutual</dc:creator>
  <cp:lastModifiedBy>Boopathi V - Sundaram Mutual</cp:lastModifiedBy>
  <dcterms:created xsi:type="dcterms:W3CDTF">2023-11-02T09:13:02Z</dcterms:created>
  <dcterms:modified xsi:type="dcterms:W3CDTF">2023-11-09T07:57:33Z</dcterms:modified>
</cp:coreProperties>
</file>