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0" documentId="8_{ECBF3E34-07B9-4BBD-90CB-6D78648C5909}" xr6:coauthVersionLast="47" xr6:coauthVersionMax="47" xr10:uidLastSave="{00000000-0000-0000-0000-000000000000}"/>
  <bookViews>
    <workbookView xWindow="-120" yWindow="-120" windowWidth="20730" windowHeight="11160" xr2:uid="{C4E433F3-5FB5-43CF-9A81-B9FE56FE0EA9}"/>
  </bookViews>
  <sheets>
    <sheet name="Large" sheetId="1" r:id="rId1"/>
  </sheets>
  <externalReferences>
    <externalReference r:id="rId2"/>
  </externalReferences>
  <definedNames>
    <definedName name="JR_PAGE_ANCHOR_0_1">#REF!</definedName>
    <definedName name="JR_PAGE_ANCHOR_0_12">#REF!</definedName>
    <definedName name="JR_PAGE_ANCHOR_0_4">Large!$A$1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1" l="1"/>
  <c r="H85" i="1"/>
  <c r="H86" i="1" s="1"/>
  <c r="G85" i="1"/>
  <c r="G82" i="1"/>
  <c r="H79" i="1"/>
  <c r="H82" i="1" s="1"/>
  <c r="G79" i="1"/>
</calcChain>
</file>

<file path=xl/sharedStrings.xml><?xml version="1.0" encoding="utf-8"?>
<sst xmlns="http://schemas.openxmlformats.org/spreadsheetml/2006/main" count="369" uniqueCount="300">
  <si>
    <t>WhiteOak Capital Large Cap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</si>
  <si>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</si>
  <si>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</si>
  <si>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</si>
  <si>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</si>
  <si>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</si>
  <si>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</si>
  <si>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</si>
  <si>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</si>
  <si>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</si>
  <si>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</si>
  <si>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</si>
  <si>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</si>
  <si>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</si>
  <si>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</si>
  <si>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</si>
  <si>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</si>
  <si>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</si>
  <si>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</si>
  <si>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</si>
  <si>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</si>
  <si>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</si>
  <si>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</si>
  <si>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</si>
  <si>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</si>
  <si>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</si>
  <si>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</si>
  <si>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</si>
  <si>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</si>
  <si>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</si>
  <si>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</si>
  <si>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</si>
  <si>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</si>
  <si>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</si>
  <si>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</si>
  <si>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</si>
  <si>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</si>
  <si>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</si>
  <si>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</si>
  <si>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</si>
  <si>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</si>
  <si>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</si>
  <si>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</si>
  <si>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</si>
  <si>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</si>
  <si>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</si>
  <si>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</si>
  <si>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CHOL02</t>
  </si>
  <si>
    <t>Cholamandalam Investment and Finance Company Ltd</t>
  </si>
  <si>
    <t>INE121A01024</t>
  </si>
  <si>
    <t>Finance</t>
  </si>
  <si>
    <t>INFS02</t>
  </si>
  <si>
    <t>Infosys Limited</t>
  </si>
  <si>
    <t>INE009A01021</t>
  </si>
  <si>
    <t>MAHI02</t>
  </si>
  <si>
    <t>Mahindra &amp; Mahindra Limited</t>
  </si>
  <si>
    <t>INE101A01026</t>
  </si>
  <si>
    <t>VNBL02</t>
  </si>
  <si>
    <t>Varun Beverages Limited</t>
  </si>
  <si>
    <t>INE200M01021</t>
  </si>
  <si>
    <t>Beverages</t>
  </si>
  <si>
    <t>SBAI02</t>
  </si>
  <si>
    <t>State Bank of India</t>
  </si>
  <si>
    <t>INE062A01020</t>
  </si>
  <si>
    <t>LTIL01</t>
  </si>
  <si>
    <t>LTIMindtree Limited</t>
  </si>
  <si>
    <t>INE214T01019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</si>
  <si>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</si>
  <si>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</si>
  <si>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</si>
  <si>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</si>
  <si>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</si>
  <si>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</si>
  <si>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</si>
  <si>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</si>
  <si>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</si>
  <si>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</si>
  <si>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</si>
  <si>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BFSL02</t>
  </si>
  <si>
    <t>Bajaj Finserv Limited</t>
  </si>
  <si>
    <t>INE918I01026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</si>
  <si>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</si>
  <si>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</si>
  <si>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</si>
  <si>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</si>
  <si>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</si>
  <si>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</si>
  <si>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</si>
  <si>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Pharmaceuticals &amp; Biotechnology</t>
  </si>
  <si>
    <t>RELS01</t>
  </si>
  <si>
    <t>Jio Financial Services Limited</t>
  </si>
  <si>
    <t>INE758E01017</t>
  </si>
  <si>
    <t>ASEA02</t>
  </si>
  <si>
    <t>ABB India Limited</t>
  </si>
  <si>
    <t>INE117A01022</t>
  </si>
  <si>
    <t>Electrical Equipment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</si>
  <si>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</si>
  <si>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</si>
  <si>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</si>
  <si>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</si>
  <si>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</si>
  <si>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</si>
  <si>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</si>
  <si>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</si>
  <si>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</si>
  <si>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</si>
  <si>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</si>
  <si>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</si>
  <si>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</si>
  <si>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</si>
  <si>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</si>
  <si>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</si>
  <si>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Insurance</t>
  </si>
  <si>
    <t>TISC03</t>
  </si>
  <si>
    <t>Tata Steel Limited</t>
  </si>
  <si>
    <t>INE081A01020</t>
  </si>
  <si>
    <t>Ferrous Metals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</si>
  <si>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</si>
  <si>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</si>
  <si>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</si>
  <si>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</si>
  <si>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</si>
  <si>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</si>
  <si>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</si>
  <si>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GHPL01</t>
  </si>
  <si>
    <t>Global Health Limited</t>
  </si>
  <si>
    <t>INE474Q01031</t>
  </si>
  <si>
    <t>Healthcare Services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</si>
  <si>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</si>
  <si>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</si>
  <si>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</si>
  <si>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</si>
  <si>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</si>
  <si>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</si>
  <si>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</si>
  <si>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UTIB02</t>
  </si>
  <si>
    <t>Axis Bank Limited</t>
  </si>
  <si>
    <t>INE238A01034</t>
  </si>
  <si>
    <t>FSBF02</t>
  </si>
  <si>
    <t>Five Star Business Finance Limited</t>
  </si>
  <si>
    <t>INE128S01021</t>
  </si>
  <si>
    <t>HLEL02</t>
  </si>
  <si>
    <t>Hindustan Unilever Limited</t>
  </si>
  <si>
    <t>INE030A01027</t>
  </si>
  <si>
    <t>Diversified FMCG</t>
  </si>
  <si>
    <t>IREA01</t>
  </si>
  <si>
    <t>Indian Renewable Energy Development Agency Limited</t>
  </si>
  <si>
    <t>INE202E01016</t>
  </si>
  <si>
    <t>BOOT01</t>
  </si>
  <si>
    <t>Abbott India Limited</t>
  </si>
  <si>
    <t>INE358A01014</t>
  </si>
  <si>
    <t>KSPL01</t>
  </si>
  <si>
    <t>KSB Limited</t>
  </si>
  <si>
    <t>INE999A01015</t>
  </si>
  <si>
    <t>Industrial Products</t>
  </si>
  <si>
    <t>PIIN03</t>
  </si>
  <si>
    <t>PI Industries Limited</t>
  </si>
  <si>
    <t>INE603J01030</t>
  </si>
  <si>
    <t>Fertilizers &amp; Agrochemicals</t>
  </si>
  <si>
    <t>EIML02</t>
  </si>
  <si>
    <t>Eicher Motors Limited</t>
  </si>
  <si>
    <t>INE066A01021</t>
  </si>
  <si>
    <t>NTPC01</t>
  </si>
  <si>
    <t>NTPC Limited</t>
  </si>
  <si>
    <t>INE733E01010</t>
  </si>
  <si>
    <t>Power</t>
  </si>
  <si>
    <t>GAND02</t>
  </si>
  <si>
    <t>Gandhar Oil Refinery (India) Limited</t>
  </si>
  <si>
    <t>INE717W01049</t>
  </si>
  <si>
    <t>IEIN01</t>
  </si>
  <si>
    <t>Info Edge (India) Limited</t>
  </si>
  <si>
    <t>INE663F01024</t>
  </si>
  <si>
    <t>CIPL03</t>
  </si>
  <si>
    <t>Cipla Limited</t>
  </si>
  <si>
    <t>INE059A01026</t>
  </si>
  <si>
    <t>IINF02</t>
  </si>
  <si>
    <t>IIFL Finance Limited</t>
  </si>
  <si>
    <t>INE530B01024</t>
  </si>
  <si>
    <t>MKIP01</t>
  </si>
  <si>
    <t>Mankind Pharma Limited</t>
  </si>
  <si>
    <t>INE634S01028</t>
  </si>
  <si>
    <t>IPLI01</t>
  </si>
  <si>
    <t>ICICI Prudential Life Insurance Company Limited</t>
  </si>
  <si>
    <t>INE726G01019</t>
  </si>
  <si>
    <t>PRRC03</t>
  </si>
  <si>
    <t>Navin Fluorine International Limited</t>
  </si>
  <si>
    <t>INE048G01026</t>
  </si>
  <si>
    <t>Chemicals &amp; Petrochemicals</t>
  </si>
  <si>
    <t>SOSO03</t>
  </si>
  <si>
    <t>Sonata Software Limited</t>
  </si>
  <si>
    <t>INE269A01021</t>
  </si>
  <si>
    <t>PHMI02</t>
  </si>
  <si>
    <t>The Phoenix Mills Limited</t>
  </si>
  <si>
    <t>INE211B01039</t>
  </si>
  <si>
    <t>Realty</t>
  </si>
  <si>
    <t>SHTR01</t>
  </si>
  <si>
    <t>Shriram Finance Limited</t>
  </si>
  <si>
    <t>INE721A01013</t>
  </si>
  <si>
    <t>RELC01</t>
  </si>
  <si>
    <t>REC Limited</t>
  </si>
  <si>
    <t>INE020B01018</t>
  </si>
  <si>
    <t>SYNI01</t>
  </si>
  <si>
    <t>Syngene International Limited</t>
  </si>
  <si>
    <t>INE398R01022</t>
  </si>
  <si>
    <t>ONGC02</t>
  </si>
  <si>
    <t>Oil &amp; Natural Gas Corporation Limited</t>
  </si>
  <si>
    <t>INE213A01029</t>
  </si>
  <si>
    <t>Oil</t>
  </si>
  <si>
    <t>IDAL01</t>
  </si>
  <si>
    <t>Intellect Design Arena Limited</t>
  </si>
  <si>
    <t>INE306R01017</t>
  </si>
  <si>
    <t>NSEL01</t>
  </si>
  <si>
    <t>Nucleus Software Exports Limited</t>
  </si>
  <si>
    <t>INE096B01018</t>
  </si>
  <si>
    <t>TLFH01</t>
  </si>
  <si>
    <t>Tube Investments of India Limited</t>
  </si>
  <si>
    <t>INE974X01010</t>
  </si>
  <si>
    <t>Auto Components</t>
  </si>
  <si>
    <t>GRIN02</t>
  </si>
  <si>
    <t>Grindwell Norton Limited</t>
  </si>
  <si>
    <t>INE536A01023</t>
  </si>
  <si>
    <t>JLLH01</t>
  </si>
  <si>
    <t>Jupiter Life Line Hospitals Limited</t>
  </si>
  <si>
    <t>INE682M01012</t>
  </si>
  <si>
    <t>PGCI01</t>
  </si>
  <si>
    <t>Power Grid Corporation of India Limited</t>
  </si>
  <si>
    <t>INE752E01010</t>
  </si>
  <si>
    <t>NELA01</t>
  </si>
  <si>
    <t>Neuland Laboratories Limited</t>
  </si>
  <si>
    <t>INE794A01010</t>
  </si>
  <si>
    <t>HONA01</t>
  </si>
  <si>
    <t>Honasa Consumer Limited</t>
  </si>
  <si>
    <t>INE0J5401028</t>
  </si>
  <si>
    <t>SEGO01</t>
  </si>
  <si>
    <t>Senco Gold Limited</t>
  </si>
  <si>
    <t>INE602W01019</t>
  </si>
  <si>
    <t>ORRE01</t>
  </si>
  <si>
    <t>RHI Magnesita India Limited</t>
  </si>
  <si>
    <t>INE743M01012</t>
  </si>
  <si>
    <t>YATR01</t>
  </si>
  <si>
    <t>Yatra Online Limited</t>
  </si>
  <si>
    <t>INE0JR601024</t>
  </si>
  <si>
    <t>Leisure Services</t>
  </si>
  <si>
    <t>AEIL02</t>
  </si>
  <si>
    <t>Aeroflex Industries Limited</t>
  </si>
  <si>
    <t>INE024001021</t>
  </si>
  <si>
    <t>PSYL01</t>
  </si>
  <si>
    <t>Persistent Systems Limited</t>
  </si>
  <si>
    <t>INE262H01013</t>
  </si>
  <si>
    <t>ASTP04</t>
  </si>
  <si>
    <t>Astral Limited</t>
  </si>
  <si>
    <t>INE006I01046</t>
  </si>
  <si>
    <t>MUFL01</t>
  </si>
  <si>
    <t>Muthoot Finance Limited</t>
  </si>
  <si>
    <t>INE414G01012</t>
  </si>
  <si>
    <t>IDBK01</t>
  </si>
  <si>
    <t>IDFC First Bank Limited</t>
  </si>
  <si>
    <t>INE092T01019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</si>
  <si>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</si>
  <si>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</si>
  <si>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</si>
  <si>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</si>
  <si>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</si>
  <si>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</si>
  <si>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</si>
  <si>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</si>
  <si>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Money Market Instruments</t>
  </si>
  <si>
    <t>Treasury Bill</t>
  </si>
  <si>
    <t>TBIL2147</t>
  </si>
  <si>
    <t>364 Days Tbill (MD 04/01/2024)</t>
  </si>
  <si>
    <t>IN002022Z408</t>
  </si>
  <si>
    <t>Sovereign</t>
  </si>
  <si>
    <t>TBIL2260</t>
  </si>
  <si>
    <t>91 Days Tbill (MD 29/12/2023)</t>
  </si>
  <si>
    <t>IN002023X278</t>
  </si>
  <si>
    <t>TBIL2267</t>
  </si>
  <si>
    <t>91 Days Tbill (MD 11/01/2024)</t>
  </si>
  <si>
    <t>IN002023X294</t>
  </si>
  <si>
    <t>TBIL2278</t>
  </si>
  <si>
    <t>91 Days Tbill (MD 15/02/2024)</t>
  </si>
  <si>
    <t>IN002023X344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</si>
  <si>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</si>
  <si>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</si>
  <si>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</si>
  <si>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</si>
  <si>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</si>
  <si>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</si>
  <si>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</si>
  <si>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</si>
  <si>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</si>
  <si>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</si>
  <si>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</si>
  <si>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</si>
  <si>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</si>
  <si>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</si>
  <si>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Astral </t>
  </si>
  <si>
    <t xml:space="preserve">Muthoot Finance </t>
  </si>
  <si>
    <t xml:space="preserve">IDFC First Bank </t>
  </si>
  <si>
    <t xml:space="preserve">Balkrishna Industries </t>
  </si>
  <si>
    <t>~ YTM as on November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</si>
</sst>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82725D3-741E-4447-A564-0127EF89D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628650</xdr:colOff>
      <xdr:row>4</xdr:row>
      <xdr:rowOff>66675</xdr:rowOff>
    </xdr:from>
    <xdr:to>
      <xdr:col>24</xdr:col>
      <xdr:colOff>85725</xdr:colOff>
      <xdr:row>19</xdr:row>
      <xdr:rowOff>28575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5DEE1D34-EAE0-48B2-8A49-D2F36CF51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942975"/>
          <a:ext cx="87153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Nov%202023/MONTHLY_PORTFOLIO_November%202023.xls" TargetMode="External"/><Relationship Id="rId1" Type="http://schemas.openxmlformats.org/officeDocument/2006/relationships/externalLinkPath" Target="MONTHLY_PORTFOLIO_Novem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Large"/>
      <sheetName val="WOMAF"/>
      <sheetName val="Mid"/>
      <sheetName val="WOMLT"/>
      <sheetName val="WOTSF"/>
      <sheetName val="YM001"/>
      <sheetName val="YM002"/>
      <sheetName val="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2E31-DF5C-4620-8170-7B5484F2708B}">
  <sheetPr>
    <outlinePr summaryBelow="0"/>
  </sheetPr>
  <dimension ref="A1:J112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2.28515625" customWidth="1"/>
    <col min="4" max="4" width="15.85546875" customWidth="1"/>
    <col min="5" max="5" width="20.85546875" customWidth="1"/>
    <col min="6" max="6" width="10.5703125" customWidth="1"/>
    <col min="7" max="7" width="18.42578125" customWidth="1"/>
    <col min="8" max="8" width="13.42578125" customWidth="1"/>
    <col min="9" max="9" width="11.42578125" customWidth="1"/>
    <col min="10" max="10" width="10.85546875" customWidth="1"/>
    <col min="257" max="257" width="3.28515625" customWidth="1"/>
    <col min="258" max="258" width="16.7109375" customWidth="1"/>
    <col min="259" max="259" width="32.28515625" customWidth="1"/>
    <col min="260" max="260" width="15.85546875" customWidth="1"/>
    <col min="261" max="261" width="20.85546875" customWidth="1"/>
    <col min="262" max="262" width="10.5703125" customWidth="1"/>
    <col min="263" max="263" width="18.42578125" customWidth="1"/>
    <col min="264" max="264" width="13.42578125" customWidth="1"/>
    <col min="265" max="265" width="11.42578125" customWidth="1"/>
    <col min="266" max="266" width="10.85546875" customWidth="1"/>
    <col min="513" max="513" width="3.28515625" customWidth="1"/>
    <col min="514" max="514" width="16.7109375" customWidth="1"/>
    <col min="515" max="515" width="32.28515625" customWidth="1"/>
    <col min="516" max="516" width="15.85546875" customWidth="1"/>
    <col min="517" max="517" width="20.85546875" customWidth="1"/>
    <col min="518" max="518" width="10.5703125" customWidth="1"/>
    <col min="519" max="519" width="18.42578125" customWidth="1"/>
    <col min="520" max="520" width="13.42578125" customWidth="1"/>
    <col min="521" max="521" width="11.42578125" customWidth="1"/>
    <col min="522" max="522" width="10.85546875" customWidth="1"/>
    <col min="769" max="769" width="3.28515625" customWidth="1"/>
    <col min="770" max="770" width="16.7109375" customWidth="1"/>
    <col min="771" max="771" width="32.28515625" customWidth="1"/>
    <col min="772" max="772" width="15.85546875" customWidth="1"/>
    <col min="773" max="773" width="20.85546875" customWidth="1"/>
    <col min="774" max="774" width="10.5703125" customWidth="1"/>
    <col min="775" max="775" width="18.42578125" customWidth="1"/>
    <col min="776" max="776" width="13.42578125" customWidth="1"/>
    <col min="777" max="777" width="11.42578125" customWidth="1"/>
    <col min="778" max="778" width="10.85546875" customWidth="1"/>
    <col min="1025" max="1025" width="3.28515625" customWidth="1"/>
    <col min="1026" max="1026" width="16.7109375" customWidth="1"/>
    <col min="1027" max="1027" width="32.28515625" customWidth="1"/>
    <col min="1028" max="1028" width="15.85546875" customWidth="1"/>
    <col min="1029" max="1029" width="20.85546875" customWidth="1"/>
    <col min="1030" max="1030" width="10.5703125" customWidth="1"/>
    <col min="1031" max="1031" width="18.42578125" customWidth="1"/>
    <col min="1032" max="1032" width="13.42578125" customWidth="1"/>
    <col min="1033" max="1033" width="11.42578125" customWidth="1"/>
    <col min="1034" max="1034" width="10.85546875" customWidth="1"/>
    <col min="1281" max="1281" width="3.28515625" customWidth="1"/>
    <col min="1282" max="1282" width="16.7109375" customWidth="1"/>
    <col min="1283" max="1283" width="32.28515625" customWidth="1"/>
    <col min="1284" max="1284" width="15.85546875" customWidth="1"/>
    <col min="1285" max="1285" width="20.85546875" customWidth="1"/>
    <col min="1286" max="1286" width="10.5703125" customWidth="1"/>
    <col min="1287" max="1287" width="18.42578125" customWidth="1"/>
    <col min="1288" max="1288" width="13.42578125" customWidth="1"/>
    <col min="1289" max="1289" width="11.42578125" customWidth="1"/>
    <col min="1290" max="1290" width="10.85546875" customWidth="1"/>
    <col min="1537" max="1537" width="3.28515625" customWidth="1"/>
    <col min="1538" max="1538" width="16.7109375" customWidth="1"/>
    <col min="1539" max="1539" width="32.28515625" customWidth="1"/>
    <col min="1540" max="1540" width="15.85546875" customWidth="1"/>
    <col min="1541" max="1541" width="20.85546875" customWidth="1"/>
    <col min="1542" max="1542" width="10.5703125" customWidth="1"/>
    <col min="1543" max="1543" width="18.42578125" customWidth="1"/>
    <col min="1544" max="1544" width="13.42578125" customWidth="1"/>
    <col min="1545" max="1545" width="11.42578125" customWidth="1"/>
    <col min="1546" max="1546" width="10.85546875" customWidth="1"/>
    <col min="1793" max="1793" width="3.28515625" customWidth="1"/>
    <col min="1794" max="1794" width="16.7109375" customWidth="1"/>
    <col min="1795" max="1795" width="32.28515625" customWidth="1"/>
    <col min="1796" max="1796" width="15.85546875" customWidth="1"/>
    <col min="1797" max="1797" width="20.85546875" customWidth="1"/>
    <col min="1798" max="1798" width="10.5703125" customWidth="1"/>
    <col min="1799" max="1799" width="18.42578125" customWidth="1"/>
    <col min="1800" max="1800" width="13.42578125" customWidth="1"/>
    <col min="1801" max="1801" width="11.42578125" customWidth="1"/>
    <col min="1802" max="1802" width="10.85546875" customWidth="1"/>
    <col min="2049" max="2049" width="3.28515625" customWidth="1"/>
    <col min="2050" max="2050" width="16.7109375" customWidth="1"/>
    <col min="2051" max="2051" width="32.28515625" customWidth="1"/>
    <col min="2052" max="2052" width="15.85546875" customWidth="1"/>
    <col min="2053" max="2053" width="20.85546875" customWidth="1"/>
    <col min="2054" max="2054" width="10.5703125" customWidth="1"/>
    <col min="2055" max="2055" width="18.42578125" customWidth="1"/>
    <col min="2056" max="2056" width="13.42578125" customWidth="1"/>
    <col min="2057" max="2057" width="11.42578125" customWidth="1"/>
    <col min="2058" max="2058" width="10.85546875" customWidth="1"/>
    <col min="2305" max="2305" width="3.28515625" customWidth="1"/>
    <col min="2306" max="2306" width="16.7109375" customWidth="1"/>
    <col min="2307" max="2307" width="32.28515625" customWidth="1"/>
    <col min="2308" max="2308" width="15.85546875" customWidth="1"/>
    <col min="2309" max="2309" width="20.85546875" customWidth="1"/>
    <col min="2310" max="2310" width="10.5703125" customWidth="1"/>
    <col min="2311" max="2311" width="18.42578125" customWidth="1"/>
    <col min="2312" max="2312" width="13.42578125" customWidth="1"/>
    <col min="2313" max="2313" width="11.42578125" customWidth="1"/>
    <col min="2314" max="2314" width="10.85546875" customWidth="1"/>
    <col min="2561" max="2561" width="3.28515625" customWidth="1"/>
    <col min="2562" max="2562" width="16.7109375" customWidth="1"/>
    <col min="2563" max="2563" width="32.28515625" customWidth="1"/>
    <col min="2564" max="2564" width="15.85546875" customWidth="1"/>
    <col min="2565" max="2565" width="20.85546875" customWidth="1"/>
    <col min="2566" max="2566" width="10.5703125" customWidth="1"/>
    <col min="2567" max="2567" width="18.42578125" customWidth="1"/>
    <col min="2568" max="2568" width="13.42578125" customWidth="1"/>
    <col min="2569" max="2569" width="11.42578125" customWidth="1"/>
    <col min="2570" max="2570" width="10.85546875" customWidth="1"/>
    <col min="2817" max="2817" width="3.28515625" customWidth="1"/>
    <col min="2818" max="2818" width="16.7109375" customWidth="1"/>
    <col min="2819" max="2819" width="32.28515625" customWidth="1"/>
    <col min="2820" max="2820" width="15.85546875" customWidth="1"/>
    <col min="2821" max="2821" width="20.85546875" customWidth="1"/>
    <col min="2822" max="2822" width="10.5703125" customWidth="1"/>
    <col min="2823" max="2823" width="18.42578125" customWidth="1"/>
    <col min="2824" max="2824" width="13.42578125" customWidth="1"/>
    <col min="2825" max="2825" width="11.42578125" customWidth="1"/>
    <col min="2826" max="2826" width="10.85546875" customWidth="1"/>
    <col min="3073" max="3073" width="3.28515625" customWidth="1"/>
    <col min="3074" max="3074" width="16.7109375" customWidth="1"/>
    <col min="3075" max="3075" width="32.28515625" customWidth="1"/>
    <col min="3076" max="3076" width="15.85546875" customWidth="1"/>
    <col min="3077" max="3077" width="20.85546875" customWidth="1"/>
    <col min="3078" max="3078" width="10.5703125" customWidth="1"/>
    <col min="3079" max="3079" width="18.42578125" customWidth="1"/>
    <col min="3080" max="3080" width="13.42578125" customWidth="1"/>
    <col min="3081" max="3081" width="11.42578125" customWidth="1"/>
    <col min="3082" max="3082" width="10.85546875" customWidth="1"/>
    <col min="3329" max="3329" width="3.28515625" customWidth="1"/>
    <col min="3330" max="3330" width="16.7109375" customWidth="1"/>
    <col min="3331" max="3331" width="32.28515625" customWidth="1"/>
    <col min="3332" max="3332" width="15.85546875" customWidth="1"/>
    <col min="3333" max="3333" width="20.85546875" customWidth="1"/>
    <col min="3334" max="3334" width="10.5703125" customWidth="1"/>
    <col min="3335" max="3335" width="18.42578125" customWidth="1"/>
    <col min="3336" max="3336" width="13.42578125" customWidth="1"/>
    <col min="3337" max="3337" width="11.42578125" customWidth="1"/>
    <col min="3338" max="3338" width="10.85546875" customWidth="1"/>
    <col min="3585" max="3585" width="3.28515625" customWidth="1"/>
    <col min="3586" max="3586" width="16.7109375" customWidth="1"/>
    <col min="3587" max="3587" width="32.28515625" customWidth="1"/>
    <col min="3588" max="3588" width="15.85546875" customWidth="1"/>
    <col min="3589" max="3589" width="20.85546875" customWidth="1"/>
    <col min="3590" max="3590" width="10.5703125" customWidth="1"/>
    <col min="3591" max="3591" width="18.42578125" customWidth="1"/>
    <col min="3592" max="3592" width="13.42578125" customWidth="1"/>
    <col min="3593" max="3593" width="11.42578125" customWidth="1"/>
    <col min="3594" max="3594" width="10.85546875" customWidth="1"/>
    <col min="3841" max="3841" width="3.28515625" customWidth="1"/>
    <col min="3842" max="3842" width="16.7109375" customWidth="1"/>
    <col min="3843" max="3843" width="32.28515625" customWidth="1"/>
    <col min="3844" max="3844" width="15.85546875" customWidth="1"/>
    <col min="3845" max="3845" width="20.85546875" customWidth="1"/>
    <col min="3846" max="3846" width="10.5703125" customWidth="1"/>
    <col min="3847" max="3847" width="18.42578125" customWidth="1"/>
    <col min="3848" max="3848" width="13.42578125" customWidth="1"/>
    <col min="3849" max="3849" width="11.42578125" customWidth="1"/>
    <col min="3850" max="3850" width="10.85546875" customWidth="1"/>
    <col min="4097" max="4097" width="3.28515625" customWidth="1"/>
    <col min="4098" max="4098" width="16.7109375" customWidth="1"/>
    <col min="4099" max="4099" width="32.28515625" customWidth="1"/>
    <col min="4100" max="4100" width="15.85546875" customWidth="1"/>
    <col min="4101" max="4101" width="20.85546875" customWidth="1"/>
    <col min="4102" max="4102" width="10.5703125" customWidth="1"/>
    <col min="4103" max="4103" width="18.42578125" customWidth="1"/>
    <col min="4104" max="4104" width="13.42578125" customWidth="1"/>
    <col min="4105" max="4105" width="11.42578125" customWidth="1"/>
    <col min="4106" max="4106" width="10.85546875" customWidth="1"/>
    <col min="4353" max="4353" width="3.28515625" customWidth="1"/>
    <col min="4354" max="4354" width="16.7109375" customWidth="1"/>
    <col min="4355" max="4355" width="32.28515625" customWidth="1"/>
    <col min="4356" max="4356" width="15.85546875" customWidth="1"/>
    <col min="4357" max="4357" width="20.85546875" customWidth="1"/>
    <col min="4358" max="4358" width="10.5703125" customWidth="1"/>
    <col min="4359" max="4359" width="18.42578125" customWidth="1"/>
    <col min="4360" max="4360" width="13.42578125" customWidth="1"/>
    <col min="4361" max="4361" width="11.42578125" customWidth="1"/>
    <col min="4362" max="4362" width="10.85546875" customWidth="1"/>
    <col min="4609" max="4609" width="3.28515625" customWidth="1"/>
    <col min="4610" max="4610" width="16.7109375" customWidth="1"/>
    <col min="4611" max="4611" width="32.28515625" customWidth="1"/>
    <col min="4612" max="4612" width="15.85546875" customWidth="1"/>
    <col min="4613" max="4613" width="20.85546875" customWidth="1"/>
    <col min="4614" max="4614" width="10.5703125" customWidth="1"/>
    <col min="4615" max="4615" width="18.42578125" customWidth="1"/>
    <col min="4616" max="4616" width="13.42578125" customWidth="1"/>
    <col min="4617" max="4617" width="11.42578125" customWidth="1"/>
    <col min="4618" max="4618" width="10.85546875" customWidth="1"/>
    <col min="4865" max="4865" width="3.28515625" customWidth="1"/>
    <col min="4866" max="4866" width="16.7109375" customWidth="1"/>
    <col min="4867" max="4867" width="32.28515625" customWidth="1"/>
    <col min="4868" max="4868" width="15.85546875" customWidth="1"/>
    <col min="4869" max="4869" width="20.85546875" customWidth="1"/>
    <col min="4870" max="4870" width="10.5703125" customWidth="1"/>
    <col min="4871" max="4871" width="18.42578125" customWidth="1"/>
    <col min="4872" max="4872" width="13.42578125" customWidth="1"/>
    <col min="4873" max="4873" width="11.42578125" customWidth="1"/>
    <col min="4874" max="4874" width="10.85546875" customWidth="1"/>
    <col min="5121" max="5121" width="3.28515625" customWidth="1"/>
    <col min="5122" max="5122" width="16.7109375" customWidth="1"/>
    <col min="5123" max="5123" width="32.28515625" customWidth="1"/>
    <col min="5124" max="5124" width="15.85546875" customWidth="1"/>
    <col min="5125" max="5125" width="20.85546875" customWidth="1"/>
    <col min="5126" max="5126" width="10.5703125" customWidth="1"/>
    <col min="5127" max="5127" width="18.42578125" customWidth="1"/>
    <col min="5128" max="5128" width="13.42578125" customWidth="1"/>
    <col min="5129" max="5129" width="11.42578125" customWidth="1"/>
    <col min="5130" max="5130" width="10.85546875" customWidth="1"/>
    <col min="5377" max="5377" width="3.28515625" customWidth="1"/>
    <col min="5378" max="5378" width="16.7109375" customWidth="1"/>
    <col min="5379" max="5379" width="32.28515625" customWidth="1"/>
    <col min="5380" max="5380" width="15.85546875" customWidth="1"/>
    <col min="5381" max="5381" width="20.85546875" customWidth="1"/>
    <col min="5382" max="5382" width="10.5703125" customWidth="1"/>
    <col min="5383" max="5383" width="18.42578125" customWidth="1"/>
    <col min="5384" max="5384" width="13.42578125" customWidth="1"/>
    <col min="5385" max="5385" width="11.42578125" customWidth="1"/>
    <col min="5386" max="5386" width="10.85546875" customWidth="1"/>
    <col min="5633" max="5633" width="3.28515625" customWidth="1"/>
    <col min="5634" max="5634" width="16.7109375" customWidth="1"/>
    <col min="5635" max="5635" width="32.28515625" customWidth="1"/>
    <col min="5636" max="5636" width="15.85546875" customWidth="1"/>
    <col min="5637" max="5637" width="20.85546875" customWidth="1"/>
    <col min="5638" max="5638" width="10.5703125" customWidth="1"/>
    <col min="5639" max="5639" width="18.42578125" customWidth="1"/>
    <col min="5640" max="5640" width="13.42578125" customWidth="1"/>
    <col min="5641" max="5641" width="11.42578125" customWidth="1"/>
    <col min="5642" max="5642" width="10.85546875" customWidth="1"/>
    <col min="5889" max="5889" width="3.28515625" customWidth="1"/>
    <col min="5890" max="5890" width="16.7109375" customWidth="1"/>
    <col min="5891" max="5891" width="32.28515625" customWidth="1"/>
    <col min="5892" max="5892" width="15.85546875" customWidth="1"/>
    <col min="5893" max="5893" width="20.85546875" customWidth="1"/>
    <col min="5894" max="5894" width="10.5703125" customWidth="1"/>
    <col min="5895" max="5895" width="18.42578125" customWidth="1"/>
    <col min="5896" max="5896" width="13.42578125" customWidth="1"/>
    <col min="5897" max="5897" width="11.42578125" customWidth="1"/>
    <col min="5898" max="5898" width="10.85546875" customWidth="1"/>
    <col min="6145" max="6145" width="3.28515625" customWidth="1"/>
    <col min="6146" max="6146" width="16.7109375" customWidth="1"/>
    <col min="6147" max="6147" width="32.28515625" customWidth="1"/>
    <col min="6148" max="6148" width="15.85546875" customWidth="1"/>
    <col min="6149" max="6149" width="20.85546875" customWidth="1"/>
    <col min="6150" max="6150" width="10.5703125" customWidth="1"/>
    <col min="6151" max="6151" width="18.42578125" customWidth="1"/>
    <col min="6152" max="6152" width="13.42578125" customWidth="1"/>
    <col min="6153" max="6153" width="11.42578125" customWidth="1"/>
    <col min="6154" max="6154" width="10.85546875" customWidth="1"/>
    <col min="6401" max="6401" width="3.28515625" customWidth="1"/>
    <col min="6402" max="6402" width="16.7109375" customWidth="1"/>
    <col min="6403" max="6403" width="32.28515625" customWidth="1"/>
    <col min="6404" max="6404" width="15.85546875" customWidth="1"/>
    <col min="6405" max="6405" width="20.85546875" customWidth="1"/>
    <col min="6406" max="6406" width="10.5703125" customWidth="1"/>
    <col min="6407" max="6407" width="18.42578125" customWidth="1"/>
    <col min="6408" max="6408" width="13.42578125" customWidth="1"/>
    <col min="6409" max="6409" width="11.42578125" customWidth="1"/>
    <col min="6410" max="6410" width="10.85546875" customWidth="1"/>
    <col min="6657" max="6657" width="3.28515625" customWidth="1"/>
    <col min="6658" max="6658" width="16.7109375" customWidth="1"/>
    <col min="6659" max="6659" width="32.28515625" customWidth="1"/>
    <col min="6660" max="6660" width="15.85546875" customWidth="1"/>
    <col min="6661" max="6661" width="20.85546875" customWidth="1"/>
    <col min="6662" max="6662" width="10.5703125" customWidth="1"/>
    <col min="6663" max="6663" width="18.42578125" customWidth="1"/>
    <col min="6664" max="6664" width="13.42578125" customWidth="1"/>
    <col min="6665" max="6665" width="11.42578125" customWidth="1"/>
    <col min="6666" max="6666" width="10.85546875" customWidth="1"/>
    <col min="6913" max="6913" width="3.28515625" customWidth="1"/>
    <col min="6914" max="6914" width="16.7109375" customWidth="1"/>
    <col min="6915" max="6915" width="32.28515625" customWidth="1"/>
    <col min="6916" max="6916" width="15.85546875" customWidth="1"/>
    <col min="6917" max="6917" width="20.85546875" customWidth="1"/>
    <col min="6918" max="6918" width="10.5703125" customWidth="1"/>
    <col min="6919" max="6919" width="18.42578125" customWidth="1"/>
    <col min="6920" max="6920" width="13.42578125" customWidth="1"/>
    <col min="6921" max="6921" width="11.42578125" customWidth="1"/>
    <col min="6922" max="6922" width="10.85546875" customWidth="1"/>
    <col min="7169" max="7169" width="3.28515625" customWidth="1"/>
    <col min="7170" max="7170" width="16.7109375" customWidth="1"/>
    <col min="7171" max="7171" width="32.28515625" customWidth="1"/>
    <col min="7172" max="7172" width="15.85546875" customWidth="1"/>
    <col min="7173" max="7173" width="20.85546875" customWidth="1"/>
    <col min="7174" max="7174" width="10.5703125" customWidth="1"/>
    <col min="7175" max="7175" width="18.42578125" customWidth="1"/>
    <col min="7176" max="7176" width="13.42578125" customWidth="1"/>
    <col min="7177" max="7177" width="11.42578125" customWidth="1"/>
    <col min="7178" max="7178" width="10.85546875" customWidth="1"/>
    <col min="7425" max="7425" width="3.28515625" customWidth="1"/>
    <col min="7426" max="7426" width="16.7109375" customWidth="1"/>
    <col min="7427" max="7427" width="32.28515625" customWidth="1"/>
    <col min="7428" max="7428" width="15.85546875" customWidth="1"/>
    <col min="7429" max="7429" width="20.85546875" customWidth="1"/>
    <col min="7430" max="7430" width="10.5703125" customWidth="1"/>
    <col min="7431" max="7431" width="18.42578125" customWidth="1"/>
    <col min="7432" max="7432" width="13.42578125" customWidth="1"/>
    <col min="7433" max="7433" width="11.42578125" customWidth="1"/>
    <col min="7434" max="7434" width="10.85546875" customWidth="1"/>
    <col min="7681" max="7681" width="3.28515625" customWidth="1"/>
    <col min="7682" max="7682" width="16.7109375" customWidth="1"/>
    <col min="7683" max="7683" width="32.28515625" customWidth="1"/>
    <col min="7684" max="7684" width="15.85546875" customWidth="1"/>
    <col min="7685" max="7685" width="20.85546875" customWidth="1"/>
    <col min="7686" max="7686" width="10.5703125" customWidth="1"/>
    <col min="7687" max="7687" width="18.42578125" customWidth="1"/>
    <col min="7688" max="7688" width="13.42578125" customWidth="1"/>
    <col min="7689" max="7689" width="11.42578125" customWidth="1"/>
    <col min="7690" max="7690" width="10.85546875" customWidth="1"/>
    <col min="7937" max="7937" width="3.28515625" customWidth="1"/>
    <col min="7938" max="7938" width="16.7109375" customWidth="1"/>
    <col min="7939" max="7939" width="32.28515625" customWidth="1"/>
    <col min="7940" max="7940" width="15.85546875" customWidth="1"/>
    <col min="7941" max="7941" width="20.85546875" customWidth="1"/>
    <col min="7942" max="7942" width="10.5703125" customWidth="1"/>
    <col min="7943" max="7943" width="18.42578125" customWidth="1"/>
    <col min="7944" max="7944" width="13.42578125" customWidth="1"/>
    <col min="7945" max="7945" width="11.42578125" customWidth="1"/>
    <col min="7946" max="7946" width="10.85546875" customWidth="1"/>
    <col min="8193" max="8193" width="3.28515625" customWidth="1"/>
    <col min="8194" max="8194" width="16.7109375" customWidth="1"/>
    <col min="8195" max="8195" width="32.28515625" customWidth="1"/>
    <col min="8196" max="8196" width="15.85546875" customWidth="1"/>
    <col min="8197" max="8197" width="20.85546875" customWidth="1"/>
    <col min="8198" max="8198" width="10.5703125" customWidth="1"/>
    <col min="8199" max="8199" width="18.42578125" customWidth="1"/>
    <col min="8200" max="8200" width="13.42578125" customWidth="1"/>
    <col min="8201" max="8201" width="11.42578125" customWidth="1"/>
    <col min="8202" max="8202" width="10.85546875" customWidth="1"/>
    <col min="8449" max="8449" width="3.28515625" customWidth="1"/>
    <col min="8450" max="8450" width="16.7109375" customWidth="1"/>
    <col min="8451" max="8451" width="32.28515625" customWidth="1"/>
    <col min="8452" max="8452" width="15.85546875" customWidth="1"/>
    <col min="8453" max="8453" width="20.85546875" customWidth="1"/>
    <col min="8454" max="8454" width="10.5703125" customWidth="1"/>
    <col min="8455" max="8455" width="18.42578125" customWidth="1"/>
    <col min="8456" max="8456" width="13.42578125" customWidth="1"/>
    <col min="8457" max="8457" width="11.42578125" customWidth="1"/>
    <col min="8458" max="8458" width="10.85546875" customWidth="1"/>
    <col min="8705" max="8705" width="3.28515625" customWidth="1"/>
    <col min="8706" max="8706" width="16.7109375" customWidth="1"/>
    <col min="8707" max="8707" width="32.28515625" customWidth="1"/>
    <col min="8708" max="8708" width="15.85546875" customWidth="1"/>
    <col min="8709" max="8709" width="20.85546875" customWidth="1"/>
    <col min="8710" max="8710" width="10.5703125" customWidth="1"/>
    <col min="8711" max="8711" width="18.42578125" customWidth="1"/>
    <col min="8712" max="8712" width="13.42578125" customWidth="1"/>
    <col min="8713" max="8713" width="11.42578125" customWidth="1"/>
    <col min="8714" max="8714" width="10.85546875" customWidth="1"/>
    <col min="8961" max="8961" width="3.28515625" customWidth="1"/>
    <col min="8962" max="8962" width="16.7109375" customWidth="1"/>
    <col min="8963" max="8963" width="32.28515625" customWidth="1"/>
    <col min="8964" max="8964" width="15.85546875" customWidth="1"/>
    <col min="8965" max="8965" width="20.85546875" customWidth="1"/>
    <col min="8966" max="8966" width="10.5703125" customWidth="1"/>
    <col min="8967" max="8967" width="18.42578125" customWidth="1"/>
    <col min="8968" max="8968" width="13.42578125" customWidth="1"/>
    <col min="8969" max="8969" width="11.42578125" customWidth="1"/>
    <col min="8970" max="8970" width="10.85546875" customWidth="1"/>
    <col min="9217" max="9217" width="3.28515625" customWidth="1"/>
    <col min="9218" max="9218" width="16.7109375" customWidth="1"/>
    <col min="9219" max="9219" width="32.28515625" customWidth="1"/>
    <col min="9220" max="9220" width="15.85546875" customWidth="1"/>
    <col min="9221" max="9221" width="20.85546875" customWidth="1"/>
    <col min="9222" max="9222" width="10.5703125" customWidth="1"/>
    <col min="9223" max="9223" width="18.42578125" customWidth="1"/>
    <col min="9224" max="9224" width="13.42578125" customWidth="1"/>
    <col min="9225" max="9225" width="11.42578125" customWidth="1"/>
    <col min="9226" max="9226" width="10.85546875" customWidth="1"/>
    <col min="9473" max="9473" width="3.28515625" customWidth="1"/>
    <col min="9474" max="9474" width="16.7109375" customWidth="1"/>
    <col min="9475" max="9475" width="32.28515625" customWidth="1"/>
    <col min="9476" max="9476" width="15.85546875" customWidth="1"/>
    <col min="9477" max="9477" width="20.85546875" customWidth="1"/>
    <col min="9478" max="9478" width="10.5703125" customWidth="1"/>
    <col min="9479" max="9479" width="18.42578125" customWidth="1"/>
    <col min="9480" max="9480" width="13.42578125" customWidth="1"/>
    <col min="9481" max="9481" width="11.42578125" customWidth="1"/>
    <col min="9482" max="9482" width="10.85546875" customWidth="1"/>
    <col min="9729" max="9729" width="3.28515625" customWidth="1"/>
    <col min="9730" max="9730" width="16.7109375" customWidth="1"/>
    <col min="9731" max="9731" width="32.28515625" customWidth="1"/>
    <col min="9732" max="9732" width="15.85546875" customWidth="1"/>
    <col min="9733" max="9733" width="20.85546875" customWidth="1"/>
    <col min="9734" max="9734" width="10.5703125" customWidth="1"/>
    <col min="9735" max="9735" width="18.42578125" customWidth="1"/>
    <col min="9736" max="9736" width="13.42578125" customWidth="1"/>
    <col min="9737" max="9737" width="11.42578125" customWidth="1"/>
    <col min="9738" max="9738" width="10.85546875" customWidth="1"/>
    <col min="9985" max="9985" width="3.28515625" customWidth="1"/>
    <col min="9986" max="9986" width="16.7109375" customWidth="1"/>
    <col min="9987" max="9987" width="32.28515625" customWidth="1"/>
    <col min="9988" max="9988" width="15.85546875" customWidth="1"/>
    <col min="9989" max="9989" width="20.85546875" customWidth="1"/>
    <col min="9990" max="9990" width="10.5703125" customWidth="1"/>
    <col min="9991" max="9991" width="18.42578125" customWidth="1"/>
    <col min="9992" max="9992" width="13.42578125" customWidth="1"/>
    <col min="9993" max="9993" width="11.42578125" customWidth="1"/>
    <col min="9994" max="9994" width="10.85546875" customWidth="1"/>
    <col min="10241" max="10241" width="3.28515625" customWidth="1"/>
    <col min="10242" max="10242" width="16.7109375" customWidth="1"/>
    <col min="10243" max="10243" width="32.28515625" customWidth="1"/>
    <col min="10244" max="10244" width="15.85546875" customWidth="1"/>
    <col min="10245" max="10245" width="20.85546875" customWidth="1"/>
    <col min="10246" max="10246" width="10.5703125" customWidth="1"/>
    <col min="10247" max="10247" width="18.42578125" customWidth="1"/>
    <col min="10248" max="10248" width="13.42578125" customWidth="1"/>
    <col min="10249" max="10249" width="11.42578125" customWidth="1"/>
    <col min="10250" max="10250" width="10.85546875" customWidth="1"/>
    <col min="10497" max="10497" width="3.28515625" customWidth="1"/>
    <col min="10498" max="10498" width="16.7109375" customWidth="1"/>
    <col min="10499" max="10499" width="32.28515625" customWidth="1"/>
    <col min="10500" max="10500" width="15.85546875" customWidth="1"/>
    <col min="10501" max="10501" width="20.85546875" customWidth="1"/>
    <col min="10502" max="10502" width="10.5703125" customWidth="1"/>
    <col min="10503" max="10503" width="18.42578125" customWidth="1"/>
    <col min="10504" max="10504" width="13.42578125" customWidth="1"/>
    <col min="10505" max="10505" width="11.42578125" customWidth="1"/>
    <col min="10506" max="10506" width="10.85546875" customWidth="1"/>
    <col min="10753" max="10753" width="3.28515625" customWidth="1"/>
    <col min="10754" max="10754" width="16.7109375" customWidth="1"/>
    <col min="10755" max="10755" width="32.28515625" customWidth="1"/>
    <col min="10756" max="10756" width="15.85546875" customWidth="1"/>
    <col min="10757" max="10757" width="20.85546875" customWidth="1"/>
    <col min="10758" max="10758" width="10.5703125" customWidth="1"/>
    <col min="10759" max="10759" width="18.42578125" customWidth="1"/>
    <col min="10760" max="10760" width="13.42578125" customWidth="1"/>
    <col min="10761" max="10761" width="11.42578125" customWidth="1"/>
    <col min="10762" max="10762" width="10.85546875" customWidth="1"/>
    <col min="11009" max="11009" width="3.28515625" customWidth="1"/>
    <col min="11010" max="11010" width="16.7109375" customWidth="1"/>
    <col min="11011" max="11011" width="32.28515625" customWidth="1"/>
    <col min="11012" max="11012" width="15.85546875" customWidth="1"/>
    <col min="11013" max="11013" width="20.85546875" customWidth="1"/>
    <col min="11014" max="11014" width="10.5703125" customWidth="1"/>
    <col min="11015" max="11015" width="18.42578125" customWidth="1"/>
    <col min="11016" max="11016" width="13.42578125" customWidth="1"/>
    <col min="11017" max="11017" width="11.42578125" customWidth="1"/>
    <col min="11018" max="11018" width="10.85546875" customWidth="1"/>
    <col min="11265" max="11265" width="3.28515625" customWidth="1"/>
    <col min="11266" max="11266" width="16.7109375" customWidth="1"/>
    <col min="11267" max="11267" width="32.28515625" customWidth="1"/>
    <col min="11268" max="11268" width="15.85546875" customWidth="1"/>
    <col min="11269" max="11269" width="20.85546875" customWidth="1"/>
    <col min="11270" max="11270" width="10.5703125" customWidth="1"/>
    <col min="11271" max="11271" width="18.42578125" customWidth="1"/>
    <col min="11272" max="11272" width="13.42578125" customWidth="1"/>
    <col min="11273" max="11273" width="11.42578125" customWidth="1"/>
    <col min="11274" max="11274" width="10.85546875" customWidth="1"/>
    <col min="11521" max="11521" width="3.28515625" customWidth="1"/>
    <col min="11522" max="11522" width="16.7109375" customWidth="1"/>
    <col min="11523" max="11523" width="32.28515625" customWidth="1"/>
    <col min="11524" max="11524" width="15.85546875" customWidth="1"/>
    <col min="11525" max="11525" width="20.85546875" customWidth="1"/>
    <col min="11526" max="11526" width="10.5703125" customWidth="1"/>
    <col min="11527" max="11527" width="18.42578125" customWidth="1"/>
    <col min="11528" max="11528" width="13.42578125" customWidth="1"/>
    <col min="11529" max="11529" width="11.42578125" customWidth="1"/>
    <col min="11530" max="11530" width="10.85546875" customWidth="1"/>
    <col min="11777" max="11777" width="3.28515625" customWidth="1"/>
    <col min="11778" max="11778" width="16.7109375" customWidth="1"/>
    <col min="11779" max="11779" width="32.28515625" customWidth="1"/>
    <col min="11780" max="11780" width="15.85546875" customWidth="1"/>
    <col min="11781" max="11781" width="20.85546875" customWidth="1"/>
    <col min="11782" max="11782" width="10.5703125" customWidth="1"/>
    <col min="11783" max="11783" width="18.42578125" customWidth="1"/>
    <col min="11784" max="11784" width="13.42578125" customWidth="1"/>
    <col min="11785" max="11785" width="11.42578125" customWidth="1"/>
    <col min="11786" max="11786" width="10.85546875" customWidth="1"/>
    <col min="12033" max="12033" width="3.28515625" customWidth="1"/>
    <col min="12034" max="12034" width="16.7109375" customWidth="1"/>
    <col min="12035" max="12035" width="32.28515625" customWidth="1"/>
    <col min="12036" max="12036" width="15.85546875" customWidth="1"/>
    <col min="12037" max="12037" width="20.85546875" customWidth="1"/>
    <col min="12038" max="12038" width="10.5703125" customWidth="1"/>
    <col min="12039" max="12039" width="18.42578125" customWidth="1"/>
    <col min="12040" max="12040" width="13.42578125" customWidth="1"/>
    <col min="12041" max="12041" width="11.42578125" customWidth="1"/>
    <col min="12042" max="12042" width="10.85546875" customWidth="1"/>
    <col min="12289" max="12289" width="3.28515625" customWidth="1"/>
    <col min="12290" max="12290" width="16.7109375" customWidth="1"/>
    <col min="12291" max="12291" width="32.28515625" customWidth="1"/>
    <col min="12292" max="12292" width="15.85546875" customWidth="1"/>
    <col min="12293" max="12293" width="20.85546875" customWidth="1"/>
    <col min="12294" max="12294" width="10.5703125" customWidth="1"/>
    <col min="12295" max="12295" width="18.42578125" customWidth="1"/>
    <col min="12296" max="12296" width="13.42578125" customWidth="1"/>
    <col min="12297" max="12297" width="11.42578125" customWidth="1"/>
    <col min="12298" max="12298" width="10.85546875" customWidth="1"/>
    <col min="12545" max="12545" width="3.28515625" customWidth="1"/>
    <col min="12546" max="12546" width="16.7109375" customWidth="1"/>
    <col min="12547" max="12547" width="32.28515625" customWidth="1"/>
    <col min="12548" max="12548" width="15.85546875" customWidth="1"/>
    <col min="12549" max="12549" width="20.85546875" customWidth="1"/>
    <col min="12550" max="12550" width="10.5703125" customWidth="1"/>
    <col min="12551" max="12551" width="18.42578125" customWidth="1"/>
    <col min="12552" max="12552" width="13.42578125" customWidth="1"/>
    <col min="12553" max="12553" width="11.42578125" customWidth="1"/>
    <col min="12554" max="12554" width="10.85546875" customWidth="1"/>
    <col min="12801" max="12801" width="3.28515625" customWidth="1"/>
    <col min="12802" max="12802" width="16.7109375" customWidth="1"/>
    <col min="12803" max="12803" width="32.28515625" customWidth="1"/>
    <col min="12804" max="12804" width="15.85546875" customWidth="1"/>
    <col min="12805" max="12805" width="20.85546875" customWidth="1"/>
    <col min="12806" max="12806" width="10.5703125" customWidth="1"/>
    <col min="12807" max="12807" width="18.42578125" customWidth="1"/>
    <col min="12808" max="12808" width="13.42578125" customWidth="1"/>
    <col min="12809" max="12809" width="11.42578125" customWidth="1"/>
    <col min="12810" max="12810" width="10.85546875" customWidth="1"/>
    <col min="13057" max="13057" width="3.28515625" customWidth="1"/>
    <col min="13058" max="13058" width="16.7109375" customWidth="1"/>
    <col min="13059" max="13059" width="32.28515625" customWidth="1"/>
    <col min="13060" max="13060" width="15.85546875" customWidth="1"/>
    <col min="13061" max="13061" width="20.85546875" customWidth="1"/>
    <col min="13062" max="13062" width="10.5703125" customWidth="1"/>
    <col min="13063" max="13063" width="18.42578125" customWidth="1"/>
    <col min="13064" max="13064" width="13.42578125" customWidth="1"/>
    <col min="13065" max="13065" width="11.42578125" customWidth="1"/>
    <col min="13066" max="13066" width="10.85546875" customWidth="1"/>
    <col min="13313" max="13313" width="3.28515625" customWidth="1"/>
    <col min="13314" max="13314" width="16.7109375" customWidth="1"/>
    <col min="13315" max="13315" width="32.28515625" customWidth="1"/>
    <col min="13316" max="13316" width="15.85546875" customWidth="1"/>
    <col min="13317" max="13317" width="20.85546875" customWidth="1"/>
    <col min="13318" max="13318" width="10.5703125" customWidth="1"/>
    <col min="13319" max="13319" width="18.42578125" customWidth="1"/>
    <col min="13320" max="13320" width="13.42578125" customWidth="1"/>
    <col min="13321" max="13321" width="11.42578125" customWidth="1"/>
    <col min="13322" max="13322" width="10.85546875" customWidth="1"/>
    <col min="13569" max="13569" width="3.28515625" customWidth="1"/>
    <col min="13570" max="13570" width="16.7109375" customWidth="1"/>
    <col min="13571" max="13571" width="32.28515625" customWidth="1"/>
    <col min="13572" max="13572" width="15.85546875" customWidth="1"/>
    <col min="13573" max="13573" width="20.85546875" customWidth="1"/>
    <col min="13574" max="13574" width="10.5703125" customWidth="1"/>
    <col min="13575" max="13575" width="18.42578125" customWidth="1"/>
    <col min="13576" max="13576" width="13.42578125" customWidth="1"/>
    <col min="13577" max="13577" width="11.42578125" customWidth="1"/>
    <col min="13578" max="13578" width="10.85546875" customWidth="1"/>
    <col min="13825" max="13825" width="3.28515625" customWidth="1"/>
    <col min="13826" max="13826" width="16.7109375" customWidth="1"/>
    <col min="13827" max="13827" width="32.28515625" customWidth="1"/>
    <col min="13828" max="13828" width="15.85546875" customWidth="1"/>
    <col min="13829" max="13829" width="20.85546875" customWidth="1"/>
    <col min="13830" max="13830" width="10.5703125" customWidth="1"/>
    <col min="13831" max="13831" width="18.42578125" customWidth="1"/>
    <col min="13832" max="13832" width="13.42578125" customWidth="1"/>
    <col min="13833" max="13833" width="11.42578125" customWidth="1"/>
    <col min="13834" max="13834" width="10.85546875" customWidth="1"/>
    <col min="14081" max="14081" width="3.28515625" customWidth="1"/>
    <col min="14082" max="14082" width="16.7109375" customWidth="1"/>
    <col min="14083" max="14083" width="32.28515625" customWidth="1"/>
    <col min="14084" max="14084" width="15.85546875" customWidth="1"/>
    <col min="14085" max="14085" width="20.85546875" customWidth="1"/>
    <col min="14086" max="14086" width="10.5703125" customWidth="1"/>
    <col min="14087" max="14087" width="18.42578125" customWidth="1"/>
    <col min="14088" max="14088" width="13.42578125" customWidth="1"/>
    <col min="14089" max="14089" width="11.42578125" customWidth="1"/>
    <col min="14090" max="14090" width="10.85546875" customWidth="1"/>
    <col min="14337" max="14337" width="3.28515625" customWidth="1"/>
    <col min="14338" max="14338" width="16.7109375" customWidth="1"/>
    <col min="14339" max="14339" width="32.28515625" customWidth="1"/>
    <col min="14340" max="14340" width="15.85546875" customWidth="1"/>
    <col min="14341" max="14341" width="20.85546875" customWidth="1"/>
    <col min="14342" max="14342" width="10.5703125" customWidth="1"/>
    <col min="14343" max="14343" width="18.42578125" customWidth="1"/>
    <col min="14344" max="14344" width="13.42578125" customWidth="1"/>
    <col min="14345" max="14345" width="11.42578125" customWidth="1"/>
    <col min="14346" max="14346" width="10.85546875" customWidth="1"/>
    <col min="14593" max="14593" width="3.28515625" customWidth="1"/>
    <col min="14594" max="14594" width="16.7109375" customWidth="1"/>
    <col min="14595" max="14595" width="32.28515625" customWidth="1"/>
    <col min="14596" max="14596" width="15.85546875" customWidth="1"/>
    <col min="14597" max="14597" width="20.85546875" customWidth="1"/>
    <col min="14598" max="14598" width="10.5703125" customWidth="1"/>
    <col min="14599" max="14599" width="18.42578125" customWidth="1"/>
    <col min="14600" max="14600" width="13.42578125" customWidth="1"/>
    <col min="14601" max="14601" width="11.42578125" customWidth="1"/>
    <col min="14602" max="14602" width="10.85546875" customWidth="1"/>
    <col min="14849" max="14849" width="3.28515625" customWidth="1"/>
    <col min="14850" max="14850" width="16.7109375" customWidth="1"/>
    <col min="14851" max="14851" width="32.28515625" customWidth="1"/>
    <col min="14852" max="14852" width="15.85546875" customWidth="1"/>
    <col min="14853" max="14853" width="20.85546875" customWidth="1"/>
    <col min="14854" max="14854" width="10.5703125" customWidth="1"/>
    <col min="14855" max="14855" width="18.42578125" customWidth="1"/>
    <col min="14856" max="14856" width="13.42578125" customWidth="1"/>
    <col min="14857" max="14857" width="11.42578125" customWidth="1"/>
    <col min="14858" max="14858" width="10.85546875" customWidth="1"/>
    <col min="15105" max="15105" width="3.28515625" customWidth="1"/>
    <col min="15106" max="15106" width="16.7109375" customWidth="1"/>
    <col min="15107" max="15107" width="32.28515625" customWidth="1"/>
    <col min="15108" max="15108" width="15.85546875" customWidth="1"/>
    <col min="15109" max="15109" width="20.85546875" customWidth="1"/>
    <col min="15110" max="15110" width="10.5703125" customWidth="1"/>
    <col min="15111" max="15111" width="18.42578125" customWidth="1"/>
    <col min="15112" max="15112" width="13.42578125" customWidth="1"/>
    <col min="15113" max="15113" width="11.42578125" customWidth="1"/>
    <col min="15114" max="15114" width="10.85546875" customWidth="1"/>
    <col min="15361" max="15361" width="3.28515625" customWidth="1"/>
    <col min="15362" max="15362" width="16.7109375" customWidth="1"/>
    <col min="15363" max="15363" width="32.28515625" customWidth="1"/>
    <col min="15364" max="15364" width="15.85546875" customWidth="1"/>
    <col min="15365" max="15365" width="20.85546875" customWidth="1"/>
    <col min="15366" max="15366" width="10.5703125" customWidth="1"/>
    <col min="15367" max="15367" width="18.42578125" customWidth="1"/>
    <col min="15368" max="15368" width="13.42578125" customWidth="1"/>
    <col min="15369" max="15369" width="11.42578125" customWidth="1"/>
    <col min="15370" max="15370" width="10.85546875" customWidth="1"/>
    <col min="15617" max="15617" width="3.28515625" customWidth="1"/>
    <col min="15618" max="15618" width="16.7109375" customWidth="1"/>
    <col min="15619" max="15619" width="32.28515625" customWidth="1"/>
    <col min="15620" max="15620" width="15.85546875" customWidth="1"/>
    <col min="15621" max="15621" width="20.85546875" customWidth="1"/>
    <col min="15622" max="15622" width="10.5703125" customWidth="1"/>
    <col min="15623" max="15623" width="18.42578125" customWidth="1"/>
    <col min="15624" max="15624" width="13.42578125" customWidth="1"/>
    <col min="15625" max="15625" width="11.42578125" customWidth="1"/>
    <col min="15626" max="15626" width="10.85546875" customWidth="1"/>
    <col min="15873" max="15873" width="3.28515625" customWidth="1"/>
    <col min="15874" max="15874" width="16.7109375" customWidth="1"/>
    <col min="15875" max="15875" width="32.28515625" customWidth="1"/>
    <col min="15876" max="15876" width="15.85546875" customWidth="1"/>
    <col min="15877" max="15877" width="20.85546875" customWidth="1"/>
    <col min="15878" max="15878" width="10.5703125" customWidth="1"/>
    <col min="15879" max="15879" width="18.42578125" customWidth="1"/>
    <col min="15880" max="15880" width="13.42578125" customWidth="1"/>
    <col min="15881" max="15881" width="11.42578125" customWidth="1"/>
    <col min="15882" max="15882" width="10.85546875" customWidth="1"/>
    <col min="16129" max="16129" width="3.28515625" customWidth="1"/>
    <col min="16130" max="16130" width="16.7109375" customWidth="1"/>
    <col min="16131" max="16131" width="32.28515625" customWidth="1"/>
    <col min="16132" max="16132" width="15.85546875" customWidth="1"/>
    <col min="16133" max="16133" width="20.85546875" customWidth="1"/>
    <col min="16134" max="16134" width="10.5703125" customWidth="1"/>
    <col min="16135" max="16135" width="18.42578125" customWidth="1"/>
    <col min="16136" max="16136" width="13.42578125" customWidth="1"/>
    <col min="16137" max="16137" width="11.42578125" customWidth="1"/>
    <col min="16138" max="16138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346222</v>
      </c>
      <c r="G7" s="16">
        <v>3237</v>
      </c>
      <c r="H7" s="17">
        <v>8.7800000000000003E-2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191756</v>
      </c>
      <c r="G8" s="16">
        <v>2989.09</v>
      </c>
      <c r="H8" s="17">
        <v>8.1000000000000003E-2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8591</v>
      </c>
      <c r="G9" s="16">
        <v>2082.13</v>
      </c>
      <c r="H9" s="17">
        <v>5.6399999999999999E-2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48486</v>
      </c>
      <c r="G10" s="16">
        <v>1692.45</v>
      </c>
      <c r="H10" s="17">
        <v>4.5900000000000003E-2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53937</v>
      </c>
      <c r="G11" s="16">
        <v>1282.33</v>
      </c>
      <c r="H11" s="17">
        <v>3.4799999999999998E-2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16</v>
      </c>
      <c r="F12" s="15">
        <v>62814</v>
      </c>
      <c r="G12" s="16">
        <v>1102.67</v>
      </c>
      <c r="H12" s="17">
        <v>2.9899999999999999E-2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10302</v>
      </c>
      <c r="G13" s="16">
        <v>1092.9100000000001</v>
      </c>
      <c r="H13" s="17">
        <v>2.9600000000000001E-2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32803</v>
      </c>
      <c r="G14" s="16">
        <v>1019.91</v>
      </c>
      <c r="H14" s="17">
        <v>2.76E-2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28804</v>
      </c>
      <c r="G15" s="16">
        <v>1004.57</v>
      </c>
      <c r="H15" s="17">
        <v>2.7199999999999998E-2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84849</v>
      </c>
      <c r="G16" s="16">
        <v>948.15</v>
      </c>
      <c r="H16" s="17">
        <v>2.5700000000000001E-2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46</v>
      </c>
      <c r="F17" s="15">
        <v>61418</v>
      </c>
      <c r="G17" s="16">
        <v>893.72</v>
      </c>
      <c r="H17" s="17">
        <v>2.4199999999999999E-2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38</v>
      </c>
      <c r="F18" s="15">
        <v>38516</v>
      </c>
      <c r="G18" s="16">
        <v>634.65</v>
      </c>
      <c r="H18" s="17">
        <v>1.72E-2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56242</v>
      </c>
      <c r="G19" s="16">
        <v>621.47</v>
      </c>
      <c r="H19" s="17">
        <v>1.6799999999999999E-2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16</v>
      </c>
      <c r="F20" s="15">
        <v>107551</v>
      </c>
      <c r="G20" s="16">
        <v>607.39</v>
      </c>
      <c r="H20" s="17">
        <v>1.6500000000000001E-2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46</v>
      </c>
      <c r="F21" s="15">
        <v>10441</v>
      </c>
      <c r="G21" s="16">
        <v>578.09</v>
      </c>
      <c r="H21" s="17">
        <v>1.5699999999999999E-2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391901</v>
      </c>
      <c r="G22" s="16">
        <v>571.78</v>
      </c>
      <c r="H22" s="17">
        <v>1.55E-2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109186</v>
      </c>
      <c r="G23" s="16">
        <v>563.02</v>
      </c>
      <c r="H23" s="17">
        <v>1.5299999999999999E-2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50</v>
      </c>
      <c r="F24" s="15">
        <v>7719</v>
      </c>
      <c r="G24" s="16">
        <v>549.74</v>
      </c>
      <c r="H24" s="17">
        <v>1.49E-2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50</v>
      </c>
      <c r="F25" s="15">
        <v>32812</v>
      </c>
      <c r="G25" s="16">
        <v>549.11</v>
      </c>
      <c r="H25" s="17">
        <v>1.49E-2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52587</v>
      </c>
      <c r="G26" s="16">
        <v>530.17999999999995</v>
      </c>
      <c r="H26" s="17">
        <v>1.44E-2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24499</v>
      </c>
      <c r="G27" s="16">
        <v>520.98</v>
      </c>
      <c r="H27" s="17">
        <v>1.41E-2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50</v>
      </c>
      <c r="F28" s="15">
        <v>221249</v>
      </c>
      <c r="G28" s="16">
        <v>507.55</v>
      </c>
      <c r="H28" s="17">
        <v>1.38E-2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11371</v>
      </c>
      <c r="G29" s="16">
        <v>502.57</v>
      </c>
      <c r="H29" s="17">
        <v>1.3599999999999999E-2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17867</v>
      </c>
      <c r="G30" s="16">
        <v>497.95</v>
      </c>
      <c r="H30" s="17">
        <v>1.35E-2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99</v>
      </c>
      <c r="F31" s="15">
        <v>418815</v>
      </c>
      <c r="G31" s="16">
        <v>496.51</v>
      </c>
      <c r="H31" s="17">
        <v>1.35E-2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46</v>
      </c>
      <c r="F32" s="15">
        <v>8343</v>
      </c>
      <c r="G32" s="16">
        <v>480.63</v>
      </c>
      <c r="H32" s="17">
        <v>1.2999999999999999E-2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95</v>
      </c>
      <c r="F33" s="15">
        <v>94791</v>
      </c>
      <c r="G33" s="16">
        <v>425.99</v>
      </c>
      <c r="H33" s="17">
        <v>1.15E-2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60895</v>
      </c>
      <c r="G34" s="16">
        <v>420.63</v>
      </c>
      <c r="H34" s="17">
        <v>1.14E-2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301580</v>
      </c>
      <c r="G35" s="16">
        <v>385.72</v>
      </c>
      <c r="H35" s="17">
        <v>1.0500000000000001E-2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34488</v>
      </c>
      <c r="G36" s="16">
        <v>349.95</v>
      </c>
      <c r="H36" s="17">
        <v>9.4999999999999998E-3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50</v>
      </c>
      <c r="F37" s="15">
        <v>100986</v>
      </c>
      <c r="G37" s="16">
        <v>338.2</v>
      </c>
      <c r="H37" s="17">
        <v>9.1999999999999998E-3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34745</v>
      </c>
      <c r="G38" s="16">
        <v>332.63</v>
      </c>
      <c r="H38" s="17">
        <v>8.9999999999999993E-3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73598</v>
      </c>
      <c r="G39" s="16">
        <v>323.27999999999997</v>
      </c>
      <c r="H39" s="17">
        <v>8.8000000000000005E-3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27</v>
      </c>
      <c r="F40" s="15">
        <v>10047</v>
      </c>
      <c r="G40" s="16">
        <v>313.45999999999998</v>
      </c>
      <c r="H40" s="17">
        <v>8.5000000000000006E-3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16</v>
      </c>
      <c r="F41" s="15">
        <v>26925</v>
      </c>
      <c r="G41" s="16">
        <v>289.24</v>
      </c>
      <c r="H41" s="17">
        <v>7.7999999999999996E-3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50</v>
      </c>
      <c r="F42" s="15">
        <v>35135</v>
      </c>
      <c r="G42" s="16">
        <v>263.92</v>
      </c>
      <c r="H42" s="17">
        <v>7.1999999999999998E-3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10334</v>
      </c>
      <c r="G43" s="16">
        <v>263.06</v>
      </c>
      <c r="H43" s="17">
        <v>7.1000000000000004E-3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50</v>
      </c>
      <c r="F44" s="15">
        <v>394220</v>
      </c>
      <c r="G44" s="16">
        <v>257.43</v>
      </c>
      <c r="H44" s="17">
        <v>7.0000000000000001E-3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88</v>
      </c>
      <c r="F45" s="15">
        <v>1056</v>
      </c>
      <c r="G45" s="16">
        <v>251.38</v>
      </c>
      <c r="H45" s="17">
        <v>6.7999999999999996E-3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7325</v>
      </c>
      <c r="G46" s="16">
        <v>250.72</v>
      </c>
      <c r="H46" s="17">
        <v>6.7999999999999996E-3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6570</v>
      </c>
      <c r="G47" s="16">
        <v>247.75</v>
      </c>
      <c r="H47" s="17">
        <v>6.7000000000000002E-3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38</v>
      </c>
      <c r="F48" s="15">
        <v>6129</v>
      </c>
      <c r="G48" s="16">
        <v>238.84</v>
      </c>
      <c r="H48" s="17">
        <v>6.4999999999999997E-3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88672</v>
      </c>
      <c r="G49" s="16">
        <v>231.7</v>
      </c>
      <c r="H49" s="17">
        <v>6.3E-3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31</v>
      </c>
      <c r="F50" s="15">
        <v>74800</v>
      </c>
      <c r="G50" s="16">
        <v>225.45</v>
      </c>
      <c r="H50" s="17">
        <v>6.1000000000000004E-3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99</v>
      </c>
      <c r="F51" s="15">
        <v>4763</v>
      </c>
      <c r="G51" s="16">
        <v>219.62</v>
      </c>
      <c r="H51" s="17">
        <v>6.0000000000000001E-3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88</v>
      </c>
      <c r="F52" s="15">
        <v>18087</v>
      </c>
      <c r="G52" s="16">
        <v>219.27</v>
      </c>
      <c r="H52" s="17">
        <v>5.8999999999999999E-3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50</v>
      </c>
      <c r="F53" s="15">
        <v>35873</v>
      </c>
      <c r="G53" s="16">
        <v>218.29</v>
      </c>
      <c r="H53" s="17">
        <v>5.8999999999999999E-3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88</v>
      </c>
      <c r="F54" s="15">
        <v>11142</v>
      </c>
      <c r="G54" s="16">
        <v>211.43</v>
      </c>
      <c r="H54" s="17">
        <v>5.7000000000000002E-3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112</v>
      </c>
      <c r="F55" s="15">
        <v>37420</v>
      </c>
      <c r="G55" s="16">
        <v>210.52</v>
      </c>
      <c r="H55" s="17">
        <v>5.7000000000000002E-3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187</v>
      </c>
      <c r="F56" s="15">
        <v>5628</v>
      </c>
      <c r="G56" s="16">
        <v>208.3</v>
      </c>
      <c r="H56" s="17">
        <v>5.5999999999999999E-3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46</v>
      </c>
      <c r="F57" s="15">
        <v>14686</v>
      </c>
      <c r="G57" s="16">
        <v>199.6</v>
      </c>
      <c r="H57" s="17">
        <v>5.4000000000000003E-3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8260</v>
      </c>
      <c r="G58" s="16">
        <v>195.85</v>
      </c>
      <c r="H58" s="17">
        <v>5.3E-3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50</v>
      </c>
      <c r="F59" s="15">
        <v>9740</v>
      </c>
      <c r="G59" s="16">
        <v>195.5</v>
      </c>
      <c r="H59" s="17">
        <v>5.3E-3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50</v>
      </c>
      <c r="F60" s="15">
        <v>54682</v>
      </c>
      <c r="G60" s="16">
        <v>190.68</v>
      </c>
      <c r="H60" s="17">
        <v>5.1999999999999998E-3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127</v>
      </c>
      <c r="F61" s="15">
        <v>25004</v>
      </c>
      <c r="G61" s="16">
        <v>188.08</v>
      </c>
      <c r="H61" s="17">
        <v>5.1000000000000004E-3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207</v>
      </c>
      <c r="F62" s="15">
        <v>94148</v>
      </c>
      <c r="G62" s="16">
        <v>183.54</v>
      </c>
      <c r="H62" s="17">
        <v>5.0000000000000001E-3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46</v>
      </c>
      <c r="F63" s="15">
        <v>23379</v>
      </c>
      <c r="G63" s="16">
        <v>171.71</v>
      </c>
      <c r="H63" s="17">
        <v>4.7000000000000002E-3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46</v>
      </c>
      <c r="F64" s="15">
        <v>11472</v>
      </c>
      <c r="G64" s="16">
        <v>168.6</v>
      </c>
      <c r="H64" s="17">
        <v>4.5999999999999999E-3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4938</v>
      </c>
      <c r="G65" s="16">
        <v>166.23</v>
      </c>
      <c r="H65" s="17">
        <v>4.4999999999999997E-3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154</v>
      </c>
      <c r="F66" s="15">
        <v>6752</v>
      </c>
      <c r="G66" s="16">
        <v>141.41</v>
      </c>
      <c r="H66" s="17">
        <v>3.8E-3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127</v>
      </c>
      <c r="F67" s="15">
        <v>11820</v>
      </c>
      <c r="G67" s="16">
        <v>131.49</v>
      </c>
      <c r="H67" s="17">
        <v>3.5999999999999999E-3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165</v>
      </c>
      <c r="F68" s="15">
        <v>60070</v>
      </c>
      <c r="G68" s="16">
        <v>125.52</v>
      </c>
      <c r="H68" s="17">
        <v>3.3999999999999998E-3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88</v>
      </c>
      <c r="F69" s="15">
        <v>2111</v>
      </c>
      <c r="G69" s="16">
        <v>115.41</v>
      </c>
      <c r="H69" s="17">
        <v>3.0999999999999999E-3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84</v>
      </c>
      <c r="F70" s="15">
        <v>26312</v>
      </c>
      <c r="G70" s="16">
        <v>109.71</v>
      </c>
      <c r="H70" s="17">
        <v>3.0000000000000001E-3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27</v>
      </c>
      <c r="F71" s="15">
        <v>13372</v>
      </c>
      <c r="G71" s="16">
        <v>96.16</v>
      </c>
      <c r="H71" s="17">
        <v>2.5999999999999999E-3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154</v>
      </c>
      <c r="F72" s="15">
        <v>6908</v>
      </c>
      <c r="G72" s="16">
        <v>52.88</v>
      </c>
      <c r="H72" s="17">
        <v>1.4E-3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242</v>
      </c>
      <c r="F73" s="15">
        <v>31028</v>
      </c>
      <c r="G73" s="16">
        <v>41.93</v>
      </c>
      <c r="H73" s="17">
        <v>1.1000000000000001E-3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154</v>
      </c>
      <c r="F74" s="15">
        <v>25172</v>
      </c>
      <c r="G74" s="16">
        <v>39.78</v>
      </c>
      <c r="H74" s="17">
        <v>1.1000000000000001E-3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46</v>
      </c>
      <c r="F75" s="15">
        <v>175</v>
      </c>
      <c r="G75" s="16">
        <v>11.2</v>
      </c>
      <c r="H75" s="17">
        <v>2.9999999999999997E-4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154</v>
      </c>
      <c r="F76" s="15">
        <v>455</v>
      </c>
      <c r="G76" s="16">
        <v>8.8699999999999992</v>
      </c>
      <c r="H76" s="17">
        <v>2.0000000000000001E-4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50</v>
      </c>
      <c r="F77" s="15">
        <v>550</v>
      </c>
      <c r="G77" s="16">
        <v>8.15</v>
      </c>
      <c r="H77" s="17">
        <v>2.0000000000000001E-4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16</v>
      </c>
      <c r="F78" s="15">
        <v>5081</v>
      </c>
      <c r="G78" s="16">
        <v>4.33</v>
      </c>
      <c r="H78" s="17">
        <v>1E-4</v>
      </c>
      <c r="I78" s="18"/>
      <c r="J78" s="1"/>
    </row>
    <row r="79" spans="1:10" ht="12.95" customHeight="1">
      <c r="A79" s="1"/>
      <c r="B79" s="10" t="s">
        <v>258</v>
      </c>
      <c r="C79" s="10"/>
      <c r="D79" s="11"/>
      <c r="E79" s="11"/>
      <c r="F79" s="11"/>
      <c r="G79" s="19">
        <f>+SUM(G7:G78)</f>
        <v>34799.960000000021</v>
      </c>
      <c r="H79" s="20">
        <f>+SUM(H7:H78)</f>
        <v>0.94329999999999969</v>
      </c>
      <c r="I79" s="21"/>
      <c r="J79" s="1"/>
    </row>
    <row r="80" spans="1:10" ht="12.95" customHeight="1">
      <c r="A80" s="1"/>
      <c r="B80" s="22" t="s">
        <v>259</v>
      </c>
      <c r="C80" s="22"/>
      <c r="D80" s="23"/>
      <c r="E80" s="23"/>
      <c r="F80" s="23"/>
      <c r="G80" s="21" t="s">
        <v>260</v>
      </c>
      <c r="H80" s="21" t="s">
        <v>260</v>
      </c>
      <c r="I80" s="21"/>
      <c r="J80" s="1"/>
    </row>
    <row r="81" spans="1:10" ht="12.95" customHeight="1">
      <c r="A81" s="1"/>
      <c r="B81" s="22" t="s">
        <v>258</v>
      </c>
      <c r="C81" s="22"/>
      <c r="D81" s="23"/>
      <c r="E81" s="23"/>
      <c r="F81" s="23"/>
      <c r="G81" s="21" t="s">
        <v>260</v>
      </c>
      <c r="H81" s="21" t="s">
        <v>260</v>
      </c>
      <c r="I81" s="21"/>
      <c r="J81" s="1"/>
    </row>
    <row r="82" spans="1:10" ht="12.95" customHeight="1">
      <c r="A82" s="1"/>
      <c r="B82" s="22" t="s">
        <v>261</v>
      </c>
      <c r="C82" s="22"/>
      <c r="D82" s="24"/>
      <c r="E82" s="23"/>
      <c r="F82" s="24"/>
      <c r="G82" s="19">
        <f>+G79</f>
        <v>34799.960000000021</v>
      </c>
      <c r="H82" s="20">
        <f>+H79</f>
        <v>0.94329999999999969</v>
      </c>
      <c r="I82" s="21"/>
      <c r="J82" s="1"/>
    </row>
    <row r="83" spans="1:10" ht="12.95" customHeight="1">
      <c r="A83" s="1"/>
      <c r="B83" s="10" t="s">
        <v>262</v>
      </c>
      <c r="C83" s="10"/>
      <c r="D83" s="11"/>
      <c r="E83" s="11"/>
      <c r="F83" s="11"/>
      <c r="G83" s="25"/>
      <c r="H83" s="26"/>
      <c r="I83" s="27"/>
      <c r="J83" s="1"/>
    </row>
    <row r="84" spans="1:10" ht="12.95" customHeight="1">
      <c r="A84" s="13" t="s">
        <v>263</v>
      </c>
      <c r="B84" s="14" t="s">
        <v>264</v>
      </c>
      <c r="C84" s="14"/>
      <c r="D84" s="11" t="s">
        <v>265</v>
      </c>
      <c r="E84" s="11" t="s">
        <v>194</v>
      </c>
      <c r="F84" s="15">
        <v>136495</v>
      </c>
      <c r="G84" s="16">
        <v>326.8</v>
      </c>
      <c r="H84" s="17">
        <v>8.8999999999999999E-3</v>
      </c>
      <c r="I84" s="18"/>
      <c r="J84" s="1"/>
    </row>
    <row r="85" spans="1:10" ht="12.95" customHeight="1">
      <c r="A85" s="1"/>
      <c r="B85" s="10" t="s">
        <v>258</v>
      </c>
      <c r="C85" s="10"/>
      <c r="D85" s="11"/>
      <c r="E85" s="11"/>
      <c r="F85" s="11"/>
      <c r="G85" s="25">
        <f>+G84</f>
        <v>326.8</v>
      </c>
      <c r="H85" s="26">
        <f>+H84</f>
        <v>8.8999999999999999E-3</v>
      </c>
      <c r="I85" s="27"/>
      <c r="J85" s="1"/>
    </row>
    <row r="86" spans="1:10" ht="12.95" customHeight="1">
      <c r="A86" s="1"/>
      <c r="B86" s="22" t="s">
        <v>261</v>
      </c>
      <c r="C86" s="22"/>
      <c r="D86" s="28"/>
      <c r="E86" s="29"/>
      <c r="F86" s="29"/>
      <c r="G86" s="30">
        <f>+G85</f>
        <v>326.8</v>
      </c>
      <c r="H86" s="31">
        <f>+H85</f>
        <v>8.8999999999999999E-3</v>
      </c>
      <c r="I86" s="32"/>
      <c r="J86" s="1"/>
    </row>
    <row r="87" spans="1:10" ht="12.95" customHeight="1">
      <c r="A87" s="1"/>
      <c r="B87" s="10" t="s">
        <v>266</v>
      </c>
      <c r="C87" s="10"/>
      <c r="D87" s="11"/>
      <c r="E87" s="11"/>
      <c r="F87" s="11"/>
      <c r="G87" s="11"/>
      <c r="H87" s="11"/>
      <c r="I87" s="12"/>
      <c r="J87" s="1"/>
    </row>
    <row r="88" spans="1:10" ht="12.95" customHeight="1">
      <c r="A88" s="1"/>
      <c r="B88" s="10" t="s">
        <v>267</v>
      </c>
      <c r="C88" s="10"/>
      <c r="D88" s="11"/>
      <c r="E88" s="11"/>
      <c r="F88" s="11"/>
      <c r="G88" s="1"/>
      <c r="H88" s="12"/>
      <c r="I88" s="12"/>
      <c r="J88" s="1"/>
    </row>
    <row r="89" spans="1:10" ht="12.95" customHeight="1">
      <c r="A89" s="13" t="s">
        <v>268</v>
      </c>
      <c r="B89" s="14" t="s">
        <v>269</v>
      </c>
      <c r="C89" s="14"/>
      <c r="D89" s="11" t="s">
        <v>270</v>
      </c>
      <c r="E89" s="11" t="s">
        <v>271</v>
      </c>
      <c r="F89" s="15">
        <v>300000</v>
      </c>
      <c r="G89" s="16">
        <v>298.08999999999997</v>
      </c>
      <c r="H89" s="17">
        <v>8.0999999999999996E-3</v>
      </c>
      <c r="I89" s="33">
        <v>6.8699999999999997E-2</v>
      </c>
      <c r="J89" s="1"/>
    </row>
    <row r="90" spans="1:10" ht="12.95" customHeight="1">
      <c r="A90" s="13" t="s">
        <v>272</v>
      </c>
      <c r="B90" s="14" t="s">
        <v>273</v>
      </c>
      <c r="C90" s="14"/>
      <c r="D90" s="11" t="s">
        <v>274</v>
      </c>
      <c r="E90" s="11" t="s">
        <v>271</v>
      </c>
      <c r="F90" s="15">
        <v>200000</v>
      </c>
      <c r="G90" s="16">
        <v>198.96</v>
      </c>
      <c r="H90" s="17">
        <v>5.4000000000000003E-3</v>
      </c>
      <c r="I90" s="33">
        <v>6.83E-2</v>
      </c>
      <c r="J90" s="1"/>
    </row>
    <row r="91" spans="1:10" ht="12.95" customHeight="1">
      <c r="A91" s="13" t="s">
        <v>275</v>
      </c>
      <c r="B91" s="14" t="s">
        <v>276</v>
      </c>
      <c r="C91" s="14"/>
      <c r="D91" s="11" t="s">
        <v>277</v>
      </c>
      <c r="E91" s="11" t="s">
        <v>271</v>
      </c>
      <c r="F91" s="15">
        <v>200000</v>
      </c>
      <c r="G91" s="16">
        <v>198.46</v>
      </c>
      <c r="H91" s="17">
        <v>5.4000000000000003E-3</v>
      </c>
      <c r="I91" s="33">
        <v>6.9099999999999995E-2</v>
      </c>
      <c r="J91" s="1"/>
    </row>
    <row r="92" spans="1:10" ht="12.95" customHeight="1">
      <c r="A92" s="13" t="s">
        <v>278</v>
      </c>
      <c r="B92" s="14" t="s">
        <v>279</v>
      </c>
      <c r="C92" s="14"/>
      <c r="D92" s="11" t="s">
        <v>280</v>
      </c>
      <c r="E92" s="11" t="s">
        <v>271</v>
      </c>
      <c r="F92" s="15">
        <v>190000</v>
      </c>
      <c r="G92" s="16">
        <v>187.31</v>
      </c>
      <c r="H92" s="17">
        <v>5.1000000000000004E-3</v>
      </c>
      <c r="I92" s="33">
        <v>6.9000000000000006E-2</v>
      </c>
      <c r="J92" s="1"/>
    </row>
    <row r="93" spans="1:10" ht="12.95" customHeight="1">
      <c r="A93" s="1"/>
      <c r="B93" s="10" t="s">
        <v>258</v>
      </c>
      <c r="C93" s="10"/>
      <c r="D93" s="11"/>
      <c r="E93" s="11"/>
      <c r="F93" s="11"/>
      <c r="G93" s="19">
        <v>882.82</v>
      </c>
      <c r="H93" s="20">
        <v>2.4E-2</v>
      </c>
      <c r="I93" s="21"/>
      <c r="J93" s="1"/>
    </row>
    <row r="94" spans="1:10" ht="12.95" customHeight="1">
      <c r="A94" s="1"/>
      <c r="B94" s="22" t="s">
        <v>261</v>
      </c>
      <c r="C94" s="22"/>
      <c r="D94" s="24"/>
      <c r="E94" s="23"/>
      <c r="F94" s="24"/>
      <c r="G94" s="19">
        <v>882.82</v>
      </c>
      <c r="H94" s="20">
        <v>2.4E-2</v>
      </c>
      <c r="I94" s="21"/>
      <c r="J94" s="1"/>
    </row>
    <row r="95" spans="1:10" ht="12.95" customHeight="1">
      <c r="A95" s="1"/>
      <c r="B95" s="10" t="s">
        <v>281</v>
      </c>
      <c r="C95" s="10"/>
      <c r="D95" s="11"/>
      <c r="E95" s="11"/>
      <c r="F95" s="11"/>
      <c r="G95" s="11"/>
      <c r="H95" s="11"/>
      <c r="I95" s="12"/>
      <c r="J95" s="1"/>
    </row>
    <row r="96" spans="1:10" ht="12.95" customHeight="1">
      <c r="A96" s="13" t="s">
        <v>282</v>
      </c>
      <c r="B96" s="14" t="s">
        <v>283</v>
      </c>
      <c r="C96" s="14"/>
      <c r="D96" s="11"/>
      <c r="E96" s="11"/>
      <c r="F96" s="15"/>
      <c r="G96" s="16">
        <v>911.01</v>
      </c>
      <c r="H96" s="17">
        <v>2.47E-2</v>
      </c>
      <c r="I96" s="33">
        <v>6.7589979531673255E-2</v>
      </c>
      <c r="J96" s="1"/>
    </row>
    <row r="97" spans="1:10" ht="12.95" customHeight="1">
      <c r="A97" s="1"/>
      <c r="B97" s="10" t="s">
        <v>258</v>
      </c>
      <c r="C97" s="10"/>
      <c r="D97" s="11"/>
      <c r="E97" s="11"/>
      <c r="F97" s="11"/>
      <c r="G97" s="19">
        <v>911.01</v>
      </c>
      <c r="H97" s="20">
        <v>2.47E-2</v>
      </c>
      <c r="I97" s="21"/>
      <c r="J97" s="1"/>
    </row>
    <row r="98" spans="1:10" ht="12.95" customHeight="1">
      <c r="A98" s="1"/>
      <c r="B98" s="22" t="s">
        <v>261</v>
      </c>
      <c r="C98" s="22"/>
      <c r="D98" s="24"/>
      <c r="E98" s="23"/>
      <c r="F98" s="24"/>
      <c r="G98" s="19">
        <v>911.01</v>
      </c>
      <c r="H98" s="20">
        <v>2.47E-2</v>
      </c>
      <c r="I98" s="21"/>
      <c r="J98" s="1"/>
    </row>
    <row r="99" spans="1:10" ht="12.95" customHeight="1">
      <c r="A99" s="1"/>
      <c r="B99" s="22" t="s">
        <v>284</v>
      </c>
      <c r="C99" s="22"/>
      <c r="D99" s="11"/>
      <c r="E99" s="23"/>
      <c r="F99" s="11"/>
      <c r="G99" s="34">
        <v>-33.42</v>
      </c>
      <c r="H99" s="20">
        <v>-8.9999999999999998E-4</v>
      </c>
      <c r="I99" s="21"/>
      <c r="J99" s="1"/>
    </row>
    <row r="100" spans="1:10" ht="12.95" customHeight="1" thickBot="1">
      <c r="A100" s="1"/>
      <c r="B100" s="35" t="s">
        <v>285</v>
      </c>
      <c r="C100" s="35"/>
      <c r="D100" s="36"/>
      <c r="E100" s="36"/>
      <c r="F100" s="36"/>
      <c r="G100" s="37">
        <v>36887.17</v>
      </c>
      <c r="H100" s="38">
        <v>1</v>
      </c>
      <c r="I100" s="39"/>
      <c r="J100" s="1"/>
    </row>
    <row r="101" spans="1:10" ht="12.95" customHeight="1">
      <c r="A101" s="1"/>
      <c r="B101" s="40"/>
      <c r="C101" s="40"/>
      <c r="D101" s="1"/>
      <c r="E101" s="1"/>
      <c r="F101" s="1"/>
      <c r="G101" s="1"/>
      <c r="H101" s="1"/>
      <c r="I101" s="1"/>
      <c r="J101" s="1"/>
    </row>
    <row r="102" spans="1:10" ht="12.95" customHeight="1">
      <c r="A102" s="1"/>
      <c r="B102" s="41" t="s">
        <v>286</v>
      </c>
      <c r="C102" s="1"/>
      <c r="D102" s="1"/>
      <c r="E102" s="1"/>
      <c r="F102" s="1"/>
      <c r="G102" s="1"/>
      <c r="H102" s="1"/>
      <c r="I102" s="1"/>
      <c r="J102" s="1"/>
    </row>
    <row r="103" spans="1:10" ht="39.950000000000003" customHeight="1">
      <c r="A103" s="1"/>
      <c r="B103" s="42" t="s">
        <v>287</v>
      </c>
      <c r="C103" s="42"/>
      <c r="D103" s="43" t="s">
        <v>3</v>
      </c>
      <c r="E103" s="43" t="s">
        <v>5</v>
      </c>
      <c r="F103" s="43" t="s">
        <v>288</v>
      </c>
      <c r="G103" s="43" t="s">
        <v>289</v>
      </c>
      <c r="H103" s="43" t="s">
        <v>290</v>
      </c>
      <c r="I103" s="1"/>
      <c r="J103" s="1"/>
    </row>
    <row r="104" spans="1:10" ht="12.95" customHeight="1">
      <c r="A104" s="1"/>
      <c r="B104" s="44" t="s">
        <v>291</v>
      </c>
      <c r="C104" s="44"/>
      <c r="D104" s="23" t="s">
        <v>292</v>
      </c>
      <c r="E104" s="23" t="s">
        <v>46</v>
      </c>
      <c r="F104" s="45">
        <v>7875</v>
      </c>
      <c r="G104" s="46">
        <v>498.21974999999998</v>
      </c>
      <c r="H104" s="47">
        <v>1.35E-2</v>
      </c>
      <c r="I104" s="1"/>
      <c r="J104" s="1"/>
    </row>
    <row r="105" spans="1:10" ht="12.95" customHeight="1">
      <c r="A105" s="1"/>
      <c r="B105" s="44" t="s">
        <v>291</v>
      </c>
      <c r="C105" s="44"/>
      <c r="D105" s="23" t="s">
        <v>293</v>
      </c>
      <c r="E105" s="23" t="s">
        <v>294</v>
      </c>
      <c r="F105" s="45">
        <v>2300</v>
      </c>
      <c r="G105" s="46">
        <v>466.22379999999998</v>
      </c>
      <c r="H105" s="47">
        <v>1.26E-2</v>
      </c>
      <c r="I105" s="1"/>
      <c r="J105" s="1"/>
    </row>
    <row r="106" spans="1:10" ht="12.95" customHeight="1">
      <c r="A106" s="1"/>
      <c r="B106" s="44" t="s">
        <v>291</v>
      </c>
      <c r="C106" s="44"/>
      <c r="D106" s="23" t="s">
        <v>295</v>
      </c>
      <c r="E106" s="23" t="s">
        <v>154</v>
      </c>
      <c r="F106" s="45">
        <v>14313</v>
      </c>
      <c r="G106" s="46">
        <v>280.79959050000002</v>
      </c>
      <c r="H106" s="47">
        <v>7.6E-3</v>
      </c>
      <c r="I106" s="1"/>
      <c r="J106" s="1"/>
    </row>
    <row r="107" spans="1:10" ht="12.95" customHeight="1">
      <c r="A107" s="1"/>
      <c r="B107" s="44" t="s">
        <v>291</v>
      </c>
      <c r="C107" s="44"/>
      <c r="D107" s="23" t="s">
        <v>296</v>
      </c>
      <c r="E107" s="23" t="s">
        <v>50</v>
      </c>
      <c r="F107" s="45">
        <v>13750</v>
      </c>
      <c r="G107" s="46">
        <v>195.71062499999999</v>
      </c>
      <c r="H107" s="47">
        <v>5.3E-3</v>
      </c>
      <c r="I107" s="1"/>
      <c r="J107" s="1"/>
    </row>
    <row r="108" spans="1:10" ht="12.95" customHeight="1">
      <c r="A108" s="1"/>
      <c r="B108" s="44" t="s">
        <v>291</v>
      </c>
      <c r="C108" s="44"/>
      <c r="D108" s="23" t="s">
        <v>297</v>
      </c>
      <c r="E108" s="23" t="s">
        <v>16</v>
      </c>
      <c r="F108" s="45">
        <v>180000</v>
      </c>
      <c r="G108" s="46">
        <v>152.19</v>
      </c>
      <c r="H108" s="47">
        <v>4.1000000000000003E-3</v>
      </c>
      <c r="I108" s="1"/>
      <c r="J108" s="1"/>
    </row>
    <row r="109" spans="1:10" ht="12.95" customHeight="1">
      <c r="A109" s="1"/>
      <c r="B109" s="44" t="s">
        <v>291</v>
      </c>
      <c r="C109" s="44"/>
      <c r="D109" s="23" t="s">
        <v>298</v>
      </c>
      <c r="E109" s="23" t="s">
        <v>217</v>
      </c>
      <c r="F109" s="45">
        <v>3000</v>
      </c>
      <c r="G109" s="46">
        <v>77.954999999999998</v>
      </c>
      <c r="H109" s="47">
        <v>2.0999999999999999E-3</v>
      </c>
      <c r="I109" s="1"/>
      <c r="J109" s="1"/>
    </row>
    <row r="112" spans="1:10">
      <c r="B112" s="48" t="s">
        <v>299</v>
      </c>
    </row>
  </sheetData>
  <mergeCells count="108"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40DA26-450F-4B8D-802D-43C4219C2897}"/>
</file>

<file path=customXml/itemProps2.xml><?xml version="1.0" encoding="utf-8"?>
<ds:datastoreItem xmlns:ds="http://schemas.openxmlformats.org/officeDocument/2006/customXml" ds:itemID="{9D7A8B43-F09A-4409-92C5-C8F6FFCCC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Large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2023-12-06T05:03:43Z</dcterms:created>
  <dcterms:modified xsi:type="dcterms:W3CDTF">2023-12-06T05:04:05Z</dcterms:modified>
</cp:coreProperties>
</file>