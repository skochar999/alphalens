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Half Yearly/30 Sep 2022/"/>
    </mc:Choice>
  </mc:AlternateContent>
  <xr:revisionPtr revIDLastSave="28" documentId="8_{8F8C895C-FABD-48C5-A6BA-F65AB8BCCAF5}" xr6:coauthVersionLast="47" xr6:coauthVersionMax="47" xr10:uidLastSave="{1F80C135-D3BB-49B4-988A-B51A5C40CB21}"/>
  <bookViews>
    <workbookView xWindow="-120" yWindow="-120" windowWidth="20730" windowHeight="11160" xr2:uid="{00000000-000D-0000-FFFF-FFFF00000000}"/>
  </bookViews>
  <sheets>
    <sheet name="YM004" sheetId="1" r:id="rId1"/>
  </sheets>
  <externalReferences>
    <externalReference r:id="rId2"/>
  </externalReferences>
  <definedNames>
    <definedName name="JR_PAGE_ANCHOR_0_1">'YM004'!#REF!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1" l="1"/>
  <c r="F82" i="1"/>
  <c r="G79" i="1"/>
  <c r="F79" i="1"/>
  <c r="F83" i="1" l="1"/>
  <c r="G83" i="1"/>
  <c r="G86" i="1"/>
  <c r="G87" i="1" s="1"/>
  <c r="F86" i="1"/>
  <c r="F87" i="1" s="1"/>
  <c r="F89" i="1" l="1"/>
  <c r="G89" i="1"/>
</calcChain>
</file>

<file path=xl/sharedStrings.xml><?xml version="1.0" encoding="utf-8"?>
<sst xmlns="http://schemas.openxmlformats.org/spreadsheetml/2006/main" count="433" uniqueCount="356">
  <si>
    <t>Name of the Instrument</t>
  </si>
  <si>
    <t>ISIN</t>
  </si>
  <si>
    <t>Quantity</t>
  </si>
  <si>
    <t>Market/Fair Value (Rs. in Lakhs)</t>
  </si>
  <si>
    <t>% to Net Assets</t>
  </si>
  <si>
    <t>YTM</t>
  </si>
  <si>
    <t>Sub Total</t>
  </si>
  <si>
    <t>Total</t>
  </si>
  <si>
    <t>TREPS / Reverse Repo</t>
  </si>
  <si>
    <t>Net Receivables / (Payables)</t>
  </si>
  <si>
    <t>GRAND TOTAL</t>
  </si>
  <si>
    <t>Half Yearly Portfolio Statement as on September 30, 2022</t>
  </si>
  <si>
    <t>TRP_031022</t>
  </si>
  <si>
    <t>Equity &amp; Equity related</t>
  </si>
  <si>
    <t>(a) Listed / awaiting listing on Stock Exchanges</t>
  </si>
  <si>
    <t>PAGE01</t>
  </si>
  <si>
    <t>Page Industries Limited</t>
  </si>
  <si>
    <t>INE761H01022</t>
  </si>
  <si>
    <t>Textiles &amp; Apparels</t>
  </si>
  <si>
    <t>PSYL01</t>
  </si>
  <si>
    <t>Persistent Systems Limited</t>
  </si>
  <si>
    <t>INE262H01013</t>
  </si>
  <si>
    <t>IT - Software</t>
  </si>
  <si>
    <t>PRRC03</t>
  </si>
  <si>
    <t>Navin Fluorine International Limited</t>
  </si>
  <si>
    <t>INE048G01026</t>
  </si>
  <si>
    <t>Chemicals &amp; Petrochemicals</t>
  </si>
  <si>
    <t>VEDF01</t>
  </si>
  <si>
    <t>Vedant Fashions Limited</t>
  </si>
  <si>
    <t>INE825V01034</t>
  </si>
  <si>
    <t>Retailing</t>
  </si>
  <si>
    <t>NITL01</t>
  </si>
  <si>
    <t>Coforge Limited</t>
  </si>
  <si>
    <t>INE591G01017</t>
  </si>
  <si>
    <t>DIXO02</t>
  </si>
  <si>
    <t>Dixon Technologies (India) Limited</t>
  </si>
  <si>
    <t>INE935N01020</t>
  </si>
  <si>
    <t>Consumer Durables</t>
  </si>
  <si>
    <t>PHMI02</t>
  </si>
  <si>
    <t>The Phoenix Mills Limited</t>
  </si>
  <si>
    <t>INE211B01039</t>
  </si>
  <si>
    <t>Realty</t>
  </si>
  <si>
    <t>Banks</t>
  </si>
  <si>
    <t>PROG01</t>
  </si>
  <si>
    <t>Procter &amp; Gamble Hygiene and Health Care Limited</t>
  </si>
  <si>
    <t>INE179A01014</t>
  </si>
  <si>
    <t>Personal Products</t>
  </si>
  <si>
    <t>CROM02</t>
  </si>
  <si>
    <t>CG Power and Industrial Solutions Limited</t>
  </si>
  <si>
    <t>INE067A01029</t>
  </si>
  <si>
    <t>Electrical Equipment</t>
  </si>
  <si>
    <t>HARS01</t>
  </si>
  <si>
    <t>Harsha Engineers International Limited</t>
  </si>
  <si>
    <t>INE0JUS01029</t>
  </si>
  <si>
    <t>Industrial Products</t>
  </si>
  <si>
    <t>SUMI01</t>
  </si>
  <si>
    <t>Sumitomo Chemical India Limited</t>
  </si>
  <si>
    <t>INE258G01013</t>
  </si>
  <si>
    <t>Fertilizers &amp; Agrochemicals</t>
  </si>
  <si>
    <t>THER02</t>
  </si>
  <si>
    <t>Thermax Limited</t>
  </si>
  <si>
    <t>INE152A01029</t>
  </si>
  <si>
    <t>CHOL02</t>
  </si>
  <si>
    <t>Cholamandalam Investment and Finance Company Ltd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</si>
  <si>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</si>
  <si>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</si>
  <si>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</si>
  <si>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</si>
  <si>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</si>
  <si>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</si>
  <si>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</si>
  <si>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</si>
  <si>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</si>
  <si>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IIFM01</t>
  </si>
  <si>
    <t>IIFL Wealth Management Limited</t>
  </si>
  <si>
    <t>INE466L01020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</si>
  <si>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</si>
  <si>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</si>
  <si>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</si>
  <si>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</si>
  <si>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</si>
  <si>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</si>
  <si>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</si>
  <si>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</si>
  <si>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</si>
  <si>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</si>
  <si>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</si>
  <si>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DLPL01</t>
  </si>
  <si>
    <t>Dr. Lal Path Labs Limited</t>
  </si>
  <si>
    <t>INE600L01024</t>
  </si>
  <si>
    <t>GRIN02</t>
  </si>
  <si>
    <t>Grindwell Norton Limited</t>
  </si>
  <si>
    <t>INE536A01023</t>
  </si>
  <si>
    <t>SSNL02</t>
  </si>
  <si>
    <t>Delhivery Limited</t>
  </si>
  <si>
    <t>INE148O01028</t>
  </si>
  <si>
    <t>Transport Services</t>
  </si>
  <si>
    <t>AJPH03</t>
  </si>
  <si>
    <t>Ajanta Pharma Limited</t>
  </si>
  <si>
    <t>INE031B01049</t>
  </si>
  <si>
    <t>GRCO02</t>
  </si>
  <si>
    <t>Saregama India Limited</t>
  </si>
  <si>
    <t>INE979A01025</t>
  </si>
  <si>
    <t>Entertainment</t>
  </si>
  <si>
    <t>GAWA01</t>
  </si>
  <si>
    <t>Garware Technical Fibres Limited</t>
  </si>
  <si>
    <t>INE276A01018</t>
  </si>
  <si>
    <t>CAMP01</t>
  </si>
  <si>
    <t>Campus Activewear Limited</t>
  </si>
  <si>
    <t>INE278Y01022</t>
  </si>
  <si>
    <t>IINF02</t>
  </si>
  <si>
    <t>IIFL Finance Limited</t>
  </si>
  <si>
    <t>INE530B01024</t>
  </si>
  <si>
    <t>TAHO01</t>
  </si>
  <si>
    <t>Honeywell Automation India Limited</t>
  </si>
  <si>
    <t>INE671A01010</t>
  </si>
  <si>
    <t>Industrial Manufacturing</t>
  </si>
  <si>
    <t>SBAI02</t>
  </si>
  <si>
    <t>State Bank of India</t>
  </si>
  <si>
    <t>INE062A01020</t>
  </si>
  <si>
    <t>LTTS01</t>
  </si>
  <si>
    <t>L&amp;T Technology Services Limited</t>
  </si>
  <si>
    <t>INE010V01017</t>
  </si>
  <si>
    <t>IT - Services</t>
  </si>
  <si>
    <t>GGLT02</t>
  </si>
  <si>
    <t>Gujarat Gas Limited</t>
  </si>
  <si>
    <t>INE844O01030</t>
  </si>
  <si>
    <t>Gas</t>
  </si>
  <si>
    <t>SAFI02</t>
  </si>
  <si>
    <t>Safari Industries (India) Limited</t>
  </si>
  <si>
    <t>INE429E01023</t>
  </si>
  <si>
    <t>IBCL05</t>
  </si>
  <si>
    <t>ICICI Bank Limited</t>
  </si>
  <si>
    <t>INE090A01021</t>
  </si>
  <si>
    <t>DODL01</t>
  </si>
  <si>
    <t>Dodla Dairy Limited</t>
  </si>
  <si>
    <t>INE021O01019</t>
  </si>
  <si>
    <t>Food Products</t>
  </si>
  <si>
    <t>BHAE01</t>
  </si>
  <si>
    <t>BEML Limited</t>
  </si>
  <si>
    <t>INE258A01016</t>
  </si>
  <si>
    <t>Agricultural, Commercial &amp; Construction Vehicles</t>
  </si>
  <si>
    <t>ORRE01</t>
  </si>
  <si>
    <t>RHI Magnesita India Limited</t>
  </si>
  <si>
    <t>INE743M01012</t>
  </si>
  <si>
    <t>BIRM01</t>
  </si>
  <si>
    <t>3M India Limited</t>
  </si>
  <si>
    <t>INE470A01017</t>
  </si>
  <si>
    <t>Diversified</t>
  </si>
  <si>
    <t>DPIL01</t>
  </si>
  <si>
    <t>Data Patterns (India) Limited</t>
  </si>
  <si>
    <t>INE0IX101010</t>
  </si>
  <si>
    <t>Aerospace &amp; Defense</t>
  </si>
  <si>
    <t>IEIN01</t>
  </si>
  <si>
    <t>Info Edge (India) Limited</t>
  </si>
  <si>
    <t>INE663F01024</t>
  </si>
  <si>
    <t>HINI02</t>
  </si>
  <si>
    <t>Hindalco Industries Limited</t>
  </si>
  <si>
    <t>INE038A01020</t>
  </si>
  <si>
    <t>Non - Ferrous Metals</t>
  </si>
  <si>
    <t>KNRC02</t>
  </si>
  <si>
    <t>KNR Constructions Limited</t>
  </si>
  <si>
    <t>INE634I01029</t>
  </si>
  <si>
    <t>Construction</t>
  </si>
  <si>
    <t>SHEP01</t>
  </si>
  <si>
    <t>Shaily Engineering Plastics Limited</t>
  </si>
  <si>
    <t>INE151G01010</t>
  </si>
  <si>
    <t>HDFB03</t>
  </si>
  <si>
    <t>HDFC Bank Limited</t>
  </si>
  <si>
    <t>INE040A01034</t>
  </si>
  <si>
    <t>HDLI01</t>
  </si>
  <si>
    <t>HDFC Life Insurance Company Limited</t>
  </si>
  <si>
    <t>INE795G01014</t>
  </si>
  <si>
    <t>Insurance</t>
  </si>
  <si>
    <t>POME02</t>
  </si>
  <si>
    <t>Poly Medicure Limited</t>
  </si>
  <si>
    <t>INE205C01021</t>
  </si>
  <si>
    <t>Healthcare Equipment &amp; Supplies</t>
  </si>
  <si>
    <t>GFPL01</t>
  </si>
  <si>
    <t>Go Fashion (India) Limited</t>
  </si>
  <si>
    <t>INE0BJS01011</t>
  </si>
  <si>
    <t>FOIL01</t>
  </si>
  <si>
    <t>Fine Organic Industries Limited</t>
  </si>
  <si>
    <t>INE686Y01026</t>
  </si>
  <si>
    <t>SEQS02</t>
  </si>
  <si>
    <t>Sequent Scientific Limited</t>
  </si>
  <si>
    <t>INE807F01027</t>
  </si>
  <si>
    <t>(b) Unlisted</t>
  </si>
  <si>
    <t>BELA01</t>
  </si>
  <si>
    <t>BEML LAND ASSETS LIMITED ** #</t>
  </si>
  <si>
    <t>Miscellaneous</t>
  </si>
  <si>
    <t>WhiteOak Capital Flexi Cap Fund</t>
  </si>
  <si>
    <t>INFS02</t>
  </si>
  <si>
    <t>NEST01</t>
  </si>
  <si>
    <t>RIND01</t>
  </si>
  <si>
    <t>TWAT02</t>
  </si>
  <si>
    <t>ASPA02</t>
  </si>
  <si>
    <t>MAUD01</t>
  </si>
  <si>
    <t>HLEL02</t>
  </si>
  <si>
    <t>CIPL03</t>
  </si>
  <si>
    <t>BAFL02</t>
  </si>
  <si>
    <t>BFSL02</t>
  </si>
  <si>
    <t>HDFC03</t>
  </si>
  <si>
    <t>EIML02</t>
  </si>
  <si>
    <t>TCSL01</t>
  </si>
  <si>
    <t>BFLS01</t>
  </si>
  <si>
    <t>KOMA02</t>
  </si>
  <si>
    <t>UTIB02</t>
  </si>
  <si>
    <t>BHEL02</t>
  </si>
  <si>
    <t>TISC03</t>
  </si>
  <si>
    <t>FSNE01</t>
  </si>
  <si>
    <t>TINV04</t>
  </si>
  <si>
    <t>MTTP01</t>
  </si>
  <si>
    <t>PGCI01</t>
  </si>
  <si>
    <t>MANO01</t>
  </si>
  <si>
    <t>Infosys Limited</t>
  </si>
  <si>
    <t>Nestle India Limited</t>
  </si>
  <si>
    <t>Reliance Industries Limited</t>
  </si>
  <si>
    <t>Titan Company Limited</t>
  </si>
  <si>
    <t>Asian Paints Limited</t>
  </si>
  <si>
    <t>Maruti Suzuki India Limited</t>
  </si>
  <si>
    <t>Hindustan Unilever Limited</t>
  </si>
  <si>
    <t>Cipla Limited</t>
  </si>
  <si>
    <t>Bajaj Finance Limited</t>
  </si>
  <si>
    <t>Bajaj Finserv Limited</t>
  </si>
  <si>
    <t>Housing Development Finance Corporation Limited</t>
  </si>
  <si>
    <t>Eicher Motors Limited</t>
  </si>
  <si>
    <t>Tata Consultancy Services Limited</t>
  </si>
  <si>
    <t>MphasiS Limited</t>
  </si>
  <si>
    <t>Kotak Mahindra Bank Limited</t>
  </si>
  <si>
    <t>Axis Bank Limited</t>
  </si>
  <si>
    <t>Bharat Electronics Limited</t>
  </si>
  <si>
    <t>Tata Steel Limited</t>
  </si>
  <si>
    <t>FSN E-Commerce Ventures Limited</t>
  </si>
  <si>
    <t>Cholamandalam Financial Holdings Limited</t>
  </si>
  <si>
    <t>Mold-Tek Packaging Limited</t>
  </si>
  <si>
    <t>Power Grid Corporation of India Limited</t>
  </si>
  <si>
    <t>Manorama Industries Limited</t>
  </si>
  <si>
    <t>INE009A01021</t>
  </si>
  <si>
    <t>INE239A01016</t>
  </si>
  <si>
    <t>INE002A01018</t>
  </si>
  <si>
    <t>Petroleum Products</t>
  </si>
  <si>
    <t>INE280A01028</t>
  </si>
  <si>
    <t>INE021A01026</t>
  </si>
  <si>
    <t>INE585B01010</t>
  </si>
  <si>
    <t>Automobiles</t>
  </si>
  <si>
    <t>INE030A01027</t>
  </si>
  <si>
    <t>Diversified FMCG</t>
  </si>
  <si>
    <t>INE059A01026</t>
  </si>
  <si>
    <t>INE296A01024</t>
  </si>
  <si>
    <t>INE918I01026</t>
  </si>
  <si>
    <t>INE001A01036</t>
  </si>
  <si>
    <t>INE066A01021</t>
  </si>
  <si>
    <t>INE467B01029</t>
  </si>
  <si>
    <t>INE356A01018</t>
  </si>
  <si>
    <t>INE237A01028</t>
  </si>
  <si>
    <t>INE238A01034</t>
  </si>
  <si>
    <t>INE263A01024</t>
  </si>
  <si>
    <t>INE081A01020</t>
  </si>
  <si>
    <t>Ferrous Metals</t>
  </si>
  <si>
    <t>INE388Y01029</t>
  </si>
  <si>
    <t>INE149A01033</t>
  </si>
  <si>
    <t>INE893J01029</t>
  </si>
  <si>
    <t>INE752E01010</t>
  </si>
  <si>
    <t>Power</t>
  </si>
  <si>
    <t>INE00VM01010</t>
  </si>
  <si>
    <t>Notes :</t>
  </si>
  <si>
    <t>(1) The provision made for securities classified as below investment grade or default as of September 30, 2022 is Rs.Nil and its percentage to Net Asset Value is Nil.</t>
  </si>
  <si>
    <t>(2)  Aggregate value of illiquid securities of the scheme and their percentage to NAV as on September 30, 2022 is Nil.</t>
  </si>
  <si>
    <t>(3)  Plan/Option wise Net Assets Value per unit (in Rupees) is as follows:</t>
  </si>
  <si>
    <t>Plan/Option</t>
  </si>
  <si>
    <t>As on September 30, 2022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</si>
  <si>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</si>
  <si>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</si>
  <si>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</si>
  <si>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</si>
  <si>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half year ended September 30, 2022.</t>
  </si>
  <si>
    <t>(5) The Scheme did not declare any bonus during the half year ended September 30, 2022.</t>
  </si>
  <si>
    <t>(7) Total investments in Foreign Securities / Overseas ETFs / ADRs / GDRs as on September 30, 2022 is Nil.</t>
  </si>
  <si>
    <t>(9) The scheme had no Repo transaction in Corporate Debt Securities during half year ended September 30, 2022.</t>
  </si>
  <si>
    <t>Place : Mumbai</t>
  </si>
  <si>
    <t xml:space="preserve">Date :  </t>
  </si>
  <si>
    <t>Portfolio disclosure for derivative positions.</t>
  </si>
  <si>
    <t>A .   Hedging Positions through Futures as on September 30, 2022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</si>
  <si>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</si>
  <si>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</si>
  <si>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</si>
  <si>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</si>
  <si>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</si>
  <si>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</si>
  <si>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For the period ended September 30, 2022 details of hedging transactions through futures which have been squared off/expired are as under.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</si>
  <si>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</si>
  <si>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</si>
  <si>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</si>
  <si>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</si>
  <si>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</si>
  <si>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B.   Other than Hedging Positions through Futures as on September 30, 2022</t>
  </si>
  <si>
    <t>Futures Price when purchased (Rs)</t>
  </si>
  <si>
    <t>Current price of the contract (Rs)</t>
  </si>
  <si>
    <t>Margin maintained (Rs. Lakhs)</t>
  </si>
  <si>
    <t>Nil</t>
  </si>
  <si>
    <t>For the period ended September 30, 2022 details of non-hedging transactions through futures which have been squared off/expired are as under.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</si>
  <si>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</si>
  <si>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</si>
  <si>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</si>
  <si>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</si>
  <si>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C.  Hedging Positions through Put Options as on September 30, 2022</t>
  </si>
  <si>
    <t>Number of Contracts</t>
  </si>
  <si>
    <t>Option Price when purchased</t>
  </si>
  <si>
    <t>Current Option Price</t>
  </si>
  <si>
    <t>For the period ended September 30, 2022, details of hedging transactions through options which have already been exercised/expired are as under.</t>
  </si>
  <si>
    <t>Total Number of contracts entered into</t>
  </si>
  <si>
    <t>Gross Notional Value of contracts (in Rs.)</t>
  </si>
  <si>
    <t>Net Profit/(Loss) value on all contracts ( in Rs.)</t>
  </si>
  <si>
    <t>D.  Other than Hedging Positions through Options as on September 30, 2022</t>
  </si>
  <si>
    <t>Call / put</t>
  </si>
  <si>
    <t>Number of contracts</t>
  </si>
  <si>
    <t>Current Price</t>
  </si>
  <si>
    <t>Nifty</t>
  </si>
  <si>
    <t>For the period ended September 30, 2022 details of non-hedging transactions through options which have already been exercised/expired are as under.</t>
  </si>
  <si>
    <t>E.  Hedging Positions through swaps as on September 30, 2022 - Nil</t>
  </si>
  <si>
    <t>F.  Hedging Positions through writing of Covered Call Options as on September 30, 2022</t>
  </si>
  <si>
    <t>% of underlying shares</t>
  </si>
  <si>
    <t>Option Price when sold</t>
  </si>
  <si>
    <t>Margin maintained in Rs. Lakhs</t>
  </si>
  <si>
    <t>For the period ended September 30, 2022 details of covered call options written which have been exercised / expired are as under.</t>
  </si>
  <si>
    <t xml:space="preserve">Total number of contracts entered into </t>
  </si>
  <si>
    <t>Net Profit/(Loss) value on all contracts (in Rs.)</t>
  </si>
  <si>
    <t>NA</t>
  </si>
  <si>
    <t>(An Open Ended Dynamic Equity Scheme Investing Across Large Cap, Mid Cap and Small Cap Stocks)</t>
  </si>
  <si>
    <t>**  Thinly Traded / Non Traded Security</t>
  </si>
  <si>
    <t>#  Unlisted Security</t>
  </si>
  <si>
    <t>(8) Portfolio Turnover ratio is 0.43 times.</t>
  </si>
  <si>
    <t>Long</t>
  </si>
  <si>
    <t>Total Exposure through options as a %age of net assets : Nil</t>
  </si>
  <si>
    <t>TREPS</t>
  </si>
  <si>
    <t>Industry*</t>
  </si>
  <si>
    <t>*  Industry Classification is as recommended by AMFI</t>
  </si>
  <si>
    <t>As on March 31, 2022 $</t>
  </si>
  <si>
    <t>$ -The date of allotment of the Scheme is August 02,2022, therefore the Net Asset Values as on March 31, 2022 are not available.</t>
  </si>
  <si>
    <t>(6) Total outstanding exposure in derivative instruments as on September 30, 2022 is Rs. 2,394.45 Lacs.</t>
  </si>
  <si>
    <t>Total exposure due to futures (non hedging positions) as a %age of net assets : 3.16%</t>
  </si>
  <si>
    <t>Call options written as %age to total market value of equity shares held in the scheme : Nil</t>
  </si>
  <si>
    <t>Total %age of existing assets hedged through futures : Nil</t>
  </si>
  <si>
    <t>Total %age of existing assets hedged through put options : Nil</t>
  </si>
  <si>
    <t>Scheme Name &amp; Type of the Scheme</t>
  </si>
  <si>
    <t>Product Labelling</t>
  </si>
  <si>
    <t>Scheme Risk-o-meter</t>
  </si>
  <si>
    <t xml:space="preserve">Benchmark Risk-o-meter </t>
  </si>
  <si>
    <t>An Open Ended Dynamic Equity Scheme Investing Across Large Cap, Mid Cap and Small Cap Stocks</t>
  </si>
  <si>
    <t xml:space="preserve">◦Long term capital appreciation
◦Investment in a diversified portfolio of equity and equity-related securities of companies across the spectrum of various market capitalization.
</t>
  </si>
  <si>
    <t>* Investors should consult their financial advisers if in doubt about whether the product is suitable for them</t>
  </si>
  <si>
    <t xml:space="preserve">Scheme Benchmark </t>
  </si>
  <si>
    <t xml:space="preserve">S&amp;P BSE 500 TRI </t>
  </si>
  <si>
    <t>Product Labelling &amp; Risk-o-Meter</t>
  </si>
  <si>
    <r>
      <rPr>
        <b/>
        <sz val="9"/>
        <color rgb="FF000000"/>
        <rFont val="Calibri"/>
        <family val="2"/>
      </rPr>
      <t>This Product is suitable for investors who are seeking *</t>
    </r>
    <r>
      <rPr>
        <sz val="9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</si>
</sst>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#,##0.00;\(#,##0.00\)"/>
    <numFmt numFmtId="166" formatCode="#,##0.00%;\(#,##0.00\)%"/>
    <numFmt numFmtId="167" formatCode="#,##0.00%"/>
    <numFmt numFmtId="168" formatCode="_ * #,##0_ ;_ * \-#,##0_ ;_ * &quot;-&quot;??_ ;_ @_ "/>
    <numFmt numFmtId="169" formatCode="0.0000"/>
  </numFmts>
  <fonts count="2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</cellStyleXfs>
  <cellXfs count="155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left" vertical="top" wrapText="1"/>
    </xf>
    <xf numFmtId="165" fontId="4" fillId="2" borderId="2" xfId="0" applyNumberFormat="1" applyFont="1" applyFill="1" applyBorder="1" applyAlignment="1">
      <alignment horizontal="right" vertical="top" wrapText="1"/>
    </xf>
    <xf numFmtId="166" fontId="4" fillId="2" borderId="1" xfId="0" applyNumberFormat="1" applyFont="1" applyFill="1" applyBorder="1" applyAlignment="1">
      <alignment horizontal="right" vertical="top" wrapText="1"/>
    </xf>
    <xf numFmtId="165" fontId="3" fillId="2" borderId="3" xfId="0" applyNumberFormat="1" applyFont="1" applyFill="1" applyBorder="1" applyAlignment="1">
      <alignment horizontal="right" vertical="top" wrapText="1"/>
    </xf>
    <xf numFmtId="166" fontId="3" fillId="2" borderId="4" xfId="0" applyNumberFormat="1" applyFont="1" applyFill="1" applyBorder="1" applyAlignment="1">
      <alignment horizontal="righ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Alignment="1"/>
    <xf numFmtId="0" fontId="0" fillId="2" borderId="0" xfId="0" applyFill="1" applyAlignment="1">
      <alignment wrapText="1"/>
    </xf>
    <xf numFmtId="0" fontId="0" fillId="2" borderId="0" xfId="0" applyFill="1" applyAlignment="1" applyProtection="1">
      <protection locked="0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vertical="top" wrapText="1"/>
    </xf>
    <xf numFmtId="0" fontId="4" fillId="0" borderId="4" xfId="0" applyNumberFormat="1" applyFont="1" applyFill="1" applyBorder="1" applyAlignment="1" applyProtection="1">
      <alignment vertical="top" wrapText="1"/>
    </xf>
    <xf numFmtId="0" fontId="4" fillId="0" borderId="5" xfId="0" applyNumberFormat="1" applyFont="1" applyFill="1" applyBorder="1" applyAlignment="1" applyProtection="1">
      <alignment vertical="top" wrapText="1"/>
    </xf>
    <xf numFmtId="0" fontId="4" fillId="2" borderId="1" xfId="0" applyFont="1" applyFill="1" applyBorder="1" applyAlignment="1">
      <alignment vertical="top" wrapText="1"/>
    </xf>
    <xf numFmtId="3" fontId="4" fillId="2" borderId="1" xfId="0" applyNumberFormat="1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NumberFormat="1" applyFont="1" applyFill="1" applyBorder="1" applyAlignment="1" applyProtection="1">
      <alignment horizontal="left" vertical="top"/>
    </xf>
    <xf numFmtId="0" fontId="2" fillId="0" borderId="0" xfId="0" applyFont="1" applyFill="1"/>
    <xf numFmtId="0" fontId="0" fillId="0" borderId="0" xfId="0" applyNumberFormat="1" applyFont="1" applyFill="1" applyBorder="1" applyAlignment="1" applyProtection="1">
      <protection locked="0"/>
    </xf>
    <xf numFmtId="166" fontId="3" fillId="0" borderId="5" xfId="0" applyNumberFormat="1" applyFont="1" applyFill="1" applyBorder="1" applyAlignment="1" applyProtection="1">
      <alignment horizontal="right" vertical="top" wrapText="1"/>
    </xf>
    <xf numFmtId="165" fontId="3" fillId="0" borderId="7" xfId="0" applyNumberFormat="1" applyFont="1" applyFill="1" applyBorder="1" applyAlignment="1" applyProtection="1">
      <alignment horizontal="righ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3" fillId="0" borderId="10" xfId="0" applyNumberFormat="1" applyFont="1" applyFill="1" applyBorder="1" applyAlignment="1" applyProtection="1">
      <alignment horizontal="righ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right" vertical="top" wrapText="1"/>
    </xf>
    <xf numFmtId="0" fontId="3" fillId="2" borderId="11" xfId="0" applyFont="1" applyFill="1" applyBorder="1" applyAlignment="1">
      <alignment horizontal="left" vertical="top" wrapText="1"/>
    </xf>
    <xf numFmtId="0" fontId="3" fillId="2" borderId="12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vertical="top" wrapText="1"/>
    </xf>
    <xf numFmtId="165" fontId="3" fillId="2" borderId="14" xfId="0" applyNumberFormat="1" applyFont="1" applyFill="1" applyBorder="1" applyAlignment="1">
      <alignment horizontal="right" vertical="top" wrapText="1"/>
    </xf>
    <xf numFmtId="0" fontId="3" fillId="2" borderId="15" xfId="0" applyFont="1" applyFill="1" applyBorder="1" applyAlignment="1">
      <alignment horizontal="right" vertical="top" wrapText="1"/>
    </xf>
    <xf numFmtId="168" fontId="4" fillId="0" borderId="1" xfId="3" applyNumberFormat="1" applyFont="1" applyFill="1" applyBorder="1" applyAlignment="1" applyProtection="1">
      <alignment horizontal="left" vertical="top" wrapText="1"/>
    </xf>
    <xf numFmtId="0" fontId="4" fillId="0" borderId="11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right" vertical="top" wrapText="1"/>
    </xf>
    <xf numFmtId="0" fontId="4" fillId="0" borderId="10" xfId="0" applyNumberFormat="1" applyFont="1" applyFill="1" applyBorder="1" applyAlignment="1" applyProtection="1">
      <alignment horizontal="right" vertical="top" wrapText="1"/>
    </xf>
    <xf numFmtId="168" fontId="4" fillId="0" borderId="4" xfId="3" applyNumberFormat="1" applyFont="1" applyFill="1" applyBorder="1" applyAlignment="1" applyProtection="1">
      <alignment vertical="top" wrapText="1"/>
    </xf>
    <xf numFmtId="10" fontId="3" fillId="0" borderId="10" xfId="2" applyNumberFormat="1" applyFont="1" applyFill="1" applyBorder="1" applyAlignment="1" applyProtection="1">
      <alignment horizontal="right" vertical="top" wrapText="1"/>
    </xf>
    <xf numFmtId="10" fontId="4" fillId="0" borderId="5" xfId="2" applyNumberFormat="1" applyFont="1" applyFill="1" applyBorder="1" applyAlignment="1" applyProtection="1">
      <alignment horizontal="righ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168" fontId="4" fillId="0" borderId="18" xfId="3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/>
    </xf>
    <xf numFmtId="0" fontId="3" fillId="0" borderId="4" xfId="0" applyNumberFormat="1" applyFont="1" applyFill="1" applyBorder="1" applyAlignment="1" applyProtection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10" fillId="0" borderId="0" xfId="0" applyFont="1" applyBorder="1" applyAlignment="1">
      <alignment horizontal="center" vertical="top" wrapText="1"/>
    </xf>
    <xf numFmtId="169" fontId="9" fillId="0" borderId="21" xfId="0" applyNumberFormat="1" applyFont="1" applyFill="1" applyBorder="1" applyAlignment="1">
      <alignment horizontal="right" vertical="top" wrapText="1"/>
    </xf>
    <xf numFmtId="0" fontId="9" fillId="0" borderId="0" xfId="0" applyFont="1" applyFill="1" applyAlignment="1">
      <alignment vertical="top"/>
    </xf>
    <xf numFmtId="0" fontId="0" fillId="0" borderId="0" xfId="0" applyFill="1"/>
    <xf numFmtId="0" fontId="11" fillId="0" borderId="0" xfId="0" applyFont="1"/>
    <xf numFmtId="0" fontId="10" fillId="0" borderId="21" xfId="0" applyFont="1" applyFill="1" applyBorder="1" applyAlignment="1">
      <alignment horizontal="left" vertical="top" wrapText="1"/>
    </xf>
    <xf numFmtId="0" fontId="10" fillId="0" borderId="21" xfId="0" applyFont="1" applyFill="1" applyBorder="1" applyAlignment="1">
      <alignment horizontal="center" vertical="top" wrapText="1"/>
    </xf>
    <xf numFmtId="0" fontId="9" fillId="0" borderId="21" xfId="0" applyFont="1" applyFill="1" applyBorder="1" applyAlignment="1">
      <alignment horizontal="left" vertical="top" wrapText="1"/>
    </xf>
    <xf numFmtId="0" fontId="9" fillId="0" borderId="21" xfId="0" applyFont="1" applyFill="1" applyBorder="1" applyAlignment="1">
      <alignment horizontal="left" wrapText="1"/>
    </xf>
    <xf numFmtId="10" fontId="3" fillId="2" borderId="14" xfId="2" applyNumberFormat="1" applyFont="1" applyFill="1" applyBorder="1" applyAlignment="1">
      <alignment horizontal="right" vertical="top" wrapText="1"/>
    </xf>
    <xf numFmtId="0" fontId="0" fillId="0" borderId="0" xfId="0" applyFill="1" applyAlignment="1"/>
    <xf numFmtId="0" fontId="9" fillId="0" borderId="0" xfId="4" applyFont="1" applyFill="1" applyAlignment="1">
      <alignment vertical="top"/>
    </xf>
    <xf numFmtId="0" fontId="0" fillId="0" borderId="0" xfId="0" applyFill="1" applyAlignment="1" applyProtection="1">
      <protection locked="0"/>
    </xf>
    <xf numFmtId="0" fontId="3" fillId="0" borderId="0" xfId="0" applyFont="1" applyFill="1" applyAlignment="1">
      <alignment horizontal="right" vertical="top" wrapText="1"/>
    </xf>
    <xf numFmtId="0" fontId="3" fillId="0" borderId="26" xfId="0" applyFont="1" applyFill="1" applyBorder="1" applyAlignment="1">
      <alignment horizontal="left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3" fillId="0" borderId="28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vertical="top" wrapText="1"/>
    </xf>
    <xf numFmtId="165" fontId="3" fillId="2" borderId="0" xfId="0" applyNumberFormat="1" applyFont="1" applyFill="1" applyBorder="1" applyAlignment="1">
      <alignment horizontal="right" vertical="top" wrapText="1"/>
    </xf>
    <xf numFmtId="10" fontId="3" fillId="2" borderId="0" xfId="2" applyNumberFormat="1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right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3" fillId="0" borderId="21" xfId="0" applyFont="1" applyBorder="1"/>
    <xf numFmtId="4" fontId="13" fillId="0" borderId="21" xfId="5" applyNumberFormat="1" applyFont="1" applyBorder="1" applyAlignment="1"/>
    <xf numFmtId="43" fontId="13" fillId="0" borderId="21" xfId="5" applyFont="1" applyBorder="1" applyAlignment="1"/>
    <xf numFmtId="0" fontId="14" fillId="0" borderId="0" xfId="0" applyFont="1" applyAlignment="1">
      <alignment horizontal="left" vertical="top"/>
    </xf>
    <xf numFmtId="164" fontId="9" fillId="0" borderId="6" xfId="3" applyFont="1" applyFill="1" applyBorder="1" applyAlignment="1" applyProtection="1">
      <alignment wrapText="1"/>
      <protection locked="0"/>
    </xf>
    <xf numFmtId="0" fontId="4" fillId="0" borderId="16" xfId="0" applyNumberFormat="1" applyFont="1" applyFill="1" applyBorder="1" applyAlignment="1" applyProtection="1">
      <alignment horizontal="right" vertical="top" wrapText="1"/>
    </xf>
    <xf numFmtId="164" fontId="9" fillId="0" borderId="19" xfId="3" applyFont="1" applyFill="1" applyBorder="1" applyAlignment="1" applyProtection="1">
      <alignment wrapText="1"/>
      <protection locked="0"/>
    </xf>
    <xf numFmtId="10" fontId="4" fillId="0" borderId="18" xfId="2" applyNumberFormat="1" applyFont="1" applyFill="1" applyBorder="1" applyAlignment="1" applyProtection="1">
      <alignment horizontal="right" vertical="top" wrapText="1"/>
    </xf>
    <xf numFmtId="10" fontId="4" fillId="0" borderId="1" xfId="2" applyNumberFormat="1" applyFont="1" applyFill="1" applyBorder="1" applyAlignment="1" applyProtection="1">
      <alignment horizontal="right" vertical="top" wrapText="1"/>
    </xf>
    <xf numFmtId="0" fontId="4" fillId="0" borderId="9" xfId="0" applyNumberFormat="1" applyFont="1" applyFill="1" applyBorder="1" applyAlignment="1" applyProtection="1">
      <alignment horizontal="right" vertical="top" wrapText="1"/>
    </xf>
    <xf numFmtId="4" fontId="10" fillId="2" borderId="6" xfId="0" applyNumberFormat="1" applyFont="1" applyFill="1" applyBorder="1" applyAlignment="1" applyProtection="1">
      <alignment wrapText="1"/>
      <protection locked="0"/>
    </xf>
    <xf numFmtId="10" fontId="3" fillId="2" borderId="1" xfId="0" applyNumberFormat="1" applyFont="1" applyFill="1" applyBorder="1" applyAlignment="1">
      <alignment horizontal="right" vertical="top" wrapText="1"/>
    </xf>
    <xf numFmtId="0" fontId="4" fillId="2" borderId="9" xfId="0" applyFont="1" applyFill="1" applyBorder="1" applyAlignment="1">
      <alignment horizontal="right" vertical="top" wrapText="1"/>
    </xf>
    <xf numFmtId="0" fontId="9" fillId="2" borderId="0" xfId="0" applyFont="1" applyFill="1" applyBorder="1" applyAlignment="1" applyProtection="1">
      <alignment wrapText="1"/>
      <protection locked="0"/>
    </xf>
    <xf numFmtId="0" fontId="4" fillId="2" borderId="2" xfId="0" applyFont="1" applyFill="1" applyBorder="1" applyAlignment="1">
      <alignment horizontal="right" vertical="top" wrapText="1"/>
    </xf>
    <xf numFmtId="167" fontId="4" fillId="2" borderId="9" xfId="0" applyNumberFormat="1" applyFont="1" applyFill="1" applyBorder="1" applyAlignment="1">
      <alignment horizontal="right" vertical="top" wrapText="1"/>
    </xf>
    <xf numFmtId="0" fontId="9" fillId="0" borderId="0" xfId="0" applyFont="1" applyFill="1"/>
    <xf numFmtId="0" fontId="15" fillId="0" borderId="0" xfId="0" applyFont="1" applyFill="1"/>
    <xf numFmtId="0" fontId="9" fillId="0" borderId="0" xfId="0" applyFont="1"/>
    <xf numFmtId="0" fontId="15" fillId="0" borderId="0" xfId="0" applyFont="1"/>
    <xf numFmtId="169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21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43" fontId="16" fillId="0" borderId="0" xfId="0" applyNumberFormat="1" applyFont="1"/>
    <xf numFmtId="0" fontId="12" fillId="0" borderId="21" xfId="0" applyFont="1" applyBorder="1" applyAlignment="1">
      <alignment wrapText="1"/>
    </xf>
    <xf numFmtId="0" fontId="12" fillId="0" borderId="21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 wrapText="1"/>
    </xf>
    <xf numFmtId="0" fontId="12" fillId="0" borderId="21" xfId="0" applyFont="1" applyBorder="1" applyAlignment="1">
      <alignment vertical="top" wrapText="1"/>
    </xf>
    <xf numFmtId="0" fontId="9" fillId="0" borderId="0" xfId="0" applyFont="1" applyAlignment="1">
      <alignment horizontal="left" vertical="top" wrapText="1"/>
    </xf>
    <xf numFmtId="43" fontId="13" fillId="0" borderId="21" xfId="5" applyFont="1" applyFill="1" applyBorder="1" applyAlignment="1"/>
    <xf numFmtId="0" fontId="10" fillId="0" borderId="0" xfId="0" applyFont="1"/>
    <xf numFmtId="0" fontId="17" fillId="2" borderId="0" xfId="0" applyFont="1" applyFill="1"/>
    <xf numFmtId="0" fontId="18" fillId="0" borderId="29" xfId="0" applyFont="1" applyBorder="1" applyAlignment="1">
      <alignment horizontal="center" wrapText="1" readingOrder="1"/>
    </xf>
    <xf numFmtId="0" fontId="18" fillId="0" borderId="30" xfId="0" applyFont="1" applyBorder="1" applyAlignment="1">
      <alignment horizontal="center" wrapText="1" readingOrder="1"/>
    </xf>
    <xf numFmtId="0" fontId="18" fillId="0" borderId="31" xfId="0" applyFont="1" applyBorder="1" applyAlignment="1">
      <alignment horizontal="center" wrapText="1" readingOrder="1"/>
    </xf>
    <xf numFmtId="0" fontId="18" fillId="0" borderId="32" xfId="0" applyFont="1" applyBorder="1" applyAlignment="1">
      <alignment horizontal="justify" wrapText="1" readingOrder="1"/>
    </xf>
    <xf numFmtId="0" fontId="19" fillId="0" borderId="0" xfId="0" applyFont="1" applyBorder="1" applyAlignment="1">
      <alignment horizontal="justify" wrapText="1" readingOrder="1"/>
    </xf>
    <xf numFmtId="0" fontId="19" fillId="0" borderId="18" xfId="0" applyFont="1" applyBorder="1" applyAlignment="1">
      <alignment horizontal="justify" wrapText="1" readingOrder="1"/>
    </xf>
    <xf numFmtId="0" fontId="19" fillId="0" borderId="32" xfId="0" applyFont="1" applyBorder="1" applyAlignment="1">
      <alignment horizontal="justify" wrapText="1" readingOrder="1"/>
    </xf>
    <xf numFmtId="0" fontId="18" fillId="0" borderId="0" xfId="0" applyFont="1" applyBorder="1" applyAlignment="1">
      <alignment horizontal="justify" wrapText="1" readingOrder="1"/>
    </xf>
    <xf numFmtId="0" fontId="18" fillId="0" borderId="18" xfId="0" applyFont="1" applyBorder="1" applyAlignment="1">
      <alignment horizontal="justify" wrapText="1" readingOrder="1"/>
    </xf>
    <xf numFmtId="0" fontId="19" fillId="0" borderId="33" xfId="0" applyFont="1" applyBorder="1" applyAlignment="1">
      <alignment horizontal="justify" wrapText="1" readingOrder="1"/>
    </xf>
    <xf numFmtId="0" fontId="19" fillId="0" borderId="22" xfId="0" applyFont="1" applyBorder="1" applyAlignment="1">
      <alignment horizontal="justify" wrapText="1" readingOrder="1"/>
    </xf>
    <xf numFmtId="0" fontId="19" fillId="0" borderId="34" xfId="0" applyFont="1" applyBorder="1" applyAlignment="1">
      <alignment horizontal="justify" wrapText="1" readingOrder="1"/>
    </xf>
    <xf numFmtId="0" fontId="1" fillId="0" borderId="0" xfId="0" applyFont="1" applyFill="1" applyAlignment="1">
      <alignment horizontal="left" vertical="top" wrapText="1"/>
    </xf>
    <xf numFmtId="0" fontId="9" fillId="0" borderId="0" xfId="0" applyFont="1" applyFill="1" applyAlignment="1">
      <alignment horizontal="left" vertical="top" wrapText="1"/>
    </xf>
    <xf numFmtId="0" fontId="16" fillId="0" borderId="0" xfId="0" applyFont="1" applyAlignment="1">
      <alignment horizontal="left"/>
    </xf>
    <xf numFmtId="0" fontId="9" fillId="0" borderId="0" xfId="0" applyFont="1" applyAlignment="1">
      <alignment horizontal="left" vertical="top" wrapText="1"/>
    </xf>
    <xf numFmtId="0" fontId="9" fillId="0" borderId="0" xfId="4" applyFont="1" applyFill="1" applyAlignment="1">
      <alignment horizontal="left" vertical="top" wrapText="1"/>
    </xf>
    <xf numFmtId="0" fontId="16" fillId="0" borderId="22" xfId="0" applyFont="1" applyBorder="1" applyAlignment="1">
      <alignment horizontal="left"/>
    </xf>
    <xf numFmtId="0" fontId="13" fillId="0" borderId="23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0" xfId="0" applyFont="1" applyAlignment="1"/>
    <xf numFmtId="0" fontId="11" fillId="0" borderId="22" xfId="0" applyFont="1" applyBorder="1" applyAlignment="1">
      <alignment horizontal="left"/>
    </xf>
    <xf numFmtId="0" fontId="19" fillId="0" borderId="0" xfId="0" applyFont="1" applyBorder="1" applyAlignment="1">
      <alignment horizontal="justify" wrapText="1" readingOrder="1"/>
    </xf>
    <xf numFmtId="0" fontId="17" fillId="0" borderId="0" xfId="0" applyFont="1" applyBorder="1" applyAlignment="1">
      <alignment horizontal="justify" wrapText="1" readingOrder="1"/>
    </xf>
    <xf numFmtId="0" fontId="19" fillId="0" borderId="18" xfId="0" applyFont="1" applyBorder="1" applyAlignment="1">
      <alignment horizontal="justify" wrapText="1" readingOrder="1"/>
    </xf>
    <xf numFmtId="0" fontId="17" fillId="0" borderId="18" xfId="0" applyFont="1" applyBorder="1" applyAlignment="1">
      <alignment horizontal="justify" wrapText="1" readingOrder="1"/>
    </xf>
    <xf numFmtId="0" fontId="13" fillId="0" borderId="23" xfId="0" applyFont="1" applyBorder="1" applyAlignment="1">
      <alignment horizontal="center" wrapText="1"/>
    </xf>
    <xf numFmtId="0" fontId="13" fillId="0" borderId="24" xfId="0" applyFont="1" applyBorder="1" applyAlignment="1">
      <alignment horizontal="center" wrapText="1"/>
    </xf>
    <xf numFmtId="0" fontId="13" fillId="0" borderId="25" xfId="0" applyFont="1" applyBorder="1" applyAlignment="1">
      <alignment horizontal="center" wrapText="1"/>
    </xf>
  </cellXfs>
  <cellStyles count="6">
    <cellStyle name="Comma" xfId="3" builtinId="3"/>
    <cellStyle name="Comma 2" xfId="5" xr:uid="{00000000-0005-0000-0000-000001000000}"/>
    <cellStyle name="Normal" xfId="0" builtinId="0"/>
    <cellStyle name="Normal 2" xfId="1" xr:uid="{00000000-0005-0000-0000-000003000000}"/>
    <cellStyle name="Normal 3" xfId="4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238124</xdr:colOff>
      <xdr:row>173</xdr:row>
      <xdr:rowOff>73111</xdr:rowOff>
    </xdr:from>
    <xdr:to>
      <xdr:col>9</xdr:col>
      <xdr:colOff>1879082</xdr:colOff>
      <xdr:row>174</xdr:row>
      <xdr:rowOff>390525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41E71A-BDBF-4668-AD60-038628EB4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35074" y="41744986"/>
          <a:ext cx="1640958" cy="12413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95251</xdr:colOff>
      <xdr:row>173</xdr:row>
      <xdr:rowOff>159830</xdr:rowOff>
    </xdr:from>
    <xdr:to>
      <xdr:col>10</xdr:col>
      <xdr:colOff>1720827</xdr:colOff>
      <xdr:row>174</xdr:row>
      <xdr:rowOff>371475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5198C6-0375-47BE-9EC1-952885AA2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21026" y="41831705"/>
          <a:ext cx="1625576" cy="1135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77"/>
  <sheetViews>
    <sheetView tabSelected="1" topLeftCell="G170" zoomScaleNormal="100" workbookViewId="0">
      <selection activeCell="J176" sqref="J176"/>
    </sheetView>
  </sheetViews>
  <sheetFormatPr defaultColWidth="8.85546875" defaultRowHeight="15" x14ac:dyDescent="0.25"/>
  <cols>
    <col min="1" max="1" width="3.42578125" style="15" customWidth="1"/>
    <col min="2" max="2" width="41.140625" style="1" customWidth="1"/>
    <col min="3" max="3" width="12.85546875" style="1" customWidth="1"/>
    <col min="4" max="4" width="23.28515625" style="1" customWidth="1"/>
    <col min="5" max="5" width="13.28515625" style="1" customWidth="1"/>
    <col min="6" max="6" width="27.42578125" style="1" customWidth="1"/>
    <col min="7" max="7" width="22.28515625" style="1" customWidth="1"/>
    <col min="8" max="8" width="27.5703125" style="1" customWidth="1"/>
    <col min="9" max="9" width="34.140625" style="1" customWidth="1"/>
    <col min="10" max="10" width="30.42578125" style="1" customWidth="1"/>
    <col min="11" max="11" width="28.42578125" style="1" customWidth="1"/>
    <col min="12" max="16384" width="8.85546875" style="1"/>
  </cols>
  <sheetData>
    <row r="1" spans="1:8" ht="15.75" x14ac:dyDescent="0.25">
      <c r="B1" s="137" t="s">
        <v>191</v>
      </c>
      <c r="C1" s="137"/>
      <c r="D1" s="137"/>
      <c r="E1" s="137"/>
      <c r="F1" s="137"/>
      <c r="G1" s="137"/>
      <c r="H1" s="137"/>
    </row>
    <row r="2" spans="1:8" ht="15.75" x14ac:dyDescent="0.25">
      <c r="B2" s="137" t="s">
        <v>329</v>
      </c>
      <c r="C2" s="137"/>
      <c r="D2" s="137"/>
      <c r="E2" s="137"/>
      <c r="F2" s="137"/>
      <c r="G2" s="137"/>
      <c r="H2" s="137"/>
    </row>
    <row r="3" spans="1:8" ht="15.75" x14ac:dyDescent="0.25">
      <c r="B3" s="137" t="s">
        <v>11</v>
      </c>
      <c r="C3" s="137"/>
      <c r="D3" s="137"/>
      <c r="E3" s="137"/>
      <c r="F3" s="137"/>
      <c r="G3" s="137"/>
      <c r="H3" s="137"/>
    </row>
    <row r="4" spans="1:8" ht="15.75" thickBot="1" x14ac:dyDescent="0.3">
      <c r="B4" s="30"/>
      <c r="C4" s="30"/>
      <c r="D4" s="30"/>
      <c r="E4" s="30"/>
      <c r="F4" s="30"/>
      <c r="G4" s="30"/>
      <c r="H4" s="30"/>
    </row>
    <row r="5" spans="1:8" x14ac:dyDescent="0.25">
      <c r="A5" s="17"/>
      <c r="B5" s="73" t="s">
        <v>0</v>
      </c>
      <c r="C5" s="74" t="s">
        <v>1</v>
      </c>
      <c r="D5" s="74" t="s">
        <v>336</v>
      </c>
      <c r="E5" s="74" t="s">
        <v>2</v>
      </c>
      <c r="F5" s="74" t="s">
        <v>3</v>
      </c>
      <c r="G5" s="74" t="s">
        <v>4</v>
      </c>
      <c r="H5" s="75" t="s">
        <v>5</v>
      </c>
    </row>
    <row r="6" spans="1:8" x14ac:dyDescent="0.25">
      <c r="A6" s="18"/>
      <c r="B6" s="53" t="s">
        <v>13</v>
      </c>
      <c r="C6" s="91"/>
      <c r="D6" s="91"/>
      <c r="E6" s="91"/>
      <c r="F6" s="91"/>
      <c r="G6" s="91"/>
      <c r="H6" s="92"/>
    </row>
    <row r="7" spans="1:8" x14ac:dyDescent="0.25">
      <c r="A7" s="18"/>
      <c r="B7" s="53" t="s">
        <v>14</v>
      </c>
      <c r="C7" s="91"/>
      <c r="D7" s="91"/>
      <c r="E7" s="91"/>
      <c r="F7" s="91"/>
      <c r="G7" s="91"/>
      <c r="H7" s="92"/>
    </row>
    <row r="8" spans="1:8" x14ac:dyDescent="0.25">
      <c r="A8" s="29" t="s">
        <v>131</v>
      </c>
      <c r="B8" s="56" t="s">
        <v>132</v>
      </c>
      <c r="C8" s="19" t="s">
        <v>133</v>
      </c>
      <c r="D8" s="55" t="s">
        <v>42</v>
      </c>
      <c r="E8" s="54">
        <v>663170</v>
      </c>
      <c r="F8" s="93">
        <v>5716.53</v>
      </c>
      <c r="G8" s="94">
        <v>7.5499999999999998E-2</v>
      </c>
      <c r="H8" s="92"/>
    </row>
    <row r="9" spans="1:8" x14ac:dyDescent="0.25">
      <c r="A9" s="29" t="s">
        <v>192</v>
      </c>
      <c r="B9" s="56" t="s">
        <v>215</v>
      </c>
      <c r="C9" s="19" t="s">
        <v>238</v>
      </c>
      <c r="D9" s="19" t="s">
        <v>22</v>
      </c>
      <c r="E9" s="46">
        <v>244055</v>
      </c>
      <c r="F9" s="91">
        <v>3449.6</v>
      </c>
      <c r="G9" s="95">
        <v>4.5499999999999999E-2</v>
      </c>
      <c r="H9" s="96"/>
    </row>
    <row r="10" spans="1:8" x14ac:dyDescent="0.25">
      <c r="A10" s="29" t="s">
        <v>167</v>
      </c>
      <c r="B10" s="56" t="s">
        <v>168</v>
      </c>
      <c r="C10" s="19" t="s">
        <v>169</v>
      </c>
      <c r="D10" s="19" t="s">
        <v>42</v>
      </c>
      <c r="E10" s="46">
        <v>233223</v>
      </c>
      <c r="F10" s="91">
        <v>3314.92</v>
      </c>
      <c r="G10" s="95">
        <v>4.3799999999999999E-2</v>
      </c>
      <c r="H10" s="96"/>
    </row>
    <row r="11" spans="1:8" x14ac:dyDescent="0.25">
      <c r="A11" s="29" t="s">
        <v>193</v>
      </c>
      <c r="B11" s="56" t="s">
        <v>216</v>
      </c>
      <c r="C11" s="19" t="s">
        <v>239</v>
      </c>
      <c r="D11" s="19" t="s">
        <v>137</v>
      </c>
      <c r="E11" s="46">
        <v>14799</v>
      </c>
      <c r="F11" s="91">
        <v>2833.24</v>
      </c>
      <c r="G11" s="95">
        <v>3.7400000000000003E-2</v>
      </c>
      <c r="H11" s="96"/>
    </row>
    <row r="12" spans="1:8" x14ac:dyDescent="0.25">
      <c r="A12" s="29" t="s">
        <v>69</v>
      </c>
      <c r="B12" s="56" t="s">
        <v>70</v>
      </c>
      <c r="C12" s="19" t="s">
        <v>71</v>
      </c>
      <c r="D12" s="19" t="s">
        <v>72</v>
      </c>
      <c r="E12" s="46">
        <v>499754</v>
      </c>
      <c r="F12" s="91">
        <v>2576.73</v>
      </c>
      <c r="G12" s="95">
        <v>3.4000000000000002E-2</v>
      </c>
      <c r="H12" s="96"/>
    </row>
    <row r="13" spans="1:8" x14ac:dyDescent="0.25">
      <c r="A13" s="29" t="s">
        <v>194</v>
      </c>
      <c r="B13" s="56" t="s">
        <v>217</v>
      </c>
      <c r="C13" s="19" t="s">
        <v>240</v>
      </c>
      <c r="D13" s="19" t="s">
        <v>241</v>
      </c>
      <c r="E13" s="46">
        <v>96005</v>
      </c>
      <c r="F13" s="91">
        <v>2282.7600000000002</v>
      </c>
      <c r="G13" s="95">
        <v>3.0099999999999998E-2</v>
      </c>
      <c r="H13" s="96"/>
    </row>
    <row r="14" spans="1:8" x14ac:dyDescent="0.25">
      <c r="A14" s="29" t="s">
        <v>195</v>
      </c>
      <c r="B14" s="56" t="s">
        <v>218</v>
      </c>
      <c r="C14" s="19" t="s">
        <v>242</v>
      </c>
      <c r="D14" s="19" t="s">
        <v>37</v>
      </c>
      <c r="E14" s="46">
        <v>84648</v>
      </c>
      <c r="F14" s="91">
        <v>2206.73</v>
      </c>
      <c r="G14" s="95">
        <v>2.9100000000000001E-2</v>
      </c>
      <c r="H14" s="96"/>
    </row>
    <row r="15" spans="1:8" x14ac:dyDescent="0.25">
      <c r="A15" s="29" t="s">
        <v>196</v>
      </c>
      <c r="B15" s="56" t="s">
        <v>219</v>
      </c>
      <c r="C15" s="19" t="s">
        <v>243</v>
      </c>
      <c r="D15" s="19" t="s">
        <v>37</v>
      </c>
      <c r="E15" s="46">
        <v>62294</v>
      </c>
      <c r="F15" s="91">
        <v>2082.15</v>
      </c>
      <c r="G15" s="95">
        <v>2.75E-2</v>
      </c>
      <c r="H15" s="96"/>
    </row>
    <row r="16" spans="1:8" ht="24" x14ac:dyDescent="0.25">
      <c r="A16" s="29" t="s">
        <v>197</v>
      </c>
      <c r="B16" s="56" t="s">
        <v>220</v>
      </c>
      <c r="C16" s="19" t="s">
        <v>244</v>
      </c>
      <c r="D16" s="19" t="s">
        <v>245</v>
      </c>
      <c r="E16" s="46">
        <v>21551</v>
      </c>
      <c r="F16" s="91">
        <v>1902.55</v>
      </c>
      <c r="G16" s="95">
        <v>2.5100000000000001E-2</v>
      </c>
      <c r="H16" s="96"/>
    </row>
    <row r="17" spans="1:8" ht="24" x14ac:dyDescent="0.25">
      <c r="A17" s="29" t="s">
        <v>19</v>
      </c>
      <c r="B17" s="56" t="s">
        <v>20</v>
      </c>
      <c r="C17" s="19" t="s">
        <v>21</v>
      </c>
      <c r="D17" s="19" t="s">
        <v>22</v>
      </c>
      <c r="E17" s="46">
        <v>54002</v>
      </c>
      <c r="F17" s="91">
        <v>1750.31</v>
      </c>
      <c r="G17" s="95">
        <v>2.3099999999999999E-2</v>
      </c>
      <c r="H17" s="96"/>
    </row>
    <row r="18" spans="1:8" ht="24" x14ac:dyDescent="0.25">
      <c r="A18" s="29" t="s">
        <v>51</v>
      </c>
      <c r="B18" s="56" t="s">
        <v>52</v>
      </c>
      <c r="C18" s="19" t="s">
        <v>53</v>
      </c>
      <c r="D18" s="19" t="s">
        <v>54</v>
      </c>
      <c r="E18" s="46">
        <v>360511</v>
      </c>
      <c r="F18" s="91">
        <v>1664.66</v>
      </c>
      <c r="G18" s="95">
        <v>2.1999999999999999E-2</v>
      </c>
      <c r="H18" s="96"/>
    </row>
    <row r="19" spans="1:8" x14ac:dyDescent="0.25">
      <c r="A19" s="29" t="s">
        <v>198</v>
      </c>
      <c r="B19" s="56" t="s">
        <v>221</v>
      </c>
      <c r="C19" s="19" t="s">
        <v>246</v>
      </c>
      <c r="D19" s="19" t="s">
        <v>247</v>
      </c>
      <c r="E19" s="46">
        <v>58114</v>
      </c>
      <c r="F19" s="91">
        <v>1567.01</v>
      </c>
      <c r="G19" s="95">
        <v>2.07E-2</v>
      </c>
      <c r="H19" s="96"/>
    </row>
    <row r="20" spans="1:8" ht="24" x14ac:dyDescent="0.25">
      <c r="A20" s="29" t="s">
        <v>199</v>
      </c>
      <c r="B20" s="56" t="s">
        <v>222</v>
      </c>
      <c r="C20" s="19" t="s">
        <v>248</v>
      </c>
      <c r="D20" s="19" t="s">
        <v>83</v>
      </c>
      <c r="E20" s="46">
        <v>135676</v>
      </c>
      <c r="F20" s="91">
        <v>1512.72</v>
      </c>
      <c r="G20" s="95">
        <v>0.02</v>
      </c>
      <c r="H20" s="96"/>
    </row>
    <row r="21" spans="1:8" x14ac:dyDescent="0.25">
      <c r="A21" s="29" t="s">
        <v>200</v>
      </c>
      <c r="B21" s="56" t="s">
        <v>223</v>
      </c>
      <c r="C21" s="19" t="s">
        <v>249</v>
      </c>
      <c r="D21" s="19" t="s">
        <v>65</v>
      </c>
      <c r="E21" s="46">
        <v>18723</v>
      </c>
      <c r="F21" s="91">
        <v>1373.47</v>
      </c>
      <c r="G21" s="95">
        <v>1.8100000000000002E-2</v>
      </c>
      <c r="H21" s="96"/>
    </row>
    <row r="22" spans="1:8" ht="24" x14ac:dyDescent="0.25">
      <c r="A22" s="29" t="s">
        <v>23</v>
      </c>
      <c r="B22" s="56" t="s">
        <v>24</v>
      </c>
      <c r="C22" s="19" t="s">
        <v>25</v>
      </c>
      <c r="D22" s="19" t="s">
        <v>26</v>
      </c>
      <c r="E22" s="46">
        <v>29702</v>
      </c>
      <c r="F22" s="91">
        <v>1333.87</v>
      </c>
      <c r="G22" s="95">
        <v>1.7600000000000001E-2</v>
      </c>
      <c r="H22" s="96"/>
    </row>
    <row r="23" spans="1:8" x14ac:dyDescent="0.25">
      <c r="A23" s="29" t="s">
        <v>201</v>
      </c>
      <c r="B23" s="56" t="s">
        <v>224</v>
      </c>
      <c r="C23" s="19" t="s">
        <v>250</v>
      </c>
      <c r="D23" s="19" t="s">
        <v>65</v>
      </c>
      <c r="E23" s="46">
        <v>78760</v>
      </c>
      <c r="F23" s="91">
        <v>1321.87</v>
      </c>
      <c r="G23" s="95">
        <v>1.7500000000000002E-2</v>
      </c>
      <c r="H23" s="96"/>
    </row>
    <row r="24" spans="1:8" x14ac:dyDescent="0.25">
      <c r="A24" s="29" t="s">
        <v>62</v>
      </c>
      <c r="B24" s="56" t="s">
        <v>63</v>
      </c>
      <c r="C24" s="19" t="s">
        <v>64</v>
      </c>
      <c r="D24" s="19" t="s">
        <v>65</v>
      </c>
      <c r="E24" s="46">
        <v>167610</v>
      </c>
      <c r="F24" s="91">
        <v>1227.24</v>
      </c>
      <c r="G24" s="95">
        <v>1.6199999999999999E-2</v>
      </c>
      <c r="H24" s="96"/>
    </row>
    <row r="25" spans="1:8" ht="24" x14ac:dyDescent="0.25">
      <c r="A25" s="29" t="s">
        <v>31</v>
      </c>
      <c r="B25" s="56" t="s">
        <v>32</v>
      </c>
      <c r="C25" s="19" t="s">
        <v>33</v>
      </c>
      <c r="D25" s="19" t="s">
        <v>22</v>
      </c>
      <c r="E25" s="46">
        <v>35775</v>
      </c>
      <c r="F25" s="91">
        <v>1202.74</v>
      </c>
      <c r="G25" s="95">
        <v>1.5900000000000001E-2</v>
      </c>
      <c r="H25" s="96"/>
    </row>
    <row r="26" spans="1:8" x14ac:dyDescent="0.25">
      <c r="A26" s="29" t="s">
        <v>202</v>
      </c>
      <c r="B26" s="56" t="s">
        <v>225</v>
      </c>
      <c r="C26" s="19" t="s">
        <v>251</v>
      </c>
      <c r="D26" s="19" t="s">
        <v>65</v>
      </c>
      <c r="E26" s="46">
        <v>52470</v>
      </c>
      <c r="F26" s="91">
        <v>1200.3800000000001</v>
      </c>
      <c r="G26" s="95">
        <v>1.5900000000000001E-2</v>
      </c>
      <c r="H26" s="96"/>
    </row>
    <row r="27" spans="1:8" x14ac:dyDescent="0.25">
      <c r="A27" s="29" t="s">
        <v>66</v>
      </c>
      <c r="B27" s="56" t="s">
        <v>67</v>
      </c>
      <c r="C27" s="19" t="s">
        <v>68</v>
      </c>
      <c r="D27" s="19" t="s">
        <v>54</v>
      </c>
      <c r="E27" s="46">
        <v>52791</v>
      </c>
      <c r="F27" s="91">
        <v>1178.53</v>
      </c>
      <c r="G27" s="95">
        <v>1.5599999999999999E-2</v>
      </c>
      <c r="H27" s="96"/>
    </row>
    <row r="28" spans="1:8" ht="24" x14ac:dyDescent="0.25">
      <c r="A28" s="29" t="s">
        <v>15</v>
      </c>
      <c r="B28" s="56" t="s">
        <v>16</v>
      </c>
      <c r="C28" s="19" t="s">
        <v>17</v>
      </c>
      <c r="D28" s="19" t="s">
        <v>18</v>
      </c>
      <c r="E28" s="46">
        <v>2316</v>
      </c>
      <c r="F28" s="91">
        <v>1173.43</v>
      </c>
      <c r="G28" s="95">
        <v>1.55E-2</v>
      </c>
      <c r="H28" s="96"/>
    </row>
    <row r="29" spans="1:8" ht="24" x14ac:dyDescent="0.25">
      <c r="A29" s="29" t="s">
        <v>97</v>
      </c>
      <c r="B29" s="56" t="s">
        <v>98</v>
      </c>
      <c r="C29" s="19" t="s">
        <v>99</v>
      </c>
      <c r="D29" s="19" t="s">
        <v>83</v>
      </c>
      <c r="E29" s="46">
        <v>85933</v>
      </c>
      <c r="F29" s="91">
        <v>1093.45</v>
      </c>
      <c r="G29" s="95">
        <v>1.44E-2</v>
      </c>
      <c r="H29" s="96"/>
    </row>
    <row r="30" spans="1:8" ht="24" x14ac:dyDescent="0.25">
      <c r="A30" s="29" t="s">
        <v>34</v>
      </c>
      <c r="B30" s="56" t="s">
        <v>35</v>
      </c>
      <c r="C30" s="19" t="s">
        <v>36</v>
      </c>
      <c r="D30" s="19" t="s">
        <v>37</v>
      </c>
      <c r="E30" s="46">
        <v>24853</v>
      </c>
      <c r="F30" s="91">
        <v>1086.47</v>
      </c>
      <c r="G30" s="95">
        <v>1.43E-2</v>
      </c>
      <c r="H30" s="96"/>
    </row>
    <row r="31" spans="1:8" x14ac:dyDescent="0.25">
      <c r="A31" s="29" t="s">
        <v>27</v>
      </c>
      <c r="B31" s="56" t="s">
        <v>28</v>
      </c>
      <c r="C31" s="19" t="s">
        <v>29</v>
      </c>
      <c r="D31" s="19" t="s">
        <v>30</v>
      </c>
      <c r="E31" s="46">
        <v>76351</v>
      </c>
      <c r="F31" s="91">
        <v>1075.6300000000001</v>
      </c>
      <c r="G31" s="95">
        <v>1.4200000000000001E-2</v>
      </c>
      <c r="H31" s="96"/>
    </row>
    <row r="32" spans="1:8" x14ac:dyDescent="0.25">
      <c r="A32" s="29" t="s">
        <v>153</v>
      </c>
      <c r="B32" s="56" t="s">
        <v>154</v>
      </c>
      <c r="C32" s="19" t="s">
        <v>155</v>
      </c>
      <c r="D32" s="19" t="s">
        <v>30</v>
      </c>
      <c r="E32" s="46">
        <v>26401</v>
      </c>
      <c r="F32" s="91">
        <v>1019.24</v>
      </c>
      <c r="G32" s="95">
        <v>1.35E-2</v>
      </c>
      <c r="H32" s="96"/>
    </row>
    <row r="33" spans="1:8" x14ac:dyDescent="0.25">
      <c r="A33" s="29" t="s">
        <v>203</v>
      </c>
      <c r="B33" s="56" t="s">
        <v>226</v>
      </c>
      <c r="C33" s="19" t="s">
        <v>252</v>
      </c>
      <c r="D33" s="19" t="s">
        <v>245</v>
      </c>
      <c r="E33" s="46">
        <v>24062</v>
      </c>
      <c r="F33" s="91">
        <v>883.46</v>
      </c>
      <c r="G33" s="95">
        <v>1.17E-2</v>
      </c>
      <c r="H33" s="96"/>
    </row>
    <row r="34" spans="1:8" ht="24" x14ac:dyDescent="0.25">
      <c r="A34" s="29" t="s">
        <v>204</v>
      </c>
      <c r="B34" s="56" t="s">
        <v>227</v>
      </c>
      <c r="C34" s="19" t="s">
        <v>253</v>
      </c>
      <c r="D34" s="19" t="s">
        <v>22</v>
      </c>
      <c r="E34" s="46">
        <v>29282</v>
      </c>
      <c r="F34" s="91">
        <v>879.79</v>
      </c>
      <c r="G34" s="95">
        <v>1.1599999999999999E-2</v>
      </c>
      <c r="H34" s="96"/>
    </row>
    <row r="35" spans="1:8" x14ac:dyDescent="0.25">
      <c r="A35" s="29" t="s">
        <v>73</v>
      </c>
      <c r="B35" s="56" t="s">
        <v>74</v>
      </c>
      <c r="C35" s="19" t="s">
        <v>75</v>
      </c>
      <c r="D35" s="19" t="s">
        <v>65</v>
      </c>
      <c r="E35" s="46">
        <v>47512</v>
      </c>
      <c r="F35" s="91">
        <v>874.36</v>
      </c>
      <c r="G35" s="95">
        <v>1.15E-2</v>
      </c>
      <c r="H35" s="96"/>
    </row>
    <row r="36" spans="1:8" x14ac:dyDescent="0.25">
      <c r="A36" s="29" t="s">
        <v>156</v>
      </c>
      <c r="B36" s="56" t="s">
        <v>157</v>
      </c>
      <c r="C36" s="19" t="s">
        <v>158</v>
      </c>
      <c r="D36" s="19" t="s">
        <v>159</v>
      </c>
      <c r="E36" s="46">
        <v>220261</v>
      </c>
      <c r="F36" s="91">
        <v>860.23</v>
      </c>
      <c r="G36" s="95">
        <v>1.14E-2</v>
      </c>
      <c r="H36" s="96"/>
    </row>
    <row r="37" spans="1:8" ht="24" x14ac:dyDescent="0.25">
      <c r="A37" s="29" t="s">
        <v>128</v>
      </c>
      <c r="B37" s="56" t="s">
        <v>129</v>
      </c>
      <c r="C37" s="19" t="s">
        <v>130</v>
      </c>
      <c r="D37" s="19" t="s">
        <v>37</v>
      </c>
      <c r="E37" s="46">
        <v>51038</v>
      </c>
      <c r="F37" s="91">
        <v>841.85</v>
      </c>
      <c r="G37" s="95">
        <v>1.11E-2</v>
      </c>
      <c r="H37" s="96"/>
    </row>
    <row r="38" spans="1:8" x14ac:dyDescent="0.25">
      <c r="A38" s="29" t="s">
        <v>205</v>
      </c>
      <c r="B38" s="56" t="s">
        <v>228</v>
      </c>
      <c r="C38" s="19" t="s">
        <v>254</v>
      </c>
      <c r="D38" s="19" t="s">
        <v>22</v>
      </c>
      <c r="E38" s="46">
        <v>38428</v>
      </c>
      <c r="F38" s="91">
        <v>802.24</v>
      </c>
      <c r="G38" s="95">
        <v>1.06E-2</v>
      </c>
      <c r="H38" s="96"/>
    </row>
    <row r="39" spans="1:8" ht="24" x14ac:dyDescent="0.25">
      <c r="A39" s="29" t="s">
        <v>76</v>
      </c>
      <c r="B39" s="56" t="s">
        <v>77</v>
      </c>
      <c r="C39" s="19" t="s">
        <v>78</v>
      </c>
      <c r="D39" s="19" t="s">
        <v>79</v>
      </c>
      <c r="E39" s="46">
        <v>142663</v>
      </c>
      <c r="F39" s="91">
        <v>799.77</v>
      </c>
      <c r="G39" s="95">
        <v>1.06E-2</v>
      </c>
      <c r="H39" s="96"/>
    </row>
    <row r="40" spans="1:8" ht="24" x14ac:dyDescent="0.25">
      <c r="A40" s="29" t="s">
        <v>38</v>
      </c>
      <c r="B40" s="56" t="s">
        <v>39</v>
      </c>
      <c r="C40" s="19" t="s">
        <v>40</v>
      </c>
      <c r="D40" s="19" t="s">
        <v>41</v>
      </c>
      <c r="E40" s="46">
        <v>56106</v>
      </c>
      <c r="F40" s="91">
        <v>784.98</v>
      </c>
      <c r="G40" s="95">
        <v>1.04E-2</v>
      </c>
      <c r="H40" s="96"/>
    </row>
    <row r="41" spans="1:8" x14ac:dyDescent="0.25">
      <c r="A41" s="29" t="s">
        <v>117</v>
      </c>
      <c r="B41" s="56" t="s">
        <v>118</v>
      </c>
      <c r="C41" s="19" t="s">
        <v>119</v>
      </c>
      <c r="D41" s="19" t="s">
        <v>42</v>
      </c>
      <c r="E41" s="46">
        <v>143314</v>
      </c>
      <c r="F41" s="91">
        <v>760.42</v>
      </c>
      <c r="G41" s="95">
        <v>0.01</v>
      </c>
      <c r="H41" s="96"/>
    </row>
    <row r="42" spans="1:8" x14ac:dyDescent="0.25">
      <c r="A42" s="29" t="s">
        <v>149</v>
      </c>
      <c r="B42" s="56" t="s">
        <v>150</v>
      </c>
      <c r="C42" s="19" t="s">
        <v>151</v>
      </c>
      <c r="D42" s="19" t="s">
        <v>152</v>
      </c>
      <c r="E42" s="46">
        <v>65785</v>
      </c>
      <c r="F42" s="91">
        <v>743.11</v>
      </c>
      <c r="G42" s="95">
        <v>9.7999999999999997E-3</v>
      </c>
      <c r="H42" s="96"/>
    </row>
    <row r="43" spans="1:8" ht="24" x14ac:dyDescent="0.25">
      <c r="A43" s="29" t="s">
        <v>170</v>
      </c>
      <c r="B43" s="56" t="s">
        <v>171</v>
      </c>
      <c r="C43" s="19" t="s">
        <v>172</v>
      </c>
      <c r="D43" s="19" t="s">
        <v>173</v>
      </c>
      <c r="E43" s="46">
        <v>137806</v>
      </c>
      <c r="F43" s="91">
        <v>730.99</v>
      </c>
      <c r="G43" s="95">
        <v>9.7000000000000003E-3</v>
      </c>
      <c r="H43" s="96"/>
    </row>
    <row r="44" spans="1:8" x14ac:dyDescent="0.25">
      <c r="A44" s="29" t="s">
        <v>100</v>
      </c>
      <c r="B44" s="56" t="s">
        <v>101</v>
      </c>
      <c r="C44" s="19" t="s">
        <v>102</v>
      </c>
      <c r="D44" s="19" t="s">
        <v>103</v>
      </c>
      <c r="E44" s="46">
        <v>197761</v>
      </c>
      <c r="F44" s="91">
        <v>711.94</v>
      </c>
      <c r="G44" s="95">
        <v>9.4000000000000004E-3</v>
      </c>
      <c r="H44" s="96"/>
    </row>
    <row r="45" spans="1:8" x14ac:dyDescent="0.25">
      <c r="A45" s="29" t="s">
        <v>59</v>
      </c>
      <c r="B45" s="56" t="s">
        <v>60</v>
      </c>
      <c r="C45" s="19" t="s">
        <v>61</v>
      </c>
      <c r="D45" s="19" t="s">
        <v>50</v>
      </c>
      <c r="E45" s="46">
        <v>31958</v>
      </c>
      <c r="F45" s="91">
        <v>693.33</v>
      </c>
      <c r="G45" s="95">
        <v>9.1999999999999998E-3</v>
      </c>
      <c r="H45" s="96"/>
    </row>
    <row r="46" spans="1:8" x14ac:dyDescent="0.25">
      <c r="A46" s="29" t="s">
        <v>104</v>
      </c>
      <c r="B46" s="56" t="s">
        <v>105</v>
      </c>
      <c r="C46" s="19" t="s">
        <v>106</v>
      </c>
      <c r="D46" s="19" t="s">
        <v>18</v>
      </c>
      <c r="E46" s="46">
        <v>19990</v>
      </c>
      <c r="F46" s="91">
        <v>688.17</v>
      </c>
      <c r="G46" s="95">
        <v>9.1000000000000004E-3</v>
      </c>
      <c r="H46" s="96"/>
    </row>
    <row r="47" spans="1:8" ht="24" x14ac:dyDescent="0.25">
      <c r="A47" s="29" t="s">
        <v>134</v>
      </c>
      <c r="B47" s="56" t="s">
        <v>135</v>
      </c>
      <c r="C47" s="19" t="s">
        <v>136</v>
      </c>
      <c r="D47" s="19" t="s">
        <v>137</v>
      </c>
      <c r="E47" s="46">
        <v>129667</v>
      </c>
      <c r="F47" s="91">
        <v>665.71</v>
      </c>
      <c r="G47" s="95">
        <v>8.8000000000000005E-3</v>
      </c>
      <c r="H47" s="96"/>
    </row>
    <row r="48" spans="1:8" x14ac:dyDescent="0.25">
      <c r="A48" s="29" t="s">
        <v>145</v>
      </c>
      <c r="B48" s="56" t="s">
        <v>146</v>
      </c>
      <c r="C48" s="19" t="s">
        <v>147</v>
      </c>
      <c r="D48" s="19" t="s">
        <v>148</v>
      </c>
      <c r="E48" s="46">
        <v>2653</v>
      </c>
      <c r="F48" s="91">
        <v>652.80999999999995</v>
      </c>
      <c r="G48" s="95">
        <v>8.6E-3</v>
      </c>
      <c r="H48" s="96"/>
    </row>
    <row r="49" spans="1:8" x14ac:dyDescent="0.25">
      <c r="A49" s="29" t="s">
        <v>47</v>
      </c>
      <c r="B49" s="56" t="s">
        <v>48</v>
      </c>
      <c r="C49" s="19" t="s">
        <v>49</v>
      </c>
      <c r="D49" s="19" t="s">
        <v>50</v>
      </c>
      <c r="E49" s="46">
        <v>274973</v>
      </c>
      <c r="F49" s="91">
        <v>648.11</v>
      </c>
      <c r="G49" s="95">
        <v>8.6E-3</v>
      </c>
      <c r="H49" s="96"/>
    </row>
    <row r="50" spans="1:8" x14ac:dyDescent="0.25">
      <c r="A50" s="29" t="s">
        <v>43</v>
      </c>
      <c r="B50" s="56" t="s">
        <v>44</v>
      </c>
      <c r="C50" s="19" t="s">
        <v>45</v>
      </c>
      <c r="D50" s="19" t="s">
        <v>46</v>
      </c>
      <c r="E50" s="46">
        <v>4656</v>
      </c>
      <c r="F50" s="91">
        <v>646.49</v>
      </c>
      <c r="G50" s="95">
        <v>8.5000000000000006E-3</v>
      </c>
      <c r="H50" s="96"/>
    </row>
    <row r="51" spans="1:8" ht="24" x14ac:dyDescent="0.25">
      <c r="A51" s="29" t="s">
        <v>110</v>
      </c>
      <c r="B51" s="56" t="s">
        <v>111</v>
      </c>
      <c r="C51" s="19" t="s">
        <v>112</v>
      </c>
      <c r="D51" s="19" t="s">
        <v>65</v>
      </c>
      <c r="E51" s="46">
        <v>171134</v>
      </c>
      <c r="F51" s="91">
        <v>601.88</v>
      </c>
      <c r="G51" s="95">
        <v>7.9000000000000008E-3</v>
      </c>
      <c r="H51" s="96"/>
    </row>
    <row r="52" spans="1:8" x14ac:dyDescent="0.25">
      <c r="A52" s="29" t="s">
        <v>107</v>
      </c>
      <c r="B52" s="56" t="s">
        <v>108</v>
      </c>
      <c r="C52" s="19" t="s">
        <v>109</v>
      </c>
      <c r="D52" s="19" t="s">
        <v>37</v>
      </c>
      <c r="E52" s="46">
        <v>105312</v>
      </c>
      <c r="F52" s="91">
        <v>601.86</v>
      </c>
      <c r="G52" s="95">
        <v>7.9000000000000008E-3</v>
      </c>
      <c r="H52" s="96"/>
    </row>
    <row r="53" spans="1:8" x14ac:dyDescent="0.25">
      <c r="A53" s="29" t="s">
        <v>206</v>
      </c>
      <c r="B53" s="56" t="s">
        <v>229</v>
      </c>
      <c r="C53" s="19" t="s">
        <v>255</v>
      </c>
      <c r="D53" s="19" t="s">
        <v>42</v>
      </c>
      <c r="E53" s="46">
        <v>32847</v>
      </c>
      <c r="F53" s="91">
        <v>597.54999999999995</v>
      </c>
      <c r="G53" s="95">
        <v>7.9000000000000008E-3</v>
      </c>
      <c r="H53" s="96"/>
    </row>
    <row r="54" spans="1:8" ht="24" x14ac:dyDescent="0.25">
      <c r="A54" s="29" t="s">
        <v>55</v>
      </c>
      <c r="B54" s="56" t="s">
        <v>56</v>
      </c>
      <c r="C54" s="19" t="s">
        <v>57</v>
      </c>
      <c r="D54" s="19" t="s">
        <v>58</v>
      </c>
      <c r="E54" s="46">
        <v>113505</v>
      </c>
      <c r="F54" s="91">
        <v>570.87</v>
      </c>
      <c r="G54" s="95">
        <v>7.4999999999999997E-3</v>
      </c>
      <c r="H54" s="96"/>
    </row>
    <row r="55" spans="1:8" x14ac:dyDescent="0.25">
      <c r="A55" s="29" t="s">
        <v>207</v>
      </c>
      <c r="B55" s="56" t="s">
        <v>230</v>
      </c>
      <c r="C55" s="19" t="s">
        <v>256</v>
      </c>
      <c r="D55" s="19" t="s">
        <v>42</v>
      </c>
      <c r="E55" s="46">
        <v>76943</v>
      </c>
      <c r="F55" s="91">
        <v>564.15</v>
      </c>
      <c r="G55" s="95">
        <v>7.4000000000000003E-3</v>
      </c>
      <c r="H55" s="96"/>
    </row>
    <row r="56" spans="1:8" x14ac:dyDescent="0.25">
      <c r="A56" s="29" t="s">
        <v>90</v>
      </c>
      <c r="B56" s="56" t="s">
        <v>91</v>
      </c>
      <c r="C56" s="19" t="s">
        <v>92</v>
      </c>
      <c r="D56" s="19" t="s">
        <v>54</v>
      </c>
      <c r="E56" s="46">
        <v>24844</v>
      </c>
      <c r="F56" s="91">
        <v>512.82000000000005</v>
      </c>
      <c r="G56" s="95">
        <v>6.7999999999999996E-3</v>
      </c>
      <c r="H56" s="96"/>
    </row>
    <row r="57" spans="1:8" ht="24" x14ac:dyDescent="0.25">
      <c r="A57" s="29" t="s">
        <v>80</v>
      </c>
      <c r="B57" s="56" t="s">
        <v>81</v>
      </c>
      <c r="C57" s="19" t="s">
        <v>82</v>
      </c>
      <c r="D57" s="19" t="s">
        <v>83</v>
      </c>
      <c r="E57" s="46">
        <v>2624</v>
      </c>
      <c r="F57" s="91">
        <v>502.21</v>
      </c>
      <c r="G57" s="95">
        <v>6.6E-3</v>
      </c>
      <c r="H57" s="96"/>
    </row>
    <row r="58" spans="1:8" ht="24" x14ac:dyDescent="0.25">
      <c r="A58" s="29" t="s">
        <v>93</v>
      </c>
      <c r="B58" s="56" t="s">
        <v>94</v>
      </c>
      <c r="C58" s="19" t="s">
        <v>95</v>
      </c>
      <c r="D58" s="19" t="s">
        <v>96</v>
      </c>
      <c r="E58" s="46">
        <v>76753</v>
      </c>
      <c r="F58" s="91">
        <v>447.39</v>
      </c>
      <c r="G58" s="95">
        <v>5.8999999999999999E-3</v>
      </c>
      <c r="H58" s="96"/>
    </row>
    <row r="59" spans="1:8" ht="24" x14ac:dyDescent="0.25">
      <c r="A59" s="29" t="s">
        <v>138</v>
      </c>
      <c r="B59" s="56" t="s">
        <v>139</v>
      </c>
      <c r="C59" s="19" t="s">
        <v>140</v>
      </c>
      <c r="D59" s="19" t="s">
        <v>141</v>
      </c>
      <c r="E59" s="46">
        <v>28981</v>
      </c>
      <c r="F59" s="91">
        <v>429.73</v>
      </c>
      <c r="G59" s="95">
        <v>5.7000000000000002E-3</v>
      </c>
      <c r="H59" s="96"/>
    </row>
    <row r="60" spans="1:8" x14ac:dyDescent="0.25">
      <c r="A60" s="29" t="s">
        <v>120</v>
      </c>
      <c r="B60" s="56" t="s">
        <v>121</v>
      </c>
      <c r="C60" s="19" t="s">
        <v>122</v>
      </c>
      <c r="D60" s="19" t="s">
        <v>123</v>
      </c>
      <c r="E60" s="46">
        <v>11735</v>
      </c>
      <c r="F60" s="91">
        <v>421.47</v>
      </c>
      <c r="G60" s="95">
        <v>5.5999999999999999E-3</v>
      </c>
      <c r="H60" s="96"/>
    </row>
    <row r="61" spans="1:8" x14ac:dyDescent="0.25">
      <c r="A61" s="29" t="s">
        <v>113</v>
      </c>
      <c r="B61" s="56" t="s">
        <v>114</v>
      </c>
      <c r="C61" s="19" t="s">
        <v>115</v>
      </c>
      <c r="D61" s="19" t="s">
        <v>116</v>
      </c>
      <c r="E61" s="46">
        <v>1045</v>
      </c>
      <c r="F61" s="91">
        <v>418.04</v>
      </c>
      <c r="G61" s="95">
        <v>5.4999999999999997E-3</v>
      </c>
      <c r="H61" s="96"/>
    </row>
    <row r="62" spans="1:8" x14ac:dyDescent="0.25">
      <c r="A62" s="29" t="s">
        <v>208</v>
      </c>
      <c r="B62" s="56" t="s">
        <v>231</v>
      </c>
      <c r="C62" s="19" t="s">
        <v>257</v>
      </c>
      <c r="D62" s="19" t="s">
        <v>152</v>
      </c>
      <c r="E62" s="46">
        <v>400752</v>
      </c>
      <c r="F62" s="91">
        <v>404.56</v>
      </c>
      <c r="G62" s="95">
        <v>5.3E-3</v>
      </c>
      <c r="H62" s="96"/>
    </row>
    <row r="63" spans="1:8" x14ac:dyDescent="0.25">
      <c r="A63" s="29" t="s">
        <v>209</v>
      </c>
      <c r="B63" s="56" t="s">
        <v>232</v>
      </c>
      <c r="C63" s="19" t="s">
        <v>258</v>
      </c>
      <c r="D63" s="19" t="s">
        <v>259</v>
      </c>
      <c r="E63" s="46">
        <v>400053</v>
      </c>
      <c r="F63" s="91">
        <v>397.25</v>
      </c>
      <c r="G63" s="95">
        <v>5.1999999999999998E-3</v>
      </c>
      <c r="H63" s="96"/>
    </row>
    <row r="64" spans="1:8" ht="24" x14ac:dyDescent="0.25">
      <c r="A64" s="29" t="s">
        <v>142</v>
      </c>
      <c r="B64" s="56" t="s">
        <v>143</v>
      </c>
      <c r="C64" s="19" t="s">
        <v>144</v>
      </c>
      <c r="D64" s="19" t="s">
        <v>54</v>
      </c>
      <c r="E64" s="46">
        <v>58873</v>
      </c>
      <c r="F64" s="91">
        <v>394.42</v>
      </c>
      <c r="G64" s="95">
        <v>5.1999999999999998E-3</v>
      </c>
      <c r="H64" s="96"/>
    </row>
    <row r="65" spans="1:8" ht="24" x14ac:dyDescent="0.25">
      <c r="A65" s="29" t="s">
        <v>174</v>
      </c>
      <c r="B65" s="56" t="s">
        <v>175</v>
      </c>
      <c r="C65" s="19" t="s">
        <v>176</v>
      </c>
      <c r="D65" s="19" t="s">
        <v>177</v>
      </c>
      <c r="E65" s="46">
        <v>42085</v>
      </c>
      <c r="F65" s="91">
        <v>364.12</v>
      </c>
      <c r="G65" s="95">
        <v>4.7999999999999996E-3</v>
      </c>
      <c r="H65" s="96"/>
    </row>
    <row r="66" spans="1:8" x14ac:dyDescent="0.25">
      <c r="A66" s="29" t="s">
        <v>210</v>
      </c>
      <c r="B66" s="56" t="s">
        <v>233</v>
      </c>
      <c r="C66" s="19" t="s">
        <v>260</v>
      </c>
      <c r="D66" s="19" t="s">
        <v>30</v>
      </c>
      <c r="E66" s="46">
        <v>28580</v>
      </c>
      <c r="F66" s="91">
        <v>363.57</v>
      </c>
      <c r="G66" s="95">
        <v>4.7999999999999996E-3</v>
      </c>
      <c r="H66" s="96"/>
    </row>
    <row r="67" spans="1:8" ht="24" x14ac:dyDescent="0.25">
      <c r="A67" s="29" t="s">
        <v>178</v>
      </c>
      <c r="B67" s="56" t="s">
        <v>179</v>
      </c>
      <c r="C67" s="19" t="s">
        <v>180</v>
      </c>
      <c r="D67" s="19" t="s">
        <v>30</v>
      </c>
      <c r="E67" s="46">
        <v>26320</v>
      </c>
      <c r="F67" s="91">
        <v>346.94</v>
      </c>
      <c r="G67" s="95">
        <v>4.5999999999999999E-3</v>
      </c>
      <c r="H67" s="96"/>
    </row>
    <row r="68" spans="1:8" ht="24" x14ac:dyDescent="0.25">
      <c r="A68" s="29" t="s">
        <v>181</v>
      </c>
      <c r="B68" s="56" t="s">
        <v>182</v>
      </c>
      <c r="C68" s="19" t="s">
        <v>183</v>
      </c>
      <c r="D68" s="19" t="s">
        <v>26</v>
      </c>
      <c r="E68" s="46">
        <v>4890</v>
      </c>
      <c r="F68" s="91">
        <v>341.2</v>
      </c>
      <c r="G68" s="95">
        <v>4.4999999999999997E-3</v>
      </c>
      <c r="H68" s="96"/>
    </row>
    <row r="69" spans="1:8" x14ac:dyDescent="0.25">
      <c r="A69" s="29" t="s">
        <v>84</v>
      </c>
      <c r="B69" s="56" t="s">
        <v>85</v>
      </c>
      <c r="C69" s="19" t="s">
        <v>86</v>
      </c>
      <c r="D69" s="19" t="s">
        <v>30</v>
      </c>
      <c r="E69" s="46">
        <v>23384</v>
      </c>
      <c r="F69" s="91">
        <v>332.05</v>
      </c>
      <c r="G69" s="95">
        <v>4.4000000000000003E-3</v>
      </c>
      <c r="H69" s="96"/>
    </row>
    <row r="70" spans="1:8" x14ac:dyDescent="0.25">
      <c r="A70" s="29" t="s">
        <v>211</v>
      </c>
      <c r="B70" s="56" t="s">
        <v>234</v>
      </c>
      <c r="C70" s="19" t="s">
        <v>261</v>
      </c>
      <c r="D70" s="19" t="s">
        <v>65</v>
      </c>
      <c r="E70" s="46">
        <v>48760</v>
      </c>
      <c r="F70" s="91">
        <v>318.7</v>
      </c>
      <c r="G70" s="95">
        <v>4.1999999999999997E-3</v>
      </c>
      <c r="H70" s="96"/>
    </row>
    <row r="71" spans="1:8" x14ac:dyDescent="0.25">
      <c r="A71" s="29" t="s">
        <v>160</v>
      </c>
      <c r="B71" s="56" t="s">
        <v>161</v>
      </c>
      <c r="C71" s="19" t="s">
        <v>162</v>
      </c>
      <c r="D71" s="19" t="s">
        <v>163</v>
      </c>
      <c r="E71" s="46">
        <v>132394</v>
      </c>
      <c r="F71" s="91">
        <v>302.85000000000002</v>
      </c>
      <c r="G71" s="95">
        <v>4.0000000000000001E-3</v>
      </c>
      <c r="H71" s="96"/>
    </row>
    <row r="72" spans="1:8" x14ac:dyDescent="0.25">
      <c r="A72" s="29" t="s">
        <v>87</v>
      </c>
      <c r="B72" s="56" t="s">
        <v>88</v>
      </c>
      <c r="C72" s="19" t="s">
        <v>89</v>
      </c>
      <c r="D72" s="19" t="s">
        <v>79</v>
      </c>
      <c r="E72" s="46">
        <v>11768</v>
      </c>
      <c r="F72" s="91">
        <v>296.41000000000003</v>
      </c>
      <c r="G72" s="95">
        <v>3.8999999999999998E-3</v>
      </c>
      <c r="H72" s="96"/>
    </row>
    <row r="73" spans="1:8" ht="24" x14ac:dyDescent="0.25">
      <c r="A73" s="29" t="s">
        <v>124</v>
      </c>
      <c r="B73" s="56" t="s">
        <v>125</v>
      </c>
      <c r="C73" s="19" t="s">
        <v>126</v>
      </c>
      <c r="D73" s="19" t="s">
        <v>127</v>
      </c>
      <c r="E73" s="46">
        <v>57280</v>
      </c>
      <c r="F73" s="91">
        <v>288.26</v>
      </c>
      <c r="G73" s="95">
        <v>3.8E-3</v>
      </c>
      <c r="H73" s="96"/>
    </row>
    <row r="74" spans="1:8" x14ac:dyDescent="0.25">
      <c r="A74" s="29" t="s">
        <v>212</v>
      </c>
      <c r="B74" s="56" t="s">
        <v>235</v>
      </c>
      <c r="C74" s="19" t="s">
        <v>262</v>
      </c>
      <c r="D74" s="19" t="s">
        <v>54</v>
      </c>
      <c r="E74" s="46">
        <v>32820</v>
      </c>
      <c r="F74" s="91">
        <v>287.01</v>
      </c>
      <c r="G74" s="95">
        <v>3.8E-3</v>
      </c>
      <c r="H74" s="96"/>
    </row>
    <row r="75" spans="1:8" ht="24" x14ac:dyDescent="0.25">
      <c r="A75" s="29" t="s">
        <v>164</v>
      </c>
      <c r="B75" s="56" t="s">
        <v>165</v>
      </c>
      <c r="C75" s="19" t="s">
        <v>166</v>
      </c>
      <c r="D75" s="19" t="s">
        <v>54</v>
      </c>
      <c r="E75" s="46">
        <v>14666</v>
      </c>
      <c r="F75" s="91">
        <v>284.77999999999997</v>
      </c>
      <c r="G75" s="95">
        <v>3.8E-3</v>
      </c>
      <c r="H75" s="96"/>
    </row>
    <row r="76" spans="1:8" ht="24" x14ac:dyDescent="0.25">
      <c r="A76" s="29" t="s">
        <v>213</v>
      </c>
      <c r="B76" s="56" t="s">
        <v>236</v>
      </c>
      <c r="C76" s="19" t="s">
        <v>263</v>
      </c>
      <c r="D76" s="19" t="s">
        <v>264</v>
      </c>
      <c r="E76" s="46">
        <v>127882</v>
      </c>
      <c r="F76" s="91">
        <v>271.37</v>
      </c>
      <c r="G76" s="95">
        <v>3.5999999999999999E-3</v>
      </c>
      <c r="H76" s="96"/>
    </row>
    <row r="77" spans="1:8" ht="24" x14ac:dyDescent="0.25">
      <c r="A77" s="29" t="s">
        <v>184</v>
      </c>
      <c r="B77" s="56" t="s">
        <v>185</v>
      </c>
      <c r="C77" s="19" t="s">
        <v>186</v>
      </c>
      <c r="D77" s="19" t="s">
        <v>83</v>
      </c>
      <c r="E77" s="46">
        <v>253120</v>
      </c>
      <c r="F77" s="91">
        <v>261.85000000000002</v>
      </c>
      <c r="G77" s="95">
        <v>3.5000000000000001E-3</v>
      </c>
      <c r="H77" s="96"/>
    </row>
    <row r="78" spans="1:8" ht="24" x14ac:dyDescent="0.25">
      <c r="A78" s="29" t="s">
        <v>214</v>
      </c>
      <c r="B78" s="56" t="s">
        <v>237</v>
      </c>
      <c r="C78" s="19" t="s">
        <v>265</v>
      </c>
      <c r="D78" s="19" t="s">
        <v>137</v>
      </c>
      <c r="E78" s="46">
        <v>6651</v>
      </c>
      <c r="F78" s="91">
        <v>83.04</v>
      </c>
      <c r="G78" s="95">
        <v>1.1000000000000001E-3</v>
      </c>
      <c r="H78" s="96"/>
    </row>
    <row r="79" spans="1:8" x14ac:dyDescent="0.25">
      <c r="A79" s="18"/>
      <c r="B79" s="34" t="s">
        <v>6</v>
      </c>
      <c r="C79" s="19"/>
      <c r="D79" s="19"/>
      <c r="E79" s="22"/>
      <c r="F79" s="33">
        <f>SUM(F8:F78)</f>
        <v>71820.339999999967</v>
      </c>
      <c r="G79" s="32">
        <f>SUM(G8:G78)</f>
        <v>0.94830000000000014</v>
      </c>
      <c r="H79" s="51"/>
    </row>
    <row r="80" spans="1:8" x14ac:dyDescent="0.25">
      <c r="A80" s="31"/>
      <c r="B80" s="36" t="s">
        <v>187</v>
      </c>
      <c r="C80" s="20"/>
      <c r="D80" s="20"/>
      <c r="E80" s="23"/>
      <c r="F80" s="57"/>
      <c r="G80" s="57"/>
      <c r="H80" s="35"/>
    </row>
    <row r="81" spans="1:8" x14ac:dyDescent="0.25">
      <c r="A81" s="29" t="s">
        <v>188</v>
      </c>
      <c r="B81" s="47" t="s">
        <v>189</v>
      </c>
      <c r="C81" s="20"/>
      <c r="D81" s="20" t="s">
        <v>190</v>
      </c>
      <c r="E81" s="50">
        <v>24450</v>
      </c>
      <c r="F81" s="48">
        <v>73.78</v>
      </c>
      <c r="G81" s="52">
        <v>1E-3</v>
      </c>
      <c r="H81" s="49"/>
    </row>
    <row r="82" spans="1:8" x14ac:dyDescent="0.25">
      <c r="A82" s="31"/>
      <c r="B82" s="36" t="s">
        <v>6</v>
      </c>
      <c r="C82" s="21"/>
      <c r="D82" s="20"/>
      <c r="E82" s="24"/>
      <c r="F82" s="33">
        <f>SUM(F81)</f>
        <v>73.78</v>
      </c>
      <c r="G82" s="32">
        <f>SUM(G81)</f>
        <v>1E-3</v>
      </c>
      <c r="H82" s="35"/>
    </row>
    <row r="83" spans="1:8" x14ac:dyDescent="0.25">
      <c r="A83" s="17"/>
      <c r="B83" s="37" t="s">
        <v>7</v>
      </c>
      <c r="C83" s="2"/>
      <c r="D83" s="2"/>
      <c r="E83" s="25"/>
      <c r="F83" s="97">
        <f>F82+F79</f>
        <v>71894.119999999966</v>
      </c>
      <c r="G83" s="98">
        <f>G82+G79</f>
        <v>0.94930000000000014</v>
      </c>
      <c r="H83" s="99"/>
    </row>
    <row r="84" spans="1:8" x14ac:dyDescent="0.25">
      <c r="A84" s="29" t="s">
        <v>211</v>
      </c>
      <c r="B84" s="37" t="s">
        <v>8</v>
      </c>
      <c r="C84" s="2"/>
      <c r="D84" s="2"/>
      <c r="E84" s="25"/>
      <c r="F84" s="100"/>
      <c r="G84" s="101"/>
      <c r="H84" s="99"/>
    </row>
    <row r="85" spans="1:8" s="16" customFormat="1" x14ac:dyDescent="0.25">
      <c r="A85" s="29" t="s">
        <v>12</v>
      </c>
      <c r="B85" s="38" t="s">
        <v>335</v>
      </c>
      <c r="C85" s="2"/>
      <c r="D85" s="2"/>
      <c r="E85" s="26"/>
      <c r="F85" s="3">
        <v>3725.32</v>
      </c>
      <c r="G85" s="4">
        <v>4.9200000000000001E-2</v>
      </c>
      <c r="H85" s="102">
        <v>6.0192178373002336E-2</v>
      </c>
    </row>
    <row r="86" spans="1:8" x14ac:dyDescent="0.25">
      <c r="A86" s="29"/>
      <c r="B86" s="37" t="s">
        <v>6</v>
      </c>
      <c r="C86" s="2"/>
      <c r="D86" s="2"/>
      <c r="E86" s="25"/>
      <c r="F86" s="5">
        <f>F85</f>
        <v>3725.32</v>
      </c>
      <c r="G86" s="6">
        <f>G85</f>
        <v>4.9200000000000001E-2</v>
      </c>
      <c r="H86" s="39"/>
    </row>
    <row r="87" spans="1:8" x14ac:dyDescent="0.25">
      <c r="A87" s="29"/>
      <c r="B87" s="40" t="s">
        <v>7</v>
      </c>
      <c r="C87" s="7"/>
      <c r="D87" s="8"/>
      <c r="E87" s="27"/>
      <c r="F87" s="5">
        <f>F86</f>
        <v>3725.32</v>
      </c>
      <c r="G87" s="6">
        <f>G86</f>
        <v>4.9200000000000001E-2</v>
      </c>
      <c r="H87" s="39"/>
    </row>
    <row r="88" spans="1:8" x14ac:dyDescent="0.25">
      <c r="A88" s="29"/>
      <c r="B88" s="40" t="s">
        <v>9</v>
      </c>
      <c r="C88" s="2"/>
      <c r="D88" s="8"/>
      <c r="E88" s="25"/>
      <c r="F88" s="9">
        <v>113.17</v>
      </c>
      <c r="G88" s="6">
        <v>1.5E-3</v>
      </c>
      <c r="H88" s="39"/>
    </row>
    <row r="89" spans="1:8" ht="15.75" thickBot="1" x14ac:dyDescent="0.3">
      <c r="A89" s="29"/>
      <c r="B89" s="41" t="s">
        <v>10</v>
      </c>
      <c r="C89" s="42"/>
      <c r="D89" s="42"/>
      <c r="E89" s="43"/>
      <c r="F89" s="44">
        <f>+F88+F87+F83</f>
        <v>75732.609999999971</v>
      </c>
      <c r="G89" s="68">
        <f>+G88+G87+G83</f>
        <v>1.0000000000000002</v>
      </c>
      <c r="H89" s="45"/>
    </row>
    <row r="90" spans="1:8" x14ac:dyDescent="0.25">
      <c r="A90" s="29"/>
      <c r="B90" s="76"/>
      <c r="C90" s="77"/>
      <c r="D90" s="77"/>
      <c r="E90" s="78"/>
      <c r="F90" s="79"/>
      <c r="G90" s="80"/>
      <c r="H90" s="81"/>
    </row>
    <row r="91" spans="1:8" ht="24" x14ac:dyDescent="0.25">
      <c r="A91" s="29"/>
      <c r="B91" s="76" t="s">
        <v>337</v>
      </c>
      <c r="C91" s="77"/>
      <c r="D91" s="77"/>
      <c r="E91" s="78"/>
      <c r="F91" s="79"/>
      <c r="G91" s="80"/>
      <c r="H91" s="81"/>
    </row>
    <row r="92" spans="1:8" x14ac:dyDescent="0.25">
      <c r="A92" s="29"/>
      <c r="B92" s="76" t="s">
        <v>330</v>
      </c>
      <c r="C92" s="77"/>
      <c r="D92" s="77"/>
      <c r="E92" s="78"/>
      <c r="F92" s="79"/>
      <c r="G92" s="80"/>
      <c r="H92" s="81"/>
    </row>
    <row r="93" spans="1:8" x14ac:dyDescent="0.25">
      <c r="A93" s="29"/>
      <c r="B93" s="76" t="s">
        <v>331</v>
      </c>
      <c r="C93" s="77"/>
      <c r="D93" s="77"/>
      <c r="E93" s="78"/>
      <c r="F93" s="79"/>
      <c r="G93" s="80"/>
      <c r="H93" s="81"/>
    </row>
    <row r="94" spans="1:8" x14ac:dyDescent="0.25">
      <c r="A94" s="17"/>
      <c r="B94" s="10"/>
      <c r="C94" s="11"/>
      <c r="D94" s="11"/>
      <c r="E94" s="28"/>
      <c r="F94" s="12"/>
      <c r="G94" s="13"/>
      <c r="H94" s="14"/>
    </row>
    <row r="95" spans="1:8" x14ac:dyDescent="0.25">
      <c r="A95" s="17"/>
      <c r="B95" s="58" t="s">
        <v>266</v>
      </c>
      <c r="C95" s="11"/>
      <c r="D95" s="11"/>
      <c r="E95" s="28"/>
      <c r="F95" s="12"/>
      <c r="G95" s="13"/>
      <c r="H95" s="14"/>
    </row>
    <row r="96" spans="1:8" x14ac:dyDescent="0.25">
      <c r="A96" s="17"/>
      <c r="B96" s="10"/>
      <c r="C96" s="11"/>
      <c r="D96" s="11"/>
      <c r="E96" s="28"/>
      <c r="F96" s="12"/>
      <c r="G96" s="13"/>
      <c r="H96" s="14"/>
    </row>
    <row r="97" spans="1:8" s="62" customFormat="1" x14ac:dyDescent="0.25">
      <c r="A97" s="71"/>
      <c r="B97" s="138" t="s">
        <v>267</v>
      </c>
      <c r="C97" s="138"/>
      <c r="D97" s="138"/>
      <c r="E97" s="138"/>
      <c r="F97" s="138"/>
      <c r="G97" s="138"/>
      <c r="H97" s="72"/>
    </row>
    <row r="98" spans="1:8" s="62" customFormat="1" x14ac:dyDescent="0.25">
      <c r="A98" s="71"/>
      <c r="B98" s="138" t="s">
        <v>268</v>
      </c>
      <c r="C98" s="138"/>
      <c r="D98" s="138"/>
      <c r="E98" s="138"/>
      <c r="F98" s="103"/>
      <c r="G98" s="104"/>
      <c r="H98" s="72"/>
    </row>
    <row r="99" spans="1:8" x14ac:dyDescent="0.25">
      <c r="A99" s="17"/>
      <c r="B99" s="140" t="s">
        <v>269</v>
      </c>
      <c r="C99" s="140"/>
      <c r="D99" s="140"/>
      <c r="E99" s="140"/>
      <c r="F99" s="105"/>
      <c r="G99" s="106"/>
      <c r="H99" s="14"/>
    </row>
    <row r="100" spans="1:8" x14ac:dyDescent="0.25">
      <c r="A100" s="17"/>
      <c r="B100" s="83"/>
      <c r="C100" s="105"/>
      <c r="D100" s="105"/>
      <c r="E100" s="105"/>
      <c r="F100" s="105"/>
      <c r="G100" s="106"/>
      <c r="H100" s="14"/>
    </row>
    <row r="101" spans="1:8" ht="36" x14ac:dyDescent="0.25">
      <c r="A101" s="17"/>
      <c r="B101" s="64" t="s">
        <v>270</v>
      </c>
      <c r="C101" s="65" t="s">
        <v>271</v>
      </c>
      <c r="D101" s="65" t="s">
        <v>338</v>
      </c>
      <c r="E101" s="83"/>
      <c r="F101" s="59"/>
      <c r="G101" s="106"/>
      <c r="H101" s="14"/>
    </row>
    <row r="102" spans="1:8" x14ac:dyDescent="0.25">
      <c r="A102" s="17"/>
      <c r="B102" s="66" t="s">
        <v>272</v>
      </c>
      <c r="C102" s="60">
        <v>10.268000000000001</v>
      </c>
      <c r="D102" s="60" t="s">
        <v>328</v>
      </c>
      <c r="E102" s="107"/>
      <c r="F102" s="105"/>
      <c r="G102" s="108"/>
      <c r="H102" s="14"/>
    </row>
    <row r="103" spans="1:8" x14ac:dyDescent="0.25">
      <c r="A103" s="17"/>
      <c r="B103" s="67" t="s">
        <v>273</v>
      </c>
      <c r="C103" s="60">
        <v>10.268000000000001</v>
      </c>
      <c r="D103" s="60" t="s">
        <v>328</v>
      </c>
      <c r="E103" s="83"/>
      <c r="F103" s="105"/>
      <c r="G103" s="108"/>
      <c r="H103" s="14"/>
    </row>
    <row r="104" spans="1:8" x14ac:dyDescent="0.25">
      <c r="A104" s="17"/>
      <c r="B104" s="66" t="s">
        <v>274</v>
      </c>
      <c r="C104" s="60">
        <v>10.244</v>
      </c>
      <c r="D104" s="60" t="s">
        <v>328</v>
      </c>
      <c r="E104" s="83"/>
      <c r="F104" s="105"/>
      <c r="G104" s="105"/>
      <c r="H104" s="14"/>
    </row>
    <row r="105" spans="1:8" x14ac:dyDescent="0.25">
      <c r="A105" s="17"/>
      <c r="B105" s="66" t="s">
        <v>275</v>
      </c>
      <c r="C105" s="60">
        <v>10.244</v>
      </c>
      <c r="D105" s="60" t="s">
        <v>328</v>
      </c>
      <c r="E105" s="107"/>
      <c r="F105" s="105"/>
      <c r="G105" s="105"/>
      <c r="H105" s="14"/>
    </row>
    <row r="106" spans="1:8" ht="13.9" customHeight="1" x14ac:dyDescent="0.25">
      <c r="A106" s="17"/>
      <c r="B106" s="140" t="s">
        <v>339</v>
      </c>
      <c r="C106" s="140"/>
      <c r="D106" s="140"/>
      <c r="E106" s="140"/>
      <c r="F106" s="140"/>
      <c r="G106" s="106"/>
      <c r="H106" s="109"/>
    </row>
    <row r="107" spans="1:8" ht="13.9" customHeight="1" x14ac:dyDescent="0.25">
      <c r="A107" s="17"/>
      <c r="B107" s="121"/>
      <c r="C107" s="121"/>
      <c r="D107" s="121"/>
      <c r="E107" s="121"/>
      <c r="F107" s="121"/>
      <c r="G107" s="106"/>
      <c r="H107" s="109"/>
    </row>
    <row r="108" spans="1:8" s="62" customFormat="1" x14ac:dyDescent="0.25">
      <c r="A108" s="69"/>
      <c r="B108" s="70" t="s">
        <v>276</v>
      </c>
      <c r="C108" s="103"/>
      <c r="D108" s="103"/>
      <c r="E108" s="103"/>
      <c r="F108" s="103"/>
      <c r="G108" s="104"/>
      <c r="H108" s="103"/>
    </row>
    <row r="109" spans="1:8" x14ac:dyDescent="0.25">
      <c r="B109" s="138" t="s">
        <v>277</v>
      </c>
      <c r="C109" s="138"/>
      <c r="D109" s="138"/>
      <c r="E109" s="82"/>
      <c r="F109" s="103"/>
      <c r="G109" s="104"/>
      <c r="H109" s="110"/>
    </row>
    <row r="110" spans="1:8" ht="14.45" customHeight="1" x14ac:dyDescent="0.25">
      <c r="B110" s="141" t="s">
        <v>340</v>
      </c>
      <c r="C110" s="141"/>
      <c r="D110" s="141"/>
      <c r="E110" s="141"/>
      <c r="F110" s="141"/>
      <c r="G110" s="141"/>
      <c r="H110" s="110"/>
    </row>
    <row r="111" spans="1:8" x14ac:dyDescent="0.25">
      <c r="B111" s="138" t="s">
        <v>278</v>
      </c>
      <c r="C111" s="138"/>
      <c r="D111" s="138"/>
      <c r="E111" s="82"/>
      <c r="F111" s="103"/>
      <c r="G111" s="104"/>
      <c r="H111" s="110"/>
    </row>
    <row r="112" spans="1:8" x14ac:dyDescent="0.25">
      <c r="B112" s="61" t="s">
        <v>332</v>
      </c>
      <c r="C112" s="61"/>
      <c r="D112" s="61"/>
      <c r="E112" s="82"/>
      <c r="F112" s="103"/>
      <c r="G112" s="104"/>
      <c r="H112" s="110"/>
    </row>
    <row r="113" spans="2:8" x14ac:dyDescent="0.25">
      <c r="B113" s="138" t="s">
        <v>279</v>
      </c>
      <c r="C113" s="138"/>
      <c r="D113" s="138"/>
      <c r="E113" s="82"/>
      <c r="F113" s="103"/>
      <c r="G113" s="104"/>
      <c r="H113" s="110"/>
    </row>
    <row r="114" spans="2:8" x14ac:dyDescent="0.25">
      <c r="B114" s="103"/>
      <c r="C114" s="103"/>
      <c r="D114" s="103"/>
      <c r="E114" s="103"/>
      <c r="F114" s="103"/>
      <c r="G114" s="103"/>
      <c r="H114" s="110"/>
    </row>
    <row r="115" spans="2:8" x14ac:dyDescent="0.25">
      <c r="B115" s="63" t="s">
        <v>280</v>
      </c>
      <c r="C115" s="105"/>
      <c r="D115" s="105"/>
      <c r="E115" s="105"/>
      <c r="F115" s="105"/>
      <c r="G115" s="105"/>
      <c r="H115" s="110"/>
    </row>
    <row r="116" spans="2:8" x14ac:dyDescent="0.25">
      <c r="B116" s="63" t="s">
        <v>281</v>
      </c>
      <c r="C116" s="105"/>
      <c r="D116" s="105"/>
      <c r="E116" s="105"/>
      <c r="F116" s="105"/>
      <c r="G116" s="105"/>
      <c r="H116" s="110"/>
    </row>
    <row r="117" spans="2:8" x14ac:dyDescent="0.25">
      <c r="B117" s="105"/>
      <c r="C117" s="105"/>
      <c r="D117" s="105"/>
      <c r="E117" s="105"/>
      <c r="F117" s="105"/>
      <c r="G117" s="105"/>
      <c r="H117" s="110"/>
    </row>
    <row r="118" spans="2:8" x14ac:dyDescent="0.25">
      <c r="B118" s="105"/>
      <c r="C118" s="105"/>
      <c r="D118" s="105"/>
      <c r="E118" s="105"/>
      <c r="F118" s="105"/>
      <c r="G118" s="105"/>
      <c r="H118" s="110"/>
    </row>
    <row r="119" spans="2:8" x14ac:dyDescent="0.25">
      <c r="B119" s="146" t="s">
        <v>282</v>
      </c>
      <c r="C119" s="146"/>
      <c r="D119" s="146"/>
      <c r="E119" s="146"/>
      <c r="F119" s="146"/>
      <c r="G119" s="146"/>
      <c r="H119" s="110"/>
    </row>
    <row r="120" spans="2:8" x14ac:dyDescent="0.25">
      <c r="B120" s="105"/>
      <c r="C120" s="105"/>
      <c r="D120" s="105"/>
      <c r="E120" s="105"/>
      <c r="F120" s="105"/>
      <c r="G120" s="105"/>
      <c r="H120" s="110"/>
    </row>
    <row r="121" spans="2:8" x14ac:dyDescent="0.25">
      <c r="B121" s="84" t="s">
        <v>283</v>
      </c>
      <c r="C121" s="105"/>
      <c r="D121" s="105"/>
      <c r="E121" s="105"/>
      <c r="F121" s="105"/>
      <c r="G121" s="105"/>
      <c r="H121" s="105"/>
    </row>
    <row r="122" spans="2:8" x14ac:dyDescent="0.25">
      <c r="B122" s="84"/>
      <c r="C122" s="105"/>
      <c r="D122" s="105"/>
      <c r="E122" s="105"/>
      <c r="F122" s="105"/>
      <c r="G122" s="105"/>
      <c r="H122" s="105"/>
    </row>
    <row r="123" spans="2:8" ht="48" x14ac:dyDescent="0.25">
      <c r="B123" s="111" t="s">
        <v>284</v>
      </c>
      <c r="C123" s="111" t="s">
        <v>285</v>
      </c>
      <c r="D123" s="111" t="s">
        <v>286</v>
      </c>
      <c r="E123" s="111" t="s">
        <v>287</v>
      </c>
      <c r="F123" s="111" t="s">
        <v>288</v>
      </c>
      <c r="G123" s="111" t="s">
        <v>289</v>
      </c>
      <c r="H123" s="105"/>
    </row>
    <row r="124" spans="2:8" x14ac:dyDescent="0.25">
      <c r="B124" s="143" t="s">
        <v>300</v>
      </c>
      <c r="C124" s="144"/>
      <c r="D124" s="144"/>
      <c r="E124" s="144"/>
      <c r="F124" s="144"/>
      <c r="G124" s="145"/>
      <c r="H124" s="105"/>
    </row>
    <row r="125" spans="2:8" x14ac:dyDescent="0.25">
      <c r="B125" s="105"/>
      <c r="C125" s="85"/>
      <c r="D125" s="105"/>
      <c r="E125" s="105"/>
      <c r="F125" s="105"/>
      <c r="G125" s="105"/>
      <c r="H125" s="105"/>
    </row>
    <row r="126" spans="2:8" x14ac:dyDescent="0.25">
      <c r="B126" s="86" t="s">
        <v>343</v>
      </c>
      <c r="C126" s="85"/>
      <c r="D126" s="105"/>
      <c r="E126" s="105"/>
      <c r="F126" s="105"/>
      <c r="G126" s="105"/>
      <c r="H126" s="105"/>
    </row>
    <row r="127" spans="2:8" x14ac:dyDescent="0.25">
      <c r="B127" s="86"/>
      <c r="C127" s="105"/>
      <c r="D127" s="105"/>
      <c r="E127" s="105"/>
      <c r="F127" s="105"/>
      <c r="G127" s="105"/>
      <c r="H127" s="105"/>
    </row>
    <row r="128" spans="2:8" x14ac:dyDescent="0.25">
      <c r="B128" s="142" t="s">
        <v>290</v>
      </c>
      <c r="C128" s="142"/>
      <c r="D128" s="142"/>
      <c r="E128" s="142"/>
      <c r="F128" s="142"/>
      <c r="G128" s="142"/>
      <c r="H128" s="105"/>
    </row>
    <row r="129" spans="2:8" ht="72" x14ac:dyDescent="0.25">
      <c r="B129" s="111" t="s">
        <v>284</v>
      </c>
      <c r="C129" s="111" t="s">
        <v>291</v>
      </c>
      <c r="D129" s="111" t="s">
        <v>292</v>
      </c>
      <c r="E129" s="111" t="s">
        <v>293</v>
      </c>
      <c r="F129" s="111" t="s">
        <v>294</v>
      </c>
      <c r="G129" s="111" t="s">
        <v>295</v>
      </c>
      <c r="H129" s="105"/>
    </row>
    <row r="130" spans="2:8" x14ac:dyDescent="0.25">
      <c r="B130" s="143" t="s">
        <v>300</v>
      </c>
      <c r="C130" s="144"/>
      <c r="D130" s="144"/>
      <c r="E130" s="144"/>
      <c r="F130" s="144"/>
      <c r="G130" s="145"/>
      <c r="H130" s="105"/>
    </row>
    <row r="131" spans="2:8" x14ac:dyDescent="0.25">
      <c r="B131" s="105"/>
      <c r="C131" s="105"/>
      <c r="D131" s="105"/>
      <c r="E131" s="105"/>
      <c r="F131" s="105"/>
      <c r="G131" s="105"/>
      <c r="H131" s="105"/>
    </row>
    <row r="132" spans="2:8" x14ac:dyDescent="0.25">
      <c r="B132" s="147" t="s">
        <v>296</v>
      </c>
      <c r="C132" s="147"/>
      <c r="D132" s="147"/>
      <c r="E132" s="147"/>
      <c r="F132" s="147"/>
      <c r="G132" s="147"/>
      <c r="H132" s="105"/>
    </row>
    <row r="133" spans="2:8" ht="48" x14ac:dyDescent="0.25">
      <c r="B133" s="111" t="s">
        <v>284</v>
      </c>
      <c r="C133" s="111" t="s">
        <v>285</v>
      </c>
      <c r="D133" s="111" t="s">
        <v>286</v>
      </c>
      <c r="E133" s="111" t="s">
        <v>297</v>
      </c>
      <c r="F133" s="111" t="s">
        <v>298</v>
      </c>
      <c r="G133" s="111" t="s">
        <v>299</v>
      </c>
      <c r="H133" s="105"/>
    </row>
    <row r="134" spans="2:8" x14ac:dyDescent="0.25">
      <c r="B134" s="87" t="s">
        <v>191</v>
      </c>
      <c r="C134" s="87" t="s">
        <v>318</v>
      </c>
      <c r="D134" s="87" t="s">
        <v>333</v>
      </c>
      <c r="E134" s="88">
        <v>16934.168278571429</v>
      </c>
      <c r="F134" s="89">
        <v>17103.2</v>
      </c>
      <c r="G134" s="122">
        <v>500</v>
      </c>
      <c r="H134" s="105"/>
    </row>
    <row r="135" spans="2:8" x14ac:dyDescent="0.25">
      <c r="B135" s="86" t="s">
        <v>341</v>
      </c>
      <c r="C135" s="105"/>
      <c r="D135" s="105"/>
      <c r="E135" s="105"/>
      <c r="F135" s="105"/>
      <c r="G135" s="105"/>
      <c r="H135" s="105"/>
    </row>
    <row r="136" spans="2:8" x14ac:dyDescent="0.25">
      <c r="B136" s="108"/>
      <c r="C136" s="108"/>
      <c r="D136" s="108"/>
      <c r="E136" s="108"/>
      <c r="F136" s="108"/>
      <c r="G136" s="108"/>
      <c r="H136" s="105"/>
    </row>
    <row r="137" spans="2:8" x14ac:dyDescent="0.25">
      <c r="B137" s="142" t="s">
        <v>301</v>
      </c>
      <c r="C137" s="142"/>
      <c r="D137" s="142"/>
      <c r="E137" s="142"/>
      <c r="F137" s="142"/>
      <c r="G137" s="142"/>
      <c r="H137" s="105"/>
    </row>
    <row r="138" spans="2:8" ht="72" x14ac:dyDescent="0.25">
      <c r="B138" s="111" t="s">
        <v>284</v>
      </c>
      <c r="C138" s="111" t="s">
        <v>302</v>
      </c>
      <c r="D138" s="111" t="s">
        <v>303</v>
      </c>
      <c r="E138" s="111" t="s">
        <v>293</v>
      </c>
      <c r="F138" s="111" t="s">
        <v>294</v>
      </c>
      <c r="G138" s="111" t="s">
        <v>304</v>
      </c>
      <c r="H138" s="105"/>
    </row>
    <row r="139" spans="2:8" x14ac:dyDescent="0.25">
      <c r="B139" s="87" t="s">
        <v>191</v>
      </c>
      <c r="C139" s="87">
        <v>3096</v>
      </c>
      <c r="D139" s="87">
        <v>3096</v>
      </c>
      <c r="E139" s="89">
        <v>2696339833.3300004</v>
      </c>
      <c r="F139" s="89">
        <v>2694009651.4699998</v>
      </c>
      <c r="G139" s="89">
        <v>-3689451.939999999</v>
      </c>
      <c r="H139" s="105"/>
    </row>
    <row r="140" spans="2:8" x14ac:dyDescent="0.25">
      <c r="B140" s="112"/>
      <c r="C140" s="112"/>
      <c r="D140" s="112"/>
      <c r="E140" s="112"/>
      <c r="F140" s="112"/>
      <c r="G140" s="112"/>
      <c r="H140" s="105"/>
    </row>
    <row r="141" spans="2:8" x14ac:dyDescent="0.25">
      <c r="B141" s="108"/>
      <c r="C141" s="108" t="s">
        <v>305</v>
      </c>
      <c r="D141" s="108"/>
      <c r="E141" s="108"/>
      <c r="F141" s="108"/>
      <c r="G141" s="108"/>
      <c r="H141" s="105"/>
    </row>
    <row r="142" spans="2:8" x14ac:dyDescent="0.25">
      <c r="B142" s="84" t="s">
        <v>306</v>
      </c>
      <c r="C142" s="84"/>
      <c r="D142" s="84"/>
      <c r="E142" s="84"/>
      <c r="F142" s="108"/>
      <c r="G142" s="113"/>
      <c r="H142" s="105"/>
    </row>
    <row r="143" spans="2:8" ht="36" x14ac:dyDescent="0.25">
      <c r="B143" s="114" t="s">
        <v>284</v>
      </c>
      <c r="C143" s="115" t="s">
        <v>285</v>
      </c>
      <c r="D143" s="115" t="s">
        <v>307</v>
      </c>
      <c r="E143" s="115" t="s">
        <v>308</v>
      </c>
      <c r="F143" s="115" t="s">
        <v>309</v>
      </c>
      <c r="G143" s="116"/>
      <c r="H143" s="105"/>
    </row>
    <row r="144" spans="2:8" x14ac:dyDescent="0.25">
      <c r="B144" s="143" t="s">
        <v>300</v>
      </c>
      <c r="C144" s="144"/>
      <c r="D144" s="144"/>
      <c r="E144" s="144"/>
      <c r="F144" s="145"/>
      <c r="G144" s="108"/>
      <c r="H144" s="105"/>
    </row>
    <row r="145" spans="2:8" x14ac:dyDescent="0.25">
      <c r="B145" s="86" t="s">
        <v>344</v>
      </c>
      <c r="C145" s="105"/>
      <c r="D145" s="105"/>
      <c r="E145" s="105"/>
      <c r="F145" s="105"/>
      <c r="G145" s="105"/>
      <c r="H145" s="105"/>
    </row>
    <row r="146" spans="2:8" x14ac:dyDescent="0.25">
      <c r="B146" s="108"/>
      <c r="C146" s="108"/>
      <c r="D146" s="108"/>
      <c r="E146" s="108"/>
      <c r="F146" s="108"/>
      <c r="G146" s="108"/>
      <c r="H146" s="105"/>
    </row>
    <row r="147" spans="2:8" x14ac:dyDescent="0.25">
      <c r="B147" s="139" t="s">
        <v>310</v>
      </c>
      <c r="C147" s="139"/>
      <c r="D147" s="139"/>
      <c r="E147" s="139"/>
      <c r="F147" s="139"/>
      <c r="G147" s="108"/>
      <c r="H147" s="105"/>
    </row>
    <row r="148" spans="2:8" ht="60" x14ac:dyDescent="0.25">
      <c r="B148" s="115" t="s">
        <v>284</v>
      </c>
      <c r="C148" s="115" t="s">
        <v>311</v>
      </c>
      <c r="D148" s="115" t="s">
        <v>312</v>
      </c>
      <c r="E148" s="115" t="s">
        <v>313</v>
      </c>
      <c r="F148" s="117"/>
      <c r="G148" s="108"/>
      <c r="H148" s="105"/>
    </row>
    <row r="149" spans="2:8" x14ac:dyDescent="0.25">
      <c r="B149" s="143" t="s">
        <v>300</v>
      </c>
      <c r="C149" s="144"/>
      <c r="D149" s="144"/>
      <c r="E149" s="145"/>
      <c r="F149" s="108"/>
      <c r="G149" s="108"/>
      <c r="H149" s="105"/>
    </row>
    <row r="150" spans="2:8" x14ac:dyDescent="0.25">
      <c r="B150" s="108"/>
      <c r="C150" s="108"/>
      <c r="D150" s="108"/>
      <c r="E150" s="108"/>
      <c r="F150" s="108"/>
      <c r="G150" s="108"/>
      <c r="H150" s="105"/>
    </row>
    <row r="151" spans="2:8" x14ac:dyDescent="0.25">
      <c r="B151" s="108"/>
      <c r="C151" s="108"/>
      <c r="D151" s="108"/>
      <c r="E151" s="108"/>
      <c r="F151" s="108"/>
      <c r="G151" s="108"/>
      <c r="H151" s="105"/>
    </row>
    <row r="152" spans="2:8" x14ac:dyDescent="0.25">
      <c r="B152" s="84" t="s">
        <v>314</v>
      </c>
      <c r="C152" s="84"/>
      <c r="D152" s="84"/>
      <c r="E152" s="84"/>
      <c r="F152" s="84"/>
      <c r="G152" s="108"/>
      <c r="H152" s="105"/>
    </row>
    <row r="153" spans="2:8" ht="29.25" customHeight="1" x14ac:dyDescent="0.25">
      <c r="B153" s="114" t="s">
        <v>284</v>
      </c>
      <c r="C153" s="115" t="s">
        <v>285</v>
      </c>
      <c r="D153" s="115" t="s">
        <v>315</v>
      </c>
      <c r="E153" s="115" t="s">
        <v>316</v>
      </c>
      <c r="F153" s="115" t="s">
        <v>308</v>
      </c>
      <c r="G153" s="115" t="s">
        <v>317</v>
      </c>
      <c r="H153" s="105"/>
    </row>
    <row r="154" spans="2:8" x14ac:dyDescent="0.25">
      <c r="B154" s="143" t="s">
        <v>300</v>
      </c>
      <c r="C154" s="144"/>
      <c r="D154" s="144"/>
      <c r="E154" s="144"/>
      <c r="F154" s="144"/>
      <c r="G154" s="145"/>
      <c r="H154" s="105"/>
    </row>
    <row r="155" spans="2:8" x14ac:dyDescent="0.25">
      <c r="B155" s="108" t="s">
        <v>334</v>
      </c>
      <c r="C155" s="108"/>
      <c r="D155" s="108"/>
      <c r="E155" s="108"/>
      <c r="F155" s="108"/>
      <c r="G155" s="108"/>
      <c r="H155" s="105"/>
    </row>
    <row r="156" spans="2:8" x14ac:dyDescent="0.25">
      <c r="B156" s="108"/>
      <c r="C156" s="108"/>
      <c r="D156" s="108"/>
      <c r="E156" s="108"/>
      <c r="F156" s="108"/>
      <c r="G156" s="108"/>
      <c r="H156" s="105"/>
    </row>
    <row r="157" spans="2:8" x14ac:dyDescent="0.25">
      <c r="B157" s="139" t="s">
        <v>319</v>
      </c>
      <c r="C157" s="139"/>
      <c r="D157" s="139"/>
      <c r="E157" s="139"/>
      <c r="F157" s="139"/>
      <c r="G157" s="108"/>
      <c r="H157" s="105"/>
    </row>
    <row r="158" spans="2:8" ht="60.75" x14ac:dyDescent="0.25">
      <c r="B158" s="118" t="s">
        <v>284</v>
      </c>
      <c r="C158" s="119" t="s">
        <v>311</v>
      </c>
      <c r="D158" s="119" t="s">
        <v>312</v>
      </c>
      <c r="E158" s="119" t="s">
        <v>313</v>
      </c>
      <c r="F158" s="108"/>
      <c r="G158" s="108"/>
      <c r="H158" s="105"/>
    </row>
    <row r="159" spans="2:8" x14ac:dyDescent="0.25">
      <c r="B159" s="152" t="s">
        <v>300</v>
      </c>
      <c r="C159" s="153"/>
      <c r="D159" s="153"/>
      <c r="E159" s="154"/>
      <c r="F159" s="108"/>
      <c r="G159" s="108"/>
      <c r="H159" s="105"/>
    </row>
    <row r="160" spans="2:8" x14ac:dyDescent="0.25">
      <c r="B160" s="108"/>
      <c r="C160" s="108"/>
      <c r="D160" s="108"/>
      <c r="E160" s="108"/>
      <c r="F160" s="108"/>
      <c r="G160" s="108"/>
      <c r="H160" s="105"/>
    </row>
    <row r="161" spans="2:11" x14ac:dyDescent="0.25">
      <c r="B161" s="108"/>
      <c r="C161" s="108"/>
      <c r="D161" s="108"/>
      <c r="E161" s="108"/>
      <c r="F161" s="108"/>
      <c r="G161" s="108"/>
      <c r="H161" s="105"/>
    </row>
    <row r="162" spans="2:11" x14ac:dyDescent="0.25">
      <c r="B162" s="84" t="s">
        <v>320</v>
      </c>
      <c r="C162" s="84"/>
      <c r="D162" s="84"/>
      <c r="E162" s="108"/>
      <c r="F162" s="108"/>
      <c r="G162" s="108"/>
      <c r="H162" s="105"/>
    </row>
    <row r="163" spans="2:11" x14ac:dyDescent="0.25">
      <c r="B163" s="90"/>
      <c r="C163" s="90"/>
      <c r="D163" s="90"/>
      <c r="E163" s="105"/>
      <c r="F163" s="105"/>
      <c r="G163" s="105"/>
      <c r="H163" s="105"/>
    </row>
    <row r="164" spans="2:11" x14ac:dyDescent="0.25">
      <c r="B164" s="84" t="s">
        <v>321</v>
      </c>
      <c r="C164" s="84"/>
      <c r="D164" s="84"/>
      <c r="E164" s="84"/>
      <c r="F164" s="108"/>
      <c r="G164" s="105"/>
      <c r="H164" s="105"/>
    </row>
    <row r="165" spans="2:11" ht="24" x14ac:dyDescent="0.25">
      <c r="B165" s="120" t="s">
        <v>284</v>
      </c>
      <c r="C165" s="111" t="s">
        <v>285</v>
      </c>
      <c r="D165" s="111" t="s">
        <v>307</v>
      </c>
      <c r="E165" s="111" t="s">
        <v>322</v>
      </c>
      <c r="F165" s="111" t="s">
        <v>323</v>
      </c>
      <c r="G165" s="111" t="s">
        <v>324</v>
      </c>
      <c r="H165" s="105"/>
    </row>
    <row r="166" spans="2:11" x14ac:dyDescent="0.25">
      <c r="B166" s="143" t="s">
        <v>300</v>
      </c>
      <c r="C166" s="144"/>
      <c r="D166" s="144"/>
      <c r="E166" s="144"/>
      <c r="F166" s="144"/>
      <c r="G166" s="145"/>
      <c r="H166" s="105"/>
    </row>
    <row r="167" spans="2:11" x14ac:dyDescent="0.25">
      <c r="B167" s="86" t="s">
        <v>342</v>
      </c>
      <c r="C167" s="105"/>
      <c r="D167" s="105"/>
      <c r="E167" s="105"/>
      <c r="F167" s="105"/>
      <c r="G167" s="105"/>
      <c r="H167" s="105"/>
    </row>
    <row r="168" spans="2:11" x14ac:dyDescent="0.25">
      <c r="B168" s="105"/>
      <c r="C168" s="105"/>
      <c r="D168" s="105"/>
      <c r="E168" s="105"/>
      <c r="F168" s="105"/>
      <c r="G168" s="105"/>
      <c r="H168" s="105"/>
    </row>
    <row r="169" spans="2:11" x14ac:dyDescent="0.25">
      <c r="B169" s="139" t="s">
        <v>325</v>
      </c>
      <c r="C169" s="139"/>
      <c r="D169" s="139"/>
      <c r="E169" s="139"/>
      <c r="F169" s="139"/>
      <c r="G169" s="139"/>
      <c r="H169" s="105"/>
    </row>
    <row r="170" spans="2:11" ht="60" x14ac:dyDescent="0.25">
      <c r="B170" s="120" t="s">
        <v>284</v>
      </c>
      <c r="C170" s="120" t="s">
        <v>326</v>
      </c>
      <c r="D170" s="120" t="s">
        <v>312</v>
      </c>
      <c r="E170" s="120" t="s">
        <v>327</v>
      </c>
      <c r="F170" s="105"/>
      <c r="G170" s="105"/>
      <c r="H170" s="105"/>
    </row>
    <row r="171" spans="2:11" x14ac:dyDescent="0.25">
      <c r="B171" s="143" t="s">
        <v>300</v>
      </c>
      <c r="C171" s="144"/>
      <c r="D171" s="144"/>
      <c r="E171" s="145"/>
      <c r="F171" s="105"/>
      <c r="G171" s="105"/>
      <c r="H171" s="123" t="s">
        <v>354</v>
      </c>
      <c r="I171" s="124"/>
      <c r="J171" s="124"/>
      <c r="K171" s="124"/>
    </row>
    <row r="172" spans="2:11" ht="24.75" x14ac:dyDescent="0.25">
      <c r="B172" s="105"/>
      <c r="C172" s="105"/>
      <c r="D172" s="105"/>
      <c r="E172" s="105"/>
      <c r="F172" s="105"/>
      <c r="G172" s="105"/>
      <c r="H172" s="125" t="s">
        <v>345</v>
      </c>
      <c r="I172" s="126" t="s">
        <v>346</v>
      </c>
      <c r="J172" s="126" t="s">
        <v>347</v>
      </c>
      <c r="K172" s="127" t="s">
        <v>348</v>
      </c>
    </row>
    <row r="173" spans="2:11" ht="24.75" x14ac:dyDescent="0.25">
      <c r="B173" s="110"/>
      <c r="C173" s="110"/>
      <c r="D173" s="110"/>
      <c r="E173" s="110"/>
      <c r="F173" s="110"/>
      <c r="G173" s="110"/>
      <c r="H173" s="128" t="s">
        <v>191</v>
      </c>
      <c r="I173" s="129" t="s">
        <v>355</v>
      </c>
      <c r="J173" s="129"/>
      <c r="K173" s="130"/>
    </row>
    <row r="174" spans="2:11" ht="72.75" x14ac:dyDescent="0.25">
      <c r="B174" s="110"/>
      <c r="C174" s="110"/>
      <c r="D174" s="110"/>
      <c r="E174" s="110"/>
      <c r="F174" s="110"/>
      <c r="G174" s="110"/>
      <c r="H174" s="131" t="s">
        <v>349</v>
      </c>
      <c r="I174" s="129" t="s">
        <v>350</v>
      </c>
      <c r="J174" s="148"/>
      <c r="K174" s="150"/>
    </row>
    <row r="175" spans="2:11" ht="36.75" x14ac:dyDescent="0.25">
      <c r="B175" s="110"/>
      <c r="C175" s="110"/>
      <c r="D175" s="110"/>
      <c r="E175" s="110"/>
      <c r="F175" s="110"/>
      <c r="G175" s="110"/>
      <c r="H175" s="131"/>
      <c r="I175" s="132" t="s">
        <v>351</v>
      </c>
      <c r="J175" s="149"/>
      <c r="K175" s="151"/>
    </row>
    <row r="176" spans="2:11" x14ac:dyDescent="0.25">
      <c r="B176" s="110"/>
      <c r="C176" s="110"/>
      <c r="D176" s="110"/>
      <c r="E176" s="110"/>
      <c r="F176" s="110"/>
      <c r="G176" s="110"/>
      <c r="H176" s="131"/>
      <c r="I176" s="129"/>
      <c r="J176" s="129"/>
      <c r="K176" s="133" t="s">
        <v>352</v>
      </c>
    </row>
    <row r="177" spans="2:11" x14ac:dyDescent="0.25">
      <c r="B177" s="110"/>
      <c r="C177" s="110"/>
      <c r="D177" s="110"/>
      <c r="E177" s="110"/>
      <c r="F177" s="110"/>
      <c r="G177" s="110"/>
      <c r="H177" s="134"/>
      <c r="I177" s="135"/>
      <c r="J177" s="135"/>
      <c r="K177" s="136" t="s">
        <v>353</v>
      </c>
    </row>
  </sheetData>
  <mergeCells count="29">
    <mergeCell ref="B130:G130"/>
    <mergeCell ref="B132:G132"/>
    <mergeCell ref="J174:J175"/>
    <mergeCell ref="K174:K175"/>
    <mergeCell ref="B159:E159"/>
    <mergeCell ref="B166:G166"/>
    <mergeCell ref="B169:G169"/>
    <mergeCell ref="B171:E171"/>
    <mergeCell ref="B157:F157"/>
    <mergeCell ref="B99:E99"/>
    <mergeCell ref="B109:D109"/>
    <mergeCell ref="B111:D111"/>
    <mergeCell ref="B113:D113"/>
    <mergeCell ref="B110:D110"/>
    <mergeCell ref="E110:G110"/>
    <mergeCell ref="B106:F106"/>
    <mergeCell ref="B137:G137"/>
    <mergeCell ref="B144:F144"/>
    <mergeCell ref="B147:F147"/>
    <mergeCell ref="B149:E149"/>
    <mergeCell ref="B154:G154"/>
    <mergeCell ref="B119:G119"/>
    <mergeCell ref="B124:G124"/>
    <mergeCell ref="B128:G128"/>
    <mergeCell ref="B1:H1"/>
    <mergeCell ref="B2:H2"/>
    <mergeCell ref="B3:H3"/>
    <mergeCell ref="B97:G97"/>
    <mergeCell ref="B98:E98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30FB66-893E-419E-8A7B-56D11EF344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C1B386-17BF-4207-A621-7CA5A10EAA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cp:lastPrinted>2022-10-06T16:27:32Z</cp:lastPrinted>
  <dcterms:created xsi:type="dcterms:W3CDTF">2022-04-08T12:18:39Z</dcterms:created>
  <dcterms:modified xsi:type="dcterms:W3CDTF">2022-10-08T16:01:59Z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2022-10-08T10:11:44Z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338dd59f-7fe2-4678-90db-8a887bb113a9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