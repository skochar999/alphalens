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an 2026/"/>
    </mc:Choice>
  </mc:AlternateContent>
  <xr:revisionPtr revIDLastSave="0" documentId="8_{59B09826-A609-4F97-A027-B63DFC38B391}" xr6:coauthVersionLast="47" xr6:coauthVersionMax="47" xr10:uidLastSave="{00000000-0000-0000-0000-000000000000}"/>
  <bookViews>
    <workbookView xWindow="-120" yWindow="-120" windowWidth="20730" windowHeight="11040" xr2:uid="{E51B1466-AD86-4BC0-BEE7-EFB3BB43B26E}"/>
  </bookViews>
  <sheets>
    <sheet name="WOSOP" sheetId="1" r:id="rId1"/>
  </sheets>
  <externalReferences>
    <externalReference r:id="rId2"/>
  </externalReferences>
  <definedNames>
    <definedName name="_xlnm._FilterDatabase" localSheetId="0" hidden="1">WOSOP!$A$6:$J$189</definedName>
    <definedName name="JR_PAGE_ANCHOR_0_17">WOSOP!$A$1</definedName>
    <definedName name="JR_PAGE_ANCHOR_0_22">#REF!</definedName>
    <definedName name="JR_PAGE_ANCHOR_0_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9" i="1" l="1"/>
</calcChain>
</file>

<file path=xl/sharedStrings.xml><?xml version="1.0" encoding="utf-8"?>
<sst xmlns="http://schemas.openxmlformats.org/spreadsheetml/2006/main" count="370" uniqueCount="305">
  <si>
    <t>WhiteOak Capital Special Opportunities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</si>
  <si>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</si>
  <si>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</si>
  <si>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</si>
  <si>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</si>
  <si>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</si>
  <si>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</si>
  <si>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</si>
  <si>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</si>
  <si>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</si>
  <si>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</si>
  <si>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</si>
  <si>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</si>
  <si>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</si>
  <si>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</si>
  <si>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</si>
  <si>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</si>
  <si>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</si>
  <si>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</si>
  <si>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</si>
  <si>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</si>
  <si>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</si>
  <si>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</si>
  <si>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</si>
  <si>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</si>
  <si>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</si>
  <si>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JBCH03</t>
  </si>
  <si>
    <t>JB Chemicals &amp; Pharmaceuticals Limited</t>
  </si>
  <si>
    <t>INE572A01036</t>
  </si>
  <si>
    <t>Pharmaceuticals &amp; Biotechnology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</si>
  <si>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</si>
  <si>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</si>
  <si>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</si>
  <si>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</si>
  <si>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</si>
  <si>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</si>
  <si>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</si>
  <si>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</si>
  <si>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SESA02</t>
  </si>
  <si>
    <t>Vedanta Limited</t>
  </si>
  <si>
    <t>INE205A01025</t>
  </si>
  <si>
    <t>Diversified Metals</t>
  </si>
  <si>
    <t>RIND01</t>
  </si>
  <si>
    <t>Reliance Industries Limited</t>
  </si>
  <si>
    <t>INE002A01018</t>
  </si>
  <si>
    <t>Petroleum Products</t>
  </si>
  <si>
    <t>MUND02</t>
  </si>
  <si>
    <t>Adani Ports and Special Economic Zone Limited</t>
  </si>
  <si>
    <t>INE742F01042</t>
  </si>
  <si>
    <t>Transport Infrastructure</t>
  </si>
  <si>
    <t>ALLI02</t>
  </si>
  <si>
    <t>GE Vernova T&amp;D India Limited</t>
  </si>
  <si>
    <t>INE200A01026</t>
  </si>
  <si>
    <t>Electrical Equipment</t>
  </si>
  <si>
    <t>MCEX02</t>
  </si>
  <si>
    <t>Multi Commodity Exchange of India Limited</t>
  </si>
  <si>
    <t>INE745G01043</t>
  </si>
  <si>
    <t>Capital Markets</t>
  </si>
  <si>
    <t>PSYL02</t>
  </si>
  <si>
    <t>Persistent Systems Limited</t>
  </si>
  <si>
    <t>INE262H01021</t>
  </si>
  <si>
    <t>IT - Software</t>
  </si>
  <si>
    <t>NXST01</t>
  </si>
  <si>
    <t>Nexus Select Trust - REIT</t>
  </si>
  <si>
    <t>INE0NDH25011</t>
  </si>
  <si>
    <t>Realty</t>
  </si>
  <si>
    <t>SHTR02</t>
  </si>
  <si>
    <t>Shriram Finance Limited</t>
  </si>
  <si>
    <t>INE721A01047</t>
  </si>
  <si>
    <t>Finance</t>
  </si>
  <si>
    <t>MUFL01</t>
  </si>
  <si>
    <t>Muthoot Finance Limited</t>
  </si>
  <si>
    <t>INE414G01012</t>
  </si>
  <si>
    <t>BSEL02</t>
  </si>
  <si>
    <t>BSE Limited</t>
  </si>
  <si>
    <t>INE118H01025</t>
  </si>
  <si>
    <t>IPAM01</t>
  </si>
  <si>
    <t>ICICI Prudential Asset Management Company Limited</t>
  </si>
  <si>
    <t>INE346A01027</t>
  </si>
  <si>
    <t>PRRC03</t>
  </si>
  <si>
    <t>Navin Fluorine International Limited</t>
  </si>
  <si>
    <t>INE048G01026</t>
  </si>
  <si>
    <t>Chemicals &amp; Petrochemicals</t>
  </si>
  <si>
    <t>CUBI02</t>
  </si>
  <si>
    <t>City Union Bank Limited</t>
  </si>
  <si>
    <t>INE491A01021</t>
  </si>
  <si>
    <t>MAUD01</t>
  </si>
  <si>
    <t>Maruti Suzuki India Limited</t>
  </si>
  <si>
    <t>INE585B01010</t>
  </si>
  <si>
    <t>EIDP03</t>
  </si>
  <si>
    <t>EID Parry India Limited</t>
  </si>
  <si>
    <t>INE126A01031</t>
  </si>
  <si>
    <t>Food Products</t>
  </si>
  <si>
    <t>HALT02</t>
  </si>
  <si>
    <t>Hindustan Aeronautics Limited</t>
  </si>
  <si>
    <t>INE066F01020</t>
  </si>
  <si>
    <t>MAXI02</t>
  </si>
  <si>
    <t>Max Financial Services Limited</t>
  </si>
  <si>
    <t>INE180A01020</t>
  </si>
  <si>
    <t>Insurance</t>
  </si>
  <si>
    <t>REHO01</t>
  </si>
  <si>
    <t>Repco Home Finance Limited</t>
  </si>
  <si>
    <t>INE612J01015</t>
  </si>
  <si>
    <t>ECLE01</t>
  </si>
  <si>
    <t>eClerx Services Limited</t>
  </si>
  <si>
    <t>INE738I01010</t>
  </si>
  <si>
    <t>Commercial Services &amp; Supplies</t>
  </si>
  <si>
    <t>IEIN02</t>
  </si>
  <si>
    <t>Info Edge (India) Limited</t>
  </si>
  <si>
    <t>INE663F01032</t>
  </si>
  <si>
    <t>Retailing</t>
  </si>
  <si>
    <t>EOPR01</t>
  </si>
  <si>
    <t>Embassy Office Parks REIT</t>
  </si>
  <si>
    <t>INE041025011</t>
  </si>
  <si>
    <t>MTAR01</t>
  </si>
  <si>
    <t>MTAR Technologies Limited</t>
  </si>
  <si>
    <t>INE864I01014</t>
  </si>
  <si>
    <t>SAEL02</t>
  </si>
  <si>
    <t>TVS Motor Company Limited</t>
  </si>
  <si>
    <t>INE494B01023</t>
  </si>
  <si>
    <t>CARL01</t>
  </si>
  <si>
    <t>CARE Ratings Limited</t>
  </si>
  <si>
    <t>INE752H01013</t>
  </si>
  <si>
    <t>ADTH01</t>
  </si>
  <si>
    <t>Aditya Infotech Limited</t>
  </si>
  <si>
    <t>INE819V01029</t>
  </si>
  <si>
    <t>Industrial Manufacturing</t>
  </si>
  <si>
    <t>NITL02</t>
  </si>
  <si>
    <t>Coforge Limited</t>
  </si>
  <si>
    <t>INE591G01025</t>
  </si>
  <si>
    <t>LATL02</t>
  </si>
  <si>
    <t>Lumax Auto Technologies Limited</t>
  </si>
  <si>
    <t>INE872H01027</t>
  </si>
  <si>
    <t>Auto Components</t>
  </si>
  <si>
    <t>NELA01</t>
  </si>
  <si>
    <t>Neuland Laboratories Limited</t>
  </si>
  <si>
    <t>INE794A01010</t>
  </si>
  <si>
    <t>AAHF01</t>
  </si>
  <si>
    <t>Aadhar Housing Finance Limited</t>
  </si>
  <si>
    <t>INE883F01010</t>
  </si>
  <si>
    <t>KAVY06</t>
  </si>
  <si>
    <t>Karur Vysya Bank Limited</t>
  </si>
  <si>
    <t>INE036D01028</t>
  </si>
  <si>
    <t>KENI01</t>
  </si>
  <si>
    <t>Kirloskar Oil Engines Limited</t>
  </si>
  <si>
    <t>INE146L01010</t>
  </si>
  <si>
    <t>Industrial Products</t>
  </si>
  <si>
    <t>BRFI01</t>
  </si>
  <si>
    <t>Brookfield India Real Estate Trust</t>
  </si>
  <si>
    <t>INE0FDU25010</t>
  </si>
  <si>
    <t>TENN01</t>
  </si>
  <si>
    <t>Tenneco Clean Air India Limited</t>
  </si>
  <si>
    <t>INE19RI01016</t>
  </si>
  <si>
    <t>ZOHE01</t>
  </si>
  <si>
    <t>Zota Health Care Limited</t>
  </si>
  <si>
    <t>INE358U01012</t>
  </si>
  <si>
    <t>LATE01</t>
  </si>
  <si>
    <t>Latent View Analytics Limited</t>
  </si>
  <si>
    <t>INE0I7C01011</t>
  </si>
  <si>
    <t>ONCO02</t>
  </si>
  <si>
    <t>One 97 Communications Limited</t>
  </si>
  <si>
    <t>INE982J01020</t>
  </si>
  <si>
    <t>Financial Technology (Fintech)</t>
  </si>
  <si>
    <t>TDPS02</t>
  </si>
  <si>
    <t>TD Power Systems Limited</t>
  </si>
  <si>
    <t>INE419M01027</t>
  </si>
  <si>
    <t>CAHS01</t>
  </si>
  <si>
    <t>Canara HSBC Life Insurance company Ltd</t>
  </si>
  <si>
    <t>INE01TY01017</t>
  </si>
  <si>
    <t>SOBA02</t>
  </si>
  <si>
    <t>The South Indian Bank Limited</t>
  </si>
  <si>
    <t>INE683A01023</t>
  </si>
  <si>
    <t>TCAL01</t>
  </si>
  <si>
    <t>Tata Capital Limited</t>
  </si>
  <si>
    <t>INE976I01016</t>
  </si>
  <si>
    <t>SECH03</t>
  </si>
  <si>
    <t>UPL Limited</t>
  </si>
  <si>
    <t>INE628A01036</t>
  </si>
  <si>
    <t>Fertilizers &amp; Agrochemicals</t>
  </si>
  <si>
    <t>NCCL01</t>
  </si>
  <si>
    <t>Nuvoco Vistas Corporation Limited</t>
  </si>
  <si>
    <t>INE118D01016</t>
  </si>
  <si>
    <t>Cement &amp; Cement Products</t>
  </si>
  <si>
    <t>RAKH02</t>
  </si>
  <si>
    <t>Radico Khaitan Limited</t>
  </si>
  <si>
    <t>INE944F01028</t>
  </si>
  <si>
    <t>Beverages</t>
  </si>
  <si>
    <t>KMCH01</t>
  </si>
  <si>
    <t>Kovai Medical Center and Hospital Limited</t>
  </si>
  <si>
    <t>INE177F01017</t>
  </si>
  <si>
    <t>Healthcare Services</t>
  </si>
  <si>
    <t>BBGV02</t>
  </si>
  <si>
    <t>Billionbrains Garage Ventures Ltd</t>
  </si>
  <si>
    <t>INE0HOQ01053</t>
  </si>
  <si>
    <t>CART01</t>
  </si>
  <si>
    <t>Cartrade Tech Limited</t>
  </si>
  <si>
    <t>INE290S01011</t>
  </si>
  <si>
    <t>RACO01</t>
  </si>
  <si>
    <t>Racl Geartech Limited</t>
  </si>
  <si>
    <t>INE704B01017</t>
  </si>
  <si>
    <t>TBOT01</t>
  </si>
  <si>
    <t>TBO Tek Limited</t>
  </si>
  <si>
    <t>INE673O01025</t>
  </si>
  <si>
    <t>Leisure Services</t>
  </si>
  <si>
    <t>INFS02</t>
  </si>
  <si>
    <t>Infosys Limited</t>
  </si>
  <si>
    <t>INE009A01021</t>
  </si>
  <si>
    <t>SAMB01</t>
  </si>
  <si>
    <t>Sambhv Steel Tubes Ltd</t>
  </si>
  <si>
    <t>INE12NJ01018</t>
  </si>
  <si>
    <t>WKIP01</t>
  </si>
  <si>
    <t>Wakefit Innovations Limited</t>
  </si>
  <si>
    <t>INE0E7301029</t>
  </si>
  <si>
    <t>Consumer Durables</t>
  </si>
  <si>
    <t>NECH01</t>
  </si>
  <si>
    <t>Neogen Chemicals Limited</t>
  </si>
  <si>
    <t>INE136S01016</t>
  </si>
  <si>
    <t>ACHI01</t>
  </si>
  <si>
    <t>Archean Chemical Industries Limited</t>
  </si>
  <si>
    <t>INE128X01021</t>
  </si>
  <si>
    <t>AZAD01</t>
  </si>
  <si>
    <t>Azad Engineering Ltd</t>
  </si>
  <si>
    <t>INE02IJ01035</t>
  </si>
  <si>
    <t>SMCL03</t>
  </si>
  <si>
    <t>Shilpa Medicare Limited</t>
  </si>
  <si>
    <t>INE790G01031</t>
  </si>
  <si>
    <t>DCIL01</t>
  </si>
  <si>
    <t>Dredging Corporation of India Limited</t>
  </si>
  <si>
    <t>INE506A01018</t>
  </si>
  <si>
    <t>Engineering Services</t>
  </si>
  <si>
    <t>AJAX01</t>
  </si>
  <si>
    <t>Ajax Engineering Limited</t>
  </si>
  <si>
    <t>INE274Y01021</t>
  </si>
  <si>
    <t>Agricultural, Commercial &amp; Construction Vehicles</t>
  </si>
  <si>
    <t>IGLY02</t>
  </si>
  <si>
    <t>India Glycols Limited</t>
  </si>
  <si>
    <t>INE560A01023</t>
  </si>
  <si>
    <t>DEFE01</t>
  </si>
  <si>
    <t>Deepak Fertilizers and Petrochemicals Corporation Limited</t>
  </si>
  <si>
    <t>INE501A01019</t>
  </si>
  <si>
    <t>YANI01</t>
  </si>
  <si>
    <t>Yasho Industries Limited</t>
  </si>
  <si>
    <t>INE616Z01012</t>
  </si>
  <si>
    <t>USFI01</t>
  </si>
  <si>
    <t>Utkarsh Small Finance Bank Ltd</t>
  </si>
  <si>
    <t>INE735W01017</t>
  </si>
  <si>
    <t>EPTL01</t>
  </si>
  <si>
    <t>Epack Prefab Technologies Limited</t>
  </si>
  <si>
    <t>INE0MLS01022</t>
  </si>
  <si>
    <t>CKIL01</t>
  </si>
  <si>
    <t>Cigniti Technologies Limited</t>
  </si>
  <si>
    <t>INE675C01017</t>
  </si>
  <si>
    <t>IT - Services</t>
  </si>
  <si>
    <t>IIBL01</t>
  </si>
  <si>
    <t>IndusInd Bank Limited</t>
  </si>
  <si>
    <t>INE095A01012</t>
  </si>
  <si>
    <t>ASPA02</t>
  </si>
  <si>
    <t>Asian Paints Limited</t>
  </si>
  <si>
    <t>INE021A01026</t>
  </si>
  <si>
    <t>Sub Total</t>
  </si>
  <si>
    <t>(c) Unlisted</t>
  </si>
  <si>
    <t>NIL</t>
  </si>
  <si>
    <t>Total</t>
  </si>
  <si>
    <t>Money Market Instruments</t>
  </si>
  <si>
    <t>Treasury Bill</t>
  </si>
  <si>
    <t>TBIL2487</t>
  </si>
  <si>
    <t>364 Days Tbill (MD 19/03/2026)</t>
  </si>
  <si>
    <t>IN002024Z495</t>
  </si>
  <si>
    <t>Sovereign</t>
  </si>
  <si>
    <t>TBIL2554</t>
  </si>
  <si>
    <t>182 Days Tbill (MD 27/02/2026)</t>
  </si>
  <si>
    <t>IN002025Y222</t>
  </si>
  <si>
    <t>TBIL2575</t>
  </si>
  <si>
    <t>182 Days Tbill (MD 16/04/2026)</t>
  </si>
  <si>
    <t>IN002025Y297</t>
  </si>
  <si>
    <t>TBIL2468</t>
  </si>
  <si>
    <t>364 Days Tbill (MD 05/02/2026)</t>
  </si>
  <si>
    <t>IN002024Z438</t>
  </si>
  <si>
    <t>TBIL2594</t>
  </si>
  <si>
    <t>91 Days Tbill (MD 26/02/2026)</t>
  </si>
  <si>
    <t>IN002025X356</t>
  </si>
  <si>
    <t>TBIL2552</t>
  </si>
  <si>
    <t>182 Days Tbill (MD 19/02/2026)</t>
  </si>
  <si>
    <t>IN002025Y214</t>
  </si>
  <si>
    <t>TBIL2562</t>
  </si>
  <si>
    <t>182 Days Tbill (MD 19/03/2026)</t>
  </si>
  <si>
    <t>IN002025Y255</t>
  </si>
  <si>
    <t>TBIL2591</t>
  </si>
  <si>
    <t>91 Days Tbill (MD 19/02/2026)</t>
  </si>
  <si>
    <t>IN002025X349</t>
  </si>
  <si>
    <t>TBIL2589</t>
  </si>
  <si>
    <t>182 Days Tbill (MD 09/04/2026)</t>
  </si>
  <si>
    <t>IN002025Y289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</si>
  <si>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</si>
  <si>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</si>
  <si>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</si>
  <si>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</si>
  <si>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</si>
  <si>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</si>
  <si>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</si>
  <si>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</si>
  <si>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</si>
  <si>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</si>
  <si>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</si>
  <si>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~ YTM as on January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</si>
</sst>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9016813" cy="2234453"/>
    <xdr:pic>
      <xdr:nvPicPr>
        <xdr:cNvPr id="2" name="Picture 1">
          <a:extLst>
            <a:ext uri="{FF2B5EF4-FFF2-40B4-BE49-F238E27FC236}">
              <a16:creationId xmlns:a16="http://schemas.microsoft.com/office/drawing/2014/main" id="{D64753F7-CC33-467A-9479-F1684E25B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68825" y="523875"/>
          <a:ext cx="9016813" cy="223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an%202026/Monthly%20Portfolio%2031-01-2026.xls" TargetMode="External"/><Relationship Id="rId1" Type="http://schemas.openxmlformats.org/officeDocument/2006/relationships/externalLinkPath" Target="Monthly%20Portfolio%2031-01-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F2298-C33B-455C-8937-366551CCC7CB}">
  <sheetPr codeName="Sheet17">
    <outlinePr summaryBelow="0"/>
  </sheetPr>
  <dimension ref="A1:J189"/>
  <sheetViews>
    <sheetView tabSelected="1" topLeftCell="F1" workbookViewId="0">
      <selection activeCell="L4" sqref="L4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1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921188</v>
      </c>
      <c r="G7" s="16">
        <v>8560.14</v>
      </c>
      <c r="H7" s="17">
        <v>6.1800000000000001E-2</v>
      </c>
      <c r="I7" s="18"/>
      <c r="J7" s="1"/>
    </row>
    <row r="8" spans="1:10" ht="13.1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588297</v>
      </c>
      <c r="G8" s="16">
        <v>7971.42</v>
      </c>
      <c r="H8" s="17">
        <v>5.7599999999999998E-2</v>
      </c>
      <c r="I8" s="18"/>
      <c r="J8" s="1"/>
    </row>
    <row r="9" spans="1:10" ht="13.15" customHeight="1">
      <c r="A9" s="13" t="s">
        <v>19</v>
      </c>
      <c r="B9" s="14" t="s">
        <v>20</v>
      </c>
      <c r="C9" s="14"/>
      <c r="D9" s="11" t="s">
        <v>21</v>
      </c>
      <c r="E9" s="11" t="s">
        <v>15</v>
      </c>
      <c r="F9" s="15">
        <v>580751</v>
      </c>
      <c r="G9" s="16">
        <v>6255.56</v>
      </c>
      <c r="H9" s="17">
        <v>4.5199999999999997E-2</v>
      </c>
      <c r="I9" s="18"/>
      <c r="J9" s="1"/>
    </row>
    <row r="10" spans="1:10" ht="13.15" customHeight="1">
      <c r="A10" s="13" t="s">
        <v>22</v>
      </c>
      <c r="B10" s="14" t="s">
        <v>23</v>
      </c>
      <c r="C10" s="14"/>
      <c r="D10" s="11" t="s">
        <v>24</v>
      </c>
      <c r="E10" s="11" t="s">
        <v>25</v>
      </c>
      <c r="F10" s="15">
        <v>307743</v>
      </c>
      <c r="G10" s="16">
        <v>6058.54</v>
      </c>
      <c r="H10" s="17">
        <v>4.3700000000000003E-2</v>
      </c>
      <c r="I10" s="18"/>
      <c r="J10" s="1"/>
    </row>
    <row r="11" spans="1:10" ht="13.15" customHeight="1">
      <c r="A11" s="13" t="s">
        <v>26</v>
      </c>
      <c r="B11" s="14" t="s">
        <v>27</v>
      </c>
      <c r="C11" s="14"/>
      <c r="D11" s="11" t="s">
        <v>28</v>
      </c>
      <c r="E11" s="11" t="s">
        <v>29</v>
      </c>
      <c r="F11" s="15">
        <v>245022</v>
      </c>
      <c r="G11" s="16">
        <v>4580.6899999999996</v>
      </c>
      <c r="H11" s="17">
        <v>3.3099999999999997E-2</v>
      </c>
      <c r="I11" s="18"/>
      <c r="J11" s="1"/>
    </row>
    <row r="12" spans="1:10" ht="13.15" customHeight="1">
      <c r="A12" s="13" t="s">
        <v>30</v>
      </c>
      <c r="B12" s="14" t="s">
        <v>31</v>
      </c>
      <c r="C12" s="14"/>
      <c r="D12" s="11" t="s">
        <v>32</v>
      </c>
      <c r="E12" s="11" t="s">
        <v>33</v>
      </c>
      <c r="F12" s="15">
        <v>106356</v>
      </c>
      <c r="G12" s="16">
        <v>3649.93</v>
      </c>
      <c r="H12" s="17">
        <v>2.64E-2</v>
      </c>
      <c r="I12" s="18"/>
      <c r="J12" s="1"/>
    </row>
    <row r="13" spans="1:10" ht="13.15" customHeight="1">
      <c r="A13" s="13" t="s">
        <v>34</v>
      </c>
      <c r="B13" s="14" t="s">
        <v>35</v>
      </c>
      <c r="C13" s="14"/>
      <c r="D13" s="11" t="s">
        <v>36</v>
      </c>
      <c r="E13" s="11" t="s">
        <v>37</v>
      </c>
      <c r="F13" s="15">
        <v>734323</v>
      </c>
      <c r="G13" s="16">
        <v>3297.11</v>
      </c>
      <c r="H13" s="17">
        <v>2.3800000000000002E-2</v>
      </c>
      <c r="I13" s="18"/>
      <c r="J13" s="1"/>
    </row>
    <row r="14" spans="1:10" ht="13.15" customHeight="1">
      <c r="A14" s="13" t="s">
        <v>38</v>
      </c>
      <c r="B14" s="14" t="s">
        <v>39</v>
      </c>
      <c r="C14" s="14"/>
      <c r="D14" s="11" t="s">
        <v>40</v>
      </c>
      <c r="E14" s="11" t="s">
        <v>41</v>
      </c>
      <c r="F14" s="15">
        <v>438511</v>
      </c>
      <c r="G14" s="16">
        <v>2988.67</v>
      </c>
      <c r="H14" s="17">
        <v>2.1600000000000001E-2</v>
      </c>
      <c r="I14" s="18"/>
      <c r="J14" s="1"/>
    </row>
    <row r="15" spans="1:10" ht="13.15" customHeight="1">
      <c r="A15" s="13" t="s">
        <v>42</v>
      </c>
      <c r="B15" s="14" t="s">
        <v>43</v>
      </c>
      <c r="C15" s="14"/>
      <c r="D15" s="11" t="s">
        <v>44</v>
      </c>
      <c r="E15" s="11" t="s">
        <v>45</v>
      </c>
      <c r="F15" s="15">
        <v>206697</v>
      </c>
      <c r="G15" s="16">
        <v>2884.25</v>
      </c>
      <c r="H15" s="17">
        <v>2.0799999999999999E-2</v>
      </c>
      <c r="I15" s="18"/>
      <c r="J15" s="1"/>
    </row>
    <row r="16" spans="1:10" ht="13.15" customHeight="1">
      <c r="A16" s="13" t="s">
        <v>46</v>
      </c>
      <c r="B16" s="14" t="s">
        <v>47</v>
      </c>
      <c r="C16" s="14"/>
      <c r="D16" s="11" t="s">
        <v>48</v>
      </c>
      <c r="E16" s="11" t="s">
        <v>49</v>
      </c>
      <c r="F16" s="15">
        <v>190981</v>
      </c>
      <c r="G16" s="16">
        <v>2711.55</v>
      </c>
      <c r="H16" s="17">
        <v>1.9599999999999999E-2</v>
      </c>
      <c r="I16" s="18"/>
      <c r="J16" s="1"/>
    </row>
    <row r="17" spans="1:10" ht="13.1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80157</v>
      </c>
      <c r="G17" s="16">
        <v>2589.31</v>
      </c>
      <c r="H17" s="17">
        <v>1.8700000000000001E-2</v>
      </c>
      <c r="I17" s="18"/>
      <c r="J17" s="1"/>
    </row>
    <row r="18" spans="1:10" ht="13.1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100245</v>
      </c>
      <c r="G18" s="16">
        <v>2534.19</v>
      </c>
      <c r="H18" s="17">
        <v>1.83E-2</v>
      </c>
      <c r="I18" s="18"/>
      <c r="J18" s="1"/>
    </row>
    <row r="19" spans="1:10" ht="13.1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40065</v>
      </c>
      <c r="G19" s="16">
        <v>2417.92</v>
      </c>
      <c r="H19" s="17">
        <v>1.7500000000000002E-2</v>
      </c>
      <c r="I19" s="18"/>
      <c r="J19" s="1"/>
    </row>
    <row r="20" spans="1:10" ht="13.15" customHeight="1">
      <c r="A20" s="13" t="s">
        <v>62</v>
      </c>
      <c r="B20" s="14" t="s">
        <v>63</v>
      </c>
      <c r="C20" s="14"/>
      <c r="D20" s="11" t="s">
        <v>64</v>
      </c>
      <c r="E20" s="11" t="s">
        <v>65</v>
      </c>
      <c r="F20" s="15">
        <v>1560101</v>
      </c>
      <c r="G20" s="16">
        <v>2408.17</v>
      </c>
      <c r="H20" s="17">
        <v>1.7399999999999999E-2</v>
      </c>
      <c r="I20" s="18"/>
      <c r="J20" s="1"/>
    </row>
    <row r="21" spans="1:10" ht="13.15" customHeight="1">
      <c r="A21" s="13" t="s">
        <v>66</v>
      </c>
      <c r="B21" s="14" t="s">
        <v>67</v>
      </c>
      <c r="C21" s="14"/>
      <c r="D21" s="11" t="s">
        <v>68</v>
      </c>
      <c r="E21" s="11" t="s">
        <v>69</v>
      </c>
      <c r="F21" s="15">
        <v>236174</v>
      </c>
      <c r="G21" s="16">
        <v>2408.9699999999998</v>
      </c>
      <c r="H21" s="17">
        <v>1.7399999999999999E-2</v>
      </c>
      <c r="I21" s="18"/>
      <c r="J21" s="1"/>
    </row>
    <row r="22" spans="1:10" ht="13.15" customHeight="1">
      <c r="A22" s="13" t="s">
        <v>70</v>
      </c>
      <c r="B22" s="14" t="s">
        <v>71</v>
      </c>
      <c r="C22" s="14"/>
      <c r="D22" s="11" t="s">
        <v>72</v>
      </c>
      <c r="E22" s="11" t="s">
        <v>69</v>
      </c>
      <c r="F22" s="15">
        <v>62641</v>
      </c>
      <c r="G22" s="16">
        <v>2398.9</v>
      </c>
      <c r="H22" s="17">
        <v>1.7299999999999999E-2</v>
      </c>
      <c r="I22" s="18"/>
      <c r="J22" s="1"/>
    </row>
    <row r="23" spans="1:10" ht="13.15" customHeight="1">
      <c r="A23" s="13" t="s">
        <v>73</v>
      </c>
      <c r="B23" s="14" t="s">
        <v>74</v>
      </c>
      <c r="C23" s="14"/>
      <c r="D23" s="11" t="s">
        <v>75</v>
      </c>
      <c r="E23" s="11" t="s">
        <v>57</v>
      </c>
      <c r="F23" s="15">
        <v>82062</v>
      </c>
      <c r="G23" s="16">
        <v>2295.27</v>
      </c>
      <c r="H23" s="17">
        <v>1.66E-2</v>
      </c>
      <c r="I23" s="18"/>
      <c r="J23" s="1"/>
    </row>
    <row r="24" spans="1:10" ht="13.15" customHeight="1">
      <c r="A24" s="13" t="s">
        <v>76</v>
      </c>
      <c r="B24" s="14" t="s">
        <v>77</v>
      </c>
      <c r="C24" s="14"/>
      <c r="D24" s="11" t="s">
        <v>78</v>
      </c>
      <c r="E24" s="11" t="s">
        <v>57</v>
      </c>
      <c r="F24" s="15">
        <v>73181</v>
      </c>
      <c r="G24" s="16">
        <v>2175.38</v>
      </c>
      <c r="H24" s="17">
        <v>1.5699999999999999E-2</v>
      </c>
      <c r="I24" s="18"/>
      <c r="J24" s="1"/>
    </row>
    <row r="25" spans="1:10" ht="13.15" customHeight="1">
      <c r="A25" s="13" t="s">
        <v>79</v>
      </c>
      <c r="B25" s="14" t="s">
        <v>80</v>
      </c>
      <c r="C25" s="14"/>
      <c r="D25" s="11" t="s">
        <v>81</v>
      </c>
      <c r="E25" s="11" t="s">
        <v>82</v>
      </c>
      <c r="F25" s="15">
        <v>35606</v>
      </c>
      <c r="G25" s="16">
        <v>2171.61</v>
      </c>
      <c r="H25" s="17">
        <v>1.5699999999999999E-2</v>
      </c>
      <c r="I25" s="18"/>
      <c r="J25" s="1"/>
    </row>
    <row r="26" spans="1:10" ht="13.15" customHeight="1">
      <c r="A26" s="13" t="s">
        <v>83</v>
      </c>
      <c r="B26" s="14" t="s">
        <v>84</v>
      </c>
      <c r="C26" s="14"/>
      <c r="D26" s="11" t="s">
        <v>85</v>
      </c>
      <c r="E26" s="11" t="s">
        <v>15</v>
      </c>
      <c r="F26" s="15">
        <v>716778</v>
      </c>
      <c r="G26" s="16">
        <v>2162.88</v>
      </c>
      <c r="H26" s="17">
        <v>1.5599999999999999E-2</v>
      </c>
      <c r="I26" s="18"/>
      <c r="J26" s="1"/>
    </row>
    <row r="27" spans="1:10" ht="13.15" customHeight="1">
      <c r="A27" s="13" t="s">
        <v>86</v>
      </c>
      <c r="B27" s="14" t="s">
        <v>87</v>
      </c>
      <c r="C27" s="14"/>
      <c r="D27" s="11" t="s">
        <v>88</v>
      </c>
      <c r="E27" s="11" t="s">
        <v>33</v>
      </c>
      <c r="F27" s="15">
        <v>14313</v>
      </c>
      <c r="G27" s="16">
        <v>2089.5500000000002</v>
      </c>
      <c r="H27" s="17">
        <v>1.5100000000000001E-2</v>
      </c>
      <c r="I27" s="18"/>
      <c r="J27" s="1"/>
    </row>
    <row r="28" spans="1:10" ht="13.15" customHeight="1">
      <c r="A28" s="13" t="s">
        <v>89</v>
      </c>
      <c r="B28" s="14" t="s">
        <v>90</v>
      </c>
      <c r="C28" s="14"/>
      <c r="D28" s="11" t="s">
        <v>91</v>
      </c>
      <c r="E28" s="11" t="s">
        <v>92</v>
      </c>
      <c r="F28" s="15">
        <v>213154</v>
      </c>
      <c r="G28" s="16">
        <v>1967.62</v>
      </c>
      <c r="H28" s="17">
        <v>1.4200000000000001E-2</v>
      </c>
      <c r="I28" s="18"/>
      <c r="J28" s="1"/>
    </row>
    <row r="29" spans="1:10" ht="13.15" customHeight="1">
      <c r="A29" s="13" t="s">
        <v>93</v>
      </c>
      <c r="B29" s="14" t="s">
        <v>94</v>
      </c>
      <c r="C29" s="14"/>
      <c r="D29" s="11" t="s">
        <v>95</v>
      </c>
      <c r="E29" s="11" t="s">
        <v>37</v>
      </c>
      <c r="F29" s="15">
        <v>42409</v>
      </c>
      <c r="G29" s="16">
        <v>1959.04</v>
      </c>
      <c r="H29" s="17">
        <v>1.41E-2</v>
      </c>
      <c r="I29" s="18"/>
      <c r="J29" s="1"/>
    </row>
    <row r="30" spans="1:10" ht="13.15" customHeight="1">
      <c r="A30" s="13" t="s">
        <v>96</v>
      </c>
      <c r="B30" s="14" t="s">
        <v>97</v>
      </c>
      <c r="C30" s="14"/>
      <c r="D30" s="11" t="s">
        <v>98</v>
      </c>
      <c r="E30" s="11" t="s">
        <v>99</v>
      </c>
      <c r="F30" s="15">
        <v>121287</v>
      </c>
      <c r="G30" s="16">
        <v>1957.09</v>
      </c>
      <c r="H30" s="17">
        <v>1.41E-2</v>
      </c>
      <c r="I30" s="18"/>
      <c r="J30" s="1"/>
    </row>
    <row r="31" spans="1:10" ht="13.15" customHeight="1">
      <c r="A31" s="13" t="s">
        <v>100</v>
      </c>
      <c r="B31" s="14" t="s">
        <v>101</v>
      </c>
      <c r="C31" s="14"/>
      <c r="D31" s="11" t="s">
        <v>102</v>
      </c>
      <c r="E31" s="11" t="s">
        <v>69</v>
      </c>
      <c r="F31" s="15">
        <v>463689</v>
      </c>
      <c r="G31" s="16">
        <v>1874.46</v>
      </c>
      <c r="H31" s="17">
        <v>1.35E-2</v>
      </c>
      <c r="I31" s="18"/>
      <c r="J31" s="1"/>
    </row>
    <row r="32" spans="1:10" ht="13.15" customHeight="1">
      <c r="A32" s="13" t="s">
        <v>103</v>
      </c>
      <c r="B32" s="14" t="s">
        <v>104</v>
      </c>
      <c r="C32" s="14"/>
      <c r="D32" s="11" t="s">
        <v>105</v>
      </c>
      <c r="E32" s="11" t="s">
        <v>106</v>
      </c>
      <c r="F32" s="15">
        <v>38994</v>
      </c>
      <c r="G32" s="16">
        <v>1813.69</v>
      </c>
      <c r="H32" s="17">
        <v>1.3100000000000001E-2</v>
      </c>
      <c r="I32" s="18"/>
      <c r="J32" s="1"/>
    </row>
    <row r="33" spans="1:10" ht="13.15" customHeight="1">
      <c r="A33" s="13" t="s">
        <v>107</v>
      </c>
      <c r="B33" s="14" t="s">
        <v>108</v>
      </c>
      <c r="C33" s="14"/>
      <c r="D33" s="11" t="s">
        <v>109</v>
      </c>
      <c r="E33" s="11" t="s">
        <v>110</v>
      </c>
      <c r="F33" s="15">
        <v>145119</v>
      </c>
      <c r="G33" s="16">
        <v>1813.12</v>
      </c>
      <c r="H33" s="17">
        <v>1.3100000000000001E-2</v>
      </c>
      <c r="I33" s="18"/>
      <c r="J33" s="1"/>
    </row>
    <row r="34" spans="1:10" ht="13.15" customHeight="1">
      <c r="A34" s="13" t="s">
        <v>111</v>
      </c>
      <c r="B34" s="14" t="s">
        <v>112</v>
      </c>
      <c r="C34" s="14"/>
      <c r="D34" s="11" t="s">
        <v>113</v>
      </c>
      <c r="E34" s="11" t="s">
        <v>65</v>
      </c>
      <c r="F34" s="15">
        <v>407868</v>
      </c>
      <c r="G34" s="16">
        <v>1771.21</v>
      </c>
      <c r="H34" s="17">
        <v>1.2800000000000001E-2</v>
      </c>
      <c r="I34" s="18"/>
      <c r="J34" s="1"/>
    </row>
    <row r="35" spans="1:10" ht="13.15" customHeight="1">
      <c r="A35" s="13" t="s">
        <v>114</v>
      </c>
      <c r="B35" s="14" t="s">
        <v>115</v>
      </c>
      <c r="C35" s="14"/>
      <c r="D35" s="11" t="s">
        <v>116</v>
      </c>
      <c r="E35" s="11" t="s">
        <v>37</v>
      </c>
      <c r="F35" s="15">
        <v>57247</v>
      </c>
      <c r="G35" s="16">
        <v>1678.2</v>
      </c>
      <c r="H35" s="17">
        <v>1.21E-2</v>
      </c>
      <c r="I35" s="18"/>
      <c r="J35" s="1"/>
    </row>
    <row r="36" spans="1:10" ht="13.15" customHeight="1">
      <c r="A36" s="13" t="s">
        <v>117</v>
      </c>
      <c r="B36" s="14" t="s">
        <v>118</v>
      </c>
      <c r="C36" s="14"/>
      <c r="D36" s="11" t="s">
        <v>119</v>
      </c>
      <c r="E36" s="11" t="s">
        <v>33</v>
      </c>
      <c r="F36" s="15">
        <v>45170</v>
      </c>
      <c r="G36" s="16">
        <v>1661.08</v>
      </c>
      <c r="H36" s="17">
        <v>1.2E-2</v>
      </c>
      <c r="I36" s="18"/>
      <c r="J36" s="1"/>
    </row>
    <row r="37" spans="1:10" ht="13.15" customHeight="1">
      <c r="A37" s="13" t="s">
        <v>120</v>
      </c>
      <c r="B37" s="14" t="s">
        <v>121</v>
      </c>
      <c r="C37" s="14"/>
      <c r="D37" s="11" t="s">
        <v>122</v>
      </c>
      <c r="E37" s="11" t="s">
        <v>57</v>
      </c>
      <c r="F37" s="15">
        <v>100035</v>
      </c>
      <c r="G37" s="16">
        <v>1602.96</v>
      </c>
      <c r="H37" s="17">
        <v>1.1599999999999999E-2</v>
      </c>
      <c r="I37" s="18"/>
      <c r="J37" s="1"/>
    </row>
    <row r="38" spans="1:10" ht="13.15" customHeight="1">
      <c r="A38" s="13" t="s">
        <v>123</v>
      </c>
      <c r="B38" s="14" t="s">
        <v>124</v>
      </c>
      <c r="C38" s="14"/>
      <c r="D38" s="11" t="s">
        <v>125</v>
      </c>
      <c r="E38" s="11" t="s">
        <v>126</v>
      </c>
      <c r="F38" s="15">
        <v>113957</v>
      </c>
      <c r="G38" s="16">
        <v>1574.89</v>
      </c>
      <c r="H38" s="17">
        <v>1.14E-2</v>
      </c>
      <c r="I38" s="18"/>
      <c r="J38" s="1"/>
    </row>
    <row r="39" spans="1:10" ht="13.15" customHeight="1">
      <c r="A39" s="13" t="s">
        <v>127</v>
      </c>
      <c r="B39" s="14" t="s">
        <v>128</v>
      </c>
      <c r="C39" s="14"/>
      <c r="D39" s="11" t="s">
        <v>129</v>
      </c>
      <c r="E39" s="11" t="s">
        <v>61</v>
      </c>
      <c r="F39" s="15">
        <v>91330</v>
      </c>
      <c r="G39" s="16">
        <v>1510.42</v>
      </c>
      <c r="H39" s="17">
        <v>1.09E-2</v>
      </c>
      <c r="I39" s="18"/>
      <c r="J39" s="1"/>
    </row>
    <row r="40" spans="1:10" ht="13.15" customHeight="1">
      <c r="A40" s="13" t="s">
        <v>130</v>
      </c>
      <c r="B40" s="14" t="s">
        <v>131</v>
      </c>
      <c r="C40" s="14"/>
      <c r="D40" s="11" t="s">
        <v>132</v>
      </c>
      <c r="E40" s="11" t="s">
        <v>133</v>
      </c>
      <c r="F40" s="15">
        <v>108292</v>
      </c>
      <c r="G40" s="16">
        <v>1459.88</v>
      </c>
      <c r="H40" s="17">
        <v>1.0500000000000001E-2</v>
      </c>
      <c r="I40" s="18"/>
      <c r="J40" s="1"/>
    </row>
    <row r="41" spans="1:10" ht="13.15" customHeight="1">
      <c r="A41" s="13" t="s">
        <v>134</v>
      </c>
      <c r="B41" s="14" t="s">
        <v>135</v>
      </c>
      <c r="C41" s="14"/>
      <c r="D41" s="11" t="s">
        <v>136</v>
      </c>
      <c r="E41" s="11" t="s">
        <v>29</v>
      </c>
      <c r="F41" s="15">
        <v>10715</v>
      </c>
      <c r="G41" s="16">
        <v>1419.84</v>
      </c>
      <c r="H41" s="17">
        <v>1.03E-2</v>
      </c>
      <c r="I41" s="18"/>
      <c r="J41" s="1"/>
    </row>
    <row r="42" spans="1:10" ht="13.15" customHeight="1">
      <c r="A42" s="13" t="s">
        <v>137</v>
      </c>
      <c r="B42" s="14" t="s">
        <v>138</v>
      </c>
      <c r="C42" s="14"/>
      <c r="D42" s="11" t="s">
        <v>139</v>
      </c>
      <c r="E42" s="11" t="s">
        <v>69</v>
      </c>
      <c r="F42" s="15">
        <v>288044</v>
      </c>
      <c r="G42" s="16">
        <v>1415.16</v>
      </c>
      <c r="H42" s="17">
        <v>1.0200000000000001E-2</v>
      </c>
      <c r="I42" s="18"/>
      <c r="J42" s="1"/>
    </row>
    <row r="43" spans="1:10" ht="13.15" customHeight="1">
      <c r="A43" s="13" t="s">
        <v>140</v>
      </c>
      <c r="B43" s="14" t="s">
        <v>141</v>
      </c>
      <c r="C43" s="14"/>
      <c r="D43" s="11" t="s">
        <v>142</v>
      </c>
      <c r="E43" s="11" t="s">
        <v>15</v>
      </c>
      <c r="F43" s="15">
        <v>464048</v>
      </c>
      <c r="G43" s="16">
        <v>1398.64</v>
      </c>
      <c r="H43" s="17">
        <v>1.01E-2</v>
      </c>
      <c r="I43" s="18"/>
      <c r="J43" s="1"/>
    </row>
    <row r="44" spans="1:10" ht="13.15" customHeight="1">
      <c r="A44" s="13" t="s">
        <v>143</v>
      </c>
      <c r="B44" s="14" t="s">
        <v>144</v>
      </c>
      <c r="C44" s="14"/>
      <c r="D44" s="11" t="s">
        <v>145</v>
      </c>
      <c r="E44" s="11" t="s">
        <v>146</v>
      </c>
      <c r="F44" s="15">
        <v>118400</v>
      </c>
      <c r="G44" s="16">
        <v>1390.02</v>
      </c>
      <c r="H44" s="17">
        <v>0.01</v>
      </c>
      <c r="I44" s="18"/>
      <c r="J44" s="1"/>
    </row>
    <row r="45" spans="1:10" ht="13.15" customHeight="1">
      <c r="A45" s="13" t="s">
        <v>147</v>
      </c>
      <c r="B45" s="14" t="s">
        <v>148</v>
      </c>
      <c r="C45" s="14"/>
      <c r="D45" s="11" t="s">
        <v>149</v>
      </c>
      <c r="E45" s="11" t="s">
        <v>65</v>
      </c>
      <c r="F45" s="15">
        <v>392663</v>
      </c>
      <c r="G45" s="16">
        <v>1385.79</v>
      </c>
      <c r="H45" s="17">
        <v>0.01</v>
      </c>
      <c r="I45" s="18"/>
      <c r="J45" s="1"/>
    </row>
    <row r="46" spans="1:10" ht="13.15" customHeight="1">
      <c r="A46" s="13" t="s">
        <v>150</v>
      </c>
      <c r="B46" s="14" t="s">
        <v>151</v>
      </c>
      <c r="C46" s="14"/>
      <c r="D46" s="11" t="s">
        <v>152</v>
      </c>
      <c r="E46" s="11" t="s">
        <v>133</v>
      </c>
      <c r="F46" s="15">
        <v>249365</v>
      </c>
      <c r="G46" s="16">
        <v>1302.06</v>
      </c>
      <c r="H46" s="17">
        <v>9.4000000000000004E-3</v>
      </c>
      <c r="I46" s="18"/>
      <c r="J46" s="1"/>
    </row>
    <row r="47" spans="1:10" ht="13.15" customHeight="1">
      <c r="A47" s="13" t="s">
        <v>153</v>
      </c>
      <c r="B47" s="14" t="s">
        <v>154</v>
      </c>
      <c r="C47" s="14"/>
      <c r="D47" s="11" t="s">
        <v>155</v>
      </c>
      <c r="E47" s="11" t="s">
        <v>29</v>
      </c>
      <c r="F47" s="15">
        <v>97721</v>
      </c>
      <c r="G47" s="16">
        <v>1259.1400000000001</v>
      </c>
      <c r="H47" s="17">
        <v>9.1000000000000004E-3</v>
      </c>
      <c r="I47" s="18"/>
      <c r="J47" s="1"/>
    </row>
    <row r="48" spans="1:10" ht="13.15" customHeight="1">
      <c r="A48" s="13" t="s">
        <v>156</v>
      </c>
      <c r="B48" s="14" t="s">
        <v>157</v>
      </c>
      <c r="C48" s="14"/>
      <c r="D48" s="11" t="s">
        <v>158</v>
      </c>
      <c r="E48" s="11" t="s">
        <v>61</v>
      </c>
      <c r="F48" s="15">
        <v>289999</v>
      </c>
      <c r="G48" s="16">
        <v>1180.5899999999999</v>
      </c>
      <c r="H48" s="17">
        <v>8.5000000000000006E-3</v>
      </c>
      <c r="I48" s="18"/>
      <c r="J48" s="1"/>
    </row>
    <row r="49" spans="1:10" ht="13.15" customHeight="1">
      <c r="A49" s="13" t="s">
        <v>159</v>
      </c>
      <c r="B49" s="14" t="s">
        <v>160</v>
      </c>
      <c r="C49" s="14"/>
      <c r="D49" s="11" t="s">
        <v>161</v>
      </c>
      <c r="E49" s="11" t="s">
        <v>162</v>
      </c>
      <c r="F49" s="15">
        <v>103643</v>
      </c>
      <c r="G49" s="16">
        <v>1178.94</v>
      </c>
      <c r="H49" s="17">
        <v>8.5000000000000006E-3</v>
      </c>
      <c r="I49" s="18"/>
      <c r="J49" s="1"/>
    </row>
    <row r="50" spans="1:10" ht="13.15" customHeight="1">
      <c r="A50" s="13" t="s">
        <v>163</v>
      </c>
      <c r="B50" s="14" t="s">
        <v>164</v>
      </c>
      <c r="C50" s="14"/>
      <c r="D50" s="11" t="s">
        <v>165</v>
      </c>
      <c r="E50" s="11" t="s">
        <v>53</v>
      </c>
      <c r="F50" s="15">
        <v>144697</v>
      </c>
      <c r="G50" s="16">
        <v>1055.56</v>
      </c>
      <c r="H50" s="17">
        <v>7.6E-3</v>
      </c>
      <c r="I50" s="18"/>
      <c r="J50" s="1"/>
    </row>
    <row r="51" spans="1:10" ht="13.15" customHeight="1">
      <c r="A51" s="13" t="s">
        <v>166</v>
      </c>
      <c r="B51" s="14" t="s">
        <v>167</v>
      </c>
      <c r="C51" s="14"/>
      <c r="D51" s="11" t="s">
        <v>168</v>
      </c>
      <c r="E51" s="11" t="s">
        <v>99</v>
      </c>
      <c r="F51" s="15">
        <v>704884</v>
      </c>
      <c r="G51" s="16">
        <v>1038.51</v>
      </c>
      <c r="H51" s="17">
        <v>7.4999999999999997E-3</v>
      </c>
      <c r="I51" s="18"/>
      <c r="J51" s="1"/>
    </row>
    <row r="52" spans="1:10" ht="13.15" customHeight="1">
      <c r="A52" s="13" t="s">
        <v>169</v>
      </c>
      <c r="B52" s="14" t="s">
        <v>170</v>
      </c>
      <c r="C52" s="14"/>
      <c r="D52" s="11" t="s">
        <v>171</v>
      </c>
      <c r="E52" s="11" t="s">
        <v>15</v>
      </c>
      <c r="F52" s="15">
        <v>2719123</v>
      </c>
      <c r="G52" s="16">
        <v>1021.85</v>
      </c>
      <c r="H52" s="17">
        <v>7.4000000000000003E-3</v>
      </c>
      <c r="I52" s="18"/>
      <c r="J52" s="1"/>
    </row>
    <row r="53" spans="1:10" ht="13.15" customHeight="1">
      <c r="A53" s="13" t="s">
        <v>172</v>
      </c>
      <c r="B53" s="14" t="s">
        <v>173</v>
      </c>
      <c r="C53" s="14"/>
      <c r="D53" s="11" t="s">
        <v>174</v>
      </c>
      <c r="E53" s="11" t="s">
        <v>69</v>
      </c>
      <c r="F53" s="15">
        <v>295429</v>
      </c>
      <c r="G53" s="16">
        <v>1010.66</v>
      </c>
      <c r="H53" s="17">
        <v>7.3000000000000001E-3</v>
      </c>
      <c r="I53" s="18"/>
      <c r="J53" s="1"/>
    </row>
    <row r="54" spans="1:10" ht="13.15" customHeight="1">
      <c r="A54" s="13" t="s">
        <v>175</v>
      </c>
      <c r="B54" s="14" t="s">
        <v>176</v>
      </c>
      <c r="C54" s="14"/>
      <c r="D54" s="11" t="s">
        <v>177</v>
      </c>
      <c r="E54" s="11" t="s">
        <v>178</v>
      </c>
      <c r="F54" s="15">
        <v>142712</v>
      </c>
      <c r="G54" s="16">
        <v>1004.62</v>
      </c>
      <c r="H54" s="17">
        <v>7.3000000000000001E-3</v>
      </c>
      <c r="I54" s="18"/>
      <c r="J54" s="1"/>
    </row>
    <row r="55" spans="1:10" ht="13.15" customHeight="1">
      <c r="A55" s="13" t="s">
        <v>179</v>
      </c>
      <c r="B55" s="14" t="s">
        <v>180</v>
      </c>
      <c r="C55" s="14"/>
      <c r="D55" s="11" t="s">
        <v>181</v>
      </c>
      <c r="E55" s="11" t="s">
        <v>182</v>
      </c>
      <c r="F55" s="15">
        <v>272028</v>
      </c>
      <c r="G55" s="16">
        <v>945.98</v>
      </c>
      <c r="H55" s="17">
        <v>6.7999999999999996E-3</v>
      </c>
      <c r="I55" s="18"/>
      <c r="J55" s="1"/>
    </row>
    <row r="56" spans="1:10" ht="13.15" customHeight="1">
      <c r="A56" s="13" t="s">
        <v>183</v>
      </c>
      <c r="B56" s="14" t="s">
        <v>184</v>
      </c>
      <c r="C56" s="14"/>
      <c r="D56" s="11" t="s">
        <v>185</v>
      </c>
      <c r="E56" s="11" t="s">
        <v>186</v>
      </c>
      <c r="F56" s="15">
        <v>33145</v>
      </c>
      <c r="G56" s="16">
        <v>937.37</v>
      </c>
      <c r="H56" s="17">
        <v>6.7999999999999996E-3</v>
      </c>
      <c r="I56" s="18"/>
      <c r="J56" s="1"/>
    </row>
    <row r="57" spans="1:10" ht="13.15" customHeight="1">
      <c r="A57" s="13" t="s">
        <v>187</v>
      </c>
      <c r="B57" s="14" t="s">
        <v>188</v>
      </c>
      <c r="C57" s="14"/>
      <c r="D57" s="11" t="s">
        <v>189</v>
      </c>
      <c r="E57" s="11" t="s">
        <v>190</v>
      </c>
      <c r="F57" s="15">
        <v>16577</v>
      </c>
      <c r="G57" s="16">
        <v>899.54</v>
      </c>
      <c r="H57" s="17">
        <v>6.4999999999999997E-3</v>
      </c>
      <c r="I57" s="18"/>
      <c r="J57" s="1"/>
    </row>
    <row r="58" spans="1:10" ht="13.15" customHeight="1">
      <c r="A58" s="13" t="s">
        <v>191</v>
      </c>
      <c r="B58" s="14" t="s">
        <v>192</v>
      </c>
      <c r="C58" s="14"/>
      <c r="D58" s="11" t="s">
        <v>193</v>
      </c>
      <c r="E58" s="11" t="s">
        <v>57</v>
      </c>
      <c r="F58" s="15">
        <v>481354</v>
      </c>
      <c r="G58" s="16">
        <v>852.19</v>
      </c>
      <c r="H58" s="17">
        <v>6.1999999999999998E-3</v>
      </c>
      <c r="I58" s="18"/>
      <c r="J58" s="1"/>
    </row>
    <row r="59" spans="1:10" ht="13.15" customHeight="1">
      <c r="A59" s="13" t="s">
        <v>194</v>
      </c>
      <c r="B59" s="14" t="s">
        <v>195</v>
      </c>
      <c r="C59" s="14"/>
      <c r="D59" s="11" t="s">
        <v>196</v>
      </c>
      <c r="E59" s="11" t="s">
        <v>110</v>
      </c>
      <c r="F59" s="15">
        <v>30062</v>
      </c>
      <c r="G59" s="16">
        <v>796.43</v>
      </c>
      <c r="H59" s="17">
        <v>5.7999999999999996E-3</v>
      </c>
      <c r="I59" s="18"/>
      <c r="J59" s="1"/>
    </row>
    <row r="60" spans="1:10" ht="13.15" customHeight="1">
      <c r="A60" s="13" t="s">
        <v>197</v>
      </c>
      <c r="B60" s="14" t="s">
        <v>198</v>
      </c>
      <c r="C60" s="14"/>
      <c r="D60" s="11" t="s">
        <v>199</v>
      </c>
      <c r="E60" s="11" t="s">
        <v>133</v>
      </c>
      <c r="F60" s="15">
        <v>73422</v>
      </c>
      <c r="G60" s="16">
        <v>743.32</v>
      </c>
      <c r="H60" s="17">
        <v>5.4000000000000003E-3</v>
      </c>
      <c r="I60" s="18"/>
      <c r="J60" s="1"/>
    </row>
    <row r="61" spans="1:10" ht="13.15" customHeight="1">
      <c r="A61" s="13" t="s">
        <v>200</v>
      </c>
      <c r="B61" s="14" t="s">
        <v>201</v>
      </c>
      <c r="C61" s="14"/>
      <c r="D61" s="11" t="s">
        <v>202</v>
      </c>
      <c r="E61" s="11" t="s">
        <v>203</v>
      </c>
      <c r="F61" s="15">
        <v>53000</v>
      </c>
      <c r="G61" s="16">
        <v>737.87</v>
      </c>
      <c r="H61" s="17">
        <v>5.3E-3</v>
      </c>
      <c r="I61" s="18"/>
      <c r="J61" s="1"/>
    </row>
    <row r="62" spans="1:10" ht="13.15" customHeight="1">
      <c r="A62" s="13" t="s">
        <v>204</v>
      </c>
      <c r="B62" s="14" t="s">
        <v>205</v>
      </c>
      <c r="C62" s="14"/>
      <c r="D62" s="11" t="s">
        <v>206</v>
      </c>
      <c r="E62" s="11" t="s">
        <v>61</v>
      </c>
      <c r="F62" s="15">
        <v>43896</v>
      </c>
      <c r="G62" s="16">
        <v>720.33</v>
      </c>
      <c r="H62" s="17">
        <v>5.1999999999999998E-3</v>
      </c>
      <c r="I62" s="18"/>
      <c r="J62" s="1"/>
    </row>
    <row r="63" spans="1:10" ht="13.15" customHeight="1">
      <c r="A63" s="13" t="s">
        <v>207</v>
      </c>
      <c r="B63" s="14" t="s">
        <v>208</v>
      </c>
      <c r="C63" s="14"/>
      <c r="D63" s="11" t="s">
        <v>209</v>
      </c>
      <c r="E63" s="11" t="s">
        <v>146</v>
      </c>
      <c r="F63" s="15">
        <v>759673</v>
      </c>
      <c r="G63" s="16">
        <v>688.72</v>
      </c>
      <c r="H63" s="17">
        <v>5.0000000000000001E-3</v>
      </c>
      <c r="I63" s="18"/>
      <c r="J63" s="1"/>
    </row>
    <row r="64" spans="1:10" ht="13.15" customHeight="1">
      <c r="A64" s="13" t="s">
        <v>210</v>
      </c>
      <c r="B64" s="14" t="s">
        <v>211</v>
      </c>
      <c r="C64" s="14"/>
      <c r="D64" s="11" t="s">
        <v>212</v>
      </c>
      <c r="E64" s="11" t="s">
        <v>213</v>
      </c>
      <c r="F64" s="15">
        <v>375053</v>
      </c>
      <c r="G64" s="16">
        <v>683.53</v>
      </c>
      <c r="H64" s="17">
        <v>4.8999999999999998E-3</v>
      </c>
      <c r="I64" s="18"/>
      <c r="J64" s="1"/>
    </row>
    <row r="65" spans="1:10" ht="13.15" customHeight="1">
      <c r="A65" s="13" t="s">
        <v>214</v>
      </c>
      <c r="B65" s="14" t="s">
        <v>215</v>
      </c>
      <c r="C65" s="14"/>
      <c r="D65" s="11" t="s">
        <v>216</v>
      </c>
      <c r="E65" s="11" t="s">
        <v>82</v>
      </c>
      <c r="F65" s="15">
        <v>55648</v>
      </c>
      <c r="G65" s="16">
        <v>676.96</v>
      </c>
      <c r="H65" s="17">
        <v>4.8999999999999998E-3</v>
      </c>
      <c r="I65" s="18"/>
      <c r="J65" s="1"/>
    </row>
    <row r="66" spans="1:10" ht="13.15" customHeight="1">
      <c r="A66" s="13" t="s">
        <v>217</v>
      </c>
      <c r="B66" s="14" t="s">
        <v>218</v>
      </c>
      <c r="C66" s="14"/>
      <c r="D66" s="11" t="s">
        <v>219</v>
      </c>
      <c r="E66" s="11" t="s">
        <v>82</v>
      </c>
      <c r="F66" s="15">
        <v>109494</v>
      </c>
      <c r="G66" s="16">
        <v>619.79</v>
      </c>
      <c r="H66" s="17">
        <v>4.4999999999999997E-3</v>
      </c>
      <c r="I66" s="18"/>
      <c r="J66" s="1"/>
    </row>
    <row r="67" spans="1:10" ht="13.15" customHeight="1">
      <c r="A67" s="13" t="s">
        <v>220</v>
      </c>
      <c r="B67" s="14" t="s">
        <v>221</v>
      </c>
      <c r="C67" s="14"/>
      <c r="D67" s="11" t="s">
        <v>222</v>
      </c>
      <c r="E67" s="11" t="s">
        <v>53</v>
      </c>
      <c r="F67" s="15">
        <v>40335</v>
      </c>
      <c r="G67" s="16">
        <v>594.5</v>
      </c>
      <c r="H67" s="17">
        <v>4.3E-3</v>
      </c>
      <c r="I67" s="18"/>
      <c r="J67" s="1"/>
    </row>
    <row r="68" spans="1:10" ht="13.15" customHeight="1">
      <c r="A68" s="13" t="s">
        <v>223</v>
      </c>
      <c r="B68" s="14" t="s">
        <v>224</v>
      </c>
      <c r="C68" s="14"/>
      <c r="D68" s="11" t="s">
        <v>225</v>
      </c>
      <c r="E68" s="11" t="s">
        <v>29</v>
      </c>
      <c r="F68" s="15">
        <v>205542</v>
      </c>
      <c r="G68" s="16">
        <v>593.91</v>
      </c>
      <c r="H68" s="17">
        <v>4.3E-3</v>
      </c>
      <c r="I68" s="18"/>
      <c r="J68" s="1"/>
    </row>
    <row r="69" spans="1:10" ht="13.15" customHeight="1">
      <c r="A69" s="13" t="s">
        <v>226</v>
      </c>
      <c r="B69" s="14" t="s">
        <v>227</v>
      </c>
      <c r="C69" s="14"/>
      <c r="D69" s="11" t="s">
        <v>228</v>
      </c>
      <c r="E69" s="11" t="s">
        <v>229</v>
      </c>
      <c r="F69" s="15">
        <v>50432</v>
      </c>
      <c r="G69" s="16">
        <v>567.74</v>
      </c>
      <c r="H69" s="17">
        <v>4.1000000000000003E-3</v>
      </c>
      <c r="I69" s="18"/>
      <c r="J69" s="1"/>
    </row>
    <row r="70" spans="1:10" ht="13.15" customHeight="1">
      <c r="A70" s="13" t="s">
        <v>230</v>
      </c>
      <c r="B70" s="14" t="s">
        <v>231</v>
      </c>
      <c r="C70" s="14"/>
      <c r="D70" s="11" t="s">
        <v>232</v>
      </c>
      <c r="E70" s="11" t="s">
        <v>233</v>
      </c>
      <c r="F70" s="15">
        <v>101754</v>
      </c>
      <c r="G70" s="16">
        <v>527.79999999999995</v>
      </c>
      <c r="H70" s="17">
        <v>3.8E-3</v>
      </c>
      <c r="I70" s="18"/>
      <c r="J70" s="1"/>
    </row>
    <row r="71" spans="1:10" ht="13.15" customHeight="1">
      <c r="A71" s="13" t="s">
        <v>234</v>
      </c>
      <c r="B71" s="14" t="s">
        <v>235</v>
      </c>
      <c r="C71" s="14"/>
      <c r="D71" s="11" t="s">
        <v>236</v>
      </c>
      <c r="E71" s="11" t="s">
        <v>186</v>
      </c>
      <c r="F71" s="15">
        <v>59954</v>
      </c>
      <c r="G71" s="16">
        <v>526.88</v>
      </c>
      <c r="H71" s="17">
        <v>3.8E-3</v>
      </c>
      <c r="I71" s="18"/>
      <c r="J71" s="1"/>
    </row>
    <row r="72" spans="1:10" ht="13.15" customHeight="1">
      <c r="A72" s="13" t="s">
        <v>237</v>
      </c>
      <c r="B72" s="14" t="s">
        <v>238</v>
      </c>
      <c r="C72" s="14"/>
      <c r="D72" s="11" t="s">
        <v>239</v>
      </c>
      <c r="E72" s="11" t="s">
        <v>82</v>
      </c>
      <c r="F72" s="15">
        <v>49851</v>
      </c>
      <c r="G72" s="16">
        <v>526.33000000000004</v>
      </c>
      <c r="H72" s="17">
        <v>3.8E-3</v>
      </c>
      <c r="I72" s="18"/>
      <c r="J72" s="1"/>
    </row>
    <row r="73" spans="1:10" ht="13.15" customHeight="1">
      <c r="A73" s="13" t="s">
        <v>240</v>
      </c>
      <c r="B73" s="14" t="s">
        <v>241</v>
      </c>
      <c r="C73" s="14"/>
      <c r="D73" s="11" t="s">
        <v>242</v>
      </c>
      <c r="E73" s="11" t="s">
        <v>82</v>
      </c>
      <c r="F73" s="15">
        <v>38813</v>
      </c>
      <c r="G73" s="16">
        <v>473.64</v>
      </c>
      <c r="H73" s="17">
        <v>3.3999999999999998E-3</v>
      </c>
      <c r="I73" s="18"/>
      <c r="J73" s="1"/>
    </row>
    <row r="74" spans="1:10" ht="13.15" customHeight="1">
      <c r="A74" s="13" t="s">
        <v>243</v>
      </c>
      <c r="B74" s="14" t="s">
        <v>244</v>
      </c>
      <c r="C74" s="14"/>
      <c r="D74" s="11" t="s">
        <v>245</v>
      </c>
      <c r="E74" s="11" t="s">
        <v>15</v>
      </c>
      <c r="F74" s="15">
        <v>3031597</v>
      </c>
      <c r="G74" s="16">
        <v>411.39</v>
      </c>
      <c r="H74" s="17">
        <v>3.0000000000000001E-3</v>
      </c>
      <c r="I74" s="18"/>
      <c r="J74" s="1"/>
    </row>
    <row r="75" spans="1:10" ht="13.15" customHeight="1">
      <c r="A75" s="13" t="s">
        <v>246</v>
      </c>
      <c r="B75" s="14" t="s">
        <v>247</v>
      </c>
      <c r="C75" s="14"/>
      <c r="D75" s="11" t="s">
        <v>248</v>
      </c>
      <c r="E75" s="11" t="s">
        <v>126</v>
      </c>
      <c r="F75" s="15">
        <v>190960</v>
      </c>
      <c r="G75" s="16">
        <v>394.62</v>
      </c>
      <c r="H75" s="17">
        <v>2.8E-3</v>
      </c>
      <c r="I75" s="18"/>
      <c r="J75" s="1"/>
    </row>
    <row r="76" spans="1:10" ht="13.15" customHeight="1">
      <c r="A76" s="13" t="s">
        <v>249</v>
      </c>
      <c r="B76" s="14" t="s">
        <v>250</v>
      </c>
      <c r="C76" s="14"/>
      <c r="D76" s="11" t="s">
        <v>251</v>
      </c>
      <c r="E76" s="11" t="s">
        <v>252</v>
      </c>
      <c r="F76" s="15">
        <v>24162</v>
      </c>
      <c r="G76" s="16">
        <v>390.84</v>
      </c>
      <c r="H76" s="17">
        <v>2.8E-3</v>
      </c>
      <c r="I76" s="18"/>
      <c r="J76" s="1"/>
    </row>
    <row r="77" spans="1:10" ht="13.15" customHeight="1">
      <c r="A77" s="13" t="s">
        <v>253</v>
      </c>
      <c r="B77" s="14" t="s">
        <v>254</v>
      </c>
      <c r="C77" s="14"/>
      <c r="D77" s="11" t="s">
        <v>255</v>
      </c>
      <c r="E77" s="11" t="s">
        <v>15</v>
      </c>
      <c r="F77" s="15">
        <v>20659</v>
      </c>
      <c r="G77" s="16">
        <v>185.13</v>
      </c>
      <c r="H77" s="17">
        <v>1.2999999999999999E-3</v>
      </c>
      <c r="I77" s="18"/>
      <c r="J77" s="1"/>
    </row>
    <row r="78" spans="1:10" ht="13.15" customHeight="1">
      <c r="A78" s="13" t="s">
        <v>256</v>
      </c>
      <c r="B78" s="14" t="s">
        <v>257</v>
      </c>
      <c r="C78" s="14"/>
      <c r="D78" s="11" t="s">
        <v>258</v>
      </c>
      <c r="E78" s="11" t="s">
        <v>213</v>
      </c>
      <c r="F78" s="15">
        <v>5461</v>
      </c>
      <c r="G78" s="16">
        <v>132.61000000000001</v>
      </c>
      <c r="H78" s="17">
        <v>1E-3</v>
      </c>
      <c r="I78" s="18"/>
      <c r="J78" s="1"/>
    </row>
    <row r="79" spans="1:10" ht="13.15" customHeight="1">
      <c r="A79" s="1"/>
      <c r="B79" s="19" t="s">
        <v>259</v>
      </c>
      <c r="C79" s="19"/>
      <c r="D79" s="20"/>
      <c r="E79" s="20"/>
      <c r="F79" s="20"/>
      <c r="G79" s="21">
        <v>128942.47</v>
      </c>
      <c r="H79" s="22">
        <f>SUM(H7:H78)</f>
        <v>0.93119999999999958</v>
      </c>
      <c r="I79" s="23"/>
      <c r="J79" s="1"/>
    </row>
    <row r="80" spans="1:10" ht="13.15" customHeight="1">
      <c r="A80" s="1"/>
      <c r="B80" s="19" t="s">
        <v>260</v>
      </c>
      <c r="C80" s="19"/>
      <c r="D80" s="20"/>
      <c r="E80" s="20"/>
      <c r="F80" s="20"/>
      <c r="G80" s="23" t="s">
        <v>261</v>
      </c>
      <c r="H80" s="23" t="s">
        <v>261</v>
      </c>
      <c r="I80" s="23"/>
      <c r="J80" s="1"/>
    </row>
    <row r="81" spans="1:10" ht="13.15" customHeight="1">
      <c r="A81" s="1"/>
      <c r="B81" s="19" t="s">
        <v>259</v>
      </c>
      <c r="C81" s="19"/>
      <c r="D81" s="20"/>
      <c r="E81" s="20"/>
      <c r="F81" s="20"/>
      <c r="G81" s="23" t="s">
        <v>261</v>
      </c>
      <c r="H81" s="23" t="s">
        <v>261</v>
      </c>
      <c r="I81" s="23"/>
      <c r="J81" s="1"/>
    </row>
    <row r="82" spans="1:10" ht="13.15" customHeight="1">
      <c r="A82" s="1"/>
      <c r="B82" s="19" t="s">
        <v>262</v>
      </c>
      <c r="C82" s="19"/>
      <c r="D82" s="24"/>
      <c r="E82" s="20"/>
      <c r="F82" s="24"/>
      <c r="G82" s="21">
        <v>128942.47</v>
      </c>
      <c r="H82" s="22">
        <v>0.93120000000000003</v>
      </c>
      <c r="I82" s="23"/>
      <c r="J82" s="1"/>
    </row>
    <row r="83" spans="1:10" ht="13.15" customHeight="1">
      <c r="A83" s="1"/>
      <c r="B83" s="10" t="s">
        <v>263</v>
      </c>
      <c r="C83" s="10"/>
      <c r="D83" s="11"/>
      <c r="E83" s="11"/>
      <c r="F83" s="11"/>
      <c r="G83" s="11"/>
      <c r="H83" s="11"/>
      <c r="I83" s="12"/>
      <c r="J83" s="1"/>
    </row>
    <row r="84" spans="1:10" ht="13.15" customHeight="1">
      <c r="A84" s="1"/>
      <c r="B84" s="10" t="s">
        <v>264</v>
      </c>
      <c r="C84" s="10"/>
      <c r="D84" s="11"/>
      <c r="E84" s="11"/>
      <c r="F84" s="11"/>
      <c r="G84" s="1"/>
      <c r="H84" s="12"/>
      <c r="I84" s="12"/>
      <c r="J84" s="1"/>
    </row>
    <row r="85" spans="1:10" ht="13.15" customHeight="1">
      <c r="A85" s="13" t="s">
        <v>265</v>
      </c>
      <c r="B85" s="14" t="s">
        <v>266</v>
      </c>
      <c r="C85" s="14"/>
      <c r="D85" s="11" t="s">
        <v>267</v>
      </c>
      <c r="E85" s="11" t="s">
        <v>268</v>
      </c>
      <c r="F85" s="15">
        <v>975000</v>
      </c>
      <c r="G85" s="16">
        <v>968.58</v>
      </c>
      <c r="H85" s="17">
        <v>7.0000000000000001E-3</v>
      </c>
      <c r="I85" s="25">
        <v>5.2629000000000002E-2</v>
      </c>
      <c r="J85" s="1"/>
    </row>
    <row r="86" spans="1:10" ht="13.15" customHeight="1">
      <c r="A86" s="13" t="s">
        <v>269</v>
      </c>
      <c r="B86" s="14" t="s">
        <v>270</v>
      </c>
      <c r="C86" s="14"/>
      <c r="D86" s="11" t="s">
        <v>271</v>
      </c>
      <c r="E86" s="11" t="s">
        <v>268</v>
      </c>
      <c r="F86" s="15">
        <v>800000</v>
      </c>
      <c r="G86" s="16">
        <v>797.1</v>
      </c>
      <c r="H86" s="17">
        <v>5.7999999999999996E-3</v>
      </c>
      <c r="I86" s="25">
        <v>5.0999999999999997E-2</v>
      </c>
      <c r="J86" s="1"/>
    </row>
    <row r="87" spans="1:10" ht="13.15" customHeight="1">
      <c r="A87" s="13" t="s">
        <v>272</v>
      </c>
      <c r="B87" s="14" t="s">
        <v>273</v>
      </c>
      <c r="C87" s="14"/>
      <c r="D87" s="11" t="s">
        <v>274</v>
      </c>
      <c r="E87" s="11" t="s">
        <v>268</v>
      </c>
      <c r="F87" s="15">
        <v>500000</v>
      </c>
      <c r="G87" s="16">
        <v>494.53</v>
      </c>
      <c r="H87" s="17">
        <v>3.5999999999999999E-3</v>
      </c>
      <c r="I87" s="25">
        <v>5.4524999999999997E-2</v>
      </c>
      <c r="J87" s="1"/>
    </row>
    <row r="88" spans="1:10" ht="13.15" customHeight="1">
      <c r="A88" s="13" t="s">
        <v>275</v>
      </c>
      <c r="B88" s="14" t="s">
        <v>276</v>
      </c>
      <c r="C88" s="14"/>
      <c r="D88" s="11" t="s">
        <v>277</v>
      </c>
      <c r="E88" s="11" t="s">
        <v>268</v>
      </c>
      <c r="F88" s="15">
        <v>420000</v>
      </c>
      <c r="G88" s="16">
        <v>419.77</v>
      </c>
      <c r="H88" s="17">
        <v>3.0000000000000001E-3</v>
      </c>
      <c r="I88" s="25">
        <v>5.0763000000000003E-2</v>
      </c>
      <c r="J88" s="1"/>
    </row>
    <row r="89" spans="1:10" ht="13.15" customHeight="1">
      <c r="A89" s="13" t="s">
        <v>278</v>
      </c>
      <c r="B89" s="14" t="s">
        <v>279</v>
      </c>
      <c r="C89" s="14"/>
      <c r="D89" s="11" t="s">
        <v>280</v>
      </c>
      <c r="E89" s="11" t="s">
        <v>268</v>
      </c>
      <c r="F89" s="15">
        <v>420000</v>
      </c>
      <c r="G89" s="16">
        <v>418.54</v>
      </c>
      <c r="H89" s="17">
        <v>3.0000000000000001E-3</v>
      </c>
      <c r="I89" s="25">
        <v>5.0999999999999997E-2</v>
      </c>
      <c r="J89" s="1"/>
    </row>
    <row r="90" spans="1:10" ht="13.15" customHeight="1">
      <c r="A90" s="13" t="s">
        <v>281</v>
      </c>
      <c r="B90" s="14" t="s">
        <v>282</v>
      </c>
      <c r="C90" s="14"/>
      <c r="D90" s="11" t="s">
        <v>283</v>
      </c>
      <c r="E90" s="11" t="s">
        <v>268</v>
      </c>
      <c r="F90" s="15">
        <v>344000</v>
      </c>
      <c r="G90" s="16">
        <v>343.14</v>
      </c>
      <c r="H90" s="17">
        <v>2.5000000000000001E-3</v>
      </c>
      <c r="I90" s="25">
        <v>5.0999999999999997E-2</v>
      </c>
      <c r="J90" s="1"/>
    </row>
    <row r="91" spans="1:10" ht="13.15" customHeight="1">
      <c r="A91" s="13" t="s">
        <v>284</v>
      </c>
      <c r="B91" s="14" t="s">
        <v>285</v>
      </c>
      <c r="C91" s="14"/>
      <c r="D91" s="11" t="s">
        <v>286</v>
      </c>
      <c r="E91" s="11" t="s">
        <v>268</v>
      </c>
      <c r="F91" s="15">
        <v>170000</v>
      </c>
      <c r="G91" s="16">
        <v>168.88</v>
      </c>
      <c r="H91" s="17">
        <v>1.1999999999999999E-3</v>
      </c>
      <c r="I91" s="25">
        <v>5.2629000000000002E-2</v>
      </c>
      <c r="J91" s="1"/>
    </row>
    <row r="92" spans="1:10" ht="13.15" customHeight="1">
      <c r="A92" s="13" t="s">
        <v>287</v>
      </c>
      <c r="B92" s="14" t="s">
        <v>288</v>
      </c>
      <c r="C92" s="14"/>
      <c r="D92" s="11" t="s">
        <v>289</v>
      </c>
      <c r="E92" s="11" t="s">
        <v>268</v>
      </c>
      <c r="F92" s="15">
        <v>156000</v>
      </c>
      <c r="G92" s="16">
        <v>155.61000000000001</v>
      </c>
      <c r="H92" s="17">
        <v>1.1000000000000001E-3</v>
      </c>
      <c r="I92" s="25">
        <v>5.0999999999999997E-2</v>
      </c>
      <c r="J92" s="1"/>
    </row>
    <row r="93" spans="1:10" ht="13.15" customHeight="1">
      <c r="A93" s="13" t="s">
        <v>290</v>
      </c>
      <c r="B93" s="14" t="s">
        <v>291</v>
      </c>
      <c r="C93" s="14"/>
      <c r="D93" s="11" t="s">
        <v>292</v>
      </c>
      <c r="E93" s="11" t="s">
        <v>268</v>
      </c>
      <c r="F93" s="15">
        <v>60000</v>
      </c>
      <c r="G93" s="16">
        <v>59.41</v>
      </c>
      <c r="H93" s="17">
        <v>4.0000000000000002E-4</v>
      </c>
      <c r="I93" s="25">
        <v>5.4199999999999998E-2</v>
      </c>
      <c r="J93" s="1"/>
    </row>
    <row r="94" spans="1:10" ht="13.15" customHeight="1">
      <c r="A94" s="1"/>
      <c r="B94" s="19" t="s">
        <v>259</v>
      </c>
      <c r="C94" s="19"/>
      <c r="D94" s="20"/>
      <c r="E94" s="20"/>
      <c r="F94" s="20"/>
      <c r="G94" s="21">
        <v>3825.56</v>
      </c>
      <c r="H94" s="22">
        <v>2.76E-2</v>
      </c>
      <c r="I94" s="23"/>
      <c r="J94" s="1"/>
    </row>
    <row r="95" spans="1:10" ht="13.15" customHeight="1">
      <c r="A95" s="1"/>
      <c r="B95" s="19" t="s">
        <v>262</v>
      </c>
      <c r="C95" s="19"/>
      <c r="D95" s="24"/>
      <c r="E95" s="20"/>
      <c r="F95" s="24"/>
      <c r="G95" s="21">
        <v>3825.56</v>
      </c>
      <c r="H95" s="22">
        <v>2.76E-2</v>
      </c>
      <c r="I95" s="23"/>
      <c r="J95" s="1"/>
    </row>
    <row r="96" spans="1:10" ht="13.15" customHeight="1">
      <c r="A96" s="1"/>
      <c r="B96" s="19" t="s">
        <v>293</v>
      </c>
      <c r="C96" s="19"/>
      <c r="D96" s="11"/>
      <c r="E96" s="20"/>
      <c r="F96" s="11"/>
      <c r="G96" s="26">
        <v>5739.42</v>
      </c>
      <c r="H96" s="22">
        <v>4.1200000000000001E-2</v>
      </c>
      <c r="I96" s="23"/>
      <c r="J96" s="1"/>
    </row>
    <row r="97" spans="1:10" ht="13.15" customHeight="1" thickBot="1">
      <c r="A97" s="1"/>
      <c r="B97" s="27" t="s">
        <v>294</v>
      </c>
      <c r="C97" s="27"/>
      <c r="D97" s="28"/>
      <c r="E97" s="28"/>
      <c r="F97" s="28"/>
      <c r="G97" s="29">
        <v>138507.45000000001</v>
      </c>
      <c r="H97" s="30">
        <v>1</v>
      </c>
      <c r="I97" s="31"/>
      <c r="J97" s="1"/>
    </row>
    <row r="98" spans="1:10" ht="13.15" customHeight="1">
      <c r="A98" s="1"/>
      <c r="B98" s="32"/>
      <c r="C98" s="32"/>
      <c r="D98" s="1"/>
      <c r="E98" s="1"/>
      <c r="F98" s="1"/>
      <c r="G98" s="1"/>
      <c r="H98" s="1"/>
      <c r="I98" s="1"/>
      <c r="J98" s="1"/>
    </row>
    <row r="99" spans="1:10" ht="13.15" customHeight="1">
      <c r="A99" s="1"/>
      <c r="B99" s="33" t="s">
        <v>295</v>
      </c>
      <c r="C99" s="1"/>
      <c r="D99" s="1"/>
      <c r="E99" s="1"/>
      <c r="F99" s="1"/>
      <c r="G99" s="1"/>
      <c r="H99" s="1"/>
      <c r="I99" s="1"/>
      <c r="J99" s="1"/>
    </row>
    <row r="100" spans="1:10" ht="40.15" customHeight="1">
      <c r="A100" s="1"/>
      <c r="B100" s="34" t="s">
        <v>296</v>
      </c>
      <c r="C100" s="34"/>
      <c r="D100" s="35" t="s">
        <v>3</v>
      </c>
      <c r="E100" s="35" t="s">
        <v>297</v>
      </c>
      <c r="F100" s="35" t="s">
        <v>298</v>
      </c>
      <c r="G100" s="35" t="s">
        <v>299</v>
      </c>
      <c r="H100" s="35" t="s">
        <v>300</v>
      </c>
      <c r="I100" s="1"/>
      <c r="J100" s="1"/>
    </row>
    <row r="101" spans="1:10" ht="13.15" customHeight="1">
      <c r="A101" s="1"/>
      <c r="B101" s="36" t="s">
        <v>301</v>
      </c>
      <c r="C101" s="36"/>
      <c r="D101" s="20" t="s">
        <v>205</v>
      </c>
      <c r="E101" s="20" t="s">
        <v>61</v>
      </c>
      <c r="F101" s="37">
        <v>173200</v>
      </c>
      <c r="G101" s="38">
        <v>2848.9668000000001</v>
      </c>
      <c r="H101" s="39">
        <v>2.06E-2</v>
      </c>
      <c r="I101" s="1"/>
      <c r="J101" s="1"/>
    </row>
    <row r="102" spans="1:10" ht="13.15" customHeight="1">
      <c r="A102" s="1"/>
      <c r="B102" s="36" t="s">
        <v>301</v>
      </c>
      <c r="C102" s="36"/>
      <c r="D102" s="20" t="s">
        <v>302</v>
      </c>
      <c r="E102" s="20" t="s">
        <v>303</v>
      </c>
      <c r="F102" s="37">
        <v>10400</v>
      </c>
      <c r="G102" s="38">
        <v>2643.3056000000001</v>
      </c>
      <c r="H102" s="39">
        <v>1.9099999999999999E-2</v>
      </c>
      <c r="I102" s="1"/>
      <c r="J102" s="1"/>
    </row>
    <row r="103" spans="1:10" ht="13.15" customHeight="1">
      <c r="A103" s="1"/>
      <c r="B103" s="36" t="s">
        <v>301</v>
      </c>
      <c r="C103" s="36"/>
      <c r="D103" s="20" t="s">
        <v>254</v>
      </c>
      <c r="E103" s="20" t="s">
        <v>15</v>
      </c>
      <c r="F103" s="37">
        <v>157500</v>
      </c>
      <c r="G103" s="38">
        <v>1411.59375</v>
      </c>
      <c r="H103" s="39">
        <v>1.0200000000000001E-2</v>
      </c>
      <c r="I103" s="1"/>
      <c r="J103" s="1"/>
    </row>
    <row r="104" spans="1:10" ht="13.15" customHeight="1">
      <c r="A104" s="1"/>
      <c r="B104" s="36" t="s">
        <v>301</v>
      </c>
      <c r="C104" s="36"/>
      <c r="D104" s="20" t="s">
        <v>257</v>
      </c>
      <c r="E104" s="20" t="s">
        <v>213</v>
      </c>
      <c r="F104" s="37">
        <v>47500</v>
      </c>
      <c r="G104" s="38">
        <v>1158.9525000000001</v>
      </c>
      <c r="H104" s="39">
        <v>8.3999999999999995E-3</v>
      </c>
      <c r="I104" s="1"/>
      <c r="J104" s="1"/>
    </row>
    <row r="105" spans="1:10" ht="13.15" customHeight="1">
      <c r="A105" s="1"/>
      <c r="B105" s="2" t="s">
        <v>304</v>
      </c>
      <c r="C105" s="2"/>
      <c r="D105" s="1"/>
      <c r="E105" s="1"/>
      <c r="F105" s="1"/>
      <c r="G105" s="1"/>
      <c r="H105" s="1"/>
      <c r="I105" s="1"/>
      <c r="J105" s="1"/>
    </row>
    <row r="106" spans="1:10">
      <c r="J106" s="1"/>
    </row>
    <row r="107" spans="1:10">
      <c r="J107" s="1"/>
    </row>
    <row r="108" spans="1:10">
      <c r="J108" s="1"/>
    </row>
    <row r="109" spans="1:10">
      <c r="J109" s="1"/>
    </row>
    <row r="110" spans="1:10">
      <c r="J110" s="1"/>
    </row>
    <row r="111" spans="1:10">
      <c r="J111" s="1"/>
    </row>
    <row r="112" spans="1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</sheetData>
  <mergeCells count="104">
    <mergeCell ref="B104:C104"/>
    <mergeCell ref="B105:C105"/>
    <mergeCell ref="B97:C97"/>
    <mergeCell ref="B98:C98"/>
    <mergeCell ref="B100:C100"/>
    <mergeCell ref="B101:C101"/>
    <mergeCell ref="B102:C102"/>
    <mergeCell ref="B103:C103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C2B23EA-2600-4A70-9F4D-14E5493ED5F2}"/>
</file>

<file path=customXml/itemProps2.xml><?xml version="1.0" encoding="utf-8"?>
<ds:datastoreItem xmlns:ds="http://schemas.openxmlformats.org/officeDocument/2006/customXml" ds:itemID="{F4C9387F-5F1A-4642-A727-BEB9E339E2C4}"/>
</file>

<file path=customXml/itemProps3.xml><?xml version="1.0" encoding="utf-8"?>
<ds:datastoreItem xmlns:ds="http://schemas.openxmlformats.org/officeDocument/2006/customXml" ds:itemID="{B062D34D-6607-4528-BAFC-94AEA5D272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2026-02-05T08:13:17Z</dcterms:created>
  <dcterms:modified xsi:type="dcterms:W3CDTF">2026-02-05T08:13:17Z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