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Half Yearly Reports\Sep 24\HY Portfolio\ROM\"/>
    </mc:Choice>
  </mc:AlternateContent>
  <xr:revisionPtr revIDLastSave="0" documentId="8_{AA5BFD65-7BED-485C-8FFE-09461DBE7B15}" xr6:coauthVersionLast="47" xr6:coauthVersionMax="47" xr10:uidLastSave="{00000000-0000-0000-0000-000000000000}"/>
  <bookViews>
    <workbookView xWindow="-108" yWindow="-108" windowWidth="41496" windowHeight="16896" xr2:uid="{695DF933-ED43-4C5C-BCEF-7A7F0BEF1C20}"/>
  </bookViews>
  <sheets>
    <sheet name="IDF230" sheetId="1" r:id="rId1"/>
  </sheets>
  <definedNames>
    <definedName name="JR_PAGE_ANCHOR_0_15">'IDF230'!$A$2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1" i="1" l="1"/>
  <c r="B101" i="1"/>
  <c r="C100" i="1"/>
  <c r="B100" i="1"/>
  <c r="C99" i="1"/>
  <c r="B99" i="1"/>
  <c r="C98" i="1"/>
  <c r="B98" i="1"/>
  <c r="C97" i="1"/>
  <c r="B97" i="1"/>
  <c r="C96" i="1"/>
  <c r="B96" i="1"/>
  <c r="C95" i="1"/>
  <c r="B95" i="1"/>
</calcChain>
</file>

<file path=xl/sharedStrings.xml><?xml version="1.0" encoding="utf-8"?>
<sst xmlns="http://schemas.openxmlformats.org/spreadsheetml/2006/main" count="273" uniqueCount="235">
  <si>
    <t>IDF230</t>
  </si>
  <si>
    <t>INDEX</t>
  </si>
  <si>
    <t>Portfolio Statement as on September 30, 2024</t>
  </si>
  <si>
    <t>Bandhan Nifty 50 ETF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</si>
  <si>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</si>
  <si>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</si>
  <si>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</si>
  <si>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</si>
  <si>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</si>
  <si>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</si>
  <si>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</si>
  <si>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</si>
  <si>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</si>
  <si>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</si>
  <si>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</si>
  <si>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</si>
  <si>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</si>
  <si>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</si>
  <si>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</si>
  <si>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</si>
  <si>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</si>
  <si>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</si>
  <si>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</si>
  <si>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</si>
  <si>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</si>
  <si>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</si>
  <si>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</si>
  <si>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</si>
  <si>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ITCL02</t>
  </si>
  <si>
    <t>ITC Limited</t>
  </si>
  <si>
    <t>INE154A01025</t>
  </si>
  <si>
    <t>Diversified FMCG</t>
  </si>
  <si>
    <t>BTVL02</t>
  </si>
  <si>
    <t>Bharti Airtel Limited</t>
  </si>
  <si>
    <t>INE397D01024</t>
  </si>
  <si>
    <t>Telecom - Services</t>
  </si>
  <si>
    <t>TCSL01</t>
  </si>
  <si>
    <t>Tata Consultancy Services Limited</t>
  </si>
  <si>
    <t>INE467B01029</t>
  </si>
  <si>
    <t>LARS02</t>
  </si>
  <si>
    <t>Larsen &amp; Toubro Limited</t>
  </si>
  <si>
    <t>INE018A01030</t>
  </si>
  <si>
    <t>Construction</t>
  </si>
  <si>
    <t>UTIB02</t>
  </si>
  <si>
    <t>Axis Bank Limited</t>
  </si>
  <si>
    <t>INE238A01034</t>
  </si>
  <si>
    <t>SBAI02</t>
  </si>
  <si>
    <t>State Bank of India</t>
  </si>
  <si>
    <t>INE062A01020</t>
  </si>
  <si>
    <t>MAHI02</t>
  </si>
  <si>
    <t>Mahindra &amp; Mahindra Limited</t>
  </si>
  <si>
    <t>INE101A01026</t>
  </si>
  <si>
    <t>Automobiles</t>
  </si>
  <si>
    <t>KOMA02</t>
  </si>
  <si>
    <t>Kotak Mahindra Bank Limited</t>
  </si>
  <si>
    <t>INE237A01028</t>
  </si>
  <si>
    <t>HLEL02</t>
  </si>
  <si>
    <t>Hindustan Unilever Limited</t>
  </si>
  <si>
    <t>INE030A01027</t>
  </si>
  <si>
    <t>BAFL02</t>
  </si>
  <si>
    <t>Bajaj Finance Limited</t>
  </si>
  <si>
    <t>INE296A01024</t>
  </si>
  <si>
    <t>Finance</t>
  </si>
  <si>
    <t>NTPC01</t>
  </si>
  <si>
    <t>NTPC Limited</t>
  </si>
  <si>
    <t>INE733E01010</t>
  </si>
  <si>
    <t>Power</t>
  </si>
  <si>
    <t>SPIL03</t>
  </si>
  <si>
    <t>Sun Pharmaceutical Industries Limited</t>
  </si>
  <si>
    <t>INE044A01036</t>
  </si>
  <si>
    <t>Pharmaceuticals &amp; Biotechnology</t>
  </si>
  <si>
    <t>TELC03</t>
  </si>
  <si>
    <t>Tata Motors Limited</t>
  </si>
  <si>
    <t>INE155A01022</t>
  </si>
  <si>
    <t>HCLT02</t>
  </si>
  <si>
    <t>HCL Technologies Limited</t>
  </si>
  <si>
    <t>INE860A01027</t>
  </si>
  <si>
    <t>MAUD01</t>
  </si>
  <si>
    <t>Maruti Suzuki India Limited</t>
  </si>
  <si>
    <t>INE585B01010</t>
  </si>
  <si>
    <t>LAKM02</t>
  </si>
  <si>
    <t>Trent Limited</t>
  </si>
  <si>
    <t>INE849A01020</t>
  </si>
  <si>
    <t>Retailing</t>
  </si>
  <si>
    <t>PGCI01</t>
  </si>
  <si>
    <t>Power Grid Corporation of India Limited</t>
  </si>
  <si>
    <t>INE752E01010</t>
  </si>
  <si>
    <t>TWAT02</t>
  </si>
  <si>
    <t>Titan Company Limited</t>
  </si>
  <si>
    <t>INE280A01028</t>
  </si>
  <si>
    <t>Consumer Durables</t>
  </si>
  <si>
    <t>ASPA02</t>
  </si>
  <si>
    <t>Asian Paints Limited</t>
  </si>
  <si>
    <t>INE021A01026</t>
  </si>
  <si>
    <t>TISC03</t>
  </si>
  <si>
    <t>Tata Steel Limited</t>
  </si>
  <si>
    <t>INE081A01020</t>
  </si>
  <si>
    <t>Ferrous Metals</t>
  </si>
  <si>
    <t>BALN01</t>
  </si>
  <si>
    <t>Bajaj Auto Limited</t>
  </si>
  <si>
    <t>INE917I01010</t>
  </si>
  <si>
    <t>ULCC01</t>
  </si>
  <si>
    <t>UltraTech Cement Limited</t>
  </si>
  <si>
    <t>INE481G01011</t>
  </si>
  <si>
    <t>Cement &amp; Cement Products</t>
  </si>
  <si>
    <t>COAL01</t>
  </si>
  <si>
    <t>Coal India Limited</t>
  </si>
  <si>
    <t>INE522F01014</t>
  </si>
  <si>
    <t>Consumable Fuels</t>
  </si>
  <si>
    <t>ONGC02</t>
  </si>
  <si>
    <t>Oil &amp; Natural Gas Corporation Limited</t>
  </si>
  <si>
    <t>INE213A01029</t>
  </si>
  <si>
    <t>Oil</t>
  </si>
  <si>
    <t>HINI02</t>
  </si>
  <si>
    <t>Hindalco Industries Limited</t>
  </si>
  <si>
    <t>INE038A01020</t>
  </si>
  <si>
    <t>Non - Ferrous Metals</t>
  </si>
  <si>
    <t>BFSL02</t>
  </si>
  <si>
    <t>Bajaj Finserv Limited</t>
  </si>
  <si>
    <t>INE918I01026</t>
  </si>
  <si>
    <t>MUND02</t>
  </si>
  <si>
    <t>Adani Ports and Special Economic Zone Limited</t>
  </si>
  <si>
    <t>INE742F01042</t>
  </si>
  <si>
    <t>Transport Infrastructure</t>
  </si>
  <si>
    <t>GRAS02</t>
  </si>
  <si>
    <t>Grasim Industries Limited</t>
  </si>
  <si>
    <t>INE047A01021</t>
  </si>
  <si>
    <t>BHEL02</t>
  </si>
  <si>
    <t>Bharat Electronics Limited</t>
  </si>
  <si>
    <t>INE263A01024</t>
  </si>
  <si>
    <t>Aerospace &amp; Defense</t>
  </si>
  <si>
    <t>TEMA02</t>
  </si>
  <si>
    <t>Tech Mahindra Limited</t>
  </si>
  <si>
    <t>INE669C01036</t>
  </si>
  <si>
    <t>SHTR01</t>
  </si>
  <si>
    <t>Shriram Finance Limited</t>
  </si>
  <si>
    <t>INE721A01013</t>
  </si>
  <si>
    <t>JVSL04</t>
  </si>
  <si>
    <t>JSW Steel Limited</t>
  </si>
  <si>
    <t>INE019A01038</t>
  </si>
  <si>
    <t>NEST02</t>
  </si>
  <si>
    <t>Nestle India Limited</t>
  </si>
  <si>
    <t>INE239A01024</t>
  </si>
  <si>
    <t>Food Products</t>
  </si>
  <si>
    <t>IIBL01</t>
  </si>
  <si>
    <t>IndusInd Bank Limited</t>
  </si>
  <si>
    <t>INE095A01012</t>
  </si>
  <si>
    <t>CIPL03</t>
  </si>
  <si>
    <t>Cipla Limited</t>
  </si>
  <si>
    <t>INE059A01026</t>
  </si>
  <si>
    <t>SLIF01</t>
  </si>
  <si>
    <t>SBI Life Insurance Company Limited</t>
  </si>
  <si>
    <t>INE123W01016</t>
  </si>
  <si>
    <t>Insurance</t>
  </si>
  <si>
    <t>DRRL02</t>
  </si>
  <si>
    <t>Dr. Reddy's Laboratories Limited</t>
  </si>
  <si>
    <t>INE089A01023</t>
  </si>
  <si>
    <t>TTEA02</t>
  </si>
  <si>
    <t>Tata Consumer Products Limited</t>
  </si>
  <si>
    <t>INE192A01025</t>
  </si>
  <si>
    <t>Agricultural Food &amp; other Products</t>
  </si>
  <si>
    <t>HDLI01</t>
  </si>
  <si>
    <t>HDFC Life Insurance Company Limited</t>
  </si>
  <si>
    <t>INE795G01014</t>
  </si>
  <si>
    <t>WIPR02</t>
  </si>
  <si>
    <t>Wipro Limited</t>
  </si>
  <si>
    <t>INE075A01022</t>
  </si>
  <si>
    <t>BRIT03</t>
  </si>
  <si>
    <t>Britannia Industries Limited</t>
  </si>
  <si>
    <t>INE216A01030</t>
  </si>
  <si>
    <t>HERO02</t>
  </si>
  <si>
    <t>Hero MotoCorp Limited</t>
  </si>
  <si>
    <t>INE158A01026</t>
  </si>
  <si>
    <t>ADAN02</t>
  </si>
  <si>
    <t>Adani Enterprises Limited</t>
  </si>
  <si>
    <t>INE423A01024</t>
  </si>
  <si>
    <t>Metals &amp; Minerals Trading</t>
  </si>
  <si>
    <t>APOL02</t>
  </si>
  <si>
    <t>Apollo Hospitals Enterprise Limited</t>
  </si>
  <si>
    <t>INE437A01024</t>
  </si>
  <si>
    <t>Healthcare Services</t>
  </si>
  <si>
    <t>BPCL01</t>
  </si>
  <si>
    <t>Bharat Petroleum Corporation Limited</t>
  </si>
  <si>
    <t>INE029A01011</t>
  </si>
  <si>
    <t>EIML02</t>
  </si>
  <si>
    <t>Eicher Motors Limited</t>
  </si>
  <si>
    <t>INE066A01021</t>
  </si>
  <si>
    <t>Subtotal</t>
  </si>
  <si>
    <t>(b) UNLISTED</t>
  </si>
  <si>
    <t>NIL</t>
  </si>
  <si>
    <t>Total</t>
  </si>
  <si>
    <t>Money Market Instruments</t>
  </si>
  <si>
    <t>TREPS / Reverse Repo Instrument</t>
  </si>
  <si>
    <t>TRP_011024</t>
  </si>
  <si>
    <t>Triparty Repo TRP_011024</t>
  </si>
  <si>
    <t>OTHERS</t>
  </si>
  <si>
    <t>Cash Margin - CCIL</t>
  </si>
  <si>
    <t>$</t>
  </si>
  <si>
    <t>Net Current Assets</t>
  </si>
  <si>
    <t>GRAND TOTAL</t>
  </si>
  <si>
    <t>$  Less Than 0.01% of NAV</t>
  </si>
  <si>
    <t>Notes:</t>
  </si>
  <si>
    <t>(1) The provision made for below investment grade or default securities as of September 30, 2024 is Rs. Nil and its percentage to Net Asset Value is Nil.</t>
  </si>
  <si>
    <t>(2)  Aggregate value of illiquid equity shares of the fund amounts to Rs.Nil and their percentage to Net Asset value is Nil.</t>
  </si>
  <si>
    <t>(3) Plan/Option wise per unit Net Asset Values (NAV) are as follows:</t>
  </si>
  <si>
    <t>Plan / Option</t>
  </si>
  <si>
    <t>NAV per unit (Rs.)</t>
  </si>
  <si>
    <t>IDF230-AG</t>
  </si>
  <si>
    <t>Growth</t>
  </si>
  <si>
    <t>(4) No Dividend declared during the period ended September 30, 2024.</t>
  </si>
  <si>
    <t>(5) Total outstanding exposure in derivative instruments as on September 30, 2024 is Rs. Nil.</t>
  </si>
  <si>
    <t>(6) Total Market value of investments in foreign securities/ADRs/GDRs as at September 30, 2024 is Rs. Nil.</t>
  </si>
  <si>
    <t>(7) During the period, the portfolio turnover ratio - For Equity Securities is 0.03 times and aggregate for all asset category is 0.03 times.</t>
  </si>
  <si>
    <t>(8) Bonus declared during the half-year ended September 30, 2024 : Nil</t>
  </si>
  <si>
    <t>(9) The details of repo transactions of the schemes in corporate debt securities including details of counterparties, amount involved and percentage of NAV :  Nil</t>
  </si>
  <si>
    <t>Name and exposure to top 7 issuers and stocks</t>
  </si>
  <si>
    <t>Name of the Issuer / Stock</t>
  </si>
  <si>
    <t>Name and exposure to top 7 groups</t>
  </si>
  <si>
    <t>Name of the Group</t>
  </si>
  <si>
    <t>HDFC Group</t>
  </si>
  <si>
    <t>Tata Group</t>
  </si>
  <si>
    <t>Mukesh Ambani Group</t>
  </si>
  <si>
    <t>ICICI Group</t>
  </si>
  <si>
    <t>Government of India</t>
  </si>
  <si>
    <t>Infosys Group</t>
  </si>
  <si>
    <t>ITC Group</t>
  </si>
  <si>
    <t>Name and exposure to top 4 Sectors</t>
  </si>
  <si>
    <t>Name of the Sector</t>
  </si>
  <si>
    <t>Financial Services</t>
  </si>
  <si>
    <t>Information Technology</t>
  </si>
  <si>
    <t>Oil, Gas &amp; Consumable Fuels</t>
  </si>
  <si>
    <t>Fast Moving Consumer Goods</t>
  </si>
  <si>
    <t>BENCHMARK NAME - NIFTY 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</si>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</sst>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;\(#,##0.00\)"/>
    <numFmt numFmtId="165" formatCode="#,##0.00%"/>
    <numFmt numFmtId="166" formatCode="_ * #,##0.00_ ;_ * \-#,##0.00_ ;_ * &quot;-&quot;??_ ;_ @_ "/>
    <numFmt numFmtId="167" formatCode="0.00000%"/>
    <numFmt numFmtId="168" formatCode="_(* #,##0_);_(* \(#,##0\);_(* &quot;-&quot;??_);_(@_)"/>
    <numFmt numFmtId="169" formatCode="0.0000"/>
    <numFmt numFmtId="170" formatCode="_-* #,##0.0000_-;\-* #,##0.0000_-;_-* &quot;-&quot;??_-;_-@_-"/>
    <numFmt numFmtId="171" formatCode="_-* #,##0_-;\-* #,##0_-;_-* &quot;-&quot;??_-;_-@_-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  <font>
      <b/>
      <sz val="9"/>
      <color indexed="72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sz val="9"/>
      <color indexed="72"/>
      <name val="Arial"/>
      <family val="2"/>
    </font>
    <font>
      <b/>
      <sz val="9"/>
      <name val="Arial"/>
      <family val="2"/>
    </font>
    <font>
      <b/>
      <sz val="9"/>
      <color indexed="9"/>
      <name val="Arial"/>
      <family val="2"/>
    </font>
    <font>
      <sz val="9"/>
      <color theme="1"/>
      <name val="Arial"/>
      <family val="2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84">
    <xf numFmtId="0" fontId="0" fillId="0" borderId="0" xfId="0"/>
    <xf numFmtId="0" fontId="3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3" fontId="6" fillId="0" borderId="7" xfId="0" applyNumberFormat="1" applyFont="1" applyBorder="1" applyAlignment="1">
      <alignment horizontal="right" vertical="top" wrapText="1"/>
    </xf>
    <xf numFmtId="164" fontId="6" fillId="0" borderId="7" xfId="0" applyNumberFormat="1" applyFont="1" applyBorder="1" applyAlignment="1">
      <alignment horizontal="right" vertical="top" wrapText="1"/>
    </xf>
    <xf numFmtId="165" fontId="6" fillId="0" borderId="7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4" fontId="5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5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left" vertical="top" wrapText="1"/>
    </xf>
    <xf numFmtId="164" fontId="5" fillId="0" borderId="12" xfId="0" applyNumberFormat="1" applyFont="1" applyBorder="1" applyAlignment="1">
      <alignment horizontal="right" vertical="top" wrapText="1"/>
    </xf>
    <xf numFmtId="165" fontId="8" fillId="0" borderId="12" xfId="0" applyNumberFormat="1" applyFont="1" applyBorder="1" applyAlignment="1">
      <alignment horizontal="right" vertical="top" wrapText="1"/>
    </xf>
    <xf numFmtId="0" fontId="8" fillId="0" borderId="13" xfId="0" applyFont="1" applyBorder="1" applyAlignment="1">
      <alignment horizontal="right" vertical="top" wrapText="1"/>
    </xf>
    <xf numFmtId="0" fontId="8" fillId="0" borderId="9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right" vertical="top" wrapText="1"/>
    </xf>
    <xf numFmtId="0" fontId="9" fillId="0" borderId="10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left" vertical="top" wrapText="1"/>
    </xf>
    <xf numFmtId="0" fontId="9" fillId="0" borderId="11" xfId="0" applyFont="1" applyBorder="1" applyAlignment="1">
      <alignment horizontal="left" vertical="top" wrapText="1"/>
    </xf>
    <xf numFmtId="0" fontId="10" fillId="0" borderId="9" xfId="0" applyFont="1" applyBorder="1" applyAlignment="1">
      <alignment horizontal="right" vertical="top" wrapText="1"/>
    </xf>
    <xf numFmtId="165" fontId="6" fillId="0" borderId="9" xfId="0" applyNumberFormat="1" applyFont="1" applyBorder="1" applyAlignment="1">
      <alignment horizontal="right" vertical="top" wrapText="1"/>
    </xf>
    <xf numFmtId="0" fontId="5" fillId="0" borderId="14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6" fillId="0" borderId="16" xfId="0" applyFont="1" applyBorder="1" applyAlignment="1">
      <alignment horizontal="left" vertical="top" wrapText="1"/>
    </xf>
    <xf numFmtId="164" fontId="5" fillId="0" borderId="17" xfId="0" applyNumberFormat="1" applyFont="1" applyBorder="1" applyAlignment="1">
      <alignment horizontal="right" vertical="top" wrapText="1"/>
    </xf>
    <xf numFmtId="165" fontId="5" fillId="0" borderId="18" xfId="0" applyNumberFormat="1" applyFont="1" applyBorder="1" applyAlignment="1">
      <alignment horizontal="right" vertical="top" wrapText="1"/>
    </xf>
    <xf numFmtId="0" fontId="9" fillId="0" borderId="19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11" fillId="0" borderId="20" xfId="1" applyFont="1" applyBorder="1"/>
    <xf numFmtId="0" fontId="12" fillId="0" borderId="21" xfId="1" applyFont="1" applyBorder="1"/>
    <xf numFmtId="166" fontId="13" fillId="0" borderId="21" xfId="1" applyNumberFormat="1" applyFont="1" applyBorder="1"/>
    <xf numFmtId="166" fontId="13" fillId="0" borderId="22" xfId="1" applyNumberFormat="1" applyFont="1" applyBorder="1"/>
    <xf numFmtId="167" fontId="0" fillId="0" borderId="0" xfId="2" applyNumberFormat="1" applyFont="1"/>
    <xf numFmtId="0" fontId="14" fillId="0" borderId="23" xfId="1" applyFont="1" applyBorder="1"/>
    <xf numFmtId="0" fontId="12" fillId="0" borderId="0" xfId="1" applyFont="1"/>
    <xf numFmtId="166" fontId="12" fillId="0" borderId="24" xfId="1" applyNumberFormat="1" applyFont="1" applyBorder="1"/>
    <xf numFmtId="15" fontId="12" fillId="0" borderId="23" xfId="1" applyNumberFormat="1" applyFont="1" applyBorder="1"/>
    <xf numFmtId="166" fontId="13" fillId="0" borderId="0" xfId="1" applyNumberFormat="1" applyFont="1"/>
    <xf numFmtId="0" fontId="12" fillId="0" borderId="25" xfId="1" applyFont="1" applyBorder="1"/>
    <xf numFmtId="0" fontId="12" fillId="0" borderId="26" xfId="1" applyFont="1" applyBorder="1"/>
    <xf numFmtId="166" fontId="12" fillId="0" borderId="27" xfId="1" applyNumberFormat="1" applyFont="1" applyBorder="1"/>
    <xf numFmtId="0" fontId="15" fillId="0" borderId="20" xfId="1" applyFont="1" applyBorder="1"/>
    <xf numFmtId="0" fontId="15" fillId="0" borderId="21" xfId="1" applyFont="1" applyBorder="1"/>
    <xf numFmtId="168" fontId="16" fillId="0" borderId="21" xfId="1" applyNumberFormat="1" applyFont="1" applyBorder="1"/>
    <xf numFmtId="10" fontId="16" fillId="0" borderId="22" xfId="1" applyNumberFormat="1" applyFont="1" applyBorder="1"/>
    <xf numFmtId="0" fontId="15" fillId="0" borderId="25" xfId="1" applyFont="1" applyBorder="1"/>
    <xf numFmtId="15" fontId="15" fillId="0" borderId="26" xfId="1" applyNumberFormat="1" applyFont="1" applyBorder="1"/>
    <xf numFmtId="168" fontId="12" fillId="0" borderId="27" xfId="1" applyNumberFormat="1" applyFont="1" applyBorder="1"/>
    <xf numFmtId="0" fontId="15" fillId="0" borderId="23" xfId="1" applyFont="1" applyBorder="1"/>
    <xf numFmtId="169" fontId="12" fillId="0" borderId="0" xfId="1" applyNumberFormat="1" applyFont="1"/>
    <xf numFmtId="0" fontId="1" fillId="0" borderId="0" xfId="1"/>
    <xf numFmtId="166" fontId="13" fillId="0" borderId="24" xfId="1" applyNumberFormat="1" applyFont="1" applyBorder="1"/>
    <xf numFmtId="0" fontId="12" fillId="0" borderId="23" xfId="1" applyFont="1" applyBorder="1"/>
    <xf numFmtId="170" fontId="13" fillId="0" borderId="0" xfId="1" applyNumberFormat="1" applyFont="1"/>
    <xf numFmtId="169" fontId="12" fillId="0" borderId="26" xfId="1" applyNumberFormat="1" applyFont="1" applyBorder="1"/>
    <xf numFmtId="170" fontId="13" fillId="0" borderId="26" xfId="1" applyNumberFormat="1" applyFont="1" applyBorder="1"/>
    <xf numFmtId="166" fontId="13" fillId="0" borderId="27" xfId="1" applyNumberFormat="1" applyFont="1" applyBorder="1"/>
    <xf numFmtId="168" fontId="12" fillId="0" borderId="0" xfId="1" applyNumberFormat="1" applyFont="1"/>
    <xf numFmtId="171" fontId="17" fillId="0" borderId="0" xfId="1" applyNumberFormat="1" applyFont="1"/>
    <xf numFmtId="166" fontId="12" fillId="0" borderId="0" xfId="1" applyNumberFormat="1" applyFont="1"/>
    <xf numFmtId="0" fontId="18" fillId="0" borderId="0" xfId="0" applyFont="1" applyAlignment="1">
      <alignment horizontal="left" vertical="top" wrapText="1"/>
    </xf>
    <xf numFmtId="0" fontId="2" fillId="0" borderId="28" xfId="0" applyFont="1" applyBorder="1"/>
    <xf numFmtId="0" fontId="0" fillId="0" borderId="28" xfId="0" applyBorder="1"/>
    <xf numFmtId="165" fontId="0" fillId="0" borderId="28" xfId="0" applyNumberFormat="1" applyBorder="1"/>
    <xf numFmtId="0" fontId="2" fillId="0" borderId="0" xfId="0" applyFont="1"/>
  </cellXfs>
  <cellStyles count="3">
    <cellStyle name="Normal" xfId="0" builtinId="0"/>
    <cellStyle name="Normal 3 2 2" xfId="1" xr:uid="{2D124409-79B4-4D29-A70D-F5B334A847FB}"/>
    <cellStyle name="Percent 2" xfId="2" xr:uid="{30DB53F7-DAFA-486C-96C1-FB0D390F1FF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121</xdr:row>
      <xdr:rowOff>1</xdr:rowOff>
    </xdr:from>
    <xdr:to>
      <xdr:col>1</xdr:col>
      <xdr:colOff>2857500</xdr:colOff>
      <xdr:row>131</xdr:row>
      <xdr:rowOff>76201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D1CF19-C2C6-4F06-A791-EA404BF5BB6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0749261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121</xdr:row>
      <xdr:rowOff>1</xdr:rowOff>
    </xdr:from>
    <xdr:to>
      <xdr:col>7</xdr:col>
      <xdr:colOff>571500</xdr:colOff>
      <xdr:row>131</xdr:row>
      <xdr:rowOff>76201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7775227-11E9-4881-BC60-CF3B352CE16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75320" y="20749261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4BA99-679E-4EEE-9B90-9BC2FFAF725D}">
  <sheetPr codeName="Sheet29">
    <outlinePr summaryBelow="0"/>
  </sheetPr>
  <dimension ref="A1:J120"/>
  <sheetViews>
    <sheetView tabSelected="1" topLeftCell="A92" workbookViewId="0">
      <selection activeCell="C92" sqref="C92"/>
    </sheetView>
  </sheetViews>
  <sheetFormatPr defaultRowHeight="14.4"/>
  <cols>
    <col min="1" max="1" width="3.33203125" customWidth="1"/>
    <col min="2" max="2" width="51.88671875" customWidth="1"/>
    <col min="3" max="3" width="16.6640625" customWidth="1"/>
    <col min="4" max="4" width="32.109375" customWidth="1"/>
    <col min="5" max="8" width="16.6640625" customWidth="1"/>
  </cols>
  <sheetData>
    <row r="1" spans="1:8">
      <c r="A1" s="1" t="s">
        <v>0</v>
      </c>
    </row>
    <row r="2" spans="1:8" ht="16.05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3.05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3.05" customHeight="1" thickBot="1">
      <c r="A4" s="5"/>
      <c r="B4" s="4"/>
      <c r="C4" s="4"/>
      <c r="D4" s="4"/>
      <c r="E4" s="4"/>
      <c r="F4" s="4"/>
      <c r="G4" s="4"/>
      <c r="H4" s="4"/>
    </row>
    <row r="5" spans="1:8" ht="28.05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3.05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3.05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3.05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18143</v>
      </c>
      <c r="F8" s="18">
        <v>314.25</v>
      </c>
      <c r="G8" s="19">
        <v>0.1133</v>
      </c>
      <c r="H8" s="20"/>
    </row>
    <row r="9" spans="1:8" ht="13.05" customHeight="1">
      <c r="A9" s="15" t="s">
        <v>17</v>
      </c>
      <c r="B9" s="16" t="s">
        <v>18</v>
      </c>
      <c r="C9" s="12" t="s">
        <v>19</v>
      </c>
      <c r="D9" s="13" t="s">
        <v>20</v>
      </c>
      <c r="E9" s="17">
        <v>8111</v>
      </c>
      <c r="F9" s="18">
        <v>239.53</v>
      </c>
      <c r="G9" s="19">
        <v>8.6300000000000002E-2</v>
      </c>
      <c r="H9" s="20"/>
    </row>
    <row r="10" spans="1:8" ht="13.05" customHeight="1">
      <c r="A10" s="15" t="s">
        <v>21</v>
      </c>
      <c r="B10" s="16" t="s">
        <v>22</v>
      </c>
      <c r="C10" s="12" t="s">
        <v>23</v>
      </c>
      <c r="D10" s="13" t="s">
        <v>16</v>
      </c>
      <c r="E10" s="17">
        <v>16850</v>
      </c>
      <c r="F10" s="18">
        <v>214.5</v>
      </c>
      <c r="G10" s="19">
        <v>7.7299999999999994E-2</v>
      </c>
      <c r="H10" s="20"/>
    </row>
    <row r="11" spans="1:8" ht="13.05" customHeight="1">
      <c r="A11" s="15" t="s">
        <v>24</v>
      </c>
      <c r="B11" s="16" t="s">
        <v>25</v>
      </c>
      <c r="C11" s="12" t="s">
        <v>26</v>
      </c>
      <c r="D11" s="13" t="s">
        <v>27</v>
      </c>
      <c r="E11" s="17">
        <v>8610</v>
      </c>
      <c r="F11" s="18">
        <v>161.49</v>
      </c>
      <c r="G11" s="19">
        <v>5.8200000000000002E-2</v>
      </c>
      <c r="H11" s="20"/>
    </row>
    <row r="12" spans="1:8" ht="13.05" customHeight="1">
      <c r="A12" s="15" t="s">
        <v>28</v>
      </c>
      <c r="B12" s="16" t="s">
        <v>29</v>
      </c>
      <c r="C12" s="12" t="s">
        <v>30</v>
      </c>
      <c r="D12" s="13" t="s">
        <v>31</v>
      </c>
      <c r="E12" s="17">
        <v>22250</v>
      </c>
      <c r="F12" s="18">
        <v>115.29</v>
      </c>
      <c r="G12" s="19">
        <v>4.1599999999999998E-2</v>
      </c>
      <c r="H12" s="20"/>
    </row>
    <row r="13" spans="1:8" ht="13.05" customHeight="1">
      <c r="A13" s="15" t="s">
        <v>32</v>
      </c>
      <c r="B13" s="16" t="s">
        <v>33</v>
      </c>
      <c r="C13" s="12" t="s">
        <v>34</v>
      </c>
      <c r="D13" s="13" t="s">
        <v>35</v>
      </c>
      <c r="E13" s="17">
        <v>6410</v>
      </c>
      <c r="F13" s="18">
        <v>109.58</v>
      </c>
      <c r="G13" s="19">
        <v>3.95E-2</v>
      </c>
      <c r="H13" s="20"/>
    </row>
    <row r="14" spans="1:8" ht="13.05" customHeight="1">
      <c r="A14" s="15" t="s">
        <v>36</v>
      </c>
      <c r="B14" s="16" t="s">
        <v>37</v>
      </c>
      <c r="C14" s="12" t="s">
        <v>38</v>
      </c>
      <c r="D14" s="13" t="s">
        <v>27</v>
      </c>
      <c r="E14" s="17">
        <v>2445</v>
      </c>
      <c r="F14" s="18">
        <v>104.36</v>
      </c>
      <c r="G14" s="19">
        <v>3.7600000000000001E-2</v>
      </c>
      <c r="H14" s="20"/>
    </row>
    <row r="15" spans="1:8" ht="13.05" customHeight="1">
      <c r="A15" s="15" t="s">
        <v>39</v>
      </c>
      <c r="B15" s="16" t="s">
        <v>40</v>
      </c>
      <c r="C15" s="12" t="s">
        <v>41</v>
      </c>
      <c r="D15" s="13" t="s">
        <v>42</v>
      </c>
      <c r="E15" s="17">
        <v>2816</v>
      </c>
      <c r="F15" s="18">
        <v>103.5</v>
      </c>
      <c r="G15" s="19">
        <v>3.73E-2</v>
      </c>
      <c r="H15" s="20"/>
    </row>
    <row r="16" spans="1:8" ht="13.05" customHeight="1">
      <c r="A16" s="15" t="s">
        <v>43</v>
      </c>
      <c r="B16" s="16" t="s">
        <v>44</v>
      </c>
      <c r="C16" s="12" t="s">
        <v>45</v>
      </c>
      <c r="D16" s="13" t="s">
        <v>16</v>
      </c>
      <c r="E16" s="17">
        <v>6817</v>
      </c>
      <c r="F16" s="18">
        <v>84</v>
      </c>
      <c r="G16" s="19">
        <v>3.0300000000000001E-2</v>
      </c>
      <c r="H16" s="20"/>
    </row>
    <row r="17" spans="1:8" ht="13.05" customHeight="1">
      <c r="A17" s="15" t="s">
        <v>46</v>
      </c>
      <c r="B17" s="16" t="s">
        <v>47</v>
      </c>
      <c r="C17" s="12" t="s">
        <v>48</v>
      </c>
      <c r="D17" s="13" t="s">
        <v>16</v>
      </c>
      <c r="E17" s="17">
        <v>9203</v>
      </c>
      <c r="F17" s="18">
        <v>72.510000000000005</v>
      </c>
      <c r="G17" s="19">
        <v>2.6100000000000002E-2</v>
      </c>
      <c r="H17" s="20"/>
    </row>
    <row r="18" spans="1:8" ht="13.05" customHeight="1">
      <c r="A18" s="15" t="s">
        <v>49</v>
      </c>
      <c r="B18" s="16" t="s">
        <v>50</v>
      </c>
      <c r="C18" s="12" t="s">
        <v>51</v>
      </c>
      <c r="D18" s="13" t="s">
        <v>52</v>
      </c>
      <c r="E18" s="17">
        <v>2132</v>
      </c>
      <c r="F18" s="18">
        <v>65.98</v>
      </c>
      <c r="G18" s="19">
        <v>2.3800000000000002E-2</v>
      </c>
      <c r="H18" s="20"/>
    </row>
    <row r="19" spans="1:8" ht="13.05" customHeight="1">
      <c r="A19" s="15" t="s">
        <v>53</v>
      </c>
      <c r="B19" s="16" t="s">
        <v>54</v>
      </c>
      <c r="C19" s="12" t="s">
        <v>55</v>
      </c>
      <c r="D19" s="13" t="s">
        <v>16</v>
      </c>
      <c r="E19" s="17">
        <v>3512</v>
      </c>
      <c r="F19" s="18">
        <v>65.11</v>
      </c>
      <c r="G19" s="19">
        <v>2.35E-2</v>
      </c>
      <c r="H19" s="20"/>
    </row>
    <row r="20" spans="1:8" ht="13.05" customHeight="1">
      <c r="A20" s="15" t="s">
        <v>56</v>
      </c>
      <c r="B20" s="16" t="s">
        <v>57</v>
      </c>
      <c r="C20" s="12" t="s">
        <v>58</v>
      </c>
      <c r="D20" s="13" t="s">
        <v>31</v>
      </c>
      <c r="E20" s="17">
        <v>2130</v>
      </c>
      <c r="F20" s="18">
        <v>63.01</v>
      </c>
      <c r="G20" s="19">
        <v>2.2700000000000001E-2</v>
      </c>
      <c r="H20" s="20"/>
    </row>
    <row r="21" spans="1:8" ht="13.05" customHeight="1">
      <c r="A21" s="15" t="s">
        <v>59</v>
      </c>
      <c r="B21" s="16" t="s">
        <v>60</v>
      </c>
      <c r="C21" s="12" t="s">
        <v>61</v>
      </c>
      <c r="D21" s="13" t="s">
        <v>62</v>
      </c>
      <c r="E21" s="17">
        <v>669</v>
      </c>
      <c r="F21" s="18">
        <v>51.53</v>
      </c>
      <c r="G21" s="19">
        <v>1.8599999999999998E-2</v>
      </c>
      <c r="H21" s="20"/>
    </row>
    <row r="22" spans="1:8" ht="13.05" customHeight="1">
      <c r="A22" s="15" t="s">
        <v>63</v>
      </c>
      <c r="B22" s="16" t="s">
        <v>64</v>
      </c>
      <c r="C22" s="12" t="s">
        <v>65</v>
      </c>
      <c r="D22" s="13" t="s">
        <v>66</v>
      </c>
      <c r="E22" s="17">
        <v>11329</v>
      </c>
      <c r="F22" s="18">
        <v>50.21</v>
      </c>
      <c r="G22" s="19">
        <v>1.8100000000000002E-2</v>
      </c>
      <c r="H22" s="20"/>
    </row>
    <row r="23" spans="1:8" ht="13.05" customHeight="1">
      <c r="A23" s="15" t="s">
        <v>67</v>
      </c>
      <c r="B23" s="16" t="s">
        <v>68</v>
      </c>
      <c r="C23" s="12" t="s">
        <v>69</v>
      </c>
      <c r="D23" s="13" t="s">
        <v>70</v>
      </c>
      <c r="E23" s="17">
        <v>2583</v>
      </c>
      <c r="F23" s="18">
        <v>49.77</v>
      </c>
      <c r="G23" s="19">
        <v>1.7899999999999999E-2</v>
      </c>
      <c r="H23" s="20"/>
    </row>
    <row r="24" spans="1:8" ht="13.05" customHeight="1">
      <c r="A24" s="15" t="s">
        <v>71</v>
      </c>
      <c r="B24" s="16" t="s">
        <v>72</v>
      </c>
      <c r="C24" s="12" t="s">
        <v>73</v>
      </c>
      <c r="D24" s="13" t="s">
        <v>52</v>
      </c>
      <c r="E24" s="17">
        <v>5077</v>
      </c>
      <c r="F24" s="18">
        <v>49.48</v>
      </c>
      <c r="G24" s="19">
        <v>1.78E-2</v>
      </c>
      <c r="H24" s="20"/>
    </row>
    <row r="25" spans="1:8" ht="13.05" customHeight="1">
      <c r="A25" s="15" t="s">
        <v>74</v>
      </c>
      <c r="B25" s="16" t="s">
        <v>75</v>
      </c>
      <c r="C25" s="12" t="s">
        <v>76</v>
      </c>
      <c r="D25" s="13" t="s">
        <v>27</v>
      </c>
      <c r="E25" s="17">
        <v>2527</v>
      </c>
      <c r="F25" s="18">
        <v>45.39</v>
      </c>
      <c r="G25" s="19">
        <v>1.6400000000000001E-2</v>
      </c>
      <c r="H25" s="20"/>
    </row>
    <row r="26" spans="1:8" ht="13.05" customHeight="1">
      <c r="A26" s="15" t="s">
        <v>77</v>
      </c>
      <c r="B26" s="16" t="s">
        <v>78</v>
      </c>
      <c r="C26" s="12" t="s">
        <v>79</v>
      </c>
      <c r="D26" s="13" t="s">
        <v>52</v>
      </c>
      <c r="E26" s="17">
        <v>315</v>
      </c>
      <c r="F26" s="18">
        <v>41.7</v>
      </c>
      <c r="G26" s="19">
        <v>1.4999999999999999E-2</v>
      </c>
      <c r="H26" s="20"/>
    </row>
    <row r="27" spans="1:8" ht="13.05" customHeight="1">
      <c r="A27" s="15" t="s">
        <v>80</v>
      </c>
      <c r="B27" s="16" t="s">
        <v>81</v>
      </c>
      <c r="C27" s="12" t="s">
        <v>82</v>
      </c>
      <c r="D27" s="13" t="s">
        <v>83</v>
      </c>
      <c r="E27" s="17">
        <v>530</v>
      </c>
      <c r="F27" s="18">
        <v>40.15</v>
      </c>
      <c r="G27" s="19">
        <v>1.4500000000000001E-2</v>
      </c>
      <c r="H27" s="20"/>
    </row>
    <row r="28" spans="1:8" ht="13.05" customHeight="1">
      <c r="A28" s="15" t="s">
        <v>84</v>
      </c>
      <c r="B28" s="16" t="s">
        <v>85</v>
      </c>
      <c r="C28" s="12" t="s">
        <v>86</v>
      </c>
      <c r="D28" s="13" t="s">
        <v>66</v>
      </c>
      <c r="E28" s="17">
        <v>10830</v>
      </c>
      <c r="F28" s="18">
        <v>38.21</v>
      </c>
      <c r="G28" s="19">
        <v>1.38E-2</v>
      </c>
      <c r="H28" s="20"/>
    </row>
    <row r="29" spans="1:8" ht="13.05" customHeight="1">
      <c r="A29" s="15" t="s">
        <v>87</v>
      </c>
      <c r="B29" s="16" t="s">
        <v>88</v>
      </c>
      <c r="C29" s="12" t="s">
        <v>89</v>
      </c>
      <c r="D29" s="13" t="s">
        <v>90</v>
      </c>
      <c r="E29" s="17">
        <v>990</v>
      </c>
      <c r="F29" s="18">
        <v>37.86</v>
      </c>
      <c r="G29" s="19">
        <v>1.3599999999999999E-2</v>
      </c>
      <c r="H29" s="20"/>
    </row>
    <row r="30" spans="1:8" ht="13.05" customHeight="1">
      <c r="A30" s="15" t="s">
        <v>91</v>
      </c>
      <c r="B30" s="16" t="s">
        <v>92</v>
      </c>
      <c r="C30" s="12" t="s">
        <v>93</v>
      </c>
      <c r="D30" s="13" t="s">
        <v>90</v>
      </c>
      <c r="E30" s="17">
        <v>1082</v>
      </c>
      <c r="F30" s="18">
        <v>36.020000000000003</v>
      </c>
      <c r="G30" s="19">
        <v>1.2999999999999999E-2</v>
      </c>
      <c r="H30" s="20"/>
    </row>
    <row r="31" spans="1:8" ht="13.05" customHeight="1">
      <c r="A31" s="15" t="s">
        <v>94</v>
      </c>
      <c r="B31" s="16" t="s">
        <v>95</v>
      </c>
      <c r="C31" s="12" t="s">
        <v>96</v>
      </c>
      <c r="D31" s="13" t="s">
        <v>97</v>
      </c>
      <c r="E31" s="17">
        <v>19822</v>
      </c>
      <c r="F31" s="18">
        <v>33.409999999999997</v>
      </c>
      <c r="G31" s="19">
        <v>1.2E-2</v>
      </c>
      <c r="H31" s="20"/>
    </row>
    <row r="32" spans="1:8" ht="13.05" customHeight="1">
      <c r="A32" s="15" t="s">
        <v>98</v>
      </c>
      <c r="B32" s="16" t="s">
        <v>99</v>
      </c>
      <c r="C32" s="12" t="s">
        <v>100</v>
      </c>
      <c r="D32" s="13" t="s">
        <v>52</v>
      </c>
      <c r="E32" s="17">
        <v>265</v>
      </c>
      <c r="F32" s="18">
        <v>32.72</v>
      </c>
      <c r="G32" s="19">
        <v>1.18E-2</v>
      </c>
      <c r="H32" s="20"/>
    </row>
    <row r="33" spans="1:8" ht="13.05" customHeight="1">
      <c r="A33" s="15" t="s">
        <v>101</v>
      </c>
      <c r="B33" s="16" t="s">
        <v>102</v>
      </c>
      <c r="C33" s="12" t="s">
        <v>103</v>
      </c>
      <c r="D33" s="13" t="s">
        <v>104</v>
      </c>
      <c r="E33" s="17">
        <v>273</v>
      </c>
      <c r="F33" s="18">
        <v>32.22</v>
      </c>
      <c r="G33" s="19">
        <v>1.1599999999999999E-2</v>
      </c>
      <c r="H33" s="20"/>
    </row>
    <row r="34" spans="1:8" ht="13.05" customHeight="1">
      <c r="A34" s="15" t="s">
        <v>105</v>
      </c>
      <c r="B34" s="16" t="s">
        <v>106</v>
      </c>
      <c r="C34" s="12" t="s">
        <v>107</v>
      </c>
      <c r="D34" s="13" t="s">
        <v>108</v>
      </c>
      <c r="E34" s="17">
        <v>5427</v>
      </c>
      <c r="F34" s="18">
        <v>27.69</v>
      </c>
      <c r="G34" s="19">
        <v>0.01</v>
      </c>
      <c r="H34" s="20"/>
    </row>
    <row r="35" spans="1:8" ht="13.05" customHeight="1">
      <c r="A35" s="15" t="s">
        <v>109</v>
      </c>
      <c r="B35" s="16" t="s">
        <v>110</v>
      </c>
      <c r="C35" s="12" t="s">
        <v>111</v>
      </c>
      <c r="D35" s="13" t="s">
        <v>112</v>
      </c>
      <c r="E35" s="17">
        <v>9278</v>
      </c>
      <c r="F35" s="18">
        <v>27.61</v>
      </c>
      <c r="G35" s="19">
        <v>0.01</v>
      </c>
      <c r="H35" s="20"/>
    </row>
    <row r="36" spans="1:8" ht="13.05" customHeight="1">
      <c r="A36" s="15" t="s">
        <v>113</v>
      </c>
      <c r="B36" s="16" t="s">
        <v>114</v>
      </c>
      <c r="C36" s="12" t="s">
        <v>115</v>
      </c>
      <c r="D36" s="13" t="s">
        <v>116</v>
      </c>
      <c r="E36" s="17">
        <v>3481</v>
      </c>
      <c r="F36" s="18">
        <v>26.32</v>
      </c>
      <c r="G36" s="19">
        <v>9.4999999999999998E-3</v>
      </c>
      <c r="H36" s="20"/>
    </row>
    <row r="37" spans="1:8" ht="13.05" customHeight="1">
      <c r="A37" s="15" t="s">
        <v>117</v>
      </c>
      <c r="B37" s="16" t="s">
        <v>118</v>
      </c>
      <c r="C37" s="12" t="s">
        <v>119</v>
      </c>
      <c r="D37" s="13" t="s">
        <v>62</v>
      </c>
      <c r="E37" s="17">
        <v>1306</v>
      </c>
      <c r="F37" s="18">
        <v>25.77</v>
      </c>
      <c r="G37" s="19">
        <v>9.2999999999999992E-3</v>
      </c>
      <c r="H37" s="20"/>
    </row>
    <row r="38" spans="1:8" ht="13.05" customHeight="1">
      <c r="A38" s="15" t="s">
        <v>120</v>
      </c>
      <c r="B38" s="16" t="s">
        <v>121</v>
      </c>
      <c r="C38" s="12" t="s">
        <v>122</v>
      </c>
      <c r="D38" s="13" t="s">
        <v>123</v>
      </c>
      <c r="E38" s="17">
        <v>1763</v>
      </c>
      <c r="F38" s="18">
        <v>25.53</v>
      </c>
      <c r="G38" s="19">
        <v>9.1999999999999998E-3</v>
      </c>
      <c r="H38" s="20"/>
    </row>
    <row r="39" spans="1:8" ht="13.05" customHeight="1">
      <c r="A39" s="15" t="s">
        <v>124</v>
      </c>
      <c r="B39" s="16" t="s">
        <v>125</v>
      </c>
      <c r="C39" s="12" t="s">
        <v>126</v>
      </c>
      <c r="D39" s="13" t="s">
        <v>104</v>
      </c>
      <c r="E39" s="17">
        <v>890</v>
      </c>
      <c r="F39" s="18">
        <v>24.88</v>
      </c>
      <c r="G39" s="19">
        <v>8.9999999999999993E-3</v>
      </c>
      <c r="H39" s="20"/>
    </row>
    <row r="40" spans="1:8" ht="13.05" customHeight="1">
      <c r="A40" s="15" t="s">
        <v>127</v>
      </c>
      <c r="B40" s="16" t="s">
        <v>128</v>
      </c>
      <c r="C40" s="12" t="s">
        <v>129</v>
      </c>
      <c r="D40" s="13" t="s">
        <v>130</v>
      </c>
      <c r="E40" s="17">
        <v>8557</v>
      </c>
      <c r="F40" s="18">
        <v>24.4</v>
      </c>
      <c r="G40" s="19">
        <v>8.8000000000000005E-3</v>
      </c>
      <c r="H40" s="20"/>
    </row>
    <row r="41" spans="1:8" ht="13.05" customHeight="1">
      <c r="A41" s="15" t="s">
        <v>131</v>
      </c>
      <c r="B41" s="16" t="s">
        <v>132</v>
      </c>
      <c r="C41" s="12" t="s">
        <v>133</v>
      </c>
      <c r="D41" s="13" t="s">
        <v>27</v>
      </c>
      <c r="E41" s="17">
        <v>1518</v>
      </c>
      <c r="F41" s="18">
        <v>23.94</v>
      </c>
      <c r="G41" s="19">
        <v>8.6E-3</v>
      </c>
      <c r="H41" s="20"/>
    </row>
    <row r="42" spans="1:8" ht="13.05" customHeight="1">
      <c r="A42" s="15" t="s">
        <v>134</v>
      </c>
      <c r="B42" s="16" t="s">
        <v>135</v>
      </c>
      <c r="C42" s="12" t="s">
        <v>136</v>
      </c>
      <c r="D42" s="13" t="s">
        <v>62</v>
      </c>
      <c r="E42" s="17">
        <v>668</v>
      </c>
      <c r="F42" s="18">
        <v>23.89</v>
      </c>
      <c r="G42" s="19">
        <v>8.6E-3</v>
      </c>
      <c r="H42" s="20"/>
    </row>
    <row r="43" spans="1:8" ht="13.05" customHeight="1">
      <c r="A43" s="15" t="s">
        <v>137</v>
      </c>
      <c r="B43" s="16" t="s">
        <v>138</v>
      </c>
      <c r="C43" s="12" t="s">
        <v>139</v>
      </c>
      <c r="D43" s="13" t="s">
        <v>97</v>
      </c>
      <c r="E43" s="17">
        <v>2294</v>
      </c>
      <c r="F43" s="18">
        <v>23.63</v>
      </c>
      <c r="G43" s="19">
        <v>8.5000000000000006E-3</v>
      </c>
      <c r="H43" s="20"/>
    </row>
    <row r="44" spans="1:8" ht="13.05" customHeight="1">
      <c r="A44" s="15" t="s">
        <v>140</v>
      </c>
      <c r="B44" s="16" t="s">
        <v>141</v>
      </c>
      <c r="C44" s="12" t="s">
        <v>142</v>
      </c>
      <c r="D44" s="13" t="s">
        <v>143</v>
      </c>
      <c r="E44" s="17">
        <v>857</v>
      </c>
      <c r="F44" s="18">
        <v>23.05</v>
      </c>
      <c r="G44" s="19">
        <v>8.3000000000000001E-3</v>
      </c>
      <c r="H44" s="20"/>
    </row>
    <row r="45" spans="1:8" ht="13.05" customHeight="1">
      <c r="A45" s="15" t="s">
        <v>144</v>
      </c>
      <c r="B45" s="16" t="s">
        <v>145</v>
      </c>
      <c r="C45" s="12" t="s">
        <v>146</v>
      </c>
      <c r="D45" s="13" t="s">
        <v>16</v>
      </c>
      <c r="E45" s="17">
        <v>1580</v>
      </c>
      <c r="F45" s="18">
        <v>22.87</v>
      </c>
      <c r="G45" s="19">
        <v>8.2000000000000007E-3</v>
      </c>
      <c r="H45" s="20"/>
    </row>
    <row r="46" spans="1:8" ht="13.05" customHeight="1">
      <c r="A46" s="15" t="s">
        <v>147</v>
      </c>
      <c r="B46" s="16" t="s">
        <v>148</v>
      </c>
      <c r="C46" s="12" t="s">
        <v>149</v>
      </c>
      <c r="D46" s="13" t="s">
        <v>70</v>
      </c>
      <c r="E46" s="17">
        <v>1313</v>
      </c>
      <c r="F46" s="18">
        <v>21.72</v>
      </c>
      <c r="G46" s="19">
        <v>7.7999999999999996E-3</v>
      </c>
      <c r="H46" s="20"/>
    </row>
    <row r="47" spans="1:8" ht="13.05" customHeight="1">
      <c r="A47" s="15" t="s">
        <v>150</v>
      </c>
      <c r="B47" s="16" t="s">
        <v>151</v>
      </c>
      <c r="C47" s="12" t="s">
        <v>152</v>
      </c>
      <c r="D47" s="13" t="s">
        <v>153</v>
      </c>
      <c r="E47" s="17">
        <v>1070</v>
      </c>
      <c r="F47" s="18">
        <v>19.73</v>
      </c>
      <c r="G47" s="19">
        <v>7.1000000000000004E-3</v>
      </c>
      <c r="H47" s="20"/>
    </row>
    <row r="48" spans="1:8" ht="13.05" customHeight="1">
      <c r="A48" s="15" t="s">
        <v>154</v>
      </c>
      <c r="B48" s="16" t="s">
        <v>155</v>
      </c>
      <c r="C48" s="12" t="s">
        <v>156</v>
      </c>
      <c r="D48" s="13" t="s">
        <v>70</v>
      </c>
      <c r="E48" s="17">
        <v>292</v>
      </c>
      <c r="F48" s="18">
        <v>19.71</v>
      </c>
      <c r="G48" s="19">
        <v>7.1000000000000004E-3</v>
      </c>
      <c r="H48" s="20"/>
    </row>
    <row r="49" spans="1:8" ht="13.05" customHeight="1">
      <c r="A49" s="15" t="s">
        <v>157</v>
      </c>
      <c r="B49" s="16" t="s">
        <v>158</v>
      </c>
      <c r="C49" s="12" t="s">
        <v>159</v>
      </c>
      <c r="D49" s="13" t="s">
        <v>160</v>
      </c>
      <c r="E49" s="17">
        <v>1556</v>
      </c>
      <c r="F49" s="18">
        <v>18.62</v>
      </c>
      <c r="G49" s="19">
        <v>6.7000000000000002E-3</v>
      </c>
      <c r="H49" s="20"/>
    </row>
    <row r="50" spans="1:8" ht="13.05" customHeight="1">
      <c r="A50" s="15" t="s">
        <v>161</v>
      </c>
      <c r="B50" s="16" t="s">
        <v>162</v>
      </c>
      <c r="C50" s="12" t="s">
        <v>163</v>
      </c>
      <c r="D50" s="13" t="s">
        <v>153</v>
      </c>
      <c r="E50" s="17">
        <v>2553</v>
      </c>
      <c r="F50" s="18">
        <v>18.329999999999998</v>
      </c>
      <c r="G50" s="19">
        <v>6.6E-3</v>
      </c>
      <c r="H50" s="20"/>
    </row>
    <row r="51" spans="1:8" ht="13.05" customHeight="1">
      <c r="A51" s="15" t="s">
        <v>164</v>
      </c>
      <c r="B51" s="16" t="s">
        <v>165</v>
      </c>
      <c r="C51" s="12" t="s">
        <v>166</v>
      </c>
      <c r="D51" s="13" t="s">
        <v>27</v>
      </c>
      <c r="E51" s="17">
        <v>3382</v>
      </c>
      <c r="F51" s="18">
        <v>18.309999999999999</v>
      </c>
      <c r="G51" s="19">
        <v>6.6E-3</v>
      </c>
      <c r="H51" s="20"/>
    </row>
    <row r="52" spans="1:8" ht="13.05" customHeight="1">
      <c r="A52" s="15" t="s">
        <v>167</v>
      </c>
      <c r="B52" s="16" t="s">
        <v>168</v>
      </c>
      <c r="C52" s="12" t="s">
        <v>169</v>
      </c>
      <c r="D52" s="13" t="s">
        <v>143</v>
      </c>
      <c r="E52" s="17">
        <v>282</v>
      </c>
      <c r="F52" s="18">
        <v>17.87</v>
      </c>
      <c r="G52" s="19">
        <v>6.4000000000000003E-3</v>
      </c>
      <c r="H52" s="20"/>
    </row>
    <row r="53" spans="1:8" ht="13.05" customHeight="1">
      <c r="A53" s="15" t="s">
        <v>170</v>
      </c>
      <c r="B53" s="16" t="s">
        <v>171</v>
      </c>
      <c r="C53" s="12" t="s">
        <v>172</v>
      </c>
      <c r="D53" s="13" t="s">
        <v>52</v>
      </c>
      <c r="E53" s="17">
        <v>310</v>
      </c>
      <c r="F53" s="18">
        <v>17.71</v>
      </c>
      <c r="G53" s="19">
        <v>6.4000000000000003E-3</v>
      </c>
      <c r="H53" s="20"/>
    </row>
    <row r="54" spans="1:8" ht="13.05" customHeight="1">
      <c r="A54" s="15" t="s">
        <v>173</v>
      </c>
      <c r="B54" s="16" t="s">
        <v>174</v>
      </c>
      <c r="C54" s="12" t="s">
        <v>175</v>
      </c>
      <c r="D54" s="13" t="s">
        <v>176</v>
      </c>
      <c r="E54" s="17">
        <v>564</v>
      </c>
      <c r="F54" s="18">
        <v>17.690000000000001</v>
      </c>
      <c r="G54" s="19">
        <v>6.4000000000000003E-3</v>
      </c>
      <c r="H54" s="20"/>
    </row>
    <row r="55" spans="1:8" ht="13.05" customHeight="1">
      <c r="A55" s="15" t="s">
        <v>177</v>
      </c>
      <c r="B55" s="16" t="s">
        <v>178</v>
      </c>
      <c r="C55" s="12" t="s">
        <v>179</v>
      </c>
      <c r="D55" s="13" t="s">
        <v>180</v>
      </c>
      <c r="E55" s="17">
        <v>242</v>
      </c>
      <c r="F55" s="18">
        <v>17.420000000000002</v>
      </c>
      <c r="G55" s="19">
        <v>6.3E-3</v>
      </c>
      <c r="H55" s="20"/>
    </row>
    <row r="56" spans="1:8" ht="13.05" customHeight="1">
      <c r="A56" s="15" t="s">
        <v>181</v>
      </c>
      <c r="B56" s="16" t="s">
        <v>182</v>
      </c>
      <c r="C56" s="12" t="s">
        <v>183</v>
      </c>
      <c r="D56" s="13" t="s">
        <v>20</v>
      </c>
      <c r="E56" s="17">
        <v>4636</v>
      </c>
      <c r="F56" s="18">
        <v>17.149999999999999</v>
      </c>
      <c r="G56" s="19">
        <v>6.1999999999999998E-3</v>
      </c>
      <c r="H56" s="20"/>
    </row>
    <row r="57" spans="1:8" ht="13.05" customHeight="1">
      <c r="A57" s="15" t="s">
        <v>184</v>
      </c>
      <c r="B57" s="16" t="s">
        <v>185</v>
      </c>
      <c r="C57" s="12" t="s">
        <v>186</v>
      </c>
      <c r="D57" s="13" t="s">
        <v>52</v>
      </c>
      <c r="E57" s="17">
        <v>329</v>
      </c>
      <c r="F57" s="18">
        <v>16.54</v>
      </c>
      <c r="G57" s="19">
        <v>6.0000000000000001E-3</v>
      </c>
      <c r="H57" s="20"/>
    </row>
    <row r="58" spans="1:8" ht="13.05" customHeight="1">
      <c r="A58" s="4"/>
      <c r="B58" s="21" t="s">
        <v>187</v>
      </c>
      <c r="C58" s="22"/>
      <c r="D58" s="21"/>
      <c r="E58" s="21"/>
      <c r="F58" s="23">
        <v>2772.16</v>
      </c>
      <c r="G58" s="24">
        <v>0.99919999999999998</v>
      </c>
      <c r="H58" s="25"/>
    </row>
    <row r="59" spans="1:8" ht="13.05" customHeight="1">
      <c r="A59" s="4"/>
      <c r="B59" s="11" t="s">
        <v>188</v>
      </c>
      <c r="C59" s="26"/>
      <c r="D59" s="27"/>
      <c r="E59" s="27"/>
      <c r="F59" s="28" t="s">
        <v>189</v>
      </c>
      <c r="G59" s="28" t="s">
        <v>189</v>
      </c>
      <c r="H59" s="25" t="s">
        <v>189</v>
      </c>
    </row>
    <row r="60" spans="1:8" ht="13.05" customHeight="1">
      <c r="A60" s="4"/>
      <c r="B60" s="21" t="s">
        <v>187</v>
      </c>
      <c r="C60" s="26"/>
      <c r="D60" s="27"/>
      <c r="E60" s="27"/>
      <c r="F60" s="28" t="s">
        <v>189</v>
      </c>
      <c r="G60" s="28" t="s">
        <v>189</v>
      </c>
      <c r="H60" s="25" t="s">
        <v>189</v>
      </c>
    </row>
    <row r="61" spans="1:8" ht="13.05" customHeight="1">
      <c r="A61" s="4"/>
      <c r="B61" s="21" t="s">
        <v>190</v>
      </c>
      <c r="C61" s="26"/>
      <c r="D61" s="27"/>
      <c r="E61" s="29"/>
      <c r="F61" s="30">
        <v>2772.16</v>
      </c>
      <c r="G61" s="31">
        <v>0.99919999999999998</v>
      </c>
      <c r="H61" s="32"/>
    </row>
    <row r="62" spans="1:8" ht="13.05" customHeight="1">
      <c r="A62" s="4"/>
      <c r="B62" s="11" t="s">
        <v>191</v>
      </c>
      <c r="C62" s="12"/>
      <c r="D62" s="13"/>
      <c r="E62" s="13"/>
      <c r="F62" s="13"/>
      <c r="G62" s="13"/>
      <c r="H62" s="14"/>
    </row>
    <row r="63" spans="1:8" ht="13.05" customHeight="1">
      <c r="A63" s="4"/>
      <c r="B63" s="33" t="s">
        <v>192</v>
      </c>
      <c r="C63" s="12"/>
      <c r="D63" s="13"/>
      <c r="E63" s="13"/>
      <c r="F63" s="13"/>
      <c r="G63" s="13"/>
      <c r="H63" s="14"/>
    </row>
    <row r="64" spans="1:8" ht="13.05" customHeight="1">
      <c r="A64" s="15" t="s">
        <v>193</v>
      </c>
      <c r="B64" s="16" t="s">
        <v>194</v>
      </c>
      <c r="C64" s="12"/>
      <c r="D64" s="13"/>
      <c r="E64" s="34"/>
      <c r="F64" s="18">
        <v>1.94</v>
      </c>
      <c r="G64" s="19">
        <v>6.9999999999999999E-4</v>
      </c>
      <c r="H64" s="20">
        <v>6.6364044167269418E-2</v>
      </c>
    </row>
    <row r="65" spans="1:10" ht="13.05" customHeight="1">
      <c r="A65" s="4"/>
      <c r="B65" s="21" t="s">
        <v>190</v>
      </c>
      <c r="C65" s="26"/>
      <c r="D65" s="27"/>
      <c r="E65" s="29"/>
      <c r="F65" s="30">
        <v>1.94</v>
      </c>
      <c r="G65" s="31">
        <v>6.9999999999999999E-4</v>
      </c>
      <c r="H65" s="32"/>
    </row>
    <row r="66" spans="1:10" ht="13.05" customHeight="1">
      <c r="A66" s="4"/>
      <c r="B66" s="33" t="s">
        <v>195</v>
      </c>
      <c r="C66" s="35"/>
      <c r="D66" s="36"/>
      <c r="E66" s="36"/>
      <c r="F66" s="36"/>
      <c r="G66" s="36"/>
      <c r="H66" s="37"/>
    </row>
    <row r="67" spans="1:10" ht="13.05" customHeight="1">
      <c r="A67" s="4"/>
      <c r="B67" s="27" t="s">
        <v>196</v>
      </c>
      <c r="C67" s="26"/>
      <c r="D67" s="27"/>
      <c r="E67" s="27"/>
      <c r="F67" s="23">
        <v>0.04</v>
      </c>
      <c r="G67" s="38" t="s">
        <v>197</v>
      </c>
      <c r="H67" s="37"/>
    </row>
    <row r="68" spans="1:10" ht="13.05" customHeight="1">
      <c r="A68" s="4"/>
      <c r="B68" s="21" t="s">
        <v>187</v>
      </c>
      <c r="C68" s="22"/>
      <c r="D68" s="21"/>
      <c r="E68" s="21"/>
      <c r="F68" s="23">
        <v>0.04</v>
      </c>
      <c r="G68" s="38" t="s">
        <v>197</v>
      </c>
      <c r="H68" s="37"/>
    </row>
    <row r="69" spans="1:10" ht="13.05" customHeight="1">
      <c r="A69" s="4"/>
      <c r="B69" s="21" t="s">
        <v>198</v>
      </c>
      <c r="C69" s="26"/>
      <c r="D69" s="27"/>
      <c r="E69" s="27"/>
      <c r="F69" s="23">
        <v>0.16</v>
      </c>
      <c r="G69" s="39">
        <v>1E-4</v>
      </c>
      <c r="H69" s="37"/>
    </row>
    <row r="70" spans="1:10" ht="13.05" customHeight="1" thickBot="1">
      <c r="A70" s="4"/>
      <c r="B70" s="40" t="s">
        <v>199</v>
      </c>
      <c r="C70" s="41"/>
      <c r="D70" s="42"/>
      <c r="E70" s="42"/>
      <c r="F70" s="43">
        <v>2774.2994523951979</v>
      </c>
      <c r="G70" s="44">
        <v>1</v>
      </c>
      <c r="H70" s="45"/>
    </row>
    <row r="71" spans="1:10" ht="13.05" customHeight="1">
      <c r="A71" s="4"/>
      <c r="B71" s="46"/>
      <c r="C71" s="4"/>
      <c r="D71" s="4"/>
      <c r="E71" s="4"/>
      <c r="F71" s="4"/>
      <c r="G71" s="4"/>
      <c r="H71" s="4"/>
    </row>
    <row r="72" spans="1:10" ht="13.05" customHeight="1">
      <c r="A72" s="4"/>
      <c r="B72" s="46" t="s">
        <v>200</v>
      </c>
      <c r="C72" s="4"/>
      <c r="D72" s="4"/>
      <c r="E72" s="4"/>
      <c r="F72" s="4"/>
      <c r="G72" s="4"/>
      <c r="H72" s="4"/>
    </row>
    <row r="73" spans="1:10" ht="13.05" customHeight="1">
      <c r="A73" s="4"/>
      <c r="B73" s="46"/>
      <c r="C73" s="4"/>
      <c r="D73" s="4"/>
      <c r="E73" s="4"/>
      <c r="F73" s="4"/>
      <c r="G73" s="4"/>
      <c r="H73" s="4"/>
    </row>
    <row r="74" spans="1:10" ht="15" thickBot="1"/>
    <row r="75" spans="1:10">
      <c r="A75" s="1"/>
      <c r="B75" s="47" t="s">
        <v>201</v>
      </c>
      <c r="C75" s="48"/>
      <c r="D75" s="48"/>
      <c r="E75" s="49"/>
      <c r="F75" s="50"/>
      <c r="J75" s="51"/>
    </row>
    <row r="76" spans="1:10">
      <c r="A76" s="1"/>
      <c r="B76" s="52" t="s">
        <v>202</v>
      </c>
      <c r="C76" s="53"/>
      <c r="D76" s="53"/>
      <c r="E76" s="53"/>
      <c r="F76" s="54"/>
      <c r="J76" s="51"/>
    </row>
    <row r="77" spans="1:10">
      <c r="A77" s="1"/>
      <c r="B77" s="55" t="s">
        <v>203</v>
      </c>
      <c r="C77" s="53"/>
      <c r="D77" s="53"/>
      <c r="E77" s="56"/>
      <c r="F77" s="54"/>
      <c r="J77" s="51"/>
    </row>
    <row r="78" spans="1:10" ht="15" thickBot="1">
      <c r="A78" s="1"/>
      <c r="B78" s="57" t="s">
        <v>204</v>
      </c>
      <c r="C78" s="58"/>
      <c r="D78" s="58"/>
      <c r="E78" s="58"/>
      <c r="F78" s="59"/>
      <c r="J78" s="51"/>
    </row>
    <row r="79" spans="1:10">
      <c r="A79" s="1"/>
      <c r="B79" s="60" t="s">
        <v>205</v>
      </c>
      <c r="C79" s="61" t="s">
        <v>206</v>
      </c>
      <c r="D79" s="61"/>
      <c r="E79" s="62"/>
      <c r="F79" s="63"/>
      <c r="J79" s="51"/>
    </row>
    <row r="80" spans="1:10" ht="15" thickBot="1">
      <c r="A80" s="1"/>
      <c r="B80" s="64"/>
      <c r="C80" s="65">
        <v>45565</v>
      </c>
      <c r="D80" s="65">
        <v>45382</v>
      </c>
      <c r="E80" s="65"/>
      <c r="F80" s="66"/>
      <c r="J80" s="51"/>
    </row>
    <row r="81" spans="1:10">
      <c r="A81" s="1"/>
      <c r="B81" s="67"/>
      <c r="C81" s="68"/>
      <c r="D81" s="68"/>
      <c r="E81" s="69"/>
      <c r="F81" s="70"/>
      <c r="J81" s="51"/>
    </row>
    <row r="82" spans="1:10">
      <c r="A82" s="1" t="s">
        <v>207</v>
      </c>
      <c r="B82" s="71" t="s">
        <v>208</v>
      </c>
      <c r="C82" s="68">
        <v>279.40390000000002</v>
      </c>
      <c r="D82" s="68">
        <v>239.9306</v>
      </c>
      <c r="E82" s="69"/>
      <c r="F82" s="70"/>
      <c r="J82" s="51"/>
    </row>
    <row r="83" spans="1:10">
      <c r="A83" s="1"/>
      <c r="B83" s="71"/>
      <c r="C83" s="68"/>
      <c r="D83" s="68"/>
      <c r="E83" s="72"/>
      <c r="F83" s="70"/>
      <c r="J83" s="51"/>
    </row>
    <row r="84" spans="1:10" ht="15" thickBot="1">
      <c r="A84" s="1"/>
      <c r="B84" s="57"/>
      <c r="C84" s="73"/>
      <c r="D84" s="73"/>
      <c r="E84" s="74"/>
      <c r="F84" s="75"/>
      <c r="J84" s="51"/>
    </row>
    <row r="85" spans="1:10">
      <c r="A85" s="1"/>
      <c r="B85" s="71" t="s">
        <v>209</v>
      </c>
      <c r="C85" s="68"/>
      <c r="D85" s="68"/>
      <c r="E85" s="76"/>
      <c r="F85" s="54"/>
      <c r="J85" s="51"/>
    </row>
    <row r="86" spans="1:10">
      <c r="A86" s="1"/>
      <c r="B86" s="71" t="s">
        <v>210</v>
      </c>
      <c r="C86" s="53"/>
      <c r="D86" s="68"/>
      <c r="E86" s="56"/>
      <c r="F86" s="70"/>
      <c r="J86" s="51"/>
    </row>
    <row r="87" spans="1:10">
      <c r="A87" s="1"/>
      <c r="B87" s="71" t="s">
        <v>211</v>
      </c>
      <c r="C87" s="53"/>
      <c r="D87" s="77"/>
      <c r="E87" s="56"/>
      <c r="F87" s="70"/>
      <c r="J87" s="51"/>
    </row>
    <row r="88" spans="1:10">
      <c r="A88" s="1"/>
      <c r="B88" s="71" t="s">
        <v>212</v>
      </c>
      <c r="C88" s="53"/>
      <c r="D88" s="77"/>
      <c r="E88" s="56"/>
      <c r="F88" s="70"/>
      <c r="J88" s="51"/>
    </row>
    <row r="89" spans="1:10">
      <c r="A89" s="1"/>
      <c r="B89" s="71" t="s">
        <v>213</v>
      </c>
      <c r="C89" s="53"/>
      <c r="D89" s="53"/>
      <c r="E89" s="53"/>
      <c r="F89" s="54"/>
      <c r="J89" s="51"/>
    </row>
    <row r="90" spans="1:10" ht="15" thickBot="1">
      <c r="A90" s="1"/>
      <c r="B90" s="57" t="s">
        <v>214</v>
      </c>
      <c r="C90" s="58"/>
      <c r="D90" s="58"/>
      <c r="E90" s="58"/>
      <c r="F90" s="59"/>
      <c r="J90" s="51"/>
    </row>
    <row r="91" spans="1:10">
      <c r="A91" s="1"/>
      <c r="B91" s="53"/>
      <c r="C91" s="53"/>
      <c r="D91" s="53"/>
      <c r="E91" s="53"/>
      <c r="F91" s="78"/>
      <c r="J91" s="51"/>
    </row>
    <row r="92" spans="1:10">
      <c r="A92" s="1"/>
      <c r="B92" s="53"/>
      <c r="C92" s="53"/>
      <c r="D92" s="53"/>
      <c r="E92" s="53"/>
      <c r="F92" s="78"/>
      <c r="J92" s="51"/>
    </row>
    <row r="93" spans="1:10">
      <c r="B93" s="79" t="s">
        <v>215</v>
      </c>
      <c r="C93" s="4"/>
    </row>
    <row r="94" spans="1:10">
      <c r="B94" s="80" t="s">
        <v>216</v>
      </c>
      <c r="C94" s="80" t="s">
        <v>9</v>
      </c>
    </row>
    <row r="95" spans="1:10">
      <c r="B95" s="81" t="str">
        <f>+B8</f>
        <v>HDFC Bank Limited</v>
      </c>
      <c r="C95" s="82">
        <f>+G8</f>
        <v>0.1133</v>
      </c>
    </row>
    <row r="96" spans="1:10">
      <c r="B96" s="81" t="str">
        <f t="shared" ref="B96:B101" si="0">+B9</f>
        <v>Reliance Industries Limited</v>
      </c>
      <c r="C96" s="82">
        <f t="shared" ref="C96:C101" si="1">+G9</f>
        <v>8.6300000000000002E-2</v>
      </c>
    </row>
    <row r="97" spans="2:3">
      <c r="B97" s="81" t="str">
        <f t="shared" si="0"/>
        <v>ICICI Bank Limited</v>
      </c>
      <c r="C97" s="82">
        <f t="shared" si="1"/>
        <v>7.7299999999999994E-2</v>
      </c>
    </row>
    <row r="98" spans="2:3">
      <c r="B98" s="81" t="str">
        <f t="shared" si="0"/>
        <v>Infosys Limited</v>
      </c>
      <c r="C98" s="82">
        <f t="shared" si="1"/>
        <v>5.8200000000000002E-2</v>
      </c>
    </row>
    <row r="99" spans="2:3">
      <c r="B99" s="81" t="str">
        <f t="shared" si="0"/>
        <v>ITC Limited</v>
      </c>
      <c r="C99" s="82">
        <f t="shared" si="1"/>
        <v>4.1599999999999998E-2</v>
      </c>
    </row>
    <row r="100" spans="2:3">
      <c r="B100" s="81" t="str">
        <f t="shared" si="0"/>
        <v>Bharti Airtel Limited</v>
      </c>
      <c r="C100" s="82">
        <f t="shared" si="1"/>
        <v>3.95E-2</v>
      </c>
    </row>
    <row r="101" spans="2:3">
      <c r="B101" s="81" t="str">
        <f t="shared" si="0"/>
        <v>Tata Consultancy Services Limited</v>
      </c>
      <c r="C101" s="82">
        <f t="shared" si="1"/>
        <v>3.7600000000000001E-2</v>
      </c>
    </row>
    <row r="103" spans="2:3">
      <c r="B103" s="79" t="s">
        <v>217</v>
      </c>
    </row>
    <row r="104" spans="2:3">
      <c r="B104" s="80" t="s">
        <v>218</v>
      </c>
      <c r="C104" s="80" t="s">
        <v>9</v>
      </c>
    </row>
    <row r="105" spans="2:3">
      <c r="B105" s="81" t="s">
        <v>219</v>
      </c>
      <c r="C105" s="82">
        <v>0.11989999999999999</v>
      </c>
    </row>
    <row r="106" spans="2:3">
      <c r="B106" s="81" t="s">
        <v>220</v>
      </c>
      <c r="C106" s="82">
        <v>0.1022</v>
      </c>
    </row>
    <row r="107" spans="2:3">
      <c r="B107" s="81" t="s">
        <v>221</v>
      </c>
      <c r="C107" s="82">
        <v>8.6300000000000002E-2</v>
      </c>
    </row>
    <row r="108" spans="2:3">
      <c r="B108" s="81" t="s">
        <v>222</v>
      </c>
      <c r="C108" s="82">
        <v>7.7299999999999994E-2</v>
      </c>
    </row>
    <row r="109" spans="2:3">
      <c r="B109" s="81" t="s">
        <v>223</v>
      </c>
      <c r="C109" s="82">
        <v>7.400000000000001E-2</v>
      </c>
    </row>
    <row r="110" spans="2:3">
      <c r="B110" s="81" t="s">
        <v>224</v>
      </c>
      <c r="C110" s="82">
        <v>5.8200000000000002E-2</v>
      </c>
    </row>
    <row r="111" spans="2:3">
      <c r="B111" s="81" t="s">
        <v>225</v>
      </c>
      <c r="C111" s="82">
        <v>4.1599999999999998E-2</v>
      </c>
    </row>
    <row r="113" spans="2:6">
      <c r="B113" s="79" t="s">
        <v>226</v>
      </c>
    </row>
    <row r="114" spans="2:6">
      <c r="B114" s="80" t="s">
        <v>227</v>
      </c>
      <c r="C114" s="80" t="s">
        <v>9</v>
      </c>
    </row>
    <row r="115" spans="2:6">
      <c r="B115" s="81" t="s">
        <v>228</v>
      </c>
      <c r="C115" s="82">
        <v>0.32889999999999997</v>
      </c>
    </row>
    <row r="116" spans="2:6">
      <c r="B116" s="81" t="s">
        <v>229</v>
      </c>
      <c r="C116" s="82">
        <v>0.12740000000000001</v>
      </c>
    </row>
    <row r="117" spans="2:6">
      <c r="B117" s="81" t="s">
        <v>230</v>
      </c>
      <c r="C117" s="82">
        <v>0.11249999999999999</v>
      </c>
    </row>
    <row r="118" spans="2:6">
      <c r="B118" s="81" t="s">
        <v>231</v>
      </c>
      <c r="C118" s="82">
        <v>8.5699999999999998E-2</v>
      </c>
    </row>
    <row r="119" spans="2:6">
      <c r="F119" s="83" t="s">
        <v>232</v>
      </c>
    </row>
    <row r="120" spans="2:6">
      <c r="B120" s="83" t="s">
        <v>233</v>
      </c>
      <c r="F120" s="83" t="s">
        <v>234</v>
      </c>
    </row>
  </sheetData>
  <mergeCells count="2">
    <mergeCell ref="B2:G2"/>
    <mergeCell ref="B3:G3"/>
  </mergeCells>
  <pageMargins left="0" right="0" top="0" bottom="0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IDF230</vt:lpstr>
      <vt:lpstr>JR_PAGE_ANCHOR_0_15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2024-10-09T13:09:44Z</dcterms:created>
  <dcterms:modified xsi:type="dcterms:W3CDTF">2024-10-09T13:09:46Z</dcterms:modified>
</cp:coreProperties>
</file>