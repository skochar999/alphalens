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6524A11E-1EEF-4BC6-819D-8001BE50F4B5}" xr6:coauthVersionLast="47" xr6:coauthVersionMax="47" xr10:uidLastSave="{00000000-0000-0000-0000-000000000000}"/>
  <bookViews>
    <workbookView xWindow="-108" yWindow="-108" windowWidth="41496" windowHeight="16896" xr2:uid="{37F30034-0580-4427-8CEB-57CB4BA08FC6}"/>
  </bookViews>
  <sheets>
    <sheet name="IDF020" sheetId="1" r:id="rId1"/>
  </sheets>
  <definedNames>
    <definedName name="JR_PAGE_ANCHOR_0_32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  <c r="F74" i="1"/>
</calcChain>
</file>

<file path=xl/sharedStrings.xml><?xml version="1.0" encoding="utf-8"?>
<sst xmlns="http://schemas.openxmlformats.org/spreadsheetml/2006/main" count="290" uniqueCount="252">
  <si>
    <t>IDF020</t>
  </si>
  <si>
    <t>INDEX</t>
  </si>
  <si>
    <t>Portfolio Statement as on December 31,2024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</si>
  <si>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</si>
  <si>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</si>
  <si>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</si>
  <si>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</si>
  <si>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</si>
  <si>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</si>
  <si>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</si>
  <si>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</si>
  <si>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</si>
  <si>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</si>
  <si>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</si>
  <si>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</si>
  <si>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</si>
  <si>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</si>
  <si>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</si>
  <si>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</si>
  <si>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</si>
  <si>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</si>
  <si>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</si>
  <si>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</si>
  <si>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</si>
  <si>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</si>
  <si>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</si>
  <si>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</si>
  <si>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</si>
  <si>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</si>
  <si>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</si>
  <si>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</si>
  <si>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</si>
  <si>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</si>
  <si>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</si>
  <si>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</si>
  <si>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</si>
  <si>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</si>
  <si>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</si>
  <si>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</si>
  <si>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</si>
  <si>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</si>
  <si>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</si>
  <si>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</si>
  <si>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</si>
  <si>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</si>
  <si>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</si>
  <si>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</si>
  <si>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</si>
  <si>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</si>
  <si>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Auto Components</t>
  </si>
  <si>
    <t>IIBL01</t>
  </si>
  <si>
    <t>IndusInd Bank Limited</t>
  </si>
  <si>
    <t>INE095A01012</t>
  </si>
  <si>
    <t>VMAR01</t>
  </si>
  <si>
    <t>V-Mart Retail Limited</t>
  </si>
  <si>
    <t>INE665J01013</t>
  </si>
  <si>
    <t>Retailing</t>
  </si>
  <si>
    <t>KEIN02</t>
  </si>
  <si>
    <t>KEC International Limited</t>
  </si>
  <si>
    <t>INE389H01022</t>
  </si>
  <si>
    <t>Construction</t>
  </si>
  <si>
    <t>HERO02</t>
  </si>
  <si>
    <t>Hero MotoCorp Limited</t>
  </si>
  <si>
    <t>INE158A01026</t>
  </si>
  <si>
    <t>Automobiles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</si>
  <si>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</si>
  <si>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</si>
  <si>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</si>
  <si>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</si>
  <si>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</si>
  <si>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</si>
  <si>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</si>
  <si>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AVAF03</t>
  </si>
  <si>
    <t>Avanti Feeds Limited</t>
  </si>
  <si>
    <t>INE871C01038</t>
  </si>
  <si>
    <t>Food Products</t>
  </si>
  <si>
    <t>MAUD01</t>
  </si>
  <si>
    <t>Maruti Suzuki India Limited</t>
  </si>
  <si>
    <t>INE585B01010</t>
  </si>
  <si>
    <t>LARS02</t>
  </si>
  <si>
    <t>Larsen &amp; Toubro Limited</t>
  </si>
  <si>
    <t>INE018A01030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</si>
  <si>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</si>
  <si>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</si>
  <si>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</si>
  <si>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</si>
  <si>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</si>
  <si>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</si>
  <si>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</si>
  <si>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HCLT02</t>
  </si>
  <si>
    <t>HCL Technologies Limited</t>
  </si>
  <si>
    <t>INE860A01027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</si>
  <si>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</si>
  <si>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</si>
  <si>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</si>
  <si>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</si>
  <si>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</si>
  <si>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</si>
  <si>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</si>
  <si>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LUPL02</t>
  </si>
  <si>
    <t>Lupin Limited</t>
  </si>
  <si>
    <t>INE326A01037</t>
  </si>
  <si>
    <t>HDLI01</t>
  </si>
  <si>
    <t>HDFC Life Insurance Company Limited</t>
  </si>
  <si>
    <t>INE795G01014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</si>
  <si>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</si>
  <si>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</si>
  <si>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</si>
  <si>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</si>
  <si>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</si>
  <si>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</si>
  <si>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</si>
  <si>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Oil</t>
  </si>
  <si>
    <t>GRPA01</t>
  </si>
  <si>
    <t>Greenpanel Industries Limited</t>
  </si>
  <si>
    <t>INE08ZM01014</t>
  </si>
  <si>
    <t>Consumer Durables</t>
  </si>
  <si>
    <t>GCPL02</t>
  </si>
  <si>
    <t>Godrej Consumer Products Limited</t>
  </si>
  <si>
    <t>INE102D01028</t>
  </si>
  <si>
    <t>Personal Products</t>
  </si>
  <si>
    <t>PGCI01</t>
  </si>
  <si>
    <t>Power Grid Corporation of India Limited</t>
  </si>
  <si>
    <t>INE752E01010</t>
  </si>
  <si>
    <t>MAFS02</t>
  </si>
  <si>
    <t>Mahindra &amp; Mahindra Financial Services Limited</t>
  </si>
  <si>
    <t>INE774D01024</t>
  </si>
  <si>
    <t>Finance</t>
  </si>
  <si>
    <t>SLIF01</t>
  </si>
  <si>
    <t>SBI Life Insurance Company Limited</t>
  </si>
  <si>
    <t>INE123W01016</t>
  </si>
  <si>
    <t>RAKH02</t>
  </si>
  <si>
    <t>Radico Khaitan Limited</t>
  </si>
  <si>
    <t>INE944F01028</t>
  </si>
  <si>
    <t>Beverages</t>
  </si>
  <si>
    <t>DRRL03</t>
  </si>
  <si>
    <t>Dr. Reddy's Laboratories Limited</t>
  </si>
  <si>
    <t>INE089A01031</t>
  </si>
  <si>
    <t>MALE02</t>
  </si>
  <si>
    <t>Poonawalla Fincorp Limited</t>
  </si>
  <si>
    <t>INE511C01022</t>
  </si>
  <si>
    <t>EASI02</t>
  </si>
  <si>
    <t>EIH Limited</t>
  </si>
  <si>
    <t>INE230A01023</t>
  </si>
  <si>
    <t>Leisure Services</t>
  </si>
  <si>
    <t>GODP02</t>
  </si>
  <si>
    <t>Godrej Properties Limited</t>
  </si>
  <si>
    <t>INE484J01027</t>
  </si>
  <si>
    <t>Realty</t>
  </si>
  <si>
    <t>MCSP02</t>
  </si>
  <si>
    <t>United Spirits Limited</t>
  </si>
  <si>
    <t>INE854D01024</t>
  </si>
  <si>
    <t>PREP01</t>
  </si>
  <si>
    <t>Prestige Estates Projects Limited</t>
  </si>
  <si>
    <t>INE811K01011</t>
  </si>
  <si>
    <t>VRLO01</t>
  </si>
  <si>
    <t>VRL Logistics Limited</t>
  </si>
  <si>
    <t>INE366I01010</t>
  </si>
  <si>
    <t>Transport Services</t>
  </si>
  <si>
    <t>BAND01</t>
  </si>
  <si>
    <t>Bandhan Bank Limited</t>
  </si>
  <si>
    <t>INE545U01014</t>
  </si>
  <si>
    <t>MIIL02</t>
  </si>
  <si>
    <t>UNO Minda Limited</t>
  </si>
  <si>
    <t>INE405E01023</t>
  </si>
  <si>
    <t>WIPR02</t>
  </si>
  <si>
    <t>Wipro Limited</t>
  </si>
  <si>
    <t>INE075A01022</t>
  </si>
  <si>
    <t>GAIL01</t>
  </si>
  <si>
    <t>GAIL (India) Limited</t>
  </si>
  <si>
    <t>INE129A01019</t>
  </si>
  <si>
    <t>Gas</t>
  </si>
  <si>
    <t>MCEL03</t>
  </si>
  <si>
    <t>The Ramco Cements Limited</t>
  </si>
  <si>
    <t>INE331A01037</t>
  </si>
  <si>
    <t>Cement &amp; Cement Products</t>
  </si>
  <si>
    <t>KIFE02</t>
  </si>
  <si>
    <t>Kirloskar Ferrous Industries Limited</t>
  </si>
  <si>
    <t>INE884B01025</t>
  </si>
  <si>
    <t>SODL01</t>
  </si>
  <si>
    <t>Sobha Limited</t>
  </si>
  <si>
    <t>INE671H01015</t>
  </si>
  <si>
    <t>CIPL03</t>
  </si>
  <si>
    <t>Cipla Limited</t>
  </si>
  <si>
    <t>INE059A01026</t>
  </si>
  <si>
    <t>NAGF02</t>
  </si>
  <si>
    <t>NCC Limited</t>
  </si>
  <si>
    <t>INE868B01028</t>
  </si>
  <si>
    <t>HINI02</t>
  </si>
  <si>
    <t>Hindalco Industries Limited</t>
  </si>
  <si>
    <t>INE038A01020</t>
  </si>
  <si>
    <t>Non - Ferrous Metals</t>
  </si>
  <si>
    <t>UBBL02</t>
  </si>
  <si>
    <t>United Breweries Limited</t>
  </si>
  <si>
    <t>INE686F01025</t>
  </si>
  <si>
    <t>MFSL01</t>
  </si>
  <si>
    <t>Mas Financial Services Limited</t>
  </si>
  <si>
    <t>INE348L01012</t>
  </si>
  <si>
    <t>QUES01</t>
  </si>
  <si>
    <t>Quess Corp Limited</t>
  </si>
  <si>
    <t>INE615P01015</t>
  </si>
  <si>
    <t>Commercial Services &amp; Supplies</t>
  </si>
  <si>
    <t>IHOT02</t>
  </si>
  <si>
    <t>The Indian Hotels Company Limited</t>
  </si>
  <si>
    <t>INE053A01029</t>
  </si>
  <si>
    <t>UPDS01</t>
  </si>
  <si>
    <t>Updater Services Limited</t>
  </si>
  <si>
    <t>INE851I01011</t>
  </si>
  <si>
    <t>CGCE01</t>
  </si>
  <si>
    <t>Crompton Greaves Consumer Electricals Limited</t>
  </si>
  <si>
    <t>INE299U01018</t>
  </si>
  <si>
    <t>DENI02</t>
  </si>
  <si>
    <t>Deepak Nitrite Limited</t>
  </si>
  <si>
    <t>INE288B01029</t>
  </si>
  <si>
    <t>Chemicals &amp; Petrochemicals</t>
  </si>
  <si>
    <t>SAWL01</t>
  </si>
  <si>
    <t>Sterling And Wilson Renewable Energy Limited</t>
  </si>
  <si>
    <t>INE00M201021</t>
  </si>
  <si>
    <t>BATA02</t>
  </si>
  <si>
    <t>Bata India Limited</t>
  </si>
  <si>
    <t>INE176A01028</t>
  </si>
  <si>
    <t>SECH03</t>
  </si>
  <si>
    <t>UPL Limited</t>
  </si>
  <si>
    <t>INE628A01036</t>
  </si>
  <si>
    <t>Fertilizers &amp; Agrochemicals</t>
  </si>
  <si>
    <t>NMDC01</t>
  </si>
  <si>
    <t>NMDC Limited</t>
  </si>
  <si>
    <t>INE584A01023</t>
  </si>
  <si>
    <t>Minerals &amp; Mining</t>
  </si>
  <si>
    <t>SECH04</t>
  </si>
  <si>
    <t>IN9628A01018</t>
  </si>
  <si>
    <t>Subtotal</t>
  </si>
  <si>
    <t>(b) UNLISTED</t>
  </si>
  <si>
    <t>SODL02</t>
  </si>
  <si>
    <t>Sobha Limited *</t>
  </si>
  <si>
    <t>IN9671H01013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</si>
  <si>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</si>
  <si>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</si>
  <si>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</si>
  <si>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</si>
  <si>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</si>
  <si>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</si>
  <si>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</si>
  <si>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</si>
  <si>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</si>
  <si>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</si>
  <si>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</si>
  <si>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</si>
  <si>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 Sobha Limited Partly Paid have been suspended from trading on the exchange for the payment of 1st and Final call money.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</si>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</sst>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A6D2B-DA91-47B9-8A76-7EA676450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201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556260</xdr:colOff>
      <xdr:row>103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E1659-DE1B-4ECA-92EC-1D1B1BC09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5201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34AD-D1CC-4296-8B0B-BB604C245629}">
  <sheetPr codeName="Sheet32">
    <outlinePr summaryBelow="0"/>
  </sheetPr>
  <dimension ref="A1:H92"/>
  <sheetViews>
    <sheetView tabSelected="1" topLeftCell="A56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3400000</v>
      </c>
      <c r="F8" s="18">
        <v>60276.9</v>
      </c>
      <c r="G8" s="19">
        <v>6.0600000000000001E-2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4900000</v>
      </c>
      <c r="F9" s="18">
        <v>59557.05</v>
      </c>
      <c r="G9" s="19">
        <v>5.9900000000000002E-2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3900000</v>
      </c>
      <c r="F10" s="18">
        <v>41523.300000000003</v>
      </c>
      <c r="G10" s="19">
        <v>4.1700000000000001E-2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38449.5</v>
      </c>
      <c r="G11" s="19">
        <v>3.8699999999999998E-2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700000</v>
      </c>
      <c r="F12" s="18">
        <v>28663.599999999999</v>
      </c>
      <c r="G12" s="19">
        <v>2.8799999999999999E-2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1400000</v>
      </c>
      <c r="F13" s="18">
        <v>26320</v>
      </c>
      <c r="G13" s="19">
        <v>2.6499999999999999E-2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2500000</v>
      </c>
      <c r="F14" s="18">
        <v>23267.5</v>
      </c>
      <c r="G14" s="19">
        <v>2.3400000000000001E-2</v>
      </c>
      <c r="H14" s="20"/>
    </row>
    <row r="15" spans="1:8" ht="13.05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3000000</v>
      </c>
      <c r="F15" s="18">
        <v>21840</v>
      </c>
      <c r="G15" s="19">
        <v>2.1999999999999999E-2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4500000</v>
      </c>
      <c r="F16" s="18">
        <v>21764.25</v>
      </c>
      <c r="G16" s="19">
        <v>2.1899999999999999E-2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57500</v>
      </c>
      <c r="F17" s="18">
        <v>19607.62</v>
      </c>
      <c r="G17" s="19">
        <v>1.9699999999999999E-2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16</v>
      </c>
      <c r="E18" s="17">
        <v>2000000</v>
      </c>
      <c r="F18" s="18">
        <v>19203</v>
      </c>
      <c r="G18" s="19">
        <v>1.9300000000000001E-2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465000</v>
      </c>
      <c r="F19" s="18">
        <v>18304.03</v>
      </c>
      <c r="G19" s="19">
        <v>1.84E-2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1500000</v>
      </c>
      <c r="F20" s="18">
        <v>17982</v>
      </c>
      <c r="G20" s="19">
        <v>1.8100000000000002E-2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425000</v>
      </c>
      <c r="F21" s="18">
        <v>17682.55</v>
      </c>
      <c r="G21" s="19">
        <v>1.78E-2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960000</v>
      </c>
      <c r="F22" s="18">
        <v>17162.400000000001</v>
      </c>
      <c r="G22" s="19">
        <v>1.7299999999999999E-2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30</v>
      </c>
      <c r="E23" s="17">
        <v>1000000</v>
      </c>
      <c r="F23" s="18">
        <v>17062</v>
      </c>
      <c r="G23" s="19">
        <v>1.72E-2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2500000</v>
      </c>
      <c r="F24" s="18">
        <v>17043.75</v>
      </c>
      <c r="G24" s="19">
        <v>1.7100000000000001E-2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64</v>
      </c>
      <c r="E25" s="17">
        <v>150000</v>
      </c>
      <c r="F25" s="18">
        <v>16287.6</v>
      </c>
      <c r="G25" s="19">
        <v>1.6400000000000001E-2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60</v>
      </c>
      <c r="E26" s="17">
        <v>450000</v>
      </c>
      <c r="F26" s="18">
        <v>16234.43</v>
      </c>
      <c r="G26" s="19">
        <v>1.6299999999999999E-2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850000</v>
      </c>
      <c r="F27" s="18">
        <v>16033.98</v>
      </c>
      <c r="G27" s="19">
        <v>1.61E-2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85</v>
      </c>
      <c r="E28" s="17">
        <v>1200000</v>
      </c>
      <c r="F28" s="18">
        <v>16014</v>
      </c>
      <c r="G28" s="19">
        <v>1.61E-2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30</v>
      </c>
      <c r="E29" s="17">
        <v>799000</v>
      </c>
      <c r="F29" s="18">
        <v>15320.03</v>
      </c>
      <c r="G29" s="19">
        <v>1.54E-2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16</v>
      </c>
      <c r="E30" s="17">
        <v>1900000</v>
      </c>
      <c r="F30" s="18">
        <v>15104.05</v>
      </c>
      <c r="G30" s="19">
        <v>1.52E-2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4500000</v>
      </c>
      <c r="F31" s="18">
        <v>15000.75</v>
      </c>
      <c r="G31" s="19">
        <v>1.5100000000000001E-2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85</v>
      </c>
      <c r="E32" s="17">
        <v>600000</v>
      </c>
      <c r="F32" s="18">
        <v>14134.2</v>
      </c>
      <c r="G32" s="19">
        <v>1.4200000000000001E-2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68</v>
      </c>
      <c r="E33" s="17">
        <v>2100000</v>
      </c>
      <c r="F33" s="18">
        <v>12958.05</v>
      </c>
      <c r="G33" s="19">
        <v>1.2999999999999999E-2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2700000</v>
      </c>
      <c r="F34" s="18">
        <v>12000.15</v>
      </c>
      <c r="G34" s="19">
        <v>1.21E-2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5000000</v>
      </c>
      <c r="F35" s="18">
        <v>11962.5</v>
      </c>
      <c r="G35" s="19">
        <v>1.2E-2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3100000</v>
      </c>
      <c r="F36" s="18">
        <v>11724.2</v>
      </c>
      <c r="G36" s="19">
        <v>1.18E-2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1000000</v>
      </c>
      <c r="F37" s="18">
        <v>10820.5</v>
      </c>
      <c r="G37" s="19">
        <v>1.09E-2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98</v>
      </c>
      <c r="E38" s="17">
        <v>3500000</v>
      </c>
      <c r="F38" s="18">
        <v>10804.5</v>
      </c>
      <c r="G38" s="19">
        <v>1.09E-2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4000000</v>
      </c>
      <c r="F39" s="18">
        <v>10598</v>
      </c>
      <c r="G39" s="19">
        <v>1.0699999999999999E-2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68</v>
      </c>
      <c r="E40" s="17">
        <v>750000</v>
      </c>
      <c r="F40" s="18">
        <v>10428</v>
      </c>
      <c r="G40" s="19">
        <v>1.0500000000000001E-2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400000</v>
      </c>
      <c r="F41" s="18">
        <v>10423.6</v>
      </c>
      <c r="G41" s="19">
        <v>1.0500000000000001E-2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85</v>
      </c>
      <c r="E42" s="17">
        <v>750000</v>
      </c>
      <c r="F42" s="18">
        <v>10413.75</v>
      </c>
      <c r="G42" s="19">
        <v>1.0500000000000001E-2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127</v>
      </c>
      <c r="E43" s="17">
        <v>3300000</v>
      </c>
      <c r="F43" s="18">
        <v>10373.549999999999</v>
      </c>
      <c r="G43" s="19">
        <v>1.04E-2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2450000</v>
      </c>
      <c r="F44" s="18">
        <v>10286.33</v>
      </c>
      <c r="G44" s="19">
        <v>1.03E-2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353949</v>
      </c>
      <c r="F45" s="18">
        <v>9862.7900000000009</v>
      </c>
      <c r="G45" s="19">
        <v>9.9000000000000008E-3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134</v>
      </c>
      <c r="E46" s="17">
        <v>600000</v>
      </c>
      <c r="F46" s="18">
        <v>9752.7000000000007</v>
      </c>
      <c r="G46" s="19">
        <v>9.7999999999999997E-3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148</v>
      </c>
      <c r="E47" s="17">
        <v>575000</v>
      </c>
      <c r="F47" s="18">
        <v>9740.5</v>
      </c>
      <c r="G47" s="19">
        <v>9.7999999999999997E-3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1900000</v>
      </c>
      <c r="F48" s="18">
        <v>9597.85</v>
      </c>
      <c r="G48" s="19">
        <v>9.5999999999999992E-3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16</v>
      </c>
      <c r="E49" s="17">
        <v>6000000</v>
      </c>
      <c r="F49" s="18">
        <v>9543.6</v>
      </c>
      <c r="G49" s="19">
        <v>9.5999999999999992E-3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49</v>
      </c>
      <c r="E50" s="17">
        <v>900000</v>
      </c>
      <c r="F50" s="18">
        <v>9478.7999999999993</v>
      </c>
      <c r="G50" s="19">
        <v>9.4999999999999998E-3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30</v>
      </c>
      <c r="E51" s="17">
        <v>3000000</v>
      </c>
      <c r="F51" s="18">
        <v>9055.5</v>
      </c>
      <c r="G51" s="19">
        <v>9.1000000000000004E-3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171</v>
      </c>
      <c r="E52" s="17">
        <v>4500000</v>
      </c>
      <c r="F52" s="18">
        <v>8594.1</v>
      </c>
      <c r="G52" s="19">
        <v>8.6E-3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875000</v>
      </c>
      <c r="F53" s="18">
        <v>8449.44</v>
      </c>
      <c r="G53" s="19">
        <v>8.5000000000000006E-3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37</v>
      </c>
      <c r="E54" s="17">
        <v>1278054</v>
      </c>
      <c r="F54" s="18">
        <v>8172.52</v>
      </c>
      <c r="G54" s="19">
        <v>8.2000000000000007E-3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148</v>
      </c>
      <c r="E55" s="17">
        <v>500000</v>
      </c>
      <c r="F55" s="18">
        <v>7883.5</v>
      </c>
      <c r="G55" s="19">
        <v>7.9000000000000008E-3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85</v>
      </c>
      <c r="E56" s="17">
        <v>500000</v>
      </c>
      <c r="F56" s="18">
        <v>7645</v>
      </c>
      <c r="G56" s="19">
        <v>7.7000000000000002E-3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60</v>
      </c>
      <c r="E57" s="17">
        <v>2728668</v>
      </c>
      <c r="F57" s="18">
        <v>7473.82</v>
      </c>
      <c r="G57" s="19">
        <v>7.4999999999999997E-3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1200000</v>
      </c>
      <c r="F58" s="18">
        <v>7229.4</v>
      </c>
      <c r="G58" s="19">
        <v>7.3000000000000001E-3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134</v>
      </c>
      <c r="E59" s="17">
        <v>350000</v>
      </c>
      <c r="F59" s="18">
        <v>7129.5</v>
      </c>
      <c r="G59" s="19">
        <v>7.1999999999999998E-3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127</v>
      </c>
      <c r="E60" s="17">
        <v>2550000</v>
      </c>
      <c r="F60" s="18">
        <v>7020.15</v>
      </c>
      <c r="G60" s="19">
        <v>7.1000000000000004E-3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947728</v>
      </c>
      <c r="F61" s="18">
        <v>6273.49</v>
      </c>
      <c r="G61" s="19">
        <v>6.3E-3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144</v>
      </c>
      <c r="E62" s="17">
        <v>700000</v>
      </c>
      <c r="F62" s="18">
        <v>6142.85</v>
      </c>
      <c r="G62" s="19">
        <v>6.1999999999999998E-3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201</v>
      </c>
      <c r="E63" s="17">
        <v>1600000</v>
      </c>
      <c r="F63" s="18">
        <v>6056.8</v>
      </c>
      <c r="G63" s="19">
        <v>6.1000000000000004E-3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116</v>
      </c>
      <c r="E64" s="17">
        <v>1500000</v>
      </c>
      <c r="F64" s="18">
        <v>5937</v>
      </c>
      <c r="G64" s="19">
        <v>6.0000000000000001E-3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214</v>
      </c>
      <c r="E65" s="17">
        <v>230000</v>
      </c>
      <c r="F65" s="18">
        <v>5736.89</v>
      </c>
      <c r="G65" s="19">
        <v>5.7999999999999996E-3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60</v>
      </c>
      <c r="E66" s="17">
        <v>1200000</v>
      </c>
      <c r="F66" s="18">
        <v>5506.8</v>
      </c>
      <c r="G66" s="19">
        <v>5.4999999999999997E-3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116</v>
      </c>
      <c r="E67" s="17">
        <v>400000</v>
      </c>
      <c r="F67" s="18">
        <v>5499.6</v>
      </c>
      <c r="G67" s="19">
        <v>5.4999999999999997E-3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224</v>
      </c>
      <c r="E68" s="17">
        <v>1050000</v>
      </c>
      <c r="F68" s="18">
        <v>5260.5</v>
      </c>
      <c r="G68" s="19">
        <v>5.3E-3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228</v>
      </c>
      <c r="E69" s="17">
        <v>3000000</v>
      </c>
      <c r="F69" s="18">
        <v>1977.6</v>
      </c>
      <c r="G69" s="19">
        <v>2E-3</v>
      </c>
      <c r="H69" s="20"/>
    </row>
    <row r="70" spans="1:8" ht="13.05" customHeight="1">
      <c r="A70" s="15" t="s">
        <v>229</v>
      </c>
      <c r="B70" s="16" t="s">
        <v>222</v>
      </c>
      <c r="C70" s="12" t="s">
        <v>230</v>
      </c>
      <c r="D70" s="13" t="s">
        <v>224</v>
      </c>
      <c r="E70" s="17">
        <v>123154</v>
      </c>
      <c r="F70" s="18">
        <v>277.77</v>
      </c>
      <c r="G70" s="19">
        <v>2.9999999999999997E-4</v>
      </c>
      <c r="H70" s="20"/>
    </row>
    <row r="71" spans="1:8" ht="13.05" customHeight="1">
      <c r="A71" s="4"/>
      <c r="B71" s="21" t="s">
        <v>231</v>
      </c>
      <c r="C71" s="22"/>
      <c r="D71" s="21"/>
      <c r="E71" s="21"/>
      <c r="F71" s="23">
        <v>908457.62</v>
      </c>
      <c r="G71" s="24">
        <v>0.91359999999999997</v>
      </c>
      <c r="H71" s="25"/>
    </row>
    <row r="72" spans="1:8" ht="13.05" customHeight="1">
      <c r="A72" s="4"/>
      <c r="B72" s="11" t="s">
        <v>232</v>
      </c>
      <c r="C72" s="26"/>
      <c r="D72" s="27"/>
      <c r="E72" s="27"/>
      <c r="F72" s="28"/>
      <c r="G72" s="28"/>
      <c r="H72" s="25"/>
    </row>
    <row r="73" spans="1:8" ht="13.05" customHeight="1">
      <c r="A73" s="15" t="s">
        <v>233</v>
      </c>
      <c r="B73" s="16" t="s">
        <v>234</v>
      </c>
      <c r="C73" s="12" t="s">
        <v>235</v>
      </c>
      <c r="D73" s="13" t="s">
        <v>148</v>
      </c>
      <c r="E73" s="17">
        <v>70225</v>
      </c>
      <c r="F73" s="18">
        <v>527.53</v>
      </c>
      <c r="G73" s="19">
        <v>5.0000000000000001E-4</v>
      </c>
      <c r="H73" s="20"/>
    </row>
    <row r="74" spans="1:8" ht="13.05" customHeight="1">
      <c r="A74" s="4"/>
      <c r="B74" s="21" t="s">
        <v>231</v>
      </c>
      <c r="C74" s="26"/>
      <c r="D74" s="27"/>
      <c r="E74" s="27"/>
      <c r="F74" s="23">
        <f>+F73</f>
        <v>527.53</v>
      </c>
      <c r="G74" s="24">
        <f>+G73</f>
        <v>5.0000000000000001E-4</v>
      </c>
      <c r="H74" s="25"/>
    </row>
    <row r="75" spans="1:8" ht="13.05" customHeight="1">
      <c r="A75" s="4"/>
      <c r="B75" s="21" t="s">
        <v>236</v>
      </c>
      <c r="C75" s="26"/>
      <c r="D75" s="27"/>
      <c r="E75" s="29"/>
      <c r="F75" s="30">
        <v>908457.62</v>
      </c>
      <c r="G75" s="31">
        <v>0.91359999999999997</v>
      </c>
      <c r="H75" s="32"/>
    </row>
    <row r="76" spans="1:8" ht="13.05" customHeight="1">
      <c r="A76" s="4"/>
      <c r="B76" s="11" t="s">
        <v>237</v>
      </c>
      <c r="C76" s="12"/>
      <c r="D76" s="13"/>
      <c r="E76" s="13"/>
      <c r="F76" s="13"/>
      <c r="G76" s="13"/>
      <c r="H76" s="14"/>
    </row>
    <row r="77" spans="1:8" ht="13.05" customHeight="1">
      <c r="A77" s="4"/>
      <c r="B77" s="33" t="s">
        <v>238</v>
      </c>
      <c r="C77" s="12"/>
      <c r="D77" s="13"/>
      <c r="E77" s="13"/>
      <c r="F77" s="13"/>
      <c r="G77" s="13"/>
      <c r="H77" s="14"/>
    </row>
    <row r="78" spans="1:8" ht="13.05" customHeight="1">
      <c r="A78" s="15" t="s">
        <v>239</v>
      </c>
      <c r="B78" s="16" t="s">
        <v>240</v>
      </c>
      <c r="C78" s="12"/>
      <c r="D78" s="13"/>
      <c r="E78" s="34"/>
      <c r="F78" s="18">
        <v>91067.55</v>
      </c>
      <c r="G78" s="19">
        <v>9.1600000000000001E-2</v>
      </c>
      <c r="H78" s="20">
        <v>6.2893040365100156E-2</v>
      </c>
    </row>
    <row r="79" spans="1:8" ht="13.05" customHeight="1">
      <c r="A79" s="4"/>
      <c r="B79" s="21" t="s">
        <v>236</v>
      </c>
      <c r="C79" s="26"/>
      <c r="D79" s="27"/>
      <c r="E79" s="29"/>
      <c r="F79" s="30">
        <v>91067.55</v>
      </c>
      <c r="G79" s="31">
        <v>9.1600000000000001E-2</v>
      </c>
      <c r="H79" s="32"/>
    </row>
    <row r="80" spans="1:8" ht="13.05" customHeight="1">
      <c r="A80" s="4"/>
      <c r="B80" s="33" t="s">
        <v>241</v>
      </c>
      <c r="C80" s="35"/>
      <c r="D80" s="36"/>
      <c r="E80" s="36"/>
      <c r="F80" s="36"/>
      <c r="G80" s="36"/>
      <c r="H80" s="37"/>
    </row>
    <row r="81" spans="1:8" ht="13.05" customHeight="1">
      <c r="A81" s="4"/>
      <c r="B81" s="27" t="s">
        <v>242</v>
      </c>
      <c r="C81" s="26"/>
      <c r="D81" s="27"/>
      <c r="E81" s="27"/>
      <c r="F81" s="23">
        <v>494.56</v>
      </c>
      <c r="G81" s="24">
        <v>5.0000000000000001E-4</v>
      </c>
      <c r="H81" s="37"/>
    </row>
    <row r="82" spans="1:8" ht="13.05" customHeight="1">
      <c r="A82" s="4"/>
      <c r="B82" s="21" t="s">
        <v>231</v>
      </c>
      <c r="C82" s="22"/>
      <c r="D82" s="21"/>
      <c r="E82" s="21"/>
      <c r="F82" s="23">
        <v>494.56</v>
      </c>
      <c r="G82" s="24">
        <v>5.0000000000000001E-4</v>
      </c>
      <c r="H82" s="37"/>
    </row>
    <row r="83" spans="1:8" ht="13.05" customHeight="1">
      <c r="A83" s="4"/>
      <c r="B83" s="27" t="s">
        <v>243</v>
      </c>
      <c r="C83" s="26"/>
      <c r="D83" s="27"/>
      <c r="E83" s="27"/>
      <c r="F83" s="23">
        <v>200</v>
      </c>
      <c r="G83" s="24">
        <v>2.0000000000000001E-4</v>
      </c>
      <c r="H83" s="37"/>
    </row>
    <row r="84" spans="1:8" ht="13.05" customHeight="1">
      <c r="A84" s="4"/>
      <c r="B84" s="36" t="s">
        <v>244</v>
      </c>
      <c r="C84" s="35"/>
      <c r="D84" s="36"/>
      <c r="E84" s="36"/>
      <c r="F84" s="38">
        <v>367.38</v>
      </c>
      <c r="G84" s="39">
        <v>4.0000000000000002E-4</v>
      </c>
      <c r="H84" s="37"/>
    </row>
    <row r="85" spans="1:8" ht="13.05" customHeight="1">
      <c r="A85" s="4"/>
      <c r="B85" s="36" t="s">
        <v>245</v>
      </c>
      <c r="C85" s="35"/>
      <c r="D85" s="36"/>
      <c r="E85" s="36"/>
      <c r="F85" s="40">
        <v>-5901.37</v>
      </c>
      <c r="G85" s="39">
        <v>-6.3E-3</v>
      </c>
      <c r="H85" s="37"/>
    </row>
    <row r="86" spans="1:8" ht="13.05" customHeight="1">
      <c r="A86" s="4"/>
      <c r="B86" s="21" t="s">
        <v>246</v>
      </c>
      <c r="C86" s="26"/>
      <c r="D86" s="27"/>
      <c r="E86" s="27"/>
      <c r="F86" s="23">
        <v>-5333.99</v>
      </c>
      <c r="G86" s="41">
        <v>-5.7000000000000002E-3</v>
      </c>
      <c r="H86" s="37"/>
    </row>
    <row r="87" spans="1:8" ht="13.05" customHeight="1" thickBot="1">
      <c r="A87" s="4"/>
      <c r="B87" s="42" t="s">
        <v>247</v>
      </c>
      <c r="C87" s="43"/>
      <c r="D87" s="44"/>
      <c r="E87" s="44"/>
      <c r="F87" s="45">
        <v>994685.7434660939</v>
      </c>
      <c r="G87" s="46">
        <v>1</v>
      </c>
      <c r="H87" s="47"/>
    </row>
    <row r="88" spans="1:8" ht="13.05" customHeight="1">
      <c r="A88" s="4"/>
      <c r="B88" s="48"/>
      <c r="C88" s="4"/>
      <c r="D88" s="4"/>
      <c r="E88" s="4"/>
      <c r="F88" s="4"/>
      <c r="G88" s="4"/>
      <c r="H88" s="4"/>
    </row>
    <row r="89" spans="1:8" ht="13.05" customHeight="1">
      <c r="A89" s="4"/>
      <c r="B89" s="49" t="s">
        <v>248</v>
      </c>
      <c r="C89" s="4"/>
      <c r="D89" s="4"/>
      <c r="E89" s="4"/>
      <c r="F89" s="4"/>
      <c r="G89" s="4"/>
      <c r="H89" s="4"/>
    </row>
    <row r="90" spans="1:8" ht="13.05" customHeight="1">
      <c r="A90" s="4"/>
      <c r="B90" s="48"/>
      <c r="C90" s="4"/>
      <c r="D90" s="4"/>
      <c r="E90" s="4"/>
      <c r="F90" s="4"/>
      <c r="G90" s="4"/>
      <c r="H90" s="4"/>
    </row>
    <row r="91" spans="1:8">
      <c r="F91" s="50" t="s">
        <v>249</v>
      </c>
    </row>
    <row r="92" spans="1:8">
      <c r="B92" s="50" t="s">
        <v>250</v>
      </c>
      <c r="F92" s="50" t="s">
        <v>251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2025-01-08T09:21:36Z</dcterms:created>
  <dcterms:modified xsi:type="dcterms:W3CDTF">2025-01-08T09:21:37Z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aa347422-430f-41b6-852b-8ac36b695376</vt:lpwstr>
  </property>
  <property fmtid="{D5CDD505-2E9C-101B-9397-08002B2CF9AE}" pid="8" name="MSIP_Label_1b7f8449-e5d3-4eba-8da7-ffd6ca5bf3e9_ContentBits">
    <vt:lpwstr>0</vt:lpwstr>
  </property>
</Properties>
</file>