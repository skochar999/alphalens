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80224175-7CA1-4184-B3EF-FA45F04BE8E9}" xr6:coauthVersionLast="47" xr6:coauthVersionMax="47" xr10:uidLastSave="{00000000-0000-0000-0000-000000000000}"/>
  <bookViews>
    <workbookView xWindow="-108" yWindow="-108" windowWidth="41496" windowHeight="16896" xr2:uid="{5B43D869-6914-4788-8EB1-B4BFA9BA2B4A}"/>
  </bookViews>
  <sheets>
    <sheet name="IDF019" sheetId="1" r:id="rId1"/>
  </sheets>
  <definedNames>
    <definedName name="JR_PAGE_ANCHOR_0_31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F81" i="1"/>
</calcChain>
</file>

<file path=xl/sharedStrings.xml><?xml version="1.0" encoding="utf-8"?>
<sst xmlns="http://schemas.openxmlformats.org/spreadsheetml/2006/main" count="318" uniqueCount="272">
  <si>
    <t>IDF019</t>
  </si>
  <si>
    <t>INDEX</t>
  </si>
  <si>
    <t>Portfolio Statement as on December 31,2024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</si>
  <si>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</si>
  <si>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</si>
  <si>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</si>
  <si>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</si>
  <si>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</si>
  <si>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</si>
  <si>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</si>
  <si>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</si>
  <si>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</si>
  <si>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</si>
  <si>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</si>
  <si>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</si>
  <si>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</si>
  <si>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</si>
  <si>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</si>
  <si>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</si>
  <si>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</si>
  <si>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</si>
  <si>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</si>
  <si>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</si>
  <si>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</si>
  <si>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</si>
  <si>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</si>
  <si>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</si>
  <si>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</si>
  <si>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</si>
  <si>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</si>
  <si>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</si>
  <si>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</si>
  <si>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</si>
  <si>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</si>
  <si>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</si>
  <si>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</si>
  <si>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</si>
  <si>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</si>
  <si>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</si>
  <si>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</si>
  <si>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</si>
  <si>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</si>
  <si>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</si>
  <si>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</si>
  <si>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</si>
  <si>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</si>
  <si>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</si>
  <si>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</si>
  <si>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</si>
  <si>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</si>
  <si>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AVSP01</t>
  </si>
  <si>
    <t>Avenue Supermarts Limited</t>
  </si>
  <si>
    <t>INE192R01011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</si>
  <si>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</si>
  <si>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</si>
  <si>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</si>
  <si>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</si>
  <si>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</si>
  <si>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</si>
  <si>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</si>
  <si>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</si>
  <si>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</si>
  <si>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</si>
  <si>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</si>
  <si>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ITCL02</t>
  </si>
  <si>
    <t>ITC Limited</t>
  </si>
  <si>
    <t>INE154A01025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</si>
  <si>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</si>
  <si>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</si>
  <si>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</si>
  <si>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</si>
  <si>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</si>
  <si>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</si>
  <si>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</si>
  <si>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DRRL03</t>
  </si>
  <si>
    <t>Dr. Reddy's Laboratories Limited</t>
  </si>
  <si>
    <t>INE089A01031</t>
  </si>
  <si>
    <t>NITL01</t>
  </si>
  <si>
    <t>Coforge Limited</t>
  </si>
  <si>
    <t>INE591G01017</t>
  </si>
  <si>
    <t>JSPL03</t>
  </si>
  <si>
    <t>Jindal Steel &amp; Power Limited</t>
  </si>
  <si>
    <t>INE749A01030</t>
  </si>
  <si>
    <t>Ferrous Metals</t>
  </si>
  <si>
    <t>KEIN02</t>
  </si>
  <si>
    <t>KEC International Limited</t>
  </si>
  <si>
    <t>INE389H01022</t>
  </si>
  <si>
    <t>HDLI01</t>
  </si>
  <si>
    <t>HDFC Life Insurance Company Limited</t>
  </si>
  <si>
    <t>INE795G01014</t>
  </si>
  <si>
    <t>Insurance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</si>
  <si>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</si>
  <si>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</si>
  <si>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</si>
  <si>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</si>
  <si>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</si>
  <si>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</si>
  <si>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</si>
  <si>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HERO02</t>
  </si>
  <si>
    <t>Hero MotoCorp Limited</t>
  </si>
  <si>
    <t>INE158A01026</t>
  </si>
  <si>
    <t>BTUL02</t>
  </si>
  <si>
    <t>APL Apollo Tubes Limited</t>
  </si>
  <si>
    <t>INE702C01027</t>
  </si>
  <si>
    <t>Industrial Products</t>
  </si>
  <si>
    <t>TBOT01</t>
  </si>
  <si>
    <t>TBO Tek Limited</t>
  </si>
  <si>
    <t>INE673O01025</t>
  </si>
  <si>
    <t>Leisure Services</t>
  </si>
  <si>
    <t>ILOM01</t>
  </si>
  <si>
    <t>ICICI Lombard General Insurance Company Limited</t>
  </si>
  <si>
    <t>INE765G01017</t>
  </si>
  <si>
    <t>DABU02</t>
  </si>
  <si>
    <t>Dabur India Limited</t>
  </si>
  <si>
    <t>INE016A01026</t>
  </si>
  <si>
    <t>Personal Products</t>
  </si>
  <si>
    <t>GRAS02</t>
  </si>
  <si>
    <t>Grasim Industries Limited</t>
  </si>
  <si>
    <t>INE047A01021</t>
  </si>
  <si>
    <t>Cement &amp; Cement Products</t>
  </si>
  <si>
    <t>SBAI02</t>
  </si>
  <si>
    <t>State Bank of India</t>
  </si>
  <si>
    <t>INE062A01020</t>
  </si>
  <si>
    <t>SLIF01</t>
  </si>
  <si>
    <t>SBI Life Insurance Company Limited</t>
  </si>
  <si>
    <t>INE123W01016</t>
  </si>
  <si>
    <t>ODCL03</t>
  </si>
  <si>
    <t>Dalmia Bharat Limited</t>
  </si>
  <si>
    <t>INE00R701025</t>
  </si>
  <si>
    <t>MKIP01</t>
  </si>
  <si>
    <t>Mankind Pharma Limited</t>
  </si>
  <si>
    <t>INE634S01028</t>
  </si>
  <si>
    <t>TWAT02</t>
  </si>
  <si>
    <t>Titan Company Limited</t>
  </si>
  <si>
    <t>INE280A01028</t>
  </si>
  <si>
    <t>Consumer Durables</t>
  </si>
  <si>
    <t>APOL02</t>
  </si>
  <si>
    <t>Apollo Hospitals Enterprise Limited</t>
  </si>
  <si>
    <t>INE437A01024</t>
  </si>
  <si>
    <t>Healthcare Services</t>
  </si>
  <si>
    <t>MAXI02</t>
  </si>
  <si>
    <t>Max Financial Services Limited</t>
  </si>
  <si>
    <t>INE180A01020</t>
  </si>
  <si>
    <t>CROM02</t>
  </si>
  <si>
    <t>CG Power and Industrial Solutions Limited</t>
  </si>
  <si>
    <t>INE067A01029</t>
  </si>
  <si>
    <t>Electrical Equipment</t>
  </si>
  <si>
    <t>GODP02</t>
  </si>
  <si>
    <t>Godrej Properties Limited</t>
  </si>
  <si>
    <t>INE484J01027</t>
  </si>
  <si>
    <t>Realty</t>
  </si>
  <si>
    <t>AUPH03</t>
  </si>
  <si>
    <t>Aurobindo Pharma Limited</t>
  </si>
  <si>
    <t>INE406A01037</t>
  </si>
  <si>
    <t>SESA02</t>
  </si>
  <si>
    <t>Vedanta Limited</t>
  </si>
  <si>
    <t>INE205A01025</t>
  </si>
  <si>
    <t>Diversified Metals</t>
  </si>
  <si>
    <t>SODL01</t>
  </si>
  <si>
    <t>Sobha Limited</t>
  </si>
  <si>
    <t>INE671H01015</t>
  </si>
  <si>
    <t>IMIN01</t>
  </si>
  <si>
    <t>Indiamart Intermesh Limited</t>
  </si>
  <si>
    <t>INE933S01016</t>
  </si>
  <si>
    <t>SOTL02</t>
  </si>
  <si>
    <t>Sterlite Technologies Limited</t>
  </si>
  <si>
    <t>INE089C01029</t>
  </si>
  <si>
    <t>Telecom - Equipment &amp; Accessories</t>
  </si>
  <si>
    <t>CIPL03</t>
  </si>
  <si>
    <t>Cipla Limited</t>
  </si>
  <si>
    <t>INE059A01026</t>
  </si>
  <si>
    <t>DIXO02</t>
  </si>
  <si>
    <t>Dixon Technologies (India) Limited</t>
  </si>
  <si>
    <t>INE935N01020</t>
  </si>
  <si>
    <t>PAGE01</t>
  </si>
  <si>
    <t>Page Industries Limited</t>
  </si>
  <si>
    <t>INE761H01022</t>
  </si>
  <si>
    <t>Textiles &amp; Apparels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</si>
  <si>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</si>
  <si>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</si>
  <si>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</si>
  <si>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</si>
  <si>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</si>
  <si>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</si>
  <si>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</si>
  <si>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VMAR01</t>
  </si>
  <si>
    <t>V-Mart Retail Limited</t>
  </si>
  <si>
    <t>INE665J01013</t>
  </si>
  <si>
    <t>LUPL02</t>
  </si>
  <si>
    <t>Lupin Limited</t>
  </si>
  <si>
    <t>INE326A01037</t>
  </si>
  <si>
    <t>KEII02</t>
  </si>
  <si>
    <t>KEI Industries Limited</t>
  </si>
  <si>
    <t>INE878B01027</t>
  </si>
  <si>
    <t>UPDS01</t>
  </si>
  <si>
    <t>Updater Services Limited</t>
  </si>
  <si>
    <t>INE851I01011</t>
  </si>
  <si>
    <t>Commercial Services &amp; Supplies</t>
  </si>
  <si>
    <t>SAWL01</t>
  </si>
  <si>
    <t>Sterling And Wilson Renewable Energy Limited</t>
  </si>
  <si>
    <t>INE00M201021</t>
  </si>
  <si>
    <t>POCA01</t>
  </si>
  <si>
    <t>Polycab India Limited</t>
  </si>
  <si>
    <t>INE455K01017</t>
  </si>
  <si>
    <t>MFSL01</t>
  </si>
  <si>
    <t>Mas Financial Services Limited</t>
  </si>
  <si>
    <t>INE348L01012</t>
  </si>
  <si>
    <t>PREP01</t>
  </si>
  <si>
    <t>Prestige Estates Projects Limited</t>
  </si>
  <si>
    <t>INE811K01011</t>
  </si>
  <si>
    <t>HYUN01</t>
  </si>
  <si>
    <t>Hyundai Motor India Ltd</t>
  </si>
  <si>
    <t>INE0V6F01027</t>
  </si>
  <si>
    <t>NMDC01</t>
  </si>
  <si>
    <t>NMDC Limited</t>
  </si>
  <si>
    <t>INE584A01023</t>
  </si>
  <si>
    <t>Minerals &amp; Mining</t>
  </si>
  <si>
    <t>BAND01</t>
  </si>
  <si>
    <t>Bandhan Bank Limited</t>
  </si>
  <si>
    <t>INE545U01014</t>
  </si>
  <si>
    <t>BIRM01</t>
  </si>
  <si>
    <t>3M India Limited</t>
  </si>
  <si>
    <t>INE470A01017</t>
  </si>
  <si>
    <t>Diversified</t>
  </si>
  <si>
    <t>SUMI01</t>
  </si>
  <si>
    <t>Sumitomo Chemical India Limited</t>
  </si>
  <si>
    <t>INE258G01013</t>
  </si>
  <si>
    <t>Fertilizers &amp; Agrochemicals</t>
  </si>
  <si>
    <t>MALE02</t>
  </si>
  <si>
    <t>Poonawalla Fincorp Limited</t>
  </si>
  <si>
    <t>INE511C01022</t>
  </si>
  <si>
    <t>YATR01</t>
  </si>
  <si>
    <t>Yatra Online Limited</t>
  </si>
  <si>
    <t>INE0JR601024</t>
  </si>
  <si>
    <t>BRIT03</t>
  </si>
  <si>
    <t>Britannia Industries Limited</t>
  </si>
  <si>
    <t>INE216A01030</t>
  </si>
  <si>
    <t>BLTE01</t>
  </si>
  <si>
    <t>Swiggy Limited</t>
  </si>
  <si>
    <t>INE00H001014</t>
  </si>
  <si>
    <t>GRPA01</t>
  </si>
  <si>
    <t>Greenpanel Industries Limited</t>
  </si>
  <si>
    <t>INE08ZM01014</t>
  </si>
  <si>
    <t>JBCH03</t>
  </si>
  <si>
    <t>JB Chemicals &amp; Pharmaceuticals Limited</t>
  </si>
  <si>
    <t>INE572A01036</t>
  </si>
  <si>
    <t>BTVL03</t>
  </si>
  <si>
    <t>IN9397D01014</t>
  </si>
  <si>
    <t>KENI01</t>
  </si>
  <si>
    <t>Kirloskar Oil Engines Limited</t>
  </si>
  <si>
    <t>INE146L01010</t>
  </si>
  <si>
    <t>Subtotal</t>
  </si>
  <si>
    <t>(b) UNLISTED</t>
  </si>
  <si>
    <t>SODL02</t>
  </si>
  <si>
    <t>Sobha Limited *</t>
  </si>
  <si>
    <t>IN9671H01013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</si>
  <si>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</si>
  <si>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</si>
  <si>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</si>
  <si>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</si>
  <si>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</si>
  <si>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</si>
  <si>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</si>
  <si>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</si>
  <si>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</si>
  <si>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</si>
  <si>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</si>
  <si>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</si>
  <si>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 Sobha Limited Partly Paid have been suspended from trading on the exchange for the payment of 1st and Final call money.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</si>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</sst>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2EDBB-6171-4A5C-AC61-AAA2E9480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61620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556260</xdr:colOff>
      <xdr:row>109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7979B-4C6E-4A63-8FB8-F3131FFFD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61620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B4F6-F6D7-41C8-B233-90B65DD03B7C}">
  <sheetPr codeName="Sheet31">
    <outlinePr summaryBelow="0"/>
  </sheetPr>
  <dimension ref="A1:H98"/>
  <sheetViews>
    <sheetView tabSelected="1" topLeftCell="A53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3220626</v>
      </c>
      <c r="F8" s="18">
        <v>57096.87</v>
      </c>
      <c r="G8" s="19">
        <v>7.9500000000000001E-2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4124484</v>
      </c>
      <c r="F9" s="18">
        <v>52861.45</v>
      </c>
      <c r="G9" s="19">
        <v>7.3599999999999999E-2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3772680</v>
      </c>
      <c r="F10" s="18">
        <v>45855.040000000001</v>
      </c>
      <c r="G10" s="19">
        <v>6.3899999999999998E-2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1715961</v>
      </c>
      <c r="F11" s="18">
        <v>32260.07</v>
      </c>
      <c r="G11" s="19">
        <v>4.4900000000000002E-2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582270</v>
      </c>
      <c r="F12" s="18">
        <v>23842.79</v>
      </c>
      <c r="G12" s="19">
        <v>3.32E-2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2011000</v>
      </c>
      <c r="F13" s="18">
        <v>21411.119999999999</v>
      </c>
      <c r="G13" s="19">
        <v>2.98E-2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1149081</v>
      </c>
      <c r="F14" s="18">
        <v>18244.53</v>
      </c>
      <c r="G14" s="19">
        <v>2.5399999999999999E-2</v>
      </c>
      <c r="H14" s="20"/>
    </row>
    <row r="15" spans="1:8" ht="13.05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740000</v>
      </c>
      <c r="F15" s="18">
        <v>17218.689999999999</v>
      </c>
      <c r="G15" s="19">
        <v>2.4E-2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252092</v>
      </c>
      <c r="F16" s="18">
        <v>17200.240000000002</v>
      </c>
      <c r="G16" s="19">
        <v>2.4E-2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5765401</v>
      </c>
      <c r="F17" s="18">
        <v>16030.7</v>
      </c>
      <c r="G17" s="19">
        <v>2.23E-2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49</v>
      </c>
      <c r="E18" s="17">
        <v>414183</v>
      </c>
      <c r="F18" s="18">
        <v>14752.58</v>
      </c>
      <c r="G18" s="19">
        <v>2.0500000000000001E-2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134300</v>
      </c>
      <c r="F19" s="18">
        <v>14582.83</v>
      </c>
      <c r="G19" s="19">
        <v>2.0299999999999999E-2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670000</v>
      </c>
      <c r="F20" s="18">
        <v>12638.55</v>
      </c>
      <c r="G20" s="19">
        <v>1.7600000000000001E-2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56</v>
      </c>
      <c r="E21" s="17">
        <v>414500</v>
      </c>
      <c r="F21" s="18">
        <v>12464.43</v>
      </c>
      <c r="G21" s="19">
        <v>1.7399999999999999E-2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41</v>
      </c>
      <c r="E22" s="17">
        <v>2340947</v>
      </c>
      <c r="F22" s="18">
        <v>11321.99</v>
      </c>
      <c r="G22" s="19">
        <v>1.5800000000000002E-2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305147</v>
      </c>
      <c r="F23" s="18">
        <v>11008.64</v>
      </c>
      <c r="G23" s="19">
        <v>1.5299999999999999E-2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16</v>
      </c>
      <c r="E24" s="17">
        <v>1090000</v>
      </c>
      <c r="F24" s="18">
        <v>10465.64</v>
      </c>
      <c r="G24" s="19">
        <v>1.46E-2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60</v>
      </c>
      <c r="E25" s="17">
        <v>752500</v>
      </c>
      <c r="F25" s="18">
        <v>10448.459999999999</v>
      </c>
      <c r="G25" s="19">
        <v>1.46E-2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27</v>
      </c>
      <c r="E26" s="17">
        <v>102352</v>
      </c>
      <c r="F26" s="18">
        <v>9890.2199999999993</v>
      </c>
      <c r="G26" s="19">
        <v>1.38E-2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1040000</v>
      </c>
      <c r="F27" s="18">
        <v>9679.2800000000007</v>
      </c>
      <c r="G27" s="19">
        <v>1.35E-2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70</v>
      </c>
      <c r="E28" s="17">
        <v>769836</v>
      </c>
      <c r="F28" s="18">
        <v>9228.7900000000009</v>
      </c>
      <c r="G28" s="19">
        <v>1.29E-2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1455970</v>
      </c>
      <c r="F29" s="18">
        <v>8984.06</v>
      </c>
      <c r="G29" s="19">
        <v>1.2500000000000001E-2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414000</v>
      </c>
      <c r="F30" s="18">
        <v>8984.01</v>
      </c>
      <c r="G30" s="19">
        <v>1.2500000000000001E-2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45</v>
      </c>
      <c r="E31" s="17">
        <v>549400</v>
      </c>
      <c r="F31" s="18">
        <v>8615.14</v>
      </c>
      <c r="G31" s="19">
        <v>1.2E-2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56</v>
      </c>
      <c r="E32" s="17">
        <v>205000</v>
      </c>
      <c r="F32" s="18">
        <v>8529.23</v>
      </c>
      <c r="G32" s="19">
        <v>1.1900000000000001E-2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539476</v>
      </c>
      <c r="F33" s="18">
        <v>8460.33</v>
      </c>
      <c r="G33" s="19">
        <v>1.18E-2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416756</v>
      </c>
      <c r="F34" s="18">
        <v>7227.17</v>
      </c>
      <c r="G34" s="19">
        <v>1.01E-2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90</v>
      </c>
      <c r="E35" s="17">
        <v>400000</v>
      </c>
      <c r="F35" s="18">
        <v>7151</v>
      </c>
      <c r="G35" s="19">
        <v>0.01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1350000</v>
      </c>
      <c r="F36" s="18">
        <v>6844.5</v>
      </c>
      <c r="G36" s="19">
        <v>9.4999999999999998E-3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278141</v>
      </c>
      <c r="F37" s="18">
        <v>6794.15</v>
      </c>
      <c r="G37" s="19">
        <v>9.4999999999999998E-3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16</v>
      </c>
      <c r="E38" s="17">
        <v>800000</v>
      </c>
      <c r="F38" s="18">
        <v>6359.6</v>
      </c>
      <c r="G38" s="19">
        <v>8.8999999999999999E-3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90</v>
      </c>
      <c r="E39" s="17">
        <v>450000</v>
      </c>
      <c r="F39" s="18">
        <v>6256.8</v>
      </c>
      <c r="G39" s="19">
        <v>8.6999999999999994E-3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119</v>
      </c>
      <c r="E40" s="17">
        <v>348403</v>
      </c>
      <c r="F40" s="18">
        <v>6157.15</v>
      </c>
      <c r="G40" s="19">
        <v>8.6E-3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60</v>
      </c>
      <c r="E41" s="17">
        <v>212753</v>
      </c>
      <c r="F41" s="18">
        <v>6128.14</v>
      </c>
      <c r="G41" s="19">
        <v>8.5000000000000006E-3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181655</v>
      </c>
      <c r="F42" s="18">
        <v>5909.51</v>
      </c>
      <c r="G42" s="19">
        <v>8.2000000000000007E-3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78778</v>
      </c>
      <c r="F43" s="18">
        <v>5747.92</v>
      </c>
      <c r="G43" s="19">
        <v>8.0000000000000002E-3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90</v>
      </c>
      <c r="E44" s="17">
        <v>485000</v>
      </c>
      <c r="F44" s="18">
        <v>5402.42</v>
      </c>
      <c r="G44" s="19">
        <v>7.4999999999999997E-3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737549</v>
      </c>
      <c r="F45" s="18">
        <v>5369.36</v>
      </c>
      <c r="G45" s="19">
        <v>7.4999999999999997E-3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192678</v>
      </c>
      <c r="F46" s="18">
        <v>5368.97</v>
      </c>
      <c r="G46" s="19">
        <v>7.4999999999999997E-3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60</v>
      </c>
      <c r="E47" s="17">
        <v>400000</v>
      </c>
      <c r="F47" s="18">
        <v>5338</v>
      </c>
      <c r="G47" s="19">
        <v>7.4000000000000003E-3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157</v>
      </c>
      <c r="E48" s="17">
        <v>1200000</v>
      </c>
      <c r="F48" s="18">
        <v>5333.4</v>
      </c>
      <c r="G48" s="19">
        <v>7.4000000000000003E-3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150</v>
      </c>
      <c r="E49" s="17">
        <v>335585</v>
      </c>
      <c r="F49" s="18">
        <v>5291.17</v>
      </c>
      <c r="G49" s="19">
        <v>7.4000000000000003E-3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49</v>
      </c>
      <c r="E50" s="17">
        <v>226191</v>
      </c>
      <c r="F50" s="18">
        <v>5086.58</v>
      </c>
      <c r="G50" s="19">
        <v>7.1000000000000004E-3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4325804</v>
      </c>
      <c r="F51" s="18">
        <v>4956.07</v>
      </c>
      <c r="G51" s="19">
        <v>6.8999999999999999E-3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60</v>
      </c>
      <c r="E52" s="17">
        <v>322684</v>
      </c>
      <c r="F52" s="18">
        <v>4933.84</v>
      </c>
      <c r="G52" s="19">
        <v>6.8999999999999999E-3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135</v>
      </c>
      <c r="E53" s="17">
        <v>27500</v>
      </c>
      <c r="F53" s="18">
        <v>4932.4799999999996</v>
      </c>
      <c r="G53" s="19">
        <v>6.8999999999999999E-3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9958</v>
      </c>
      <c r="F54" s="18">
        <v>4731.4799999999996</v>
      </c>
      <c r="G54" s="19">
        <v>6.6E-3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49</v>
      </c>
      <c r="E55" s="17">
        <v>53000</v>
      </c>
      <c r="F55" s="18">
        <v>4598.9399999999996</v>
      </c>
      <c r="G55" s="19">
        <v>6.4000000000000003E-3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762089</v>
      </c>
      <c r="F56" s="18">
        <v>4591.21</v>
      </c>
      <c r="G56" s="19">
        <v>6.4000000000000003E-3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49</v>
      </c>
      <c r="E57" s="17">
        <v>111085</v>
      </c>
      <c r="F57" s="18">
        <v>4372.6899999999996</v>
      </c>
      <c r="G57" s="19">
        <v>6.1000000000000004E-3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60</v>
      </c>
      <c r="E58" s="17">
        <v>175000</v>
      </c>
      <c r="F58" s="18">
        <v>4122.4799999999996</v>
      </c>
      <c r="G58" s="19">
        <v>5.7000000000000002E-3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104</v>
      </c>
      <c r="E59" s="17">
        <v>91540</v>
      </c>
      <c r="F59" s="18">
        <v>4061.31</v>
      </c>
      <c r="G59" s="19">
        <v>5.7000000000000002E-3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1072076</v>
      </c>
      <c r="F60" s="18">
        <v>4058.34</v>
      </c>
      <c r="G60" s="19">
        <v>5.7000000000000002E-3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70</v>
      </c>
      <c r="E61" s="17">
        <v>854530</v>
      </c>
      <c r="F61" s="18">
        <v>3921.44</v>
      </c>
      <c r="G61" s="19">
        <v>5.4999999999999997E-3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104</v>
      </c>
      <c r="E62" s="17">
        <v>53500</v>
      </c>
      <c r="F62" s="18">
        <v>3890.71</v>
      </c>
      <c r="G62" s="19">
        <v>5.4000000000000003E-3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45</v>
      </c>
      <c r="E63" s="17">
        <v>1405887</v>
      </c>
      <c r="F63" s="18">
        <v>3870.41</v>
      </c>
      <c r="G63" s="19">
        <v>5.4000000000000003E-3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150</v>
      </c>
      <c r="E64" s="17">
        <v>228226</v>
      </c>
      <c r="F64" s="18">
        <v>3866.15</v>
      </c>
      <c r="G64" s="19">
        <v>5.4000000000000003E-3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56</v>
      </c>
      <c r="E65" s="17">
        <v>192186</v>
      </c>
      <c r="F65" s="18">
        <v>3471.07</v>
      </c>
      <c r="G65" s="19">
        <v>4.7999999999999996E-3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5005653</v>
      </c>
      <c r="F66" s="18">
        <v>3299.73</v>
      </c>
      <c r="G66" s="19">
        <v>4.5999999999999999E-3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16</v>
      </c>
      <c r="E67" s="17">
        <v>2000000</v>
      </c>
      <c r="F67" s="18">
        <v>3181.2</v>
      </c>
      <c r="G67" s="19">
        <v>4.4000000000000003E-3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223</v>
      </c>
      <c r="E68" s="17">
        <v>9827</v>
      </c>
      <c r="F68" s="18">
        <v>2986.73</v>
      </c>
      <c r="G68" s="19">
        <v>4.1999999999999997E-3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497067</v>
      </c>
      <c r="F69" s="18">
        <v>2647.88</v>
      </c>
      <c r="G69" s="19">
        <v>3.7000000000000002E-3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45</v>
      </c>
      <c r="E70" s="17">
        <v>749997</v>
      </c>
      <c r="F70" s="18">
        <v>2357.62</v>
      </c>
      <c r="G70" s="19">
        <v>3.3E-3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108</v>
      </c>
      <c r="E71" s="17">
        <v>1924230</v>
      </c>
      <c r="F71" s="18">
        <v>2227.1</v>
      </c>
      <c r="G71" s="19">
        <v>3.0999999999999999E-3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94</v>
      </c>
      <c r="E72" s="17">
        <v>45000</v>
      </c>
      <c r="F72" s="18">
        <v>2143.2399999999998</v>
      </c>
      <c r="G72" s="19">
        <v>3.0000000000000001E-3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49</v>
      </c>
      <c r="E73" s="17">
        <v>384978</v>
      </c>
      <c r="F73" s="18">
        <v>2082.35</v>
      </c>
      <c r="G73" s="19">
        <v>2.8999999999999998E-3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135</v>
      </c>
      <c r="E74" s="17">
        <v>496292</v>
      </c>
      <c r="F74" s="18">
        <v>1876.98</v>
      </c>
      <c r="G74" s="19">
        <v>2.5999999999999999E-3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60</v>
      </c>
      <c r="E75" s="17">
        <v>87396</v>
      </c>
      <c r="F75" s="18">
        <v>1611.71</v>
      </c>
      <c r="G75" s="19">
        <v>2.2000000000000001E-3</v>
      </c>
      <c r="H75" s="20"/>
    </row>
    <row r="76" spans="1:8" ht="13.05" customHeight="1">
      <c r="A76" s="15" t="s">
        <v>246</v>
      </c>
      <c r="B76" s="16" t="s">
        <v>35</v>
      </c>
      <c r="C76" s="12" t="s">
        <v>247</v>
      </c>
      <c r="D76" s="13" t="s">
        <v>37</v>
      </c>
      <c r="E76" s="17">
        <v>116704</v>
      </c>
      <c r="F76" s="18">
        <v>1374.07</v>
      </c>
      <c r="G76" s="19">
        <v>1.9E-3</v>
      </c>
      <c r="H76" s="20"/>
    </row>
    <row r="77" spans="1:8" ht="13.05" customHeight="1">
      <c r="A77" s="15" t="s">
        <v>248</v>
      </c>
      <c r="B77" s="16" t="s">
        <v>249</v>
      </c>
      <c r="C77" s="12" t="s">
        <v>250</v>
      </c>
      <c r="D77" s="13" t="s">
        <v>104</v>
      </c>
      <c r="E77" s="17">
        <v>118638</v>
      </c>
      <c r="F77" s="18">
        <v>1218.5899999999999</v>
      </c>
      <c r="G77" s="19">
        <v>1.6999999999999999E-3</v>
      </c>
      <c r="H77" s="20"/>
    </row>
    <row r="78" spans="1:8" ht="13.05" customHeight="1">
      <c r="A78" s="4"/>
      <c r="B78" s="21" t="s">
        <v>251</v>
      </c>
      <c r="C78" s="22"/>
      <c r="D78" s="21"/>
      <c r="E78" s="21"/>
      <c r="F78" s="23">
        <v>665396.28</v>
      </c>
      <c r="G78" s="24">
        <v>0.92700000000000005</v>
      </c>
      <c r="H78" s="25"/>
    </row>
    <row r="79" spans="1:8" ht="13.05" customHeight="1">
      <c r="A79" s="4"/>
      <c r="B79" s="11" t="s">
        <v>252</v>
      </c>
      <c r="C79" s="26"/>
      <c r="D79" s="27"/>
      <c r="E79" s="27"/>
      <c r="F79" s="28"/>
      <c r="G79" s="28"/>
      <c r="H79" s="25"/>
    </row>
    <row r="80" spans="1:8" ht="13.05" customHeight="1">
      <c r="A80" s="15" t="s">
        <v>253</v>
      </c>
      <c r="B80" s="16" t="s">
        <v>254</v>
      </c>
      <c r="C80" s="12" t="s">
        <v>255</v>
      </c>
      <c r="D80" s="13" t="s">
        <v>150</v>
      </c>
      <c r="E80" s="17">
        <v>22490</v>
      </c>
      <c r="F80" s="18">
        <v>168.94</v>
      </c>
      <c r="G80" s="19">
        <v>2.0000000000000001E-4</v>
      </c>
      <c r="H80" s="20"/>
    </row>
    <row r="81" spans="1:8" ht="13.05" customHeight="1">
      <c r="A81" s="4"/>
      <c r="B81" s="21" t="s">
        <v>251</v>
      </c>
      <c r="C81" s="26"/>
      <c r="D81" s="27"/>
      <c r="E81" s="27"/>
      <c r="F81" s="23">
        <f>+F80</f>
        <v>168.94</v>
      </c>
      <c r="G81" s="24">
        <f>+G80</f>
        <v>2.0000000000000001E-4</v>
      </c>
      <c r="H81" s="25"/>
    </row>
    <row r="82" spans="1:8" ht="13.05" customHeight="1">
      <c r="A82" s="4"/>
      <c r="B82" s="21" t="s">
        <v>256</v>
      </c>
      <c r="C82" s="26"/>
      <c r="D82" s="27"/>
      <c r="E82" s="29"/>
      <c r="F82" s="30">
        <v>665396.28</v>
      </c>
      <c r="G82" s="31">
        <v>0.92700000000000005</v>
      </c>
      <c r="H82" s="32"/>
    </row>
    <row r="83" spans="1:8" ht="13.05" customHeight="1">
      <c r="A83" s="4"/>
      <c r="B83" s="11" t="s">
        <v>257</v>
      </c>
      <c r="C83" s="12"/>
      <c r="D83" s="13"/>
      <c r="E83" s="13"/>
      <c r="F83" s="13"/>
      <c r="G83" s="13"/>
      <c r="H83" s="14"/>
    </row>
    <row r="84" spans="1:8" ht="13.05" customHeight="1">
      <c r="A84" s="4"/>
      <c r="B84" s="33" t="s">
        <v>258</v>
      </c>
      <c r="C84" s="12"/>
      <c r="D84" s="13"/>
      <c r="E84" s="13"/>
      <c r="F84" s="13"/>
      <c r="G84" s="13"/>
      <c r="H84" s="14"/>
    </row>
    <row r="85" spans="1:8" ht="13.05" customHeight="1">
      <c r="A85" s="15" t="s">
        <v>259</v>
      </c>
      <c r="B85" s="16" t="s">
        <v>260</v>
      </c>
      <c r="C85" s="12"/>
      <c r="D85" s="13"/>
      <c r="E85" s="34"/>
      <c r="F85" s="18">
        <v>55973.66</v>
      </c>
      <c r="G85" s="19">
        <v>7.8E-2</v>
      </c>
      <c r="H85" s="20">
        <v>6.2893040534183653E-2</v>
      </c>
    </row>
    <row r="86" spans="1:8" ht="13.05" customHeight="1">
      <c r="A86" s="4"/>
      <c r="B86" s="21" t="s">
        <v>256</v>
      </c>
      <c r="C86" s="26"/>
      <c r="D86" s="27"/>
      <c r="E86" s="29"/>
      <c r="F86" s="30">
        <v>55973.66</v>
      </c>
      <c r="G86" s="31">
        <v>7.8E-2</v>
      </c>
      <c r="H86" s="32"/>
    </row>
    <row r="87" spans="1:8" ht="13.05" customHeight="1">
      <c r="A87" s="4"/>
      <c r="B87" s="33" t="s">
        <v>261</v>
      </c>
      <c r="C87" s="35"/>
      <c r="D87" s="36"/>
      <c r="E87" s="36"/>
      <c r="F87" s="36"/>
      <c r="G87" s="36"/>
      <c r="H87" s="37"/>
    </row>
    <row r="88" spans="1:8" ht="13.05" customHeight="1">
      <c r="A88" s="4"/>
      <c r="B88" s="27" t="s">
        <v>262</v>
      </c>
      <c r="C88" s="26"/>
      <c r="D88" s="27"/>
      <c r="E88" s="27"/>
      <c r="F88" s="23">
        <v>303.63</v>
      </c>
      <c r="G88" s="24">
        <v>4.0000000000000002E-4</v>
      </c>
      <c r="H88" s="37"/>
    </row>
    <row r="89" spans="1:8" ht="13.05" customHeight="1">
      <c r="A89" s="4"/>
      <c r="B89" s="21" t="s">
        <v>251</v>
      </c>
      <c r="C89" s="22"/>
      <c r="D89" s="21"/>
      <c r="E89" s="21"/>
      <c r="F89" s="23">
        <v>303.63</v>
      </c>
      <c r="G89" s="24">
        <v>4.0000000000000002E-4</v>
      </c>
      <c r="H89" s="37"/>
    </row>
    <row r="90" spans="1:8" ht="13.05" customHeight="1">
      <c r="A90" s="4"/>
      <c r="B90" s="27" t="s">
        <v>263</v>
      </c>
      <c r="C90" s="26"/>
      <c r="D90" s="27"/>
      <c r="E90" s="27"/>
      <c r="F90" s="23">
        <v>200</v>
      </c>
      <c r="G90" s="24">
        <v>2.9999999999999997E-4</v>
      </c>
      <c r="H90" s="37"/>
    </row>
    <row r="91" spans="1:8" ht="13.05" customHeight="1">
      <c r="A91" s="4"/>
      <c r="B91" s="36" t="s">
        <v>264</v>
      </c>
      <c r="C91" s="35"/>
      <c r="D91" s="36"/>
      <c r="E91" s="36"/>
      <c r="F91" s="38">
        <v>250.47</v>
      </c>
      <c r="G91" s="39">
        <v>2.9999999999999997E-4</v>
      </c>
      <c r="H91" s="37"/>
    </row>
    <row r="92" spans="1:8" ht="13.05" customHeight="1">
      <c r="A92" s="4"/>
      <c r="B92" s="36" t="s">
        <v>265</v>
      </c>
      <c r="C92" s="35"/>
      <c r="D92" s="36"/>
      <c r="E92" s="36"/>
      <c r="F92" s="40">
        <v>-4061.66</v>
      </c>
      <c r="G92" s="39">
        <v>-6.0000000000000001E-3</v>
      </c>
      <c r="H92" s="37"/>
    </row>
    <row r="93" spans="1:8" ht="13.05" customHeight="1">
      <c r="A93" s="4"/>
      <c r="B93" s="21" t="s">
        <v>266</v>
      </c>
      <c r="C93" s="26"/>
      <c r="D93" s="27"/>
      <c r="E93" s="27"/>
      <c r="F93" s="23">
        <v>-3611.19</v>
      </c>
      <c r="G93" s="41">
        <v>-5.4000000000000003E-3</v>
      </c>
      <c r="H93" s="37"/>
    </row>
    <row r="94" spans="1:8" ht="13.05" customHeight="1" thickBot="1">
      <c r="A94" s="4"/>
      <c r="B94" s="42" t="s">
        <v>267</v>
      </c>
      <c r="C94" s="43"/>
      <c r="D94" s="44"/>
      <c r="E94" s="44"/>
      <c r="F94" s="45">
        <v>718062.37836480711</v>
      </c>
      <c r="G94" s="46">
        <v>1</v>
      </c>
      <c r="H94" s="47"/>
    </row>
    <row r="95" spans="1:8" ht="13.05" customHeight="1">
      <c r="A95" s="4"/>
      <c r="B95" s="48"/>
      <c r="C95" s="4"/>
      <c r="D95" s="4"/>
      <c r="E95" s="4"/>
      <c r="F95" s="4"/>
      <c r="G95" s="4"/>
      <c r="H95" s="4"/>
    </row>
    <row r="96" spans="1:8" ht="13.05" customHeight="1">
      <c r="A96" s="4"/>
      <c r="B96" s="49" t="s">
        <v>268</v>
      </c>
      <c r="C96" s="4"/>
      <c r="D96" s="4"/>
      <c r="E96" s="4"/>
      <c r="F96" s="4"/>
      <c r="G96" s="4"/>
      <c r="H96" s="4"/>
    </row>
    <row r="97" spans="2:6">
      <c r="F97" s="50" t="s">
        <v>269</v>
      </c>
    </row>
    <row r="98" spans="2:6">
      <c r="B98" s="50" t="s">
        <v>270</v>
      </c>
      <c r="F98" s="50" t="s">
        <v>271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2025-01-08T09:21:34Z</dcterms:created>
  <dcterms:modified xsi:type="dcterms:W3CDTF">2025-01-08T09:21:35Z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2025-01-08T09:21:34Z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f44c83d2-e2c7-4bc1-a504-8f859ab6fe53</vt:lpwstr>
  </property>
  <property fmtid="{D5CDD505-2E9C-101B-9397-08002B2CF9AE}" pid="8" name="MSIP_Label_1b7f8449-e5d3-4eba-8da7-ffd6ca5bf3e9_ContentBits">
    <vt:lpwstr>0</vt:lpwstr>
  </property>
</Properties>
</file>