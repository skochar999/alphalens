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DAF2D02C-6EBE-4A61-B4A7-86DE66B46E3C}" xr6:coauthVersionLast="47" xr6:coauthVersionMax="47" xr10:uidLastSave="{00000000-0000-0000-0000-000000000000}"/>
  <bookViews>
    <workbookView xWindow="-108" yWindow="-108" windowWidth="41496" windowHeight="16896" xr2:uid="{14BAF246-8A21-4139-9599-F191D3E9C854}"/>
  </bookViews>
  <sheets>
    <sheet name="IDF294" sheetId="1" r:id="rId1"/>
  </sheets>
  <definedNames>
    <definedName name="JR_PAGE_ANCHOR_0_55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F69" i="1"/>
</calcChain>
</file>

<file path=xl/sharedStrings.xml><?xml version="1.0" encoding="utf-8"?>
<sst xmlns="http://schemas.openxmlformats.org/spreadsheetml/2006/main" count="323" uniqueCount="271">
  <si>
    <t>IDF294</t>
  </si>
  <si>
    <t>INDEX</t>
  </si>
  <si>
    <t>Portfolio Statement as on December 31,2024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</si>
  <si>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</si>
  <si>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</si>
  <si>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</si>
  <si>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</si>
  <si>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</si>
  <si>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</si>
  <si>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</si>
  <si>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</si>
  <si>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</si>
  <si>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</si>
  <si>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</si>
  <si>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</si>
  <si>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</si>
  <si>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</si>
  <si>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</si>
  <si>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</si>
  <si>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</si>
  <si>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</si>
  <si>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</si>
  <si>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</si>
  <si>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</si>
  <si>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</si>
  <si>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</si>
  <si>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</si>
  <si>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</si>
  <si>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</si>
  <si>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</si>
  <si>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</si>
  <si>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</si>
  <si>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</si>
  <si>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</si>
  <si>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</si>
  <si>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</si>
  <si>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IEIN01</t>
  </si>
  <si>
    <t>Info Edge (India) Limited</t>
  </si>
  <si>
    <t>INE663F01024</t>
  </si>
  <si>
    <t>Retailing</t>
  </si>
  <si>
    <t>HCLT02</t>
  </si>
  <si>
    <t>HCL Technologies Limited</t>
  </si>
  <si>
    <t>INE860A01027</t>
  </si>
  <si>
    <t>IT - Software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</si>
  <si>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</si>
  <si>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</si>
  <si>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</si>
  <si>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</si>
  <si>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</si>
  <si>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</si>
  <si>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</si>
  <si>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INFS02</t>
  </si>
  <si>
    <t>Infosys Limited</t>
  </si>
  <si>
    <t>INE009A01021</t>
  </si>
  <si>
    <t>ZMPL01</t>
  </si>
  <si>
    <t>Zomato Limited</t>
  </si>
  <si>
    <t>INE758T01015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</si>
  <si>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</si>
  <si>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</si>
  <si>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</si>
  <si>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</si>
  <si>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</si>
  <si>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</si>
  <si>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</si>
  <si>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</si>
  <si>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</si>
  <si>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</si>
  <si>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</si>
  <si>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</si>
  <si>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</si>
  <si>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Automobiles</t>
  </si>
  <si>
    <t>PFCL01</t>
  </si>
  <si>
    <t>Power Finance Corporation Limited</t>
  </si>
  <si>
    <t>INE134E01011</t>
  </si>
  <si>
    <t>Finance</t>
  </si>
  <si>
    <t>INAV01</t>
  </si>
  <si>
    <t>InterGlobe Aviation Limited</t>
  </si>
  <si>
    <t>INE646L01027</t>
  </si>
  <si>
    <t>Transport Services</t>
  </si>
  <si>
    <t>MIIL02</t>
  </si>
  <si>
    <t>UNO Minda Limited</t>
  </si>
  <si>
    <t>INE405E01023</t>
  </si>
  <si>
    <t>Auto Components</t>
  </si>
  <si>
    <t>ABBP01</t>
  </si>
  <si>
    <t>Hitachi Energy India Limited</t>
  </si>
  <si>
    <t>INE07Y701011</t>
  </si>
  <si>
    <t>Electrical Equipment</t>
  </si>
  <si>
    <t>NHPC01</t>
  </si>
  <si>
    <t>NHPC Limited</t>
  </si>
  <si>
    <t>INE848E01016</t>
  </si>
  <si>
    <t>Power</t>
  </si>
  <si>
    <t>TEMA02</t>
  </si>
  <si>
    <t>Tech Mahindra Limited</t>
  </si>
  <si>
    <t>INE669C01036</t>
  </si>
  <si>
    <t>HERO02</t>
  </si>
  <si>
    <t>Hero MotoCorp Limited</t>
  </si>
  <si>
    <t>INE158A01026</t>
  </si>
  <si>
    <t>CIPL03</t>
  </si>
  <si>
    <t>Cipla Limited</t>
  </si>
  <si>
    <t>INE059A01026</t>
  </si>
  <si>
    <t>Pharmaceuticals &amp; Biotechnology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</si>
  <si>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</si>
  <si>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</si>
  <si>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</si>
  <si>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</si>
  <si>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</si>
  <si>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</si>
  <si>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</si>
  <si>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</si>
  <si>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MCSP02</t>
  </si>
  <si>
    <t>United Spirits Limited</t>
  </si>
  <si>
    <t>INE854D01024</t>
  </si>
  <si>
    <t>Beverages</t>
  </si>
  <si>
    <t>MAXI02</t>
  </si>
  <si>
    <t>Max Financial Services Limited</t>
  </si>
  <si>
    <t>INE180A01020</t>
  </si>
  <si>
    <t>Insurance</t>
  </si>
  <si>
    <t>TELC03</t>
  </si>
  <si>
    <t>Tata Motors Limited</t>
  </si>
  <si>
    <t>INE155A01022</t>
  </si>
  <si>
    <t>BFSL02</t>
  </si>
  <si>
    <t>Bajaj Finserv Limited</t>
  </si>
  <si>
    <t>INE918I01026</t>
  </si>
  <si>
    <t>LUPL02</t>
  </si>
  <si>
    <t>Lupin Limited</t>
  </si>
  <si>
    <t>INE326A01037</t>
  </si>
  <si>
    <t>CHOL02</t>
  </si>
  <si>
    <t>Cholamandalam Investment and Finance Company Ltd</t>
  </si>
  <si>
    <t>INE121A01024</t>
  </si>
  <si>
    <t>VISC02</t>
  </si>
  <si>
    <t>Vishnu Chemicals Limited</t>
  </si>
  <si>
    <t>INE270I01022</t>
  </si>
  <si>
    <t>Chemicals &amp; Petrochemicals</t>
  </si>
  <si>
    <t>VNBL03</t>
  </si>
  <si>
    <t>Varun Beverages Limited</t>
  </si>
  <si>
    <t>INE200M01039</t>
  </si>
  <si>
    <t>CROM02</t>
  </si>
  <si>
    <t>CG Power and Industrial Solutions Limited</t>
  </si>
  <si>
    <t>INE067A01029</t>
  </si>
  <si>
    <t>DHAN02</t>
  </si>
  <si>
    <t>Dhanuka Agritech Limited</t>
  </si>
  <si>
    <t>INE435G01025</t>
  </si>
  <si>
    <t>Fertilizers &amp; Agrochemicals</t>
  </si>
  <si>
    <t>JSTA02</t>
  </si>
  <si>
    <t>Jindal Stainless Limited</t>
  </si>
  <si>
    <t>INE220G01021</t>
  </si>
  <si>
    <t>WIPR02</t>
  </si>
  <si>
    <t>Wipro Limited</t>
  </si>
  <si>
    <t>INE075A01022</t>
  </si>
  <si>
    <t>MACR01</t>
  </si>
  <si>
    <t>Macrotech Developers Limited</t>
  </si>
  <si>
    <t>INE670K01029</t>
  </si>
  <si>
    <t>Realty</t>
  </si>
  <si>
    <t>CDSL01</t>
  </si>
  <si>
    <t>Central Depository Services (India) Limited</t>
  </si>
  <si>
    <t>INE736A01011</t>
  </si>
  <si>
    <t>Capital Markets</t>
  </si>
  <si>
    <t>IIBL01</t>
  </si>
  <si>
    <t>IndusInd Bank Limited</t>
  </si>
  <si>
    <t>INE095A01012</t>
  </si>
  <si>
    <t>MUND02</t>
  </si>
  <si>
    <t>Adani Ports and Special Economic Zone Limited</t>
  </si>
  <si>
    <t>INE742F01042</t>
  </si>
  <si>
    <t>Transport Infrastructure</t>
  </si>
  <si>
    <t>HDLI01</t>
  </si>
  <si>
    <t>HDFC Life Insurance Company Limited</t>
  </si>
  <si>
    <t>INE795G01014</t>
  </si>
  <si>
    <t>UNBI01</t>
  </si>
  <si>
    <t>Union Bank of India</t>
  </si>
  <si>
    <t>INE692A01016</t>
  </si>
  <si>
    <t>MKIP01</t>
  </si>
  <si>
    <t>Mankind Pharma Limited</t>
  </si>
  <si>
    <t>INE634S01028</t>
  </si>
  <si>
    <t>SODL01</t>
  </si>
  <si>
    <t>Sobha Limited</t>
  </si>
  <si>
    <t>INE671H01015</t>
  </si>
  <si>
    <t>SAEL02</t>
  </si>
  <si>
    <t>TVS Motor Company Limited</t>
  </si>
  <si>
    <t>INE494B01023</t>
  </si>
  <si>
    <t>MAFS02</t>
  </si>
  <si>
    <t>Mahindra &amp; Mahindra Financial Services Limited</t>
  </si>
  <si>
    <t>INE774D01024</t>
  </si>
  <si>
    <t>AAHF01</t>
  </si>
  <si>
    <t>Aadhar Housing Finance Limited</t>
  </si>
  <si>
    <t>INE883F01010</t>
  </si>
  <si>
    <t>JUIL01</t>
  </si>
  <si>
    <t>Jubilant Ingrevia Limited</t>
  </si>
  <si>
    <t>INE0BY001018</t>
  </si>
  <si>
    <t>PTCF01</t>
  </si>
  <si>
    <t>PTC India Financial Services Limited</t>
  </si>
  <si>
    <t>INE560K01014</t>
  </si>
  <si>
    <t>JUHO01</t>
  </si>
  <si>
    <t>Juniper Hotels Limited</t>
  </si>
  <si>
    <t>INE696F01016</t>
  </si>
  <si>
    <t>Leisure Services</t>
  </si>
  <si>
    <t>NECH01</t>
  </si>
  <si>
    <t>Neogen Chemicals Limited</t>
  </si>
  <si>
    <t>INE136S01016</t>
  </si>
  <si>
    <t>ZEET02</t>
  </si>
  <si>
    <t>Zee Entertainment Enterprises Limited</t>
  </si>
  <si>
    <t>INE256A01028</t>
  </si>
  <si>
    <t>Entertainment</t>
  </si>
  <si>
    <t>MALE02</t>
  </si>
  <si>
    <t>Poonawalla Fincorp Limited</t>
  </si>
  <si>
    <t>INE511C01022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</si>
  <si>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</si>
  <si>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</si>
  <si>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</si>
  <si>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</si>
  <si>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</si>
  <si>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</si>
  <si>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</si>
  <si>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</si>
  <si>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</si>
  <si>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</si>
  <si>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</si>
  <si>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Subtotal</t>
  </si>
  <si>
    <t>(b) UNLISTED</t>
  </si>
  <si>
    <t>SODL02</t>
  </si>
  <si>
    <t>Sobha Limited *</t>
  </si>
  <si>
    <t>IN9671H01013</t>
  </si>
  <si>
    <t>Total</t>
  </si>
  <si>
    <t>Derivatives</t>
  </si>
  <si>
    <t>Index / Stock Futures</t>
  </si>
  <si>
    <t>BFSLJAN25</t>
  </si>
  <si>
    <t>Bajaj Finserv Limited January 2025 Future</t>
  </si>
  <si>
    <t xml:space="preserve"> </t>
  </si>
  <si>
    <t>MAUDJAN25</t>
  </si>
  <si>
    <t>Maruti Suzuki India Limited January 2025 Future</t>
  </si>
  <si>
    <t>TCSLJAN25</t>
  </si>
  <si>
    <t>Tata Consultancy Services Limited January 2025 Future</t>
  </si>
  <si>
    <t>KMBKJAN25</t>
  </si>
  <si>
    <t>Kotak Mahindra Bank Limited January 2025 Future</t>
  </si>
  <si>
    <t>TWATJAN25</t>
  </si>
  <si>
    <t>Titan Company Limited January 2025 Future</t>
  </si>
  <si>
    <t>LARSJAN25</t>
  </si>
  <si>
    <t>Larsen &amp; Toubro Limited January 2025 Future</t>
  </si>
  <si>
    <t>RINDJAN25</t>
  </si>
  <si>
    <t>Reliance Industries Limited January 2025 Future</t>
  </si>
  <si>
    <t>HCLTJAN25</t>
  </si>
  <si>
    <t>HCL Technologies Limited January 2025 Future</t>
  </si>
  <si>
    <t>IBCLJAN25</t>
  </si>
  <si>
    <t>ICICI Bank Limited January 2025 Future</t>
  </si>
  <si>
    <t>BTVLJAN25</t>
  </si>
  <si>
    <t>Bharti Airtel Limited January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</si>
  <si>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</si>
  <si>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</si>
  <si>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</si>
  <si>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</si>
  <si>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</si>
  <si>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</si>
  <si>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</si>
  <si>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</si>
  <si>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NIL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</si>
  <si>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</si>
  <si>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</si>
  <si>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</si>
  <si>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</si>
  <si>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</si>
  <si>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</si>
  <si>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</si>
  <si>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</si>
  <si>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</si>
  <si>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</si>
  <si>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</si>
  <si>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</si>
  <si>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</si>
  <si>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 Sobha Limited Partly Paid have been suspended from trading on the exchange for the payment of 1st and Final call money.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</si>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</sst>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FEDF7-09C0-4239-A29B-326364D970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77622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7</xdr:col>
      <xdr:colOff>556260</xdr:colOff>
      <xdr:row>119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DD5D7F-011B-4CD3-905C-D190F9EBF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77622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C9F7-A057-4DE5-9666-C06E54A1C60B}">
  <sheetPr codeName="Sheet55">
    <outlinePr summaryBelow="0"/>
  </sheetPr>
  <dimension ref="A1:H108"/>
  <sheetViews>
    <sheetView tabSelected="1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72306</v>
      </c>
      <c r="F8" s="18">
        <v>878.84</v>
      </c>
      <c r="G8" s="19">
        <v>5.04E-2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54683</v>
      </c>
      <c r="F9" s="18">
        <v>868.23</v>
      </c>
      <c r="G9" s="19">
        <v>4.9799999999999997E-2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67258</v>
      </c>
      <c r="F10" s="18">
        <v>862.01</v>
      </c>
      <c r="G10" s="19">
        <v>4.9500000000000002E-2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17134</v>
      </c>
      <c r="F11" s="18">
        <v>618.13</v>
      </c>
      <c r="G11" s="19">
        <v>3.5499999999999997E-2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24</v>
      </c>
      <c r="E12" s="17">
        <v>31044</v>
      </c>
      <c r="F12" s="18">
        <v>550.36</v>
      </c>
      <c r="G12" s="19">
        <v>3.1600000000000003E-2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13920</v>
      </c>
      <c r="F13" s="18">
        <v>452.84</v>
      </c>
      <c r="G13" s="19">
        <v>2.5999999999999999E-2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4678</v>
      </c>
      <c r="F14" s="18">
        <v>405.92</v>
      </c>
      <c r="G14" s="19">
        <v>2.3300000000000001E-2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21000</v>
      </c>
      <c r="F15" s="18">
        <v>402.65</v>
      </c>
      <c r="G15" s="19">
        <v>2.3099999999999999E-2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75150</v>
      </c>
      <c r="F16" s="18">
        <v>363.46</v>
      </c>
      <c r="G16" s="19">
        <v>2.0899999999999998E-2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24</v>
      </c>
      <c r="E17" s="17">
        <v>33850</v>
      </c>
      <c r="F17" s="18">
        <v>360.4</v>
      </c>
      <c r="G17" s="19">
        <v>2.07E-2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43</v>
      </c>
      <c r="E18" s="17">
        <v>18506</v>
      </c>
      <c r="F18" s="18">
        <v>347.91</v>
      </c>
      <c r="G18" s="19">
        <v>0.02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39</v>
      </c>
      <c r="E19" s="17">
        <v>119787</v>
      </c>
      <c r="F19" s="18">
        <v>333.07</v>
      </c>
      <c r="G19" s="19">
        <v>1.9099999999999999E-2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24</v>
      </c>
      <c r="E20" s="17">
        <v>17600</v>
      </c>
      <c r="F20" s="18">
        <v>314.33999999999997</v>
      </c>
      <c r="G20" s="19">
        <v>1.7999999999999999E-2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43</v>
      </c>
      <c r="E21" s="17">
        <v>7525</v>
      </c>
      <c r="F21" s="18">
        <v>308.13</v>
      </c>
      <c r="G21" s="19">
        <v>1.77E-2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29971</v>
      </c>
      <c r="F22" s="18">
        <v>278.94</v>
      </c>
      <c r="G22" s="19">
        <v>1.6E-2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2400</v>
      </c>
      <c r="F23" s="18">
        <v>260.60000000000002</v>
      </c>
      <c r="G23" s="19">
        <v>1.4999999999999999E-2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54479</v>
      </c>
      <c r="F24" s="18">
        <v>244.34</v>
      </c>
      <c r="G24" s="19">
        <v>1.4E-2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5349</v>
      </c>
      <c r="F25" s="18">
        <v>243.61</v>
      </c>
      <c r="G25" s="19">
        <v>1.4E-2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22668</v>
      </c>
      <c r="F26" s="18">
        <v>238.74</v>
      </c>
      <c r="G26" s="19">
        <v>1.37E-2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1483</v>
      </c>
      <c r="F27" s="18">
        <v>213.73</v>
      </c>
      <c r="G27" s="19">
        <v>1.23E-2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258373</v>
      </c>
      <c r="F28" s="18">
        <v>208.48</v>
      </c>
      <c r="G28" s="19">
        <v>1.2E-2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43</v>
      </c>
      <c r="E29" s="17">
        <v>11441</v>
      </c>
      <c r="F29" s="18">
        <v>195.21</v>
      </c>
      <c r="G29" s="19">
        <v>1.12E-2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70</v>
      </c>
      <c r="E30" s="17">
        <v>4195</v>
      </c>
      <c r="F30" s="18">
        <v>174.54</v>
      </c>
      <c r="G30" s="19">
        <v>0.01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11115</v>
      </c>
      <c r="F31" s="18">
        <v>169.95</v>
      </c>
      <c r="G31" s="19">
        <v>9.7999999999999997E-3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28184</v>
      </c>
      <c r="F32" s="18">
        <v>169.79</v>
      </c>
      <c r="G32" s="19">
        <v>9.7000000000000003E-3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43124</v>
      </c>
      <c r="F33" s="18">
        <v>165.66</v>
      </c>
      <c r="G33" s="19">
        <v>9.4999999999999998E-3</v>
      </c>
      <c r="H33" s="20"/>
    </row>
    <row r="34" spans="1:8" ht="13.05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10000</v>
      </c>
      <c r="F34" s="18">
        <v>162.55000000000001</v>
      </c>
      <c r="G34" s="19">
        <v>9.2999999999999992E-3</v>
      </c>
      <c r="H34" s="20"/>
    </row>
    <row r="35" spans="1:8" ht="13.05" customHeight="1">
      <c r="A35" s="15" t="s">
        <v>113</v>
      </c>
      <c r="B35" s="16" t="s">
        <v>114</v>
      </c>
      <c r="C35" s="12" t="s">
        <v>115</v>
      </c>
      <c r="D35" s="13" t="s">
        <v>116</v>
      </c>
      <c r="E35" s="17">
        <v>14507</v>
      </c>
      <c r="F35" s="18">
        <v>161.59</v>
      </c>
      <c r="G35" s="19">
        <v>9.2999999999999992E-3</v>
      </c>
      <c r="H35" s="20"/>
    </row>
    <row r="36" spans="1:8" ht="13.05" customHeight="1">
      <c r="A36" s="15" t="s">
        <v>117</v>
      </c>
      <c r="B36" s="16" t="s">
        <v>118</v>
      </c>
      <c r="C36" s="12" t="s">
        <v>119</v>
      </c>
      <c r="D36" s="13" t="s">
        <v>70</v>
      </c>
      <c r="E36" s="17">
        <v>20269</v>
      </c>
      <c r="F36" s="18">
        <v>150.02000000000001</v>
      </c>
      <c r="G36" s="19">
        <v>8.6E-3</v>
      </c>
      <c r="H36" s="20"/>
    </row>
    <row r="37" spans="1:8" ht="13.05" customHeight="1">
      <c r="A37" s="15" t="s">
        <v>120</v>
      </c>
      <c r="B37" s="16" t="s">
        <v>121</v>
      </c>
      <c r="C37" s="12" t="s">
        <v>122</v>
      </c>
      <c r="D37" s="13" t="s">
        <v>74</v>
      </c>
      <c r="E37" s="17">
        <v>9500</v>
      </c>
      <c r="F37" s="18">
        <v>148.97</v>
      </c>
      <c r="G37" s="19">
        <v>8.6E-3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100</v>
      </c>
      <c r="E38" s="17">
        <v>6277</v>
      </c>
      <c r="F38" s="18">
        <v>147.87</v>
      </c>
      <c r="G38" s="19">
        <v>8.5000000000000006E-3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74</v>
      </c>
      <c r="E39" s="17">
        <v>11258</v>
      </c>
      <c r="F39" s="18">
        <v>133.51</v>
      </c>
      <c r="G39" s="19">
        <v>7.7000000000000002E-3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30083</v>
      </c>
      <c r="F40" s="18">
        <v>119.88</v>
      </c>
      <c r="G40" s="19">
        <v>6.8999999999999999E-3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112</v>
      </c>
      <c r="E41" s="17">
        <v>18325</v>
      </c>
      <c r="F41" s="18">
        <v>117.01</v>
      </c>
      <c r="G41" s="19">
        <v>6.7000000000000002E-3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86</v>
      </c>
      <c r="E42" s="17">
        <v>16000</v>
      </c>
      <c r="F42" s="18">
        <v>116.48</v>
      </c>
      <c r="G42" s="19">
        <v>6.7000000000000002E-3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7107</v>
      </c>
      <c r="F43" s="18">
        <v>105.01</v>
      </c>
      <c r="G43" s="19">
        <v>6.0000000000000001E-3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66</v>
      </c>
      <c r="E44" s="17">
        <v>14939</v>
      </c>
      <c r="F44" s="18">
        <v>104.45</v>
      </c>
      <c r="G44" s="19">
        <v>6.0000000000000001E-3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43</v>
      </c>
      <c r="E45" s="17">
        <v>32984</v>
      </c>
      <c r="F45" s="18">
        <v>99.56</v>
      </c>
      <c r="G45" s="19">
        <v>5.7000000000000002E-3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6565</v>
      </c>
      <c r="F46" s="18">
        <v>91.21</v>
      </c>
      <c r="G46" s="19">
        <v>5.1999999999999998E-3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5000</v>
      </c>
      <c r="F47" s="18">
        <v>87.93</v>
      </c>
      <c r="G47" s="19">
        <v>5.0000000000000001E-3</v>
      </c>
      <c r="H47" s="20"/>
    </row>
    <row r="48" spans="1:8" ht="13.05" customHeight="1">
      <c r="A48" s="15" t="s">
        <v>157</v>
      </c>
      <c r="B48" s="16" t="s">
        <v>158</v>
      </c>
      <c r="C48" s="12" t="s">
        <v>159</v>
      </c>
      <c r="D48" s="13" t="s">
        <v>24</v>
      </c>
      <c r="E48" s="17">
        <v>9000</v>
      </c>
      <c r="F48" s="18">
        <v>86.41</v>
      </c>
      <c r="G48" s="19">
        <v>5.0000000000000001E-3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163</v>
      </c>
      <c r="E49" s="17">
        <v>7000</v>
      </c>
      <c r="F49" s="18">
        <v>86.18</v>
      </c>
      <c r="G49" s="19">
        <v>4.8999999999999998E-3</v>
      </c>
      <c r="H49" s="20"/>
    </row>
    <row r="50" spans="1:8" ht="13.05" customHeight="1">
      <c r="A50" s="15" t="s">
        <v>164</v>
      </c>
      <c r="B50" s="16" t="s">
        <v>165</v>
      </c>
      <c r="C50" s="12" t="s">
        <v>166</v>
      </c>
      <c r="D50" s="13" t="s">
        <v>116</v>
      </c>
      <c r="E50" s="17">
        <v>13166</v>
      </c>
      <c r="F50" s="18">
        <v>81.239999999999995</v>
      </c>
      <c r="G50" s="19">
        <v>4.7000000000000002E-3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24</v>
      </c>
      <c r="E51" s="17">
        <v>65918</v>
      </c>
      <c r="F51" s="18">
        <v>79.349999999999994</v>
      </c>
      <c r="G51" s="19">
        <v>4.5999999999999999E-3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100</v>
      </c>
      <c r="E52" s="17">
        <v>2410</v>
      </c>
      <c r="F52" s="18">
        <v>69.42</v>
      </c>
      <c r="G52" s="19">
        <v>4.0000000000000001E-3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152</v>
      </c>
      <c r="E53" s="17">
        <v>4307</v>
      </c>
      <c r="F53" s="18">
        <v>67.91</v>
      </c>
      <c r="G53" s="19">
        <v>3.8999999999999998E-3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70</v>
      </c>
      <c r="E54" s="17">
        <v>2767</v>
      </c>
      <c r="F54" s="18">
        <v>65.540000000000006</v>
      </c>
      <c r="G54" s="19">
        <v>3.8E-3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74</v>
      </c>
      <c r="E55" s="17">
        <v>23953</v>
      </c>
      <c r="F55" s="18">
        <v>63.46</v>
      </c>
      <c r="G55" s="19">
        <v>3.5999999999999999E-3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74</v>
      </c>
      <c r="E56" s="17">
        <v>15000</v>
      </c>
      <c r="F56" s="18">
        <v>63.39</v>
      </c>
      <c r="G56" s="19">
        <v>3.5999999999999999E-3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132</v>
      </c>
      <c r="E57" s="17">
        <v>7609</v>
      </c>
      <c r="F57" s="18">
        <v>62.63</v>
      </c>
      <c r="G57" s="19">
        <v>3.5999999999999999E-3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74</v>
      </c>
      <c r="E58" s="17">
        <v>120993</v>
      </c>
      <c r="F58" s="18">
        <v>51.94</v>
      </c>
      <c r="G58" s="19">
        <v>3.0000000000000001E-3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13920</v>
      </c>
      <c r="F59" s="18">
        <v>48.85</v>
      </c>
      <c r="G59" s="19">
        <v>2.8E-3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132</v>
      </c>
      <c r="E60" s="17">
        <v>1648</v>
      </c>
      <c r="F60" s="18">
        <v>36.770000000000003</v>
      </c>
      <c r="G60" s="19">
        <v>2.0999999999999999E-3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25932</v>
      </c>
      <c r="F61" s="18">
        <v>31.45</v>
      </c>
      <c r="G61" s="19">
        <v>1.8E-3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74</v>
      </c>
      <c r="E62" s="17">
        <v>9655</v>
      </c>
      <c r="F62" s="18">
        <v>30.35</v>
      </c>
      <c r="G62" s="19">
        <v>1.6999999999999999E-3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82</v>
      </c>
      <c r="E63" s="17">
        <v>165</v>
      </c>
      <c r="F63" s="18">
        <v>19.87</v>
      </c>
      <c r="G63" s="19">
        <v>1.1000000000000001E-3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8655</v>
      </c>
      <c r="F64" s="18">
        <v>16.53</v>
      </c>
      <c r="G64" s="19">
        <v>8.9999999999999998E-4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6521</v>
      </c>
      <c r="F65" s="18">
        <v>11.99</v>
      </c>
      <c r="G65" s="19">
        <v>6.9999999999999999E-4</v>
      </c>
      <c r="H65" s="20"/>
    </row>
    <row r="66" spans="1:8" ht="13.05" customHeight="1">
      <c r="A66" s="4"/>
      <c r="B66" s="21" t="s">
        <v>216</v>
      </c>
      <c r="C66" s="22"/>
      <c r="D66" s="21"/>
      <c r="E66" s="21"/>
      <c r="F66" s="23">
        <v>12353.74</v>
      </c>
      <c r="G66" s="24">
        <v>0.70909999999999995</v>
      </c>
      <c r="H66" s="25"/>
    </row>
    <row r="67" spans="1:8" ht="13.05" customHeight="1">
      <c r="A67" s="4"/>
      <c r="B67" s="11" t="s">
        <v>217</v>
      </c>
      <c r="C67" s="26"/>
      <c r="D67" s="27"/>
      <c r="E67" s="27"/>
      <c r="F67" s="28"/>
      <c r="G67" s="28"/>
      <c r="H67" s="25"/>
    </row>
    <row r="68" spans="1:8" ht="13.05" customHeight="1">
      <c r="A68" s="15" t="s">
        <v>218</v>
      </c>
      <c r="B68" s="16" t="s">
        <v>219</v>
      </c>
      <c r="C68" s="12" t="s">
        <v>220</v>
      </c>
      <c r="D68" s="13" t="s">
        <v>152</v>
      </c>
      <c r="E68" s="17">
        <v>605</v>
      </c>
      <c r="F68" s="18">
        <v>4.54</v>
      </c>
      <c r="G68" s="19">
        <v>2.9999999999999997E-4</v>
      </c>
      <c r="H68" s="20"/>
    </row>
    <row r="69" spans="1:8" ht="13.05" customHeight="1">
      <c r="A69" s="4"/>
      <c r="B69" s="21" t="s">
        <v>216</v>
      </c>
      <c r="C69" s="26"/>
      <c r="D69" s="27"/>
      <c r="E69" s="27"/>
      <c r="F69" s="23">
        <f>+F68</f>
        <v>4.54</v>
      </c>
      <c r="G69" s="24">
        <f>+G68</f>
        <v>2.9999999999999997E-4</v>
      </c>
      <c r="H69" s="25"/>
    </row>
    <row r="70" spans="1:8" ht="13.05" customHeight="1">
      <c r="A70" s="4"/>
      <c r="B70" s="21" t="s">
        <v>221</v>
      </c>
      <c r="C70" s="26"/>
      <c r="D70" s="27"/>
      <c r="E70" s="29"/>
      <c r="F70" s="30">
        <v>12353.74</v>
      </c>
      <c r="G70" s="31">
        <v>0.70909999999999995</v>
      </c>
      <c r="H70" s="32"/>
    </row>
    <row r="71" spans="1:8" ht="13.05" customHeight="1">
      <c r="A71" s="4"/>
      <c r="B71" s="11" t="s">
        <v>222</v>
      </c>
      <c r="C71" s="12"/>
      <c r="D71" s="13"/>
      <c r="E71" s="13"/>
      <c r="F71" s="13"/>
      <c r="G71" s="13"/>
      <c r="H71" s="14"/>
    </row>
    <row r="72" spans="1:8" ht="13.05" customHeight="1">
      <c r="A72" s="4"/>
      <c r="B72" s="11" t="s">
        <v>223</v>
      </c>
      <c r="C72" s="12"/>
      <c r="D72" s="13"/>
      <c r="E72" s="13"/>
      <c r="F72" s="13"/>
      <c r="G72" s="13"/>
      <c r="H72" s="14"/>
    </row>
    <row r="73" spans="1:8" ht="13.05" customHeight="1">
      <c r="A73" s="15" t="s">
        <v>224</v>
      </c>
      <c r="B73" s="16" t="s">
        <v>225</v>
      </c>
      <c r="C73" s="12"/>
      <c r="D73" s="13" t="s">
        <v>226</v>
      </c>
      <c r="E73" s="17">
        <v>-9500</v>
      </c>
      <c r="F73" s="18">
        <v>-150.1</v>
      </c>
      <c r="G73" s="19">
        <v>-8.6E-3</v>
      </c>
      <c r="H73" s="20"/>
    </row>
    <row r="74" spans="1:8" ht="13.05" customHeight="1">
      <c r="A74" s="15" t="s">
        <v>227</v>
      </c>
      <c r="B74" s="16" t="s">
        <v>228</v>
      </c>
      <c r="C74" s="12"/>
      <c r="D74" s="13" t="s">
        <v>226</v>
      </c>
      <c r="E74" s="17">
        <v>-2400</v>
      </c>
      <c r="F74" s="18">
        <v>-262.18</v>
      </c>
      <c r="G74" s="19">
        <v>-1.5100000000000001E-2</v>
      </c>
      <c r="H74" s="20"/>
    </row>
    <row r="75" spans="1:8" ht="13.05" customHeight="1">
      <c r="A75" s="15" t="s">
        <v>229</v>
      </c>
      <c r="B75" s="16" t="s">
        <v>230</v>
      </c>
      <c r="C75" s="12"/>
      <c r="D75" s="13" t="s">
        <v>226</v>
      </c>
      <c r="E75" s="17">
        <v>-7525</v>
      </c>
      <c r="F75" s="18">
        <v>-307.98</v>
      </c>
      <c r="G75" s="19">
        <v>-1.77E-2</v>
      </c>
      <c r="H75" s="20"/>
    </row>
    <row r="76" spans="1:8" ht="13.05" customHeight="1">
      <c r="A76" s="15" t="s">
        <v>231</v>
      </c>
      <c r="B76" s="16" t="s">
        <v>232</v>
      </c>
      <c r="C76" s="12"/>
      <c r="D76" s="13" t="s">
        <v>226</v>
      </c>
      <c r="E76" s="17">
        <v>-17600</v>
      </c>
      <c r="F76" s="18">
        <v>-316.61</v>
      </c>
      <c r="G76" s="19">
        <v>-1.8200000000000001E-2</v>
      </c>
      <c r="H76" s="20"/>
    </row>
    <row r="77" spans="1:8" ht="13.05" customHeight="1">
      <c r="A77" s="15" t="s">
        <v>233</v>
      </c>
      <c r="B77" s="16" t="s">
        <v>234</v>
      </c>
      <c r="C77" s="12"/>
      <c r="D77" s="13" t="s">
        <v>226</v>
      </c>
      <c r="E77" s="17">
        <v>-9800</v>
      </c>
      <c r="F77" s="18">
        <v>-321.20999999999998</v>
      </c>
      <c r="G77" s="19">
        <v>-1.84E-2</v>
      </c>
      <c r="H77" s="20"/>
    </row>
    <row r="78" spans="1:8" ht="13.05" customHeight="1">
      <c r="A78" s="15" t="s">
        <v>235</v>
      </c>
      <c r="B78" s="16" t="s">
        <v>236</v>
      </c>
      <c r="C78" s="12"/>
      <c r="D78" s="13" t="s">
        <v>226</v>
      </c>
      <c r="E78" s="17">
        <v>-10500</v>
      </c>
      <c r="F78" s="18">
        <v>-381.08</v>
      </c>
      <c r="G78" s="19">
        <v>-2.1899999999999999E-2</v>
      </c>
      <c r="H78" s="20"/>
    </row>
    <row r="79" spans="1:8" ht="13.05" customHeight="1">
      <c r="A79" s="15" t="s">
        <v>237</v>
      </c>
      <c r="B79" s="16" t="s">
        <v>238</v>
      </c>
      <c r="C79" s="12"/>
      <c r="D79" s="13" t="s">
        <v>226</v>
      </c>
      <c r="E79" s="17">
        <v>-31500</v>
      </c>
      <c r="F79" s="18">
        <v>-385.45</v>
      </c>
      <c r="G79" s="19">
        <v>-2.2100000000000002E-2</v>
      </c>
      <c r="H79" s="20"/>
    </row>
    <row r="80" spans="1:8" ht="13.05" customHeight="1">
      <c r="A80" s="15" t="s">
        <v>239</v>
      </c>
      <c r="B80" s="16" t="s">
        <v>240</v>
      </c>
      <c r="C80" s="12"/>
      <c r="D80" s="13" t="s">
        <v>226</v>
      </c>
      <c r="E80" s="17">
        <v>-21000</v>
      </c>
      <c r="F80" s="18">
        <v>-401.63</v>
      </c>
      <c r="G80" s="19">
        <v>-2.3099999999999999E-2</v>
      </c>
      <c r="H80" s="20"/>
    </row>
    <row r="81" spans="1:8" ht="13.05" customHeight="1">
      <c r="A81" s="15" t="s">
        <v>241</v>
      </c>
      <c r="B81" s="16" t="s">
        <v>242</v>
      </c>
      <c r="C81" s="12"/>
      <c r="D81" s="13" t="s">
        <v>226</v>
      </c>
      <c r="E81" s="17">
        <v>-32900</v>
      </c>
      <c r="F81" s="18">
        <v>-424.79</v>
      </c>
      <c r="G81" s="19">
        <v>-2.4400000000000002E-2</v>
      </c>
      <c r="H81" s="20"/>
    </row>
    <row r="82" spans="1:8" ht="13.05" customHeight="1">
      <c r="A82" s="15" t="s">
        <v>243</v>
      </c>
      <c r="B82" s="16" t="s">
        <v>244</v>
      </c>
      <c r="C82" s="12"/>
      <c r="D82" s="13" t="s">
        <v>226</v>
      </c>
      <c r="E82" s="17">
        <v>-33250</v>
      </c>
      <c r="F82" s="18">
        <v>-531.6</v>
      </c>
      <c r="G82" s="19">
        <v>-3.0499999999999999E-2</v>
      </c>
      <c r="H82" s="20"/>
    </row>
    <row r="83" spans="1:8" ht="13.05" customHeight="1">
      <c r="A83" s="4"/>
      <c r="B83" s="21" t="s">
        <v>221</v>
      </c>
      <c r="C83" s="26"/>
      <c r="D83" s="27"/>
      <c r="E83" s="29"/>
      <c r="F83" s="30">
        <v>-3482.63</v>
      </c>
      <c r="G83" s="31">
        <v>-0.2</v>
      </c>
      <c r="H83" s="32"/>
    </row>
    <row r="84" spans="1:8" ht="13.05" customHeight="1">
      <c r="A84" s="4"/>
      <c r="B84" s="11" t="s">
        <v>245</v>
      </c>
      <c r="C84" s="12"/>
      <c r="D84" s="13"/>
      <c r="E84" s="13"/>
      <c r="F84" s="13"/>
      <c r="G84" s="13"/>
      <c r="H84" s="14"/>
    </row>
    <row r="85" spans="1:8" ht="13.05" customHeight="1">
      <c r="A85" s="4"/>
      <c r="B85" s="11" t="s">
        <v>246</v>
      </c>
      <c r="C85" s="12"/>
      <c r="D85" s="13"/>
      <c r="E85" s="13"/>
      <c r="F85" s="13"/>
      <c r="G85" s="13"/>
      <c r="H85" s="14"/>
    </row>
    <row r="86" spans="1:8" ht="13.05" customHeight="1">
      <c r="A86" s="4"/>
      <c r="B86" s="11" t="s">
        <v>247</v>
      </c>
      <c r="C86" s="12"/>
      <c r="D86" s="13"/>
      <c r="E86" s="13"/>
      <c r="F86" s="13"/>
      <c r="G86" s="13"/>
      <c r="H86" s="14"/>
    </row>
    <row r="87" spans="1:8" ht="13.05" customHeight="1">
      <c r="A87" s="15" t="s">
        <v>248</v>
      </c>
      <c r="B87" s="16" t="s">
        <v>249</v>
      </c>
      <c r="C87" s="12" t="s">
        <v>250</v>
      </c>
      <c r="D87" s="13" t="s">
        <v>251</v>
      </c>
      <c r="E87" s="17">
        <v>4000000</v>
      </c>
      <c r="F87" s="18">
        <v>4138.97</v>
      </c>
      <c r="G87" s="19">
        <v>0.23760000000000001</v>
      </c>
      <c r="H87" s="20">
        <v>7.1391999999999997E-2</v>
      </c>
    </row>
    <row r="88" spans="1:8" ht="13.05" customHeight="1">
      <c r="A88" s="4"/>
      <c r="B88" s="21" t="s">
        <v>216</v>
      </c>
      <c r="C88" s="22"/>
      <c r="D88" s="21"/>
      <c r="E88" s="21"/>
      <c r="F88" s="23">
        <v>4138.97</v>
      </c>
      <c r="G88" s="24">
        <v>0.23760000000000001</v>
      </c>
      <c r="H88" s="25"/>
    </row>
    <row r="89" spans="1:8" ht="13.05" customHeight="1">
      <c r="A89" s="4"/>
      <c r="B89" s="11" t="s">
        <v>252</v>
      </c>
      <c r="C89" s="12"/>
      <c r="D89" s="27"/>
      <c r="E89" s="27"/>
      <c r="F89" s="28" t="s">
        <v>253</v>
      </c>
      <c r="G89" s="28" t="s">
        <v>253</v>
      </c>
      <c r="H89" s="25" t="s">
        <v>253</v>
      </c>
    </row>
    <row r="90" spans="1:8" ht="13.05" customHeight="1">
      <c r="A90" s="4"/>
      <c r="B90" s="22" t="s">
        <v>216</v>
      </c>
      <c r="C90" s="26"/>
      <c r="D90" s="27"/>
      <c r="E90" s="27"/>
      <c r="F90" s="28" t="s">
        <v>253</v>
      </c>
      <c r="G90" s="28" t="s">
        <v>253</v>
      </c>
      <c r="H90" s="25" t="s">
        <v>253</v>
      </c>
    </row>
    <row r="91" spans="1:8" ht="13.05" customHeight="1">
      <c r="A91" s="4"/>
      <c r="B91" s="21" t="s">
        <v>221</v>
      </c>
      <c r="C91" s="26"/>
      <c r="D91" s="27"/>
      <c r="E91" s="29"/>
      <c r="F91" s="30">
        <v>4138.97</v>
      </c>
      <c r="G91" s="31">
        <v>0.23760000000000001</v>
      </c>
      <c r="H91" s="32"/>
    </row>
    <row r="92" spans="1:8" ht="13.05" customHeight="1">
      <c r="A92" s="4"/>
      <c r="B92" s="11" t="s">
        <v>254</v>
      </c>
      <c r="C92" s="12"/>
      <c r="D92" s="13"/>
      <c r="E92" s="13"/>
      <c r="F92" s="13"/>
      <c r="G92" s="13"/>
      <c r="H92" s="14"/>
    </row>
    <row r="93" spans="1:8" ht="13.05" customHeight="1">
      <c r="A93" s="4"/>
      <c r="B93" s="33" t="s">
        <v>255</v>
      </c>
      <c r="C93" s="12"/>
      <c r="D93" s="13"/>
      <c r="E93" s="13"/>
      <c r="F93" s="13"/>
      <c r="G93" s="13"/>
      <c r="H93" s="14"/>
    </row>
    <row r="94" spans="1:8" ht="13.05" customHeight="1">
      <c r="A94" s="15" t="s">
        <v>256</v>
      </c>
      <c r="B94" s="16" t="s">
        <v>257</v>
      </c>
      <c r="C94" s="12"/>
      <c r="D94" s="13"/>
      <c r="E94" s="34"/>
      <c r="F94" s="18">
        <v>746.26</v>
      </c>
      <c r="G94" s="19">
        <v>4.2799999999999998E-2</v>
      </c>
      <c r="H94" s="20">
        <v>6.2892970029494816E-2</v>
      </c>
    </row>
    <row r="95" spans="1:8" ht="13.05" customHeight="1">
      <c r="A95" s="4"/>
      <c r="B95" s="21" t="s">
        <v>221</v>
      </c>
      <c r="C95" s="26"/>
      <c r="D95" s="27"/>
      <c r="E95" s="29"/>
      <c r="F95" s="30">
        <v>746.26</v>
      </c>
      <c r="G95" s="31">
        <v>4.2799999999999998E-2</v>
      </c>
      <c r="H95" s="32"/>
    </row>
    <row r="96" spans="1:8" ht="13.05" customHeight="1">
      <c r="A96" s="4"/>
      <c r="B96" s="33" t="s">
        <v>258</v>
      </c>
      <c r="C96" s="35"/>
      <c r="D96" s="36"/>
      <c r="E96" s="36"/>
      <c r="F96" s="36"/>
      <c r="G96" s="36"/>
      <c r="H96" s="37"/>
    </row>
    <row r="97" spans="1:8" ht="13.05" customHeight="1">
      <c r="A97" s="4"/>
      <c r="B97" s="27" t="s">
        <v>259</v>
      </c>
      <c r="C97" s="26"/>
      <c r="D97" s="27"/>
      <c r="E97" s="27"/>
      <c r="F97" s="23">
        <v>0.01</v>
      </c>
      <c r="G97" s="38" t="s">
        <v>260</v>
      </c>
      <c r="H97" s="37"/>
    </row>
    <row r="98" spans="1:8" ht="13.05" customHeight="1">
      <c r="A98" s="4"/>
      <c r="B98" s="21" t="s">
        <v>216</v>
      </c>
      <c r="C98" s="22"/>
      <c r="D98" s="21"/>
      <c r="E98" s="21"/>
      <c r="F98" s="23">
        <v>0.01</v>
      </c>
      <c r="G98" s="38" t="s">
        <v>260</v>
      </c>
      <c r="H98" s="37"/>
    </row>
    <row r="99" spans="1:8" ht="13.05" customHeight="1">
      <c r="A99" s="4"/>
      <c r="B99" s="27" t="s">
        <v>261</v>
      </c>
      <c r="C99" s="26"/>
      <c r="D99" s="27"/>
      <c r="E99" s="27"/>
      <c r="F99" s="23">
        <v>200</v>
      </c>
      <c r="G99" s="24">
        <v>1.15E-2</v>
      </c>
      <c r="H99" s="37"/>
    </row>
    <row r="100" spans="1:8" ht="13.05" customHeight="1">
      <c r="A100" s="4"/>
      <c r="B100" s="36" t="s">
        <v>262</v>
      </c>
      <c r="C100" s="35"/>
      <c r="D100" s="36"/>
      <c r="E100" s="36"/>
      <c r="F100" s="39">
        <v>6.9</v>
      </c>
      <c r="G100" s="40">
        <v>4.0000000000000002E-4</v>
      </c>
      <c r="H100" s="37"/>
    </row>
    <row r="101" spans="1:8" ht="13.05" customHeight="1">
      <c r="A101" s="4"/>
      <c r="B101" s="36" t="s">
        <v>263</v>
      </c>
      <c r="C101" s="35"/>
      <c r="D101" s="36"/>
      <c r="E101" s="36"/>
      <c r="F101" s="41">
        <v>-25.62</v>
      </c>
      <c r="G101" s="40">
        <v>-1.4E-3</v>
      </c>
      <c r="H101" s="37"/>
    </row>
    <row r="102" spans="1:8" ht="13.05" customHeight="1">
      <c r="A102" s="4"/>
      <c r="B102" s="21" t="s">
        <v>264</v>
      </c>
      <c r="C102" s="26"/>
      <c r="D102" s="27"/>
      <c r="E102" s="27"/>
      <c r="F102" s="23">
        <v>181.28</v>
      </c>
      <c r="G102" s="42">
        <v>1.0500000000000001E-2</v>
      </c>
      <c r="H102" s="37"/>
    </row>
    <row r="103" spans="1:8" ht="13.05" customHeight="1" thickBot="1">
      <c r="A103" s="4"/>
      <c r="B103" s="43" t="s">
        <v>265</v>
      </c>
      <c r="C103" s="44"/>
      <c r="D103" s="45"/>
      <c r="E103" s="45"/>
      <c r="F103" s="46">
        <v>17420.259484476901</v>
      </c>
      <c r="G103" s="47">
        <v>1</v>
      </c>
      <c r="H103" s="48"/>
    </row>
    <row r="104" spans="1:8" ht="13.05" customHeight="1">
      <c r="A104" s="4"/>
      <c r="B104" s="49"/>
      <c r="C104" s="4"/>
      <c r="D104" s="4"/>
      <c r="E104" s="4"/>
      <c r="F104" s="4"/>
      <c r="G104" s="4"/>
      <c r="H104" s="4"/>
    </row>
    <row r="105" spans="1:8" ht="13.05" customHeight="1">
      <c r="A105" s="4"/>
      <c r="B105" s="49" t="s">
        <v>266</v>
      </c>
      <c r="C105" s="4"/>
      <c r="D105" s="4"/>
      <c r="E105" s="4"/>
      <c r="F105" s="4"/>
      <c r="G105" s="4"/>
      <c r="H105" s="4"/>
    </row>
    <row r="106" spans="1:8" ht="13.05" customHeight="1">
      <c r="A106" s="4"/>
      <c r="B106" s="50" t="s">
        <v>267</v>
      </c>
      <c r="C106" s="4"/>
      <c r="D106" s="4"/>
      <c r="E106" s="4"/>
      <c r="F106" s="4"/>
      <c r="G106" s="4"/>
      <c r="H106" s="4"/>
    </row>
    <row r="107" spans="1:8">
      <c r="F107" s="51" t="s">
        <v>268</v>
      </c>
    </row>
    <row r="108" spans="1:8">
      <c r="B108" s="51" t="s">
        <v>269</v>
      </c>
      <c r="F108" s="51" t="s">
        <v>270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2025-01-08T09:22:39Z</dcterms:created>
  <dcterms:modified xsi:type="dcterms:W3CDTF">2025-01-08T09:22:41Z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798b619b-3cfb-4ef7-bb3f-f507ed1f43c0</vt:lpwstr>
  </property>
  <property fmtid="{D5CDD505-2E9C-101B-9397-08002B2CF9AE}" pid="8" name="MSIP_Label_1b7f8449-e5d3-4eba-8da7-ffd6ca5bf3e9_ContentBits">
    <vt:lpwstr>0</vt:lpwstr>
  </property>
</Properties>
</file>