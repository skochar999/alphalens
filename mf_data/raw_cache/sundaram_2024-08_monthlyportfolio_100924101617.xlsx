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T:\MCR Report\2024-2025\05. Aug 2024\z Monthly Portfolio - Aug 2024\"/>
    </mc:Choice>
  </mc:AlternateContent>
  <xr:revisionPtr revIDLastSave="0" documentId="13_ncr:1_{5BF86A5C-94B4-45D5-8AD7-77BB7528C2B4}" xr6:coauthVersionLast="47" xr6:coauthVersionMax="47" xr10:uidLastSave="{00000000-0000-0000-0000-000000000000}"/>
  <bookViews>
    <workbookView xWindow="-120" yWindow="-120" windowWidth="24240" windowHeight="13020" tabRatio="880" xr2:uid="{0AE14572-A3AB-4AF4-84E9-6F121E3DF889}"/>
  </bookViews>
  <sheets>
    <sheet name="Index" sheetId="31" r:id="rId1"/>
    <sheet name="CAPEXG" sheetId="1" r:id="rId2"/>
    <sheet name="GLOB" sheetId="30" r:id="rId3"/>
    <sheet name="MIDCAP" sheetId="2" r:id="rId4"/>
    <sheet name="MULTIP" sheetId="3" r:id="rId5"/>
    <sheet name="SLTADV3" sheetId="4" r:id="rId6"/>
    <sheet name="SLTADV4" sheetId="5" r:id="rId7"/>
    <sheet name="SLTAX1" sheetId="6" r:id="rId8"/>
    <sheet name="SLTAX2" sheetId="7" r:id="rId9"/>
    <sheet name="SLTAX3" sheetId="8"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CYF" sheetId="26" r:id="rId28"/>
    <sheet name="SUNFCF" sheetId="27" r:id="rId29"/>
    <sheet name="SUNFOP" sheetId="28" r:id="rId30"/>
    <sheet name="SUNMAF" sheetId="29" r:id="rId31"/>
    <sheet name="Annexure-A" sheetId="32" r:id="rId32"/>
  </sheets>
  <externalReferences>
    <externalReference r:id="rId33"/>
  </externalReferences>
  <definedNames>
    <definedName name="_xlnm._FilterDatabase" localSheetId="31" hidden="1">'Annexure-A'!$A$8:$L$109</definedName>
    <definedName name="_xlnm._FilterDatabase" localSheetId="0" hidden="1">Index!$A$1:$C$28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3" i="32" l="1"/>
  <c r="G166" i="32"/>
  <c r="G165" i="32"/>
  <c r="F164" i="32"/>
  <c r="G164" i="32" s="1"/>
  <c r="E164" i="32"/>
  <c r="D164" i="32"/>
  <c r="C164" i="32"/>
  <c r="F163" i="32"/>
  <c r="G163" i="32" s="1"/>
  <c r="E163" i="32"/>
  <c r="D163" i="32"/>
  <c r="C163" i="32"/>
  <c r="I163" i="32" s="1"/>
  <c r="G162" i="32"/>
  <c r="F161" i="32"/>
  <c r="G161" i="32" s="1"/>
  <c r="E161" i="32"/>
  <c r="D161" i="32"/>
  <c r="C161" i="32"/>
  <c r="G160" i="32"/>
  <c r="G159" i="32"/>
  <c r="F159" i="32"/>
  <c r="E159" i="32"/>
  <c r="D159" i="32"/>
  <c r="C159" i="32"/>
  <c r="I158" i="32"/>
  <c r="G158" i="32"/>
  <c r="I157" i="32"/>
  <c r="G157" i="32"/>
  <c r="F156" i="32"/>
  <c r="G156" i="32" s="1"/>
  <c r="E156" i="32"/>
  <c r="D156" i="32"/>
  <c r="C156" i="32"/>
  <c r="I156" i="32" s="1"/>
  <c r="G155" i="32"/>
  <c r="F155" i="32"/>
  <c r="E155" i="32"/>
  <c r="D155" i="32"/>
  <c r="I155" i="32" s="1"/>
  <c r="C155" i="32"/>
  <c r="G131" i="32"/>
  <c r="G130" i="32"/>
  <c r="F129" i="32"/>
  <c r="G129" i="32" s="1"/>
  <c r="E129" i="32"/>
  <c r="D129" i="32"/>
  <c r="C129" i="32"/>
  <c r="G128" i="32"/>
  <c r="F127" i="32"/>
  <c r="G127" i="32" s="1"/>
  <c r="E127" i="32"/>
  <c r="D127" i="32"/>
  <c r="C127" i="32"/>
  <c r="F126" i="32"/>
  <c r="G126" i="32" s="1"/>
  <c r="E126" i="32"/>
  <c r="D126" i="32"/>
  <c r="C126" i="32"/>
  <c r="F125" i="32"/>
  <c r="G125" i="32" s="1"/>
  <c r="E125" i="32"/>
  <c r="D125" i="32"/>
  <c r="C125" i="32"/>
  <c r="F124" i="32"/>
  <c r="G124" i="32" s="1"/>
  <c r="E124" i="32"/>
  <c r="D124" i="32"/>
  <c r="C124" i="32"/>
  <c r="G123" i="32"/>
  <c r="F122" i="32"/>
  <c r="G122" i="32" s="1"/>
  <c r="E122" i="32"/>
  <c r="D122" i="32"/>
  <c r="C122" i="32"/>
  <c r="G150" i="29"/>
  <c r="G151" i="29"/>
  <c r="F151" i="29"/>
  <c r="F150" i="29"/>
  <c r="G94" i="29"/>
  <c r="F94" i="29"/>
  <c r="G175" i="17" l="1"/>
  <c r="G176" i="17" s="1"/>
  <c r="F176" i="17"/>
  <c r="F175" i="17"/>
  <c r="G122" i="17"/>
  <c r="F122" i="17"/>
  <c r="F169" i="15" l="1"/>
  <c r="F106" i="15"/>
  <c r="G133" i="14"/>
  <c r="G134" i="14"/>
  <c r="F133" i="14"/>
  <c r="G80" i="14"/>
  <c r="F80" i="14"/>
  <c r="D160" i="12"/>
  <c r="F134" i="14" l="1"/>
  <c r="D194" i="13" l="1"/>
  <c r="G91" i="29"/>
  <c r="G90" i="29"/>
  <c r="G89" i="29"/>
  <c r="G88" i="29"/>
  <c r="G87" i="29"/>
  <c r="G86" i="29"/>
  <c r="G85" i="29"/>
  <c r="G84" i="29"/>
  <c r="G83" i="29"/>
  <c r="G82" i="29"/>
  <c r="G81" i="29"/>
  <c r="G80" i="29"/>
  <c r="G79" i="29"/>
  <c r="G78" i="29"/>
  <c r="G77" i="29"/>
  <c r="G76" i="29"/>
  <c r="D146" i="23"/>
  <c r="D153" i="21"/>
  <c r="G79" i="21"/>
  <c r="F79" i="21"/>
  <c r="G87" i="21"/>
  <c r="F87" i="21"/>
  <c r="D145" i="19"/>
  <c r="G65" i="19"/>
  <c r="F65" i="19"/>
  <c r="G79" i="19"/>
  <c r="F79" i="19"/>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D143" i="16"/>
  <c r="G67" i="16"/>
  <c r="F67" i="16"/>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222" i="13"/>
  <c r="F80" i="13"/>
  <c r="F73" i="13"/>
  <c r="G38" i="6" l="1"/>
  <c r="F38" i="6"/>
  <c r="G39" i="7"/>
  <c r="F39" i="7"/>
  <c r="D92" i="30"/>
  <c r="D139" i="1"/>
  <c r="G66" i="1" l="1"/>
  <c r="F66" i="1"/>
  <c r="F16" i="15"/>
  <c r="F52" i="15"/>
  <c r="F80" i="15"/>
  <c r="F81" i="15" s="1"/>
  <c r="F89" i="13"/>
  <c r="F90" i="13" s="1"/>
  <c r="F95" i="13" l="1"/>
  <c r="F184" i="13" s="1"/>
  <c r="G89" i="13" s="1"/>
  <c r="G90" i="13" s="1"/>
  <c r="F65" i="15"/>
  <c r="F170" i="15" s="1"/>
  <c r="G84" i="15" l="1"/>
  <c r="G95" i="13"/>
  <c r="G184" i="13" s="1"/>
  <c r="G103" i="15"/>
  <c r="G95" i="15"/>
  <c r="G87" i="15"/>
  <c r="G89" i="15"/>
  <c r="G102" i="15"/>
  <c r="G94" i="15"/>
  <c r="G86" i="15"/>
  <c r="G98" i="15"/>
  <c r="G101" i="15"/>
  <c r="G93" i="15"/>
  <c r="G85" i="15"/>
  <c r="G100" i="15"/>
  <c r="G92" i="15"/>
  <c r="G99" i="15"/>
  <c r="G91" i="15"/>
  <c r="G90" i="15"/>
  <c r="G96" i="15"/>
  <c r="G88" i="15"/>
  <c r="G97" i="15"/>
  <c r="G169" i="15"/>
  <c r="G16" i="15"/>
  <c r="G80" i="15"/>
  <c r="G81" i="15" s="1"/>
  <c r="G52" i="15"/>
  <c r="G65" i="15" l="1"/>
  <c r="G106" i="15" s="1"/>
  <c r="G170" i="15" l="1"/>
  <c r="H151" i="29"/>
  <c r="H150" i="29"/>
  <c r="H149" i="29"/>
  <c r="H148" i="29"/>
  <c r="H147" i="29"/>
  <c r="H146" i="29"/>
  <c r="H145" i="29"/>
  <c r="H144" i="29"/>
  <c r="H143" i="29"/>
  <c r="H142" i="29"/>
  <c r="H141" i="29"/>
  <c r="H140" i="29"/>
  <c r="H139" i="29"/>
  <c r="H138" i="29"/>
  <c r="H137" i="29"/>
  <c r="H136" i="29"/>
  <c r="H135" i="29"/>
  <c r="H134" i="29"/>
  <c r="H133" i="29"/>
  <c r="H132" i="29"/>
  <c r="H131" i="29"/>
  <c r="H130" i="29"/>
  <c r="H129" i="29"/>
  <c r="H127" i="29"/>
  <c r="H126" i="29"/>
  <c r="H125" i="29"/>
  <c r="H124" i="29"/>
  <c r="H123" i="29"/>
  <c r="H122" i="29"/>
  <c r="H121" i="29"/>
  <c r="H120" i="29"/>
  <c r="H119" i="29"/>
  <c r="H118" i="29"/>
  <c r="H117" i="29"/>
  <c r="H116" i="29"/>
  <c r="H115" i="29"/>
  <c r="H114" i="29"/>
  <c r="H113" i="29"/>
  <c r="H112" i="29"/>
  <c r="H111" i="29"/>
  <c r="H110" i="29"/>
  <c r="H109" i="29"/>
  <c r="H108" i="29"/>
  <c r="H107" i="29"/>
  <c r="H106" i="29"/>
  <c r="H105" i="29"/>
  <c r="H104" i="29"/>
  <c r="H103" i="29"/>
  <c r="H102" i="29"/>
  <c r="H101" i="29"/>
  <c r="H100" i="29"/>
  <c r="H99" i="29"/>
  <c r="H98" i="29"/>
  <c r="H97" i="29"/>
  <c r="H96" i="29"/>
  <c r="H95" i="29"/>
  <c r="H94" i="29"/>
  <c r="H93" i="29"/>
  <c r="H92" i="29"/>
  <c r="H91" i="29"/>
  <c r="H90" i="29"/>
  <c r="H89" i="29"/>
  <c r="H88" i="29"/>
  <c r="H87" i="29"/>
  <c r="H86" i="29"/>
  <c r="H85" i="29"/>
  <c r="H84" i="29"/>
  <c r="H83" i="29"/>
  <c r="H82" i="29"/>
  <c r="H81" i="29"/>
  <c r="H80" i="29"/>
  <c r="H79" i="29"/>
  <c r="H78" i="29"/>
  <c r="H77" i="29"/>
  <c r="H76" i="29"/>
  <c r="H75" i="29"/>
  <c r="H74" i="29"/>
  <c r="H73" i="29"/>
  <c r="H72" i="29"/>
  <c r="H71" i="29"/>
  <c r="H70" i="29"/>
  <c r="H69" i="29"/>
  <c r="H68" i="29"/>
  <c r="H67" i="29"/>
  <c r="H66" i="29"/>
  <c r="H65" i="29"/>
  <c r="H64" i="29"/>
  <c r="H63" i="29"/>
  <c r="H62" i="29"/>
  <c r="H61" i="29"/>
  <c r="H60" i="29"/>
  <c r="H59" i="29"/>
  <c r="H58" i="29"/>
  <c r="H57" i="29"/>
  <c r="H56" i="29"/>
  <c r="H55" i="29"/>
  <c r="H54" i="29"/>
  <c r="H53" i="29"/>
  <c r="H52" i="29"/>
  <c r="H51" i="29"/>
  <c r="H50" i="29"/>
  <c r="H49" i="29"/>
  <c r="H48" i="29"/>
  <c r="H47" i="29"/>
  <c r="H46" i="29"/>
  <c r="H45" i="29"/>
  <c r="H44" i="29"/>
  <c r="H43" i="29"/>
  <c r="H42" i="29"/>
  <c r="H41" i="29"/>
  <c r="H40" i="29"/>
  <c r="H39" i="29"/>
  <c r="H38" i="29"/>
  <c r="H37" i="29"/>
  <c r="H36" i="29"/>
  <c r="H35" i="29"/>
  <c r="H34" i="29"/>
  <c r="H33" i="29"/>
  <c r="H32" i="29"/>
  <c r="H31" i="29"/>
  <c r="H30" i="29"/>
  <c r="H29" i="29"/>
  <c r="H28" i="29"/>
  <c r="H27" i="29"/>
  <c r="H26" i="29"/>
  <c r="H25" i="29"/>
  <c r="H24" i="29"/>
  <c r="H23" i="29"/>
  <c r="H22" i="29"/>
  <c r="H21" i="29"/>
  <c r="H20" i="29"/>
  <c r="H19" i="29"/>
  <c r="H18" i="29"/>
  <c r="H17" i="29"/>
  <c r="H16" i="29"/>
  <c r="H15" i="29"/>
  <c r="H14" i="29"/>
  <c r="H13" i="29"/>
  <c r="H12" i="29"/>
  <c r="H11" i="29"/>
  <c r="H10" i="29"/>
  <c r="H9" i="29"/>
  <c r="H8" i="29"/>
  <c r="H7" i="29"/>
  <c r="H6" i="29"/>
  <c r="H5" i="29"/>
  <c r="H97" i="28"/>
  <c r="H96" i="28"/>
  <c r="H95" i="28"/>
  <c r="H94" i="28"/>
  <c r="H93" i="28"/>
  <c r="H92" i="28"/>
  <c r="H91" i="28"/>
  <c r="H90" i="28"/>
  <c r="H89" i="28"/>
  <c r="H88" i="28"/>
  <c r="H87" i="28"/>
  <c r="H86" i="28"/>
  <c r="H85" i="28"/>
  <c r="H84" i="28"/>
  <c r="H83" i="28"/>
  <c r="H82" i="28"/>
  <c r="H81" i="28"/>
  <c r="H79" i="28"/>
  <c r="H78" i="28"/>
  <c r="H77" i="28"/>
  <c r="H76" i="28"/>
  <c r="H75" i="28"/>
  <c r="H74" i="28"/>
  <c r="H73" i="28"/>
  <c r="H72" i="28"/>
  <c r="H71" i="28"/>
  <c r="H70" i="28"/>
  <c r="H69" i="28"/>
  <c r="H68" i="28"/>
  <c r="H67" i="28"/>
  <c r="H66" i="28"/>
  <c r="H65" i="28"/>
  <c r="H64" i="28"/>
  <c r="H63" i="28"/>
  <c r="H62" i="28"/>
  <c r="H61" i="28"/>
  <c r="H60" i="28"/>
  <c r="H59" i="28"/>
  <c r="H58" i="28"/>
  <c r="H57" i="28"/>
  <c r="H56" i="28"/>
  <c r="H55" i="28"/>
  <c r="H54" i="28"/>
  <c r="H53" i="28"/>
  <c r="H52" i="28"/>
  <c r="H51" i="28"/>
  <c r="H50" i="28"/>
  <c r="H49" i="28"/>
  <c r="H48" i="28"/>
  <c r="H47" i="28"/>
  <c r="H46" i="28"/>
  <c r="H45" i="28"/>
  <c r="H44" i="28"/>
  <c r="H43" i="28"/>
  <c r="H42" i="28"/>
  <c r="H41" i="28"/>
  <c r="H40" i="28"/>
  <c r="H39" i="28"/>
  <c r="H38" i="28"/>
  <c r="H37" i="28"/>
  <c r="H36" i="28"/>
  <c r="H35" i="28"/>
  <c r="H34" i="28"/>
  <c r="H33" i="28"/>
  <c r="H32" i="28"/>
  <c r="H31" i="28"/>
  <c r="H30" i="28"/>
  <c r="H29" i="28"/>
  <c r="H28" i="28"/>
  <c r="H27" i="28"/>
  <c r="H26" i="28"/>
  <c r="H25" i="28"/>
  <c r="H24" i="28"/>
  <c r="H23" i="28"/>
  <c r="H22" i="28"/>
  <c r="H21" i="28"/>
  <c r="H20" i="28"/>
  <c r="H19" i="28"/>
  <c r="H18" i="28"/>
  <c r="H17" i="28"/>
  <c r="H16" i="28"/>
  <c r="H15" i="28"/>
  <c r="H14" i="28"/>
  <c r="H13" i="28"/>
  <c r="H12" i="28"/>
  <c r="H11" i="28"/>
  <c r="H10" i="28"/>
  <c r="H9" i="28"/>
  <c r="H8" i="28"/>
  <c r="H7" i="28"/>
  <c r="H6" i="28"/>
  <c r="H5" i="28"/>
  <c r="H124" i="23"/>
  <c r="H123" i="23"/>
  <c r="H122" i="23"/>
  <c r="H121" i="23"/>
  <c r="H120" i="23"/>
  <c r="H119" i="23"/>
  <c r="H118" i="23"/>
  <c r="H117" i="23"/>
  <c r="H116" i="23"/>
  <c r="H115" i="23"/>
  <c r="H114" i="23"/>
  <c r="H113" i="23"/>
  <c r="H112" i="23"/>
  <c r="H111" i="23"/>
  <c r="H110" i="23"/>
  <c r="H109" i="23"/>
  <c r="H108" i="23"/>
  <c r="H106" i="23"/>
  <c r="H105" i="23"/>
  <c r="H104" i="23"/>
  <c r="H103" i="23"/>
  <c r="H102" i="23"/>
  <c r="H101" i="23"/>
  <c r="H100" i="23"/>
  <c r="H99" i="23"/>
  <c r="H98" i="23"/>
  <c r="H97" i="23"/>
  <c r="H96" i="23"/>
  <c r="H95" i="23"/>
  <c r="H94" i="23"/>
  <c r="H93" i="23"/>
  <c r="H92" i="23"/>
  <c r="H91" i="23"/>
  <c r="H90" i="23"/>
  <c r="H89" i="23"/>
  <c r="H88" i="23"/>
  <c r="H87" i="23"/>
  <c r="H86" i="23"/>
  <c r="H85" i="23"/>
  <c r="H84" i="23"/>
  <c r="H83" i="23"/>
  <c r="H82" i="23"/>
  <c r="H81" i="23"/>
  <c r="H80" i="23"/>
  <c r="H79" i="23"/>
  <c r="H78" i="23"/>
  <c r="H77" i="23"/>
  <c r="H76" i="23"/>
  <c r="H75" i="23"/>
  <c r="H74" i="23"/>
  <c r="H73" i="23"/>
  <c r="H72" i="23"/>
  <c r="H71" i="23"/>
  <c r="H70" i="23"/>
  <c r="H69" i="23"/>
  <c r="H68" i="23"/>
  <c r="H67" i="23"/>
  <c r="H66" i="23"/>
  <c r="H65" i="23"/>
  <c r="H64" i="23"/>
  <c r="H63" i="23"/>
  <c r="H62" i="23"/>
  <c r="H61" i="23"/>
  <c r="H60" i="23"/>
  <c r="H59" i="23"/>
  <c r="H58" i="23"/>
  <c r="H57" i="23"/>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H22" i="23"/>
  <c r="H21" i="23"/>
  <c r="H20" i="23"/>
  <c r="H19" i="23"/>
  <c r="H18" i="23"/>
  <c r="H17" i="23"/>
  <c r="H16" i="23"/>
  <c r="H15" i="23"/>
  <c r="H14" i="23"/>
  <c r="H13" i="23"/>
  <c r="H12" i="23"/>
  <c r="H11" i="23"/>
  <c r="H10" i="23"/>
  <c r="H9" i="23"/>
  <c r="H8" i="23"/>
  <c r="H7" i="23"/>
  <c r="H6" i="23"/>
  <c r="H5" i="23"/>
  <c r="H176" i="17"/>
  <c r="H175" i="17"/>
  <c r="H174" i="17"/>
  <c r="H173" i="17"/>
  <c r="H172" i="17"/>
  <c r="H171" i="17"/>
  <c r="H170" i="17"/>
  <c r="H169" i="17"/>
  <c r="H168" i="17"/>
  <c r="H167" i="17"/>
  <c r="H166" i="17"/>
  <c r="H165" i="17"/>
  <c r="H164" i="17"/>
  <c r="H163" i="17"/>
  <c r="H162" i="17"/>
  <c r="H161" i="17"/>
  <c r="H160" i="17"/>
  <c r="H159" i="17"/>
  <c r="H157" i="17"/>
  <c r="H156" i="17"/>
  <c r="H155" i="17"/>
  <c r="H154" i="17"/>
  <c r="H153" i="17"/>
  <c r="H152" i="17"/>
  <c r="H151" i="17"/>
  <c r="H150" i="17"/>
  <c r="H149" i="17"/>
  <c r="H148" i="17"/>
  <c r="H147" i="17"/>
  <c r="H146" i="17"/>
  <c r="H145" i="17"/>
  <c r="H144" i="17"/>
  <c r="H143" i="17"/>
  <c r="H142" i="17"/>
  <c r="H141" i="17"/>
  <c r="H140" i="17"/>
  <c r="H139" i="17"/>
  <c r="H138" i="17"/>
  <c r="H137" i="17"/>
  <c r="H136" i="17"/>
  <c r="H135" i="17"/>
  <c r="H134" i="17"/>
  <c r="H133" i="17"/>
  <c r="H132" i="17"/>
  <c r="H131" i="17"/>
  <c r="H130" i="17"/>
  <c r="H129" i="17"/>
  <c r="H128" i="17"/>
  <c r="H127" i="17"/>
  <c r="H126" i="17"/>
  <c r="H125" i="17"/>
  <c r="H124" i="17"/>
  <c r="H123" i="17"/>
  <c r="H122" i="17"/>
  <c r="H121" i="17"/>
  <c r="H120" i="17"/>
  <c r="H119" i="17"/>
  <c r="H118" i="17"/>
  <c r="H117" i="17"/>
  <c r="H116" i="17"/>
  <c r="H115" i="17"/>
  <c r="H114" i="17"/>
  <c r="H113" i="17"/>
  <c r="H112" i="17"/>
  <c r="H111" i="17"/>
  <c r="H110" i="17"/>
  <c r="H109" i="17"/>
  <c r="H108" i="17"/>
  <c r="H107" i="17"/>
  <c r="H106" i="17"/>
  <c r="H105" i="17"/>
  <c r="H104" i="17"/>
  <c r="H103" i="17"/>
  <c r="H102" i="17"/>
  <c r="H101" i="17"/>
  <c r="H100" i="17"/>
  <c r="H99" i="17"/>
  <c r="H98" i="17"/>
  <c r="H97" i="17"/>
  <c r="H96" i="17"/>
  <c r="H95" i="17"/>
  <c r="H94" i="17"/>
  <c r="H93" i="17"/>
  <c r="H92" i="17"/>
  <c r="H91" i="17"/>
  <c r="H90" i="17"/>
  <c r="H89" i="17"/>
  <c r="H88" i="17"/>
  <c r="H87" i="17"/>
  <c r="H86" i="17"/>
  <c r="H85" i="17"/>
  <c r="H84" i="17"/>
  <c r="H83" i="17"/>
  <c r="H82" i="17"/>
  <c r="H81" i="17"/>
  <c r="H80" i="17"/>
  <c r="H79" i="17"/>
  <c r="H78" i="17"/>
  <c r="H77" i="17"/>
  <c r="H76" i="17"/>
  <c r="H75" i="17"/>
  <c r="H74" i="17"/>
  <c r="H73" i="17"/>
  <c r="H72" i="17"/>
  <c r="H71" i="17"/>
  <c r="H70" i="17"/>
  <c r="H69" i="17"/>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10" i="17"/>
  <c r="H9" i="17"/>
  <c r="H8" i="17"/>
  <c r="H7" i="17"/>
  <c r="H6" i="17"/>
  <c r="H5" i="17"/>
  <c r="H170" i="15"/>
  <c r="H169" i="15"/>
  <c r="H168" i="15"/>
  <c r="H167" i="15"/>
  <c r="H166" i="15"/>
  <c r="H165" i="15"/>
  <c r="H164" i="15"/>
  <c r="H163" i="15"/>
  <c r="H162" i="15"/>
  <c r="H161" i="15"/>
  <c r="H160" i="15"/>
  <c r="H159" i="15"/>
  <c r="H158" i="15"/>
  <c r="H157" i="15"/>
  <c r="H156" i="15"/>
  <c r="H155" i="15"/>
  <c r="H154" i="15"/>
  <c r="H153" i="15"/>
  <c r="H151" i="15"/>
  <c r="H150" i="15"/>
  <c r="H149" i="15"/>
  <c r="H148" i="15"/>
  <c r="H147" i="15"/>
  <c r="H146" i="15"/>
  <c r="H145" i="15"/>
  <c r="H144" i="15"/>
  <c r="H143" i="15"/>
  <c r="H142" i="15"/>
  <c r="H141" i="15"/>
  <c r="H140" i="15"/>
  <c r="H139" i="15"/>
  <c r="H138" i="15"/>
  <c r="H137" i="15"/>
  <c r="H136" i="15"/>
  <c r="H135" i="15"/>
  <c r="H134" i="15"/>
  <c r="H133" i="15"/>
  <c r="H132" i="15"/>
  <c r="H131" i="15"/>
  <c r="H130" i="15"/>
  <c r="H129" i="15"/>
  <c r="H128" i="15"/>
  <c r="H127" i="15"/>
  <c r="H126" i="15"/>
  <c r="H125" i="15"/>
  <c r="H124" i="15"/>
  <c r="H123" i="15"/>
  <c r="H122" i="15"/>
  <c r="H121" i="15"/>
  <c r="H120" i="15"/>
  <c r="H119" i="15"/>
  <c r="H118" i="15"/>
  <c r="H117" i="15"/>
  <c r="H116" i="15"/>
  <c r="H115" i="15"/>
  <c r="H114" i="15"/>
  <c r="H113" i="15"/>
  <c r="H112" i="15"/>
  <c r="H111" i="15"/>
  <c r="H110" i="15"/>
  <c r="H109" i="15"/>
  <c r="H108" i="15"/>
  <c r="H107" i="15"/>
  <c r="H106" i="15"/>
  <c r="H105" i="15"/>
  <c r="H104" i="15"/>
  <c r="H103" i="15"/>
  <c r="H102" i="15"/>
  <c r="H101" i="15"/>
  <c r="H100" i="15"/>
  <c r="H99" i="15"/>
  <c r="H98" i="15"/>
  <c r="H97" i="15"/>
  <c r="H96" i="15"/>
  <c r="H95" i="15"/>
  <c r="H94" i="15"/>
  <c r="H93" i="15"/>
  <c r="H92" i="15"/>
  <c r="H91" i="15"/>
  <c r="H90" i="15"/>
  <c r="H89" i="15"/>
  <c r="H88" i="15"/>
  <c r="H87" i="15"/>
  <c r="H86" i="15"/>
  <c r="H85" i="15"/>
  <c r="H84" i="15"/>
  <c r="H77" i="15"/>
  <c r="H76" i="15"/>
  <c r="H75" i="15"/>
  <c r="H74" i="15"/>
  <c r="H73" i="15"/>
  <c r="H72" i="15"/>
  <c r="H71" i="15"/>
  <c r="H70" i="15"/>
  <c r="H69" i="15"/>
  <c r="H68" i="15"/>
  <c r="H67" i="15"/>
  <c r="H66" i="15"/>
  <c r="H65" i="15"/>
  <c r="H64" i="15"/>
  <c r="H63" i="15"/>
  <c r="H62" i="15"/>
  <c r="H61" i="15"/>
  <c r="H60" i="15"/>
  <c r="H59" i="15"/>
  <c r="H58" i="15"/>
  <c r="H57" i="15"/>
  <c r="H56" i="15"/>
  <c r="H55" i="15"/>
  <c r="H54" i="15"/>
  <c r="H53"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5" i="15"/>
  <c r="H14" i="15"/>
  <c r="H13" i="15"/>
  <c r="H12" i="15"/>
  <c r="H11" i="15"/>
  <c r="H10" i="15"/>
  <c r="H9" i="15"/>
  <c r="H8" i="15"/>
  <c r="H7" i="15"/>
  <c r="H6" i="15"/>
  <c r="H5" i="15"/>
  <c r="H134" i="14"/>
  <c r="H133" i="14"/>
  <c r="H132" i="14"/>
  <c r="H131" i="14"/>
  <c r="H130" i="14"/>
  <c r="H129" i="14"/>
  <c r="H128" i="14"/>
  <c r="H127" i="14"/>
  <c r="H126" i="14"/>
  <c r="H125" i="14"/>
  <c r="H124" i="14"/>
  <c r="H123" i="14"/>
  <c r="H122" i="14"/>
  <c r="H121" i="14"/>
  <c r="H120" i="14"/>
  <c r="H119" i="14"/>
  <c r="H118" i="14"/>
  <c r="H117" i="14"/>
  <c r="H116"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184" i="13"/>
  <c r="H183" i="13"/>
  <c r="H182" i="13"/>
  <c r="H181" i="13"/>
  <c r="H180" i="13"/>
  <c r="H179" i="13"/>
  <c r="H178" i="13"/>
  <c r="H177" i="13"/>
  <c r="H176" i="13"/>
  <c r="H175" i="13"/>
  <c r="H174" i="13"/>
  <c r="H173" i="13"/>
  <c r="H172" i="13"/>
  <c r="H171" i="13"/>
  <c r="H170" i="13"/>
  <c r="H169" i="13"/>
  <c r="H168" i="13"/>
  <c r="H166" i="13"/>
  <c r="H165" i="13"/>
  <c r="H164" i="13"/>
  <c r="H163" i="13"/>
  <c r="H162" i="13"/>
  <c r="H161" i="13"/>
  <c r="H160" i="13"/>
  <c r="H159" i="13"/>
  <c r="H158" i="13"/>
  <c r="H157" i="13"/>
  <c r="H156" i="13"/>
  <c r="H155" i="13"/>
  <c r="H154" i="13"/>
  <c r="H153" i="13"/>
  <c r="H152" i="13"/>
  <c r="H151" i="13"/>
  <c r="H150" i="13"/>
  <c r="H149" i="13"/>
  <c r="H148" i="13"/>
  <c r="H147" i="13"/>
  <c r="H146" i="13"/>
  <c r="H145" i="13"/>
  <c r="H144" i="13"/>
  <c r="H143" i="13"/>
  <c r="H142" i="13"/>
  <c r="H141" i="13"/>
  <c r="H140" i="13"/>
  <c r="H139" i="13"/>
  <c r="H138" i="13"/>
  <c r="H137" i="13"/>
  <c r="H136" i="13"/>
  <c r="H135" i="13"/>
  <c r="H134" i="13"/>
  <c r="H133" i="13"/>
  <c r="H132" i="13"/>
  <c r="H131" i="13"/>
  <c r="H130" i="13"/>
  <c r="H129" i="13"/>
  <c r="H128" i="13"/>
  <c r="H127" i="13"/>
  <c r="H126" i="13"/>
  <c r="H125" i="13"/>
  <c r="H124" i="13"/>
  <c r="H123" i="13"/>
  <c r="H122" i="13"/>
  <c r="H121" i="13"/>
  <c r="H120" i="13"/>
  <c r="H119" i="13"/>
  <c r="H118" i="13"/>
  <c r="H117" i="13"/>
  <c r="H116" i="13"/>
  <c r="H115" i="13"/>
  <c r="H114" i="13"/>
  <c r="H113" i="13"/>
  <c r="H112" i="13"/>
  <c r="H111" i="13"/>
  <c r="H110" i="13"/>
  <c r="H109" i="13"/>
  <c r="H108" i="13"/>
  <c r="H107" i="13"/>
  <c r="H106" i="13"/>
  <c r="H105" i="13"/>
  <c r="H104" i="13"/>
  <c r="H103" i="13"/>
  <c r="H102" i="13"/>
  <c r="H101" i="13"/>
  <c r="H100" i="13"/>
  <c r="H99" i="13"/>
  <c r="H98" i="13"/>
  <c r="H97" i="13"/>
  <c r="H96" i="13"/>
  <c r="H95" i="13"/>
  <c r="H94" i="13"/>
  <c r="H93" i="13"/>
  <c r="H92" i="13"/>
  <c r="H91" i="13"/>
  <c r="H86" i="13"/>
  <c r="H85" i="13"/>
  <c r="H84" i="13"/>
  <c r="H83" i="13"/>
  <c r="H82" i="13"/>
  <c r="H81" i="13"/>
  <c r="H80" i="13"/>
  <c r="H78" i="13"/>
  <c r="H77" i="13"/>
  <c r="H76" i="13"/>
  <c r="H75" i="13"/>
  <c r="H74" i="13"/>
  <c r="H73" i="13"/>
  <c r="H79" i="13"/>
  <c r="H72" i="13"/>
  <c r="H71" i="13"/>
  <c r="H70" i="13"/>
  <c r="H69" i="13"/>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H6" i="13"/>
  <c r="H5" i="13"/>
  <c r="H150" i="12"/>
  <c r="H149" i="12"/>
  <c r="H148" i="12"/>
  <c r="H147" i="12"/>
  <c r="H146" i="12"/>
  <c r="H145" i="12"/>
  <c r="H144" i="12"/>
  <c r="H143" i="12"/>
  <c r="H142" i="12"/>
  <c r="H141" i="12"/>
  <c r="H140" i="12"/>
  <c r="H139" i="12"/>
  <c r="H138" i="12"/>
  <c r="H137" i="12"/>
  <c r="H136" i="12"/>
  <c r="H135" i="12"/>
  <c r="H134" i="12"/>
  <c r="H133" i="12"/>
  <c r="H131" i="12"/>
  <c r="H130" i="12"/>
  <c r="H129" i="12"/>
  <c r="H128" i="12"/>
  <c r="H127" i="12"/>
  <c r="H126" i="12"/>
  <c r="H125" i="12"/>
  <c r="H124" i="12"/>
  <c r="H123" i="12"/>
  <c r="H122" i="12"/>
  <c r="H121" i="12"/>
  <c r="H120" i="12"/>
  <c r="H119" i="12"/>
  <c r="H118" i="12"/>
  <c r="H117" i="12"/>
  <c r="H116" i="12"/>
  <c r="H115" i="12"/>
  <c r="H114" i="12"/>
  <c r="H113" i="12"/>
  <c r="H112" i="12"/>
  <c r="H111" i="12"/>
  <c r="H110" i="12"/>
  <c r="H109" i="12"/>
  <c r="H108" i="12"/>
  <c r="H107" i="12"/>
  <c r="H106" i="12"/>
  <c r="H105" i="12"/>
  <c r="H104" i="12"/>
  <c r="H103" i="12"/>
  <c r="H102" i="12"/>
  <c r="H101" i="12"/>
  <c r="H100" i="12"/>
  <c r="H99" i="12"/>
  <c r="H98" i="12"/>
  <c r="H97" i="12"/>
  <c r="H96" i="12"/>
  <c r="H95" i="12"/>
  <c r="H94" i="12"/>
  <c r="H93" i="12"/>
  <c r="H92" i="12"/>
  <c r="H91" i="12"/>
  <c r="H89" i="12"/>
  <c r="H88" i="12"/>
  <c r="H87" i="12"/>
  <c r="H86" i="12"/>
  <c r="H85" i="12"/>
  <c r="H84" i="12"/>
  <c r="H90" i="12"/>
  <c r="H83" i="12"/>
  <c r="H82" i="12"/>
  <c r="H81" i="12"/>
  <c r="H80" i="12"/>
  <c r="H79" i="12"/>
  <c r="H78" i="12"/>
  <c r="H77" i="12"/>
  <c r="H76" i="12"/>
  <c r="H75" i="12"/>
  <c r="H74" i="12"/>
  <c r="H73" i="12"/>
  <c r="H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F70" i="30" l="1"/>
  <c r="F69" i="30"/>
  <c r="F150" i="12"/>
  <c r="F149" i="12"/>
</calcChain>
</file>

<file path=xl/sharedStrings.xml><?xml version="1.0" encoding="utf-8"?>
<sst xmlns="http://schemas.openxmlformats.org/spreadsheetml/2006/main" count="11794" uniqueCount="1189">
  <si>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</si>
  <si>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</si>
  <si>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</si>
  <si>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</si>
  <si>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</si>
  <si>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</si>
  <si>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</si>
  <si>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</si>
  <si>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</si>
  <si>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</si>
  <si>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</si>
  <si>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</si>
  <si>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</si>
  <si>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</si>
  <si>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</si>
  <si>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</si>
  <si>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</si>
  <si>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INE733E01010</t>
  </si>
  <si>
    <t>NTPC LTD</t>
  </si>
  <si>
    <t>Power</t>
  </si>
  <si>
    <t>INE002A01018</t>
  </si>
  <si>
    <t>Reliance Industries Ltd</t>
  </si>
  <si>
    <t>Petroleum Products</t>
  </si>
  <si>
    <t>INE481G01011</t>
  </si>
  <si>
    <t>Ultratech Cement Ltd</t>
  </si>
  <si>
    <t>Cement &amp; Cement Products</t>
  </si>
  <si>
    <t>INE752E01010</t>
  </si>
  <si>
    <t>Power Grid Corporation of India Ltd</t>
  </si>
  <si>
    <t>INE029A01011</t>
  </si>
  <si>
    <t>Bharat Petroleum Corporation Ltd</t>
  </si>
  <si>
    <t>INE263A01024</t>
  </si>
  <si>
    <t>Bharat Electronics Ltd</t>
  </si>
  <si>
    <t>Aerospace &amp; Defense</t>
  </si>
  <si>
    <t>INE999A01023</t>
  </si>
  <si>
    <t>KSB LTD</t>
  </si>
  <si>
    <t>Industrial Products</t>
  </si>
  <si>
    <t>INE213A01029</t>
  </si>
  <si>
    <t>Oil &amp; Natural Gas Corporation Ltd</t>
  </si>
  <si>
    <t>Oil</t>
  </si>
  <si>
    <t>INE284A01012</t>
  </si>
  <si>
    <t>ESAB India Ltd</t>
  </si>
  <si>
    <t>INE343G01021</t>
  </si>
  <si>
    <t>Bharti Hexacom Ltd</t>
  </si>
  <si>
    <t>INE371P01015</t>
  </si>
  <si>
    <t>Amber Enterprises India Ltd</t>
  </si>
  <si>
    <t>Consumer Durables</t>
  </si>
  <si>
    <t>INE090A01021</t>
  </si>
  <si>
    <t>ICICI Bank Ltd</t>
  </si>
  <si>
    <t>Banks</t>
  </si>
  <si>
    <t>INE868B01028</t>
  </si>
  <si>
    <t>NCC Ltd</t>
  </si>
  <si>
    <t>INE419M01027</t>
  </si>
  <si>
    <t>TD Power Systems Ltd</t>
  </si>
  <si>
    <t>Electrical Equipment</t>
  </si>
  <si>
    <t>INE062A01020</t>
  </si>
  <si>
    <t>State Bank of India</t>
  </si>
  <si>
    <t>INE245A01021</t>
  </si>
  <si>
    <t>TATA Power Company Ltd</t>
  </si>
  <si>
    <t>INE146L01010</t>
  </si>
  <si>
    <t>Kirloskar Oil Engines Ltd</t>
  </si>
  <si>
    <t>INE926X01010</t>
  </si>
  <si>
    <t>H.G. Infra Engineering Ltd</t>
  </si>
  <si>
    <t>INE220B01022</t>
  </si>
  <si>
    <t>Kalpataru Projects International Ltd</t>
  </si>
  <si>
    <t>INE129A01019</t>
  </si>
  <si>
    <t>GAIL (India) Ltd</t>
  </si>
  <si>
    <t>Gas</t>
  </si>
  <si>
    <t>INE372A01015</t>
  </si>
  <si>
    <t>Apar Industries Ltd</t>
  </si>
  <si>
    <t>INE791I01019</t>
  </si>
  <si>
    <t>Brigade Enterprises Ltd</t>
  </si>
  <si>
    <t>Realty</t>
  </si>
  <si>
    <t>INE00LO01017</t>
  </si>
  <si>
    <t>Craftsman Automation Ltd</t>
  </si>
  <si>
    <t>Auto Components</t>
  </si>
  <si>
    <t>INE003A01024</t>
  </si>
  <si>
    <t>Siemens Ltd</t>
  </si>
  <si>
    <t>INE878B01027</t>
  </si>
  <si>
    <t>KEI Industries Ltd</t>
  </si>
  <si>
    <t>INE823G01014</t>
  </si>
  <si>
    <t>JK Cement Ltd</t>
  </si>
  <si>
    <t>INE671A01010</t>
  </si>
  <si>
    <t>Honeywell Automation India Ltd</t>
  </si>
  <si>
    <t>Industrial Manufacturing</t>
  </si>
  <si>
    <t>INE646L01027</t>
  </si>
  <si>
    <t>Interglobe Aviation Ltd</t>
  </si>
  <si>
    <t>Transport Services</t>
  </si>
  <si>
    <t>INE134E01011</t>
  </si>
  <si>
    <t>Power Finance Corporation Ltd</t>
  </si>
  <si>
    <t>Finance</t>
  </si>
  <si>
    <t>INE742F01042</t>
  </si>
  <si>
    <t>Adani Ports and Special Economic Zone Ltd</t>
  </si>
  <si>
    <t>Transport Infrastructure</t>
  </si>
  <si>
    <t>INE111A01025</t>
  </si>
  <si>
    <t>Container Corporation of India Ltd</t>
  </si>
  <si>
    <t>INE020B01018</t>
  </si>
  <si>
    <t>REC Ltd</t>
  </si>
  <si>
    <t>INE152M01016</t>
  </si>
  <si>
    <t>Triveni Turbine Ltd</t>
  </si>
  <si>
    <t>INE671H01015</t>
  </si>
  <si>
    <t>Sobha Ltd</t>
  </si>
  <si>
    <t>INE522F01014</t>
  </si>
  <si>
    <t>Coal India Ltd</t>
  </si>
  <si>
    <t>Consumable Fuels</t>
  </si>
  <si>
    <t>INE811A01020</t>
  </si>
  <si>
    <t>Kirlosakar Pneumatic Company Ltd</t>
  </si>
  <si>
    <t>INE536A01023</t>
  </si>
  <si>
    <t>Grindwell Norton Ltd</t>
  </si>
  <si>
    <t>INE195J01029</t>
  </si>
  <si>
    <t>PNC Infratech Ltd</t>
  </si>
  <si>
    <t>INE298A01020</t>
  </si>
  <si>
    <t>Cummins India Ltd</t>
  </si>
  <si>
    <t>INE00M201021</t>
  </si>
  <si>
    <t>Sterling and Wilson Renewable Energy Ltd</t>
  </si>
  <si>
    <t>INE121J01017</t>
  </si>
  <si>
    <t>Indus Towers Ltd (Prev Bharti Infratel Ltd)</t>
  </si>
  <si>
    <t>INE07Y701011</t>
  </si>
  <si>
    <t>Hitachi Energy India Ltd</t>
  </si>
  <si>
    <t>INE079A01024</t>
  </si>
  <si>
    <t>Ambuja Cements Ltd</t>
  </si>
  <si>
    <t>INE067A01029</t>
  </si>
  <si>
    <t>CG Power and Industrial Solutions Ltd</t>
  </si>
  <si>
    <t>INE284S01014</t>
  </si>
  <si>
    <t>S.J.S. Enterprises Ltd</t>
  </si>
  <si>
    <t>INE224A01026</t>
  </si>
  <si>
    <t>Greaves Cotton Ltd</t>
  </si>
  <si>
    <t>INE513A01022</t>
  </si>
  <si>
    <t>Schaeffler India Ltd</t>
  </si>
  <si>
    <t>INE148O01028</t>
  </si>
  <si>
    <t>Delhivery Ltd</t>
  </si>
  <si>
    <t>INE152A01029</t>
  </si>
  <si>
    <t>Thermax Ltd</t>
  </si>
  <si>
    <t>INE117A01022</t>
  </si>
  <si>
    <t>ABB India Ltd</t>
  </si>
  <si>
    <t>INE749A01030</t>
  </si>
  <si>
    <t>Jindal Steel &amp; Power Ltd</t>
  </si>
  <si>
    <t>Ferrous Metals</t>
  </si>
  <si>
    <t>INE257A01026</t>
  </si>
  <si>
    <t>Bharat Heavy Electricals Ltd</t>
  </si>
  <si>
    <t>INE702C01027</t>
  </si>
  <si>
    <t>APL Apollo Tubes Ltd</t>
  </si>
  <si>
    <t>INE087A01019</t>
  </si>
  <si>
    <t>Kesoram Industries Ltd</t>
  </si>
  <si>
    <t>INE616N01034</t>
  </si>
  <si>
    <t>INOX India Ltd</t>
  </si>
  <si>
    <t>INE08ZM01014</t>
  </si>
  <si>
    <t>Green Panel Industries Ltd</t>
  </si>
  <si>
    <t>INE0BS701011</t>
  </si>
  <si>
    <t>Premier Energies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</si>
  <si>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</si>
  <si>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</si>
  <si>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</si>
  <si>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</si>
  <si>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</si>
  <si>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</si>
  <si>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</si>
  <si>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</si>
  <si>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</si>
  <si>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</si>
  <si>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</si>
  <si>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</si>
  <si>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</si>
  <si>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</si>
  <si>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</si>
  <si>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</si>
  <si>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</si>
  <si>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</si>
  <si>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</si>
  <si>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</si>
  <si>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</si>
  <si>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</si>
  <si>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</si>
  <si>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</si>
  <si>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</si>
  <si>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</si>
  <si>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</si>
  <si>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</si>
  <si>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</si>
  <si>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</si>
  <si>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</si>
  <si>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</si>
  <si>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</si>
  <si>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</si>
  <si>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</si>
  <si>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</si>
  <si>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</si>
  <si>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</si>
  <si>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</si>
  <si>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</si>
  <si>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</si>
  <si>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</si>
  <si>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</si>
  <si>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</si>
  <si>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</si>
  <si>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INE303R01014</t>
  </si>
  <si>
    <t>Kalyan Jewellers India Ltd</t>
  </si>
  <si>
    <t>INE849A01020</t>
  </si>
  <si>
    <t>Trent Ltd</t>
  </si>
  <si>
    <t>Retailing</t>
  </si>
  <si>
    <t>INE974X01010</t>
  </si>
  <si>
    <t>Tube Investments of India Ltd</t>
  </si>
  <si>
    <t>INE171A01029</t>
  </si>
  <si>
    <t>The Federal Bank Ltd</t>
  </si>
  <si>
    <t>INE169A01031</t>
  </si>
  <si>
    <t>Coromandel International Ltd</t>
  </si>
  <si>
    <t>Fertilizers &amp; Agrochemicals</t>
  </si>
  <si>
    <t>INE326A01037</t>
  </si>
  <si>
    <t>Lupin Ltd</t>
  </si>
  <si>
    <t>Pharmaceuticals &amp; Biotechnology</t>
  </si>
  <si>
    <t>INE262H01021</t>
  </si>
  <si>
    <t>Persistent Systems Ltd</t>
  </si>
  <si>
    <t>It - Software</t>
  </si>
  <si>
    <t>INE949L01017</t>
  </si>
  <si>
    <t>AU Small Finance Bank Ltd</t>
  </si>
  <si>
    <t>INE061F01013</t>
  </si>
  <si>
    <t>Fortis Health Care Ltd</t>
  </si>
  <si>
    <t>Healthcare Services</t>
  </si>
  <si>
    <t>INE562A01011</t>
  </si>
  <si>
    <t>Indian Bank</t>
  </si>
  <si>
    <t>INE093I01010</t>
  </si>
  <si>
    <t>Oberoi Realty Ltd</t>
  </si>
  <si>
    <t>INE813H01021</t>
  </si>
  <si>
    <t>Torrent Power Ltd</t>
  </si>
  <si>
    <t>INE105A01035</t>
  </si>
  <si>
    <t>TVS Holdings Ltd</t>
  </si>
  <si>
    <t>INE417T01026</t>
  </si>
  <si>
    <t>PB Fintech Ltd</t>
  </si>
  <si>
    <t>Financial Technology (Fintech)</t>
  </si>
  <si>
    <t>INE010B01027</t>
  </si>
  <si>
    <t>Zydus Lifesciences Ltd</t>
  </si>
  <si>
    <t>INE540L01014</t>
  </si>
  <si>
    <t>Alkem Laboratories Ltd</t>
  </si>
  <si>
    <t>INE094A01015</t>
  </si>
  <si>
    <t>Hindustan Petroleum Corporation Ltd</t>
  </si>
  <si>
    <t>INE797F01020</t>
  </si>
  <si>
    <t>Jubilant Foodworks Ltd</t>
  </si>
  <si>
    <t>Leisure Services</t>
  </si>
  <si>
    <t>INE596I01012</t>
  </si>
  <si>
    <t>Computer Age Management Services Ltd</t>
  </si>
  <si>
    <t>Capital Markets</t>
  </si>
  <si>
    <t>INE226A01021</t>
  </si>
  <si>
    <t>Voltas Ltd</t>
  </si>
  <si>
    <t>INE721A01013</t>
  </si>
  <si>
    <t>Shriram Finance Ltd</t>
  </si>
  <si>
    <t>INE663F01024</t>
  </si>
  <si>
    <t>Info Edge (India) Ltd</t>
  </si>
  <si>
    <t>INE356A01018</t>
  </si>
  <si>
    <t>MphasiS Ltd</t>
  </si>
  <si>
    <t>INE288B01029</t>
  </si>
  <si>
    <t>Deepak Nitrite Ltd</t>
  </si>
  <si>
    <t>Chemicals &amp; Petrochemicals</t>
  </si>
  <si>
    <t>INE427F01016</t>
  </si>
  <si>
    <t>Chalet Hotels Ltd</t>
  </si>
  <si>
    <t>INE180A01020</t>
  </si>
  <si>
    <t>Max Financial Services Ltd</t>
  </si>
  <si>
    <t>Insurance</t>
  </si>
  <si>
    <t>INE149A01033</t>
  </si>
  <si>
    <t>Cholamandalam Financial Holdings Ltd</t>
  </si>
  <si>
    <t>INE774D01024</t>
  </si>
  <si>
    <t>Mahindra &amp; Mahindra Financial Services Ltd</t>
  </si>
  <si>
    <t>INE342J01019</t>
  </si>
  <si>
    <t>ZF Commercial Vehicle Control Systems I Ltd</t>
  </si>
  <si>
    <t>INE686F01025</t>
  </si>
  <si>
    <t>United Breweries Ltd</t>
  </si>
  <si>
    <t>Beverages</t>
  </si>
  <si>
    <t>INE027H01010</t>
  </si>
  <si>
    <t>Max Healthcare Institute Ltd</t>
  </si>
  <si>
    <t>INE455K01017</t>
  </si>
  <si>
    <t>Polycab India Ltd</t>
  </si>
  <si>
    <t>INE438A01022</t>
  </si>
  <si>
    <t>Apollo Tyres Ltd</t>
  </si>
  <si>
    <t>INE494B01023</t>
  </si>
  <si>
    <t>TVS Motor Company Ltd</t>
  </si>
  <si>
    <t>Automobiles</t>
  </si>
  <si>
    <t>INE405E01023</t>
  </si>
  <si>
    <t>UNO Minda Ltd</t>
  </si>
  <si>
    <t>INE473B01035</t>
  </si>
  <si>
    <t>Hatsun Agro Product Ltd</t>
  </si>
  <si>
    <t>Food Products</t>
  </si>
  <si>
    <t>INE692A01016</t>
  </si>
  <si>
    <t>Union Bank of India</t>
  </si>
  <si>
    <t>INE121A01024</t>
  </si>
  <si>
    <t>Cholamandalam Investment and Finance Company Ltd</t>
  </si>
  <si>
    <t>INE0LXG01040</t>
  </si>
  <si>
    <t>Ola Electric Mobility Ltd</t>
  </si>
  <si>
    <t>INE195A01028</t>
  </si>
  <si>
    <t>Supreme Industries Ltd</t>
  </si>
  <si>
    <t>INE591G01017</t>
  </si>
  <si>
    <t>Coforge Ltd</t>
  </si>
  <si>
    <t>INE246F01010</t>
  </si>
  <si>
    <t>Gujarat State Petronet Ltd</t>
  </si>
  <si>
    <t>INE216P01012</t>
  </si>
  <si>
    <t>Aavas Financiers Ltd</t>
  </si>
  <si>
    <t>INE118H01025</t>
  </si>
  <si>
    <t>BSE Ltd</t>
  </si>
  <si>
    <t>INE947Q01028</t>
  </si>
  <si>
    <t>Laurus Labs Ltd</t>
  </si>
  <si>
    <t>INE006I01046</t>
  </si>
  <si>
    <t>Astral Ltd</t>
  </si>
  <si>
    <t>INE603J01030</t>
  </si>
  <si>
    <t>PI Industries Ltd</t>
  </si>
  <si>
    <t>INE872J01023</t>
  </si>
  <si>
    <t>Devyani international limited</t>
  </si>
  <si>
    <t>INE012A01025</t>
  </si>
  <si>
    <t>ACC Ltd</t>
  </si>
  <si>
    <t>INE00R701025</t>
  </si>
  <si>
    <t>Dalmia Cement (Bharat) Ltd.</t>
  </si>
  <si>
    <t>INE073K01018</t>
  </si>
  <si>
    <t>Sona BLW Precision Forgings Ltd</t>
  </si>
  <si>
    <t>INE217B01036</t>
  </si>
  <si>
    <t>Kajaria Ceramics Ltd</t>
  </si>
  <si>
    <t>INE600L01024</t>
  </si>
  <si>
    <t>Dr Lal Path Labs Ltd</t>
  </si>
  <si>
    <t>INE196A01026</t>
  </si>
  <si>
    <t>Marico Ltd</t>
  </si>
  <si>
    <t>Agricultural Food &amp; Other Products</t>
  </si>
  <si>
    <t>INE531A01024</t>
  </si>
  <si>
    <t>Kansai Nerolac Paints Ltd</t>
  </si>
  <si>
    <t>INE376G01013</t>
  </si>
  <si>
    <t>Biocon Ltd</t>
  </si>
  <si>
    <t>INE670A01012</t>
  </si>
  <si>
    <t>Tata Elxsi Ltd</t>
  </si>
  <si>
    <t>INE040H01021</t>
  </si>
  <si>
    <t>Suzlon Energy Ltd</t>
  </si>
  <si>
    <t>INE048G01026</t>
  </si>
  <si>
    <t>Navin Fluorine International Ltd</t>
  </si>
  <si>
    <t>INE058A01010</t>
  </si>
  <si>
    <t>Sanofi India Ltd</t>
  </si>
  <si>
    <t>INE053A01029</t>
  </si>
  <si>
    <t>The Indian Hotels Company Ltd</t>
  </si>
  <si>
    <t>INE726G01019</t>
  </si>
  <si>
    <t>ICICI Prudential Life Insurance Company Ltd</t>
  </si>
  <si>
    <t>INE811K01011</t>
  </si>
  <si>
    <t>Prestige Estates Projects Ltd</t>
  </si>
  <si>
    <t>INE0UOS01011</t>
  </si>
  <si>
    <t>Sanofi Consumer Healthcare India Ltd</t>
  </si>
  <si>
    <t>INE844O01030</t>
  </si>
  <si>
    <t>Gujarat Gas Co Ltd</t>
  </si>
  <si>
    <t>INE585B01010</t>
  </si>
  <si>
    <t>Maruti Suzuki India Ltd</t>
  </si>
  <si>
    <t>INF173K01GU0</t>
  </si>
  <si>
    <t>Sundaram Large and Mid Cap Fund</t>
  </si>
  <si>
    <t>INE040A01034</t>
  </si>
  <si>
    <t>HDFC Bank Ltd</t>
  </si>
  <si>
    <t>INE009A01021</t>
  </si>
  <si>
    <t>Infosys Ltd</t>
  </si>
  <si>
    <t>INE758T01015</t>
  </si>
  <si>
    <t>Zomato Ltd</t>
  </si>
  <si>
    <t>INE467B01029</t>
  </si>
  <si>
    <t>Tata Consultancy Services Ltd</t>
  </si>
  <si>
    <t>INE238A01034</t>
  </si>
  <si>
    <t>Axis Bank Ltd</t>
  </si>
  <si>
    <t>INE044A01036</t>
  </si>
  <si>
    <t>Sun Pharmaceutical Industries Ltd</t>
  </si>
  <si>
    <t>INE200M01021</t>
  </si>
  <si>
    <t>Varun Beverages Ltd</t>
  </si>
  <si>
    <t>INE237A01028</t>
  </si>
  <si>
    <t>Kotak Mahindra Bank Ltd</t>
  </si>
  <si>
    <t>INE038A01020</t>
  </si>
  <si>
    <t>Hindalco Industries Ltd</t>
  </si>
  <si>
    <t>Non - Ferrous Metals</t>
  </si>
  <si>
    <t>INE155A01022</t>
  </si>
  <si>
    <t>Tata Motors Ltd</t>
  </si>
  <si>
    <t>INE745G01035</t>
  </si>
  <si>
    <t>Multi Commodity Exchange of India Ltd</t>
  </si>
  <si>
    <t>INE321T01012</t>
  </si>
  <si>
    <t>DOMS Industries Ltd</t>
  </si>
  <si>
    <t>Household Products</t>
  </si>
  <si>
    <t>INE089A01023</t>
  </si>
  <si>
    <t>Dr. Reddys Laboratories Ltd</t>
  </si>
  <si>
    <t>INE406A01037</t>
  </si>
  <si>
    <t>Aurobindo Pharma Ltd</t>
  </si>
  <si>
    <t>INE154A01025</t>
  </si>
  <si>
    <t>ITC Ltd</t>
  </si>
  <si>
    <t>Diversified Fmcg</t>
  </si>
  <si>
    <t>INE158A01026</t>
  </si>
  <si>
    <t>Hero MotoCorp Ltd</t>
  </si>
  <si>
    <t>INE030A01027</t>
  </si>
  <si>
    <t>Hindustan UniLever Ltd</t>
  </si>
  <si>
    <t>INE317I01021</t>
  </si>
  <si>
    <t>Metro Brands Ltd</t>
  </si>
  <si>
    <t>INE066F01020</t>
  </si>
  <si>
    <t>Hindustan Aeronautics Ltd</t>
  </si>
  <si>
    <t>INE081A01020</t>
  </si>
  <si>
    <t>Tata Steel Ltd</t>
  </si>
  <si>
    <t>INE465A01025</t>
  </si>
  <si>
    <t>Bharat Forge Ltd</t>
  </si>
  <si>
    <t>INE893J01029</t>
  </si>
  <si>
    <t>Mold-Tek Packaging Ltd</t>
  </si>
  <si>
    <t>INE880J01026</t>
  </si>
  <si>
    <t>JSW Infrastructure Ltd</t>
  </si>
  <si>
    <t>INE208A01029</t>
  </si>
  <si>
    <t>Ashok Leyland Ltd</t>
  </si>
  <si>
    <t>Agricultural, Commercial &amp; Construction Vehicles</t>
  </si>
  <si>
    <t>INE280A01028</t>
  </si>
  <si>
    <t>Titan Company Ltd</t>
  </si>
  <si>
    <t>INE761H01022</t>
  </si>
  <si>
    <t>Page Industries Ltd</t>
  </si>
  <si>
    <t>Textiles &amp; Apparels</t>
  </si>
  <si>
    <t>INE387A01021</t>
  </si>
  <si>
    <t>Sundram Fasteners Ltd</t>
  </si>
  <si>
    <t>INE00WC01027</t>
  </si>
  <si>
    <t>Affle (India) Ltd</t>
  </si>
  <si>
    <t>It - Services</t>
  </si>
  <si>
    <t>INE047A01021</t>
  </si>
  <si>
    <t>Grasim Industries Ltd</t>
  </si>
  <si>
    <t>INE476A01022</t>
  </si>
  <si>
    <t>Canara Bank</t>
  </si>
  <si>
    <t>Sundaram Long Term Tax Advantage Fund Series III</t>
  </si>
  <si>
    <t>INE429E01023</t>
  </si>
  <si>
    <t>Safari Industries (India) Ltd</t>
  </si>
  <si>
    <t>INE806T01012</t>
  </si>
  <si>
    <t>Sapphire Foods India Ltd</t>
  </si>
  <si>
    <t>INE914M01019</t>
  </si>
  <si>
    <t>Aster DM Healthcare Ltd</t>
  </si>
  <si>
    <t>INE063P01018</t>
  </si>
  <si>
    <t>Equitas Small Finance Bank Limited</t>
  </si>
  <si>
    <t>INE551W01018</t>
  </si>
  <si>
    <t>Ujjivan Small Finance Bank Ltd</t>
  </si>
  <si>
    <t>INE0CLI01024</t>
  </si>
  <si>
    <t>Rate Gain Travel Technologies Ltd</t>
  </si>
  <si>
    <t>INE679A01013</t>
  </si>
  <si>
    <t>CSB Bank Ltd</t>
  </si>
  <si>
    <t>INE045A01017</t>
  </si>
  <si>
    <t>Ador Welding Ltd</t>
  </si>
  <si>
    <t>INE572A01036</t>
  </si>
  <si>
    <t>JB Chemicals &amp; Pharmaceuticals Ltd</t>
  </si>
  <si>
    <t>INE191H01014</t>
  </si>
  <si>
    <t>PVR INOX Ltd</t>
  </si>
  <si>
    <t>Entertainment</t>
  </si>
  <si>
    <t>INE477A01020</t>
  </si>
  <si>
    <t>Can Fin Homes Ltd</t>
  </si>
  <si>
    <t>INE732I01013</t>
  </si>
  <si>
    <t>Angel One Ltd</t>
  </si>
  <si>
    <t>INE199A01012</t>
  </si>
  <si>
    <t>Procter &amp; Gamble Health Ltd</t>
  </si>
  <si>
    <t>INE285J01028</t>
  </si>
  <si>
    <t>SIS Ltd</t>
  </si>
  <si>
    <t>Commercial Services &amp; Supplies</t>
  </si>
  <si>
    <t>INE743M01012</t>
  </si>
  <si>
    <t>RHI Magnesita India Ltd</t>
  </si>
  <si>
    <t>INE836A01035</t>
  </si>
  <si>
    <t>Birlasoft Ltd</t>
  </si>
  <si>
    <t>INE274F01020</t>
  </si>
  <si>
    <t>Westlife Foodworld Ltd</t>
  </si>
  <si>
    <t>INE348B01021</t>
  </si>
  <si>
    <t>Century Plyboards (India) Ltd</t>
  </si>
  <si>
    <t>INE295F01017</t>
  </si>
  <si>
    <t>Butterfly Gandhimathi Appliances Ltd</t>
  </si>
  <si>
    <t>INE741K01010</t>
  </si>
  <si>
    <t>Creditaccess Grameen Ltd</t>
  </si>
  <si>
    <t>INE481N01025</t>
  </si>
  <si>
    <t>Home First Finance Company Ltd</t>
  </si>
  <si>
    <t>INE688A01022</t>
  </si>
  <si>
    <t>Transport Corporation of India Ltd</t>
  </si>
  <si>
    <t>INE211B01039</t>
  </si>
  <si>
    <t>The Phoenix Mills Ltd</t>
  </si>
  <si>
    <t>INE120A01034</t>
  </si>
  <si>
    <t>Carborundum Universal Ltd</t>
  </si>
  <si>
    <t>INE299U01018</t>
  </si>
  <si>
    <t>Crompton Greaves Consumer Electricals Ltd</t>
  </si>
  <si>
    <t>INE227C01017</t>
  </si>
  <si>
    <t>MM Forgings Ltd</t>
  </si>
  <si>
    <t>Sundaram Long Term Tax Advantage Fund Series IV</t>
  </si>
  <si>
    <t>Sundaram Long Term Tax Advantage Fund Series-I</t>
  </si>
  <si>
    <t>INE123W01016</t>
  </si>
  <si>
    <t>SBI Life Insurance Company Ltd</t>
  </si>
  <si>
    <t>INE028A01039</t>
  </si>
  <si>
    <t>Bank of Baroda</t>
  </si>
  <si>
    <t>INE860A01027</t>
  </si>
  <si>
    <t>HCL Technologies Ltd</t>
  </si>
  <si>
    <t>INE059A01026</t>
  </si>
  <si>
    <t>Cipla Ltd</t>
  </si>
  <si>
    <t>INE192A01025</t>
  </si>
  <si>
    <t>TATA Consumer Products Ltd</t>
  </si>
  <si>
    <t>INE340A01012</t>
  </si>
  <si>
    <t>Birla Corporation Ltd</t>
  </si>
  <si>
    <t>INE095A01012</t>
  </si>
  <si>
    <t>IndusInd Bank Ltd</t>
  </si>
  <si>
    <t>IN9397D01014</t>
  </si>
  <si>
    <t>Sundaram Long Term Tax Advantage Fund Series-II</t>
  </si>
  <si>
    <t>INE075A01022</t>
  </si>
  <si>
    <t>Wipro Ltd</t>
  </si>
  <si>
    <t>Sundaram Long Term Micro Cap Tax Advantage Fund Series III</t>
  </si>
  <si>
    <t>INE782A01015</t>
  </si>
  <si>
    <t>Johnson Controls-Hitachi AirConditioning India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</si>
  <si>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</si>
  <si>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</si>
  <si>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</si>
  <si>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</si>
  <si>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</si>
  <si>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</si>
  <si>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INE136B01020</t>
  </si>
  <si>
    <t>Cyient Ltd</t>
  </si>
  <si>
    <t>INE482A01020</t>
  </si>
  <si>
    <t>Ceat Ltd</t>
  </si>
  <si>
    <t>INE572E01012</t>
  </si>
  <si>
    <t>PNB Housing Finance Ltd</t>
  </si>
  <si>
    <t>INE177F01017</t>
  </si>
  <si>
    <t>Kovai Medical Center &amp; Hospital Ltd</t>
  </si>
  <si>
    <t>INE602W01019</t>
  </si>
  <si>
    <t>Senco Gold Ltd</t>
  </si>
  <si>
    <t>INE548C01032</t>
  </si>
  <si>
    <t>Emami Ltd</t>
  </si>
  <si>
    <t>Personal Products</t>
  </si>
  <si>
    <t>INE098F01031</t>
  </si>
  <si>
    <t>Amrutanjan Health Care Ltd</t>
  </si>
  <si>
    <t>INE136S01016</t>
  </si>
  <si>
    <t>Neogen Chemicals Ltd</t>
  </si>
  <si>
    <t>INE142Z01019</t>
  </si>
  <si>
    <t>Orient Electric Ltd</t>
  </si>
  <si>
    <t>INE084A01016</t>
  </si>
  <si>
    <t>Bank of India</t>
  </si>
  <si>
    <t>INE126A01031</t>
  </si>
  <si>
    <t>EID Parry India Ltd</t>
  </si>
  <si>
    <t>INE976G01028</t>
  </si>
  <si>
    <t>RBL Bank Ltd</t>
  </si>
  <si>
    <t>INE322A01010</t>
  </si>
  <si>
    <t>Gillette India Ltd</t>
  </si>
  <si>
    <t>INE342G01023</t>
  </si>
  <si>
    <t>NIIT Learning Systems Ltd</t>
  </si>
  <si>
    <t>Other Consumer Services</t>
  </si>
  <si>
    <t>INE094J01016</t>
  </si>
  <si>
    <t>UTI Asset Management Co Ltd</t>
  </si>
  <si>
    <t>INE00F201020</t>
  </si>
  <si>
    <t>Prudent Corporate Advisory Services Ltd</t>
  </si>
  <si>
    <t>INE930H01031</t>
  </si>
  <si>
    <t>K.P.R. Mill Ltd</t>
  </si>
  <si>
    <t>INE119A01028</t>
  </si>
  <si>
    <t>Balrampur Chini Mills Ltd</t>
  </si>
  <si>
    <t>INE0LMW01024</t>
  </si>
  <si>
    <t>Cello World Ltd</t>
  </si>
  <si>
    <t>INE935N01020</t>
  </si>
  <si>
    <t>Dixon Technologies (India) Ltd</t>
  </si>
  <si>
    <t>INE456Z01021</t>
  </si>
  <si>
    <t>Medi Assist Healthcare Services Ltd</t>
  </si>
  <si>
    <t>INE586V01016</t>
  </si>
  <si>
    <t>TCI Express Ltd</t>
  </si>
  <si>
    <t>IN9671H01013</t>
  </si>
  <si>
    <t>Stock Future</t>
  </si>
  <si>
    <t>IN002024Z057</t>
  </si>
  <si>
    <t>Sovereign</t>
  </si>
  <si>
    <t>Margin Money For Derivatives</t>
  </si>
  <si>
    <t>Sundaram Aggressive Hybrid Fund</t>
  </si>
  <si>
    <t>INE854D01024</t>
  </si>
  <si>
    <t>United Spirits Ltd</t>
  </si>
  <si>
    <t>INE917I01010</t>
  </si>
  <si>
    <t>Bajaj Auto Ltd</t>
  </si>
  <si>
    <t>INE101A01026</t>
  </si>
  <si>
    <t>Mahindra &amp; Mahindra Ltd</t>
  </si>
  <si>
    <t>INE669C01036</t>
  </si>
  <si>
    <t>Tech Mahindra Ltd</t>
  </si>
  <si>
    <t>INE183A01024</t>
  </si>
  <si>
    <t>Finolex Industries Ltd</t>
  </si>
  <si>
    <t>INE852S01026</t>
  </si>
  <si>
    <t>INE261F08DX0</t>
  </si>
  <si>
    <t>National Bank for Agriculture &amp; Rural Development - 7.58% - 31/07/2026</t>
  </si>
  <si>
    <t>CRISIL AAA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</si>
  <si>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</si>
  <si>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</si>
  <si>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</si>
  <si>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</si>
  <si>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</si>
  <si>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</si>
  <si>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</si>
  <si>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</si>
  <si>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</si>
  <si>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</si>
  <si>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INE556F08KM1</t>
  </si>
  <si>
    <t>Small Industries Development Bank of India - 7.79% - 14/05/2027**</t>
  </si>
  <si>
    <t>INE261F08EF5</t>
  </si>
  <si>
    <t>National Bank for Agriculture &amp; Rural Development - 7.8% - 15/03/2027</t>
  </si>
  <si>
    <t>ICRA AAA</t>
  </si>
  <si>
    <t>INE261F08DV4</t>
  </si>
  <si>
    <t>National Bank for Agriculture &amp; Rural Development - 7.62% - 31/01/2028</t>
  </si>
  <si>
    <t>INE134E08NB7</t>
  </si>
  <si>
    <t>Power Finance Corporation Ltd - 7.32% - 15/07/2039**</t>
  </si>
  <si>
    <t>INE556F08KH1</t>
  </si>
  <si>
    <t>Small Industries Development Bank of India - 7.43% - 31/08/2026</t>
  </si>
  <si>
    <t>INE040A08AH8</t>
  </si>
  <si>
    <t>HDFC Bank Ltd (Prev HDFC Ltd) - 7.4% - 02/06/2025**</t>
  </si>
  <si>
    <t>INE0KUG08035</t>
  </si>
  <si>
    <t>National Bank for Financing Infrastructure and Development - 7.43% - 04/07/2034**</t>
  </si>
  <si>
    <t>INE053F08338</t>
  </si>
  <si>
    <t>Indian Railway Finance Corporation Ltd - 7.68% - 24/11/2026</t>
  </si>
  <si>
    <t>INE020B08FF1</t>
  </si>
  <si>
    <t>REC LTD - 7.56% - 31/08/2027**</t>
  </si>
  <si>
    <t>INE053F08296</t>
  </si>
  <si>
    <t>Indian Railway Finance Corporation Ltd - 7.74% - 15/04/2038**</t>
  </si>
  <si>
    <t>INE040A08666</t>
  </si>
  <si>
    <t>HDFC Bank Ltd (Prev HDFC Ltd) - 7.8% - 03/05/2033**</t>
  </si>
  <si>
    <t>INE134E08MJ2</t>
  </si>
  <si>
    <t>Power Finance Corporation Ltd - 7.77% - 15/04/2028**</t>
  </si>
  <si>
    <t>INE134E08MC7</t>
  </si>
  <si>
    <t>Power Finance Corporation Ltd - 7.77% - 15/07/2026</t>
  </si>
  <si>
    <t>INE752E08734</t>
  </si>
  <si>
    <t>Power Grid Corporation of India Ltd - 7.35% - 12/03/2034**</t>
  </si>
  <si>
    <t>INE115A07QD5</t>
  </si>
  <si>
    <t>LIC Housing Finance Ltd - 7.82% - 28/11/2025**</t>
  </si>
  <si>
    <t>INE041007100</t>
  </si>
  <si>
    <t>Embassy Office Parks REIT - 7.77% - 05/06/2025**</t>
  </si>
  <si>
    <t>INE040A08989</t>
  </si>
  <si>
    <t>HDFC Bank Ltd (Prev HDFC Ltd) - 7.35% - 10/02/2025**</t>
  </si>
  <si>
    <t>INE261F08DP6</t>
  </si>
  <si>
    <t>National Bank for Agriculture &amp; Rural Development - 7.35% - 08/07/2025**</t>
  </si>
  <si>
    <t>INE115A07PI6</t>
  </si>
  <si>
    <t>LIC Housing Finance Ltd - 6.17% - 03/09/2026**</t>
  </si>
  <si>
    <t>INE018A08BA7</t>
  </si>
  <si>
    <t>Larsen &amp; Toubro Ltd - 7.7% - 28/04/2025**</t>
  </si>
  <si>
    <t>INE020B08EI8</t>
  </si>
  <si>
    <t>REC LTD - 7.51% - 31/07/2026**</t>
  </si>
  <si>
    <t>INE020B08EL2</t>
  </si>
  <si>
    <t>REC LTD - 7.44% - 30/04/2026**</t>
  </si>
  <si>
    <t>INE557F08FS6</t>
  </si>
  <si>
    <t>National Housing Bank  - 7.4% - 16/07/2026**</t>
  </si>
  <si>
    <t>INE556F08KE8</t>
  </si>
  <si>
    <t>Small Industries Development Bank of India - 7.47% - 25/11/2025**</t>
  </si>
  <si>
    <t>IN0020230085</t>
  </si>
  <si>
    <t>7.18%  Government Securities - 14/08/2033</t>
  </si>
  <si>
    <t>IN0020240027</t>
  </si>
  <si>
    <t>IN0020240019</t>
  </si>
  <si>
    <t>7.10% Central Government Securities 08/04/2034</t>
  </si>
  <si>
    <t>IN0020220037</t>
  </si>
  <si>
    <t>7.38% Central Government Securities 20/06/2027</t>
  </si>
  <si>
    <t>IN0020230077</t>
  </si>
  <si>
    <t>7.18%  Government Securities - 24/07/2037</t>
  </si>
  <si>
    <t>IN0020230051</t>
  </si>
  <si>
    <t>7.30% Government Securities - 19/06/2053</t>
  </si>
  <si>
    <t>IN0020220011</t>
  </si>
  <si>
    <t>IN0020210160</t>
  </si>
  <si>
    <t>IN3120230484</t>
  </si>
  <si>
    <t>7.44% Tamil Nadu State Government Securities -20/03/2034</t>
  </si>
  <si>
    <t>IN0020240035</t>
  </si>
  <si>
    <t>7.34% Central Government Securities 22/04/2064</t>
  </si>
  <si>
    <t>IN0020230101</t>
  </si>
  <si>
    <t>7.37% Government Securities-23/10/2028</t>
  </si>
  <si>
    <t>INE040A16FA5</t>
  </si>
  <si>
    <t>HDFC Bank Ltd - 24/06/2025**</t>
  </si>
  <si>
    <t>CRISIL A1+</t>
  </si>
  <si>
    <t>INE040A16EH3</t>
  </si>
  <si>
    <t>HDFC Bank Ltd - 06/12/2024</t>
  </si>
  <si>
    <t>INE115A14EX5</t>
  </si>
  <si>
    <t>LIC Housing Finance Ltd - 21/03/2025**</t>
  </si>
  <si>
    <t>Individual &amp; HUF</t>
  </si>
  <si>
    <t>Others</t>
  </si>
  <si>
    <t>Sundaram Arbitrage Fund</t>
  </si>
  <si>
    <t>INE271C01023</t>
  </si>
  <si>
    <t>DLF Ltd</t>
  </si>
  <si>
    <t>INE522D01027</t>
  </si>
  <si>
    <t>Manappuram Finance Ltd</t>
  </si>
  <si>
    <t>INE205A01025</t>
  </si>
  <si>
    <t>Vedanta Ltd</t>
  </si>
  <si>
    <t>Diversified Metals</t>
  </si>
  <si>
    <t>INE674K01013</t>
  </si>
  <si>
    <t>Aditya Birla Capital Ltd</t>
  </si>
  <si>
    <t>INE296A01024</t>
  </si>
  <si>
    <t>Bajaj Finance Ltd</t>
  </si>
  <si>
    <t>INE669E01016</t>
  </si>
  <si>
    <t>Vodafone Idea Ltd</t>
  </si>
  <si>
    <t>INE242A01010</t>
  </si>
  <si>
    <t>Indian Oil Corporation Ltd</t>
  </si>
  <si>
    <t>IN0020230119</t>
  </si>
  <si>
    <t>IN002023Z273</t>
  </si>
  <si>
    <t>IN002023Z307</t>
  </si>
  <si>
    <t>IN002023Z315</t>
  </si>
  <si>
    <t>IN002024Z032</t>
  </si>
  <si>
    <t>364 Days - T Bill - 18/04/2025</t>
  </si>
  <si>
    <t>Sundaram Balanced Advantage Fund</t>
  </si>
  <si>
    <t>INE918I01026</t>
  </si>
  <si>
    <t>Bajaj Finserv Ltd</t>
  </si>
  <si>
    <t>INE020B08FD6</t>
  </si>
  <si>
    <t>REC LTD - 7.58% - 31/05/2029**</t>
  </si>
  <si>
    <t>IN0020230135</t>
  </si>
  <si>
    <t>IN0020230036</t>
  </si>
  <si>
    <t>7.17% Government Securities - 17/04/20230</t>
  </si>
  <si>
    <t>-</t>
  </si>
  <si>
    <t>INE486A01021</t>
  </si>
  <si>
    <t>CESC Ltd</t>
  </si>
  <si>
    <t>INE848E01016</t>
  </si>
  <si>
    <t>NHPC Ltd</t>
  </si>
  <si>
    <t>INE274J01014</t>
  </si>
  <si>
    <t>Oil India Ltd</t>
  </si>
  <si>
    <t>INE472A01039</t>
  </si>
  <si>
    <t>Blue Star Ltd</t>
  </si>
  <si>
    <t>INE216A01030</t>
  </si>
  <si>
    <t>Britannia Industries Ltd</t>
  </si>
  <si>
    <t>INE239A01024</t>
  </si>
  <si>
    <t>Nestle India Ltd</t>
  </si>
  <si>
    <t>INE710A01016</t>
  </si>
  <si>
    <t>VST Industries Ltd</t>
  </si>
  <si>
    <t>Cigarettes &amp; Tobacco Products</t>
  </si>
  <si>
    <t>INE759J01022</t>
  </si>
  <si>
    <t>INE02CF01010</t>
  </si>
  <si>
    <t>IDIA00069477</t>
  </si>
  <si>
    <t>IDIA00069480</t>
  </si>
  <si>
    <t>Sundaram Equity Savings Fund</t>
  </si>
  <si>
    <t>INE451A01017</t>
  </si>
  <si>
    <t>Force Motors Ltd</t>
  </si>
  <si>
    <t>INE634S01028</t>
  </si>
  <si>
    <t>Mankind Pharma Ltd</t>
  </si>
  <si>
    <t>INE725G01011</t>
  </si>
  <si>
    <t>ICRA Ltd</t>
  </si>
  <si>
    <t>INE795G01014</t>
  </si>
  <si>
    <t>HDFC Life Insurance Company Ltd</t>
  </si>
  <si>
    <t>INE423A01024</t>
  </si>
  <si>
    <t>Adani Enterprises</t>
  </si>
  <si>
    <t>Metals &amp; Minerals Trading</t>
  </si>
  <si>
    <t>INE227W01023</t>
  </si>
  <si>
    <t>Clean Science &amp; Technology Ltd</t>
  </si>
  <si>
    <t>INE0BV301023</t>
  </si>
  <si>
    <t>CE Info Systems Private Limited</t>
  </si>
  <si>
    <t>INE142M01025</t>
  </si>
  <si>
    <t>Tata Technologies Ltd</t>
  </si>
  <si>
    <t>INE019A01038</t>
  </si>
  <si>
    <t>JSW Steel Ltd</t>
  </si>
  <si>
    <t>INE021A01026</t>
  </si>
  <si>
    <t>Asian Paints Ltd</t>
  </si>
  <si>
    <t>INE261F08EA6</t>
  </si>
  <si>
    <t>National Bank for Agriculture &amp; Rural Development - 7.5% - 31/08/2026**</t>
  </si>
  <si>
    <t>IN002023Z422</t>
  </si>
  <si>
    <t>364 Days -T Bill- 02/01/2025</t>
  </si>
  <si>
    <t>Sundaram Focused  Fund</t>
  </si>
  <si>
    <t>INE192R01011</t>
  </si>
  <si>
    <t>Avenue Supermarts Ltd</t>
  </si>
  <si>
    <t>Sundaram Multi Cap Fund</t>
  </si>
  <si>
    <t>INE176B01034</t>
  </si>
  <si>
    <t>Havells India Ltd</t>
  </si>
  <si>
    <t>INE112L01020</t>
  </si>
  <si>
    <t>Metropolis Healthcare Ltd</t>
  </si>
  <si>
    <t>INE147E01013</t>
  </si>
  <si>
    <t>INE348C01011</t>
  </si>
  <si>
    <t>Paper, Forest &amp; Jute Products</t>
  </si>
  <si>
    <t>IDIA00069356</t>
  </si>
  <si>
    <t>INE431E01011</t>
  </si>
  <si>
    <t>Healthcare Equipment &amp; Supplies</t>
  </si>
  <si>
    <t>INE604A01011</t>
  </si>
  <si>
    <t>INE406B01019</t>
  </si>
  <si>
    <t>IDIA00069359</t>
  </si>
  <si>
    <t>Sundaram Nifty 100 Equal Weight Fund</t>
  </si>
  <si>
    <t>INE259A01022</t>
  </si>
  <si>
    <t>Colgate Palmolive (India) Ltd</t>
  </si>
  <si>
    <t>INE685A01028</t>
  </si>
  <si>
    <t>Torrent Pharmaceuticals Ltd</t>
  </si>
  <si>
    <t>INE214T01019</t>
  </si>
  <si>
    <t>LTIMindtree Ltd</t>
  </si>
  <si>
    <t>INE765G01017</t>
  </si>
  <si>
    <t>ICICI Lombard General Insurance Company Ltd</t>
  </si>
  <si>
    <t>INE118A01012</t>
  </si>
  <si>
    <t>Bajaj Holdings &amp; Investment Ltd</t>
  </si>
  <si>
    <t>INE463A01038</t>
  </si>
  <si>
    <t>Berger Paints (I) Ltd</t>
  </si>
  <si>
    <t>INE361B01024</t>
  </si>
  <si>
    <t>Divis Laboratories Ltd</t>
  </si>
  <si>
    <t>INE437A01024</t>
  </si>
  <si>
    <t>Apollo Hospitals Enterprise Ltd</t>
  </si>
  <si>
    <t>INE016A01026</t>
  </si>
  <si>
    <t>Dabur India Ltd</t>
  </si>
  <si>
    <t>INE102D01028</t>
  </si>
  <si>
    <t>Godrej Consumer Products Ltd</t>
  </si>
  <si>
    <t>INE647A01010</t>
  </si>
  <si>
    <t>SRF Ltd</t>
  </si>
  <si>
    <t>INE066A01021</t>
  </si>
  <si>
    <t>Eicher Motors Ltd</t>
  </si>
  <si>
    <t>INE0J1Y01017</t>
  </si>
  <si>
    <t>LIC of India Ltd</t>
  </si>
  <si>
    <t>INE364U01010</t>
  </si>
  <si>
    <t>Adani Green Energy Ltd</t>
  </si>
  <si>
    <t>INE775A01035</t>
  </si>
  <si>
    <t>Samvardhana Motherson International Ltd</t>
  </si>
  <si>
    <t>INE053F01010</t>
  </si>
  <si>
    <t>Indian Railway Finance Corporation Ltd</t>
  </si>
  <si>
    <t>INE318A01026</t>
  </si>
  <si>
    <t>Pidilite Industries Ltd</t>
  </si>
  <si>
    <t>INE931S01010</t>
  </si>
  <si>
    <t>Adani Energy Solutions Ltd</t>
  </si>
  <si>
    <t>INE018E01016</t>
  </si>
  <si>
    <t>SBI Cards and Payment Services Ltd</t>
  </si>
  <si>
    <t>INE323A01026</t>
  </si>
  <si>
    <t>Bosch Ltd</t>
  </si>
  <si>
    <t>INE335Y01020</t>
  </si>
  <si>
    <t>Indian Railway Catering &amp; Tourism Corporation Ltd</t>
  </si>
  <si>
    <t>INE160A01022</t>
  </si>
  <si>
    <t>Punjab National Bank</t>
  </si>
  <si>
    <t>INE399L01023</t>
  </si>
  <si>
    <t>Adani Total Gas Ltd</t>
  </si>
  <si>
    <t>INE070A01015</t>
  </si>
  <si>
    <t>Shree Cement Ltd</t>
  </si>
  <si>
    <t>INE758E01017</t>
  </si>
  <si>
    <t>Jio Financial Services Ltd</t>
  </si>
  <si>
    <t>INE814H01011</t>
  </si>
  <si>
    <t>Adani Power Ltd</t>
  </si>
  <si>
    <t>Sundaram ELSS Tax Saver Fund</t>
  </si>
  <si>
    <t>INE571A01038</t>
  </si>
  <si>
    <t>IPCA Laboratories Ltd</t>
  </si>
  <si>
    <t>INE258A01016</t>
  </si>
  <si>
    <t>BEML Ltd</t>
  </si>
  <si>
    <t>INE176A01028</t>
  </si>
  <si>
    <t>Bata India Ltd</t>
  </si>
  <si>
    <t>INE03QK01018</t>
  </si>
  <si>
    <t>Suven Pharmaceuticals Ltd</t>
  </si>
  <si>
    <t>INE768C01010</t>
  </si>
  <si>
    <t>Zydus Wellness Ltd</t>
  </si>
  <si>
    <t>Sundaram Consumption Fund</t>
  </si>
  <si>
    <t>INE02YR01019</t>
  </si>
  <si>
    <t>Electronics Mart India Ltd</t>
  </si>
  <si>
    <t>INE0KCE01017</t>
  </si>
  <si>
    <t>Eureka Forbes Ltd</t>
  </si>
  <si>
    <t>INE668F01031</t>
  </si>
  <si>
    <t>Jyothy Laboratories Ltd</t>
  </si>
  <si>
    <t>Sundaram Services Fund</t>
  </si>
  <si>
    <t>INE763G01038</t>
  </si>
  <si>
    <t>ICICI Securities Ltd</t>
  </si>
  <si>
    <t>INE127D01025</t>
  </si>
  <si>
    <t>HDFC Asset Management Company Ltd</t>
  </si>
  <si>
    <t>MU0295S00016</t>
  </si>
  <si>
    <t>Sundaram Diversified Equity</t>
  </si>
  <si>
    <t>Sundaram Large Cap Fund</t>
  </si>
  <si>
    <t>INE179A01014</t>
  </si>
  <si>
    <t>Procter &amp; Gamble Hygiene and Health Care Ltd</t>
  </si>
  <si>
    <t>Sundaram Business Cycle Fund</t>
  </si>
  <si>
    <t>INE410P01011</t>
  </si>
  <si>
    <t>Narayana Hrudayalaya Ltd</t>
  </si>
  <si>
    <t>INE466L01038</t>
  </si>
  <si>
    <t>360 ONE WAM Ltd (Prev IIFL Wealth Management Ltd)</t>
  </si>
  <si>
    <t>INE388Y01029</t>
  </si>
  <si>
    <t>FSN E–Commerce Ventures Ltd(NYKAA)</t>
  </si>
  <si>
    <t>INE885A01032</t>
  </si>
  <si>
    <t>Amara Raja Energy &amp; Mobility Ltd</t>
  </si>
  <si>
    <t>INE074A01025</t>
  </si>
  <si>
    <t>Praj Industries Ltd</t>
  </si>
  <si>
    <t>INE371A01025</t>
  </si>
  <si>
    <t>Graphite India Ltd</t>
  </si>
  <si>
    <t>Sundaram Flexi Cap Fund</t>
  </si>
  <si>
    <t>INE109C01017</t>
  </si>
  <si>
    <t>Arman Financial Services Ltd</t>
  </si>
  <si>
    <t>Sundaram Financial Services Opportunities Fund</t>
  </si>
  <si>
    <t>Institutional Plan - Growth</t>
  </si>
  <si>
    <t>Sundaram Multi Asset Allocation Fund</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</si>
  <si>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</si>
  <si>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</si>
  <si>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</si>
  <si>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</si>
  <si>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</si>
  <si>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</si>
  <si>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</si>
  <si>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</si>
  <si>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</si>
  <si>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</si>
  <si>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Sundaram Global Brand Fund</t>
  </si>
  <si>
    <t>SG9999013908</t>
  </si>
  <si>
    <t>Sundaram Global Brand Fund - Master Class</t>
  </si>
  <si>
    <t>YTM (%)*</t>
  </si>
  <si>
    <t>YTM (%)</t>
  </si>
  <si>
    <t>Monthly Portfolio Statement for the month ended 31 August 2024</t>
  </si>
  <si>
    <t>(f) Convertible Debenture</t>
  </si>
  <si>
    <t>INE121A08PJ0</t>
  </si>
  <si>
    <t>7.5% Cholamandalam Investment and Company Ltd - 30/09/2026</t>
  </si>
  <si>
    <t>Unrated</t>
  </si>
  <si>
    <t>g) Derivative</t>
  </si>
  <si>
    <t>INE0GGX23010</t>
  </si>
  <si>
    <t>Power Grid Infrastructure Investment Trust (InvIT)</t>
  </si>
  <si>
    <t>INE041025011</t>
  </si>
  <si>
    <t>Embassy Office Parks (REIT)</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</si>
  <si>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</si>
  <si>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</si>
  <si>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</si>
  <si>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</si>
  <si>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</si>
  <si>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</si>
  <si>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d) IDCW declared during the period (Rupees per unit)</t>
  </si>
  <si>
    <t>At the beginning</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</si>
  <si>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</si>
  <si>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</si>
  <si>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</si>
  <si>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</si>
  <si>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</si>
  <si>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</si>
  <si>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</si>
  <si>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</si>
  <si>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</si>
  <si>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</si>
  <si>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</si>
  <si>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</si>
  <si>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</si>
  <si>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</si>
  <si>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</si>
  <si>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</si>
  <si>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</si>
  <si>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</si>
  <si>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</si>
  <si>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</si>
  <si>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</si>
  <si>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</si>
  <si>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</si>
  <si>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</si>
  <si>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</si>
  <si>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</si>
  <si>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</si>
  <si>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</si>
  <si>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</si>
  <si>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</si>
  <si>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</si>
  <si>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</si>
  <si>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</si>
  <si>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</si>
  <si>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</si>
  <si>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</si>
  <si>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</si>
  <si>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</si>
  <si>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</si>
  <si>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</si>
  <si>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</si>
  <si>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(a) Investments in Foreign Securities - Units of Mutual Funds</t>
  </si>
  <si>
    <t>Index</t>
  </si>
  <si>
    <t>Scheme Riskometer</t>
  </si>
  <si>
    <t>Benchmark Riskometer - MSCI ACWI TRI</t>
  </si>
  <si>
    <t>Benchmark Riskometer - NIFTY Infrastructure TRI</t>
  </si>
  <si>
    <t>Tier I Benchmark Riskometer - Nifty Mid Cap 150 TRI</t>
  </si>
  <si>
    <t>Tier II Benchmark Riskometer - Nifty Mid Cap 100 TRI</t>
  </si>
  <si>
    <t>Sundaram Liquid Fund - Direct Growth*</t>
  </si>
  <si>
    <t>Tier I Benchmark Riskometer - Nifty Large Mid Cap 250 INDEX</t>
  </si>
  <si>
    <t>Tier II Benchmark Riskometer - Nifty Large Mid Cap 250 INDEX</t>
  </si>
  <si>
    <t>Benchmark Riskometer - BSE 500 INDEX</t>
  </si>
  <si>
    <t xml:space="preserve"> Benchmark Riskometer - BSE 500 INDEX</t>
  </si>
  <si>
    <t>Bharti Airtel Ltd - Partly Paid Right Shares</t>
  </si>
  <si>
    <t>Benchmark Riskometer - Nifty Small Cap 100</t>
  </si>
  <si>
    <t>Direct Plan - IDCW</t>
  </si>
  <si>
    <t>Regular Plan - IDCW</t>
  </si>
  <si>
    <t>Direct Plan - Halfyearly IDCW</t>
  </si>
  <si>
    <t>Regular Plan - Halfyearly IDCW</t>
  </si>
  <si>
    <t>Direct Plan - Monthly IDCW</t>
  </si>
  <si>
    <t>Direct Plan - Quarterly IDCW</t>
  </si>
  <si>
    <t>Regular Plan - Monthly IDCW</t>
  </si>
  <si>
    <t>Regular Plan - Quarterly IDCW</t>
  </si>
  <si>
    <t>Institutional Plan - IDCW</t>
  </si>
  <si>
    <t>Tier I Benchmark Riskometer - Nifty Small Cap 250 TRI</t>
  </si>
  <si>
    <t>Tier II Benchmark Riskometer - Nifty Small Cap 100 TRI</t>
  </si>
  <si>
    <t>Hindustan Dorr Oliver Ltd @</t>
  </si>
  <si>
    <t>J K Cement Ltd September 2024</t>
  </si>
  <si>
    <t>b) Total value and percentage of illiquid equity shares @</t>
  </si>
  <si>
    <t>Benchmark Riskometer - CRISIL Hybrid 35 Plus 65 - Aggressive Index</t>
  </si>
  <si>
    <t>7.72% Central Government Securities_Floating Rate Bond - 04/10/2028 ~</t>
  </si>
  <si>
    <t>Cash and Other Net Current Assets^</t>
  </si>
  <si>
    <t>Refer below point i)</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</si>
  <si>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</si>
  <si>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</si>
  <si>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</si>
  <si>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</si>
  <si>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</si>
  <si>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</si>
  <si>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</si>
  <si>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</si>
  <si>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</si>
  <si>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</si>
  <si>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</si>
  <si>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</si>
  <si>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</si>
  <si>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</si>
  <si>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</si>
  <si>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</si>
  <si>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</si>
  <si>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</si>
  <si>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</si>
  <si>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</si>
  <si>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</si>
  <si>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</si>
  <si>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</si>
  <si>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</si>
  <si>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</si>
  <si>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</si>
  <si>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</si>
  <si>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Benchmark Riskometer - NIFTY 50 Arbitrage INDEX</t>
  </si>
  <si>
    <t xml:space="preserve">	Hindustan Unilever Limited September 2024</t>
  </si>
  <si>
    <t>ITC Limited September 2024</t>
  </si>
  <si>
    <t>Indian Oil Corporation Ltd September 2024</t>
  </si>
  <si>
    <t>NTPC Limited September 2024</t>
  </si>
  <si>
    <t>HCL Technologies Limited September 2024</t>
  </si>
  <si>
    <t>Vodafone Idea Limited September 2024</t>
  </si>
  <si>
    <t>Bajaj Finance Limited September 2024</t>
  </si>
  <si>
    <t xml:space="preserve">	State Bank Of India Limited September 2024</t>
  </si>
  <si>
    <t>ICICI Bank Limited September 2024</t>
  </si>
  <si>
    <t>Kotak Mahindra Bank Limited September 2024</t>
  </si>
  <si>
    <t>Larsen and Toubro Ltd September 2024</t>
  </si>
  <si>
    <t>Tata Power Company Ltd September 2024</t>
  </si>
  <si>
    <t>Canara Bank September 2024</t>
  </si>
  <si>
    <t>Aurobindo Pharma Limited September 2024</t>
  </si>
  <si>
    <t>Aditya Birla Capital Limited September 2024</t>
  </si>
  <si>
    <t>Axis Bank Limited September 2024</t>
  </si>
  <si>
    <t>ACC Limited September 2024</t>
  </si>
  <si>
    <t>Sun Pharmaceutical Industries Limited September 2024</t>
  </si>
  <si>
    <t>Bank of Baroda September 2024</t>
  </si>
  <si>
    <t>Vedanta Ltd Pre Sesa Sterlite Limited September 2024</t>
  </si>
  <si>
    <t>Manappuram Finance Limited September 2024</t>
  </si>
  <si>
    <t>TATA Consultancy Services Limited September 2024</t>
  </si>
  <si>
    <t>DLF Limited September 2024</t>
  </si>
  <si>
    <t>Reliance Industries Limited September 2024</t>
  </si>
  <si>
    <t>Ambuja Cements Limited September 2024</t>
  </si>
  <si>
    <t>Bharti Airtel Limited September 2024</t>
  </si>
  <si>
    <t>HDFC Bank Limited September 2024</t>
  </si>
  <si>
    <t>Indus Towers Limited September 2024</t>
  </si>
  <si>
    <t>Annexure-A</t>
  </si>
  <si>
    <t>Benchmark Riskometer - NIFTY 50 Hybrid Composite Debt 50 : 50 INDEX</t>
  </si>
  <si>
    <t>Marico Limited September 2024</t>
  </si>
  <si>
    <t>Maruti Suzuki India Limited September 2024</t>
  </si>
  <si>
    <t xml:space="preserve">	Tata Steel Limited September 2024</t>
  </si>
  <si>
    <t>Zydus Lifesciences Limited September 2024</t>
  </si>
  <si>
    <t>Bharat Forge Limited September 2024</t>
  </si>
  <si>
    <t xml:space="preserve">	Tech Mahindra Limited September 2024</t>
  </si>
  <si>
    <t>Bajaj Finserv Limited September 2024</t>
  </si>
  <si>
    <t>IndusInd Bank Limited September 2024</t>
  </si>
  <si>
    <t>Cipla Limited September 2024</t>
  </si>
  <si>
    <t>Tier I Benchmark Riskometer - NIFTY 500</t>
  </si>
  <si>
    <t>Tier II Benchmark Riskometer - NIFTY IDCW Opportunities 50 TRI</t>
  </si>
  <si>
    <t>21.50% Dewan Rubber Ltd</t>
  </si>
  <si>
    <t>Not Available</t>
  </si>
  <si>
    <t>Chemox Chemicals Industries</t>
  </si>
  <si>
    <t>Benchmark Riskometer - Nifty Equity Savings INDEX</t>
  </si>
  <si>
    <t>JSW Steel Limited September 2024</t>
  </si>
  <si>
    <t xml:space="preserve">	United Spirits Limited September 2024</t>
  </si>
  <si>
    <t>Adani Enterprises Limited September 2024</t>
  </si>
  <si>
    <t>Interglobe Aviation Ltd September 2024</t>
  </si>
  <si>
    <t>HDFC Life Insurance Company Limited September 2024</t>
  </si>
  <si>
    <t xml:space="preserve">	Mahindra &amp; Mahindra Limited September 2024</t>
  </si>
  <si>
    <t>Hindustan Petroleum Corpn Limited September 2024</t>
  </si>
  <si>
    <t>Hindalco Industries Limited September 2024</t>
  </si>
  <si>
    <t>Infosys Limited September 2024</t>
  </si>
  <si>
    <t>Direct Plan - Half Yearly IDCW</t>
  </si>
  <si>
    <t>Regular Plan - Half Yearly IDCW</t>
  </si>
  <si>
    <t>Tier I Benchmark Riskometer - Nifty 500 TRI</t>
  </si>
  <si>
    <t xml:space="preserve"> Tier II Benchmark Riskometer - Nifty Large MID CAP 250 TRI</t>
  </si>
  <si>
    <t>Tier I Benchmark Riskometer - Nifty 500 MultiCap 50:25:25</t>
  </si>
  <si>
    <t>Tier II Benchmark Riskometer - Nifty 500 MultiCap 50:25:25</t>
  </si>
  <si>
    <t>15% Premier Vinyl Ltd</t>
  </si>
  <si>
    <t>Benchmark Riskometer - Nifty 100 Equal Weight TRI</t>
  </si>
  <si>
    <t>Tier II Benchmark Riskometer - NIFTY 500</t>
  </si>
  <si>
    <t>18% Jord Engineering Ltd</t>
  </si>
  <si>
    <t>Benchmark Riskometer - Nifty India Consumption TRI</t>
  </si>
  <si>
    <t>Tier I Benchmark Riskometer - NIFTY Services Sector Index</t>
  </si>
  <si>
    <t>Tier II Benchmark Riskometer - NIFTY 500 MULTICAP 50:25:25</t>
  </si>
  <si>
    <t>Make My Trip Ltd (USD)</t>
  </si>
  <si>
    <t>Tier I Benchmark Riskometer - Nifty 100 TRI INDEX</t>
  </si>
  <si>
    <t>Tier II Benchmark Riskometer - Nifty 100 TRI INDEX</t>
  </si>
  <si>
    <t>Tier II Benchmark Riskometer - Nifty 500 TRI</t>
  </si>
  <si>
    <t>Benchmark Riskometer - Nifty Financial Services</t>
  </si>
  <si>
    <r>
      <t xml:space="preserve">Benchmark Riskometer - </t>
    </r>
    <r>
      <rPr>
        <sz val="11"/>
        <color theme="1"/>
        <rFont val="Aptos Narrow"/>
        <family val="2"/>
        <scheme val="minor"/>
      </rPr>
      <t>NIFTY 500 TRI (65%) + NIFTY Short Duration Debt Index (10%) + Domestic Prices of Gold (25%)</t>
    </r>
  </si>
  <si>
    <t>Bharat Electronics Limited September 2024</t>
  </si>
  <si>
    <t>Shriram Finance Limited September 2024</t>
  </si>
  <si>
    <t>Hindustan Aeronautics Limited September 2024</t>
  </si>
  <si>
    <t>TVS Motor Company Limited September 2024</t>
  </si>
  <si>
    <t>364 Days - T Bill - 02/05/2025*</t>
  </si>
  <si>
    <t>7.10% Central Government Securities 18/04/2029*</t>
  </si>
  <si>
    <t>7.23% Central Government Securities 15/04/2039*</t>
  </si>
  <si>
    <t>364 Days-T Bill - 17/10/2024*</t>
  </si>
  <si>
    <t>364 Days-T Bill - 19/09/2024*</t>
  </si>
  <si>
    <t>364 Days-T Bill - 10/10/2024*</t>
  </si>
  <si>
    <t>7.33% Government Securities-30/10/2026*</t>
  </si>
  <si>
    <t>7.38% Central Government Securities 20/06/2027*</t>
  </si>
  <si>
    <t>7.32% Government Securities-13/11/2030*</t>
  </si>
  <si>
    <t>7.18%  Government Securities - 14/08/2033*</t>
  </si>
  <si>
    <t>7.37% Government Securities-23/10/2028*</t>
  </si>
  <si>
    <t>7.10% Central Government Securities 08/04/2034*</t>
  </si>
  <si>
    <t>Sundaram Dividend Yield Fund</t>
  </si>
  <si>
    <t>i) Exposure to securities classified as below investment grade or default as on 31-Aug-2024</t>
  </si>
  <si>
    <t>% to AUM as on 31-Aug-2024</t>
  </si>
  <si>
    <t>31-Aug-2024</t>
  </si>
  <si>
    <t>Hindustan Dorr Oliver Ltd@</t>
  </si>
  <si>
    <t>Chennai Super Kings Ltd@</t>
  </si>
  <si>
    <t>Crystal Cable Industries Ltd @</t>
  </si>
  <si>
    <t>Minerava Holdings Ltd @</t>
  </si>
  <si>
    <t>Sandur Laminates Ltd @</t>
  </si>
  <si>
    <t>Tirrihannah Company Ltd @</t>
  </si>
  <si>
    <t>Chennai Super Kings Ltd @</t>
  </si>
  <si>
    <t>Crescent Finstock Ltd @</t>
  </si>
  <si>
    <t>Balmer Lawrie Freight Containers Ltd @</t>
  </si>
  <si>
    <t>Noble Brothers Impex Ltd @</t>
  </si>
  <si>
    <t>Mukerian Papers Ltd @</t>
  </si>
  <si>
    <t>Sangam Health Care Products Ltd @</t>
  </si>
  <si>
    <t>Precision Fasteners Ltd @</t>
  </si>
  <si>
    <t>Virtual Dynamics Software Ltd @</t>
  </si>
  <si>
    <t>Tier I Benchmark Riskometer - Nifty_500_ TRI</t>
  </si>
  <si>
    <t>Cash and Other Net Current Assets ^</t>
  </si>
  <si>
    <t>DERIVATIVES DISCLOSURE</t>
  </si>
  <si>
    <t>Disclosure regarding Derivative positions pursuant to SEBI Circular no CIR/IMD/DF/11/2010 dated August18,2010</t>
  </si>
  <si>
    <t>DETAILS OF INVESTMENTS IN DERIVATIVE INSTRUMENTS</t>
  </si>
  <si>
    <t>A. Hedging Positions through Futures as on August 31,2024 :</t>
  </si>
  <si>
    <t>Scheme Name</t>
  </si>
  <si>
    <t>Underlying</t>
  </si>
  <si>
    <t>Long/Short</t>
  </si>
  <si>
    <t>Futures Price When Purchased</t>
  </si>
  <si>
    <t>Current Price of the contract</t>
  </si>
  <si>
    <t>Margin maintained in       (Rs in Lakhs)*</t>
  </si>
  <si>
    <t>Aditya Birla Capital Ltd SEP-2024</t>
  </si>
  <si>
    <t>Short</t>
  </si>
  <si>
    <t>Associated Cement Co. Ltd SEP-2024</t>
  </si>
  <si>
    <t>Aurobindo Pharma Ltd-Equ SEP-2024</t>
  </si>
  <si>
    <t>Axis Bank Ltd  SEP-2024</t>
  </si>
  <si>
    <t>Bajaj Finance Ltd SEP-2024</t>
  </si>
  <si>
    <t>Bank of Baroda SEP-2024</t>
  </si>
  <si>
    <t>Bharti Airtel Ltd SEP-2024</t>
  </si>
  <si>
    <t>Canara Bank SEP-2024</t>
  </si>
  <si>
    <t>DLF Ltd SEP-2024</t>
  </si>
  <si>
    <t>Gujarat Ambuja Cement Co.Ltd SEP-2024</t>
  </si>
  <si>
    <t>HCL Technologies Ltd SEP-2024</t>
  </si>
  <si>
    <t>HDFC Bank Ltd SEP-2024</t>
  </si>
  <si>
    <t>Hindustan Unilever Ltd SEP-2024</t>
  </si>
  <si>
    <t>ICICI Bank Ltd SEP-2024</t>
  </si>
  <si>
    <t>Indian Oil Corporation Ltd SEP-2024</t>
  </si>
  <si>
    <t>Indus Towers Ltd (Prev name Bharti Infratel Ltd) SEP-2024</t>
  </si>
  <si>
    <t>ITC Ltd SEP-2024</t>
  </si>
  <si>
    <t>Kotak Mahindra Bank Ltd SEP-2024</t>
  </si>
  <si>
    <t>Larsen &amp; Toubro Ltd SEP-2024</t>
  </si>
  <si>
    <t>Manappuram Finance Limited SEP-2024</t>
  </si>
  <si>
    <t>NTPC Ltd SEP-2024</t>
  </si>
  <si>
    <t>Reliance Industries Ltd SEP-2024</t>
  </si>
  <si>
    <t>State Bank Of India Ltd SEP-2024</t>
  </si>
  <si>
    <t>Sun Pharmaceuticals Ltd SEP-2024</t>
  </si>
  <si>
    <t>TATA Consultancy Services Ltd SEP-2024</t>
  </si>
  <si>
    <t>TATA Power Co Ltd SEP-2024</t>
  </si>
  <si>
    <t>Vedanta Ltd Pre Sesa Sterlite Ltd (Prvsly Sesa Goa Ltd) SEP-2024</t>
  </si>
  <si>
    <t>Vodafone Idea Ltd (Prev:Idea Cellular Ltd) SEP-2024</t>
  </si>
  <si>
    <t>Bajaj Finserv Ltd SEP-2024</t>
  </si>
  <si>
    <t>Bharat Forge Ltd SEP-2024</t>
  </si>
  <si>
    <t>Cipla Ltd SEP-2024</t>
  </si>
  <si>
    <t>IndusInd Bank Ltd SEP-2024</t>
  </si>
  <si>
    <t>Maruti Suzuki India Ltd SEP-2024</t>
  </si>
  <si>
    <t>Tata Steel Ltd SEP-2024</t>
  </si>
  <si>
    <t>Tech Mahindra Ltd SEP-2024</t>
  </si>
  <si>
    <t>Zydus Lifesciences Ltd ( Prev Cadila Healthcare Ltd)  SEP-2024</t>
  </si>
  <si>
    <t>Adani Enterprises Ltd SEP-2024</t>
  </si>
  <si>
    <t>HDFC Life Insurance Company Ltd SEP-2024</t>
  </si>
  <si>
    <t>Hindalco Industries Ltd SEP-2024</t>
  </si>
  <si>
    <t>Hindustan Petroleum Corpn Ltd SEP-2024</t>
  </si>
  <si>
    <t>Infosys Ltd SEP-2024</t>
  </si>
  <si>
    <t>Interglobe Aviation Ltd SEP-2024</t>
  </si>
  <si>
    <t>JSW Steel Ltd SEP-2024</t>
  </si>
  <si>
    <t>Mahindra &amp; Mahindra Ltd SEP-2024</t>
  </si>
  <si>
    <t>United Spirits Ltd SEP-2024</t>
  </si>
  <si>
    <t>Sundaram Financial Opp Fund</t>
  </si>
  <si>
    <t>Bharat Electronics Ltd SEP-2024</t>
  </si>
  <si>
    <t>Hindustan Aeronautics Ltd SEP-2024</t>
  </si>
  <si>
    <t>Shriram Finance Ltd ( Prv Shriram Tpt Finance Co Ltd) SEP-2024</t>
  </si>
  <si>
    <t>TVS Motor Company Ltd   SEP-2024</t>
  </si>
  <si>
    <t xml:space="preserve">Total percentage of existing assets hedged through futures as a percentage of net assets </t>
  </si>
  <si>
    <t>%</t>
  </si>
  <si>
    <t>For the period ended August 31,2024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</si>
  <si>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</si>
  <si>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</si>
  <si>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</si>
  <si>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</si>
  <si>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</si>
  <si>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Sundaram Small cap Fund</t>
  </si>
  <si>
    <t>Sundaram Large and Midcap Fund</t>
  </si>
  <si>
    <t>B. Other than hedging positions through futures as on August 31,2024 :</t>
  </si>
  <si>
    <t>Margin maintained in       (Rs. in Lakhs) *</t>
  </si>
  <si>
    <t>J K Cements Ltd SEP-2024</t>
  </si>
  <si>
    <t>Long</t>
  </si>
  <si>
    <t>Marico Ltd (Pre Marico Industries Ltd) SEP-2024</t>
  </si>
  <si>
    <t>Total percentage of existing assets due to non-hedging positions as a percentage of net assets</t>
  </si>
  <si>
    <t>For the period ended August 31,2024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</si>
  <si>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</si>
  <si>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</si>
  <si>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</si>
  <si>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</si>
  <si>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C. Hedging Positions through Put Options as on August 31,2024 :</t>
  </si>
  <si>
    <t>Call/Put</t>
  </si>
  <si>
    <t>Number of Contracts</t>
  </si>
  <si>
    <t>Option Price when purchased</t>
  </si>
  <si>
    <t>Current Option Price</t>
  </si>
  <si>
    <t>Total % of existing assets hedged through Put Options</t>
  </si>
  <si>
    <t xml:space="preserve"> </t>
  </si>
  <si>
    <t>For the period ended  August 31,2024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</si>
  <si>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</si>
  <si>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</si>
  <si>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</si>
  <si>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</si>
  <si>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August 31,2024 :</t>
  </si>
  <si>
    <t xml:space="preserve">Total Exposure through Options other than hedging as a percentage of net assets </t>
  </si>
  <si>
    <t>For the period ended August 31,2024 , the following non hedging transactions through options which have been already exercised/expired</t>
  </si>
  <si>
    <t>Gross Notional value of contracts  bought(Rs. in Lakhs)</t>
  </si>
  <si>
    <t>Gross Notional value of contracts  sold (Rs. in Lakhs)</t>
  </si>
  <si>
    <t>E. Hedging Positions through Swaps as on August 31,2024 - Nil</t>
  </si>
  <si>
    <t>F. Hedging Positions through Interest Rate Futures as on August 31,2024 :</t>
  </si>
  <si>
    <t xml:space="preserve">Futures Price
When Purchased </t>
  </si>
  <si>
    <t>Current Price of
the contract</t>
  </si>
  <si>
    <t>Margin maintained
in (Rs. in Lakhs)</t>
  </si>
  <si>
    <t>Total percentage of existing assets hedged through Interest Rate Futures a Percentage of net assets</t>
  </si>
  <si>
    <t>For the period ended August 31,2024 following were the hedging transactions through Interest Rate Futures which have been squared off/ expired</t>
  </si>
  <si>
    <t>For the period ended August 31,2024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</si>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</sst>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 numFmtId="173" formatCode="[$-1014009]#,##0.000000;\-#,##0.000000"/>
    <numFmt numFmtId="174" formatCode="[$-1014009]#,##0.00;\(#,##0.00\)"/>
    <numFmt numFmtId="175" formatCode="_(* #,##0_);_(* \(#,##0\);_(* &quot;-&quot;??_);_(@_)"/>
    <numFmt numFmtId="176" formatCode="0.00000000000"/>
    <numFmt numFmtId="177" formatCode="[$-1014009]#,##0.0000;\(#,##0.0000\)"/>
    <numFmt numFmtId="178" formatCode="0.000"/>
    <numFmt numFmtId="179" formatCode="#,##0.000"/>
    <numFmt numFmtId="180" formatCode="0.000000000"/>
    <numFmt numFmtId="181" formatCode="#,##0.0000;\(#,##0.0000\)"/>
    <numFmt numFmtId="182" formatCode="_(* #,##0.000_);_(* \(#,##0.000\);_(* &quot;-&quot;??_);_(@_)"/>
  </numFmts>
  <fonts count="32"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1"/>
      <name val="Aptos Narrow"/>
      <family val="2"/>
      <scheme val="minor"/>
    </font>
    <font>
      <b/>
      <sz val="11"/>
      <color indexed="8"/>
      <name val="Calibri"/>
      <family val="2"/>
    </font>
    <font>
      <sz val="10"/>
      <color indexed="8"/>
      <name val="Calibri"/>
      <family val="2"/>
    </font>
    <font>
      <u/>
      <sz val="10"/>
      <color theme="10"/>
      <name val="Arial"/>
      <family val="2"/>
    </font>
    <font>
      <b/>
      <sz val="10"/>
      <name val="Arial"/>
      <family val="2"/>
    </font>
    <font>
      <sz val="10"/>
      <name val="Arial"/>
      <family val="2"/>
    </font>
    <font>
      <b/>
      <sz val="11"/>
      <name val="Aptos Narrow"/>
      <family val="2"/>
      <scheme val="minor"/>
    </font>
    <font>
      <b/>
      <sz val="10"/>
      <color indexed="8"/>
      <name val="Calibri"/>
      <family val="2"/>
    </font>
    <font>
      <sz val="10"/>
      <name val="Calibri"/>
      <family val="2"/>
    </font>
    <font>
      <b/>
      <i/>
      <sz val="10"/>
      <color indexed="8"/>
      <name val="Calibri"/>
      <family val="2"/>
    </font>
    <font>
      <u/>
      <sz val="11"/>
      <color rgb="FF002060"/>
      <name val="Aptos Narrow"/>
      <family val="2"/>
      <scheme val="minor"/>
    </font>
    <font>
      <u/>
      <sz val="10"/>
      <color theme="10"/>
      <name val="Arial"/>
      <charset val="1"/>
    </font>
    <font>
      <sz val="11"/>
      <name val="Aptos Narrow"/>
      <family val="2"/>
      <scheme val="minor"/>
    </font>
    <font>
      <u/>
      <sz val="11"/>
      <color theme="10"/>
      <name val="Aptos Narrow"/>
      <family val="2"/>
      <scheme val="minor"/>
    </font>
    <font>
      <sz val="10"/>
      <color theme="1"/>
      <name val="Calibri"/>
      <family val="2"/>
    </font>
    <font>
      <b/>
      <sz val="10"/>
      <color theme="1"/>
      <name val="Calibri"/>
      <family val="2"/>
    </font>
    <font>
      <b/>
      <sz val="10"/>
      <name val="Calibri"/>
      <family val="2"/>
    </font>
    <font>
      <b/>
      <sz val="10"/>
      <color theme="1"/>
      <name val="Aptos Narrow"/>
      <family val="2"/>
      <scheme val="minor"/>
    </font>
    <font>
      <sz val="10"/>
      <name val="Aptos Narrow"/>
      <family val="2"/>
      <scheme val="minor"/>
    </font>
    <font>
      <sz val="10"/>
      <color theme="1"/>
      <name val="Aptos Narrow"/>
      <family val="2"/>
      <scheme val="minor"/>
    </font>
    <font>
      <b/>
      <sz val="10"/>
      <name val="Aptos Narrow"/>
      <family val="2"/>
      <scheme val="minor"/>
    </font>
    <font>
      <sz val="11"/>
      <color indexed="8"/>
      <name val="Calibri"/>
      <family val="2"/>
    </font>
  </fonts>
  <fills count="6">
    <fill>
      <patternFill patternType="none"/>
    </fill>
    <fill>
      <patternFill patternType="gray125"/>
    </fill>
    <fill>
      <patternFill patternType="solid">
        <fgColor indexed="9"/>
      </patternFill>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s>
  <borders count="1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64"/>
      </top>
      <bottom style="thin">
        <color indexed="64"/>
      </bottom>
      <diagonal/>
    </border>
    <border>
      <left/>
      <right/>
      <top style="thin">
        <color indexed="64"/>
      </top>
      <bottom style="thin">
        <color indexed="64"/>
      </bottom>
      <diagonal/>
    </border>
  </borders>
  <cellStyleXfs count="13">
    <xf numFmtId="0" fontId="0" fillId="0" borderId="0">
      <alignment wrapText="1"/>
    </xf>
    <xf numFmtId="164" fontId="9" fillId="0" borderId="0" applyFont="0" applyFill="0" applyBorder="0" applyAlignment="0" applyProtection="0"/>
    <xf numFmtId="9" fontId="9" fillId="0" borderId="0" applyFont="0" applyFill="0" applyBorder="0" applyAlignment="0" applyProtection="0"/>
    <xf numFmtId="0" fontId="13" fillId="0" borderId="0" applyNumberFormat="0" applyFill="0" applyBorder="0" applyAlignment="0" applyProtection="0">
      <alignment wrapText="1"/>
    </xf>
    <xf numFmtId="0" fontId="15" fillId="0" borderId="0">
      <alignment wrapText="1"/>
    </xf>
    <xf numFmtId="0" fontId="3" fillId="0" borderId="0"/>
    <xf numFmtId="0" fontId="21" fillId="0" borderId="0" applyNumberFormat="0" applyFill="0" applyBorder="0" applyAlignment="0" applyProtection="0">
      <alignment wrapText="1"/>
    </xf>
    <xf numFmtId="0" fontId="15" fillId="0" borderId="0">
      <alignment wrapText="1"/>
    </xf>
    <xf numFmtId="0" fontId="15" fillId="0" borderId="0">
      <alignment wrapText="1"/>
    </xf>
    <xf numFmtId="164" fontId="3" fillId="0" borderId="0" applyFont="0" applyFill="0" applyBorder="0" applyAlignment="0" applyProtection="0"/>
    <xf numFmtId="0" fontId="2" fillId="0" borderId="0"/>
    <xf numFmtId="0" fontId="15" fillId="0" borderId="0"/>
    <xf numFmtId="43" fontId="31" fillId="0" borderId="0" applyFont="0" applyFill="0" applyBorder="0" applyAlignment="0" applyProtection="0"/>
  </cellStyleXfs>
  <cellXfs count="253">
    <xf numFmtId="0" fontId="0" fillId="0" borderId="0" xfId="0">
      <alignment wrapText="1"/>
    </xf>
    <xf numFmtId="0" fontId="13" fillId="4" borderId="0" xfId="3" applyFill="1" applyBorder="1" applyAlignment="1">
      <alignment horizontal="center" vertical="center" wrapText="1"/>
    </xf>
    <xf numFmtId="0" fontId="14" fillId="5" borderId="0" xfId="0" applyFont="1" applyFill="1" applyAlignment="1">
      <alignment horizontal="center" vertical="center" wrapText="1"/>
    </xf>
    <xf numFmtId="0" fontId="16" fillId="5" borderId="0" xfId="4" applyFont="1" applyFill="1" applyAlignment="1">
      <alignment horizontal="center" vertical="center" wrapText="1"/>
    </xf>
    <xf numFmtId="0" fontId="0" fillId="0" borderId="0" xfId="0" applyAlignment="1">
      <alignment horizontal="center" vertical="center" wrapText="1"/>
    </xf>
    <xf numFmtId="0" fontId="3" fillId="0" borderId="0" xfId="5" applyAlignment="1">
      <alignment wrapText="1"/>
    </xf>
    <xf numFmtId="0" fontId="20" fillId="0" borderId="0" xfId="3" applyFont="1" applyFill="1" applyBorder="1" applyAlignment="1">
      <alignment horizontal="center" vertical="center" wrapText="1"/>
    </xf>
    <xf numFmtId="0" fontId="10" fillId="5" borderId="0" xfId="0" applyFont="1" applyFill="1" applyAlignment="1">
      <alignment horizontal="center" vertical="center"/>
    </xf>
    <xf numFmtId="0" fontId="14" fillId="0" borderId="0" xfId="0" applyFont="1" applyAlignment="1">
      <alignment horizontal="center" vertical="center" wrapText="1"/>
    </xf>
    <xf numFmtId="0" fontId="16" fillId="0" borderId="7" xfId="5" applyFont="1" applyBorder="1" applyAlignment="1">
      <alignment horizontal="center" vertical="center"/>
    </xf>
    <xf numFmtId="0" fontId="22" fillId="0" borderId="0" xfId="7" applyFont="1">
      <alignment wrapText="1"/>
    </xf>
    <xf numFmtId="0" fontId="22" fillId="0" borderId="7" xfId="7" applyFont="1" applyBorder="1" applyAlignment="1">
      <alignment horizontal="center" wrapText="1"/>
    </xf>
    <xf numFmtId="0" fontId="23" fillId="0" borderId="7" xfId="3" applyFont="1" applyBorder="1" applyAlignment="1"/>
    <xf numFmtId="0" fontId="22" fillId="0" borderId="7" xfId="7" applyFont="1" applyBorder="1" applyAlignment="1"/>
    <xf numFmtId="0" fontId="21" fillId="0" borderId="7" xfId="6" applyBorder="1" applyAlignment="1"/>
    <xf numFmtId="0" fontId="15" fillId="0" borderId="0" xfId="7">
      <alignment wrapText="1"/>
    </xf>
    <xf numFmtId="0" fontId="20" fillId="4" borderId="0" xfId="3" applyFont="1" applyFill="1" applyBorder="1" applyAlignment="1">
      <alignment horizontal="center" vertical="center" wrapText="1"/>
    </xf>
    <xf numFmtId="0" fontId="15" fillId="0" borderId="0" xfId="7" applyAlignment="1">
      <alignment horizontal="center" vertical="center" wrapText="1"/>
    </xf>
    <xf numFmtId="0" fontId="18" fillId="0" borderId="0" xfId="0" applyFont="1">
      <alignment wrapText="1"/>
    </xf>
    <xf numFmtId="0" fontId="18" fillId="0" borderId="0" xfId="0" applyFont="1" applyAlignment="1">
      <alignment vertical="center" wrapText="1"/>
    </xf>
    <xf numFmtId="10" fontId="24" fillId="0" borderId="7" xfId="2" applyNumberFormat="1" applyFont="1" applyFill="1" applyBorder="1" applyAlignment="1">
      <alignment vertical="center"/>
    </xf>
    <xf numFmtId="0" fontId="0" fillId="0" borderId="0" xfId="0" applyAlignment="1">
      <alignment vertical="center" wrapText="1"/>
    </xf>
    <xf numFmtId="175" fontId="24" fillId="0" borderId="0" xfId="1" applyNumberFormat="1" applyFont="1" applyFill="1"/>
    <xf numFmtId="164" fontId="24" fillId="0" borderId="0" xfId="1" applyFont="1" applyFill="1"/>
    <xf numFmtId="0" fontId="0" fillId="3" borderId="0" xfId="0" applyFill="1">
      <alignment wrapText="1"/>
    </xf>
    <xf numFmtId="4" fontId="18" fillId="0" borderId="7" xfId="9" applyNumberFormat="1" applyFont="1" applyFill="1" applyBorder="1" applyAlignment="1">
      <alignment horizontal="center" vertical="center"/>
    </xf>
    <xf numFmtId="10" fontId="18" fillId="0" borderId="7" xfId="9" applyNumberFormat="1" applyFont="1" applyFill="1" applyBorder="1" applyAlignment="1">
      <alignment horizontal="center" vertical="center"/>
    </xf>
    <xf numFmtId="4" fontId="28" fillId="0" borderId="7" xfId="9" applyNumberFormat="1" applyFont="1" applyFill="1" applyBorder="1" applyAlignment="1">
      <alignment horizontal="center" vertical="center"/>
    </xf>
    <xf numFmtId="10" fontId="28" fillId="0" borderId="7" xfId="9" applyNumberFormat="1" applyFont="1" applyFill="1" applyBorder="1" applyAlignment="1">
      <alignment horizontal="center" vertical="center"/>
    </xf>
    <xf numFmtId="175" fontId="29" fillId="0" borderId="0" xfId="1" applyNumberFormat="1" applyFont="1" applyFill="1"/>
    <xf numFmtId="164" fontId="29" fillId="0" borderId="0" xfId="1" applyFont="1" applyFill="1"/>
    <xf numFmtId="164" fontId="28" fillId="0" borderId="11" xfId="9" applyFont="1" applyFill="1" applyBorder="1" applyAlignment="1">
      <alignment horizontal="right" vertical="center"/>
    </xf>
    <xf numFmtId="164" fontId="28" fillId="0" borderId="11" xfId="9" applyFont="1" applyFill="1" applyBorder="1" applyAlignment="1">
      <alignment horizontal="center" vertical="center"/>
    </xf>
    <xf numFmtId="0" fontId="0" fillId="5" borderId="0" xfId="0" applyFill="1">
      <alignment wrapText="1"/>
    </xf>
    <xf numFmtId="0" fontId="0" fillId="5" borderId="0" xfId="0" applyFill="1" applyAlignment="1">
      <alignment horizontal="center" vertical="center" wrapText="1"/>
    </xf>
    <xf numFmtId="0" fontId="14" fillId="5" borderId="0" xfId="0" applyFont="1" applyFill="1" applyAlignment="1">
      <alignment horizontal="center" wrapText="1"/>
    </xf>
    <xf numFmtId="0" fontId="28" fillId="0" borderId="0" xfId="10" applyFont="1"/>
    <xf numFmtId="0" fontId="30" fillId="0" borderId="0" xfId="10" applyFont="1"/>
    <xf numFmtId="0" fontId="30" fillId="0" borderId="11" xfId="10" applyFont="1" applyBorder="1" applyAlignment="1">
      <alignment horizontal="center" vertical="top"/>
    </xf>
    <xf numFmtId="0" fontId="30" fillId="0" borderId="11" xfId="10" applyFont="1" applyBorder="1" applyAlignment="1">
      <alignment horizontal="center" vertical="top" wrapText="1"/>
    </xf>
    <xf numFmtId="0" fontId="28" fillId="0" borderId="11" xfId="10" applyFont="1" applyBorder="1" applyAlignment="1">
      <alignment horizontal="left" vertical="top"/>
    </xf>
    <xf numFmtId="0" fontId="28" fillId="0" borderId="11" xfId="10" applyFont="1" applyBorder="1" applyAlignment="1">
      <alignment horizontal="center" vertical="top"/>
    </xf>
    <xf numFmtId="174" fontId="12" fillId="2" borderId="12" xfId="11" applyNumberFormat="1" applyFont="1" applyFill="1" applyBorder="1" applyAlignment="1">
      <alignment horizontal="right" vertical="center" wrapText="1" readingOrder="1"/>
    </xf>
    <xf numFmtId="2" fontId="12" fillId="2" borderId="12" xfId="11" applyNumberFormat="1" applyFont="1" applyFill="1" applyBorder="1" applyAlignment="1">
      <alignment horizontal="right" vertical="center" wrapText="1" readingOrder="1"/>
    </xf>
    <xf numFmtId="2" fontId="28" fillId="0" borderId="13" xfId="10" applyNumberFormat="1" applyFont="1" applyBorder="1" applyAlignment="1">
      <alignment horizontal="right" vertical="top" wrapText="1"/>
    </xf>
    <xf numFmtId="0" fontId="28" fillId="0" borderId="13" xfId="10" applyFont="1" applyBorder="1" applyAlignment="1">
      <alignment horizontal="left" vertical="top"/>
    </xf>
    <xf numFmtId="0" fontId="28" fillId="0" borderId="13" xfId="10" applyFont="1" applyBorder="1" applyAlignment="1">
      <alignment horizontal="center" vertical="top"/>
    </xf>
    <xf numFmtId="0" fontId="12" fillId="2" borderId="13" xfId="10" applyFont="1" applyFill="1" applyBorder="1" applyAlignment="1">
      <alignment horizontal="left" vertical="center" readingOrder="1"/>
    </xf>
    <xf numFmtId="0" fontId="12" fillId="2" borderId="14" xfId="10" applyFont="1" applyFill="1" applyBorder="1" applyAlignment="1">
      <alignment horizontal="left" vertical="center" readingOrder="1"/>
    </xf>
    <xf numFmtId="177" fontId="12" fillId="2" borderId="12" xfId="11" applyNumberFormat="1" applyFont="1" applyFill="1" applyBorder="1" applyAlignment="1">
      <alignment horizontal="right" vertical="center" wrapText="1" readingOrder="1"/>
    </xf>
    <xf numFmtId="178" fontId="28" fillId="0" borderId="13" xfId="10" applyNumberFormat="1" applyFont="1" applyBorder="1" applyAlignment="1">
      <alignment horizontal="right" vertical="top" wrapText="1"/>
    </xf>
    <xf numFmtId="0" fontId="12" fillId="2" borderId="12" xfId="10" applyFont="1" applyFill="1" applyBorder="1" applyAlignment="1">
      <alignment horizontal="left" vertical="center" readingOrder="1"/>
    </xf>
    <xf numFmtId="174" fontId="12" fillId="2" borderId="12" xfId="10" applyNumberFormat="1" applyFont="1" applyFill="1" applyBorder="1" applyAlignment="1">
      <alignment horizontal="right" vertical="center" readingOrder="1"/>
    </xf>
    <xf numFmtId="177" fontId="12" fillId="2" borderId="12" xfId="10" applyNumberFormat="1" applyFont="1" applyFill="1" applyBorder="1" applyAlignment="1">
      <alignment horizontal="right" vertical="center" readingOrder="1"/>
    </xf>
    <xf numFmtId="4" fontId="12" fillId="2" borderId="12" xfId="10" applyNumberFormat="1" applyFont="1" applyFill="1" applyBorder="1" applyAlignment="1">
      <alignment horizontal="right" vertical="center" readingOrder="1"/>
    </xf>
    <xf numFmtId="0" fontId="12" fillId="2" borderId="12" xfId="10" applyFont="1" applyFill="1" applyBorder="1" applyAlignment="1">
      <alignment horizontal="left" vertical="center" wrapText="1" readingOrder="1"/>
    </xf>
    <xf numFmtId="174" fontId="12" fillId="2" borderId="12" xfId="10" applyNumberFormat="1" applyFont="1" applyFill="1" applyBorder="1" applyAlignment="1">
      <alignment horizontal="right" vertical="center" wrapText="1" readingOrder="1"/>
    </xf>
    <xf numFmtId="2" fontId="12" fillId="2" borderId="12" xfId="10" applyNumberFormat="1" applyFont="1" applyFill="1" applyBorder="1" applyAlignment="1">
      <alignment horizontal="right" vertical="center" wrapText="1" readingOrder="1"/>
    </xf>
    <xf numFmtId="174" fontId="12" fillId="0" borderId="12" xfId="10" applyNumberFormat="1" applyFont="1" applyBorder="1" applyAlignment="1">
      <alignment horizontal="right" vertical="center" wrapText="1" readingOrder="1"/>
    </xf>
    <xf numFmtId="2" fontId="28" fillId="0" borderId="0" xfId="10" applyNumberFormat="1" applyFont="1" applyAlignment="1">
      <alignment horizontal="left" vertical="top"/>
    </xf>
    <xf numFmtId="174" fontId="12" fillId="0" borderId="15" xfId="10" applyNumberFormat="1" applyFont="1" applyBorder="1" applyAlignment="1">
      <alignment horizontal="right" vertical="center" wrapText="1" readingOrder="1"/>
    </xf>
    <xf numFmtId="4" fontId="12" fillId="2" borderId="12" xfId="10" applyNumberFormat="1" applyFont="1" applyFill="1" applyBorder="1" applyAlignment="1">
      <alignment horizontal="right" vertical="center" wrapText="1" readingOrder="1"/>
    </xf>
    <xf numFmtId="2" fontId="28" fillId="0" borderId="16" xfId="10" applyNumberFormat="1" applyFont="1" applyBorder="1" applyAlignment="1">
      <alignment horizontal="right" vertical="top" wrapText="1"/>
    </xf>
    <xf numFmtId="2" fontId="28" fillId="0" borderId="17" xfId="10" applyNumberFormat="1" applyFont="1" applyBorder="1" applyAlignment="1">
      <alignment horizontal="right" vertical="top" wrapText="1"/>
    </xf>
    <xf numFmtId="174" fontId="28" fillId="0" borderId="0" xfId="10" applyNumberFormat="1" applyFont="1"/>
    <xf numFmtId="0" fontId="30" fillId="0" borderId="13" xfId="10" applyFont="1" applyBorder="1" applyAlignment="1">
      <alignment horizontal="center"/>
    </xf>
    <xf numFmtId="2" fontId="28" fillId="0" borderId="13" xfId="10" applyNumberFormat="1" applyFont="1" applyBorder="1" applyAlignment="1">
      <alignment horizontal="center"/>
    </xf>
    <xf numFmtId="0" fontId="28" fillId="0" borderId="13" xfId="10" applyFont="1" applyBorder="1"/>
    <xf numFmtId="0" fontId="30" fillId="0" borderId="13" xfId="10" applyFont="1" applyBorder="1" applyAlignment="1">
      <alignment horizontal="center" vertical="top"/>
    </xf>
    <xf numFmtId="0" fontId="30" fillId="0" borderId="13" xfId="10" applyFont="1" applyBorder="1" applyAlignment="1">
      <alignment horizontal="center" vertical="top" wrapText="1"/>
    </xf>
    <xf numFmtId="37" fontId="28" fillId="0" borderId="13" xfId="12" applyNumberFormat="1" applyFont="1" applyFill="1" applyBorder="1" applyAlignment="1">
      <alignment horizontal="center"/>
    </xf>
    <xf numFmtId="4" fontId="28" fillId="0" borderId="13" xfId="10" applyNumberFormat="1" applyFont="1" applyBorder="1"/>
    <xf numFmtId="43" fontId="28" fillId="0" borderId="13" xfId="12" applyFont="1" applyFill="1" applyBorder="1"/>
    <xf numFmtId="43" fontId="28" fillId="0" borderId="0" xfId="12" applyFont="1" applyFill="1" applyBorder="1"/>
    <xf numFmtId="43" fontId="28" fillId="0" borderId="0" xfId="10" applyNumberFormat="1" applyFont="1"/>
    <xf numFmtId="4" fontId="28" fillId="0" borderId="0" xfId="10" applyNumberFormat="1" applyFont="1"/>
    <xf numFmtId="0" fontId="28" fillId="0" borderId="13" xfId="12" applyNumberFormat="1" applyFont="1" applyFill="1" applyBorder="1" applyAlignment="1">
      <alignment horizontal="center"/>
    </xf>
    <xf numFmtId="4" fontId="28" fillId="0" borderId="13" xfId="12" applyNumberFormat="1" applyFont="1" applyFill="1" applyBorder="1"/>
    <xf numFmtId="179" fontId="28" fillId="0" borderId="13" xfId="12" applyNumberFormat="1" applyFont="1" applyFill="1" applyBorder="1"/>
    <xf numFmtId="1" fontId="28" fillId="0" borderId="13" xfId="10" applyNumberFormat="1" applyFont="1" applyBorder="1" applyAlignment="1">
      <alignment horizontal="center"/>
    </xf>
    <xf numFmtId="2" fontId="28" fillId="0" borderId="13" xfId="10" applyNumberFormat="1" applyFont="1" applyBorder="1" applyAlignment="1">
      <alignment horizontal="right"/>
    </xf>
    <xf numFmtId="180" fontId="28" fillId="0" borderId="0" xfId="10" applyNumberFormat="1" applyFont="1"/>
    <xf numFmtId="0" fontId="28" fillId="0" borderId="0" xfId="10" applyFont="1" applyAlignment="1" applyProtection="1">
      <alignment horizontal="left"/>
      <protection locked="0"/>
    </xf>
    <xf numFmtId="0" fontId="28" fillId="0" borderId="0" xfId="10" applyFont="1" applyAlignment="1">
      <alignment horizontal="center" vertical="top"/>
    </xf>
    <xf numFmtId="43" fontId="28" fillId="0" borderId="0" xfId="12" applyFont="1" applyFill="1" applyBorder="1" applyAlignment="1" applyProtection="1">
      <alignment horizontal="left"/>
      <protection locked="0"/>
    </xf>
    <xf numFmtId="4" fontId="28" fillId="0" borderId="0" xfId="10" applyNumberFormat="1" applyFont="1" applyAlignment="1">
      <alignment horizontal="right" vertical="center"/>
    </xf>
    <xf numFmtId="174" fontId="12" fillId="2" borderId="12" xfId="10" applyNumberFormat="1" applyFont="1" applyFill="1" applyBorder="1" applyAlignment="1">
      <alignment horizontal="center" vertical="center" readingOrder="1"/>
    </xf>
    <xf numFmtId="174" fontId="12" fillId="2" borderId="12" xfId="10" applyNumberFormat="1" applyFont="1" applyFill="1" applyBorder="1" applyAlignment="1">
      <alignment horizontal="center" vertical="center" wrapText="1" readingOrder="1"/>
    </xf>
    <xf numFmtId="0" fontId="28" fillId="0" borderId="0" xfId="10" applyFont="1" applyAlignment="1">
      <alignment horizontal="left" vertical="top"/>
    </xf>
    <xf numFmtId="10" fontId="28" fillId="0" borderId="0" xfId="10" applyNumberFormat="1" applyFont="1" applyAlignment="1">
      <alignment horizontal="center"/>
    </xf>
    <xf numFmtId="43" fontId="28" fillId="0" borderId="13" xfId="12" applyFont="1" applyFill="1" applyBorder="1" applyAlignment="1">
      <alignment horizontal="center" vertical="top" wrapText="1"/>
    </xf>
    <xf numFmtId="0" fontId="28" fillId="0" borderId="13" xfId="10" applyFont="1" applyBorder="1" applyAlignment="1">
      <alignment horizontal="center"/>
    </xf>
    <xf numFmtId="164" fontId="28" fillId="0" borderId="0" xfId="10" applyNumberFormat="1" applyFont="1"/>
    <xf numFmtId="43" fontId="30" fillId="0" borderId="0" xfId="12" applyFont="1" applyFill="1" applyBorder="1"/>
    <xf numFmtId="0" fontId="30" fillId="0" borderId="0" xfId="10" applyFont="1" applyAlignment="1">
      <alignment vertical="top" wrapText="1"/>
    </xf>
    <xf numFmtId="0" fontId="28" fillId="0" borderId="0" xfId="10" applyFont="1" applyAlignment="1">
      <alignment horizontal="center"/>
    </xf>
    <xf numFmtId="2" fontId="28" fillId="0" borderId="0" xfId="10" applyNumberFormat="1" applyFont="1" applyAlignment="1">
      <alignment horizontal="right"/>
    </xf>
    <xf numFmtId="0" fontId="28" fillId="0" borderId="0" xfId="10" applyFont="1" applyAlignment="1">
      <alignment horizontal="right" vertical="top" wrapText="1"/>
    </xf>
    <xf numFmtId="0" fontId="28" fillId="0" borderId="13" xfId="10" applyFont="1" applyBorder="1" applyAlignment="1">
      <alignment horizontal="center" vertical="top" wrapText="1"/>
    </xf>
    <xf numFmtId="181" fontId="28" fillId="0" borderId="0" xfId="10" applyNumberFormat="1" applyFont="1" applyAlignment="1">
      <alignment horizontal="right" vertical="top" wrapText="1"/>
    </xf>
    <xf numFmtId="2" fontId="28" fillId="0" borderId="0" xfId="10" applyNumberFormat="1" applyFont="1" applyAlignment="1">
      <alignment horizontal="center"/>
    </xf>
    <xf numFmtId="0" fontId="28" fillId="0" borderId="13" xfId="10" applyFont="1" applyBorder="1" applyAlignment="1">
      <alignment horizontal="left"/>
    </xf>
    <xf numFmtId="2" fontId="28" fillId="0" borderId="13" xfId="10" applyNumberFormat="1" applyFont="1" applyBorder="1" applyAlignment="1">
      <alignment horizontal="center" vertical="top" wrapText="1"/>
    </xf>
    <xf numFmtId="0" fontId="28" fillId="0" borderId="0" xfId="10" applyFont="1" applyAlignment="1">
      <alignment horizontal="left"/>
    </xf>
    <xf numFmtId="0" fontId="28" fillId="0" borderId="0" xfId="10" applyFont="1" applyAlignment="1">
      <alignment horizontal="right" vertical="top"/>
    </xf>
    <xf numFmtId="2" fontId="28" fillId="0" borderId="0" xfId="10" applyNumberFormat="1" applyFont="1" applyAlignment="1">
      <alignment horizontal="right" vertical="top"/>
    </xf>
    <xf numFmtId="182" fontId="28" fillId="0" borderId="0" xfId="12" applyNumberFormat="1" applyFont="1" applyFill="1" applyBorder="1" applyAlignment="1">
      <alignment horizontal="center" vertical="top" wrapText="1"/>
    </xf>
    <xf numFmtId="0" fontId="28" fillId="0" borderId="0" xfId="10" applyFont="1" applyAlignment="1">
      <alignment horizontal="left" vertical="top" wrapText="1"/>
    </xf>
    <xf numFmtId="175" fontId="28" fillId="0" borderId="0" xfId="12" applyNumberFormat="1" applyFont="1" applyFill="1" applyBorder="1" applyAlignment="1">
      <alignment horizontal="right" vertical="top" wrapText="1"/>
    </xf>
    <xf numFmtId="2" fontId="28" fillId="0" borderId="0" xfId="10" applyNumberFormat="1" applyFont="1"/>
    <xf numFmtId="4" fontId="28" fillId="0" borderId="0" xfId="12" applyNumberFormat="1" applyFont="1" applyFill="1" applyBorder="1"/>
    <xf numFmtId="0" fontId="28" fillId="0" borderId="13" xfId="10" applyFont="1" applyBorder="1" applyAlignment="1">
      <alignment vertical="top" wrapText="1"/>
    </xf>
    <xf numFmtId="2" fontId="28" fillId="0" borderId="13" xfId="10" applyNumberFormat="1" applyFont="1" applyBorder="1" applyAlignment="1">
      <alignment vertical="top" wrapText="1"/>
    </xf>
    <xf numFmtId="43" fontId="28" fillId="0" borderId="13" xfId="12" applyFont="1" applyFill="1" applyBorder="1" applyAlignment="1"/>
    <xf numFmtId="4" fontId="28" fillId="0" borderId="13" xfId="10" applyNumberFormat="1" applyFont="1" applyBorder="1" applyAlignment="1">
      <alignment horizontal="center"/>
    </xf>
    <xf numFmtId="4" fontId="28" fillId="0" borderId="13" xfId="12" applyNumberFormat="1" applyFont="1" applyFill="1" applyBorder="1" applyAlignment="1">
      <alignment horizontal="center"/>
    </xf>
    <xf numFmtId="4" fontId="30" fillId="0" borderId="13" xfId="10" applyNumberFormat="1" applyFont="1" applyBorder="1" applyAlignment="1">
      <alignment horizontal="center" vertical="top" wrapText="1"/>
    </xf>
    <xf numFmtId="4" fontId="28" fillId="0" borderId="13" xfId="10" applyNumberFormat="1" applyFont="1" applyBorder="1" applyAlignment="1">
      <alignment horizontal="center" vertical="top" wrapText="1"/>
    </xf>
    <xf numFmtId="0" fontId="4" fillId="0" borderId="7" xfId="0" applyFont="1" applyBorder="1" applyAlignment="1">
      <alignment horizontal="center" vertical="center" wrapText="1" readingOrder="1"/>
    </xf>
    <xf numFmtId="0" fontId="11" fillId="0" borderId="7" xfId="0" applyFont="1" applyBorder="1" applyAlignment="1">
      <alignment horizontal="center" vertical="center" wrapText="1" readingOrder="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7" fontId="12" fillId="0" borderId="7"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19" fillId="0" borderId="0" xfId="0" applyFont="1" applyAlignment="1">
      <alignment horizontal="left" vertical="center" wrapText="1" readingOrder="1"/>
    </xf>
    <xf numFmtId="0" fontId="12" fillId="0" borderId="0" xfId="0" applyFont="1" applyAlignment="1">
      <alignment horizontal="left" vertical="center" wrapText="1" readingOrder="1"/>
    </xf>
    <xf numFmtId="0" fontId="19" fillId="0" borderId="0" xfId="5" applyFont="1" applyAlignment="1">
      <alignment horizontal="left" vertical="center" wrapText="1" readingOrder="1"/>
    </xf>
    <xf numFmtId="0" fontId="7" fillId="0" borderId="0" xfId="0" applyFont="1" applyAlignment="1">
      <alignment horizontal="left" vertical="center" wrapText="1" readingOrder="1"/>
    </xf>
    <xf numFmtId="0" fontId="7" fillId="0" borderId="0" xfId="0" applyFont="1" applyAlignment="1">
      <alignment horizontal="right" vertical="center" wrapText="1" readingOrder="1"/>
    </xf>
    <xf numFmtId="0" fontId="7" fillId="0" borderId="6" xfId="0" applyFont="1" applyBorder="1" applyAlignment="1">
      <alignment horizontal="right" vertical="center" wrapText="1" readingOrder="1"/>
    </xf>
    <xf numFmtId="0" fontId="17" fillId="0" borderId="4" xfId="0" applyFont="1" applyBorder="1" applyAlignment="1">
      <alignment horizontal="left" vertical="center" wrapText="1" readingOrder="1"/>
    </xf>
    <xf numFmtId="0" fontId="12" fillId="0" borderId="0" xfId="0" applyFont="1" applyAlignment="1">
      <alignment horizontal="right" vertical="top" wrapText="1" readingOrder="1"/>
    </xf>
    <xf numFmtId="0" fontId="17" fillId="0" borderId="4" xfId="0" applyFont="1" applyBorder="1" applyAlignment="1">
      <alignment horizontal="right" vertical="top" wrapText="1" readingOrder="1"/>
    </xf>
    <xf numFmtId="0" fontId="5" fillId="0" borderId="0" xfId="0" applyFont="1" applyAlignment="1">
      <alignment horizontal="right" vertical="top" wrapText="1" readingOrder="1"/>
    </xf>
    <xf numFmtId="0" fontId="6" fillId="0" borderId="4" xfId="0" applyFont="1" applyBorder="1" applyAlignment="1">
      <alignment horizontal="left" vertical="top" wrapText="1" readingOrder="1"/>
    </xf>
    <xf numFmtId="15" fontId="6" fillId="0" borderId="4" xfId="0" quotePrefix="1" applyNumberFormat="1" applyFont="1" applyBorder="1" applyAlignment="1">
      <alignment horizontal="right" vertical="top" wrapText="1" readingOrder="1"/>
    </xf>
    <xf numFmtId="15" fontId="6" fillId="0" borderId="4" xfId="0" applyNumberFormat="1" applyFont="1" applyBorder="1" applyAlignment="1">
      <alignment horizontal="right" vertical="top" wrapText="1" readingOrder="1"/>
    </xf>
    <xf numFmtId="170"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12" fillId="0" borderId="6" xfId="0" applyFont="1" applyBorder="1" applyAlignment="1">
      <alignment horizontal="right" vertical="top" wrapText="1" readingOrder="1"/>
    </xf>
    <xf numFmtId="171" fontId="17" fillId="0" borderId="4" xfId="0" applyNumberFormat="1" applyFont="1" applyBorder="1" applyAlignment="1">
      <alignment horizontal="left" vertical="center" wrapText="1" readingOrder="1"/>
    </xf>
    <xf numFmtId="0" fontId="12" fillId="0" borderId="0" xfId="0" applyFont="1" applyAlignment="1">
      <alignment horizontal="right" vertical="center" wrapText="1" readingOrder="1"/>
    </xf>
    <xf numFmtId="0" fontId="17" fillId="0" borderId="4" xfId="7" applyFont="1" applyBorder="1" applyAlignment="1">
      <alignment horizontal="left" vertical="center" wrapText="1" readingOrder="1"/>
    </xf>
    <xf numFmtId="172" fontId="5" fillId="0" borderId="4" xfId="0" applyNumberFormat="1" applyFont="1" applyBorder="1" applyAlignment="1">
      <alignment horizontal="right" vertical="center" wrapText="1" readingOrder="1"/>
    </xf>
    <xf numFmtId="0" fontId="12" fillId="0" borderId="0" xfId="7" applyFont="1" applyAlignment="1">
      <alignment horizontal="right" vertical="top" wrapText="1" readingOrder="1"/>
    </xf>
    <xf numFmtId="0" fontId="12" fillId="0" borderId="0" xfId="7" applyFont="1" applyAlignment="1">
      <alignment horizontal="left" vertical="center" wrapText="1" readingOrder="1"/>
    </xf>
    <xf numFmtId="0" fontId="12" fillId="0" borderId="4" xfId="0" applyFont="1" applyBorder="1" applyAlignment="1">
      <alignment horizontal="left" vertical="center" wrapText="1" readingOrder="1"/>
    </xf>
    <xf numFmtId="0" fontId="19" fillId="0" borderId="6" xfId="0" applyFont="1" applyBorder="1" applyAlignment="1">
      <alignment horizontal="right" vertical="center" wrapText="1" readingOrder="1"/>
    </xf>
    <xf numFmtId="0" fontId="19" fillId="0" borderId="0" xfId="0" applyFont="1" applyAlignment="1">
      <alignment horizontal="right" vertical="center" wrapText="1" readingOrder="1"/>
    </xf>
    <xf numFmtId="0" fontId="0" fillId="0" borderId="0" xfId="0" applyAlignment="1">
      <alignment horizontal="center" vertical="top" readingOrder="1"/>
    </xf>
    <xf numFmtId="0" fontId="5" fillId="0" borderId="6" xfId="0" applyFont="1" applyBorder="1" applyAlignment="1">
      <alignment horizontal="right" vertical="top" wrapText="1" readingOrder="1"/>
    </xf>
    <xf numFmtId="171" fontId="6" fillId="0" borderId="4" xfId="0" applyNumberFormat="1" applyFont="1" applyBorder="1" applyAlignment="1">
      <alignment horizontal="left" vertical="center" wrapText="1" readingOrder="1"/>
    </xf>
    <xf numFmtId="0" fontId="12" fillId="0" borderId="7" xfId="0" applyFont="1" applyBorder="1" applyAlignment="1">
      <alignment horizontal="left" vertical="center" wrapText="1" readingOrder="1"/>
    </xf>
    <xf numFmtId="0" fontId="17" fillId="0" borderId="12" xfId="0" applyFont="1" applyBorder="1" applyAlignment="1">
      <alignment horizontal="left" vertical="center" wrapText="1" readingOrder="1"/>
    </xf>
    <xf numFmtId="0" fontId="12" fillId="0" borderId="4" xfId="0"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173" fontId="5"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6" fillId="0" borderId="5" xfId="0" applyFont="1" applyBorder="1" applyAlignment="1">
      <alignment horizontal="left" vertical="center" wrapText="1" readingOrder="1"/>
    </xf>
    <xf numFmtId="0" fontId="24" fillId="0" borderId="0" xfId="0" applyFont="1" applyAlignment="1">
      <alignment vertical="center"/>
    </xf>
    <xf numFmtId="0" fontId="25" fillId="0" borderId="7" xfId="0" applyFont="1" applyBorder="1" applyAlignment="1">
      <alignment horizontal="center" vertical="center" wrapText="1"/>
    </xf>
    <xf numFmtId="0" fontId="18" fillId="0" borderId="7" xfId="0" applyFont="1" applyBorder="1" applyAlignment="1">
      <alignment vertical="center" wrapText="1"/>
    </xf>
    <xf numFmtId="0" fontId="18" fillId="0" borderId="7" xfId="0" applyFont="1" applyBorder="1" applyAlignment="1">
      <alignment vertical="center"/>
    </xf>
    <xf numFmtId="2" fontId="18" fillId="0" borderId="7" xfId="0" applyNumberFormat="1" applyFont="1" applyBorder="1" applyAlignment="1">
      <alignment vertical="center"/>
    </xf>
    <xf numFmtId="4" fontId="18" fillId="0" borderId="7" xfId="0" applyNumberFormat="1" applyFont="1" applyBorder="1" applyAlignment="1">
      <alignment vertical="center"/>
    </xf>
    <xf numFmtId="0" fontId="25" fillId="0" borderId="7" xfId="5" applyFont="1" applyBorder="1" applyAlignment="1">
      <alignment horizontal="center" vertical="center"/>
    </xf>
    <xf numFmtId="0" fontId="24" fillId="0" borderId="7" xfId="5" applyFont="1" applyBorder="1" applyAlignment="1">
      <alignment vertical="center"/>
    </xf>
    <xf numFmtId="0" fontId="24" fillId="0" borderId="7" xfId="5" applyFont="1" applyBorder="1" applyAlignment="1">
      <alignment vertical="center" wrapText="1"/>
    </xf>
    <xf numFmtId="0" fontId="25" fillId="0" borderId="7" xfId="5" applyFont="1" applyBorder="1" applyAlignment="1">
      <alignment horizontal="center" vertical="center" wrapText="1"/>
    </xf>
    <xf numFmtId="0" fontId="16" fillId="0" borderId="0" xfId="7" applyFont="1" applyAlignment="1">
      <alignment horizontal="center" vertical="center"/>
    </xf>
    <xf numFmtId="0" fontId="24" fillId="0" borderId="7" xfId="5" applyFont="1" applyBorder="1" applyAlignment="1">
      <alignment horizontal="left" vertical="center"/>
    </xf>
    <xf numFmtId="2" fontId="24" fillId="0" borderId="7" xfId="5" applyNumberFormat="1" applyFont="1" applyBorder="1" applyAlignment="1">
      <alignment horizontal="right" vertical="center" wrapText="1"/>
    </xf>
    <xf numFmtId="4" fontId="24" fillId="0" borderId="7" xfId="5" applyNumberFormat="1" applyFont="1" applyBorder="1" applyAlignment="1">
      <alignment horizontal="right" vertical="center"/>
    </xf>
    <xf numFmtId="10" fontId="24" fillId="0" borderId="7" xfId="2" applyNumberFormat="1" applyFont="1" applyFill="1" applyBorder="1" applyAlignment="1">
      <alignment vertical="center" wrapText="1"/>
    </xf>
    <xf numFmtId="4" fontId="22" fillId="0" borderId="0" xfId="5" applyNumberFormat="1" applyFont="1" applyAlignment="1">
      <alignment vertical="center"/>
    </xf>
    <xf numFmtId="0" fontId="18" fillId="0" borderId="7" xfId="0" applyFont="1" applyBorder="1" applyAlignment="1">
      <alignment horizontal="justify" vertical="center"/>
    </xf>
    <xf numFmtId="0" fontId="18" fillId="0" borderId="7" xfId="0" applyFont="1" applyBorder="1" applyAlignment="1">
      <alignment horizontal="justify" vertical="center" wrapText="1"/>
    </xf>
    <xf numFmtId="174" fontId="17" fillId="0" borderId="4" xfId="0" applyNumberFormat="1" applyFont="1" applyBorder="1" applyAlignment="1">
      <alignment horizontal="left" vertical="center" wrapText="1" readingOrder="1"/>
    </xf>
    <xf numFmtId="0" fontId="26" fillId="0" borderId="7" xfId="0" applyFont="1" applyBorder="1" applyAlignment="1">
      <alignment horizontal="justify" vertical="center" wrapText="1"/>
    </xf>
    <xf numFmtId="14" fontId="18" fillId="0" borderId="7" xfId="0" quotePrefix="1" applyNumberFormat="1" applyFont="1" applyBorder="1" applyAlignment="1">
      <alignment horizontal="justify" vertical="center" wrapText="1"/>
    </xf>
    <xf numFmtId="0" fontId="17" fillId="0" borderId="4" xfId="8" applyFont="1" applyBorder="1" applyAlignment="1">
      <alignment horizontal="left" vertical="center" wrapText="1" readingOrder="1"/>
    </xf>
    <xf numFmtId="0" fontId="24" fillId="0" borderId="0" xfId="0" applyFont="1" applyAlignment="1"/>
    <xf numFmtId="0" fontId="18" fillId="0" borderId="7" xfId="0" applyFont="1" applyBorder="1">
      <alignment wrapText="1"/>
    </xf>
    <xf numFmtId="166" fontId="12" fillId="0" borderId="4" xfId="0" applyNumberFormat="1" applyFont="1" applyBorder="1" applyAlignment="1">
      <alignment horizontal="right" vertical="center" wrapText="1" readingOrder="1"/>
    </xf>
    <xf numFmtId="167" fontId="12" fillId="0" borderId="4" xfId="0" applyNumberFormat="1" applyFont="1" applyBorder="1" applyAlignment="1">
      <alignment horizontal="right" vertical="center" wrapText="1" readingOrder="1"/>
    </xf>
    <xf numFmtId="168" fontId="18" fillId="0" borderId="4" xfId="0" applyNumberFormat="1" applyFont="1" applyBorder="1" applyAlignment="1">
      <alignment horizontal="right" vertical="center" wrapText="1" readingOrder="1"/>
    </xf>
    <xf numFmtId="165" fontId="12" fillId="0" borderId="7" xfId="0" applyNumberFormat="1" applyFont="1" applyBorder="1" applyAlignment="1">
      <alignment horizontal="right" vertical="center" wrapText="1" readingOrder="1"/>
    </xf>
    <xf numFmtId="168" fontId="12" fillId="0" borderId="4" xfId="0" applyNumberFormat="1" applyFont="1" applyBorder="1" applyAlignment="1">
      <alignment horizontal="right" vertical="center" wrapText="1" readingOrder="1"/>
    </xf>
    <xf numFmtId="176" fontId="7" fillId="0" borderId="0" xfId="0" applyNumberFormat="1" applyFont="1" applyAlignment="1">
      <alignment horizontal="right" vertical="center" wrapText="1" readingOrder="1"/>
    </xf>
    <xf numFmtId="0" fontId="25" fillId="0" borderId="7" xfId="0" applyFont="1" applyBorder="1" applyAlignment="1">
      <alignment horizontal="left" wrapText="1"/>
    </xf>
    <xf numFmtId="0" fontId="25" fillId="0" borderId="7" xfId="0" applyFont="1" applyBorder="1" applyAlignment="1">
      <alignment horizontal="center" wrapText="1"/>
    </xf>
    <xf numFmtId="0" fontId="18" fillId="0" borderId="7" xfId="0" applyFont="1" applyBorder="1" applyAlignment="1">
      <alignment horizontal="left" vertical="center" wrapText="1"/>
    </xf>
    <xf numFmtId="0" fontId="18" fillId="0" borderId="7" xfId="0" applyFont="1" applyBorder="1" applyAlignment="1">
      <alignment horizontal="center" vertical="center"/>
    </xf>
    <xf numFmtId="4" fontId="18" fillId="0" borderId="7" xfId="0" applyNumberFormat="1" applyFont="1" applyBorder="1" applyAlignment="1">
      <alignment horizontal="center" vertical="center"/>
    </xf>
    <xf numFmtId="0" fontId="18" fillId="0" borderId="0" xfId="0" applyFont="1" applyAlignment="1"/>
    <xf numFmtId="0" fontId="27" fillId="0" borderId="7" xfId="0" applyFont="1" applyBorder="1" applyAlignment="1">
      <alignment horizontal="center" vertical="center" wrapText="1"/>
    </xf>
    <xf numFmtId="0" fontId="28" fillId="0" borderId="7" xfId="0" applyFont="1" applyBorder="1" applyAlignment="1">
      <alignment horizontal="left" vertical="center"/>
    </xf>
    <xf numFmtId="0" fontId="28" fillId="0" borderId="7" xfId="0" applyFont="1" applyBorder="1" applyAlignment="1">
      <alignment horizontal="center" vertical="center"/>
    </xf>
    <xf numFmtId="4" fontId="28" fillId="0" borderId="7" xfId="0" applyNumberFormat="1" applyFont="1" applyBorder="1" applyAlignment="1">
      <alignment horizontal="center" vertical="center"/>
    </xf>
    <xf numFmtId="0" fontId="17" fillId="0" borderId="4" xfId="0" applyFont="1" applyBorder="1" applyAlignment="1">
      <alignment horizontal="left" vertical="center" readingOrder="1"/>
    </xf>
    <xf numFmtId="0" fontId="29" fillId="0" borderId="0" xfId="0" applyFont="1" applyAlignment="1"/>
    <xf numFmtId="0" fontId="27" fillId="0" borderId="11" xfId="0" applyFont="1" applyBorder="1" applyAlignment="1">
      <alignment horizontal="center" wrapText="1"/>
    </xf>
    <xf numFmtId="0" fontId="28" fillId="0" borderId="11" xfId="0" applyFont="1" applyBorder="1" applyAlignment="1">
      <alignment horizontal="left" vertical="center"/>
    </xf>
    <xf numFmtId="0" fontId="28" fillId="0" borderId="11" xfId="0" applyFont="1" applyBorder="1" applyAlignment="1">
      <alignment horizontal="center" vertical="center"/>
    </xf>
    <xf numFmtId="4" fontId="28" fillId="0" borderId="11" xfId="0" applyNumberFormat="1" applyFont="1" applyBorder="1" applyAlignment="1">
      <alignment horizontal="right" vertical="center"/>
    </xf>
    <xf numFmtId="167" fontId="17" fillId="0" borderId="4" xfId="0" applyNumberFormat="1" applyFont="1" applyBorder="1" applyAlignment="1">
      <alignment horizontal="left" vertical="center" wrapText="1" readingOrder="1"/>
    </xf>
    <xf numFmtId="0" fontId="12" fillId="0" borderId="1"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5" fillId="0" borderId="1"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4" fillId="0" borderId="7" xfId="0" applyFont="1" applyBorder="1" applyAlignment="1">
      <alignment horizontal="center" vertical="center" wrapText="1" readingOrder="1"/>
    </xf>
    <xf numFmtId="0" fontId="12" fillId="0" borderId="0" xfId="0" applyFont="1" applyAlignment="1">
      <alignment horizontal="left" vertical="center" wrapText="1" readingOrder="1"/>
    </xf>
    <xf numFmtId="0" fontId="12" fillId="0" borderId="0" xfId="0" applyFont="1" applyAlignment="1">
      <alignment horizontal="justify" vertical="top" wrapText="1" readingOrder="1"/>
    </xf>
    <xf numFmtId="0" fontId="6" fillId="0" borderId="1" xfId="0" applyFont="1" applyBorder="1" applyAlignment="1">
      <alignment horizontal="left" vertical="center" wrapText="1" readingOrder="1"/>
    </xf>
    <xf numFmtId="0" fontId="6" fillId="0" borderId="2"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12" fillId="0" borderId="1" xfId="7" applyFont="1" applyBorder="1" applyAlignment="1">
      <alignment horizontal="left" vertical="center" wrapText="1" readingOrder="1"/>
    </xf>
    <xf numFmtId="0" fontId="12" fillId="0" borderId="3" xfId="7" applyFont="1" applyBorder="1" applyAlignment="1">
      <alignment horizontal="left" vertical="center" wrapText="1" readingOrder="1"/>
    </xf>
    <xf numFmtId="0" fontId="5" fillId="0" borderId="0" xfId="0" applyFont="1" applyAlignment="1">
      <alignment horizontal="left" vertical="center" wrapText="1" readingOrder="1"/>
    </xf>
    <xf numFmtId="0" fontId="25" fillId="0" borderId="8" xfId="5" applyFont="1" applyBorder="1" applyAlignment="1">
      <alignment horizontal="center" vertical="center" wrapText="1"/>
    </xf>
    <xf numFmtId="0" fontId="25" fillId="0" borderId="9" xfId="5" applyFont="1" applyBorder="1" applyAlignment="1">
      <alignment horizontal="center" vertical="center" wrapText="1"/>
    </xf>
    <xf numFmtId="0" fontId="25" fillId="0" borderId="7" xfId="5" applyFont="1" applyBorder="1" applyAlignment="1">
      <alignment horizontal="center" vertical="center"/>
    </xf>
    <xf numFmtId="0" fontId="24" fillId="0" borderId="8" xfId="1" applyNumberFormat="1" applyFont="1" applyFill="1" applyBorder="1" applyAlignment="1">
      <alignment horizontal="center" vertical="center"/>
    </xf>
    <xf numFmtId="0" fontId="24" fillId="0" borderId="9" xfId="1" applyNumberFormat="1" applyFont="1" applyFill="1" applyBorder="1" applyAlignment="1">
      <alignment horizontal="center" vertical="center"/>
    </xf>
    <xf numFmtId="0" fontId="25" fillId="0" borderId="8" xfId="5" applyFont="1" applyBorder="1" applyAlignment="1">
      <alignment horizontal="center" vertical="center"/>
    </xf>
    <xf numFmtId="0" fontId="25" fillId="0" borderId="10" xfId="5" applyFont="1" applyBorder="1" applyAlignment="1">
      <alignment horizontal="center" vertical="center"/>
    </xf>
    <xf numFmtId="0" fontId="25" fillId="0" borderId="9" xfId="5" applyFont="1" applyBorder="1" applyAlignment="1">
      <alignment horizontal="center" vertical="center"/>
    </xf>
    <xf numFmtId="0" fontId="24" fillId="0" borderId="8" xfId="5" applyFont="1" applyBorder="1" applyAlignment="1">
      <alignment horizontal="left" vertical="center" wrapText="1"/>
    </xf>
    <xf numFmtId="0" fontId="24" fillId="0" borderId="10" xfId="5" applyFont="1" applyBorder="1" applyAlignment="1">
      <alignment horizontal="left" vertical="center" wrapText="1"/>
    </xf>
    <xf numFmtId="0" fontId="24" fillId="0" borderId="9" xfId="5" applyFont="1" applyBorder="1" applyAlignment="1">
      <alignment horizontal="left" vertical="center" wrapText="1"/>
    </xf>
    <xf numFmtId="0" fontId="26" fillId="0" borderId="8" xfId="0" applyFont="1" applyBorder="1" applyAlignment="1">
      <alignment horizontal="center" vertical="center"/>
    </xf>
    <xf numFmtId="0" fontId="26" fillId="0" borderId="10" xfId="0" applyFont="1" applyBorder="1" applyAlignment="1">
      <alignment horizontal="center" vertical="center"/>
    </xf>
    <xf numFmtId="0" fontId="26" fillId="0" borderId="9" xfId="0" applyFont="1" applyBorder="1" applyAlignment="1">
      <alignment horizontal="center" vertical="center"/>
    </xf>
    <xf numFmtId="0" fontId="12" fillId="0" borderId="7" xfId="0" applyFont="1" applyBorder="1" applyAlignment="1">
      <alignment horizontal="left" vertical="center" wrapText="1" readingOrder="1"/>
    </xf>
    <xf numFmtId="0" fontId="12" fillId="0" borderId="8" xfId="0" applyFont="1" applyBorder="1" applyAlignment="1">
      <alignment horizontal="left" vertical="center" wrapText="1" readingOrder="1"/>
    </xf>
    <xf numFmtId="0" fontId="12" fillId="0" borderId="9" xfId="0" applyFont="1" applyBorder="1" applyAlignment="1">
      <alignment horizontal="left" vertical="center" wrapText="1" readingOrder="1"/>
    </xf>
    <xf numFmtId="0" fontId="12" fillId="0" borderId="10" xfId="0" applyFont="1" applyBorder="1" applyAlignment="1">
      <alignment horizontal="left" vertical="center" wrapText="1" readingOrder="1"/>
    </xf>
    <xf numFmtId="0" fontId="30" fillId="0" borderId="0" xfId="10" applyFont="1" applyAlignment="1">
      <alignment horizontal="center"/>
    </xf>
  </cellXfs>
  <cellStyles count="13">
    <cellStyle name="Comma" xfId="1" builtinId="3"/>
    <cellStyle name="Comma 2" xfId="9" xr:uid="{8072C70C-434B-4DDB-92DD-A1E8EB7FFE32}"/>
    <cellStyle name="Comma 3" xfId="12" xr:uid="{5108BE4A-6C3B-4116-85BA-B7E730588154}"/>
    <cellStyle name="Hyperlink" xfId="6" builtinId="8"/>
    <cellStyle name="Hyperlink 2" xfId="3" xr:uid="{DDC90465-670C-4E77-BDDA-29BD196D538B}"/>
    <cellStyle name="Normal" xfId="0" builtinId="0"/>
    <cellStyle name="Normal 2" xfId="7" xr:uid="{509A82CF-CCDE-4F59-8E9E-F8C3F1A6C8F9}"/>
    <cellStyle name="Normal 2 2" xfId="8" xr:uid="{EF2D4F17-8AE1-43B7-BC98-C8B4FC4B4727}"/>
    <cellStyle name="Normal 2 2 3 2 2" xfId="5" xr:uid="{FD9A07B9-7575-477F-B8FD-2152D10BBC72}"/>
    <cellStyle name="Normal 2 3" xfId="11" xr:uid="{979851D6-3F91-43AC-B522-E850CFAEDDD3}"/>
    <cellStyle name="Normal 3" xfId="4" xr:uid="{7FE59728-1498-4864-8F48-E1190C87D1D6}"/>
    <cellStyle name="Normal 4" xfId="10" xr:uid="{50A49FDE-2AC5-4D7B-BB7B-3F52197E939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9</xdr:col>
      <xdr:colOff>66675</xdr:colOff>
      <xdr:row>2</xdr:row>
      <xdr:rowOff>123825</xdr:rowOff>
    </xdr:from>
    <xdr:to>
      <xdr:col>9</xdr:col>
      <xdr:colOff>3350617</xdr:colOff>
      <xdr:row>12</xdr:row>
      <xdr:rowOff>120650</xdr:rowOff>
    </xdr:to>
    <xdr:pic>
      <xdr:nvPicPr>
        <xdr:cNvPr id="2" name="Picture 1">
          <a:extLst>
            <a:ext uri="{FF2B5EF4-FFF2-40B4-BE49-F238E27FC236}">
              <a16:creationId xmlns:a16="http://schemas.microsoft.com/office/drawing/2014/main" id="{4FBCB96B-E314-4BBB-9697-F759E1C47779}"/>
            </a:ext>
          </a:extLst>
        </xdr:cNvPr>
        <xdr:cNvPicPr>
          <a:picLocks noChangeAspect="1"/>
        </xdr:cNvPicPr>
      </xdr:nvPicPr>
      <xdr:blipFill>
        <a:blip xmlns:r="http://schemas.openxmlformats.org/officeDocument/2006/relationships" r:embed="rId1"/>
        <a:stretch>
          <a:fillRect/>
        </a:stretch>
      </xdr:blipFill>
      <xdr:spPr>
        <a:xfrm>
          <a:off x="8401050" y="504825"/>
          <a:ext cx="3283942" cy="1892300"/>
        </a:xfrm>
        <a:prstGeom prst="rect">
          <a:avLst/>
        </a:prstGeom>
      </xdr:spPr>
    </xdr:pic>
    <xdr:clientData/>
  </xdr:twoCellAnchor>
  <xdr:twoCellAnchor editAs="oneCell">
    <xdr:from>
      <xdr:col>9</xdr:col>
      <xdr:colOff>47625</xdr:colOff>
      <xdr:row>15</xdr:row>
      <xdr:rowOff>104775</xdr:rowOff>
    </xdr:from>
    <xdr:to>
      <xdr:col>9</xdr:col>
      <xdr:colOff>3371850</xdr:colOff>
      <xdr:row>26</xdr:row>
      <xdr:rowOff>76200</xdr:rowOff>
    </xdr:to>
    <xdr:pic>
      <xdr:nvPicPr>
        <xdr:cNvPr id="3" name="Picture 2">
          <a:extLst>
            <a:ext uri="{FF2B5EF4-FFF2-40B4-BE49-F238E27FC236}">
              <a16:creationId xmlns:a16="http://schemas.microsoft.com/office/drawing/2014/main" id="{56A45F43-2136-4571-8C11-FCCAF9383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82000" y="3067050"/>
          <a:ext cx="33242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104775</xdr:colOff>
      <xdr:row>2</xdr:row>
      <xdr:rowOff>104775</xdr:rowOff>
    </xdr:from>
    <xdr:to>
      <xdr:col>9</xdr:col>
      <xdr:colOff>3346448</xdr:colOff>
      <xdr:row>12</xdr:row>
      <xdr:rowOff>79375</xdr:rowOff>
    </xdr:to>
    <xdr:pic>
      <xdr:nvPicPr>
        <xdr:cNvPr id="2" name="Picture 1">
          <a:extLst>
            <a:ext uri="{FF2B5EF4-FFF2-40B4-BE49-F238E27FC236}">
              <a16:creationId xmlns:a16="http://schemas.microsoft.com/office/drawing/2014/main" id="{9A630AAC-F078-4472-9A26-97E93F6BD3EE}"/>
            </a:ext>
          </a:extLst>
        </xdr:cNvPr>
        <xdr:cNvPicPr>
          <a:picLocks noChangeAspect="1"/>
        </xdr:cNvPicPr>
      </xdr:nvPicPr>
      <xdr:blipFill>
        <a:blip xmlns:r="http://schemas.openxmlformats.org/officeDocument/2006/relationships" r:embed="rId1"/>
        <a:stretch>
          <a:fillRect/>
        </a:stretch>
      </xdr:blipFill>
      <xdr:spPr>
        <a:xfrm>
          <a:off x="8391525" y="485775"/>
          <a:ext cx="3241673" cy="2051050"/>
        </a:xfrm>
        <a:prstGeom prst="rect">
          <a:avLst/>
        </a:prstGeom>
      </xdr:spPr>
    </xdr:pic>
    <xdr:clientData/>
  </xdr:twoCellAnchor>
  <xdr:twoCellAnchor editAs="oneCell">
    <xdr:from>
      <xdr:col>9</xdr:col>
      <xdr:colOff>57150</xdr:colOff>
      <xdr:row>17</xdr:row>
      <xdr:rowOff>9525</xdr:rowOff>
    </xdr:from>
    <xdr:to>
      <xdr:col>9</xdr:col>
      <xdr:colOff>3324225</xdr:colOff>
      <xdr:row>27</xdr:row>
      <xdr:rowOff>9525</xdr:rowOff>
    </xdr:to>
    <xdr:pic>
      <xdr:nvPicPr>
        <xdr:cNvPr id="3" name="Picture 2">
          <a:extLst>
            <a:ext uri="{FF2B5EF4-FFF2-40B4-BE49-F238E27FC236}">
              <a16:creationId xmlns:a16="http://schemas.microsoft.com/office/drawing/2014/main" id="{3E403CC9-C133-440F-B99E-336D7C693F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43900" y="3133725"/>
          <a:ext cx="3267075" cy="1905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28574</xdr:colOff>
      <xdr:row>2</xdr:row>
      <xdr:rowOff>66675</xdr:rowOff>
    </xdr:from>
    <xdr:to>
      <xdr:col>9</xdr:col>
      <xdr:colOff>3333749</xdr:colOff>
      <xdr:row>10</xdr:row>
      <xdr:rowOff>57150</xdr:rowOff>
    </xdr:to>
    <xdr:pic>
      <xdr:nvPicPr>
        <xdr:cNvPr id="2" name="Picture 1">
          <a:extLst>
            <a:ext uri="{FF2B5EF4-FFF2-40B4-BE49-F238E27FC236}">
              <a16:creationId xmlns:a16="http://schemas.microsoft.com/office/drawing/2014/main" id="{76E4CDCE-A49B-40D9-A02E-10A20AB3346B}"/>
            </a:ext>
          </a:extLst>
        </xdr:cNvPr>
        <xdr:cNvPicPr>
          <a:picLocks noChangeAspect="1"/>
        </xdr:cNvPicPr>
      </xdr:nvPicPr>
      <xdr:blipFill>
        <a:blip xmlns:r="http://schemas.openxmlformats.org/officeDocument/2006/relationships" r:embed="rId1"/>
        <a:stretch>
          <a:fillRect/>
        </a:stretch>
      </xdr:blipFill>
      <xdr:spPr>
        <a:xfrm>
          <a:off x="8486774" y="447675"/>
          <a:ext cx="3305175" cy="1876425"/>
        </a:xfrm>
        <a:prstGeom prst="rect">
          <a:avLst/>
        </a:prstGeom>
      </xdr:spPr>
    </xdr:pic>
    <xdr:clientData/>
  </xdr:twoCellAnchor>
  <xdr:twoCellAnchor editAs="oneCell">
    <xdr:from>
      <xdr:col>9</xdr:col>
      <xdr:colOff>47625</xdr:colOff>
      <xdr:row>14</xdr:row>
      <xdr:rowOff>104775</xdr:rowOff>
    </xdr:from>
    <xdr:to>
      <xdr:col>9</xdr:col>
      <xdr:colOff>3314700</xdr:colOff>
      <xdr:row>21</xdr:row>
      <xdr:rowOff>323850</xdr:rowOff>
    </xdr:to>
    <xdr:pic>
      <xdr:nvPicPr>
        <xdr:cNvPr id="3" name="Picture 2">
          <a:extLst>
            <a:ext uri="{FF2B5EF4-FFF2-40B4-BE49-F238E27FC236}">
              <a16:creationId xmlns:a16="http://schemas.microsoft.com/office/drawing/2014/main" id="{1B4FE689-344F-496D-B362-FD154E9508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05825" y="2905125"/>
          <a:ext cx="3267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25</xdr:row>
      <xdr:rowOff>57151</xdr:rowOff>
    </xdr:from>
    <xdr:to>
      <xdr:col>9</xdr:col>
      <xdr:colOff>3314701</xdr:colOff>
      <xdr:row>32</xdr:row>
      <xdr:rowOff>133350</xdr:rowOff>
    </xdr:to>
    <xdr:pic>
      <xdr:nvPicPr>
        <xdr:cNvPr id="4" name="Picture 3">
          <a:extLst>
            <a:ext uri="{FF2B5EF4-FFF2-40B4-BE49-F238E27FC236}">
              <a16:creationId xmlns:a16="http://schemas.microsoft.com/office/drawing/2014/main" id="{02DFA315-FF25-4D1B-B99C-2A59DEB299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15351" y="4991101"/>
          <a:ext cx="3257550" cy="1543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38100</xdr:colOff>
      <xdr:row>2</xdr:row>
      <xdr:rowOff>104775</xdr:rowOff>
    </xdr:from>
    <xdr:to>
      <xdr:col>9</xdr:col>
      <xdr:colOff>3324225</xdr:colOff>
      <xdr:row>11</xdr:row>
      <xdr:rowOff>34925</xdr:rowOff>
    </xdr:to>
    <xdr:pic>
      <xdr:nvPicPr>
        <xdr:cNvPr id="2" name="Picture 1">
          <a:extLst>
            <a:ext uri="{FF2B5EF4-FFF2-40B4-BE49-F238E27FC236}">
              <a16:creationId xmlns:a16="http://schemas.microsoft.com/office/drawing/2014/main" id="{77B71B73-D762-4DA4-A50B-4931C6235864}"/>
            </a:ext>
          </a:extLst>
        </xdr:cNvPr>
        <xdr:cNvPicPr>
          <a:picLocks noChangeAspect="1"/>
        </xdr:cNvPicPr>
      </xdr:nvPicPr>
      <xdr:blipFill>
        <a:blip xmlns:r="http://schemas.openxmlformats.org/officeDocument/2006/relationships" r:embed="rId1"/>
        <a:stretch>
          <a:fillRect/>
        </a:stretch>
      </xdr:blipFill>
      <xdr:spPr>
        <a:xfrm>
          <a:off x="8324850" y="485775"/>
          <a:ext cx="3286125" cy="2025650"/>
        </a:xfrm>
        <a:prstGeom prst="rect">
          <a:avLst/>
        </a:prstGeom>
      </xdr:spPr>
    </xdr:pic>
    <xdr:clientData/>
  </xdr:twoCellAnchor>
  <xdr:twoCellAnchor editAs="oneCell">
    <xdr:from>
      <xdr:col>9</xdr:col>
      <xdr:colOff>47626</xdr:colOff>
      <xdr:row>14</xdr:row>
      <xdr:rowOff>114300</xdr:rowOff>
    </xdr:from>
    <xdr:to>
      <xdr:col>9</xdr:col>
      <xdr:colOff>3352800</xdr:colOff>
      <xdr:row>22</xdr:row>
      <xdr:rowOff>19050</xdr:rowOff>
    </xdr:to>
    <xdr:pic>
      <xdr:nvPicPr>
        <xdr:cNvPr id="3" name="Picture 2">
          <a:extLst>
            <a:ext uri="{FF2B5EF4-FFF2-40B4-BE49-F238E27FC236}">
              <a16:creationId xmlns:a16="http://schemas.microsoft.com/office/drawing/2014/main" id="{EE42B678-6C3D-4C6D-9587-87F8F01F32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34376" y="2914650"/>
          <a:ext cx="3305174" cy="1885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28</xdr:row>
      <xdr:rowOff>0</xdr:rowOff>
    </xdr:from>
    <xdr:ext cx="3273721" cy="1809750"/>
    <xdr:pic>
      <xdr:nvPicPr>
        <xdr:cNvPr id="4" name="Picture 3">
          <a:extLst>
            <a:ext uri="{FF2B5EF4-FFF2-40B4-BE49-F238E27FC236}">
              <a16:creationId xmlns:a16="http://schemas.microsoft.com/office/drawing/2014/main" id="{90D48B43-3826-447D-A562-C7FD589B45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24850" y="5553075"/>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47624</xdr:colOff>
      <xdr:row>2</xdr:row>
      <xdr:rowOff>66675</xdr:rowOff>
    </xdr:from>
    <xdr:to>
      <xdr:col>9</xdr:col>
      <xdr:colOff>3352799</xdr:colOff>
      <xdr:row>11</xdr:row>
      <xdr:rowOff>114300</xdr:rowOff>
    </xdr:to>
    <xdr:pic>
      <xdr:nvPicPr>
        <xdr:cNvPr id="2" name="Picture 1">
          <a:extLst>
            <a:ext uri="{FF2B5EF4-FFF2-40B4-BE49-F238E27FC236}">
              <a16:creationId xmlns:a16="http://schemas.microsoft.com/office/drawing/2014/main" id="{15FF6CA0-BB86-4A4D-8FF2-CC3D76D8989E}"/>
            </a:ext>
          </a:extLst>
        </xdr:cNvPr>
        <xdr:cNvPicPr>
          <a:picLocks noChangeAspect="1"/>
        </xdr:cNvPicPr>
      </xdr:nvPicPr>
      <xdr:blipFill>
        <a:blip xmlns:r="http://schemas.openxmlformats.org/officeDocument/2006/relationships" r:embed="rId1"/>
        <a:stretch>
          <a:fillRect/>
        </a:stretch>
      </xdr:blipFill>
      <xdr:spPr>
        <a:xfrm>
          <a:off x="8248649" y="447675"/>
          <a:ext cx="3305175" cy="1914525"/>
        </a:xfrm>
        <a:prstGeom prst="rect">
          <a:avLst/>
        </a:prstGeom>
      </xdr:spPr>
    </xdr:pic>
    <xdr:clientData/>
  </xdr:twoCellAnchor>
  <xdr:twoCellAnchor editAs="oneCell">
    <xdr:from>
      <xdr:col>9</xdr:col>
      <xdr:colOff>38099</xdr:colOff>
      <xdr:row>17</xdr:row>
      <xdr:rowOff>123826</xdr:rowOff>
    </xdr:from>
    <xdr:to>
      <xdr:col>9</xdr:col>
      <xdr:colOff>3343274</xdr:colOff>
      <xdr:row>25</xdr:row>
      <xdr:rowOff>228600</xdr:rowOff>
    </xdr:to>
    <xdr:pic>
      <xdr:nvPicPr>
        <xdr:cNvPr id="3" name="Picture 2">
          <a:extLst>
            <a:ext uri="{FF2B5EF4-FFF2-40B4-BE49-F238E27FC236}">
              <a16:creationId xmlns:a16="http://schemas.microsoft.com/office/drawing/2014/main" id="{2C04F340-C479-4C5C-859A-EE0F2DEE0F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239124" y="3248026"/>
          <a:ext cx="330517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3331567</xdr:colOff>
      <xdr:row>10</xdr:row>
      <xdr:rowOff>139700</xdr:rowOff>
    </xdr:to>
    <xdr:pic>
      <xdr:nvPicPr>
        <xdr:cNvPr id="2" name="Picture 1">
          <a:extLst>
            <a:ext uri="{FF2B5EF4-FFF2-40B4-BE49-F238E27FC236}">
              <a16:creationId xmlns:a16="http://schemas.microsoft.com/office/drawing/2014/main" id="{D714A56B-6562-4473-91F9-04C325F10B54}"/>
            </a:ext>
          </a:extLst>
        </xdr:cNvPr>
        <xdr:cNvPicPr>
          <a:picLocks noChangeAspect="1"/>
        </xdr:cNvPicPr>
      </xdr:nvPicPr>
      <xdr:blipFill>
        <a:blip xmlns:r="http://schemas.openxmlformats.org/officeDocument/2006/relationships" r:embed="rId1"/>
        <a:stretch>
          <a:fillRect/>
        </a:stretch>
      </xdr:blipFill>
      <xdr:spPr>
        <a:xfrm>
          <a:off x="8258175" y="485775"/>
          <a:ext cx="3283942" cy="1920875"/>
        </a:xfrm>
        <a:prstGeom prst="rect">
          <a:avLst/>
        </a:prstGeom>
      </xdr:spPr>
    </xdr:pic>
    <xdr:clientData/>
  </xdr:twoCellAnchor>
  <xdr:twoCellAnchor editAs="oneCell">
    <xdr:from>
      <xdr:col>9</xdr:col>
      <xdr:colOff>57150</xdr:colOff>
      <xdr:row>15</xdr:row>
      <xdr:rowOff>66673</xdr:rowOff>
    </xdr:from>
    <xdr:to>
      <xdr:col>9</xdr:col>
      <xdr:colOff>3333750</xdr:colOff>
      <xdr:row>22</xdr:row>
      <xdr:rowOff>295274</xdr:rowOff>
    </xdr:to>
    <xdr:pic>
      <xdr:nvPicPr>
        <xdr:cNvPr id="3" name="Picture 2">
          <a:extLst>
            <a:ext uri="{FF2B5EF4-FFF2-40B4-BE49-F238E27FC236}">
              <a16:creationId xmlns:a16="http://schemas.microsoft.com/office/drawing/2014/main" id="{5A954C28-D738-45FE-AEFE-B59BEFF337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267700" y="2867023"/>
          <a:ext cx="3276600" cy="1847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38100</xdr:colOff>
      <xdr:row>2</xdr:row>
      <xdr:rowOff>114301</xdr:rowOff>
    </xdr:from>
    <xdr:to>
      <xdr:col>9</xdr:col>
      <xdr:colOff>3322042</xdr:colOff>
      <xdr:row>12</xdr:row>
      <xdr:rowOff>101600</xdr:rowOff>
    </xdr:to>
    <xdr:pic>
      <xdr:nvPicPr>
        <xdr:cNvPr id="2" name="Picture 1">
          <a:extLst>
            <a:ext uri="{FF2B5EF4-FFF2-40B4-BE49-F238E27FC236}">
              <a16:creationId xmlns:a16="http://schemas.microsoft.com/office/drawing/2014/main" id="{A61C3A4C-CCA7-496E-AB30-972232F28AB3}"/>
            </a:ext>
          </a:extLst>
        </xdr:cNvPr>
        <xdr:cNvPicPr>
          <a:picLocks noChangeAspect="1"/>
        </xdr:cNvPicPr>
      </xdr:nvPicPr>
      <xdr:blipFill>
        <a:blip xmlns:r="http://schemas.openxmlformats.org/officeDocument/2006/relationships" r:embed="rId1"/>
        <a:stretch>
          <a:fillRect/>
        </a:stretch>
      </xdr:blipFill>
      <xdr:spPr>
        <a:xfrm>
          <a:off x="8191500" y="495301"/>
          <a:ext cx="3283942" cy="2044699"/>
        </a:xfrm>
        <a:prstGeom prst="rect">
          <a:avLst/>
        </a:prstGeom>
      </xdr:spPr>
    </xdr:pic>
    <xdr:clientData/>
  </xdr:twoCellAnchor>
  <xdr:twoCellAnchor editAs="oneCell">
    <xdr:from>
      <xdr:col>9</xdr:col>
      <xdr:colOff>95250</xdr:colOff>
      <xdr:row>16</xdr:row>
      <xdr:rowOff>123824</xdr:rowOff>
    </xdr:from>
    <xdr:to>
      <xdr:col>9</xdr:col>
      <xdr:colOff>3343275</xdr:colOff>
      <xdr:row>26</xdr:row>
      <xdr:rowOff>9525</xdr:rowOff>
    </xdr:to>
    <xdr:pic>
      <xdr:nvPicPr>
        <xdr:cNvPr id="3" name="Picture 2">
          <a:extLst>
            <a:ext uri="{FF2B5EF4-FFF2-40B4-BE49-F238E27FC236}">
              <a16:creationId xmlns:a16="http://schemas.microsoft.com/office/drawing/2014/main" id="{C51E9DE4-95DC-4753-8392-2D1FE17D0D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248650" y="3248024"/>
          <a:ext cx="3248025" cy="1857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47625</xdr:colOff>
      <xdr:row>2</xdr:row>
      <xdr:rowOff>76200</xdr:rowOff>
    </xdr:from>
    <xdr:to>
      <xdr:col>9</xdr:col>
      <xdr:colOff>3331567</xdr:colOff>
      <xdr:row>12</xdr:row>
      <xdr:rowOff>63500</xdr:rowOff>
    </xdr:to>
    <xdr:pic>
      <xdr:nvPicPr>
        <xdr:cNvPr id="2" name="Picture 1">
          <a:extLst>
            <a:ext uri="{FF2B5EF4-FFF2-40B4-BE49-F238E27FC236}">
              <a16:creationId xmlns:a16="http://schemas.microsoft.com/office/drawing/2014/main" id="{545FFB4F-FFFC-4B38-ABCA-6DCFEA8508A2}"/>
            </a:ext>
          </a:extLst>
        </xdr:cNvPr>
        <xdr:cNvPicPr>
          <a:picLocks noChangeAspect="1"/>
        </xdr:cNvPicPr>
      </xdr:nvPicPr>
      <xdr:blipFill>
        <a:blip xmlns:r="http://schemas.openxmlformats.org/officeDocument/2006/relationships" r:embed="rId1"/>
        <a:stretch>
          <a:fillRect/>
        </a:stretch>
      </xdr:blipFill>
      <xdr:spPr>
        <a:xfrm>
          <a:off x="8382000" y="457200"/>
          <a:ext cx="3283942" cy="2044700"/>
        </a:xfrm>
        <a:prstGeom prst="rect">
          <a:avLst/>
        </a:prstGeom>
      </xdr:spPr>
    </xdr:pic>
    <xdr:clientData/>
  </xdr:twoCellAnchor>
  <xdr:twoCellAnchor editAs="oneCell">
    <xdr:from>
      <xdr:col>9</xdr:col>
      <xdr:colOff>85725</xdr:colOff>
      <xdr:row>15</xdr:row>
      <xdr:rowOff>295274</xdr:rowOff>
    </xdr:from>
    <xdr:to>
      <xdr:col>9</xdr:col>
      <xdr:colOff>3324225</xdr:colOff>
      <xdr:row>26</xdr:row>
      <xdr:rowOff>28574</xdr:rowOff>
    </xdr:to>
    <xdr:pic>
      <xdr:nvPicPr>
        <xdr:cNvPr id="3" name="Picture 2">
          <a:extLst>
            <a:ext uri="{FF2B5EF4-FFF2-40B4-BE49-F238E27FC236}">
              <a16:creationId xmlns:a16="http://schemas.microsoft.com/office/drawing/2014/main" id="{0B04A7BE-0260-46BF-915C-64C58CDA40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20100" y="3124199"/>
          <a:ext cx="323850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57150</xdr:colOff>
      <xdr:row>2</xdr:row>
      <xdr:rowOff>38100</xdr:rowOff>
    </xdr:from>
    <xdr:to>
      <xdr:col>9</xdr:col>
      <xdr:colOff>3343275</xdr:colOff>
      <xdr:row>12</xdr:row>
      <xdr:rowOff>6350</xdr:rowOff>
    </xdr:to>
    <xdr:pic>
      <xdr:nvPicPr>
        <xdr:cNvPr id="2" name="Picture 1">
          <a:extLst>
            <a:ext uri="{FF2B5EF4-FFF2-40B4-BE49-F238E27FC236}">
              <a16:creationId xmlns:a16="http://schemas.microsoft.com/office/drawing/2014/main" id="{F85149EF-6337-4FC0-AA41-C3463191EA73}"/>
            </a:ext>
          </a:extLst>
        </xdr:cNvPr>
        <xdr:cNvPicPr>
          <a:picLocks noChangeAspect="1"/>
        </xdr:cNvPicPr>
      </xdr:nvPicPr>
      <xdr:blipFill>
        <a:blip xmlns:r="http://schemas.openxmlformats.org/officeDocument/2006/relationships" r:embed="rId1"/>
        <a:stretch>
          <a:fillRect/>
        </a:stretch>
      </xdr:blipFill>
      <xdr:spPr>
        <a:xfrm>
          <a:off x="8277225" y="419100"/>
          <a:ext cx="3286125" cy="1863725"/>
        </a:xfrm>
        <a:prstGeom prst="rect">
          <a:avLst/>
        </a:prstGeom>
      </xdr:spPr>
    </xdr:pic>
    <xdr:clientData/>
  </xdr:twoCellAnchor>
  <xdr:twoCellAnchor editAs="oneCell">
    <xdr:from>
      <xdr:col>9</xdr:col>
      <xdr:colOff>38099</xdr:colOff>
      <xdr:row>15</xdr:row>
      <xdr:rowOff>19050</xdr:rowOff>
    </xdr:from>
    <xdr:to>
      <xdr:col>9</xdr:col>
      <xdr:colOff>3343275</xdr:colOff>
      <xdr:row>24</xdr:row>
      <xdr:rowOff>266699</xdr:rowOff>
    </xdr:to>
    <xdr:pic>
      <xdr:nvPicPr>
        <xdr:cNvPr id="3" name="Picture 2">
          <a:extLst>
            <a:ext uri="{FF2B5EF4-FFF2-40B4-BE49-F238E27FC236}">
              <a16:creationId xmlns:a16="http://schemas.microsoft.com/office/drawing/2014/main" id="{F4EC58E1-48F3-4659-A07B-14DDA46504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258174" y="2819400"/>
          <a:ext cx="3305176" cy="1866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57150</xdr:colOff>
      <xdr:row>2</xdr:row>
      <xdr:rowOff>114300</xdr:rowOff>
    </xdr:from>
    <xdr:to>
      <xdr:col>9</xdr:col>
      <xdr:colOff>3352800</xdr:colOff>
      <xdr:row>12</xdr:row>
      <xdr:rowOff>82550</xdr:rowOff>
    </xdr:to>
    <xdr:pic>
      <xdr:nvPicPr>
        <xdr:cNvPr id="2" name="Picture 1">
          <a:extLst>
            <a:ext uri="{FF2B5EF4-FFF2-40B4-BE49-F238E27FC236}">
              <a16:creationId xmlns:a16="http://schemas.microsoft.com/office/drawing/2014/main" id="{DC6E49FC-8EA6-4734-A471-610BACC600ED}"/>
            </a:ext>
          </a:extLst>
        </xdr:cNvPr>
        <xdr:cNvPicPr>
          <a:picLocks noChangeAspect="1"/>
        </xdr:cNvPicPr>
      </xdr:nvPicPr>
      <xdr:blipFill>
        <a:blip xmlns:r="http://schemas.openxmlformats.org/officeDocument/2006/relationships" r:embed="rId1"/>
        <a:stretch>
          <a:fillRect/>
        </a:stretch>
      </xdr:blipFill>
      <xdr:spPr>
        <a:xfrm>
          <a:off x="8258175" y="495300"/>
          <a:ext cx="3295650" cy="1863725"/>
        </a:xfrm>
        <a:prstGeom prst="rect">
          <a:avLst/>
        </a:prstGeom>
      </xdr:spPr>
    </xdr:pic>
    <xdr:clientData/>
  </xdr:twoCellAnchor>
  <xdr:twoCellAnchor editAs="oneCell">
    <xdr:from>
      <xdr:col>9</xdr:col>
      <xdr:colOff>28575</xdr:colOff>
      <xdr:row>14</xdr:row>
      <xdr:rowOff>38100</xdr:rowOff>
    </xdr:from>
    <xdr:to>
      <xdr:col>9</xdr:col>
      <xdr:colOff>3352800</xdr:colOff>
      <xdr:row>23</xdr:row>
      <xdr:rowOff>76200</xdr:rowOff>
    </xdr:to>
    <xdr:pic>
      <xdr:nvPicPr>
        <xdr:cNvPr id="3" name="Picture 2">
          <a:extLst>
            <a:ext uri="{FF2B5EF4-FFF2-40B4-BE49-F238E27FC236}">
              <a16:creationId xmlns:a16="http://schemas.microsoft.com/office/drawing/2014/main" id="{34BB0F72-C9C0-4CC9-8713-2D1D78FFCF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229600" y="2676525"/>
          <a:ext cx="33242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47625</xdr:colOff>
      <xdr:row>2</xdr:row>
      <xdr:rowOff>142875</xdr:rowOff>
    </xdr:from>
    <xdr:to>
      <xdr:col>9</xdr:col>
      <xdr:colOff>3331567</xdr:colOff>
      <xdr:row>12</xdr:row>
      <xdr:rowOff>15875</xdr:rowOff>
    </xdr:to>
    <xdr:pic>
      <xdr:nvPicPr>
        <xdr:cNvPr id="2" name="Picture 1">
          <a:extLst>
            <a:ext uri="{FF2B5EF4-FFF2-40B4-BE49-F238E27FC236}">
              <a16:creationId xmlns:a16="http://schemas.microsoft.com/office/drawing/2014/main" id="{196D0A25-BC89-4971-8A5D-F7B93064D544}"/>
            </a:ext>
          </a:extLst>
        </xdr:cNvPr>
        <xdr:cNvPicPr>
          <a:picLocks noChangeAspect="1"/>
        </xdr:cNvPicPr>
      </xdr:nvPicPr>
      <xdr:blipFill>
        <a:blip xmlns:r="http://schemas.openxmlformats.org/officeDocument/2006/relationships" r:embed="rId1"/>
        <a:stretch>
          <a:fillRect/>
        </a:stretch>
      </xdr:blipFill>
      <xdr:spPr>
        <a:xfrm>
          <a:off x="8267700" y="523875"/>
          <a:ext cx="3283942" cy="1930400"/>
        </a:xfrm>
        <a:prstGeom prst="rect">
          <a:avLst/>
        </a:prstGeom>
      </xdr:spPr>
    </xdr:pic>
    <xdr:clientData/>
  </xdr:twoCellAnchor>
  <xdr:twoCellAnchor editAs="oneCell">
    <xdr:from>
      <xdr:col>9</xdr:col>
      <xdr:colOff>38100</xdr:colOff>
      <xdr:row>16</xdr:row>
      <xdr:rowOff>66674</xdr:rowOff>
    </xdr:from>
    <xdr:to>
      <xdr:col>9</xdr:col>
      <xdr:colOff>3343275</xdr:colOff>
      <xdr:row>25</xdr:row>
      <xdr:rowOff>57149</xdr:rowOff>
    </xdr:to>
    <xdr:pic>
      <xdr:nvPicPr>
        <xdr:cNvPr id="3" name="Picture 2">
          <a:extLst>
            <a:ext uri="{FF2B5EF4-FFF2-40B4-BE49-F238E27FC236}">
              <a16:creationId xmlns:a16="http://schemas.microsoft.com/office/drawing/2014/main" id="{76DE8D39-CE4F-4C7E-A22A-C66E7A0D70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258175" y="3028949"/>
          <a:ext cx="330517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57150</xdr:colOff>
      <xdr:row>2</xdr:row>
      <xdr:rowOff>85725</xdr:rowOff>
    </xdr:from>
    <xdr:to>
      <xdr:col>9</xdr:col>
      <xdr:colOff>3324225</xdr:colOff>
      <xdr:row>12</xdr:row>
      <xdr:rowOff>53975</xdr:rowOff>
    </xdr:to>
    <xdr:pic>
      <xdr:nvPicPr>
        <xdr:cNvPr id="2" name="Picture 1">
          <a:extLst>
            <a:ext uri="{FF2B5EF4-FFF2-40B4-BE49-F238E27FC236}">
              <a16:creationId xmlns:a16="http://schemas.microsoft.com/office/drawing/2014/main" id="{96A72213-1667-4A84-A944-555F76C7D268}"/>
            </a:ext>
          </a:extLst>
        </xdr:cNvPr>
        <xdr:cNvPicPr>
          <a:picLocks noChangeAspect="1"/>
        </xdr:cNvPicPr>
      </xdr:nvPicPr>
      <xdr:blipFill>
        <a:blip xmlns:r="http://schemas.openxmlformats.org/officeDocument/2006/relationships" r:embed="rId1"/>
        <a:stretch>
          <a:fillRect/>
        </a:stretch>
      </xdr:blipFill>
      <xdr:spPr>
        <a:xfrm>
          <a:off x="8277225" y="466725"/>
          <a:ext cx="3267075" cy="1863725"/>
        </a:xfrm>
        <a:prstGeom prst="rect">
          <a:avLst/>
        </a:prstGeom>
      </xdr:spPr>
    </xdr:pic>
    <xdr:clientData/>
  </xdr:twoCellAnchor>
  <xdr:twoCellAnchor editAs="oneCell">
    <xdr:from>
      <xdr:col>9</xdr:col>
      <xdr:colOff>28575</xdr:colOff>
      <xdr:row>14</xdr:row>
      <xdr:rowOff>123825</xdr:rowOff>
    </xdr:from>
    <xdr:to>
      <xdr:col>9</xdr:col>
      <xdr:colOff>3352800</xdr:colOff>
      <xdr:row>24</xdr:row>
      <xdr:rowOff>180975</xdr:rowOff>
    </xdr:to>
    <xdr:pic>
      <xdr:nvPicPr>
        <xdr:cNvPr id="3" name="Picture 2">
          <a:extLst>
            <a:ext uri="{FF2B5EF4-FFF2-40B4-BE49-F238E27FC236}">
              <a16:creationId xmlns:a16="http://schemas.microsoft.com/office/drawing/2014/main" id="{2F4042DE-02DD-47F3-BA59-5BE6C81A23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248650" y="2762250"/>
          <a:ext cx="3324225" cy="186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12</xdr:row>
      <xdr:rowOff>82550</xdr:rowOff>
    </xdr:to>
    <xdr:pic>
      <xdr:nvPicPr>
        <xdr:cNvPr id="2" name="Picture 1">
          <a:extLst>
            <a:ext uri="{FF2B5EF4-FFF2-40B4-BE49-F238E27FC236}">
              <a16:creationId xmlns:a16="http://schemas.microsoft.com/office/drawing/2014/main" id="{2F5A6BD4-0CFA-43F2-8887-4961ACF9A286}"/>
            </a:ext>
          </a:extLst>
        </xdr:cNvPr>
        <xdr:cNvPicPr>
          <a:picLocks noChangeAspect="1"/>
        </xdr:cNvPicPr>
      </xdr:nvPicPr>
      <xdr:blipFill>
        <a:blip xmlns:r="http://schemas.openxmlformats.org/officeDocument/2006/relationships" r:embed="rId1"/>
        <a:stretch>
          <a:fillRect/>
        </a:stretch>
      </xdr:blipFill>
      <xdr:spPr>
        <a:xfrm>
          <a:off x="8343900"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F10AD6CE-1ADE-423A-B951-CC7AD04716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82000" y="33432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B8CD877E-DF64-4EB5-B67E-C9018AE8A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62951" y="581024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9</xdr:col>
      <xdr:colOff>38100</xdr:colOff>
      <xdr:row>16</xdr:row>
      <xdr:rowOff>123825</xdr:rowOff>
    </xdr:from>
    <xdr:to>
      <xdr:col>9</xdr:col>
      <xdr:colOff>3333751</xdr:colOff>
      <xdr:row>26</xdr:row>
      <xdr:rowOff>133350</xdr:rowOff>
    </xdr:to>
    <xdr:pic>
      <xdr:nvPicPr>
        <xdr:cNvPr id="2" name="Picture 1">
          <a:extLst>
            <a:ext uri="{FF2B5EF4-FFF2-40B4-BE49-F238E27FC236}">
              <a16:creationId xmlns:a16="http://schemas.microsoft.com/office/drawing/2014/main" id="{7D8F62EC-69EB-4879-9456-0346B43FF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648700" y="3409950"/>
          <a:ext cx="329565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66676</xdr:colOff>
      <xdr:row>2</xdr:row>
      <xdr:rowOff>95248</xdr:rowOff>
    </xdr:from>
    <xdr:to>
      <xdr:col>9</xdr:col>
      <xdr:colOff>3324226</xdr:colOff>
      <xdr:row>13</xdr:row>
      <xdr:rowOff>171450</xdr:rowOff>
    </xdr:to>
    <xdr:pic>
      <xdr:nvPicPr>
        <xdr:cNvPr id="3" name="Picture 2">
          <a:extLst>
            <a:ext uri="{FF2B5EF4-FFF2-40B4-BE49-F238E27FC236}">
              <a16:creationId xmlns:a16="http://schemas.microsoft.com/office/drawing/2014/main" id="{0997A717-0263-433B-868F-3274F20B01FF}"/>
            </a:ext>
          </a:extLst>
        </xdr:cNvPr>
        <xdr:cNvPicPr>
          <a:picLocks noChangeAspect="1"/>
        </xdr:cNvPicPr>
      </xdr:nvPicPr>
      <xdr:blipFill>
        <a:blip xmlns:r="http://schemas.openxmlformats.org/officeDocument/2006/relationships" r:embed="rId2"/>
        <a:stretch>
          <a:fillRect/>
        </a:stretch>
      </xdr:blipFill>
      <xdr:spPr>
        <a:xfrm>
          <a:off x="8677276" y="476248"/>
          <a:ext cx="3257550" cy="213360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47625</xdr:colOff>
      <xdr:row>14</xdr:row>
      <xdr:rowOff>133351</xdr:rowOff>
    </xdr:from>
    <xdr:to>
      <xdr:col>9</xdr:col>
      <xdr:colOff>3333750</xdr:colOff>
      <xdr:row>22</xdr:row>
      <xdr:rowOff>142875</xdr:rowOff>
    </xdr:to>
    <xdr:pic>
      <xdr:nvPicPr>
        <xdr:cNvPr id="2" name="Picture 1">
          <a:extLst>
            <a:ext uri="{FF2B5EF4-FFF2-40B4-BE49-F238E27FC236}">
              <a16:creationId xmlns:a16="http://schemas.microsoft.com/office/drawing/2014/main" id="{916EE1BD-B1CA-4780-ADEC-1CED9555AD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10625" y="2895601"/>
          <a:ext cx="3286125" cy="18192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104776</xdr:rowOff>
    </xdr:from>
    <xdr:to>
      <xdr:col>9</xdr:col>
      <xdr:colOff>3352800</xdr:colOff>
      <xdr:row>12</xdr:row>
      <xdr:rowOff>47625</xdr:rowOff>
    </xdr:to>
    <xdr:pic>
      <xdr:nvPicPr>
        <xdr:cNvPr id="3" name="Picture 2">
          <a:extLst>
            <a:ext uri="{FF2B5EF4-FFF2-40B4-BE49-F238E27FC236}">
              <a16:creationId xmlns:a16="http://schemas.microsoft.com/office/drawing/2014/main" id="{42462DB6-0F88-492C-BE45-6E0DDB84DB62}"/>
            </a:ext>
          </a:extLst>
        </xdr:cNvPr>
        <xdr:cNvPicPr>
          <a:picLocks noChangeAspect="1"/>
        </xdr:cNvPicPr>
      </xdr:nvPicPr>
      <xdr:blipFill>
        <a:blip xmlns:r="http://schemas.openxmlformats.org/officeDocument/2006/relationships" r:embed="rId2"/>
        <a:stretch>
          <a:fillRect/>
        </a:stretch>
      </xdr:blipFill>
      <xdr:spPr>
        <a:xfrm>
          <a:off x="8810625" y="485776"/>
          <a:ext cx="3305175" cy="200024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38099</xdr:colOff>
      <xdr:row>16</xdr:row>
      <xdr:rowOff>76199</xdr:rowOff>
    </xdr:from>
    <xdr:to>
      <xdr:col>9</xdr:col>
      <xdr:colOff>3343275</xdr:colOff>
      <xdr:row>25</xdr:row>
      <xdr:rowOff>276224</xdr:rowOff>
    </xdr:to>
    <xdr:pic>
      <xdr:nvPicPr>
        <xdr:cNvPr id="2" name="Picture 1">
          <a:extLst>
            <a:ext uri="{FF2B5EF4-FFF2-40B4-BE49-F238E27FC236}">
              <a16:creationId xmlns:a16="http://schemas.microsoft.com/office/drawing/2014/main" id="{26ED5A4E-2FE2-44B6-80A5-9134B7C582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1999" y="3162299"/>
          <a:ext cx="33051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76200</xdr:rowOff>
    </xdr:from>
    <xdr:to>
      <xdr:col>9</xdr:col>
      <xdr:colOff>3333750</xdr:colOff>
      <xdr:row>13</xdr:row>
      <xdr:rowOff>38100</xdr:rowOff>
    </xdr:to>
    <xdr:pic>
      <xdr:nvPicPr>
        <xdr:cNvPr id="3" name="Picture 2">
          <a:extLst>
            <a:ext uri="{FF2B5EF4-FFF2-40B4-BE49-F238E27FC236}">
              <a16:creationId xmlns:a16="http://schemas.microsoft.com/office/drawing/2014/main" id="{F5E77AB3-B74A-4E72-B421-DA2B3277597F}"/>
            </a:ext>
          </a:extLst>
        </xdr:cNvPr>
        <xdr:cNvPicPr>
          <a:picLocks noChangeAspect="1"/>
        </xdr:cNvPicPr>
      </xdr:nvPicPr>
      <xdr:blipFill>
        <a:blip xmlns:r="http://schemas.openxmlformats.org/officeDocument/2006/relationships" r:embed="rId2"/>
        <a:stretch>
          <a:fillRect/>
        </a:stretch>
      </xdr:blipFill>
      <xdr:spPr>
        <a:xfrm>
          <a:off x="8401050" y="457200"/>
          <a:ext cx="3276600" cy="20193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47625</xdr:colOff>
      <xdr:row>2</xdr:row>
      <xdr:rowOff>66675</xdr:rowOff>
    </xdr:from>
    <xdr:to>
      <xdr:col>9</xdr:col>
      <xdr:colOff>3343275</xdr:colOff>
      <xdr:row>13</xdr:row>
      <xdr:rowOff>9525</xdr:rowOff>
    </xdr:to>
    <xdr:pic>
      <xdr:nvPicPr>
        <xdr:cNvPr id="2" name="Picture 1">
          <a:extLst>
            <a:ext uri="{FF2B5EF4-FFF2-40B4-BE49-F238E27FC236}">
              <a16:creationId xmlns:a16="http://schemas.microsoft.com/office/drawing/2014/main" id="{92290362-FA1B-4CDB-9ED1-D514E274E172}"/>
            </a:ext>
          </a:extLst>
        </xdr:cNvPr>
        <xdr:cNvPicPr>
          <a:picLocks noChangeAspect="1"/>
        </xdr:cNvPicPr>
      </xdr:nvPicPr>
      <xdr:blipFill>
        <a:blip xmlns:r="http://schemas.openxmlformats.org/officeDocument/2006/relationships" r:embed="rId1"/>
        <a:stretch>
          <a:fillRect/>
        </a:stretch>
      </xdr:blipFill>
      <xdr:spPr>
        <a:xfrm>
          <a:off x="8924925" y="447675"/>
          <a:ext cx="3295650" cy="2000250"/>
        </a:xfrm>
        <a:prstGeom prst="rect">
          <a:avLst/>
        </a:prstGeom>
      </xdr:spPr>
    </xdr:pic>
    <xdr:clientData/>
  </xdr:twoCellAnchor>
  <xdr:twoCellAnchor editAs="oneCell">
    <xdr:from>
      <xdr:col>9</xdr:col>
      <xdr:colOff>76200</xdr:colOff>
      <xdr:row>16</xdr:row>
      <xdr:rowOff>76200</xdr:rowOff>
    </xdr:from>
    <xdr:to>
      <xdr:col>9</xdr:col>
      <xdr:colOff>3352800</xdr:colOff>
      <xdr:row>27</xdr:row>
      <xdr:rowOff>0</xdr:rowOff>
    </xdr:to>
    <xdr:pic>
      <xdr:nvPicPr>
        <xdr:cNvPr id="3" name="Picture 2">
          <a:extLst>
            <a:ext uri="{FF2B5EF4-FFF2-40B4-BE49-F238E27FC236}">
              <a16:creationId xmlns:a16="http://schemas.microsoft.com/office/drawing/2014/main" id="{9102997F-4D74-4CB5-9B26-3BBEAF648E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53500" y="3000375"/>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50801</xdr:colOff>
      <xdr:row>29</xdr:row>
      <xdr:rowOff>47626</xdr:rowOff>
    </xdr:from>
    <xdr:ext cx="3273424" cy="1743074"/>
    <xdr:pic>
      <xdr:nvPicPr>
        <xdr:cNvPr id="4" name="Picture 3">
          <a:extLst>
            <a:ext uri="{FF2B5EF4-FFF2-40B4-BE49-F238E27FC236}">
              <a16:creationId xmlns:a16="http://schemas.microsoft.com/office/drawing/2014/main" id="{F8B449F1-5D31-4EA6-929D-4F0115C0D0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928101" y="5429251"/>
          <a:ext cx="3273424"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9</xdr:col>
      <xdr:colOff>66674</xdr:colOff>
      <xdr:row>14</xdr:row>
      <xdr:rowOff>66675</xdr:rowOff>
    </xdr:from>
    <xdr:to>
      <xdr:col>9</xdr:col>
      <xdr:colOff>3324226</xdr:colOff>
      <xdr:row>23</xdr:row>
      <xdr:rowOff>9525</xdr:rowOff>
    </xdr:to>
    <xdr:pic>
      <xdr:nvPicPr>
        <xdr:cNvPr id="2" name="Picture 1">
          <a:extLst>
            <a:ext uri="{FF2B5EF4-FFF2-40B4-BE49-F238E27FC236}">
              <a16:creationId xmlns:a16="http://schemas.microsoft.com/office/drawing/2014/main" id="{D3BD9C40-B864-4958-B51B-59A4762A1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53474" y="2667000"/>
          <a:ext cx="3257552"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123827</xdr:rowOff>
    </xdr:from>
    <xdr:to>
      <xdr:col>9</xdr:col>
      <xdr:colOff>3324225</xdr:colOff>
      <xdr:row>13</xdr:row>
      <xdr:rowOff>38101</xdr:rowOff>
    </xdr:to>
    <xdr:pic>
      <xdr:nvPicPr>
        <xdr:cNvPr id="3" name="Picture 2">
          <a:extLst>
            <a:ext uri="{FF2B5EF4-FFF2-40B4-BE49-F238E27FC236}">
              <a16:creationId xmlns:a16="http://schemas.microsoft.com/office/drawing/2014/main" id="{6EA33B17-8D02-490F-9334-C41A2BEC7A14}"/>
            </a:ext>
          </a:extLst>
        </xdr:cNvPr>
        <xdr:cNvPicPr>
          <a:picLocks noChangeAspect="1"/>
        </xdr:cNvPicPr>
      </xdr:nvPicPr>
      <xdr:blipFill>
        <a:blip xmlns:r="http://schemas.openxmlformats.org/officeDocument/2006/relationships" r:embed="rId2"/>
        <a:stretch>
          <a:fillRect/>
        </a:stretch>
      </xdr:blipFill>
      <xdr:spPr>
        <a:xfrm>
          <a:off x="8763000" y="504827"/>
          <a:ext cx="3248025" cy="19716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57150</xdr:colOff>
      <xdr:row>2</xdr:row>
      <xdr:rowOff>76201</xdr:rowOff>
    </xdr:from>
    <xdr:to>
      <xdr:col>9</xdr:col>
      <xdr:colOff>3343275</xdr:colOff>
      <xdr:row>12</xdr:row>
      <xdr:rowOff>57150</xdr:rowOff>
    </xdr:to>
    <xdr:pic>
      <xdr:nvPicPr>
        <xdr:cNvPr id="2" name="Picture 1">
          <a:extLst>
            <a:ext uri="{FF2B5EF4-FFF2-40B4-BE49-F238E27FC236}">
              <a16:creationId xmlns:a16="http://schemas.microsoft.com/office/drawing/2014/main" id="{A43CF161-BB00-4ED9-A1CA-52EFFD6E3C29}"/>
            </a:ext>
          </a:extLst>
        </xdr:cNvPr>
        <xdr:cNvPicPr>
          <a:picLocks noChangeAspect="1"/>
        </xdr:cNvPicPr>
      </xdr:nvPicPr>
      <xdr:blipFill>
        <a:blip xmlns:r="http://schemas.openxmlformats.org/officeDocument/2006/relationships" r:embed="rId1"/>
        <a:stretch>
          <a:fillRect/>
        </a:stretch>
      </xdr:blipFill>
      <xdr:spPr>
        <a:xfrm>
          <a:off x="8629650" y="457201"/>
          <a:ext cx="3286125" cy="2038349"/>
        </a:xfrm>
        <a:prstGeom prst="rect">
          <a:avLst/>
        </a:prstGeom>
      </xdr:spPr>
    </xdr:pic>
    <xdr:clientData/>
  </xdr:twoCellAnchor>
  <xdr:twoCellAnchor editAs="oneCell">
    <xdr:from>
      <xdr:col>9</xdr:col>
      <xdr:colOff>76200</xdr:colOff>
      <xdr:row>15</xdr:row>
      <xdr:rowOff>85725</xdr:rowOff>
    </xdr:from>
    <xdr:to>
      <xdr:col>9</xdr:col>
      <xdr:colOff>3343274</xdr:colOff>
      <xdr:row>22</xdr:row>
      <xdr:rowOff>190499</xdr:rowOff>
    </xdr:to>
    <xdr:pic>
      <xdr:nvPicPr>
        <xdr:cNvPr id="3" name="Picture 2">
          <a:extLst>
            <a:ext uri="{FF2B5EF4-FFF2-40B4-BE49-F238E27FC236}">
              <a16:creationId xmlns:a16="http://schemas.microsoft.com/office/drawing/2014/main" id="{1EABEF4D-4ABD-4D63-A3D5-6ACAB110D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48700" y="2847975"/>
          <a:ext cx="3267074"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28</xdr:row>
      <xdr:rowOff>47626</xdr:rowOff>
    </xdr:from>
    <xdr:ext cx="3257550" cy="1724024"/>
    <xdr:pic>
      <xdr:nvPicPr>
        <xdr:cNvPr id="4" name="Picture 3">
          <a:extLst>
            <a:ext uri="{FF2B5EF4-FFF2-40B4-BE49-F238E27FC236}">
              <a16:creationId xmlns:a16="http://schemas.microsoft.com/office/drawing/2014/main" id="{70879C99-4E53-4492-8C97-6C2990F5DF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39175" y="5753101"/>
          <a:ext cx="325755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9</xdr:col>
      <xdr:colOff>57151</xdr:colOff>
      <xdr:row>2</xdr:row>
      <xdr:rowOff>161925</xdr:rowOff>
    </xdr:from>
    <xdr:to>
      <xdr:col>9</xdr:col>
      <xdr:colOff>3343275</xdr:colOff>
      <xdr:row>11</xdr:row>
      <xdr:rowOff>92075</xdr:rowOff>
    </xdr:to>
    <xdr:pic>
      <xdr:nvPicPr>
        <xdr:cNvPr id="2" name="Picture 1">
          <a:extLst>
            <a:ext uri="{FF2B5EF4-FFF2-40B4-BE49-F238E27FC236}">
              <a16:creationId xmlns:a16="http://schemas.microsoft.com/office/drawing/2014/main" id="{ED56D97F-DB4B-42A9-A4F8-F7478FE90363}"/>
            </a:ext>
          </a:extLst>
        </xdr:cNvPr>
        <xdr:cNvPicPr>
          <a:picLocks noChangeAspect="1"/>
        </xdr:cNvPicPr>
      </xdr:nvPicPr>
      <xdr:blipFill>
        <a:blip xmlns:r="http://schemas.openxmlformats.org/officeDocument/2006/relationships" r:embed="rId1"/>
        <a:stretch>
          <a:fillRect/>
        </a:stretch>
      </xdr:blipFill>
      <xdr:spPr>
        <a:xfrm>
          <a:off x="8743951" y="542925"/>
          <a:ext cx="3286124" cy="2025650"/>
        </a:xfrm>
        <a:prstGeom prst="rect">
          <a:avLst/>
        </a:prstGeom>
      </xdr:spPr>
    </xdr:pic>
    <xdr:clientData/>
  </xdr:twoCellAnchor>
  <xdr:twoCellAnchor editAs="oneCell">
    <xdr:from>
      <xdr:col>9</xdr:col>
      <xdr:colOff>38101</xdr:colOff>
      <xdr:row>16</xdr:row>
      <xdr:rowOff>31751</xdr:rowOff>
    </xdr:from>
    <xdr:to>
      <xdr:col>9</xdr:col>
      <xdr:colOff>3362325</xdr:colOff>
      <xdr:row>24</xdr:row>
      <xdr:rowOff>161924</xdr:rowOff>
    </xdr:to>
    <xdr:pic>
      <xdr:nvPicPr>
        <xdr:cNvPr id="3" name="Picture 2">
          <a:extLst>
            <a:ext uri="{FF2B5EF4-FFF2-40B4-BE49-F238E27FC236}">
              <a16:creationId xmlns:a16="http://schemas.microsoft.com/office/drawing/2014/main" id="{A3E8744F-2A32-416B-9978-AFDF5BDEFD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24901" y="3117851"/>
          <a:ext cx="3324224" cy="18065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57150</xdr:colOff>
      <xdr:row>30</xdr:row>
      <xdr:rowOff>9525</xdr:rowOff>
    </xdr:from>
    <xdr:ext cx="3276600" cy="1724025"/>
    <xdr:pic>
      <xdr:nvPicPr>
        <xdr:cNvPr id="4" name="Picture 3">
          <a:extLst>
            <a:ext uri="{FF2B5EF4-FFF2-40B4-BE49-F238E27FC236}">
              <a16:creationId xmlns:a16="http://schemas.microsoft.com/office/drawing/2014/main" id="{308C0049-0052-4838-90E5-8B8E807C1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743950" y="5715000"/>
          <a:ext cx="327660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9</xdr:col>
      <xdr:colOff>57149</xdr:colOff>
      <xdr:row>2</xdr:row>
      <xdr:rowOff>38101</xdr:rowOff>
    </xdr:from>
    <xdr:to>
      <xdr:col>9</xdr:col>
      <xdr:colOff>3324224</xdr:colOff>
      <xdr:row>12</xdr:row>
      <xdr:rowOff>101601</xdr:rowOff>
    </xdr:to>
    <xdr:pic>
      <xdr:nvPicPr>
        <xdr:cNvPr id="2" name="Picture 1">
          <a:extLst>
            <a:ext uri="{FF2B5EF4-FFF2-40B4-BE49-F238E27FC236}">
              <a16:creationId xmlns:a16="http://schemas.microsoft.com/office/drawing/2014/main" id="{70042934-1D97-47E5-B308-A520222208AB}"/>
            </a:ext>
          </a:extLst>
        </xdr:cNvPr>
        <xdr:cNvPicPr>
          <a:picLocks noChangeAspect="1"/>
        </xdr:cNvPicPr>
      </xdr:nvPicPr>
      <xdr:blipFill>
        <a:blip xmlns:r="http://schemas.openxmlformats.org/officeDocument/2006/relationships" r:embed="rId1"/>
        <a:stretch>
          <a:fillRect/>
        </a:stretch>
      </xdr:blipFill>
      <xdr:spPr>
        <a:xfrm>
          <a:off x="8591549" y="419101"/>
          <a:ext cx="3267075" cy="1930400"/>
        </a:xfrm>
        <a:prstGeom prst="rect">
          <a:avLst/>
        </a:prstGeom>
      </xdr:spPr>
    </xdr:pic>
    <xdr:clientData/>
  </xdr:twoCellAnchor>
  <xdr:twoCellAnchor editAs="oneCell">
    <xdr:from>
      <xdr:col>9</xdr:col>
      <xdr:colOff>85726</xdr:colOff>
      <xdr:row>13</xdr:row>
      <xdr:rowOff>352425</xdr:rowOff>
    </xdr:from>
    <xdr:to>
      <xdr:col>9</xdr:col>
      <xdr:colOff>3362326</xdr:colOff>
      <xdr:row>23</xdr:row>
      <xdr:rowOff>66675</xdr:rowOff>
    </xdr:to>
    <xdr:pic>
      <xdr:nvPicPr>
        <xdr:cNvPr id="3" name="Picture 2">
          <a:extLst>
            <a:ext uri="{FF2B5EF4-FFF2-40B4-BE49-F238E27FC236}">
              <a16:creationId xmlns:a16="http://schemas.microsoft.com/office/drawing/2014/main" id="{511610E9-91F8-4778-9F71-9C5B3DCC12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620126" y="2571750"/>
          <a:ext cx="32766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57150</xdr:colOff>
      <xdr:row>2</xdr:row>
      <xdr:rowOff>47625</xdr:rowOff>
    </xdr:from>
    <xdr:to>
      <xdr:col>9</xdr:col>
      <xdr:colOff>3362325</xdr:colOff>
      <xdr:row>11</xdr:row>
      <xdr:rowOff>180975</xdr:rowOff>
    </xdr:to>
    <xdr:pic>
      <xdr:nvPicPr>
        <xdr:cNvPr id="2" name="Picture 1">
          <a:extLst>
            <a:ext uri="{FF2B5EF4-FFF2-40B4-BE49-F238E27FC236}">
              <a16:creationId xmlns:a16="http://schemas.microsoft.com/office/drawing/2014/main" id="{CC4FA979-9A35-4D02-8B47-770DFBEC609A}"/>
            </a:ext>
          </a:extLst>
        </xdr:cNvPr>
        <xdr:cNvPicPr>
          <a:picLocks noChangeAspect="1"/>
        </xdr:cNvPicPr>
      </xdr:nvPicPr>
      <xdr:blipFill>
        <a:blip xmlns:r="http://schemas.openxmlformats.org/officeDocument/2006/relationships" r:embed="rId1"/>
        <a:stretch>
          <a:fillRect/>
        </a:stretch>
      </xdr:blipFill>
      <xdr:spPr>
        <a:xfrm>
          <a:off x="8515350" y="428625"/>
          <a:ext cx="3305175" cy="2000250"/>
        </a:xfrm>
        <a:prstGeom prst="rect">
          <a:avLst/>
        </a:prstGeom>
      </xdr:spPr>
    </xdr:pic>
    <xdr:clientData/>
  </xdr:twoCellAnchor>
  <xdr:twoCellAnchor editAs="oneCell">
    <xdr:from>
      <xdr:col>9</xdr:col>
      <xdr:colOff>38100</xdr:colOff>
      <xdr:row>16</xdr:row>
      <xdr:rowOff>28575</xdr:rowOff>
    </xdr:from>
    <xdr:to>
      <xdr:col>9</xdr:col>
      <xdr:colOff>3333750</xdr:colOff>
      <xdr:row>24</xdr:row>
      <xdr:rowOff>47625</xdr:rowOff>
    </xdr:to>
    <xdr:pic>
      <xdr:nvPicPr>
        <xdr:cNvPr id="3" name="Picture 2">
          <a:extLst>
            <a:ext uri="{FF2B5EF4-FFF2-40B4-BE49-F238E27FC236}">
              <a16:creationId xmlns:a16="http://schemas.microsoft.com/office/drawing/2014/main" id="{8EB4D109-4E4C-4F8E-8984-B1F9EF109B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496300" y="2952750"/>
          <a:ext cx="3295650"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47625</xdr:colOff>
      <xdr:row>29</xdr:row>
      <xdr:rowOff>1</xdr:rowOff>
    </xdr:from>
    <xdr:ext cx="3314700" cy="1771650"/>
    <xdr:pic>
      <xdr:nvPicPr>
        <xdr:cNvPr id="4" name="Picture 3">
          <a:extLst>
            <a:ext uri="{FF2B5EF4-FFF2-40B4-BE49-F238E27FC236}">
              <a16:creationId xmlns:a16="http://schemas.microsoft.com/office/drawing/2014/main" id="{71ECBF07-50E1-4BE3-9F60-88611E8C61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05825" y="5353051"/>
          <a:ext cx="33147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57150</xdr:colOff>
      <xdr:row>2</xdr:row>
      <xdr:rowOff>161925</xdr:rowOff>
    </xdr:from>
    <xdr:to>
      <xdr:col>9</xdr:col>
      <xdr:colOff>3343275</xdr:colOff>
      <xdr:row>12</xdr:row>
      <xdr:rowOff>76200</xdr:rowOff>
    </xdr:to>
    <xdr:pic>
      <xdr:nvPicPr>
        <xdr:cNvPr id="2" name="Picture 1">
          <a:extLst>
            <a:ext uri="{FF2B5EF4-FFF2-40B4-BE49-F238E27FC236}">
              <a16:creationId xmlns:a16="http://schemas.microsoft.com/office/drawing/2014/main" id="{1E061D28-7402-44FB-AD8E-71BC326529B8}"/>
            </a:ext>
          </a:extLst>
        </xdr:cNvPr>
        <xdr:cNvPicPr>
          <a:picLocks noChangeAspect="1"/>
        </xdr:cNvPicPr>
      </xdr:nvPicPr>
      <xdr:blipFill>
        <a:blip xmlns:r="http://schemas.openxmlformats.org/officeDocument/2006/relationships" r:embed="rId1"/>
        <a:stretch>
          <a:fillRect/>
        </a:stretch>
      </xdr:blipFill>
      <xdr:spPr>
        <a:xfrm>
          <a:off x="8553450" y="542925"/>
          <a:ext cx="3286125" cy="1971675"/>
        </a:xfrm>
        <a:prstGeom prst="rect">
          <a:avLst/>
        </a:prstGeom>
      </xdr:spPr>
    </xdr:pic>
    <xdr:clientData/>
  </xdr:twoCellAnchor>
  <xdr:twoCellAnchor editAs="oneCell">
    <xdr:from>
      <xdr:col>9</xdr:col>
      <xdr:colOff>47624</xdr:colOff>
      <xdr:row>19</xdr:row>
      <xdr:rowOff>123826</xdr:rowOff>
    </xdr:from>
    <xdr:to>
      <xdr:col>9</xdr:col>
      <xdr:colOff>3352800</xdr:colOff>
      <xdr:row>30</xdr:row>
      <xdr:rowOff>28576</xdr:rowOff>
    </xdr:to>
    <xdr:pic>
      <xdr:nvPicPr>
        <xdr:cNvPr id="3" name="Picture 2">
          <a:extLst>
            <a:ext uri="{FF2B5EF4-FFF2-40B4-BE49-F238E27FC236}">
              <a16:creationId xmlns:a16="http://schemas.microsoft.com/office/drawing/2014/main" id="{CF1BCD4E-260B-4CA7-9F91-82E60BC3E0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43924" y="3533776"/>
          <a:ext cx="330517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47624</xdr:colOff>
      <xdr:row>2</xdr:row>
      <xdr:rowOff>85724</xdr:rowOff>
    </xdr:from>
    <xdr:to>
      <xdr:col>9</xdr:col>
      <xdr:colOff>3352800</xdr:colOff>
      <xdr:row>12</xdr:row>
      <xdr:rowOff>38099</xdr:rowOff>
    </xdr:to>
    <xdr:pic>
      <xdr:nvPicPr>
        <xdr:cNvPr id="2" name="Picture 1">
          <a:extLst>
            <a:ext uri="{FF2B5EF4-FFF2-40B4-BE49-F238E27FC236}">
              <a16:creationId xmlns:a16="http://schemas.microsoft.com/office/drawing/2014/main" id="{36DCDD28-73D7-42E5-8232-524470178322}"/>
            </a:ext>
          </a:extLst>
        </xdr:cNvPr>
        <xdr:cNvPicPr>
          <a:picLocks noChangeAspect="1"/>
        </xdr:cNvPicPr>
      </xdr:nvPicPr>
      <xdr:blipFill>
        <a:blip xmlns:r="http://schemas.openxmlformats.org/officeDocument/2006/relationships" r:embed="rId1"/>
        <a:stretch>
          <a:fillRect/>
        </a:stretch>
      </xdr:blipFill>
      <xdr:spPr>
        <a:xfrm>
          <a:off x="8543924" y="466724"/>
          <a:ext cx="3305176" cy="2009775"/>
        </a:xfrm>
        <a:prstGeom prst="rect">
          <a:avLst/>
        </a:prstGeom>
      </xdr:spPr>
    </xdr:pic>
    <xdr:clientData/>
  </xdr:twoCellAnchor>
  <xdr:twoCellAnchor editAs="oneCell">
    <xdr:from>
      <xdr:col>9</xdr:col>
      <xdr:colOff>47624</xdr:colOff>
      <xdr:row>14</xdr:row>
      <xdr:rowOff>152401</xdr:rowOff>
    </xdr:from>
    <xdr:to>
      <xdr:col>9</xdr:col>
      <xdr:colOff>3352800</xdr:colOff>
      <xdr:row>24</xdr:row>
      <xdr:rowOff>47625</xdr:rowOff>
    </xdr:to>
    <xdr:pic>
      <xdr:nvPicPr>
        <xdr:cNvPr id="3" name="Picture 2">
          <a:extLst>
            <a:ext uri="{FF2B5EF4-FFF2-40B4-BE49-F238E27FC236}">
              <a16:creationId xmlns:a16="http://schemas.microsoft.com/office/drawing/2014/main" id="{F0F65DA3-7C0F-49FB-9BF0-65F566BFA0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43924" y="2914651"/>
          <a:ext cx="330517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47627</xdr:colOff>
      <xdr:row>27</xdr:row>
      <xdr:rowOff>28575</xdr:rowOff>
    </xdr:from>
    <xdr:ext cx="3286124" cy="1695450"/>
    <xdr:pic>
      <xdr:nvPicPr>
        <xdr:cNvPr id="4" name="Picture 3">
          <a:extLst>
            <a:ext uri="{FF2B5EF4-FFF2-40B4-BE49-F238E27FC236}">
              <a16:creationId xmlns:a16="http://schemas.microsoft.com/office/drawing/2014/main" id="{30B236C2-E3B9-4C65-ADA8-18A1B3C20B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43927" y="5086350"/>
          <a:ext cx="3286124"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47625</xdr:colOff>
      <xdr:row>2</xdr:row>
      <xdr:rowOff>104775</xdr:rowOff>
    </xdr:from>
    <xdr:to>
      <xdr:col>9</xdr:col>
      <xdr:colOff>3362325</xdr:colOff>
      <xdr:row>12</xdr:row>
      <xdr:rowOff>73025</xdr:rowOff>
    </xdr:to>
    <xdr:pic>
      <xdr:nvPicPr>
        <xdr:cNvPr id="2" name="Picture 1">
          <a:extLst>
            <a:ext uri="{FF2B5EF4-FFF2-40B4-BE49-F238E27FC236}">
              <a16:creationId xmlns:a16="http://schemas.microsoft.com/office/drawing/2014/main" id="{37F397B6-2FC4-41AF-B182-4E458D18490D}"/>
            </a:ext>
          </a:extLst>
        </xdr:cNvPr>
        <xdr:cNvPicPr>
          <a:picLocks noChangeAspect="1"/>
        </xdr:cNvPicPr>
      </xdr:nvPicPr>
      <xdr:blipFill>
        <a:blip xmlns:r="http://schemas.openxmlformats.org/officeDocument/2006/relationships" r:embed="rId1"/>
        <a:stretch>
          <a:fillRect/>
        </a:stretch>
      </xdr:blipFill>
      <xdr:spPr>
        <a:xfrm>
          <a:off x="8543925" y="485775"/>
          <a:ext cx="3314700" cy="2025650"/>
        </a:xfrm>
        <a:prstGeom prst="rect">
          <a:avLst/>
        </a:prstGeom>
      </xdr:spPr>
    </xdr:pic>
    <xdr:clientData/>
  </xdr:twoCellAnchor>
  <xdr:twoCellAnchor editAs="oneCell">
    <xdr:from>
      <xdr:col>9</xdr:col>
      <xdr:colOff>38100</xdr:colOff>
      <xdr:row>13</xdr:row>
      <xdr:rowOff>304801</xdr:rowOff>
    </xdr:from>
    <xdr:to>
      <xdr:col>9</xdr:col>
      <xdr:colOff>3352800</xdr:colOff>
      <xdr:row>22</xdr:row>
      <xdr:rowOff>244476</xdr:rowOff>
    </xdr:to>
    <xdr:pic>
      <xdr:nvPicPr>
        <xdr:cNvPr id="3" name="Picture 2">
          <a:extLst>
            <a:ext uri="{FF2B5EF4-FFF2-40B4-BE49-F238E27FC236}">
              <a16:creationId xmlns:a16="http://schemas.microsoft.com/office/drawing/2014/main" id="{D893D368-F9F3-49C0-AFF9-0E56A1EB50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34400" y="2733676"/>
          <a:ext cx="3314700"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25</xdr:row>
      <xdr:rowOff>200026</xdr:rowOff>
    </xdr:from>
    <xdr:ext cx="3324225" cy="1724024"/>
    <xdr:pic>
      <xdr:nvPicPr>
        <xdr:cNvPr id="4" name="Picture 3">
          <a:extLst>
            <a:ext uri="{FF2B5EF4-FFF2-40B4-BE49-F238E27FC236}">
              <a16:creationId xmlns:a16="http://schemas.microsoft.com/office/drawing/2014/main" id="{698711E1-9D53-4860-80BB-0963E196F3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34400" y="5029201"/>
          <a:ext cx="3324225"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31750</xdr:colOff>
      <xdr:row>14</xdr:row>
      <xdr:rowOff>69851</xdr:rowOff>
    </xdr:from>
    <xdr:to>
      <xdr:col>9</xdr:col>
      <xdr:colOff>3333749</xdr:colOff>
      <xdr:row>23</xdr:row>
      <xdr:rowOff>130176</xdr:rowOff>
    </xdr:to>
    <xdr:pic>
      <xdr:nvPicPr>
        <xdr:cNvPr id="2" name="Picture 1">
          <a:extLst>
            <a:ext uri="{FF2B5EF4-FFF2-40B4-BE49-F238E27FC236}">
              <a16:creationId xmlns:a16="http://schemas.microsoft.com/office/drawing/2014/main" id="{16585668-BE59-486D-8BB5-F0050F59C0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47100" y="2670176"/>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66675</xdr:colOff>
      <xdr:row>25</xdr:row>
      <xdr:rowOff>311150</xdr:rowOff>
    </xdr:from>
    <xdr:ext cx="3295650" cy="1762125"/>
    <xdr:pic>
      <xdr:nvPicPr>
        <xdr:cNvPr id="3" name="Picture 2">
          <a:extLst>
            <a:ext uri="{FF2B5EF4-FFF2-40B4-BE49-F238E27FC236}">
              <a16:creationId xmlns:a16="http://schemas.microsoft.com/office/drawing/2014/main" id="{82224866-1044-4777-9AAF-5AB446DB2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82025" y="5054600"/>
          <a:ext cx="329565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2</xdr:row>
      <xdr:rowOff>95250</xdr:rowOff>
    </xdr:from>
    <xdr:to>
      <xdr:col>9</xdr:col>
      <xdr:colOff>3331567</xdr:colOff>
      <xdr:row>11</xdr:row>
      <xdr:rowOff>171450</xdr:rowOff>
    </xdr:to>
    <xdr:pic>
      <xdr:nvPicPr>
        <xdr:cNvPr id="4" name="Picture 3">
          <a:extLst>
            <a:ext uri="{FF2B5EF4-FFF2-40B4-BE49-F238E27FC236}">
              <a16:creationId xmlns:a16="http://schemas.microsoft.com/office/drawing/2014/main" id="{E1E0D74F-BB3F-40F5-9473-F1B396FB94E1}"/>
            </a:ext>
          </a:extLst>
        </xdr:cNvPr>
        <xdr:cNvPicPr>
          <a:picLocks noChangeAspect="1"/>
        </xdr:cNvPicPr>
      </xdr:nvPicPr>
      <xdr:blipFill>
        <a:blip xmlns:r="http://schemas.openxmlformats.org/officeDocument/2006/relationships" r:embed="rId2"/>
        <a:stretch>
          <a:fillRect/>
        </a:stretch>
      </xdr:blipFill>
      <xdr:spPr>
        <a:xfrm>
          <a:off x="8562975" y="476250"/>
          <a:ext cx="3283942" cy="19431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31750</xdr:colOff>
      <xdr:row>14</xdr:row>
      <xdr:rowOff>69851</xdr:rowOff>
    </xdr:from>
    <xdr:to>
      <xdr:col>9</xdr:col>
      <xdr:colOff>3333749</xdr:colOff>
      <xdr:row>23</xdr:row>
      <xdr:rowOff>130176</xdr:rowOff>
    </xdr:to>
    <xdr:pic>
      <xdr:nvPicPr>
        <xdr:cNvPr id="2" name="Picture 1">
          <a:extLst>
            <a:ext uri="{FF2B5EF4-FFF2-40B4-BE49-F238E27FC236}">
              <a16:creationId xmlns:a16="http://schemas.microsoft.com/office/drawing/2014/main" id="{C8D3C9C3-2FC1-4D19-B907-024CDEBB3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47100" y="2670176"/>
          <a:ext cx="3301999"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95250</xdr:rowOff>
    </xdr:from>
    <xdr:to>
      <xdr:col>9</xdr:col>
      <xdr:colOff>3331567</xdr:colOff>
      <xdr:row>11</xdr:row>
      <xdr:rowOff>171450</xdr:rowOff>
    </xdr:to>
    <xdr:pic>
      <xdr:nvPicPr>
        <xdr:cNvPr id="3" name="Picture 2">
          <a:extLst>
            <a:ext uri="{FF2B5EF4-FFF2-40B4-BE49-F238E27FC236}">
              <a16:creationId xmlns:a16="http://schemas.microsoft.com/office/drawing/2014/main" id="{C80B703C-9E64-4B09-B5CB-CC703CE032D9}"/>
            </a:ext>
          </a:extLst>
        </xdr:cNvPr>
        <xdr:cNvPicPr>
          <a:picLocks noChangeAspect="1"/>
        </xdr:cNvPicPr>
      </xdr:nvPicPr>
      <xdr:blipFill>
        <a:blip xmlns:r="http://schemas.openxmlformats.org/officeDocument/2006/relationships" r:embed="rId2"/>
        <a:stretch>
          <a:fillRect/>
        </a:stretch>
      </xdr:blipFill>
      <xdr:spPr>
        <a:xfrm>
          <a:off x="8562975" y="476250"/>
          <a:ext cx="3283942" cy="19431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28576</xdr:colOff>
      <xdr:row>15</xdr:row>
      <xdr:rowOff>47622</xdr:rowOff>
    </xdr:from>
    <xdr:to>
      <xdr:col>9</xdr:col>
      <xdr:colOff>3371850</xdr:colOff>
      <xdr:row>23</xdr:row>
      <xdr:rowOff>152400</xdr:rowOff>
    </xdr:to>
    <xdr:pic>
      <xdr:nvPicPr>
        <xdr:cNvPr id="2" name="Picture 1">
          <a:extLst>
            <a:ext uri="{FF2B5EF4-FFF2-40B4-BE49-F238E27FC236}">
              <a16:creationId xmlns:a16="http://schemas.microsoft.com/office/drawing/2014/main" id="{1822DA65-D0EE-492B-865B-A2968DAD0E3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82026" y="2809872"/>
          <a:ext cx="3343274" cy="1752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28575</xdr:colOff>
      <xdr:row>25</xdr:row>
      <xdr:rowOff>161924</xdr:rowOff>
    </xdr:from>
    <xdr:to>
      <xdr:col>9</xdr:col>
      <xdr:colOff>3352800</xdr:colOff>
      <xdr:row>33</xdr:row>
      <xdr:rowOff>104775</xdr:rowOff>
    </xdr:to>
    <xdr:pic>
      <xdr:nvPicPr>
        <xdr:cNvPr id="3" name="Picture 2">
          <a:extLst>
            <a:ext uri="{FF2B5EF4-FFF2-40B4-BE49-F238E27FC236}">
              <a16:creationId xmlns:a16="http://schemas.microsoft.com/office/drawing/2014/main" id="{5885A1E2-5EF9-425B-B9C2-58D9C8D203B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582025" y="5057774"/>
          <a:ext cx="3324225" cy="1724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19049</xdr:colOff>
      <xdr:row>2</xdr:row>
      <xdr:rowOff>57149</xdr:rowOff>
    </xdr:from>
    <xdr:to>
      <xdr:col>9</xdr:col>
      <xdr:colOff>3362324</xdr:colOff>
      <xdr:row>13</xdr:row>
      <xdr:rowOff>28575</xdr:rowOff>
    </xdr:to>
    <xdr:pic>
      <xdr:nvPicPr>
        <xdr:cNvPr id="4" name="Picture 3">
          <a:extLst>
            <a:ext uri="{FF2B5EF4-FFF2-40B4-BE49-F238E27FC236}">
              <a16:creationId xmlns:a16="http://schemas.microsoft.com/office/drawing/2014/main" id="{CAFF6124-A6BE-4398-94B7-095D5882BF4A}"/>
            </a:ext>
          </a:extLst>
        </xdr:cNvPr>
        <xdr:cNvPicPr>
          <a:picLocks noChangeAspect="1"/>
        </xdr:cNvPicPr>
      </xdr:nvPicPr>
      <xdr:blipFill>
        <a:blip xmlns:r="http://schemas.openxmlformats.org/officeDocument/2006/relationships" r:embed="rId2"/>
        <a:stretch>
          <a:fillRect/>
        </a:stretch>
      </xdr:blipFill>
      <xdr:spPr>
        <a:xfrm>
          <a:off x="8572499" y="438149"/>
          <a:ext cx="3343275" cy="202882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9</xdr:col>
      <xdr:colOff>28575</xdr:colOff>
      <xdr:row>2</xdr:row>
      <xdr:rowOff>85726</xdr:rowOff>
    </xdr:from>
    <xdr:to>
      <xdr:col>9</xdr:col>
      <xdr:colOff>3362324</xdr:colOff>
      <xdr:row>12</xdr:row>
      <xdr:rowOff>0</xdr:rowOff>
    </xdr:to>
    <xdr:pic>
      <xdr:nvPicPr>
        <xdr:cNvPr id="2" name="Picture 1">
          <a:extLst>
            <a:ext uri="{FF2B5EF4-FFF2-40B4-BE49-F238E27FC236}">
              <a16:creationId xmlns:a16="http://schemas.microsoft.com/office/drawing/2014/main" id="{4436DF1E-56AE-4301-B54F-F2E550E6E2A6}"/>
            </a:ext>
          </a:extLst>
        </xdr:cNvPr>
        <xdr:cNvPicPr>
          <a:picLocks noChangeAspect="1"/>
        </xdr:cNvPicPr>
      </xdr:nvPicPr>
      <xdr:blipFill>
        <a:blip xmlns:r="http://schemas.openxmlformats.org/officeDocument/2006/relationships" r:embed="rId1"/>
        <a:stretch>
          <a:fillRect/>
        </a:stretch>
      </xdr:blipFill>
      <xdr:spPr>
        <a:xfrm>
          <a:off x="8382000" y="466726"/>
          <a:ext cx="3333749" cy="1781174"/>
        </a:xfrm>
        <a:prstGeom prst="rect">
          <a:avLst/>
        </a:prstGeom>
      </xdr:spPr>
    </xdr:pic>
    <xdr:clientData/>
  </xdr:twoCellAnchor>
  <xdr:twoCellAnchor editAs="oneCell">
    <xdr:from>
      <xdr:col>9</xdr:col>
      <xdr:colOff>28575</xdr:colOff>
      <xdr:row>16</xdr:row>
      <xdr:rowOff>47627</xdr:rowOff>
    </xdr:from>
    <xdr:to>
      <xdr:col>9</xdr:col>
      <xdr:colOff>3343275</xdr:colOff>
      <xdr:row>26</xdr:row>
      <xdr:rowOff>142876</xdr:rowOff>
    </xdr:to>
    <xdr:pic>
      <xdr:nvPicPr>
        <xdr:cNvPr id="3" name="Picture 2">
          <a:extLst>
            <a:ext uri="{FF2B5EF4-FFF2-40B4-BE49-F238E27FC236}">
              <a16:creationId xmlns:a16="http://schemas.microsoft.com/office/drawing/2014/main" id="{EAF5B6AA-1F70-4564-92E1-6F687B4883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82000" y="2943227"/>
          <a:ext cx="3314700"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9</xdr:col>
      <xdr:colOff>28575</xdr:colOff>
      <xdr:row>14</xdr:row>
      <xdr:rowOff>57150</xdr:rowOff>
    </xdr:from>
    <xdr:to>
      <xdr:col>9</xdr:col>
      <xdr:colOff>3362325</xdr:colOff>
      <xdr:row>25</xdr:row>
      <xdr:rowOff>73025</xdr:rowOff>
    </xdr:to>
    <xdr:pic>
      <xdr:nvPicPr>
        <xdr:cNvPr id="2" name="Picture 1">
          <a:extLst>
            <a:ext uri="{FF2B5EF4-FFF2-40B4-BE49-F238E27FC236}">
              <a16:creationId xmlns:a16="http://schemas.microsoft.com/office/drawing/2014/main" id="{18E48E2E-A83E-4643-B79E-F370775414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3067050"/>
          <a:ext cx="3333750" cy="182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38099</xdr:colOff>
      <xdr:row>2</xdr:row>
      <xdr:rowOff>85725</xdr:rowOff>
    </xdr:from>
    <xdr:to>
      <xdr:col>9</xdr:col>
      <xdr:colOff>3362324</xdr:colOff>
      <xdr:row>12</xdr:row>
      <xdr:rowOff>114300</xdr:rowOff>
    </xdr:to>
    <xdr:pic>
      <xdr:nvPicPr>
        <xdr:cNvPr id="3" name="Picture 2">
          <a:extLst>
            <a:ext uri="{FF2B5EF4-FFF2-40B4-BE49-F238E27FC236}">
              <a16:creationId xmlns:a16="http://schemas.microsoft.com/office/drawing/2014/main" id="{1B9F789B-32D0-4430-86D8-98875F20CBCB}"/>
            </a:ext>
          </a:extLst>
        </xdr:cNvPr>
        <xdr:cNvPicPr>
          <a:picLocks noChangeAspect="1"/>
        </xdr:cNvPicPr>
      </xdr:nvPicPr>
      <xdr:blipFill>
        <a:blip xmlns:r="http://schemas.openxmlformats.org/officeDocument/2006/relationships" r:embed="rId2"/>
        <a:stretch>
          <a:fillRect/>
        </a:stretch>
      </xdr:blipFill>
      <xdr:spPr>
        <a:xfrm>
          <a:off x="8867774" y="466725"/>
          <a:ext cx="3324225" cy="19240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32.201.0.2\fasundaram\DEBT_BACKOFFICE\Debt_Factsheets\2024%20-%20Monthly%20Portfolio\8.%2031082024\OBIP%20DEBT%20HOLDING%20REPORT-31.08.2024%20-%20Bala%20Working.xls" TargetMode="External"/><Relationship Id="rId1" Type="http://schemas.openxmlformats.org/officeDocument/2006/relationships/externalLinkPath" Target="file:///\\132.201.0.2\fasundaram\DEBT_BACKOFFICE\Debt_Factsheets\2024%20-%20Monthly%20Portfolio\8.%2031082024\OBIP%20DEBT%20HOLDING%20REPORT-31.08.2024%20-%20Bala%20Work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bt Holding Summary"/>
      <sheetName val="Debt Holding Consolidated"/>
      <sheetName val="SFRLTP"/>
      <sheetName val="SFRSTP"/>
      <sheetName val="SMMF"/>
      <sheetName val="SPLDF"/>
      <sheetName val="SPMON"/>
      <sheetName val="SPSDF"/>
      <sheetName val="SPUSDF"/>
      <sheetName val="SUNBDS"/>
      <sheetName val="SUNMIA"/>
      <sheetName val="SUNONF"/>
      <sheetName val="SPAHF"/>
      <sheetName val="SPESF"/>
      <sheetName val="SPARF"/>
      <sheetName val="SPBAF"/>
      <sheetName val="SUNMAF"/>
    </sheetNames>
    <sheetDataSet>
      <sheetData sheetId="0"/>
      <sheetData sheetId="1">
        <row r="1">
          <cell r="C1" t="str">
            <v>ISIN_CODE</v>
          </cell>
          <cell r="D1" t="str">
            <v>SECURITY</v>
          </cell>
          <cell r="E1" t="str">
            <v>ASSET_TYPE</v>
          </cell>
          <cell r="F1" t="str">
            <v>ISSUER_NAME</v>
          </cell>
          <cell r="G1" t="str">
            <v>SECURITY_NAME</v>
          </cell>
          <cell r="H1" t="str">
            <v>COUPON</v>
          </cell>
          <cell r="I1" t="str">
            <v>MAT_DATE</v>
          </cell>
          <cell r="J1" t="str">
            <v>RATING</v>
          </cell>
          <cell r="K1" t="str">
            <v>MDUR</v>
          </cell>
          <cell r="L1" t="str">
            <v>FACE_VALUE</v>
          </cell>
          <cell r="M1" t="str">
            <v>UNITS</v>
          </cell>
          <cell r="N1" t="str">
            <v>YIELD</v>
          </cell>
        </row>
        <row r="2">
          <cell r="C2" t="str">
            <v>INF0RQ622028</v>
          </cell>
          <cell r="D2" t="str">
            <v>CDMDF23</v>
          </cell>
          <cell r="E2" t="str">
            <v>CDMDF</v>
          </cell>
          <cell r="F2" t="str">
            <v>Corporate Debt Market Development Fund</v>
          </cell>
          <cell r="G2" t="str">
            <v>Corporate Debt Market Development Fund - Class A2</v>
          </cell>
          <cell r="H2">
            <v>0</v>
          </cell>
          <cell r="K2">
            <v>0</v>
          </cell>
          <cell r="L2">
            <v>10000</v>
          </cell>
          <cell r="M2">
            <v>2586.3710000000001</v>
          </cell>
          <cell r="N2">
            <v>9.9999999999999995E-7</v>
          </cell>
        </row>
        <row r="3">
          <cell r="C3" t="str">
            <v>IN0020230051</v>
          </cell>
          <cell r="D3" t="str">
            <v>7.30GSE190653</v>
          </cell>
          <cell r="E3" t="str">
            <v>GSE</v>
          </cell>
          <cell r="F3" t="str">
            <v>Govt. of India - GSec / TBL</v>
          </cell>
          <cell r="G3" t="str">
            <v>7.30% Government Securities - 19/06/2053</v>
          </cell>
          <cell r="H3">
            <v>7.3</v>
          </cell>
          <cell r="I3" t="str">
            <v>19-06-2053</v>
          </cell>
          <cell r="J3" t="str">
            <v>Sovereign</v>
          </cell>
          <cell r="K3">
            <v>12.4847</v>
          </cell>
          <cell r="L3">
            <v>100</v>
          </cell>
          <cell r="M3">
            <v>1500000</v>
          </cell>
          <cell r="N3">
            <v>7.1218000000000004</v>
          </cell>
        </row>
        <row r="4">
          <cell r="C4" t="str">
            <v>IN0020230085</v>
          </cell>
          <cell r="D4" t="str">
            <v>7.18GSE140833</v>
          </cell>
          <cell r="E4" t="str">
            <v>GSE</v>
          </cell>
          <cell r="F4" t="str">
            <v>Govt. of India - GSec / TBL</v>
          </cell>
          <cell r="G4" t="str">
            <v>7.18%  Government Securities - 14/08/2033</v>
          </cell>
          <cell r="H4">
            <v>7.18</v>
          </cell>
          <cell r="I4" t="str">
            <v>14-08-2033</v>
          </cell>
          <cell r="J4" t="str">
            <v>Sovereign</v>
          </cell>
          <cell r="K4">
            <v>6.7575000000000003</v>
          </cell>
          <cell r="L4">
            <v>100</v>
          </cell>
          <cell r="M4">
            <v>12000000</v>
          </cell>
          <cell r="N4">
            <v>7.0125000000000002</v>
          </cell>
        </row>
        <row r="5">
          <cell r="C5" t="str">
            <v>IN0020230101</v>
          </cell>
          <cell r="D5" t="str">
            <v>7.37GSE231028</v>
          </cell>
          <cell r="E5" t="str">
            <v>GSE</v>
          </cell>
          <cell r="F5" t="str">
            <v>Govt. of India - GSec / TBL</v>
          </cell>
          <cell r="G5" t="str">
            <v>7.37% Government Securities-23/10/2028</v>
          </cell>
          <cell r="H5">
            <v>7.37</v>
          </cell>
          <cell r="I5" t="str">
            <v>23-10-2028</v>
          </cell>
          <cell r="J5" t="str">
            <v>Sovereign</v>
          </cell>
          <cell r="K5">
            <v>3.5627</v>
          </cell>
          <cell r="L5">
            <v>100</v>
          </cell>
          <cell r="M5">
            <v>1000000</v>
          </cell>
          <cell r="N5">
            <v>6.8971999999999998</v>
          </cell>
        </row>
        <row r="6">
          <cell r="C6" t="str">
            <v>IN0020230135</v>
          </cell>
          <cell r="D6" t="str">
            <v>7.32GSE131130</v>
          </cell>
          <cell r="E6" t="str">
            <v>GSE</v>
          </cell>
          <cell r="F6" t="str">
            <v>Govt. of India - GSec / TBL</v>
          </cell>
          <cell r="G6" t="str">
            <v>7.32% Government Securities-13/11/2030</v>
          </cell>
          <cell r="H6">
            <v>7.32</v>
          </cell>
          <cell r="I6" t="str">
            <v>13-11-2030</v>
          </cell>
          <cell r="J6" t="str">
            <v>Sovereign</v>
          </cell>
          <cell r="K6">
            <v>5.0045000000000002</v>
          </cell>
          <cell r="L6">
            <v>100</v>
          </cell>
          <cell r="M6">
            <v>2500000</v>
          </cell>
          <cell r="N6">
            <v>6.9383999999999997</v>
          </cell>
        </row>
        <row r="7">
          <cell r="C7" t="str">
            <v>IN0020240019</v>
          </cell>
          <cell r="D7" t="str">
            <v>7.10GSE080434</v>
          </cell>
          <cell r="E7" t="str">
            <v>GSE</v>
          </cell>
          <cell r="F7" t="str">
            <v>Govt. of India - GSec / TBL</v>
          </cell>
          <cell r="G7" t="str">
            <v>7.10% Central Government Securities 08/04/2034</v>
          </cell>
          <cell r="H7">
            <v>7.1</v>
          </cell>
          <cell r="I7" t="str">
            <v>08-04-2034</v>
          </cell>
          <cell r="J7" t="str">
            <v>Sovereign</v>
          </cell>
          <cell r="K7">
            <v>6.9535999999999998</v>
          </cell>
          <cell r="L7">
            <v>100</v>
          </cell>
          <cell r="M7">
            <v>1000000</v>
          </cell>
          <cell r="N7">
            <v>6.9809000000000001</v>
          </cell>
        </row>
        <row r="8">
          <cell r="C8" t="str">
            <v>IN0020240035</v>
          </cell>
          <cell r="D8" t="str">
            <v>7.34GSE220464</v>
          </cell>
          <cell r="E8" t="str">
            <v>GSE</v>
          </cell>
          <cell r="F8" t="str">
            <v>Govt. of India - GSec / TBL</v>
          </cell>
          <cell r="G8" t="str">
            <v>7.34% Central Government Securities 22/04/2064</v>
          </cell>
          <cell r="H8">
            <v>7.34</v>
          </cell>
          <cell r="I8" t="str">
            <v>22-04-2064</v>
          </cell>
          <cell r="J8" t="str">
            <v>Sovereign</v>
          </cell>
          <cell r="K8">
            <v>13.3651</v>
          </cell>
          <cell r="L8">
            <v>100</v>
          </cell>
          <cell r="M8">
            <v>200000</v>
          </cell>
          <cell r="N8">
            <v>7.1558000000000002</v>
          </cell>
        </row>
        <row r="9">
          <cell r="C9" t="str">
            <v>INE020B08EK4</v>
          </cell>
          <cell r="D9" t="str">
            <v>UT47NC317</v>
          </cell>
          <cell r="E9" t="str">
            <v>NCD</v>
          </cell>
          <cell r="F9" t="str">
            <v>REC LTD</v>
          </cell>
          <cell r="G9" t="str">
            <v>7.46% REC Ltd  NCD  MD 30-06-2028</v>
          </cell>
          <cell r="H9">
            <v>7.46</v>
          </cell>
          <cell r="I9" t="str">
            <v>30-06-2028</v>
          </cell>
          <cell r="J9" t="str">
            <v>CRISIL AAA</v>
          </cell>
          <cell r="K9">
            <v>3.4297</v>
          </cell>
          <cell r="L9">
            <v>100000</v>
          </cell>
          <cell r="M9">
            <v>2500</v>
          </cell>
          <cell r="N9">
            <v>7.4775</v>
          </cell>
        </row>
        <row r="10">
          <cell r="C10" t="str">
            <v>INE020B08EL2</v>
          </cell>
          <cell r="D10" t="str">
            <v>UT47NC316</v>
          </cell>
          <cell r="E10" t="str">
            <v>NCD</v>
          </cell>
          <cell r="F10" t="str">
            <v>REC LTD</v>
          </cell>
          <cell r="G10" t="str">
            <v>7.44% REC NCD MD  30.04.2026</v>
          </cell>
          <cell r="H10">
            <v>7.44</v>
          </cell>
          <cell r="I10" t="str">
            <v>30-04-2026</v>
          </cell>
          <cell r="J10" t="str">
            <v>CRISIL AAA</v>
          </cell>
          <cell r="K10">
            <v>1.6026</v>
          </cell>
          <cell r="L10">
            <v>100000</v>
          </cell>
          <cell r="M10">
            <v>2500</v>
          </cell>
          <cell r="N10">
            <v>7.59</v>
          </cell>
        </row>
        <row r="11">
          <cell r="C11" t="str">
            <v>INE020B08EP3</v>
          </cell>
          <cell r="D11" t="str">
            <v>UT47NC318</v>
          </cell>
          <cell r="E11" t="str">
            <v>NCD</v>
          </cell>
          <cell r="F11" t="str">
            <v>REC LTD</v>
          </cell>
          <cell r="G11" t="str">
            <v>7.77% REC NCD MD 30-09-2026</v>
          </cell>
          <cell r="H11">
            <v>7.77</v>
          </cell>
          <cell r="I11" t="str">
            <v>30-09-2026</v>
          </cell>
          <cell r="J11" t="str">
            <v>CRISIL AAA</v>
          </cell>
          <cell r="K11">
            <v>1.8828</v>
          </cell>
          <cell r="L11">
            <v>100000</v>
          </cell>
          <cell r="M11">
            <v>1500</v>
          </cell>
          <cell r="N11">
            <v>7.5949999999999998</v>
          </cell>
        </row>
        <row r="12">
          <cell r="C12" t="str">
            <v>INE040A08666</v>
          </cell>
          <cell r="D12" t="str">
            <v>FI301NC231</v>
          </cell>
          <cell r="E12" t="str">
            <v>NCD</v>
          </cell>
          <cell r="F12" t="str">
            <v>HDFC Bank Ltd (Prev HDFC Ltd)</v>
          </cell>
          <cell r="G12" t="str">
            <v>7.80% HDFC Bank Ltd (Prev HDFC Ltd) NCD MD 03-05-2033</v>
          </cell>
          <cell r="H12">
            <v>7.8</v>
          </cell>
          <cell r="I12" t="str">
            <v>03-05-2033</v>
          </cell>
          <cell r="J12" t="str">
            <v>CRISIL AAA</v>
          </cell>
          <cell r="K12">
            <v>6.4743000000000004</v>
          </cell>
          <cell r="L12">
            <v>100000</v>
          </cell>
          <cell r="M12">
            <v>1500</v>
          </cell>
          <cell r="N12">
            <v>7.5995999999999997</v>
          </cell>
        </row>
        <row r="13">
          <cell r="C13" t="str">
            <v>INE040A08930</v>
          </cell>
          <cell r="D13" t="str">
            <v>FI3301NC370</v>
          </cell>
          <cell r="E13" t="str">
            <v>NCD</v>
          </cell>
          <cell r="F13" t="str">
            <v>HDFC Bank Ltd (Prev HDFC Ltd)</v>
          </cell>
          <cell r="G13" t="str">
            <v>7.65% HDFC Bank Ltd (Prev HDFC Ltd) NCD MD 25-05-2033 SERIES US-004- Put 25-05-2026</v>
          </cell>
          <cell r="H13">
            <v>7.65</v>
          </cell>
          <cell r="I13" t="str">
            <v>25-05-2033</v>
          </cell>
          <cell r="J13" t="str">
            <v>CRISIL AAA</v>
          </cell>
          <cell r="K13">
            <v>6.556</v>
          </cell>
          <cell r="L13">
            <v>100000</v>
          </cell>
          <cell r="M13">
            <v>2500</v>
          </cell>
          <cell r="N13">
            <v>7.6045999999999996</v>
          </cell>
        </row>
        <row r="14">
          <cell r="C14" t="str">
            <v>INE041007100</v>
          </cell>
          <cell r="D14" t="str">
            <v>FI3346NC200</v>
          </cell>
          <cell r="E14" t="str">
            <v>NCD</v>
          </cell>
          <cell r="F14" t="str">
            <v>Embassy Office Parks REIT</v>
          </cell>
          <cell r="G14" t="str">
            <v>7.77% Embassy Office Parks REIT NCD MD 05.06.2025 Series VII NCD Call 05-03-2025</v>
          </cell>
          <cell r="H14">
            <v>7.77</v>
          </cell>
          <cell r="I14" t="str">
            <v>05-06-2025</v>
          </cell>
          <cell r="J14" t="str">
            <v>CRISIL AAA</v>
          </cell>
          <cell r="K14">
            <v>0.73370000000000002</v>
          </cell>
          <cell r="L14">
            <v>100000</v>
          </cell>
          <cell r="M14">
            <v>1000</v>
          </cell>
          <cell r="N14">
            <v>8.1850000000000005</v>
          </cell>
        </row>
        <row r="15">
          <cell r="C15" t="str">
            <v>INE053F08304</v>
          </cell>
          <cell r="D15" t="str">
            <v>FI3567IRFC248</v>
          </cell>
          <cell r="E15" t="str">
            <v>NCD</v>
          </cell>
          <cell r="F15" t="str">
            <v>Indian Railway Finance Corporation Ltd</v>
          </cell>
          <cell r="G15" t="str">
            <v>7.23% Indian Railway Finance Corporation Ltd NCD 15-10-2026</v>
          </cell>
          <cell r="H15">
            <v>7.23</v>
          </cell>
          <cell r="I15" t="str">
            <v>15-10-2026</v>
          </cell>
          <cell r="J15" t="str">
            <v>CRISIL AAA</v>
          </cell>
          <cell r="K15">
            <v>1.9875</v>
          </cell>
          <cell r="L15">
            <v>100000</v>
          </cell>
          <cell r="M15">
            <v>2500</v>
          </cell>
          <cell r="N15">
            <v>7.48</v>
          </cell>
        </row>
        <row r="16">
          <cell r="C16" t="str">
            <v>INE053F08411</v>
          </cell>
          <cell r="D16" t="str">
            <v>FI3567IRFC252</v>
          </cell>
          <cell r="E16" t="str">
            <v>NCD</v>
          </cell>
          <cell r="F16" t="str">
            <v>Indian Railway Finance Corporation Ltd</v>
          </cell>
          <cell r="G16" t="str">
            <v>7.37%  Indian Railway Finance Corporation Ltd NCD MD 31-07-2029</v>
          </cell>
          <cell r="H16">
            <v>7.37</v>
          </cell>
          <cell r="I16" t="str">
            <v>31-07-2029</v>
          </cell>
          <cell r="J16" t="str">
            <v>CRISIL AAA</v>
          </cell>
          <cell r="K16">
            <v>4.2582000000000004</v>
          </cell>
          <cell r="L16">
            <v>100000</v>
          </cell>
          <cell r="M16">
            <v>4000</v>
          </cell>
          <cell r="N16">
            <v>7.3</v>
          </cell>
        </row>
        <row r="17">
          <cell r="C17" t="str">
            <v>INE115A07MW4</v>
          </cell>
          <cell r="D17" t="str">
            <v>FILICNC370</v>
          </cell>
          <cell r="E17" t="str">
            <v>NCD</v>
          </cell>
          <cell r="F17" t="str">
            <v>LIC Housing Finance Ltd</v>
          </cell>
          <cell r="G17" t="str">
            <v>7.95% LIC Housing Finance Ltd NCD 29 01 2028</v>
          </cell>
          <cell r="H17">
            <v>7.95</v>
          </cell>
          <cell r="I17" t="str">
            <v>29-01-2028</v>
          </cell>
          <cell r="J17" t="str">
            <v>CRISIL AAA</v>
          </cell>
          <cell r="K17">
            <v>2.9908999999999999</v>
          </cell>
          <cell r="L17">
            <v>1000000</v>
          </cell>
          <cell r="M17">
            <v>100</v>
          </cell>
          <cell r="N17">
            <v>7.74</v>
          </cell>
        </row>
        <row r="18">
          <cell r="C18" t="str">
            <v>INE115A07QJ2</v>
          </cell>
          <cell r="D18" t="str">
            <v>FILICNC369</v>
          </cell>
          <cell r="E18" t="str">
            <v>NCD</v>
          </cell>
          <cell r="F18" t="str">
            <v>LIC Housing Finance Ltd</v>
          </cell>
          <cell r="G18" t="str">
            <v>7.70%  LIC Housing Finance Ltd NCD MD 16-05-2028- 434 OPTION I</v>
          </cell>
          <cell r="H18">
            <v>7.7</v>
          </cell>
          <cell r="I18" t="str">
            <v>16-05-2028</v>
          </cell>
          <cell r="J18" t="str">
            <v>CRISIL AAA</v>
          </cell>
          <cell r="K18">
            <v>3.2949000000000002</v>
          </cell>
          <cell r="L18">
            <v>1000000</v>
          </cell>
          <cell r="M18">
            <v>300</v>
          </cell>
          <cell r="N18">
            <v>7.74</v>
          </cell>
        </row>
        <row r="19">
          <cell r="C19" t="str">
            <v>INE134E08IO0</v>
          </cell>
          <cell r="D19" t="str">
            <v>FI35PFNC320</v>
          </cell>
          <cell r="E19" t="str">
            <v>NCD</v>
          </cell>
          <cell r="F19" t="str">
            <v>Power Finance Corporation Ltd</v>
          </cell>
          <cell r="G19" t="str">
            <v>7.23%-Power Finance Corporation Ltd-05/01/2027</v>
          </cell>
          <cell r="H19">
            <v>7.23</v>
          </cell>
          <cell r="I19" t="str">
            <v>05-01-2027</v>
          </cell>
          <cell r="J19" t="str">
            <v>ICRA AAA</v>
          </cell>
          <cell r="K19">
            <v>2.1459000000000001</v>
          </cell>
          <cell r="L19">
            <v>1000000</v>
          </cell>
          <cell r="M19">
            <v>50</v>
          </cell>
          <cell r="N19">
            <v>7.5250000000000004</v>
          </cell>
        </row>
        <row r="20">
          <cell r="C20" t="str">
            <v>INE134E08MX3</v>
          </cell>
          <cell r="D20" t="str">
            <v>FI35PFCNC371</v>
          </cell>
          <cell r="E20" t="str">
            <v>NCD</v>
          </cell>
          <cell r="F20" t="str">
            <v>Power Finance Corporation Ltd</v>
          </cell>
          <cell r="G20" t="str">
            <v>7.60% Power Finance Corporation Limited NCD MD 13-04-2029</v>
          </cell>
          <cell r="H20">
            <v>7.6</v>
          </cell>
          <cell r="I20" t="str">
            <v>13-04-2029</v>
          </cell>
          <cell r="J20" t="str">
            <v>CRISIL AAA</v>
          </cell>
          <cell r="K20">
            <v>3.9156</v>
          </cell>
          <cell r="L20">
            <v>100000</v>
          </cell>
          <cell r="M20">
            <v>2000</v>
          </cell>
          <cell r="N20">
            <v>7.3977000000000004</v>
          </cell>
        </row>
        <row r="21">
          <cell r="C21" t="str">
            <v>INE134E08NB7</v>
          </cell>
          <cell r="D21" t="str">
            <v>FI35PFCNC372</v>
          </cell>
          <cell r="E21" t="str">
            <v>NCD</v>
          </cell>
          <cell r="F21" t="str">
            <v>Power Finance Corporation Ltd</v>
          </cell>
          <cell r="G21" t="str">
            <v>7.32% Power Finance Corporation Ltd NCD MD 15-07-2039</v>
          </cell>
          <cell r="H21">
            <v>7.32</v>
          </cell>
          <cell r="I21" t="str">
            <v>15-07-2039</v>
          </cell>
          <cell r="J21" t="str">
            <v>CRISIL AAA</v>
          </cell>
          <cell r="K21">
            <v>9.5164000000000009</v>
          </cell>
          <cell r="L21">
            <v>100000</v>
          </cell>
          <cell r="M21">
            <v>2500</v>
          </cell>
          <cell r="N21">
            <v>7.3118999999999996</v>
          </cell>
        </row>
        <row r="22">
          <cell r="C22" t="str">
            <v>INE242A08544</v>
          </cell>
          <cell r="D22" t="str">
            <v>OI4309NC207</v>
          </cell>
          <cell r="E22" t="str">
            <v>NCD</v>
          </cell>
          <cell r="F22" t="str">
            <v>Indian Oil Corporation Ltd</v>
          </cell>
          <cell r="G22" t="str">
            <v xml:space="preserve">7.44% Indian Oil Corporation NCD 25/11/2027 (SERIES XXV) </v>
          </cell>
          <cell r="H22">
            <v>7.44</v>
          </cell>
          <cell r="I22" t="str">
            <v>25-11-2027</v>
          </cell>
          <cell r="J22" t="str">
            <v>ICRA AAA</v>
          </cell>
          <cell r="K22">
            <v>2.8361999999999998</v>
          </cell>
          <cell r="L22">
            <v>1000000</v>
          </cell>
          <cell r="M22">
            <v>200</v>
          </cell>
          <cell r="N22">
            <v>7.3550000000000004</v>
          </cell>
        </row>
        <row r="23">
          <cell r="C23" t="str">
            <v>INE261F08DX0</v>
          </cell>
          <cell r="D23" t="str">
            <v>FI35NANC298</v>
          </cell>
          <cell r="E23" t="str">
            <v>NCD</v>
          </cell>
          <cell r="F23" t="str">
            <v>National Bank for Agriculture &amp; Rural Development</v>
          </cell>
          <cell r="G23" t="str">
            <v>7.58%  NABARD- NCD-31/07/2026 SERIES 23H</v>
          </cell>
          <cell r="H23">
            <v>7.58</v>
          </cell>
          <cell r="I23" t="str">
            <v>31-07-2026</v>
          </cell>
          <cell r="J23" t="str">
            <v>CRISIL AAA</v>
          </cell>
          <cell r="K23">
            <v>1.8418000000000001</v>
          </cell>
          <cell r="L23">
            <v>100000</v>
          </cell>
          <cell r="M23">
            <v>1500</v>
          </cell>
          <cell r="N23">
            <v>7.68</v>
          </cell>
        </row>
        <row r="24">
          <cell r="C24" t="str">
            <v>INE261F08EH1</v>
          </cell>
          <cell r="D24" t="str">
            <v>FI35NANC306</v>
          </cell>
          <cell r="E24" t="str">
            <v>NCD</v>
          </cell>
          <cell r="F24" t="str">
            <v>National Bank for Agriculture &amp; Rural Development</v>
          </cell>
          <cell r="G24" t="str">
            <v>7.62%  NABARD NCD MD 10-05-2029</v>
          </cell>
          <cell r="H24">
            <v>7.62</v>
          </cell>
          <cell r="I24" t="str">
            <v>10-05-2029</v>
          </cell>
          <cell r="J24" t="str">
            <v>CRISIL AAA</v>
          </cell>
          <cell r="K24">
            <v>4.0298999999999996</v>
          </cell>
          <cell r="L24">
            <v>100000</v>
          </cell>
          <cell r="M24">
            <v>2500</v>
          </cell>
          <cell r="N24">
            <v>7.49</v>
          </cell>
        </row>
        <row r="25">
          <cell r="C25" t="str">
            <v>INE261F08EJ7</v>
          </cell>
          <cell r="D25" t="str">
            <v>FI35NANC307</v>
          </cell>
          <cell r="E25" t="str">
            <v>NCD</v>
          </cell>
          <cell r="F25" t="str">
            <v>National Bank for Agriculture &amp; Rural Development</v>
          </cell>
          <cell r="G25" t="str">
            <v>7.64% NABARD NCD MD 06-12-2029</v>
          </cell>
          <cell r="H25">
            <v>7.64</v>
          </cell>
          <cell r="I25" t="str">
            <v>06-12-2029</v>
          </cell>
          <cell r="J25" t="str">
            <v>ICRA AAA</v>
          </cell>
          <cell r="K25">
            <v>4.4515000000000002</v>
          </cell>
          <cell r="L25">
            <v>100000</v>
          </cell>
          <cell r="M25">
            <v>2500</v>
          </cell>
          <cell r="N25">
            <v>7.4916999999999998</v>
          </cell>
        </row>
        <row r="26">
          <cell r="C26" t="str">
            <v>INE296A07SV1</v>
          </cell>
          <cell r="D26" t="str">
            <v>FI3505NC240</v>
          </cell>
          <cell r="E26" t="str">
            <v>NCD</v>
          </cell>
          <cell r="F26" t="str">
            <v>Bajaj Finance Ltd</v>
          </cell>
          <cell r="G26" t="str">
            <v>7.82% BAJAJ FINANCE LTD NCD MD 31-01-2034 PUT OPTION 08-02-2027</v>
          </cell>
          <cell r="H26">
            <v>7.82</v>
          </cell>
          <cell r="I26" t="str">
            <v>31-01-2034</v>
          </cell>
          <cell r="J26" t="str">
            <v>CRISIL AAA</v>
          </cell>
          <cell r="K26">
            <v>4.4710999999999999</v>
          </cell>
          <cell r="L26">
            <v>100000</v>
          </cell>
          <cell r="M26">
            <v>2000</v>
          </cell>
          <cell r="N26">
            <v>7.79</v>
          </cell>
        </row>
        <row r="27">
          <cell r="C27" t="str">
            <v>INE556F08KH1</v>
          </cell>
          <cell r="D27" t="str">
            <v>FI3405NC236</v>
          </cell>
          <cell r="E27" t="str">
            <v>NCD</v>
          </cell>
          <cell r="F27" t="str">
            <v>Small Industries Development Bank of India</v>
          </cell>
          <cell r="G27" t="str">
            <v>7.43%  Small Industries Development Bank of India NCD MD 31-08-2026 SERIES I</v>
          </cell>
          <cell r="H27">
            <v>7.43</v>
          </cell>
          <cell r="I27" t="str">
            <v>31-08-2026</v>
          </cell>
          <cell r="J27" t="str">
            <v>CRISIL AAA</v>
          </cell>
          <cell r="K27">
            <v>1.9278999999999999</v>
          </cell>
          <cell r="L27">
            <v>100000</v>
          </cell>
          <cell r="M27">
            <v>1000</v>
          </cell>
          <cell r="N27">
            <v>7.6875</v>
          </cell>
        </row>
        <row r="28">
          <cell r="C28" t="str">
            <v>INE556F08KL3</v>
          </cell>
          <cell r="D28" t="str">
            <v>FI3405NC238</v>
          </cell>
          <cell r="E28" t="str">
            <v>NCD</v>
          </cell>
          <cell r="F28" t="str">
            <v>Small Industries Development Bank of India</v>
          </cell>
          <cell r="G28" t="str">
            <v>7.83% Small Industries Development Bank of India NCD MD 24-11-2028 SERIES V</v>
          </cell>
          <cell r="H28">
            <v>7.83</v>
          </cell>
          <cell r="I28" t="str">
            <v>24-11-2028</v>
          </cell>
          <cell r="J28" t="str">
            <v>CRISIL AAA</v>
          </cell>
          <cell r="K28">
            <v>3.5589</v>
          </cell>
          <cell r="L28">
            <v>100000</v>
          </cell>
          <cell r="M28">
            <v>5000</v>
          </cell>
          <cell r="N28">
            <v>7.5141</v>
          </cell>
        </row>
        <row r="29">
          <cell r="C29" t="str">
            <v>INE557F08FR8</v>
          </cell>
          <cell r="D29" t="str">
            <v>FI3335NC244</v>
          </cell>
          <cell r="E29" t="str">
            <v>NCD</v>
          </cell>
          <cell r="F29" t="str">
            <v xml:space="preserve">National Housing Bank </v>
          </cell>
          <cell r="G29" t="str">
            <v>7.22% NATIONAL HOUSING BANK NCD 23-07-2026</v>
          </cell>
          <cell r="H29">
            <v>7.22</v>
          </cell>
          <cell r="I29" t="str">
            <v>23-07-2026</v>
          </cell>
          <cell r="J29" t="str">
            <v>CRISIL AAA</v>
          </cell>
          <cell r="K29">
            <v>1.8022</v>
          </cell>
          <cell r="L29">
            <v>100000</v>
          </cell>
          <cell r="M29">
            <v>2500</v>
          </cell>
          <cell r="N29">
            <v>7.53</v>
          </cell>
        </row>
        <row r="30">
          <cell r="C30" t="str">
            <v>INE557F08FS6</v>
          </cell>
          <cell r="D30" t="str">
            <v>FI3335NC245</v>
          </cell>
          <cell r="E30" t="str">
            <v>NCD</v>
          </cell>
          <cell r="F30" t="str">
            <v xml:space="preserve">National Housing Bank </v>
          </cell>
          <cell r="G30" t="str">
            <v>7.40% National Housing Bank NCD MD 16-07-2026</v>
          </cell>
          <cell r="H30">
            <v>7.4</v>
          </cell>
          <cell r="I30" t="str">
            <v>16-07-2026</v>
          </cell>
          <cell r="J30" t="str">
            <v>CRISIL AAA</v>
          </cell>
          <cell r="K30">
            <v>1.7949999999999999</v>
          </cell>
          <cell r="L30">
            <v>100000</v>
          </cell>
          <cell r="M30">
            <v>4000</v>
          </cell>
          <cell r="N30">
            <v>7.53</v>
          </cell>
        </row>
        <row r="31">
          <cell r="C31" t="str">
            <v>INF0RQ622028</v>
          </cell>
          <cell r="D31" t="str">
            <v>CDMDF23</v>
          </cell>
          <cell r="E31" t="str">
            <v>CDMDF</v>
          </cell>
          <cell r="F31" t="str">
            <v>Corporate Debt Market Development Fund</v>
          </cell>
          <cell r="G31" t="str">
            <v>Corporate Debt Market Development Fund - Class A2</v>
          </cell>
          <cell r="H31">
            <v>0</v>
          </cell>
          <cell r="K31">
            <v>0</v>
          </cell>
          <cell r="L31">
            <v>10000</v>
          </cell>
          <cell r="M31">
            <v>1138.2429999999999</v>
          </cell>
          <cell r="N31">
            <v>9.9999999999999995E-7</v>
          </cell>
        </row>
        <row r="32">
          <cell r="C32" t="str">
            <v>IN0020230051</v>
          </cell>
          <cell r="D32" t="str">
            <v>7.30GSE190653</v>
          </cell>
          <cell r="E32" t="str">
            <v>GSE</v>
          </cell>
          <cell r="F32" t="str">
            <v>Govt. of India - GSec / TBL</v>
          </cell>
          <cell r="G32" t="str">
            <v>7.30% Government Securities - 19/06/2053</v>
          </cell>
          <cell r="H32">
            <v>7.3</v>
          </cell>
          <cell r="I32" t="str">
            <v>19-06-2053</v>
          </cell>
          <cell r="J32" t="str">
            <v>Sovereign</v>
          </cell>
          <cell r="K32">
            <v>12.4847</v>
          </cell>
          <cell r="L32">
            <v>100</v>
          </cell>
          <cell r="M32">
            <v>500000</v>
          </cell>
          <cell r="N32">
            <v>7.1218000000000004</v>
          </cell>
        </row>
        <row r="33">
          <cell r="C33" t="str">
            <v>IN0020230085</v>
          </cell>
          <cell r="D33" t="str">
            <v>7.18GSE140833</v>
          </cell>
          <cell r="E33" t="str">
            <v>GSE</v>
          </cell>
          <cell r="F33" t="str">
            <v>Govt. of India - GSec / TBL</v>
          </cell>
          <cell r="G33" t="str">
            <v>7.18%  Government Securities - 14/08/2033</v>
          </cell>
          <cell r="H33">
            <v>7.18</v>
          </cell>
          <cell r="I33" t="str">
            <v>14-08-2033</v>
          </cell>
          <cell r="J33" t="str">
            <v>Sovereign</v>
          </cell>
          <cell r="K33">
            <v>6.7575000000000003</v>
          </cell>
          <cell r="L33">
            <v>100</v>
          </cell>
          <cell r="M33">
            <v>4500000</v>
          </cell>
          <cell r="N33">
            <v>7.0125000000000002</v>
          </cell>
        </row>
        <row r="34">
          <cell r="C34" t="str">
            <v>IN0020230135</v>
          </cell>
          <cell r="D34" t="str">
            <v>7.32GSE131130</v>
          </cell>
          <cell r="E34" t="str">
            <v>GSE</v>
          </cell>
          <cell r="F34" t="str">
            <v>Govt. of India - GSec / TBL</v>
          </cell>
          <cell r="G34" t="str">
            <v>7.32% Government Securities-13/11/2030</v>
          </cell>
          <cell r="H34">
            <v>7.32</v>
          </cell>
          <cell r="I34" t="str">
            <v>13-11-2030</v>
          </cell>
          <cell r="J34" t="str">
            <v>Sovereign</v>
          </cell>
          <cell r="K34">
            <v>5.0045000000000002</v>
          </cell>
          <cell r="L34">
            <v>100</v>
          </cell>
          <cell r="M34">
            <v>1500000</v>
          </cell>
          <cell r="N34">
            <v>6.9383999999999997</v>
          </cell>
        </row>
        <row r="35">
          <cell r="C35" t="str">
            <v>IN0020240019</v>
          </cell>
          <cell r="D35" t="str">
            <v>7.10GSE080434</v>
          </cell>
          <cell r="E35" t="str">
            <v>GSE</v>
          </cell>
          <cell r="F35" t="str">
            <v>Govt. of India - GSec / TBL</v>
          </cell>
          <cell r="G35" t="str">
            <v>7.10% Central Government Securities 08/04/2034</v>
          </cell>
          <cell r="H35">
            <v>7.1</v>
          </cell>
          <cell r="I35" t="str">
            <v>08-04-2034</v>
          </cell>
          <cell r="J35" t="str">
            <v>Sovereign</v>
          </cell>
          <cell r="K35">
            <v>6.9535999999999998</v>
          </cell>
          <cell r="L35">
            <v>100</v>
          </cell>
          <cell r="M35">
            <v>800000</v>
          </cell>
          <cell r="N35">
            <v>6.9809000000000001</v>
          </cell>
        </row>
        <row r="36">
          <cell r="C36" t="str">
            <v>IN0020240027</v>
          </cell>
          <cell r="D36" t="str">
            <v>7.23GSE150439</v>
          </cell>
          <cell r="E36" t="str">
            <v>GSE</v>
          </cell>
          <cell r="F36" t="str">
            <v>Govt. of India - GSec / TBL</v>
          </cell>
          <cell r="G36" t="str">
            <v>7.23% Central Government Securities 15/04/2039</v>
          </cell>
          <cell r="H36">
            <v>7.23</v>
          </cell>
          <cell r="I36" t="str">
            <v>15-04-2039</v>
          </cell>
          <cell r="J36" t="str">
            <v>Sovereign</v>
          </cell>
          <cell r="K36">
            <v>9.1001999999999992</v>
          </cell>
          <cell r="L36">
            <v>100</v>
          </cell>
          <cell r="M36">
            <v>500000</v>
          </cell>
          <cell r="N36">
            <v>7.0350000000000001</v>
          </cell>
        </row>
        <row r="37">
          <cell r="C37" t="str">
            <v>INE020B08EA5</v>
          </cell>
          <cell r="D37" t="str">
            <v>UT47NC312</v>
          </cell>
          <cell r="E37" t="str">
            <v>NCD</v>
          </cell>
          <cell r="F37" t="str">
            <v>REC LTD</v>
          </cell>
          <cell r="G37" t="str">
            <v>7.55% REC LTD NCD 31/03/2028</v>
          </cell>
          <cell r="H37">
            <v>7.55</v>
          </cell>
          <cell r="I37" t="str">
            <v>31-03-2028</v>
          </cell>
          <cell r="J37" t="str">
            <v>ICRA AAA</v>
          </cell>
          <cell r="K37">
            <v>3.1768000000000001</v>
          </cell>
          <cell r="L37">
            <v>1000000</v>
          </cell>
          <cell r="M37">
            <v>250</v>
          </cell>
          <cell r="N37">
            <v>7.4775</v>
          </cell>
        </row>
        <row r="38">
          <cell r="C38" t="str">
            <v>INE020B08EP3</v>
          </cell>
          <cell r="D38" t="str">
            <v>UT47NC318</v>
          </cell>
          <cell r="E38" t="str">
            <v>NCD</v>
          </cell>
          <cell r="F38" t="str">
            <v>REC LTD</v>
          </cell>
          <cell r="G38" t="str">
            <v>7.77% REC NCD MD 30-09-2026</v>
          </cell>
          <cell r="H38">
            <v>7.77</v>
          </cell>
          <cell r="I38" t="str">
            <v>30-09-2026</v>
          </cell>
          <cell r="J38" t="str">
            <v>CRISIL AAA</v>
          </cell>
          <cell r="K38">
            <v>1.8828</v>
          </cell>
          <cell r="L38">
            <v>100000</v>
          </cell>
          <cell r="M38">
            <v>500</v>
          </cell>
          <cell r="N38">
            <v>7.5949999999999998</v>
          </cell>
        </row>
        <row r="39">
          <cell r="C39" t="str">
            <v>INE053F08304</v>
          </cell>
          <cell r="D39" t="str">
            <v>FI3567IRFC248</v>
          </cell>
          <cell r="E39" t="str">
            <v>NCD</v>
          </cell>
          <cell r="F39" t="str">
            <v>Indian Railway Finance Corporation Ltd</v>
          </cell>
          <cell r="G39" t="str">
            <v>7.23% Indian Railway Finance Corporation Ltd NCD 15-10-2026</v>
          </cell>
          <cell r="H39">
            <v>7.23</v>
          </cell>
          <cell r="I39" t="str">
            <v>15-10-2026</v>
          </cell>
          <cell r="J39" t="str">
            <v>CRISIL AAA</v>
          </cell>
          <cell r="K39">
            <v>1.9875</v>
          </cell>
          <cell r="L39">
            <v>100000</v>
          </cell>
          <cell r="M39">
            <v>1500</v>
          </cell>
          <cell r="N39">
            <v>7.48</v>
          </cell>
        </row>
        <row r="40">
          <cell r="C40" t="str">
            <v>INE053F08338</v>
          </cell>
          <cell r="D40" t="str">
            <v>FI3567IRFC251</v>
          </cell>
          <cell r="E40" t="str">
            <v>NCD</v>
          </cell>
          <cell r="F40" t="str">
            <v>Indian Railway Finance Corporation Ltd</v>
          </cell>
          <cell r="G40" t="str">
            <v>7.68% Indian Railway Finance Corporation Ltd NCD MD 24-11-2026</v>
          </cell>
          <cell r="H40">
            <v>7.68</v>
          </cell>
          <cell r="I40" t="str">
            <v>24-11-2026</v>
          </cell>
          <cell r="J40" t="str">
            <v>CRISIL AAA</v>
          </cell>
          <cell r="K40">
            <v>2.0145</v>
          </cell>
          <cell r="L40">
            <v>100000</v>
          </cell>
          <cell r="M40">
            <v>500</v>
          </cell>
          <cell r="N40">
            <v>7.48</v>
          </cell>
        </row>
        <row r="41">
          <cell r="C41" t="str">
            <v>INE053F08411</v>
          </cell>
          <cell r="D41" t="str">
            <v>FI3567IRFC252</v>
          </cell>
          <cell r="E41" t="str">
            <v>NCD</v>
          </cell>
          <cell r="F41" t="str">
            <v>Indian Railway Finance Corporation Ltd</v>
          </cell>
          <cell r="G41" t="str">
            <v>7.37%  Indian Railway Finance Corporation Ltd NCD MD 31-07-2029</v>
          </cell>
          <cell r="H41">
            <v>7.37</v>
          </cell>
          <cell r="I41" t="str">
            <v>31-07-2029</v>
          </cell>
          <cell r="J41" t="str">
            <v>CRISIL AAA</v>
          </cell>
          <cell r="K41">
            <v>4.2582000000000004</v>
          </cell>
          <cell r="L41">
            <v>100000</v>
          </cell>
          <cell r="M41">
            <v>1000</v>
          </cell>
          <cell r="N41">
            <v>7.3</v>
          </cell>
        </row>
        <row r="42">
          <cell r="C42" t="str">
            <v>INE0KUG08035</v>
          </cell>
          <cell r="D42" t="str">
            <v>FI35NBFINCD2</v>
          </cell>
          <cell r="E42" t="str">
            <v>NCD</v>
          </cell>
          <cell r="F42" t="str">
            <v>National Bank for Financing Infrastructure and Development</v>
          </cell>
          <cell r="G42" t="str">
            <v>7.43% National Bank for Financing Infrastructure and Development NCD MD 04-07-2034 NABFID2025-1 PUT</v>
          </cell>
          <cell r="H42">
            <v>7.43</v>
          </cell>
          <cell r="I42" t="str">
            <v>04-07-2034</v>
          </cell>
          <cell r="J42" t="str">
            <v>CRISIL AAA</v>
          </cell>
          <cell r="K42">
            <v>7.2476000000000003</v>
          </cell>
          <cell r="L42">
            <v>100000</v>
          </cell>
          <cell r="M42">
            <v>500</v>
          </cell>
          <cell r="N42">
            <v>7.3131000000000004</v>
          </cell>
        </row>
        <row r="43">
          <cell r="C43" t="str">
            <v>INE134E08LK2</v>
          </cell>
          <cell r="D43" t="str">
            <v>FI35PFNC363</v>
          </cell>
          <cell r="E43" t="str">
            <v>NCD</v>
          </cell>
          <cell r="F43" t="str">
            <v>Power Finance Corporation Ltd</v>
          </cell>
          <cell r="G43" t="str">
            <v>6.09% Power Finance Corporation Ltd-NCD-27/08/2026-OPTION A</v>
          </cell>
          <cell r="H43">
            <v>6.09</v>
          </cell>
          <cell r="I43" t="str">
            <v>27-08-2026</v>
          </cell>
          <cell r="J43" t="str">
            <v>ICRA AAA</v>
          </cell>
          <cell r="K43">
            <v>1.9280999999999999</v>
          </cell>
          <cell r="L43">
            <v>1000000</v>
          </cell>
          <cell r="M43">
            <v>200</v>
          </cell>
          <cell r="N43">
            <v>7.6013999999999999</v>
          </cell>
        </row>
        <row r="44">
          <cell r="C44" t="str">
            <v>INE134E08MX3</v>
          </cell>
          <cell r="D44" t="str">
            <v>FI35PFCNC371</v>
          </cell>
          <cell r="E44" t="str">
            <v>NCD</v>
          </cell>
          <cell r="F44" t="str">
            <v>Power Finance Corporation Ltd</v>
          </cell>
          <cell r="G44" t="str">
            <v>7.60% Power Finance Corporation Limited NCD MD 13-04-2029</v>
          </cell>
          <cell r="H44">
            <v>7.6</v>
          </cell>
          <cell r="I44" t="str">
            <v>13-04-2029</v>
          </cell>
          <cell r="J44" t="str">
            <v>CRISIL AAA</v>
          </cell>
          <cell r="K44">
            <v>3.9156</v>
          </cell>
          <cell r="L44">
            <v>100000</v>
          </cell>
          <cell r="M44">
            <v>500</v>
          </cell>
          <cell r="N44">
            <v>7.3977000000000004</v>
          </cell>
        </row>
        <row r="45">
          <cell r="C45" t="str">
            <v>INE134E08NB7</v>
          </cell>
          <cell r="D45" t="str">
            <v>FI35PFCNC372</v>
          </cell>
          <cell r="E45" t="str">
            <v>NCD</v>
          </cell>
          <cell r="F45" t="str">
            <v>Power Finance Corporation Ltd</v>
          </cell>
          <cell r="G45" t="str">
            <v>7.32% Power Finance Corporation Ltd NCD MD 15-07-2039</v>
          </cell>
          <cell r="H45">
            <v>7.32</v>
          </cell>
          <cell r="I45" t="str">
            <v>15-07-2039</v>
          </cell>
          <cell r="J45" t="str">
            <v>CRISIL AAA</v>
          </cell>
          <cell r="K45">
            <v>9.5164000000000009</v>
          </cell>
          <cell r="L45">
            <v>100000</v>
          </cell>
          <cell r="M45">
            <v>500</v>
          </cell>
          <cell r="N45">
            <v>7.3118999999999996</v>
          </cell>
        </row>
        <row r="46">
          <cell r="C46" t="str">
            <v>INE242A08544</v>
          </cell>
          <cell r="D46" t="str">
            <v>OI4309NC207</v>
          </cell>
          <cell r="E46" t="str">
            <v>NCD</v>
          </cell>
          <cell r="F46" t="str">
            <v>Indian Oil Corporation Ltd</v>
          </cell>
          <cell r="G46" t="str">
            <v xml:space="preserve">7.44% Indian Oil Corporation NCD 25/11/2027 (SERIES XXV) </v>
          </cell>
          <cell r="H46">
            <v>7.44</v>
          </cell>
          <cell r="I46" t="str">
            <v>25-11-2027</v>
          </cell>
          <cell r="J46" t="str">
            <v>ICRA AAA</v>
          </cell>
          <cell r="K46">
            <v>2.8361999999999998</v>
          </cell>
          <cell r="L46">
            <v>1000000</v>
          </cell>
          <cell r="M46">
            <v>300</v>
          </cell>
          <cell r="N46">
            <v>7.3550000000000004</v>
          </cell>
        </row>
        <row r="47">
          <cell r="C47" t="str">
            <v>INE261F08DO9</v>
          </cell>
          <cell r="D47" t="str">
            <v>FI35NANC296</v>
          </cell>
          <cell r="E47" t="str">
            <v>NCD</v>
          </cell>
          <cell r="F47" t="str">
            <v>National Bank for Agriculture &amp; Rural Development</v>
          </cell>
          <cell r="G47" t="str">
            <v>7.40%  NABARD- NCD 30/01/2026 SERIES 23 A-R1</v>
          </cell>
          <cell r="H47">
            <v>7.4</v>
          </cell>
          <cell r="I47" t="str">
            <v>30-01-2026</v>
          </cell>
          <cell r="J47" t="str">
            <v>ICRA AAA</v>
          </cell>
          <cell r="K47">
            <v>1.3434999999999999</v>
          </cell>
          <cell r="L47">
            <v>1000000</v>
          </cell>
          <cell r="M47">
            <v>150</v>
          </cell>
          <cell r="N47">
            <v>7.665</v>
          </cell>
        </row>
        <row r="48">
          <cell r="C48" t="str">
            <v>INE261F08EH1</v>
          </cell>
          <cell r="D48" t="str">
            <v>FI35NANC306</v>
          </cell>
          <cell r="E48" t="str">
            <v>NCD</v>
          </cell>
          <cell r="F48" t="str">
            <v>National Bank for Agriculture &amp; Rural Development</v>
          </cell>
          <cell r="G48" t="str">
            <v>7.62%  NABARD NCD MD 10-05-2029</v>
          </cell>
          <cell r="H48">
            <v>7.62</v>
          </cell>
          <cell r="I48" t="str">
            <v>10-05-2029</v>
          </cell>
          <cell r="J48" t="str">
            <v>CRISIL AAA</v>
          </cell>
          <cell r="K48">
            <v>4.0298999999999996</v>
          </cell>
          <cell r="L48">
            <v>100000</v>
          </cell>
          <cell r="M48">
            <v>1500</v>
          </cell>
          <cell r="N48">
            <v>7.49</v>
          </cell>
        </row>
        <row r="49">
          <cell r="C49" t="str">
            <v>INE514E08FV4</v>
          </cell>
          <cell r="D49" t="str">
            <v>FI35EXNC271</v>
          </cell>
          <cell r="E49" t="str">
            <v>NCD</v>
          </cell>
          <cell r="F49" t="str">
            <v>Export Import Bank of India</v>
          </cell>
          <cell r="G49" t="str">
            <v>5.85% Export Import Bank of India-NCD-12/09/2025 (SR.W.02-2025)</v>
          </cell>
          <cell r="H49">
            <v>5.85</v>
          </cell>
          <cell r="I49" t="str">
            <v>12-09-2025</v>
          </cell>
          <cell r="J49" t="str">
            <v>ICRA AAA</v>
          </cell>
          <cell r="K49">
            <v>0.97419999999999995</v>
          </cell>
          <cell r="L49">
            <v>1000000</v>
          </cell>
          <cell r="M49">
            <v>250</v>
          </cell>
          <cell r="N49">
            <v>7.6349999999999998</v>
          </cell>
        </row>
        <row r="50">
          <cell r="C50" t="str">
            <v>INE556F08KE8</v>
          </cell>
          <cell r="D50" t="str">
            <v>FI3405NCD200</v>
          </cell>
          <cell r="E50" t="str">
            <v>NCD</v>
          </cell>
          <cell r="F50" t="str">
            <v>Small Industries Development Bank of India</v>
          </cell>
          <cell r="G50" t="str">
            <v>Small Industries Development Bank of India NCD 25 11 2025</v>
          </cell>
          <cell r="H50">
            <v>7.47</v>
          </cell>
          <cell r="I50" t="str">
            <v>25-11-2025</v>
          </cell>
          <cell r="J50" t="str">
            <v>ICRA AAA</v>
          </cell>
          <cell r="K50">
            <v>1.1589</v>
          </cell>
          <cell r="L50">
            <v>1000000</v>
          </cell>
          <cell r="M50">
            <v>50</v>
          </cell>
          <cell r="N50">
            <v>7.8274999999999997</v>
          </cell>
        </row>
        <row r="51">
          <cell r="C51" t="str">
            <v>INE556F08KF5</v>
          </cell>
          <cell r="D51" t="str">
            <v>FI3405NC235</v>
          </cell>
          <cell r="E51" t="str">
            <v>NCD</v>
          </cell>
          <cell r="F51" t="str">
            <v>Small Industries Development Bank of India</v>
          </cell>
          <cell r="G51" t="str">
            <v>7.54%  Small Industries Development Bank of India-NCD 12/01/2026 SER V111</v>
          </cell>
          <cell r="H51">
            <v>7.54</v>
          </cell>
          <cell r="I51" t="str">
            <v>12-01-2026</v>
          </cell>
          <cell r="J51" t="str">
            <v>ICRA AAA</v>
          </cell>
          <cell r="K51">
            <v>1.2783</v>
          </cell>
          <cell r="L51">
            <v>1000000</v>
          </cell>
          <cell r="M51">
            <v>200</v>
          </cell>
          <cell r="N51">
            <v>7.6887999999999996</v>
          </cell>
        </row>
        <row r="52">
          <cell r="C52" t="str">
            <v>INE557F08FY4</v>
          </cell>
          <cell r="D52" t="str">
            <v>FI3335NC246</v>
          </cell>
          <cell r="E52" t="str">
            <v>NCD</v>
          </cell>
          <cell r="F52" t="str">
            <v xml:space="preserve">National Housing Bank </v>
          </cell>
          <cell r="G52" t="str">
            <v>7.59% NATIONAL HOUSING BANK NCD MD 14-07-2027</v>
          </cell>
          <cell r="H52">
            <v>7.59</v>
          </cell>
          <cell r="I52" t="str">
            <v>14-07-2027</v>
          </cell>
          <cell r="J52" t="str">
            <v>CRISIL AAA</v>
          </cell>
          <cell r="K52">
            <v>2.6353</v>
          </cell>
          <cell r="L52">
            <v>100000</v>
          </cell>
          <cell r="M52">
            <v>2000</v>
          </cell>
          <cell r="N52">
            <v>7.45</v>
          </cell>
        </row>
        <row r="53">
          <cell r="C53" t="str">
            <v>INE752E08734</v>
          </cell>
          <cell r="D53" t="str">
            <v>UT4716NC267</v>
          </cell>
          <cell r="E53" t="str">
            <v>NCD</v>
          </cell>
          <cell r="F53" t="str">
            <v>Power Grid Corporation of India Ltd</v>
          </cell>
          <cell r="G53" t="str">
            <v>7.35% Power Grid Corporation of India Ltd-NCD-12/03/2034</v>
          </cell>
          <cell r="H53">
            <v>7.35</v>
          </cell>
          <cell r="I53" t="str">
            <v>12-03-2034</v>
          </cell>
          <cell r="J53" t="str">
            <v>CRISIL AAA</v>
          </cell>
          <cell r="K53">
            <v>6.9469000000000003</v>
          </cell>
          <cell r="L53">
            <v>100000</v>
          </cell>
          <cell r="M53">
            <v>1000</v>
          </cell>
          <cell r="N53">
            <v>7.31</v>
          </cell>
        </row>
        <row r="54">
          <cell r="C54" t="str">
            <v>INE916DA7SL3</v>
          </cell>
          <cell r="D54" t="str">
            <v>FI3516NC226</v>
          </cell>
          <cell r="E54" t="str">
            <v>NCD</v>
          </cell>
          <cell r="F54" t="str">
            <v>Kotak Mahindra Prime Ltd</v>
          </cell>
          <cell r="G54" t="str">
            <v>8.09% Kotak Mahindra Prime Ltd NCD MD 09-11-2026</v>
          </cell>
          <cell r="H54">
            <v>8.09</v>
          </cell>
          <cell r="I54" t="str">
            <v>09-11-2026</v>
          </cell>
          <cell r="J54" t="str">
            <v>CRISIL AAA</v>
          </cell>
          <cell r="K54">
            <v>1.9696</v>
          </cell>
          <cell r="L54">
            <v>100000</v>
          </cell>
          <cell r="M54">
            <v>500</v>
          </cell>
          <cell r="N54">
            <v>8.0749999999999993</v>
          </cell>
        </row>
        <row r="55">
          <cell r="C55" t="str">
            <v>IN002024Z057</v>
          </cell>
          <cell r="D55" t="str">
            <v>364TBL020525</v>
          </cell>
          <cell r="E55" t="str">
            <v>TBL</v>
          </cell>
          <cell r="F55" t="str">
            <v>Govt. of India - GSec / TBL</v>
          </cell>
          <cell r="G55" t="str">
            <v>364 Days - T Bill - 02/05/2025</v>
          </cell>
          <cell r="H55">
            <v>0</v>
          </cell>
          <cell r="I55" t="str">
            <v>02-05-2025</v>
          </cell>
          <cell r="J55" t="str">
            <v>Sovereign</v>
          </cell>
          <cell r="K55">
            <v>0.67</v>
          </cell>
          <cell r="L55">
            <v>100</v>
          </cell>
          <cell r="M55">
            <v>2000000</v>
          </cell>
          <cell r="N55">
            <v>6.7050000000000001</v>
          </cell>
        </row>
        <row r="56">
          <cell r="C56" t="str">
            <v>INF0RQ622028</v>
          </cell>
          <cell r="D56" t="str">
            <v>CDMDF23</v>
          </cell>
          <cell r="E56" t="str">
            <v>CDMDF</v>
          </cell>
          <cell r="F56" t="str">
            <v>Corporate Debt Market Development Fund</v>
          </cell>
          <cell r="G56" t="str">
            <v>Corporate Debt Market Development Fund - Class A2</v>
          </cell>
          <cell r="H56">
            <v>0</v>
          </cell>
          <cell r="K56">
            <v>0</v>
          </cell>
          <cell r="L56">
            <v>10000</v>
          </cell>
          <cell r="M56">
            <v>649.726</v>
          </cell>
          <cell r="N56">
            <v>9.9999999999999995E-7</v>
          </cell>
        </row>
        <row r="57">
          <cell r="C57" t="str">
            <v>INE115A14EX5</v>
          </cell>
          <cell r="D57" t="str">
            <v>FILICCP235</v>
          </cell>
          <cell r="E57" t="str">
            <v>CMP</v>
          </cell>
          <cell r="F57" t="str">
            <v>LIC Housing Finance Ltd</v>
          </cell>
          <cell r="G57" t="str">
            <v>LIC Housing Finance Ltd CP MD 21-03-2025</v>
          </cell>
          <cell r="H57">
            <v>0</v>
          </cell>
          <cell r="I57" t="str">
            <v>21-03-2025</v>
          </cell>
          <cell r="J57" t="str">
            <v>CRISIL A1+</v>
          </cell>
          <cell r="K57">
            <v>0.55000000000000004</v>
          </cell>
          <cell r="L57">
            <v>500000</v>
          </cell>
          <cell r="M57">
            <v>200</v>
          </cell>
          <cell r="N57">
            <v>7.52</v>
          </cell>
        </row>
        <row r="58">
          <cell r="C58" t="str">
            <v>INE144H14GZ0</v>
          </cell>
          <cell r="D58" t="str">
            <v>FI35118CP209</v>
          </cell>
          <cell r="E58" t="str">
            <v>CMP</v>
          </cell>
          <cell r="F58" t="str">
            <v>Deutsche Investments India Private Ltd</v>
          </cell>
          <cell r="G58" t="str">
            <v>Deutsche Investments India Private Ltd CP MD 09-12-2024</v>
          </cell>
          <cell r="H58">
            <v>0</v>
          </cell>
          <cell r="I58" t="str">
            <v>09-12-2024</v>
          </cell>
          <cell r="J58" t="str">
            <v>CRISIL A1+</v>
          </cell>
          <cell r="K58">
            <v>0.27</v>
          </cell>
          <cell r="L58">
            <v>500000</v>
          </cell>
          <cell r="M58">
            <v>200</v>
          </cell>
          <cell r="N58">
            <v>7.9550000000000001</v>
          </cell>
        </row>
        <row r="59">
          <cell r="C59" t="str">
            <v>INE556F14KH9</v>
          </cell>
          <cell r="D59" t="str">
            <v>FI3405CP296</v>
          </cell>
          <cell r="E59" t="str">
            <v>CMP</v>
          </cell>
          <cell r="F59" t="str">
            <v>Small Industries Development Bank of India</v>
          </cell>
          <cell r="G59" t="str">
            <v>Small Industries Development Bank of India CMP 28 05 2025</v>
          </cell>
          <cell r="H59">
            <v>0</v>
          </cell>
          <cell r="I59" t="str">
            <v>28-05-2025</v>
          </cell>
          <cell r="J59" t="str">
            <v>CRISIL A1+</v>
          </cell>
          <cell r="K59">
            <v>0.74</v>
          </cell>
          <cell r="L59">
            <v>500000</v>
          </cell>
          <cell r="M59">
            <v>200</v>
          </cell>
          <cell r="N59">
            <v>7.6875</v>
          </cell>
        </row>
        <row r="60">
          <cell r="C60" t="str">
            <v>INE763G14TE7</v>
          </cell>
          <cell r="D60" t="str">
            <v>FI3418CP230</v>
          </cell>
          <cell r="E60" t="str">
            <v>CMP</v>
          </cell>
          <cell r="F60" t="str">
            <v>ICICI Securities Ltd</v>
          </cell>
          <cell r="G60" t="str">
            <v>ICICI Securities Ltd CP MD 21-02-2025</v>
          </cell>
          <cell r="H60">
            <v>0</v>
          </cell>
          <cell r="I60" t="str">
            <v>21-02-2025</v>
          </cell>
          <cell r="J60" t="str">
            <v>CRISIL A1+</v>
          </cell>
          <cell r="K60">
            <v>0.48</v>
          </cell>
          <cell r="L60">
            <v>500000</v>
          </cell>
          <cell r="M60">
            <v>200</v>
          </cell>
          <cell r="N60">
            <v>7.95</v>
          </cell>
        </row>
        <row r="61">
          <cell r="C61" t="str">
            <v>INE790I14FB1</v>
          </cell>
          <cell r="D61" t="str">
            <v>FI35117CP211</v>
          </cell>
          <cell r="E61" t="str">
            <v>CMP</v>
          </cell>
          <cell r="F61" t="str">
            <v>HSBC InvestDirect Financial Services India Limited</v>
          </cell>
          <cell r="G61" t="str">
            <v>HSBC InvestDirect Financial Services India Ltd CP MD 13-11-2024</v>
          </cell>
          <cell r="H61">
            <v>0</v>
          </cell>
          <cell r="I61" t="str">
            <v>13-11-2024</v>
          </cell>
          <cell r="J61" t="str">
            <v>CRISIL A1+</v>
          </cell>
          <cell r="K61">
            <v>0.2</v>
          </cell>
          <cell r="L61">
            <v>500000</v>
          </cell>
          <cell r="M61">
            <v>200</v>
          </cell>
          <cell r="N61">
            <v>7.81</v>
          </cell>
        </row>
        <row r="62">
          <cell r="C62" t="str">
            <v>INE01GA16228</v>
          </cell>
          <cell r="D62" t="str">
            <v>FI3378CD206</v>
          </cell>
          <cell r="E62" t="str">
            <v>COD</v>
          </cell>
          <cell r="F62" t="str">
            <v>DBS BANK LTD</v>
          </cell>
          <cell r="G62" t="str">
            <v>DBS BANK LTD INDIA COD MD 07-03-2025</v>
          </cell>
          <cell r="H62">
            <v>0</v>
          </cell>
          <cell r="I62" t="str">
            <v>07-03-2025</v>
          </cell>
          <cell r="J62" t="str">
            <v>CRISIL A1+</v>
          </cell>
          <cell r="K62">
            <v>0.52</v>
          </cell>
          <cell r="L62">
            <v>500000</v>
          </cell>
          <cell r="M62">
            <v>200</v>
          </cell>
          <cell r="N62">
            <v>7.57</v>
          </cell>
        </row>
        <row r="63">
          <cell r="C63" t="str">
            <v>INE028A16EX5</v>
          </cell>
          <cell r="D63" t="str">
            <v>FI3369CD285</v>
          </cell>
          <cell r="E63" t="str">
            <v>COD</v>
          </cell>
          <cell r="F63" t="str">
            <v>Bank of Baroda</v>
          </cell>
          <cell r="G63" t="str">
            <v>Bank of Baroda COD MD 20-02-2025</v>
          </cell>
          <cell r="H63">
            <v>0</v>
          </cell>
          <cell r="I63" t="str">
            <v>20-02-2025</v>
          </cell>
          <cell r="J63" t="str">
            <v>IND A1+</v>
          </cell>
          <cell r="K63">
            <v>0.47</v>
          </cell>
          <cell r="L63">
            <v>500000</v>
          </cell>
          <cell r="M63">
            <v>300</v>
          </cell>
          <cell r="N63">
            <v>7.45</v>
          </cell>
        </row>
        <row r="64">
          <cell r="C64" t="str">
            <v>INE040A16EN1</v>
          </cell>
          <cell r="D64" t="str">
            <v>FI3310CD279</v>
          </cell>
          <cell r="E64" t="str">
            <v>COD</v>
          </cell>
          <cell r="F64" t="str">
            <v>HDFC Bank Ltd</v>
          </cell>
          <cell r="G64" t="str">
            <v>HDFC BANK LTD CD MD 20-02-2025</v>
          </cell>
          <cell r="H64">
            <v>0</v>
          </cell>
          <cell r="I64" t="str">
            <v>20-02-2025</v>
          </cell>
          <cell r="J64" t="str">
            <v>CRISIL A1+</v>
          </cell>
          <cell r="K64">
            <v>0.47</v>
          </cell>
          <cell r="L64">
            <v>500000</v>
          </cell>
          <cell r="M64">
            <v>200</v>
          </cell>
          <cell r="N64">
            <v>7.5067000000000004</v>
          </cell>
        </row>
        <row r="65">
          <cell r="C65" t="str">
            <v>INE040A16FA5</v>
          </cell>
          <cell r="D65" t="str">
            <v>FI3310CD285</v>
          </cell>
          <cell r="E65" t="str">
            <v>COD</v>
          </cell>
          <cell r="F65" t="str">
            <v>HDFC Bank Ltd</v>
          </cell>
          <cell r="G65" t="str">
            <v>Hdfc Bank Ltd COD MD 24-06-2025</v>
          </cell>
          <cell r="H65">
            <v>0</v>
          </cell>
          <cell r="I65" t="str">
            <v>24-06-2025</v>
          </cell>
          <cell r="J65" t="str">
            <v>CRISIL A1+</v>
          </cell>
          <cell r="K65">
            <v>0.81</v>
          </cell>
          <cell r="L65">
            <v>500000</v>
          </cell>
          <cell r="M65">
            <v>100</v>
          </cell>
          <cell r="N65">
            <v>7.5824999999999996</v>
          </cell>
        </row>
        <row r="66">
          <cell r="C66" t="str">
            <v>INE090AD6113</v>
          </cell>
          <cell r="D66" t="str">
            <v>FI3305CD366</v>
          </cell>
          <cell r="E66" t="str">
            <v>COD</v>
          </cell>
          <cell r="F66" t="str">
            <v>ICICI Bank Ltd</v>
          </cell>
          <cell r="G66" t="str">
            <v>ICICI Bank Ltd COD MD 31-01-2025</v>
          </cell>
          <cell r="H66">
            <v>0</v>
          </cell>
          <cell r="I66" t="str">
            <v>31-01-2025</v>
          </cell>
          <cell r="J66" t="str">
            <v>ICRA A1+</v>
          </cell>
          <cell r="K66">
            <v>0.42</v>
          </cell>
          <cell r="L66">
            <v>500000</v>
          </cell>
          <cell r="M66">
            <v>100</v>
          </cell>
          <cell r="N66">
            <v>7.4100999999999999</v>
          </cell>
        </row>
        <row r="67">
          <cell r="C67" t="str">
            <v>INE090AD6170</v>
          </cell>
          <cell r="D67" t="str">
            <v>FI3305CD371</v>
          </cell>
          <cell r="E67" t="str">
            <v>COD</v>
          </cell>
          <cell r="F67" t="str">
            <v>ICICI Bank Ltd</v>
          </cell>
          <cell r="G67" t="str">
            <v>ICICI Bank Ltd CD 25 07 2025</v>
          </cell>
          <cell r="H67">
            <v>0</v>
          </cell>
          <cell r="I67" t="str">
            <v>25-07-2025</v>
          </cell>
          <cell r="J67" t="str">
            <v>ICRA A1+</v>
          </cell>
          <cell r="K67">
            <v>0.9</v>
          </cell>
          <cell r="L67">
            <v>500000</v>
          </cell>
          <cell r="M67">
            <v>160</v>
          </cell>
          <cell r="N67">
            <v>7.6150000000000002</v>
          </cell>
        </row>
        <row r="68">
          <cell r="C68" t="str">
            <v>INE092T16WB9</v>
          </cell>
          <cell r="D68" t="str">
            <v>FI3437CD267</v>
          </cell>
          <cell r="E68" t="str">
            <v>COD</v>
          </cell>
          <cell r="F68" t="str">
            <v>IDFC First Bank Ltd</v>
          </cell>
          <cell r="G68" t="str">
            <v>IDFC FIRST BANK LTD COD MD 21-02-2025</v>
          </cell>
          <cell r="H68">
            <v>0</v>
          </cell>
          <cell r="I68" t="str">
            <v>21-02-2025</v>
          </cell>
          <cell r="J68" t="str">
            <v>CRISIL A1+</v>
          </cell>
          <cell r="K68">
            <v>0.48</v>
          </cell>
          <cell r="L68">
            <v>500000</v>
          </cell>
          <cell r="M68">
            <v>140</v>
          </cell>
          <cell r="N68">
            <v>7.5750000000000002</v>
          </cell>
        </row>
        <row r="69">
          <cell r="C69" t="str">
            <v>INE095A16V79</v>
          </cell>
          <cell r="D69" t="str">
            <v>FI3307CD337</v>
          </cell>
          <cell r="E69" t="str">
            <v>COD</v>
          </cell>
          <cell r="F69" t="str">
            <v>IndusInd Bank Ltd</v>
          </cell>
          <cell r="G69" t="str">
            <v>INDUSIND BANK LTD COD MD 24-02-2025</v>
          </cell>
          <cell r="H69">
            <v>0</v>
          </cell>
          <cell r="I69" t="str">
            <v>24-02-2025</v>
          </cell>
          <cell r="J69" t="str">
            <v>CRISIL A1+</v>
          </cell>
          <cell r="K69">
            <v>0.48</v>
          </cell>
          <cell r="L69">
            <v>500000</v>
          </cell>
          <cell r="M69">
            <v>140</v>
          </cell>
          <cell r="N69">
            <v>7.58</v>
          </cell>
        </row>
        <row r="70">
          <cell r="C70" t="str">
            <v>INE160A16OM8</v>
          </cell>
          <cell r="D70" t="str">
            <v>FI3316CD363</v>
          </cell>
          <cell r="E70" t="str">
            <v>COD</v>
          </cell>
          <cell r="F70" t="str">
            <v>Punjab National Bank</v>
          </cell>
          <cell r="G70" t="str">
            <v>PUNJAB NATIONAL BANK COD MD  25-02-2025</v>
          </cell>
          <cell r="H70">
            <v>0</v>
          </cell>
          <cell r="I70" t="str">
            <v>25-02-2025</v>
          </cell>
          <cell r="J70" t="str">
            <v>CRISIL A1+</v>
          </cell>
          <cell r="K70">
            <v>0.49</v>
          </cell>
          <cell r="L70">
            <v>500000</v>
          </cell>
          <cell r="M70">
            <v>400</v>
          </cell>
          <cell r="N70">
            <v>7.47</v>
          </cell>
        </row>
        <row r="71">
          <cell r="C71" t="str">
            <v>INE171A16LP4</v>
          </cell>
          <cell r="D71" t="str">
            <v>FI3326CD249</v>
          </cell>
          <cell r="E71" t="str">
            <v>COD</v>
          </cell>
          <cell r="F71" t="str">
            <v>The Federal Bank Ltd</v>
          </cell>
          <cell r="G71" t="str">
            <v>Federal Bank Ltd CD MD 04-02-2025</v>
          </cell>
          <cell r="H71">
            <v>0</v>
          </cell>
          <cell r="I71" t="str">
            <v>04-02-2025</v>
          </cell>
          <cell r="J71" t="str">
            <v>CRISIL A1+</v>
          </cell>
          <cell r="K71">
            <v>0.43</v>
          </cell>
          <cell r="L71">
            <v>500000</v>
          </cell>
          <cell r="M71">
            <v>100</v>
          </cell>
          <cell r="N71">
            <v>7.5800999999999998</v>
          </cell>
        </row>
        <row r="72">
          <cell r="C72" t="str">
            <v>INE237A164X3</v>
          </cell>
          <cell r="D72" t="str">
            <v>FI3332CD273</v>
          </cell>
          <cell r="E72" t="str">
            <v>COD</v>
          </cell>
          <cell r="F72" t="str">
            <v>Kotak Mahindra Bank Ltd</v>
          </cell>
          <cell r="G72" t="str">
            <v>KOTAK MAHINDRA BANK COD MD 13-12-2024</v>
          </cell>
          <cell r="H72">
            <v>0</v>
          </cell>
          <cell r="I72" t="str">
            <v>13-12-2024</v>
          </cell>
          <cell r="J72" t="str">
            <v>CRISIL A1+</v>
          </cell>
          <cell r="K72">
            <v>0.28000000000000003</v>
          </cell>
          <cell r="L72">
            <v>500000</v>
          </cell>
          <cell r="M72">
            <v>200</v>
          </cell>
          <cell r="N72">
            <v>7.3150000000000004</v>
          </cell>
        </row>
        <row r="73">
          <cell r="C73" t="str">
            <v>INE261F16793</v>
          </cell>
          <cell r="D73" t="str">
            <v>FI35NACD353</v>
          </cell>
          <cell r="E73" t="str">
            <v>COD</v>
          </cell>
          <cell r="F73" t="str">
            <v>National Bank for Agriculture &amp; Rural Development</v>
          </cell>
          <cell r="G73" t="str">
            <v>NABARD CD MD 12-02-2025</v>
          </cell>
          <cell r="H73">
            <v>0</v>
          </cell>
          <cell r="I73" t="str">
            <v>12-02-2025</v>
          </cell>
          <cell r="J73" t="str">
            <v>CRISIL A1+</v>
          </cell>
          <cell r="K73">
            <v>0.45</v>
          </cell>
          <cell r="L73">
            <v>500000</v>
          </cell>
          <cell r="M73">
            <v>200</v>
          </cell>
          <cell r="N73">
            <v>7.5225</v>
          </cell>
        </row>
        <row r="74">
          <cell r="C74" t="str">
            <v>INE476A16YB0</v>
          </cell>
          <cell r="D74" t="str">
            <v>FI3320CD471</v>
          </cell>
          <cell r="E74" t="str">
            <v>COD</v>
          </cell>
          <cell r="F74" t="str">
            <v>Canara Bank</v>
          </cell>
          <cell r="G74" t="str">
            <v>CANARA BANK COD MD 20-03-2025</v>
          </cell>
          <cell r="H74">
            <v>0</v>
          </cell>
          <cell r="I74" t="str">
            <v>20-03-2025</v>
          </cell>
          <cell r="J74" t="str">
            <v>CRISIL A1+</v>
          </cell>
          <cell r="K74">
            <v>0.55000000000000004</v>
          </cell>
          <cell r="L74">
            <v>500000</v>
          </cell>
          <cell r="M74">
            <v>300</v>
          </cell>
          <cell r="N74">
            <v>7.49</v>
          </cell>
        </row>
        <row r="75">
          <cell r="C75" t="str">
            <v>INE562A16MZ1</v>
          </cell>
          <cell r="D75" t="str">
            <v>FI3345CD302</v>
          </cell>
          <cell r="E75" t="str">
            <v>COD</v>
          </cell>
          <cell r="F75" t="str">
            <v>Indian Bank</v>
          </cell>
          <cell r="G75" t="str">
            <v>INDIAN BANK LTD COD MD 23-05-2025</v>
          </cell>
          <cell r="H75">
            <v>0</v>
          </cell>
          <cell r="I75" t="str">
            <v>23-05-2025</v>
          </cell>
          <cell r="J75" t="str">
            <v>CRISIL A1+</v>
          </cell>
          <cell r="K75">
            <v>0.73</v>
          </cell>
          <cell r="L75">
            <v>500000</v>
          </cell>
          <cell r="M75">
            <v>300</v>
          </cell>
          <cell r="N75">
            <v>7.59</v>
          </cell>
        </row>
        <row r="76">
          <cell r="C76" t="str">
            <v>INE692A16GZ8</v>
          </cell>
          <cell r="D76" t="str">
            <v>FI3321CD266</v>
          </cell>
          <cell r="E76" t="str">
            <v>COD</v>
          </cell>
          <cell r="F76" t="str">
            <v>Union Bank of India</v>
          </cell>
          <cell r="G76" t="str">
            <v>UNION BANK OF INDIA COD MD 27-02-2025</v>
          </cell>
          <cell r="H76">
            <v>0</v>
          </cell>
          <cell r="I76" t="str">
            <v>27-02-2025</v>
          </cell>
          <cell r="J76" t="str">
            <v>ICRA A1+</v>
          </cell>
          <cell r="K76">
            <v>0.49</v>
          </cell>
          <cell r="L76">
            <v>500000</v>
          </cell>
          <cell r="M76">
            <v>100</v>
          </cell>
          <cell r="N76">
            <v>7.4901</v>
          </cell>
        </row>
        <row r="77">
          <cell r="C77" t="str">
            <v>IN002024Z073</v>
          </cell>
          <cell r="D77" t="str">
            <v>364TBL150525</v>
          </cell>
          <cell r="E77" t="str">
            <v>TBL</v>
          </cell>
          <cell r="F77" t="str">
            <v>Govt. of India - GSec / TBL</v>
          </cell>
          <cell r="G77" t="str">
            <v>364 Days - T Bill - 15/05/2025</v>
          </cell>
          <cell r="H77">
            <v>0</v>
          </cell>
          <cell r="I77" t="str">
            <v>15-05-2025</v>
          </cell>
          <cell r="J77" t="str">
            <v>Sovereign</v>
          </cell>
          <cell r="K77">
            <v>0.7</v>
          </cell>
          <cell r="L77">
            <v>100</v>
          </cell>
          <cell r="M77">
            <v>1000000</v>
          </cell>
          <cell r="N77">
            <v>6.7050000000000001</v>
          </cell>
        </row>
        <row r="78">
          <cell r="C78" t="str">
            <v>INE121A08PJ0</v>
          </cell>
          <cell r="D78" t="str">
            <v>FI3431CCD200</v>
          </cell>
          <cell r="E78" t="str">
            <v>CCD</v>
          </cell>
          <cell r="F78" t="str">
            <v>Cholamandalam Investment and Finance Company Ltd</v>
          </cell>
          <cell r="G78" t="str">
            <v>7.5% Cholamandalam Investment And Company Ltd CCD 30 09 2026</v>
          </cell>
          <cell r="H78">
            <v>7.5</v>
          </cell>
          <cell r="I78" t="str">
            <v>30-09-2026</v>
          </cell>
          <cell r="J78" t="str">
            <v xml:space="preserve"> UNRATED</v>
          </cell>
          <cell r="K78">
            <v>1.9121999999999999</v>
          </cell>
          <cell r="L78">
            <v>100000</v>
          </cell>
          <cell r="M78">
            <v>1750</v>
          </cell>
          <cell r="N78">
            <v>8.4049999999999994</v>
          </cell>
        </row>
        <row r="79">
          <cell r="C79" t="str">
            <v>INE115A14EX5</v>
          </cell>
          <cell r="D79" t="str">
            <v>FILICCP235</v>
          </cell>
          <cell r="E79" t="str">
            <v>CMP</v>
          </cell>
          <cell r="F79" t="str">
            <v>LIC Housing Finance Ltd</v>
          </cell>
          <cell r="G79" t="str">
            <v>LIC Housing Finance Ltd CP MD 21-03-2025</v>
          </cell>
          <cell r="H79">
            <v>0</v>
          </cell>
          <cell r="I79" t="str">
            <v>21-03-2025</v>
          </cell>
          <cell r="J79" t="str">
            <v>CRISIL A1+</v>
          </cell>
          <cell r="K79">
            <v>0.55000000000000004</v>
          </cell>
          <cell r="L79">
            <v>500000</v>
          </cell>
          <cell r="M79">
            <v>300</v>
          </cell>
          <cell r="N79">
            <v>7.52</v>
          </cell>
        </row>
        <row r="80">
          <cell r="C80" t="str">
            <v>INE040A16EH3</v>
          </cell>
          <cell r="D80" t="str">
            <v>FI3310CD277</v>
          </cell>
          <cell r="E80" t="str">
            <v>COD</v>
          </cell>
          <cell r="F80" t="str">
            <v>HDFC Bank Ltd</v>
          </cell>
          <cell r="G80" t="str">
            <v>HDFC Bank Ltd - CD - 06/12/2024</v>
          </cell>
          <cell r="H80">
            <v>0</v>
          </cell>
          <cell r="I80" t="str">
            <v>06-12-2024</v>
          </cell>
          <cell r="J80" t="str">
            <v>CRISIL A1+</v>
          </cell>
          <cell r="K80">
            <v>0.27</v>
          </cell>
          <cell r="L80">
            <v>500000</v>
          </cell>
          <cell r="M80">
            <v>200</v>
          </cell>
          <cell r="N80">
            <v>7.35</v>
          </cell>
        </row>
        <row r="81">
          <cell r="C81" t="str">
            <v>INE040A16FA5</v>
          </cell>
          <cell r="D81" t="str">
            <v>FI3310CD285</v>
          </cell>
          <cell r="E81" t="str">
            <v>COD</v>
          </cell>
          <cell r="F81" t="str">
            <v>HDFC Bank Ltd</v>
          </cell>
          <cell r="G81" t="str">
            <v>Hdfc Bank Ltd COD MD 24-06-2025</v>
          </cell>
          <cell r="H81">
            <v>0</v>
          </cell>
          <cell r="I81" t="str">
            <v>24-06-2025</v>
          </cell>
          <cell r="J81" t="str">
            <v>CRISIL A1+</v>
          </cell>
          <cell r="K81">
            <v>0.81</v>
          </cell>
          <cell r="L81">
            <v>500000</v>
          </cell>
          <cell r="M81">
            <v>400</v>
          </cell>
          <cell r="N81">
            <v>7.5824999999999996</v>
          </cell>
        </row>
        <row r="82">
          <cell r="C82" t="str">
            <v>IN0020210160</v>
          </cell>
          <cell r="D82" t="str">
            <v>4.04GOI041028</v>
          </cell>
          <cell r="E82" t="str">
            <v>GSE</v>
          </cell>
          <cell r="F82" t="str">
            <v>Govt. of India - GSec / TBL</v>
          </cell>
          <cell r="G82" t="str">
            <v>7.72% Central Government Securities_Floating Rate Bond 04/10/2028 (Previous 7.69)</v>
          </cell>
          <cell r="H82">
            <v>7.72</v>
          </cell>
          <cell r="I82" t="str">
            <v>04-10-2028</v>
          </cell>
          <cell r="J82" t="str">
            <v>Sovereign</v>
          </cell>
          <cell r="K82">
            <v>0</v>
          </cell>
          <cell r="L82">
            <v>100</v>
          </cell>
          <cell r="M82">
            <v>1500000</v>
          </cell>
          <cell r="N82">
            <v>7.440703281395125</v>
          </cell>
        </row>
        <row r="83">
          <cell r="C83" t="str">
            <v>IN0020220011</v>
          </cell>
          <cell r="D83" t="str">
            <v>7.10GSE180429</v>
          </cell>
          <cell r="E83" t="str">
            <v>GSE</v>
          </cell>
          <cell r="F83" t="str">
            <v>Govt. of India - GSec / TBL</v>
          </cell>
          <cell r="G83" t="str">
            <v>7.10% Central Government Securities 18/04/2029</v>
          </cell>
          <cell r="H83">
            <v>7.1</v>
          </cell>
          <cell r="I83" t="str">
            <v>18-04-2029</v>
          </cell>
          <cell r="J83" t="str">
            <v>Sovereign</v>
          </cell>
          <cell r="K83">
            <v>3.931</v>
          </cell>
          <cell r="L83">
            <v>100</v>
          </cell>
          <cell r="M83">
            <v>2500000</v>
          </cell>
          <cell r="N83">
            <v>6.9036</v>
          </cell>
        </row>
        <row r="84">
          <cell r="C84" t="str">
            <v>IN0020220037</v>
          </cell>
          <cell r="D84" t="str">
            <v>7.38GSEC200627</v>
          </cell>
          <cell r="E84" t="str">
            <v>GSE</v>
          </cell>
          <cell r="F84" t="str">
            <v>Govt. of India - GSec / TBL</v>
          </cell>
          <cell r="G84" t="str">
            <v>7.38% Central Government Securities 20/06/2027</v>
          </cell>
          <cell r="H84">
            <v>7.38</v>
          </cell>
          <cell r="I84" t="str">
            <v>20-06-2027</v>
          </cell>
          <cell r="J84" t="str">
            <v>Sovereign</v>
          </cell>
          <cell r="K84">
            <v>2.5507</v>
          </cell>
          <cell r="L84">
            <v>100</v>
          </cell>
          <cell r="M84">
            <v>4000000</v>
          </cell>
          <cell r="N84">
            <v>6.8636999999999997</v>
          </cell>
        </row>
        <row r="85">
          <cell r="C85" t="str">
            <v>IN0020230051</v>
          </cell>
          <cell r="D85" t="str">
            <v>7.30GSE190653</v>
          </cell>
          <cell r="E85" t="str">
            <v>GSE</v>
          </cell>
          <cell r="F85" t="str">
            <v>Govt. of India - GSec / TBL</v>
          </cell>
          <cell r="G85" t="str">
            <v>7.30% Government Securities - 19/06/2053</v>
          </cell>
          <cell r="H85">
            <v>7.3</v>
          </cell>
          <cell r="I85" t="str">
            <v>19-06-2053</v>
          </cell>
          <cell r="J85" t="str">
            <v>Sovereign</v>
          </cell>
          <cell r="K85">
            <v>12.4847</v>
          </cell>
          <cell r="L85">
            <v>100</v>
          </cell>
          <cell r="M85">
            <v>2500000</v>
          </cell>
          <cell r="N85">
            <v>7.1218000000000004</v>
          </cell>
        </row>
        <row r="86">
          <cell r="C86" t="str">
            <v>IN0020230077</v>
          </cell>
          <cell r="D86" t="str">
            <v>7.18GSE240737</v>
          </cell>
          <cell r="E86" t="str">
            <v>GSE</v>
          </cell>
          <cell r="F86" t="str">
            <v>Govt. of India - GSec / TBL</v>
          </cell>
          <cell r="G86" t="str">
            <v>7.18%  Government Securities - 24/07/2037</v>
          </cell>
          <cell r="H86">
            <v>7.18</v>
          </cell>
          <cell r="I86" t="str">
            <v>24-07-2037</v>
          </cell>
          <cell r="J86" t="str">
            <v>Sovereign</v>
          </cell>
          <cell r="K86">
            <v>8.6118000000000006</v>
          </cell>
          <cell r="L86">
            <v>100</v>
          </cell>
          <cell r="M86">
            <v>3000000</v>
          </cell>
          <cell r="N86">
            <v>7.0292000000000003</v>
          </cell>
        </row>
        <row r="87">
          <cell r="C87" t="str">
            <v>IN0020230085</v>
          </cell>
          <cell r="D87" t="str">
            <v>7.18GSE140833</v>
          </cell>
          <cell r="E87" t="str">
            <v>GSE</v>
          </cell>
          <cell r="F87" t="str">
            <v>Govt. of India - GSec / TBL</v>
          </cell>
          <cell r="G87" t="str">
            <v>7.18%  Government Securities - 14/08/2033</v>
          </cell>
          <cell r="H87">
            <v>7.18</v>
          </cell>
          <cell r="I87" t="str">
            <v>14-08-2033</v>
          </cell>
          <cell r="J87" t="str">
            <v>Sovereign</v>
          </cell>
          <cell r="K87">
            <v>6.7575000000000003</v>
          </cell>
          <cell r="L87">
            <v>100</v>
          </cell>
          <cell r="M87">
            <v>20000000</v>
          </cell>
          <cell r="N87">
            <v>7.0125000000000002</v>
          </cell>
        </row>
        <row r="88">
          <cell r="C88" t="str">
            <v>IN0020230101</v>
          </cell>
          <cell r="D88" t="str">
            <v>7.37GSE231028</v>
          </cell>
          <cell r="E88" t="str">
            <v>GSE</v>
          </cell>
          <cell r="F88" t="str">
            <v>Govt. of India - GSec / TBL</v>
          </cell>
          <cell r="G88" t="str">
            <v>7.37% Government Securities-23/10/2028</v>
          </cell>
          <cell r="H88">
            <v>7.37</v>
          </cell>
          <cell r="I88" t="str">
            <v>23-10-2028</v>
          </cell>
          <cell r="J88" t="str">
            <v>Sovereign</v>
          </cell>
          <cell r="K88">
            <v>3.5627</v>
          </cell>
          <cell r="L88">
            <v>100</v>
          </cell>
          <cell r="M88">
            <v>500000</v>
          </cell>
          <cell r="N88">
            <v>6.8971999999999998</v>
          </cell>
        </row>
        <row r="89">
          <cell r="C89" t="str">
            <v>IN0020240019</v>
          </cell>
          <cell r="D89" t="str">
            <v>7.10GSE080434</v>
          </cell>
          <cell r="E89" t="str">
            <v>GSE</v>
          </cell>
          <cell r="F89" t="str">
            <v>Govt. of India - GSec / TBL</v>
          </cell>
          <cell r="G89" t="str">
            <v>7.10% Central Government Securities 08/04/2034</v>
          </cell>
          <cell r="H89">
            <v>7.1</v>
          </cell>
          <cell r="I89" t="str">
            <v>08-04-2034</v>
          </cell>
          <cell r="J89" t="str">
            <v>Sovereign</v>
          </cell>
          <cell r="K89">
            <v>6.9535999999999998</v>
          </cell>
          <cell r="L89">
            <v>100</v>
          </cell>
          <cell r="M89">
            <v>10000000</v>
          </cell>
          <cell r="N89">
            <v>6.9809000000000001</v>
          </cell>
        </row>
        <row r="90">
          <cell r="C90" t="str">
            <v>IN0020240027</v>
          </cell>
          <cell r="D90" t="str">
            <v>7.23GSE150439</v>
          </cell>
          <cell r="E90" t="str">
            <v>GSE</v>
          </cell>
          <cell r="F90" t="str">
            <v>Govt. of India - GSec / TBL</v>
          </cell>
          <cell r="G90" t="str">
            <v>7.23% Central Government Securities 15/04/2039</v>
          </cell>
          <cell r="H90">
            <v>7.23</v>
          </cell>
          <cell r="I90" t="str">
            <v>15-04-2039</v>
          </cell>
          <cell r="J90" t="str">
            <v>Sovereign</v>
          </cell>
          <cell r="K90">
            <v>9.1001999999999992</v>
          </cell>
          <cell r="L90">
            <v>100</v>
          </cell>
          <cell r="M90">
            <v>10000000</v>
          </cell>
          <cell r="N90">
            <v>7.0350000000000001</v>
          </cell>
        </row>
        <row r="91">
          <cell r="C91" t="str">
            <v>IN0020240035</v>
          </cell>
          <cell r="D91" t="str">
            <v>7.34GSE220464</v>
          </cell>
          <cell r="E91" t="str">
            <v>GSE</v>
          </cell>
          <cell r="F91" t="str">
            <v>Govt. of India - GSec / TBL</v>
          </cell>
          <cell r="G91" t="str">
            <v>7.34% Central Government Securities 22/04/2064</v>
          </cell>
          <cell r="H91">
            <v>7.34</v>
          </cell>
          <cell r="I91" t="str">
            <v>22-04-2064</v>
          </cell>
          <cell r="J91" t="str">
            <v>Sovereign</v>
          </cell>
          <cell r="K91">
            <v>13.3651</v>
          </cell>
          <cell r="L91">
            <v>100</v>
          </cell>
          <cell r="M91">
            <v>500000</v>
          </cell>
          <cell r="N91">
            <v>7.1558000000000002</v>
          </cell>
        </row>
        <row r="92">
          <cell r="C92" t="str">
            <v>IN3120230484</v>
          </cell>
          <cell r="D92" t="str">
            <v>7.44TNSG20034</v>
          </cell>
          <cell r="E92" t="str">
            <v>GSE</v>
          </cell>
          <cell r="F92" t="str">
            <v>Govt. of India - GSec / TBL</v>
          </cell>
          <cell r="G92" t="str">
            <v>7.44% Tamil Nadu State Government Securities -20/03/2034</v>
          </cell>
          <cell r="H92">
            <v>7.44</v>
          </cell>
          <cell r="I92" t="str">
            <v>20-03-2034</v>
          </cell>
          <cell r="J92" t="str">
            <v>Sovereign</v>
          </cell>
          <cell r="K92">
            <v>6.8034999999999997</v>
          </cell>
          <cell r="L92">
            <v>100</v>
          </cell>
          <cell r="M92">
            <v>1270000</v>
          </cell>
          <cell r="N92">
            <v>7.3430999999999997</v>
          </cell>
        </row>
        <row r="93">
          <cell r="C93" t="str">
            <v>INE018A08BA7</v>
          </cell>
          <cell r="D93" t="str">
            <v>CN2206NCD202</v>
          </cell>
          <cell r="E93" t="str">
            <v>NCD</v>
          </cell>
          <cell r="F93" t="str">
            <v>Larsen &amp; Toubro Ltd</v>
          </cell>
          <cell r="G93" t="str">
            <v>7.70% Larsen &amp; Toubro Ltd. 28-Apr-2025</v>
          </cell>
          <cell r="H93">
            <v>7.7</v>
          </cell>
          <cell r="I93" t="str">
            <v>28-04-2025</v>
          </cell>
          <cell r="J93" t="str">
            <v>CRISIL AAA</v>
          </cell>
          <cell r="K93">
            <v>0.65480000000000005</v>
          </cell>
          <cell r="L93">
            <v>1000000</v>
          </cell>
          <cell r="M93">
            <v>100</v>
          </cell>
          <cell r="N93">
            <v>7.5949999999999998</v>
          </cell>
        </row>
        <row r="94">
          <cell r="C94" t="str">
            <v>INE020B08EI8</v>
          </cell>
          <cell r="D94" t="str">
            <v>UT47NC314</v>
          </cell>
          <cell r="E94" t="str">
            <v>NCD</v>
          </cell>
          <cell r="F94" t="str">
            <v>REC LTD</v>
          </cell>
          <cell r="G94" t="str">
            <v>7.51% REC LTD NCD MD 31-07-2026</v>
          </cell>
          <cell r="H94">
            <v>7.51</v>
          </cell>
          <cell r="I94" t="str">
            <v>31-07-2026</v>
          </cell>
          <cell r="J94" t="str">
            <v>CRISIL AAA</v>
          </cell>
          <cell r="K94">
            <v>1.8424</v>
          </cell>
          <cell r="L94">
            <v>100000</v>
          </cell>
          <cell r="M94">
            <v>1000</v>
          </cell>
          <cell r="N94">
            <v>7.5949999999999998</v>
          </cell>
        </row>
        <row r="95">
          <cell r="C95" t="str">
            <v>INE020B08EL2</v>
          </cell>
          <cell r="D95" t="str">
            <v>UT47NC316</v>
          </cell>
          <cell r="E95" t="str">
            <v>NCD</v>
          </cell>
          <cell r="F95" t="str">
            <v>REC LTD</v>
          </cell>
          <cell r="G95" t="str">
            <v>7.44% REC NCD MD  30.04.2026</v>
          </cell>
          <cell r="H95">
            <v>7.44</v>
          </cell>
          <cell r="I95" t="str">
            <v>30-04-2026</v>
          </cell>
          <cell r="J95" t="str">
            <v>CRISIL AAA</v>
          </cell>
          <cell r="K95">
            <v>1.6026</v>
          </cell>
          <cell r="L95">
            <v>100000</v>
          </cell>
          <cell r="M95">
            <v>1000</v>
          </cell>
          <cell r="N95">
            <v>7.59</v>
          </cell>
        </row>
        <row r="96">
          <cell r="C96" t="str">
            <v>INE020B08FF1</v>
          </cell>
          <cell r="D96" t="str">
            <v>UT47NC321</v>
          </cell>
          <cell r="E96" t="str">
            <v>NCD</v>
          </cell>
          <cell r="F96" t="str">
            <v>REC LTD</v>
          </cell>
          <cell r="G96" t="str">
            <v>7.56% REC LTD NCD MD 31-08-2027  236-B</v>
          </cell>
          <cell r="H96">
            <v>7.56</v>
          </cell>
          <cell r="I96" t="str">
            <v>31-08-2027</v>
          </cell>
          <cell r="J96" t="str">
            <v>ICRA AAA</v>
          </cell>
          <cell r="K96">
            <v>2.7915000000000001</v>
          </cell>
          <cell r="L96">
            <v>100000</v>
          </cell>
          <cell r="M96">
            <v>2000</v>
          </cell>
          <cell r="N96">
            <v>7.4924999999999997</v>
          </cell>
        </row>
        <row r="97">
          <cell r="C97" t="str">
            <v>INE040A08666</v>
          </cell>
          <cell r="D97" t="str">
            <v>FI301NC231</v>
          </cell>
          <cell r="E97" t="str">
            <v>NCD</v>
          </cell>
          <cell r="F97" t="str">
            <v>HDFC Bank Ltd (Prev HDFC Ltd)</v>
          </cell>
          <cell r="G97" t="str">
            <v>7.80% HDFC Bank Ltd (Prev HDFC Ltd) NCD MD 03-05-2033</v>
          </cell>
          <cell r="H97">
            <v>7.8</v>
          </cell>
          <cell r="I97" t="str">
            <v>03-05-2033</v>
          </cell>
          <cell r="J97" t="str">
            <v>CRISIL AAA</v>
          </cell>
          <cell r="K97">
            <v>6.4743000000000004</v>
          </cell>
          <cell r="L97">
            <v>100000</v>
          </cell>
          <cell r="M97">
            <v>1500</v>
          </cell>
          <cell r="N97">
            <v>7.5995999999999997</v>
          </cell>
        </row>
        <row r="98">
          <cell r="C98" t="str">
            <v>INE040A08989</v>
          </cell>
          <cell r="D98" t="str">
            <v>FI3301NC363</v>
          </cell>
          <cell r="E98" t="str">
            <v>NCD</v>
          </cell>
          <cell r="F98" t="str">
            <v>HDFC Bank Ltd (Prev HDFC Ltd)</v>
          </cell>
          <cell r="G98" t="str">
            <v>7.35% HDFC Bank Ltd (Prev HDFC Ltd) (Sr W-008) 10FEB25 NCD</v>
          </cell>
          <cell r="H98">
            <v>7.35</v>
          </cell>
          <cell r="I98" t="str">
            <v>10-02-2025</v>
          </cell>
          <cell r="J98" t="str">
            <v>ICRA AAA</v>
          </cell>
          <cell r="K98">
            <v>0.44259999999999999</v>
          </cell>
          <cell r="L98">
            <v>1000000</v>
          </cell>
          <cell r="M98">
            <v>150</v>
          </cell>
          <cell r="N98">
            <v>7.85</v>
          </cell>
        </row>
        <row r="99">
          <cell r="C99" t="str">
            <v>INE040A08AH8</v>
          </cell>
          <cell r="D99" t="str">
            <v>FI3301NC367</v>
          </cell>
          <cell r="E99" t="str">
            <v>NCD</v>
          </cell>
          <cell r="F99" t="str">
            <v>HDFC Bank Ltd (Prev HDFC Ltd)</v>
          </cell>
          <cell r="G99" t="str">
            <v>7.40% HDFC Bank Ltd (Prev HDFC Ltd)-NCD-02/06/2025</v>
          </cell>
          <cell r="H99">
            <v>7.4</v>
          </cell>
          <cell r="I99" t="str">
            <v>02-06-2025</v>
          </cell>
          <cell r="J99" t="str">
            <v>ICRA AAA</v>
          </cell>
          <cell r="K99">
            <v>0.75070000000000003</v>
          </cell>
          <cell r="L99">
            <v>1000000</v>
          </cell>
          <cell r="M99">
            <v>250</v>
          </cell>
          <cell r="N99">
            <v>7.91</v>
          </cell>
        </row>
        <row r="100">
          <cell r="C100" t="str">
            <v>INE041007100</v>
          </cell>
          <cell r="D100" t="str">
            <v>FI3346NC200</v>
          </cell>
          <cell r="E100" t="str">
            <v>NCD</v>
          </cell>
          <cell r="F100" t="str">
            <v>Embassy Office Parks REIT</v>
          </cell>
          <cell r="G100" t="str">
            <v>7.77% Embassy Office Parks REIT NCD MD 05.06.2025 Series VII NCD Call 05-03-2025</v>
          </cell>
          <cell r="H100">
            <v>7.77</v>
          </cell>
          <cell r="I100" t="str">
            <v>05-06-2025</v>
          </cell>
          <cell r="J100" t="str">
            <v>CRISIL AAA</v>
          </cell>
          <cell r="K100">
            <v>0.73370000000000002</v>
          </cell>
          <cell r="L100">
            <v>100000</v>
          </cell>
          <cell r="M100">
            <v>1500</v>
          </cell>
          <cell r="N100">
            <v>8.1850000000000005</v>
          </cell>
        </row>
        <row r="101">
          <cell r="C101" t="str">
            <v>INE053F08296</v>
          </cell>
          <cell r="D101" t="str">
            <v>FIIRFCNC213</v>
          </cell>
          <cell r="E101" t="str">
            <v>NCD</v>
          </cell>
          <cell r="F101" t="str">
            <v>Indian Railway Finance Corporation Ltd</v>
          </cell>
          <cell r="G101" t="str">
            <v>7.74%  Indian Railway Finance Corporation Ltd NCD MD 15.04.2038  BOND SERIES 170B 2038</v>
          </cell>
          <cell r="H101">
            <v>7.74</v>
          </cell>
          <cell r="I101" t="str">
            <v>15-04-2038</v>
          </cell>
          <cell r="J101" t="str">
            <v>CRISIL AAA</v>
          </cell>
          <cell r="K101">
            <v>8.4123999999999999</v>
          </cell>
          <cell r="L101">
            <v>100000</v>
          </cell>
          <cell r="M101">
            <v>1500</v>
          </cell>
          <cell r="N101">
            <v>7.3250000000000002</v>
          </cell>
        </row>
        <row r="102">
          <cell r="C102" t="str">
            <v>INE053F08338</v>
          </cell>
          <cell r="D102" t="str">
            <v>FI3567IRFC251</v>
          </cell>
          <cell r="E102" t="str">
            <v>NCD</v>
          </cell>
          <cell r="F102" t="str">
            <v>Indian Railway Finance Corporation Ltd</v>
          </cell>
          <cell r="G102" t="str">
            <v>7.68% Indian Railway Finance Corporation Ltd NCD MD 24-11-2026</v>
          </cell>
          <cell r="H102">
            <v>7.68</v>
          </cell>
          <cell r="I102" t="str">
            <v>24-11-2026</v>
          </cell>
          <cell r="J102" t="str">
            <v>CRISIL AAA</v>
          </cell>
          <cell r="K102">
            <v>2.0145</v>
          </cell>
          <cell r="L102">
            <v>100000</v>
          </cell>
          <cell r="M102">
            <v>2000</v>
          </cell>
          <cell r="N102">
            <v>7.48</v>
          </cell>
        </row>
        <row r="103">
          <cell r="C103" t="str">
            <v>INE0KUG08027</v>
          </cell>
          <cell r="D103" t="str">
            <v>FI35NBFINCD1</v>
          </cell>
          <cell r="E103" t="str">
            <v>NCD</v>
          </cell>
          <cell r="F103" t="str">
            <v>National Bank for Financing Infrastructure and Development</v>
          </cell>
          <cell r="G103" t="str">
            <v>7.65% National Bank for Financing Infrastructure and Development NCD 22-12-2038</v>
          </cell>
          <cell r="H103">
            <v>7.65</v>
          </cell>
          <cell r="I103" t="str">
            <v>22-12-2038</v>
          </cell>
          <cell r="J103" t="str">
            <v>CRISIL AAA</v>
          </cell>
          <cell r="K103">
            <v>8.8008000000000006</v>
          </cell>
          <cell r="L103">
            <v>100000</v>
          </cell>
          <cell r="M103">
            <v>2500</v>
          </cell>
          <cell r="N103">
            <v>7.3319999999999999</v>
          </cell>
        </row>
        <row r="104">
          <cell r="C104" t="str">
            <v>INE0KUG08035</v>
          </cell>
          <cell r="D104" t="str">
            <v>FI35NBFINCD2</v>
          </cell>
          <cell r="E104" t="str">
            <v>NCD</v>
          </cell>
          <cell r="F104" t="str">
            <v>National Bank for Financing Infrastructure and Development</v>
          </cell>
          <cell r="G104" t="str">
            <v>7.43% National Bank for Financing Infrastructure and Development NCD MD 04-07-2034 NABFID2025-1 PUT</v>
          </cell>
          <cell r="H104">
            <v>7.43</v>
          </cell>
          <cell r="I104" t="str">
            <v>04-07-2034</v>
          </cell>
          <cell r="J104" t="str">
            <v>CRISIL AAA</v>
          </cell>
          <cell r="K104">
            <v>7.2476000000000003</v>
          </cell>
          <cell r="L104">
            <v>100000</v>
          </cell>
          <cell r="M104">
            <v>2000</v>
          </cell>
          <cell r="N104">
            <v>7.3131000000000004</v>
          </cell>
        </row>
        <row r="105">
          <cell r="C105" t="str">
            <v>INE115A07PI6</v>
          </cell>
          <cell r="D105" t="str">
            <v>FILICNC363</v>
          </cell>
          <cell r="E105" t="str">
            <v>NCD</v>
          </cell>
          <cell r="F105" t="str">
            <v>LIC Housing Finance Ltd</v>
          </cell>
          <cell r="G105" t="str">
            <v>6.17% LIC Housing Finance Ltd-NCD-03/09/2026</v>
          </cell>
          <cell r="H105">
            <v>6.17</v>
          </cell>
          <cell r="I105" t="str">
            <v>03-09-2026</v>
          </cell>
          <cell r="J105" t="str">
            <v>CRISIL AAA</v>
          </cell>
          <cell r="K105">
            <v>1.8304</v>
          </cell>
          <cell r="L105">
            <v>1000000</v>
          </cell>
          <cell r="M105">
            <v>150</v>
          </cell>
          <cell r="N105">
            <v>7.85</v>
          </cell>
        </row>
        <row r="106">
          <cell r="C106" t="str">
            <v>INE115A07QD5</v>
          </cell>
          <cell r="D106" t="str">
            <v>FI35LICNC11</v>
          </cell>
          <cell r="E106" t="str">
            <v>NCD</v>
          </cell>
          <cell r="F106" t="str">
            <v>LIC Housing Finance Ltd</v>
          </cell>
          <cell r="G106" t="str">
            <v>7.82% LIC Housing Finance Ltd NCD 28 11 2025 (Trench 428 Reissue 2)</v>
          </cell>
          <cell r="H106">
            <v>7.82</v>
          </cell>
          <cell r="I106" t="str">
            <v>28-11-2025</v>
          </cell>
          <cell r="J106" t="str">
            <v>CRISIL AAA</v>
          </cell>
          <cell r="K106">
            <v>1.1678999999999999</v>
          </cell>
          <cell r="L106">
            <v>1000000</v>
          </cell>
          <cell r="M106">
            <v>150</v>
          </cell>
          <cell r="N106">
            <v>7.8550000000000004</v>
          </cell>
        </row>
        <row r="107">
          <cell r="C107" t="str">
            <v>INE115A07QH6</v>
          </cell>
          <cell r="D107" t="str">
            <v>FI35LICNC368</v>
          </cell>
          <cell r="E107" t="str">
            <v>NCD</v>
          </cell>
          <cell r="F107" t="str">
            <v>LIC Housing Finance Ltd</v>
          </cell>
          <cell r="G107" t="str">
            <v>8.0250% LIC Housing Finance Ltd- NCD 23-03-2033</v>
          </cell>
          <cell r="H107">
            <v>8.0250000000000004</v>
          </cell>
          <cell r="I107" t="str">
            <v>23-03-2033</v>
          </cell>
          <cell r="J107" t="str">
            <v>CRISIL AAA</v>
          </cell>
          <cell r="K107">
            <v>6.3272000000000004</v>
          </cell>
          <cell r="L107">
            <v>1000000</v>
          </cell>
          <cell r="M107">
            <v>250</v>
          </cell>
          <cell r="N107">
            <v>7.6375000000000002</v>
          </cell>
        </row>
        <row r="108">
          <cell r="C108" t="str">
            <v>INE134E08MB9</v>
          </cell>
          <cell r="D108" t="str">
            <v>FI35PFNC366</v>
          </cell>
          <cell r="E108" t="str">
            <v>NCD</v>
          </cell>
          <cell r="F108" t="str">
            <v>Power Finance Corporation Ltd</v>
          </cell>
          <cell r="G108" t="str">
            <v>7.82% Power Finance Corporation Ltd NCD 06-03-2038</v>
          </cell>
          <cell r="H108">
            <v>7.82</v>
          </cell>
          <cell r="I108" t="str">
            <v>06-03-2038</v>
          </cell>
          <cell r="J108" t="str">
            <v>CRISIL AAA</v>
          </cell>
          <cell r="K108">
            <v>8.5983999999999998</v>
          </cell>
          <cell r="L108">
            <v>100000</v>
          </cell>
          <cell r="M108">
            <v>2500</v>
          </cell>
          <cell r="N108">
            <v>7.3319000000000001</v>
          </cell>
        </row>
        <row r="109">
          <cell r="C109" t="str">
            <v>INE134E08MC7</v>
          </cell>
          <cell r="D109" t="str">
            <v>FI35PFCNC360</v>
          </cell>
          <cell r="E109" t="str">
            <v>NCD</v>
          </cell>
          <cell r="F109" t="str">
            <v>Power Finance Corporation Ltd</v>
          </cell>
          <cell r="G109" t="str">
            <v>7.77%  Power Finance Corporation Ltd NCD 15/07/2026</v>
          </cell>
          <cell r="H109">
            <v>7.77</v>
          </cell>
          <cell r="I109" t="str">
            <v>15-07-2026</v>
          </cell>
          <cell r="J109" t="str">
            <v>CRISIL AAA</v>
          </cell>
          <cell r="K109">
            <v>1.7494000000000001</v>
          </cell>
          <cell r="L109">
            <v>100000</v>
          </cell>
          <cell r="M109">
            <v>1500</v>
          </cell>
          <cell r="N109">
            <v>7.5919999999999996</v>
          </cell>
        </row>
        <row r="110">
          <cell r="C110" t="str">
            <v>INE134E08MJ2</v>
          </cell>
          <cell r="D110" t="str">
            <v>FI35PFNC367</v>
          </cell>
          <cell r="E110" t="str">
            <v>NCD</v>
          </cell>
          <cell r="F110" t="str">
            <v>Power Finance Corporation Ltd</v>
          </cell>
          <cell r="G110" t="str">
            <v>7.77% Power Finance Corporation Limited NCD MD 15/04/2028</v>
          </cell>
          <cell r="H110">
            <v>7.77</v>
          </cell>
          <cell r="I110" t="str">
            <v>15-04-2028</v>
          </cell>
          <cell r="J110" t="str">
            <v>CRISIL AAA</v>
          </cell>
          <cell r="K110">
            <v>3.1987000000000001</v>
          </cell>
          <cell r="L110">
            <v>100000</v>
          </cell>
          <cell r="M110">
            <v>1500</v>
          </cell>
          <cell r="N110">
            <v>7.4737999999999998</v>
          </cell>
        </row>
        <row r="111">
          <cell r="C111" t="str">
            <v>INE134E08MX3</v>
          </cell>
          <cell r="D111" t="str">
            <v>FI35PFCNC371</v>
          </cell>
          <cell r="E111" t="str">
            <v>NCD</v>
          </cell>
          <cell r="F111" t="str">
            <v>Power Finance Corporation Ltd</v>
          </cell>
          <cell r="G111" t="str">
            <v>7.60% Power Finance Corporation Limited NCD MD 13-04-2029</v>
          </cell>
          <cell r="H111">
            <v>7.6</v>
          </cell>
          <cell r="I111" t="str">
            <v>13-04-2029</v>
          </cell>
          <cell r="J111" t="str">
            <v>CRISIL AAA</v>
          </cell>
          <cell r="K111">
            <v>3.9156</v>
          </cell>
          <cell r="L111">
            <v>100000</v>
          </cell>
          <cell r="M111">
            <v>2500</v>
          </cell>
          <cell r="N111">
            <v>7.3977000000000004</v>
          </cell>
        </row>
        <row r="112">
          <cell r="C112" t="str">
            <v>INE134E08NB7</v>
          </cell>
          <cell r="D112" t="str">
            <v>FI35PFCNC372</v>
          </cell>
          <cell r="E112" t="str">
            <v>NCD</v>
          </cell>
          <cell r="F112" t="str">
            <v>Power Finance Corporation Ltd</v>
          </cell>
          <cell r="G112" t="str">
            <v>7.32% Power Finance Corporation Ltd NCD MD 15-07-2039</v>
          </cell>
          <cell r="H112">
            <v>7.32</v>
          </cell>
          <cell r="I112" t="str">
            <v>15-07-2039</v>
          </cell>
          <cell r="J112" t="str">
            <v>CRISIL AAA</v>
          </cell>
          <cell r="K112">
            <v>9.5164000000000009</v>
          </cell>
          <cell r="L112">
            <v>100000</v>
          </cell>
          <cell r="M112">
            <v>2500</v>
          </cell>
          <cell r="N112">
            <v>7.3118999999999996</v>
          </cell>
        </row>
        <row r="113">
          <cell r="C113" t="str">
            <v>INE261F08DP6</v>
          </cell>
          <cell r="D113" t="str">
            <v>FI35NANC302</v>
          </cell>
          <cell r="E113" t="str">
            <v>NCD</v>
          </cell>
          <cell r="F113" t="str">
            <v>National Bank for Agriculture &amp; Rural Development</v>
          </cell>
          <cell r="G113" t="str">
            <v>7.35% NABARD NCD 08-07-2025 BOND SERIES 23B</v>
          </cell>
          <cell r="H113">
            <v>7.35</v>
          </cell>
          <cell r="I113" t="str">
            <v>08-07-2025</v>
          </cell>
          <cell r="J113" t="str">
            <v>CRISIL AAA</v>
          </cell>
          <cell r="K113">
            <v>0.84930000000000005</v>
          </cell>
          <cell r="L113">
            <v>1000000</v>
          </cell>
          <cell r="M113">
            <v>150</v>
          </cell>
          <cell r="N113">
            <v>7.74</v>
          </cell>
        </row>
        <row r="114">
          <cell r="C114" t="str">
            <v>INE261F08DV4</v>
          </cell>
          <cell r="D114" t="str">
            <v>FI35NANC297</v>
          </cell>
          <cell r="E114" t="str">
            <v>NCD</v>
          </cell>
          <cell r="F114" t="str">
            <v>National Bank for Agriculture &amp; Rural Development</v>
          </cell>
          <cell r="G114" t="str">
            <v>7.62 NABARD NCD 31 01 2028</v>
          </cell>
          <cell r="H114">
            <v>7.62</v>
          </cell>
          <cell r="I114" t="str">
            <v>31-01-2028</v>
          </cell>
          <cell r="J114" t="str">
            <v>ICRA AAA</v>
          </cell>
          <cell r="K114">
            <v>3.0026999999999999</v>
          </cell>
          <cell r="L114">
            <v>100000</v>
          </cell>
          <cell r="M114">
            <v>2500</v>
          </cell>
          <cell r="N114">
            <v>7.55</v>
          </cell>
        </row>
        <row r="115">
          <cell r="C115" t="str">
            <v>INE261F08DX0</v>
          </cell>
          <cell r="D115" t="str">
            <v>FI35NANC298</v>
          </cell>
          <cell r="E115" t="str">
            <v>NCD</v>
          </cell>
          <cell r="F115" t="str">
            <v>National Bank for Agriculture &amp; Rural Development</v>
          </cell>
          <cell r="G115" t="str">
            <v>7.58%  NABARD- NCD-31/07/2026 SERIES 23H</v>
          </cell>
          <cell r="H115">
            <v>7.58</v>
          </cell>
          <cell r="I115" t="str">
            <v>31-07-2026</v>
          </cell>
          <cell r="J115" t="str">
            <v>CRISIL AAA</v>
          </cell>
          <cell r="K115">
            <v>1.8418000000000001</v>
          </cell>
          <cell r="L115">
            <v>100000</v>
          </cell>
          <cell r="M115">
            <v>3500</v>
          </cell>
          <cell r="N115">
            <v>7.68</v>
          </cell>
        </row>
        <row r="116">
          <cell r="C116" t="str">
            <v>INE261F08EF5</v>
          </cell>
          <cell r="D116" t="str">
            <v>FI35NANC304</v>
          </cell>
          <cell r="E116" t="str">
            <v>NCD</v>
          </cell>
          <cell r="F116" t="str">
            <v>National Bank for Agriculture &amp; Rural Development</v>
          </cell>
          <cell r="G116" t="str">
            <v>7.80% NABARD NCD MD 15-03-2027 Bonds Series 24E</v>
          </cell>
          <cell r="H116">
            <v>7.8</v>
          </cell>
          <cell r="I116" t="str">
            <v>15-03-2027</v>
          </cell>
          <cell r="J116" t="str">
            <v>ICRA AAA</v>
          </cell>
          <cell r="K116">
            <v>2.3229000000000002</v>
          </cell>
          <cell r="L116">
            <v>100000</v>
          </cell>
          <cell r="M116">
            <v>2500</v>
          </cell>
          <cell r="N116">
            <v>7.62</v>
          </cell>
        </row>
        <row r="117">
          <cell r="C117" t="str">
            <v>INE296A07SV1</v>
          </cell>
          <cell r="D117" t="str">
            <v>FI3505NC240</v>
          </cell>
          <cell r="E117" t="str">
            <v>NCD</v>
          </cell>
          <cell r="F117" t="str">
            <v>Bajaj Finance Ltd</v>
          </cell>
          <cell r="G117" t="str">
            <v>7.82% BAJAJ FINANCE LTD NCD MD 31-01-2034 PUT OPTION 08-02-2027</v>
          </cell>
          <cell r="H117">
            <v>7.82</v>
          </cell>
          <cell r="I117" t="str">
            <v>31-01-2034</v>
          </cell>
          <cell r="J117" t="str">
            <v>CRISIL AAA</v>
          </cell>
          <cell r="K117">
            <v>4.4710999999999999</v>
          </cell>
          <cell r="L117">
            <v>100000</v>
          </cell>
          <cell r="M117">
            <v>3000</v>
          </cell>
          <cell r="N117">
            <v>7.79</v>
          </cell>
        </row>
        <row r="118">
          <cell r="C118" t="str">
            <v>INE556F08KE8</v>
          </cell>
          <cell r="D118" t="str">
            <v>FI3405NCD200</v>
          </cell>
          <cell r="E118" t="str">
            <v>NCD</v>
          </cell>
          <cell r="F118" t="str">
            <v>Small Industries Development Bank of India</v>
          </cell>
          <cell r="G118" t="str">
            <v>Small Industries Development Bank of India NCD 25 11 2025</v>
          </cell>
          <cell r="H118">
            <v>7.47</v>
          </cell>
          <cell r="I118" t="str">
            <v>25-11-2025</v>
          </cell>
          <cell r="J118" t="str">
            <v>ICRA AAA</v>
          </cell>
          <cell r="K118">
            <v>1.1589</v>
          </cell>
          <cell r="L118">
            <v>1000000</v>
          </cell>
          <cell r="M118">
            <v>100</v>
          </cell>
          <cell r="N118">
            <v>7.8274999999999997</v>
          </cell>
        </row>
        <row r="119">
          <cell r="C119" t="str">
            <v>INE556F08KH1</v>
          </cell>
          <cell r="D119" t="str">
            <v>FI3405NC236</v>
          </cell>
          <cell r="E119" t="str">
            <v>NCD</v>
          </cell>
          <cell r="F119" t="str">
            <v>Small Industries Development Bank of India</v>
          </cell>
          <cell r="G119" t="str">
            <v>7.43%  Small Industries Development Bank of India NCD MD 31-08-2026 SERIES I</v>
          </cell>
          <cell r="H119">
            <v>7.43</v>
          </cell>
          <cell r="I119" t="str">
            <v>31-08-2026</v>
          </cell>
          <cell r="J119" t="str">
            <v>CRISIL AAA</v>
          </cell>
          <cell r="K119">
            <v>1.9278999999999999</v>
          </cell>
          <cell r="L119">
            <v>100000</v>
          </cell>
          <cell r="M119">
            <v>2500</v>
          </cell>
          <cell r="N119">
            <v>7.6875</v>
          </cell>
        </row>
        <row r="120">
          <cell r="C120" t="str">
            <v>INE556F08KM1</v>
          </cell>
          <cell r="D120" t="str">
            <v>FI3405NCD201</v>
          </cell>
          <cell r="E120" t="str">
            <v>NCD</v>
          </cell>
          <cell r="F120" t="str">
            <v>Small Industries Development Bank of India</v>
          </cell>
          <cell r="G120" t="str">
            <v>7.79% Small Industries Development Bank of India NCD 14-05-2027</v>
          </cell>
          <cell r="H120">
            <v>7.79</v>
          </cell>
          <cell r="I120" t="str">
            <v>14-05-2027</v>
          </cell>
          <cell r="J120" t="str">
            <v>CRISIL AAA</v>
          </cell>
          <cell r="K120">
            <v>2.4081999999999999</v>
          </cell>
          <cell r="L120">
            <v>100000</v>
          </cell>
          <cell r="M120">
            <v>2500</v>
          </cell>
          <cell r="N120">
            <v>7.6</v>
          </cell>
        </row>
        <row r="121">
          <cell r="C121" t="str">
            <v>INE557F08FS6</v>
          </cell>
          <cell r="D121" t="str">
            <v>FI3335NC245</v>
          </cell>
          <cell r="E121" t="str">
            <v>NCD</v>
          </cell>
          <cell r="F121" t="str">
            <v xml:space="preserve">National Housing Bank </v>
          </cell>
          <cell r="G121" t="str">
            <v>7.40% National Housing Bank NCD MD 16-07-2026</v>
          </cell>
          <cell r="H121">
            <v>7.4</v>
          </cell>
          <cell r="I121" t="str">
            <v>16-07-2026</v>
          </cell>
          <cell r="J121" t="str">
            <v>CRISIL AAA</v>
          </cell>
          <cell r="K121">
            <v>1.7949999999999999</v>
          </cell>
          <cell r="L121">
            <v>100000</v>
          </cell>
          <cell r="M121">
            <v>1000</v>
          </cell>
          <cell r="N121">
            <v>7.53</v>
          </cell>
        </row>
        <row r="122">
          <cell r="C122" t="str">
            <v>INE752E08734</v>
          </cell>
          <cell r="D122" t="str">
            <v>UT4716NC267</v>
          </cell>
          <cell r="E122" t="str">
            <v>NCD</v>
          </cell>
          <cell r="F122" t="str">
            <v>Power Grid Corporation of India Ltd</v>
          </cell>
          <cell r="G122" t="str">
            <v>7.35% Power Grid Corporation of India Ltd-NCD-12/03/2034</v>
          </cell>
          <cell r="H122">
            <v>7.35</v>
          </cell>
          <cell r="I122" t="str">
            <v>12-03-2034</v>
          </cell>
          <cell r="J122" t="str">
            <v>CRISIL AAA</v>
          </cell>
          <cell r="K122">
            <v>6.9469000000000003</v>
          </cell>
          <cell r="L122">
            <v>100000</v>
          </cell>
          <cell r="M122">
            <v>1500</v>
          </cell>
          <cell r="N122">
            <v>7.31</v>
          </cell>
        </row>
        <row r="123">
          <cell r="C123" t="str">
            <v>IN0020220037</v>
          </cell>
          <cell r="D123" t="str">
            <v>7.38GSEC200627</v>
          </cell>
          <cell r="E123" t="str">
            <v>GSE</v>
          </cell>
          <cell r="F123" t="str">
            <v>Govt. of India - GSec / TBL</v>
          </cell>
          <cell r="G123" t="str">
            <v>7.38% Central Government Securities 20/06/2027</v>
          </cell>
          <cell r="H123">
            <v>7.38</v>
          </cell>
          <cell r="I123" t="str">
            <v>20-06-2027</v>
          </cell>
          <cell r="J123" t="str">
            <v>Sovereign</v>
          </cell>
          <cell r="K123">
            <v>2.5507</v>
          </cell>
          <cell r="L123">
            <v>100</v>
          </cell>
          <cell r="M123">
            <v>500000</v>
          </cell>
          <cell r="N123">
            <v>6.8636999999999997</v>
          </cell>
        </row>
        <row r="124">
          <cell r="C124" t="str">
            <v>IN0020230119</v>
          </cell>
          <cell r="D124" t="str">
            <v>7.33GSE301026</v>
          </cell>
          <cell r="E124" t="str">
            <v>GSE</v>
          </cell>
          <cell r="F124" t="str">
            <v>Govt. of India - GSec / TBL</v>
          </cell>
          <cell r="G124" t="str">
            <v>7.33% Government Securities-30/10/2026</v>
          </cell>
          <cell r="H124">
            <v>7.33</v>
          </cell>
          <cell r="I124" t="str">
            <v>30-10-2026</v>
          </cell>
          <cell r="J124" t="str">
            <v>Sovereign</v>
          </cell>
          <cell r="K124">
            <v>1.9944999999999999</v>
          </cell>
          <cell r="L124">
            <v>100</v>
          </cell>
          <cell r="M124">
            <v>500000</v>
          </cell>
          <cell r="N124">
            <v>6.8635999999999999</v>
          </cell>
        </row>
        <row r="125">
          <cell r="C125" t="str">
            <v>IN002023Z273</v>
          </cell>
          <cell r="D125" t="str">
            <v>364TBL190924</v>
          </cell>
          <cell r="E125" t="str">
            <v>TBL</v>
          </cell>
          <cell r="F125" t="str">
            <v>Govt. of India - GSec / TBL</v>
          </cell>
          <cell r="G125" t="str">
            <v>364 Days-T Bill - 19/09/2024</v>
          </cell>
          <cell r="H125">
            <v>0</v>
          </cell>
          <cell r="I125" t="str">
            <v>19-09-2024</v>
          </cell>
          <cell r="J125" t="str">
            <v>Sovereign</v>
          </cell>
          <cell r="K125">
            <v>0.05</v>
          </cell>
          <cell r="L125">
            <v>100</v>
          </cell>
          <cell r="M125">
            <v>500000</v>
          </cell>
          <cell r="N125">
            <v>6.53</v>
          </cell>
        </row>
        <row r="126">
          <cell r="C126" t="str">
            <v>IN002023Z307</v>
          </cell>
          <cell r="D126" t="str">
            <v>364TBL101024</v>
          </cell>
          <cell r="E126" t="str">
            <v>TBL</v>
          </cell>
          <cell r="F126" t="str">
            <v>Govt. of India - GSec / TBL</v>
          </cell>
          <cell r="G126" t="str">
            <v>364 Days-T Bill - 10/10/2024</v>
          </cell>
          <cell r="H126">
            <v>0</v>
          </cell>
          <cell r="I126" t="str">
            <v>10-10-2024</v>
          </cell>
          <cell r="J126" t="str">
            <v>Sovereign</v>
          </cell>
          <cell r="K126">
            <v>0.11</v>
          </cell>
          <cell r="L126">
            <v>100</v>
          </cell>
          <cell r="M126">
            <v>500000</v>
          </cell>
          <cell r="N126">
            <v>6.6</v>
          </cell>
        </row>
        <row r="127">
          <cell r="C127" t="str">
            <v>IN002023Z315</v>
          </cell>
          <cell r="D127" t="str">
            <v>364TBL171024</v>
          </cell>
          <cell r="E127" t="str">
            <v>TBL</v>
          </cell>
          <cell r="F127" t="str">
            <v>Govt. of India - GSec / TBL</v>
          </cell>
          <cell r="G127" t="str">
            <v>364 Days-T Bill - 17/10/2024</v>
          </cell>
          <cell r="H127">
            <v>0</v>
          </cell>
          <cell r="I127" t="str">
            <v>17-10-2024</v>
          </cell>
          <cell r="J127" t="str">
            <v>Sovereign</v>
          </cell>
          <cell r="K127">
            <v>0.13</v>
          </cell>
          <cell r="L127">
            <v>100</v>
          </cell>
          <cell r="M127">
            <v>500000</v>
          </cell>
          <cell r="N127">
            <v>6.6</v>
          </cell>
        </row>
        <row r="128">
          <cell r="C128" t="str">
            <v>IN002024Z032</v>
          </cell>
          <cell r="D128" t="str">
            <v>364TBL180425</v>
          </cell>
          <cell r="E128" t="str">
            <v>TBL</v>
          </cell>
          <cell r="F128" t="str">
            <v>Govt. of India - GSec / TBL</v>
          </cell>
          <cell r="G128" t="str">
            <v>364 Days - T Bill - 18/04/2025</v>
          </cell>
          <cell r="H128">
            <v>0</v>
          </cell>
          <cell r="I128" t="str">
            <v>18-04-2025</v>
          </cell>
          <cell r="J128" t="str">
            <v>Sovereign</v>
          </cell>
          <cell r="K128">
            <v>0.63</v>
          </cell>
          <cell r="L128">
            <v>100</v>
          </cell>
          <cell r="M128">
            <v>500000</v>
          </cell>
          <cell r="N128">
            <v>6.71</v>
          </cell>
        </row>
        <row r="129">
          <cell r="C129" t="str">
            <v>IN002024Z057</v>
          </cell>
          <cell r="D129" t="str">
            <v>364TBL020525</v>
          </cell>
          <cell r="E129" t="str">
            <v>TBL</v>
          </cell>
          <cell r="F129" t="str">
            <v>Govt. of India - GSec / TBL</v>
          </cell>
          <cell r="G129" t="str">
            <v>364 Days - T Bill - 02/05/2025</v>
          </cell>
          <cell r="H129">
            <v>0</v>
          </cell>
          <cell r="I129" t="str">
            <v>02-05-2025</v>
          </cell>
          <cell r="J129" t="str">
            <v>Sovereign</v>
          </cell>
          <cell r="K129">
            <v>0.67</v>
          </cell>
          <cell r="L129">
            <v>100</v>
          </cell>
          <cell r="M129">
            <v>500000</v>
          </cell>
          <cell r="N129">
            <v>6.7050000000000001</v>
          </cell>
        </row>
        <row r="130">
          <cell r="C130" t="str">
            <v>INE121A08PJ0</v>
          </cell>
          <cell r="D130" t="str">
            <v>FI3431CCD200</v>
          </cell>
          <cell r="E130" t="str">
            <v>CCD</v>
          </cell>
          <cell r="F130" t="str">
            <v>Cholamandalam Investment and Finance Company Ltd</v>
          </cell>
          <cell r="G130" t="str">
            <v>7.5% Cholamandalam Investment And Company Ltd CCD 30 09 2026</v>
          </cell>
          <cell r="H130">
            <v>7.5</v>
          </cell>
          <cell r="I130" t="str">
            <v>30-09-2026</v>
          </cell>
          <cell r="J130" t="str">
            <v xml:space="preserve"> UNRATED</v>
          </cell>
          <cell r="K130">
            <v>1.9121999999999999</v>
          </cell>
          <cell r="L130">
            <v>100000</v>
          </cell>
          <cell r="M130">
            <v>750</v>
          </cell>
          <cell r="N130">
            <v>8.4049999999999994</v>
          </cell>
        </row>
        <row r="131">
          <cell r="C131" t="str">
            <v>IN0020210160</v>
          </cell>
          <cell r="D131" t="str">
            <v>4.04GOI041028</v>
          </cell>
          <cell r="E131" t="str">
            <v>GSE</v>
          </cell>
          <cell r="F131" t="str">
            <v>Govt. of India - GSec / TBL</v>
          </cell>
          <cell r="G131" t="str">
            <v>7.72% Central Government Securities_Floating Rate Bond 04/10/2028 (Previous 7.69)</v>
          </cell>
          <cell r="H131">
            <v>7.72</v>
          </cell>
          <cell r="I131" t="str">
            <v>04-10-2028</v>
          </cell>
          <cell r="J131" t="str">
            <v>Sovereign</v>
          </cell>
          <cell r="K131">
            <v>0</v>
          </cell>
          <cell r="L131">
            <v>100</v>
          </cell>
          <cell r="M131">
            <v>500000</v>
          </cell>
          <cell r="N131">
            <v>7.4407032809170239</v>
          </cell>
        </row>
        <row r="132">
          <cell r="C132" t="str">
            <v>IN0020220037</v>
          </cell>
          <cell r="D132" t="str">
            <v>7.38GSEC200627</v>
          </cell>
          <cell r="E132" t="str">
            <v>GSE</v>
          </cell>
          <cell r="F132" t="str">
            <v>Govt. of India - GSec / TBL</v>
          </cell>
          <cell r="G132" t="str">
            <v>7.38% Central Government Securities 20/06/2027</v>
          </cell>
          <cell r="H132">
            <v>7.38</v>
          </cell>
          <cell r="I132" t="str">
            <v>20-06-2027</v>
          </cell>
          <cell r="J132" t="str">
            <v>Sovereign</v>
          </cell>
          <cell r="K132">
            <v>2.5507</v>
          </cell>
          <cell r="L132">
            <v>100</v>
          </cell>
          <cell r="M132">
            <v>4000000</v>
          </cell>
          <cell r="N132">
            <v>6.8636999999999997</v>
          </cell>
        </row>
        <row r="133">
          <cell r="C133" t="str">
            <v>IN0020230036</v>
          </cell>
          <cell r="D133" t="str">
            <v>7.17GSE170430</v>
          </cell>
          <cell r="E133" t="str">
            <v>GSE</v>
          </cell>
          <cell r="F133" t="str">
            <v>Govt. of India - GSec / TBL</v>
          </cell>
          <cell r="G133" t="str">
            <v>7.17% Government Securities - 17/04/20230</v>
          </cell>
          <cell r="H133">
            <v>7.17</v>
          </cell>
          <cell r="I133" t="str">
            <v>17-04-2030</v>
          </cell>
          <cell r="J133" t="str">
            <v>Sovereign</v>
          </cell>
          <cell r="K133">
            <v>4.6176000000000004</v>
          </cell>
          <cell r="L133">
            <v>100</v>
          </cell>
          <cell r="M133">
            <v>1000000</v>
          </cell>
          <cell r="N133">
            <v>6.9452999999999996</v>
          </cell>
        </row>
        <row r="134">
          <cell r="C134" t="str">
            <v>IN0020230085</v>
          </cell>
          <cell r="D134" t="str">
            <v>7.18GSE140833</v>
          </cell>
          <cell r="E134" t="str">
            <v>GSE</v>
          </cell>
          <cell r="F134" t="str">
            <v>Govt. of India - GSec / TBL</v>
          </cell>
          <cell r="G134" t="str">
            <v>7.18%  Government Securities - 14/08/2033</v>
          </cell>
          <cell r="H134">
            <v>7.18</v>
          </cell>
          <cell r="I134" t="str">
            <v>14-08-2033</v>
          </cell>
          <cell r="J134" t="str">
            <v>Sovereign</v>
          </cell>
          <cell r="K134">
            <v>6.7575000000000003</v>
          </cell>
          <cell r="L134">
            <v>100</v>
          </cell>
          <cell r="M134">
            <v>5500000</v>
          </cell>
          <cell r="N134">
            <v>7.0125000000000002</v>
          </cell>
        </row>
        <row r="135">
          <cell r="C135" t="str">
            <v>IN0020230135</v>
          </cell>
          <cell r="D135" t="str">
            <v>7.32GSE131130</v>
          </cell>
          <cell r="E135" t="str">
            <v>GSE</v>
          </cell>
          <cell r="F135" t="str">
            <v>Govt. of India - GSec / TBL</v>
          </cell>
          <cell r="G135" t="str">
            <v>7.32% Government Securities-13/11/2030</v>
          </cell>
          <cell r="H135">
            <v>7.32</v>
          </cell>
          <cell r="I135" t="str">
            <v>13-11-2030</v>
          </cell>
          <cell r="J135" t="str">
            <v>Sovereign</v>
          </cell>
          <cell r="K135">
            <v>5.0045000000000002</v>
          </cell>
          <cell r="L135">
            <v>100</v>
          </cell>
          <cell r="M135">
            <v>3000000</v>
          </cell>
          <cell r="N135">
            <v>6.9383999999999997</v>
          </cell>
        </row>
        <row r="136">
          <cell r="C136" t="str">
            <v>IN0020240019</v>
          </cell>
          <cell r="D136" t="str">
            <v>7.10GSE080434</v>
          </cell>
          <cell r="E136" t="str">
            <v>GSE</v>
          </cell>
          <cell r="F136" t="str">
            <v>Govt. of India - GSec / TBL</v>
          </cell>
          <cell r="G136" t="str">
            <v>7.10% Central Government Securities 08/04/2034</v>
          </cell>
          <cell r="H136">
            <v>7.1</v>
          </cell>
          <cell r="I136" t="str">
            <v>08-04-2034</v>
          </cell>
          <cell r="J136" t="str">
            <v>Sovereign</v>
          </cell>
          <cell r="K136">
            <v>6.9535999999999998</v>
          </cell>
          <cell r="L136">
            <v>100</v>
          </cell>
          <cell r="M136">
            <v>3000000</v>
          </cell>
          <cell r="N136">
            <v>6.9809000000000001</v>
          </cell>
        </row>
        <row r="137">
          <cell r="C137" t="str">
            <v>IN0020240027</v>
          </cell>
          <cell r="D137" t="str">
            <v>7.23GSE150439</v>
          </cell>
          <cell r="E137" t="str">
            <v>GSE</v>
          </cell>
          <cell r="F137" t="str">
            <v>Govt. of India - GSec / TBL</v>
          </cell>
          <cell r="G137" t="str">
            <v>7.23% Central Government Securities 15/04/2039</v>
          </cell>
          <cell r="H137">
            <v>7.23</v>
          </cell>
          <cell r="I137" t="str">
            <v>15-04-2039</v>
          </cell>
          <cell r="J137" t="str">
            <v>Sovereign</v>
          </cell>
          <cell r="K137">
            <v>9.1001999999999992</v>
          </cell>
          <cell r="L137">
            <v>100</v>
          </cell>
          <cell r="M137">
            <v>3000000</v>
          </cell>
          <cell r="N137">
            <v>7.0350000000000001</v>
          </cell>
        </row>
        <row r="138">
          <cell r="C138" t="str">
            <v>IN0020240035</v>
          </cell>
          <cell r="D138" t="str">
            <v>7.34GSE220464</v>
          </cell>
          <cell r="E138" t="str">
            <v>GSE</v>
          </cell>
          <cell r="F138" t="str">
            <v>Govt. of India - GSec / TBL</v>
          </cell>
          <cell r="G138" t="str">
            <v>7.34% Central Government Securities 22/04/2064</v>
          </cell>
          <cell r="H138">
            <v>7.34</v>
          </cell>
          <cell r="I138" t="str">
            <v>22-04-2064</v>
          </cell>
          <cell r="J138" t="str">
            <v>Sovereign</v>
          </cell>
          <cell r="K138">
            <v>13.3651</v>
          </cell>
          <cell r="L138">
            <v>100</v>
          </cell>
          <cell r="M138">
            <v>300000</v>
          </cell>
          <cell r="N138">
            <v>7.1558000000000002</v>
          </cell>
        </row>
        <row r="139">
          <cell r="C139" t="str">
            <v>IN3120230484</v>
          </cell>
          <cell r="D139" t="str">
            <v>7.44TNSG20034</v>
          </cell>
          <cell r="E139" t="str">
            <v>GSE</v>
          </cell>
          <cell r="F139" t="str">
            <v>Govt. of India - GSec / TBL</v>
          </cell>
          <cell r="G139" t="str">
            <v>7.44% Tamil Nadu State Government Securities -20/03/2034</v>
          </cell>
          <cell r="H139">
            <v>7.44</v>
          </cell>
          <cell r="I139" t="str">
            <v>20-03-2034</v>
          </cell>
          <cell r="J139" t="str">
            <v>Sovereign</v>
          </cell>
          <cell r="K139">
            <v>6.8034999999999997</v>
          </cell>
          <cell r="L139">
            <v>100</v>
          </cell>
          <cell r="M139">
            <v>500000</v>
          </cell>
          <cell r="N139">
            <v>7.3430999999999997</v>
          </cell>
        </row>
        <row r="140">
          <cell r="C140" t="str">
            <v>INE020B08EI8</v>
          </cell>
          <cell r="D140" t="str">
            <v>UT47NC314</v>
          </cell>
          <cell r="E140" t="str">
            <v>NCD</v>
          </cell>
          <cell r="F140" t="str">
            <v>REC LTD</v>
          </cell>
          <cell r="G140" t="str">
            <v>7.51% REC LTD NCD MD 31-07-2026</v>
          </cell>
          <cell r="H140">
            <v>7.51</v>
          </cell>
          <cell r="I140" t="str">
            <v>31-07-2026</v>
          </cell>
          <cell r="J140" t="str">
            <v>CRISIL AAA</v>
          </cell>
          <cell r="K140">
            <v>1.8424</v>
          </cell>
          <cell r="L140">
            <v>100000</v>
          </cell>
          <cell r="M140">
            <v>1000</v>
          </cell>
          <cell r="N140">
            <v>7.5949999999999998</v>
          </cell>
        </row>
        <row r="141">
          <cell r="C141" t="str">
            <v>INE020B08FD6</v>
          </cell>
          <cell r="D141" t="str">
            <v>UT47NC320</v>
          </cell>
          <cell r="E141" t="str">
            <v>NCD</v>
          </cell>
          <cell r="F141" t="str">
            <v>REC LTD</v>
          </cell>
          <cell r="G141" t="str">
            <v>7.58% REC NCD MD 31-05-2029- 234 SERIES B</v>
          </cell>
          <cell r="H141">
            <v>7.58</v>
          </cell>
          <cell r="I141" t="str">
            <v>31-05-2029</v>
          </cell>
          <cell r="J141" t="str">
            <v>ICRA AAA</v>
          </cell>
          <cell r="K141">
            <v>4.0899000000000001</v>
          </cell>
          <cell r="L141">
            <v>100000</v>
          </cell>
          <cell r="M141">
            <v>2500</v>
          </cell>
          <cell r="N141">
            <v>7.4024999999999999</v>
          </cell>
        </row>
        <row r="142">
          <cell r="C142" t="str">
            <v>INE040A08666</v>
          </cell>
          <cell r="D142" t="str">
            <v>FI301NC231</v>
          </cell>
          <cell r="E142" t="str">
            <v>NCD</v>
          </cell>
          <cell r="F142" t="str">
            <v>HDFC Bank Ltd (Prev HDFC Ltd)</v>
          </cell>
          <cell r="G142" t="str">
            <v>7.80% HDFC Bank Ltd (Prev HDFC Ltd) NCD MD 03-05-2033</v>
          </cell>
          <cell r="H142">
            <v>7.8</v>
          </cell>
          <cell r="I142" t="str">
            <v>03-05-2033</v>
          </cell>
          <cell r="J142" t="str">
            <v>CRISIL AAA</v>
          </cell>
          <cell r="K142">
            <v>6.4743000000000004</v>
          </cell>
          <cell r="L142">
            <v>100000</v>
          </cell>
          <cell r="M142">
            <v>1000</v>
          </cell>
          <cell r="N142">
            <v>7.5995999999999997</v>
          </cell>
        </row>
        <row r="143">
          <cell r="C143" t="str">
            <v>INE053F08296</v>
          </cell>
          <cell r="D143" t="str">
            <v>FIIRFCNC213</v>
          </cell>
          <cell r="E143" t="str">
            <v>NCD</v>
          </cell>
          <cell r="F143" t="str">
            <v>Indian Railway Finance Corporation Ltd</v>
          </cell>
          <cell r="G143" t="str">
            <v>7.74%  Indian Railway Finance Corporation Ltd NCD MD 15.04.2038  BOND SERIES 170B 2038</v>
          </cell>
          <cell r="H143">
            <v>7.74</v>
          </cell>
          <cell r="I143" t="str">
            <v>15-04-2038</v>
          </cell>
          <cell r="J143" t="str">
            <v>CRISIL AAA</v>
          </cell>
          <cell r="K143">
            <v>8.4123999999999999</v>
          </cell>
          <cell r="L143">
            <v>100000</v>
          </cell>
          <cell r="M143">
            <v>1000</v>
          </cell>
          <cell r="N143">
            <v>7.3250000000000002</v>
          </cell>
        </row>
        <row r="144">
          <cell r="C144" t="str">
            <v>INE115A07PI6</v>
          </cell>
          <cell r="D144" t="str">
            <v>FILICNC363</v>
          </cell>
          <cell r="E144" t="str">
            <v>NCD</v>
          </cell>
          <cell r="F144" t="str">
            <v>LIC Housing Finance Ltd</v>
          </cell>
          <cell r="G144" t="str">
            <v>6.17% LIC Housing Finance Ltd-NCD-03/09/2026</v>
          </cell>
          <cell r="H144">
            <v>6.17</v>
          </cell>
          <cell r="I144" t="str">
            <v>03-09-2026</v>
          </cell>
          <cell r="J144" t="str">
            <v>CRISIL AAA</v>
          </cell>
          <cell r="K144">
            <v>1.8304</v>
          </cell>
          <cell r="L144">
            <v>1000000</v>
          </cell>
          <cell r="M144">
            <v>50</v>
          </cell>
          <cell r="N144">
            <v>7.85</v>
          </cell>
        </row>
        <row r="145">
          <cell r="C145" t="str">
            <v>INE115A07QD5</v>
          </cell>
          <cell r="D145" t="str">
            <v>FI35LICNC11</v>
          </cell>
          <cell r="E145" t="str">
            <v>NCD</v>
          </cell>
          <cell r="F145" t="str">
            <v>LIC Housing Finance Ltd</v>
          </cell>
          <cell r="G145" t="str">
            <v>7.82% LIC Housing Finance Ltd NCD 28 11 2025 (Trench 428 Reissue 2)</v>
          </cell>
          <cell r="H145">
            <v>7.82</v>
          </cell>
          <cell r="I145" t="str">
            <v>28-11-2025</v>
          </cell>
          <cell r="J145" t="str">
            <v>CRISIL AAA</v>
          </cell>
          <cell r="K145">
            <v>1.1678999999999999</v>
          </cell>
          <cell r="L145">
            <v>1000000</v>
          </cell>
          <cell r="M145">
            <v>100</v>
          </cell>
          <cell r="N145">
            <v>7.8550000000000004</v>
          </cell>
        </row>
        <row r="146">
          <cell r="C146" t="str">
            <v>INE115A07QH6</v>
          </cell>
          <cell r="D146" t="str">
            <v>FI35LICNC368</v>
          </cell>
          <cell r="E146" t="str">
            <v>NCD</v>
          </cell>
          <cell r="F146" t="str">
            <v>LIC Housing Finance Ltd</v>
          </cell>
          <cell r="G146" t="str">
            <v>8.0250% LIC Housing Finance Ltd- NCD 23-03-2033</v>
          </cell>
          <cell r="H146">
            <v>8.0250000000000004</v>
          </cell>
          <cell r="I146" t="str">
            <v>23-03-2033</v>
          </cell>
          <cell r="J146" t="str">
            <v>CRISIL AAA</v>
          </cell>
          <cell r="K146">
            <v>6.3272000000000004</v>
          </cell>
          <cell r="L146">
            <v>1000000</v>
          </cell>
          <cell r="M146">
            <v>150</v>
          </cell>
          <cell r="N146">
            <v>7.6375000000000002</v>
          </cell>
        </row>
        <row r="147">
          <cell r="C147" t="str">
            <v>INE261F08DV4</v>
          </cell>
          <cell r="D147" t="str">
            <v>FI35NANC297</v>
          </cell>
          <cell r="E147" t="str">
            <v>NCD</v>
          </cell>
          <cell r="F147" t="str">
            <v>National Bank for Agriculture &amp; Rural Development</v>
          </cell>
          <cell r="G147" t="str">
            <v>7.62 NABARD NCD 31 01 2028</v>
          </cell>
          <cell r="H147">
            <v>7.62</v>
          </cell>
          <cell r="I147" t="str">
            <v>31-01-2028</v>
          </cell>
          <cell r="J147" t="str">
            <v>ICRA AAA</v>
          </cell>
          <cell r="K147">
            <v>3.0026999999999999</v>
          </cell>
          <cell r="L147">
            <v>100000</v>
          </cell>
          <cell r="M147">
            <v>1500</v>
          </cell>
          <cell r="N147">
            <v>7.55</v>
          </cell>
        </row>
        <row r="148">
          <cell r="C148" t="str">
            <v>INE261F08DX0</v>
          </cell>
          <cell r="D148" t="str">
            <v>FI35NANC298</v>
          </cell>
          <cell r="E148" t="str">
            <v>NCD</v>
          </cell>
          <cell r="F148" t="str">
            <v>National Bank for Agriculture &amp; Rural Development</v>
          </cell>
          <cell r="G148" t="str">
            <v>7.58%  NABARD- NCD-31/07/2026 SERIES 23H</v>
          </cell>
          <cell r="H148">
            <v>7.58</v>
          </cell>
          <cell r="I148" t="str">
            <v>31-07-2026</v>
          </cell>
          <cell r="J148" t="str">
            <v>CRISIL AAA</v>
          </cell>
          <cell r="K148">
            <v>1.8418000000000001</v>
          </cell>
          <cell r="L148">
            <v>100000</v>
          </cell>
          <cell r="M148">
            <v>1500</v>
          </cell>
          <cell r="N148">
            <v>7.68</v>
          </cell>
        </row>
        <row r="149">
          <cell r="C149" t="str">
            <v>IN0020230101</v>
          </cell>
          <cell r="D149" t="str">
            <v>7.37GSE231028</v>
          </cell>
          <cell r="E149" t="str">
            <v>GSE</v>
          </cell>
          <cell r="F149" t="str">
            <v>Govt. of India - GSec / TBL</v>
          </cell>
          <cell r="G149" t="str">
            <v>7.37% Government Securities-23/10/2028</v>
          </cell>
          <cell r="H149">
            <v>7.37</v>
          </cell>
          <cell r="I149" t="str">
            <v>23-10-2028</v>
          </cell>
          <cell r="J149" t="str">
            <v>Sovereign</v>
          </cell>
          <cell r="K149">
            <v>3.5627</v>
          </cell>
          <cell r="L149">
            <v>100</v>
          </cell>
          <cell r="M149">
            <v>1500000</v>
          </cell>
          <cell r="N149">
            <v>6.8971999999999998</v>
          </cell>
        </row>
        <row r="150">
          <cell r="C150" t="str">
            <v>IN0020240019</v>
          </cell>
          <cell r="D150" t="str">
            <v>7.10GSE080434</v>
          </cell>
          <cell r="E150" t="str">
            <v>GSE</v>
          </cell>
          <cell r="F150" t="str">
            <v>Govt. of India - GSec / TBL</v>
          </cell>
          <cell r="G150" t="str">
            <v>7.10% Central Government Securities 08/04/2034</v>
          </cell>
          <cell r="H150">
            <v>7.1</v>
          </cell>
          <cell r="I150" t="str">
            <v>08-04-2034</v>
          </cell>
          <cell r="J150" t="str">
            <v>Sovereign</v>
          </cell>
          <cell r="K150">
            <v>6.9535999999999998</v>
          </cell>
          <cell r="L150">
            <v>100</v>
          </cell>
          <cell r="M150">
            <v>5500000</v>
          </cell>
          <cell r="N150">
            <v>6.9809000000000001</v>
          </cell>
        </row>
        <row r="151">
          <cell r="C151" t="str">
            <v>IN0020240027</v>
          </cell>
          <cell r="D151" t="str">
            <v>7.23GSE150439</v>
          </cell>
          <cell r="E151" t="str">
            <v>GSE</v>
          </cell>
          <cell r="F151" t="str">
            <v>Govt. of India - GSec / TBL</v>
          </cell>
          <cell r="G151" t="str">
            <v>7.23% Central Government Securities 15/04/2039</v>
          </cell>
          <cell r="H151">
            <v>7.23</v>
          </cell>
          <cell r="I151" t="str">
            <v>15-04-2039</v>
          </cell>
          <cell r="J151" t="str">
            <v>Sovereign</v>
          </cell>
          <cell r="K151">
            <v>9.1001999999999992</v>
          </cell>
          <cell r="L151">
            <v>100</v>
          </cell>
          <cell r="M151">
            <v>1500000</v>
          </cell>
          <cell r="N151">
            <v>7.0350000000000001</v>
          </cell>
        </row>
        <row r="152">
          <cell r="C152" t="str">
            <v>INE134E08NB7</v>
          </cell>
          <cell r="D152" t="str">
            <v>FI35PFCNC372</v>
          </cell>
          <cell r="E152" t="str">
            <v>NCD</v>
          </cell>
          <cell r="F152" t="str">
            <v>Power Finance Corporation Ltd</v>
          </cell>
          <cell r="G152" t="str">
            <v>7.32% Power Finance Corporation Ltd NCD MD 15-07-2039</v>
          </cell>
          <cell r="H152">
            <v>7.32</v>
          </cell>
          <cell r="I152" t="str">
            <v>15-07-2039</v>
          </cell>
          <cell r="J152" t="str">
            <v>CRISIL AAA</v>
          </cell>
          <cell r="K152">
            <v>9.5164000000000009</v>
          </cell>
          <cell r="L152">
            <v>100000</v>
          </cell>
          <cell r="M152">
            <v>1000</v>
          </cell>
          <cell r="N152">
            <v>7.3118999999999996</v>
          </cell>
        </row>
        <row r="153">
          <cell r="C153" t="str">
            <v>INE261F08EA6</v>
          </cell>
          <cell r="D153" t="str">
            <v>FI35NANC300</v>
          </cell>
          <cell r="E153" t="str">
            <v>NCD</v>
          </cell>
          <cell r="F153" t="str">
            <v>National Bank for Agriculture &amp; Rural Development</v>
          </cell>
          <cell r="G153" t="str">
            <v>7.50% NABARD NCD 31-08-2026 SERIES 24A</v>
          </cell>
          <cell r="H153">
            <v>7.5</v>
          </cell>
          <cell r="I153" t="str">
            <v>31-08-2026</v>
          </cell>
          <cell r="J153" t="str">
            <v>CRISIL AAA</v>
          </cell>
          <cell r="K153">
            <v>1.9274</v>
          </cell>
          <cell r="L153">
            <v>100000</v>
          </cell>
          <cell r="M153">
            <v>1000</v>
          </cell>
          <cell r="N153">
            <v>7.68</v>
          </cell>
        </row>
        <row r="154">
          <cell r="C154" t="str">
            <v>INE261F08EF5</v>
          </cell>
          <cell r="D154" t="str">
            <v>FI35NANC304</v>
          </cell>
          <cell r="E154" t="str">
            <v>NCD</v>
          </cell>
          <cell r="F154" t="str">
            <v>National Bank for Agriculture &amp; Rural Development</v>
          </cell>
          <cell r="G154" t="str">
            <v>7.80% NABARD NCD MD 15-03-2027 Bonds Series 24E</v>
          </cell>
          <cell r="H154">
            <v>7.8</v>
          </cell>
          <cell r="I154" t="str">
            <v>15-03-2027</v>
          </cell>
          <cell r="J154" t="str">
            <v>ICRA AAA</v>
          </cell>
          <cell r="K154">
            <v>2.3229000000000002</v>
          </cell>
          <cell r="L154">
            <v>100000</v>
          </cell>
          <cell r="M154">
            <v>1000</v>
          </cell>
          <cell r="N154">
            <v>7.62</v>
          </cell>
        </row>
        <row r="155">
          <cell r="C155" t="str">
            <v>INE556F08KH1</v>
          </cell>
          <cell r="D155" t="str">
            <v>FI3405NC236</v>
          </cell>
          <cell r="E155" t="str">
            <v>NCD</v>
          </cell>
          <cell r="F155" t="str">
            <v>Small Industries Development Bank of India</v>
          </cell>
          <cell r="G155" t="str">
            <v>7.43%  Small Industries Development Bank of India NCD MD 31-08-2026 SERIES I</v>
          </cell>
          <cell r="H155">
            <v>7.43</v>
          </cell>
          <cell r="I155" t="str">
            <v>31-08-2026</v>
          </cell>
          <cell r="J155" t="str">
            <v>CRISIL AAA</v>
          </cell>
          <cell r="K155">
            <v>1.9278999999999999</v>
          </cell>
          <cell r="L155">
            <v>100000</v>
          </cell>
          <cell r="M155">
            <v>1500</v>
          </cell>
          <cell r="N155">
            <v>7.6875</v>
          </cell>
        </row>
        <row r="156">
          <cell r="C156" t="str">
            <v>IN002023Z422</v>
          </cell>
          <cell r="D156" t="str">
            <v>364TBL020125</v>
          </cell>
          <cell r="E156" t="str">
            <v>TBL</v>
          </cell>
          <cell r="F156" t="str">
            <v>Govt. of India - GSec / TBL</v>
          </cell>
          <cell r="G156" t="str">
            <v>364 Days -T Bill- 02/01/2025</v>
          </cell>
          <cell r="H156">
            <v>0</v>
          </cell>
          <cell r="I156" t="str">
            <v>02-01-2025</v>
          </cell>
          <cell r="J156" t="str">
            <v>Sovereign</v>
          </cell>
          <cell r="K156">
            <v>0.34</v>
          </cell>
          <cell r="L156">
            <v>100</v>
          </cell>
          <cell r="M156">
            <v>2500000</v>
          </cell>
          <cell r="N156">
            <v>6.6984000000000004</v>
          </cell>
        </row>
        <row r="157">
          <cell r="C157" t="str">
            <v>INF0RQ622028</v>
          </cell>
          <cell r="D157" t="str">
            <v>CDMDF23</v>
          </cell>
          <cell r="E157" t="str">
            <v>CDMDF</v>
          </cell>
          <cell r="F157" t="str">
            <v>Corporate Debt Market Development Fund</v>
          </cell>
          <cell r="G157" t="str">
            <v>Corporate Debt Market Development Fund - Class A2</v>
          </cell>
          <cell r="H157">
            <v>0</v>
          </cell>
          <cell r="K157">
            <v>0</v>
          </cell>
          <cell r="L157">
            <v>10000</v>
          </cell>
          <cell r="M157">
            <v>1043.4449999999999</v>
          </cell>
          <cell r="N157">
            <v>9.9999999999999995E-7</v>
          </cell>
        </row>
        <row r="158">
          <cell r="C158" t="str">
            <v>INE466L14DI2</v>
          </cell>
          <cell r="D158" t="str">
            <v>FI3582CP241</v>
          </cell>
          <cell r="E158" t="str">
            <v>CMP</v>
          </cell>
          <cell r="F158" t="str">
            <v>360 ONE WAM Ltd (Prev IIFL Wealth Management Ltd)</v>
          </cell>
          <cell r="G158" t="str">
            <v>360 ONE WAM LIMITED CP MD 14-03-2025</v>
          </cell>
          <cell r="H158">
            <v>0</v>
          </cell>
          <cell r="I158" t="str">
            <v>14-03-2025</v>
          </cell>
          <cell r="J158" t="str">
            <v>CRISIL A1+</v>
          </cell>
          <cell r="K158">
            <v>0.53</v>
          </cell>
          <cell r="L158">
            <v>500000</v>
          </cell>
          <cell r="M158">
            <v>300</v>
          </cell>
          <cell r="N158">
            <v>8.77</v>
          </cell>
        </row>
        <row r="159">
          <cell r="C159" t="str">
            <v>INE090AD6113</v>
          </cell>
          <cell r="D159" t="str">
            <v>FI3305CD366</v>
          </cell>
          <cell r="E159" t="str">
            <v>COD</v>
          </cell>
          <cell r="F159" t="str">
            <v>ICICI Bank Ltd</v>
          </cell>
          <cell r="G159" t="str">
            <v>ICICI Bank Ltd COD MD 31-01-2025</v>
          </cell>
          <cell r="H159">
            <v>0</v>
          </cell>
          <cell r="I159" t="str">
            <v>31-01-2025</v>
          </cell>
          <cell r="J159" t="str">
            <v>ICRA A1+</v>
          </cell>
          <cell r="K159">
            <v>0.42</v>
          </cell>
          <cell r="L159">
            <v>500000</v>
          </cell>
          <cell r="M159">
            <v>200</v>
          </cell>
          <cell r="N159">
            <v>7.4100999999999999</v>
          </cell>
        </row>
        <row r="160">
          <cell r="C160" t="str">
            <v>INE092T16WB9</v>
          </cell>
          <cell r="D160" t="str">
            <v>FI3437CD267</v>
          </cell>
          <cell r="E160" t="str">
            <v>COD</v>
          </cell>
          <cell r="F160" t="str">
            <v>IDFC First Bank Ltd</v>
          </cell>
          <cell r="G160" t="str">
            <v>IDFC FIRST BANK LTD COD MD 21-02-2025</v>
          </cell>
          <cell r="H160">
            <v>0</v>
          </cell>
          <cell r="I160" t="str">
            <v>21-02-2025</v>
          </cell>
          <cell r="J160" t="str">
            <v>CRISIL A1+</v>
          </cell>
          <cell r="K160">
            <v>0.48</v>
          </cell>
          <cell r="L160">
            <v>500000</v>
          </cell>
          <cell r="M160">
            <v>200</v>
          </cell>
          <cell r="N160">
            <v>7.5750000000000002</v>
          </cell>
        </row>
        <row r="161">
          <cell r="C161" t="str">
            <v>INE095A16V79</v>
          </cell>
          <cell r="D161" t="str">
            <v>FI3307CD337</v>
          </cell>
          <cell r="E161" t="str">
            <v>COD</v>
          </cell>
          <cell r="F161" t="str">
            <v>IndusInd Bank Ltd</v>
          </cell>
          <cell r="G161" t="str">
            <v>INDUSIND BANK LTD COD MD 24-02-2025</v>
          </cell>
          <cell r="H161">
            <v>0</v>
          </cell>
          <cell r="I161" t="str">
            <v>24-02-2025</v>
          </cell>
          <cell r="J161" t="str">
            <v>CRISIL A1+</v>
          </cell>
          <cell r="K161">
            <v>0.48</v>
          </cell>
          <cell r="L161">
            <v>500000</v>
          </cell>
          <cell r="M161">
            <v>200</v>
          </cell>
          <cell r="N161">
            <v>7.58</v>
          </cell>
        </row>
        <row r="162">
          <cell r="C162" t="str">
            <v>INE160A16OF2</v>
          </cell>
          <cell r="D162" t="str">
            <v>FI3316CD370</v>
          </cell>
          <cell r="E162" t="str">
            <v>COD</v>
          </cell>
          <cell r="F162" t="str">
            <v>Punjab National Bank</v>
          </cell>
          <cell r="G162" t="str">
            <v>Punjab National Bank COD MD 05.12.2024</v>
          </cell>
          <cell r="H162">
            <v>0</v>
          </cell>
          <cell r="I162" t="str">
            <v>05-12-2024</v>
          </cell>
          <cell r="J162" t="str">
            <v>CRISIL A1+</v>
          </cell>
          <cell r="K162">
            <v>0.26</v>
          </cell>
          <cell r="L162">
            <v>500000</v>
          </cell>
          <cell r="M162">
            <v>200</v>
          </cell>
          <cell r="N162">
            <v>7.3451000000000004</v>
          </cell>
        </row>
        <row r="163">
          <cell r="C163" t="str">
            <v>INE238AD6579</v>
          </cell>
          <cell r="D163" t="str">
            <v>FI3319CD521</v>
          </cell>
          <cell r="E163" t="str">
            <v>COD</v>
          </cell>
          <cell r="F163" t="str">
            <v>Axis Bank Ltd</v>
          </cell>
          <cell r="G163" t="str">
            <v>AXIS Bank Ltd CD 29 11 2024</v>
          </cell>
          <cell r="H163">
            <v>0</v>
          </cell>
          <cell r="I163" t="str">
            <v>29-11-2024</v>
          </cell>
          <cell r="J163" t="str">
            <v>CRISIL A1+</v>
          </cell>
          <cell r="K163">
            <v>0.25</v>
          </cell>
          <cell r="L163">
            <v>500000</v>
          </cell>
          <cell r="M163">
            <v>200</v>
          </cell>
          <cell r="N163">
            <v>7.2328999999999999</v>
          </cell>
        </row>
        <row r="164">
          <cell r="C164" t="str">
            <v>INE261F16785</v>
          </cell>
          <cell r="D164" t="str">
            <v>FI35NACD352</v>
          </cell>
          <cell r="E164" t="str">
            <v>COD</v>
          </cell>
          <cell r="F164" t="str">
            <v>National Bank for Agriculture &amp; Rural Development</v>
          </cell>
          <cell r="G164" t="str">
            <v>NABARD CD MD 07.02.2025</v>
          </cell>
          <cell r="H164">
            <v>0</v>
          </cell>
          <cell r="I164" t="str">
            <v>07-02-2025</v>
          </cell>
          <cell r="J164" t="str">
            <v>CRISIL A1+</v>
          </cell>
          <cell r="K164">
            <v>0.44</v>
          </cell>
          <cell r="L164">
            <v>500000</v>
          </cell>
          <cell r="M164">
            <v>200</v>
          </cell>
          <cell r="N164">
            <v>7.5250000000000004</v>
          </cell>
        </row>
        <row r="165">
          <cell r="C165" t="str">
            <v>INE261F16819</v>
          </cell>
          <cell r="D165" t="str">
            <v>FI35NACD354</v>
          </cell>
          <cell r="E165" t="str">
            <v>COD</v>
          </cell>
          <cell r="F165" t="str">
            <v>National Bank for Agriculture &amp; Rural Development</v>
          </cell>
          <cell r="G165" t="str">
            <v>NABARD COD MD 26-02-2025</v>
          </cell>
          <cell r="H165">
            <v>0</v>
          </cell>
          <cell r="I165" t="str">
            <v>26-02-2025</v>
          </cell>
          <cell r="J165" t="str">
            <v>CRISIL A1+</v>
          </cell>
          <cell r="K165">
            <v>0.49</v>
          </cell>
          <cell r="L165">
            <v>500000</v>
          </cell>
          <cell r="M165">
            <v>200</v>
          </cell>
          <cell r="N165">
            <v>7.5225</v>
          </cell>
        </row>
        <row r="166">
          <cell r="C166" t="str">
            <v>INE476A16YB0</v>
          </cell>
          <cell r="D166" t="str">
            <v>FI3320CD471</v>
          </cell>
          <cell r="E166" t="str">
            <v>COD</v>
          </cell>
          <cell r="F166" t="str">
            <v>Canara Bank</v>
          </cell>
          <cell r="G166" t="str">
            <v>CANARA BANK COD MD 20-03-2025</v>
          </cell>
          <cell r="H166">
            <v>0</v>
          </cell>
          <cell r="I166" t="str">
            <v>20-03-2025</v>
          </cell>
          <cell r="J166" t="str">
            <v>CRISIL A1+</v>
          </cell>
          <cell r="K166">
            <v>0.55000000000000004</v>
          </cell>
          <cell r="L166">
            <v>500000</v>
          </cell>
          <cell r="M166">
            <v>200</v>
          </cell>
          <cell r="N166">
            <v>7.49</v>
          </cell>
        </row>
        <row r="167">
          <cell r="C167" t="str">
            <v>INE556F16AM5</v>
          </cell>
          <cell r="D167" t="str">
            <v>FI3405CD238</v>
          </cell>
          <cell r="E167" t="str">
            <v>COD</v>
          </cell>
          <cell r="F167" t="str">
            <v>Small Industries Development Bank of India</v>
          </cell>
          <cell r="G167" t="str">
            <v>Small Industries Development Bank of India COD  MD 11-12-2024</v>
          </cell>
          <cell r="H167">
            <v>0</v>
          </cell>
          <cell r="I167" t="str">
            <v>11-12-2024</v>
          </cell>
          <cell r="J167" t="str">
            <v>CRISIL A1+</v>
          </cell>
          <cell r="K167">
            <v>0.28000000000000003</v>
          </cell>
          <cell r="L167">
            <v>500000</v>
          </cell>
          <cell r="M167">
            <v>300</v>
          </cell>
          <cell r="N167">
            <v>7.3861999999999997</v>
          </cell>
        </row>
        <row r="168">
          <cell r="C168" t="str">
            <v>INE556F16AO1</v>
          </cell>
          <cell r="D168" t="str">
            <v>FI3405CD240</v>
          </cell>
          <cell r="E168" t="str">
            <v>COD</v>
          </cell>
          <cell r="F168" t="str">
            <v>Small Industries Development Bank of India</v>
          </cell>
          <cell r="G168" t="str">
            <v>Small Industries Development Bank of India CD 10 01 2025</v>
          </cell>
          <cell r="H168">
            <v>0</v>
          </cell>
          <cell r="I168" t="str">
            <v>10-01-2025</v>
          </cell>
          <cell r="J168" t="str">
            <v>CRISIL A1+</v>
          </cell>
          <cell r="K168">
            <v>0.36</v>
          </cell>
          <cell r="L168">
            <v>500000</v>
          </cell>
          <cell r="M168">
            <v>100</v>
          </cell>
          <cell r="N168">
            <v>7.5499000000000001</v>
          </cell>
        </row>
        <row r="169">
          <cell r="C169" t="str">
            <v>INE562A16MZ1</v>
          </cell>
          <cell r="D169" t="str">
            <v>FI3345CD302</v>
          </cell>
          <cell r="E169" t="str">
            <v>COD</v>
          </cell>
          <cell r="F169" t="str">
            <v>Indian Bank</v>
          </cell>
          <cell r="G169" t="str">
            <v>INDIAN BANK LTD COD MD 23-05-2025</v>
          </cell>
          <cell r="H169">
            <v>0</v>
          </cell>
          <cell r="I169" t="str">
            <v>23-05-2025</v>
          </cell>
          <cell r="J169" t="str">
            <v>CRISIL A1+</v>
          </cell>
          <cell r="K169">
            <v>0.73</v>
          </cell>
          <cell r="L169">
            <v>500000</v>
          </cell>
          <cell r="M169">
            <v>200</v>
          </cell>
          <cell r="N169">
            <v>7.59</v>
          </cell>
        </row>
        <row r="170">
          <cell r="C170" t="str">
            <v>IN0020220037</v>
          </cell>
          <cell r="D170" t="str">
            <v>7.38GSEC200627</v>
          </cell>
          <cell r="E170" t="str">
            <v>GSE</v>
          </cell>
          <cell r="F170" t="str">
            <v>Govt. of India - GSec / TBL</v>
          </cell>
          <cell r="G170" t="str">
            <v>7.38% Central Government Securities 20/06/2027</v>
          </cell>
          <cell r="H170">
            <v>7.38</v>
          </cell>
          <cell r="I170" t="str">
            <v>20-06-2027</v>
          </cell>
          <cell r="J170" t="str">
            <v>Sovereign</v>
          </cell>
          <cell r="K170">
            <v>2.5507</v>
          </cell>
          <cell r="L170">
            <v>100</v>
          </cell>
          <cell r="M170">
            <v>1000000</v>
          </cell>
          <cell r="N170">
            <v>6.8636999999999997</v>
          </cell>
        </row>
        <row r="171">
          <cell r="C171" t="str">
            <v>IN0020230101</v>
          </cell>
          <cell r="D171" t="str">
            <v>7.37GSE231028</v>
          </cell>
          <cell r="E171" t="str">
            <v>GSE</v>
          </cell>
          <cell r="F171" t="str">
            <v>Govt. of India - GSec / TBL</v>
          </cell>
          <cell r="G171" t="str">
            <v>7.37% Government Securities-23/10/2028</v>
          </cell>
          <cell r="H171">
            <v>7.37</v>
          </cell>
          <cell r="I171" t="str">
            <v>23-10-2028</v>
          </cell>
          <cell r="J171" t="str">
            <v>Sovereign</v>
          </cell>
          <cell r="K171">
            <v>3.5627</v>
          </cell>
          <cell r="L171">
            <v>100</v>
          </cell>
          <cell r="M171">
            <v>1000000</v>
          </cell>
          <cell r="N171">
            <v>6.8971999999999998</v>
          </cell>
        </row>
        <row r="172">
          <cell r="C172" t="str">
            <v>INE020B08EP3</v>
          </cell>
          <cell r="D172" t="str">
            <v>UT47NC318</v>
          </cell>
          <cell r="E172" t="str">
            <v>NCD</v>
          </cell>
          <cell r="F172" t="str">
            <v>REC LTD</v>
          </cell>
          <cell r="G172" t="str">
            <v>7.77% REC NCD MD 30-09-2026</v>
          </cell>
          <cell r="H172">
            <v>7.77</v>
          </cell>
          <cell r="I172" t="str">
            <v>30-09-2026</v>
          </cell>
          <cell r="J172" t="str">
            <v>CRISIL AAA</v>
          </cell>
          <cell r="K172">
            <v>1.8828</v>
          </cell>
          <cell r="L172">
            <v>100000</v>
          </cell>
          <cell r="M172">
            <v>500</v>
          </cell>
          <cell r="N172">
            <v>7.5949999999999998</v>
          </cell>
        </row>
        <row r="173">
          <cell r="C173" t="str">
            <v>INE020B08FF1</v>
          </cell>
          <cell r="D173" t="str">
            <v>UT47NC321</v>
          </cell>
          <cell r="E173" t="str">
            <v>NCD</v>
          </cell>
          <cell r="F173" t="str">
            <v>REC LTD</v>
          </cell>
          <cell r="G173" t="str">
            <v>7.56% REC LTD NCD MD 31-08-2027  236-B</v>
          </cell>
          <cell r="H173">
            <v>7.56</v>
          </cell>
          <cell r="I173" t="str">
            <v>31-08-2027</v>
          </cell>
          <cell r="J173" t="str">
            <v>ICRA AAA</v>
          </cell>
          <cell r="K173">
            <v>2.7915000000000001</v>
          </cell>
          <cell r="L173">
            <v>100000</v>
          </cell>
          <cell r="M173">
            <v>500</v>
          </cell>
          <cell r="N173">
            <v>7.4924999999999997</v>
          </cell>
        </row>
        <row r="174">
          <cell r="C174" t="str">
            <v>INE041007100</v>
          </cell>
          <cell r="D174" t="str">
            <v>FI3346NC200</v>
          </cell>
          <cell r="E174" t="str">
            <v>NCD</v>
          </cell>
          <cell r="F174" t="str">
            <v>Embassy Office Parks REIT</v>
          </cell>
          <cell r="G174" t="str">
            <v>7.77% Embassy Office Parks REIT NCD MD 05.06.2025 Series VII NCD Call 05-03-2025</v>
          </cell>
          <cell r="H174">
            <v>7.77</v>
          </cell>
          <cell r="I174" t="str">
            <v>05-06-2025</v>
          </cell>
          <cell r="J174" t="str">
            <v>CRISIL AAA</v>
          </cell>
          <cell r="K174">
            <v>0.73370000000000002</v>
          </cell>
          <cell r="L174">
            <v>100000</v>
          </cell>
          <cell r="M174">
            <v>500</v>
          </cell>
          <cell r="N174">
            <v>8.1850000000000005</v>
          </cell>
        </row>
        <row r="175">
          <cell r="C175" t="str">
            <v>INE053F08304</v>
          </cell>
          <cell r="D175" t="str">
            <v>FI3567IRFC248</v>
          </cell>
          <cell r="E175" t="str">
            <v>NCD</v>
          </cell>
          <cell r="F175" t="str">
            <v>Indian Railway Finance Corporation Ltd</v>
          </cell>
          <cell r="G175" t="str">
            <v>7.23% Indian Railway Finance Corporation Ltd NCD 15-10-2026</v>
          </cell>
          <cell r="H175">
            <v>7.23</v>
          </cell>
          <cell r="I175" t="str">
            <v>15-10-2026</v>
          </cell>
          <cell r="J175" t="str">
            <v>CRISIL AAA</v>
          </cell>
          <cell r="K175">
            <v>1.9875</v>
          </cell>
          <cell r="L175">
            <v>100000</v>
          </cell>
          <cell r="M175">
            <v>1000</v>
          </cell>
          <cell r="N175">
            <v>7.48</v>
          </cell>
        </row>
        <row r="176">
          <cell r="C176" t="str">
            <v>INE115A07OY6</v>
          </cell>
          <cell r="D176" t="str">
            <v>FILICNC376</v>
          </cell>
          <cell r="E176" t="str">
            <v>NCD</v>
          </cell>
          <cell r="F176" t="str">
            <v>LIC Housing Finance Ltd</v>
          </cell>
          <cell r="G176" t="str">
            <v>5.7760% LIC Housing Finance Ltd NCD MD 11-09-2025</v>
          </cell>
          <cell r="H176">
            <v>5.7759999999999998</v>
          </cell>
          <cell r="I176" t="str">
            <v>11-09-2025</v>
          </cell>
          <cell r="J176" t="str">
            <v>CRISIL AAA</v>
          </cell>
          <cell r="K176">
            <v>0.97170000000000001</v>
          </cell>
          <cell r="L176">
            <v>1000000</v>
          </cell>
          <cell r="M176">
            <v>140</v>
          </cell>
          <cell r="N176">
            <v>7.8550000000000004</v>
          </cell>
        </row>
        <row r="177">
          <cell r="C177" t="str">
            <v>INE121A07QT9</v>
          </cell>
          <cell r="D177" t="str">
            <v>FI3508NC223</v>
          </cell>
          <cell r="E177" t="str">
            <v>NCD</v>
          </cell>
          <cell r="F177" t="str">
            <v>Cholamandalam Investment and Finance Co Ltd</v>
          </cell>
          <cell r="G177" t="str">
            <v>8.45% Cholamandalam Investment and Finance Co Ltd NCD MD 21-11-2025 (CICFL_Series 630_November 2025)</v>
          </cell>
          <cell r="H177">
            <v>8.4499999999999993</v>
          </cell>
          <cell r="I177" t="str">
            <v>21-11-2025</v>
          </cell>
          <cell r="J177" t="str">
            <v>ICRA AA+</v>
          </cell>
          <cell r="K177">
            <v>1.1434</v>
          </cell>
          <cell r="L177">
            <v>1000000</v>
          </cell>
          <cell r="M177">
            <v>50</v>
          </cell>
          <cell r="N177">
            <v>8.4</v>
          </cell>
        </row>
        <row r="178">
          <cell r="C178" t="str">
            <v>INE134E08KT5</v>
          </cell>
          <cell r="D178" t="str">
            <v>FI35PFCNC370</v>
          </cell>
          <cell r="E178" t="str">
            <v>NCD</v>
          </cell>
          <cell r="F178" t="str">
            <v>Power Finance Corporation Ltd</v>
          </cell>
          <cell r="G178" t="str">
            <v>7.17% Power Finance Corporation Limited NCD MD 22-05-2025  (BS 202B (R-1)</v>
          </cell>
          <cell r="H178">
            <v>7.17</v>
          </cell>
          <cell r="I178" t="str">
            <v>22-05-2025</v>
          </cell>
          <cell r="J178" t="str">
            <v>CRISIL AAA</v>
          </cell>
          <cell r="K178">
            <v>0.72050000000000003</v>
          </cell>
          <cell r="L178">
            <v>1000000</v>
          </cell>
          <cell r="M178">
            <v>250</v>
          </cell>
          <cell r="N178">
            <v>7.72</v>
          </cell>
        </row>
        <row r="179">
          <cell r="C179" t="str">
            <v>INE233A08121</v>
          </cell>
          <cell r="D179" t="str">
            <v>CH2208BNC200</v>
          </cell>
          <cell r="E179" t="str">
            <v>NCD</v>
          </cell>
          <cell r="F179" t="str">
            <v>Godrej Industries Ltd</v>
          </cell>
          <cell r="G179" t="str">
            <v>8.36% GODREJ INDUSTRIES LTD NCD MD 28-08-2026</v>
          </cell>
          <cell r="H179">
            <v>8.36</v>
          </cell>
          <cell r="I179" t="str">
            <v>28-08-2026</v>
          </cell>
          <cell r="J179" t="str">
            <v>CRISIL AA</v>
          </cell>
          <cell r="K179">
            <v>1.9121999999999999</v>
          </cell>
          <cell r="L179">
            <v>100000</v>
          </cell>
          <cell r="M179">
            <v>900</v>
          </cell>
          <cell r="N179">
            <v>8.2750000000000004</v>
          </cell>
        </row>
        <row r="180">
          <cell r="C180" t="str">
            <v>INE261F08DP6</v>
          </cell>
          <cell r="D180" t="str">
            <v>FI35NANC302</v>
          </cell>
          <cell r="E180" t="str">
            <v>NCD</v>
          </cell>
          <cell r="F180" t="str">
            <v>National Bank for Agriculture &amp; Rural Development</v>
          </cell>
          <cell r="G180" t="str">
            <v>7.35% NABARD NCD 08-07-2025 BOND SERIES 23B</v>
          </cell>
          <cell r="H180">
            <v>7.35</v>
          </cell>
          <cell r="I180" t="str">
            <v>08-07-2025</v>
          </cell>
          <cell r="J180" t="str">
            <v>CRISIL AAA</v>
          </cell>
          <cell r="K180">
            <v>0.84930000000000005</v>
          </cell>
          <cell r="L180">
            <v>1000000</v>
          </cell>
          <cell r="M180">
            <v>100</v>
          </cell>
          <cell r="N180">
            <v>7.74</v>
          </cell>
        </row>
        <row r="181">
          <cell r="C181" t="str">
            <v>INE403D08181</v>
          </cell>
          <cell r="D181" t="str">
            <v>UT4825NC200</v>
          </cell>
          <cell r="E181" t="str">
            <v>NCD</v>
          </cell>
          <cell r="F181" t="str">
            <v>Bharti Telecom Ltd</v>
          </cell>
          <cell r="G181" t="str">
            <v>8.90% Bharti Telecom Ltd NCD MD 04-12-2025 SERIES XVI</v>
          </cell>
          <cell r="H181">
            <v>8.9</v>
          </cell>
          <cell r="I181" t="str">
            <v>04-12-2025</v>
          </cell>
          <cell r="J181" t="str">
            <v>CRISIL AA+</v>
          </cell>
          <cell r="K181">
            <v>1.1754</v>
          </cell>
          <cell r="L181">
            <v>100000</v>
          </cell>
          <cell r="M181">
            <v>1700</v>
          </cell>
          <cell r="N181">
            <v>8.5</v>
          </cell>
        </row>
        <row r="182">
          <cell r="C182" t="str">
            <v>INE414G07HI7</v>
          </cell>
          <cell r="D182" t="str">
            <v>FI3545NC202</v>
          </cell>
          <cell r="E182" t="str">
            <v>NCD</v>
          </cell>
          <cell r="F182" t="str">
            <v>Muthoot Finance Ltd</v>
          </cell>
          <cell r="G182" t="str">
            <v>8.30% Muthoot Finance Ltd NCD MD 06-01-2026 SERIES 23 A OPTION 1</v>
          </cell>
          <cell r="H182">
            <v>8.3000000000000007</v>
          </cell>
          <cell r="I182" t="str">
            <v>06-01-2026</v>
          </cell>
          <cell r="J182" t="str">
            <v>CRISIL AA+</v>
          </cell>
          <cell r="K182">
            <v>1.27</v>
          </cell>
          <cell r="L182">
            <v>1000000</v>
          </cell>
          <cell r="M182">
            <v>100</v>
          </cell>
          <cell r="N182">
            <v>8.82</v>
          </cell>
        </row>
        <row r="183">
          <cell r="C183" t="str">
            <v>INE477A07373</v>
          </cell>
          <cell r="D183" t="str">
            <v>FI3427NC200</v>
          </cell>
          <cell r="E183" t="str">
            <v>NCD</v>
          </cell>
          <cell r="F183" t="str">
            <v>Can Fin Homes Ltd</v>
          </cell>
          <cell r="G183" t="str">
            <v>8.45% Can Fin Homes Ltd NCD MD 27-05-2026</v>
          </cell>
          <cell r="H183">
            <v>8.4499999999999993</v>
          </cell>
          <cell r="I183" t="str">
            <v>27-05-2026</v>
          </cell>
          <cell r="J183" t="str">
            <v>IND AA+</v>
          </cell>
          <cell r="K183">
            <v>1.6188</v>
          </cell>
          <cell r="L183">
            <v>100000</v>
          </cell>
          <cell r="M183">
            <v>1500</v>
          </cell>
          <cell r="N183">
            <v>8.1793999999999993</v>
          </cell>
        </row>
        <row r="184">
          <cell r="C184" t="str">
            <v>INE523H07CB9</v>
          </cell>
          <cell r="D184" t="str">
            <v>FI3529NC207</v>
          </cell>
          <cell r="E184" t="str">
            <v>NCD</v>
          </cell>
          <cell r="F184" t="str">
            <v>JM Financial Products Ltd</v>
          </cell>
          <cell r="G184" t="str">
            <v>8.92% JM Financial Products Ltd NCD MD 16-11-2026</v>
          </cell>
          <cell r="H184">
            <v>8.92</v>
          </cell>
          <cell r="I184" t="str">
            <v>16-11-2026</v>
          </cell>
          <cell r="J184" t="str">
            <v>CRISIL AA</v>
          </cell>
          <cell r="K184">
            <v>1.806</v>
          </cell>
          <cell r="L184">
            <v>100000</v>
          </cell>
          <cell r="M184">
            <v>1000</v>
          </cell>
          <cell r="N184">
            <v>9.89</v>
          </cell>
        </row>
        <row r="185">
          <cell r="C185" t="str">
            <v>INE557F08FV0</v>
          </cell>
          <cell r="D185" t="str">
            <v>FI3335NCD200</v>
          </cell>
          <cell r="E185" t="str">
            <v>NCD</v>
          </cell>
          <cell r="F185" t="str">
            <v xml:space="preserve">National Housing Bank </v>
          </cell>
          <cell r="G185" t="str">
            <v>7.78% National Housing Bank NCD 26 04 2027 PUT 17 03 2025</v>
          </cell>
          <cell r="H185">
            <v>7.78</v>
          </cell>
          <cell r="I185" t="str">
            <v>26-04-2027</v>
          </cell>
          <cell r="J185" t="str">
            <v>CARE AAA</v>
          </cell>
          <cell r="K185">
            <v>0.53849999999999998</v>
          </cell>
          <cell r="L185">
            <v>100000</v>
          </cell>
          <cell r="M185">
            <v>2000</v>
          </cell>
          <cell r="N185">
            <v>7.5650000000000004</v>
          </cell>
        </row>
        <row r="186">
          <cell r="C186" t="str">
            <v>INE721A07RU2</v>
          </cell>
          <cell r="D186" t="str">
            <v>FI3539NC201</v>
          </cell>
          <cell r="E186" t="str">
            <v>NCD</v>
          </cell>
          <cell r="F186" t="str">
            <v>Shriram Finance Ltd</v>
          </cell>
          <cell r="G186" t="str">
            <v>9.25%  Shriram Finance Ltd  NCD MD 19-12-2025 Series PPD XV 23-24 Option 1</v>
          </cell>
          <cell r="H186">
            <v>9.25</v>
          </cell>
          <cell r="I186" t="str">
            <v>19-12-2025</v>
          </cell>
          <cell r="J186" t="str">
            <v>CRISIL AA+</v>
          </cell>
          <cell r="K186">
            <v>1.2133</v>
          </cell>
          <cell r="L186">
            <v>100000</v>
          </cell>
          <cell r="M186">
            <v>500</v>
          </cell>
          <cell r="N186">
            <v>9.0250000000000004</v>
          </cell>
        </row>
        <row r="187">
          <cell r="C187" t="str">
            <v>INE721A07SB0</v>
          </cell>
          <cell r="D187" t="str">
            <v>FI3539NC202</v>
          </cell>
          <cell r="E187" t="str">
            <v>NCD</v>
          </cell>
          <cell r="F187" t="str">
            <v>Shriram Finance Ltd</v>
          </cell>
          <cell r="G187" t="str">
            <v>9.20% Shriram Finance Limited NCD MD 22-05-2026 Series/Tranche: Series PPD XXI 24-25 Option 2</v>
          </cell>
          <cell r="H187">
            <v>9.1999999999999993</v>
          </cell>
          <cell r="I187" t="str">
            <v>22-05-2026</v>
          </cell>
          <cell r="J187" t="str">
            <v>CRISIL AA+</v>
          </cell>
          <cell r="K187">
            <v>1.6363000000000001</v>
          </cell>
          <cell r="L187">
            <v>100000</v>
          </cell>
          <cell r="M187">
            <v>1500</v>
          </cell>
          <cell r="N187">
            <v>9.1377000000000006</v>
          </cell>
        </row>
        <row r="188">
          <cell r="C188" t="str">
            <v>INF0RQ622028</v>
          </cell>
          <cell r="D188" t="str">
            <v>CDMDF23</v>
          </cell>
          <cell r="E188" t="str">
            <v>CDMDF</v>
          </cell>
          <cell r="F188" t="str">
            <v>Corporate Debt Market Development Fund</v>
          </cell>
          <cell r="G188" t="str">
            <v>Corporate Debt Market Development Fund - Class A2</v>
          </cell>
          <cell r="H188">
            <v>0</v>
          </cell>
          <cell r="K188">
            <v>0</v>
          </cell>
          <cell r="L188">
            <v>10000</v>
          </cell>
          <cell r="M188">
            <v>13479.374400000001</v>
          </cell>
          <cell r="N188">
            <v>9.9999999999999995E-7</v>
          </cell>
        </row>
        <row r="189">
          <cell r="C189" t="str">
            <v>INE007N14DW1</v>
          </cell>
          <cell r="D189" t="str">
            <v>FI3447CP201</v>
          </cell>
          <cell r="E189" t="str">
            <v>CMP</v>
          </cell>
          <cell r="F189" t="str">
            <v>Fedbank Financial Services Ltd</v>
          </cell>
          <cell r="G189" t="str">
            <v>Fedbank Financial Services Ltd CP MD 02-12-2024</v>
          </cell>
          <cell r="H189">
            <v>0</v>
          </cell>
          <cell r="I189" t="str">
            <v>02-12-2024</v>
          </cell>
          <cell r="K189">
            <v>0.25</v>
          </cell>
          <cell r="L189">
            <v>500000</v>
          </cell>
          <cell r="M189">
            <v>1000</v>
          </cell>
          <cell r="N189">
            <v>0</v>
          </cell>
        </row>
        <row r="190">
          <cell r="C190" t="str">
            <v>INE018A14LB2</v>
          </cell>
          <cell r="D190" t="str">
            <v>CN2206CP251</v>
          </cell>
          <cell r="E190" t="str">
            <v>CMP</v>
          </cell>
          <cell r="F190" t="str">
            <v>Larsen &amp; Toubro Ltd</v>
          </cell>
          <cell r="G190" t="str">
            <v>Larsen &amp; Toubro Ltd CP MD 27-11-2024</v>
          </cell>
          <cell r="H190">
            <v>0</v>
          </cell>
          <cell r="I190" t="str">
            <v>27-11-2024</v>
          </cell>
          <cell r="J190" t="str">
            <v>CRISIL A1+</v>
          </cell>
          <cell r="K190">
            <v>0.24</v>
          </cell>
          <cell r="L190">
            <v>500000</v>
          </cell>
          <cell r="M190">
            <v>1000</v>
          </cell>
          <cell r="N190">
            <v>7.2450000000000001</v>
          </cell>
        </row>
        <row r="191">
          <cell r="C191" t="str">
            <v>INE027214647</v>
          </cell>
          <cell r="D191" t="str">
            <v>FI35BOBCP201</v>
          </cell>
          <cell r="E191" t="str">
            <v>CMP</v>
          </cell>
          <cell r="F191" t="str">
            <v>BOBCARD Ltd</v>
          </cell>
          <cell r="G191" t="str">
            <v>BOBCARD LTD CP MD 13-09-2024</v>
          </cell>
          <cell r="H191">
            <v>0</v>
          </cell>
          <cell r="I191" t="str">
            <v>13-09-2024</v>
          </cell>
          <cell r="J191" t="str">
            <v>CRISIL A1+</v>
          </cell>
          <cell r="K191">
            <v>0.04</v>
          </cell>
          <cell r="L191">
            <v>500000</v>
          </cell>
          <cell r="M191">
            <v>1000</v>
          </cell>
          <cell r="N191">
            <v>7.45</v>
          </cell>
        </row>
        <row r="192">
          <cell r="C192" t="str">
            <v>INE071G14FV8</v>
          </cell>
          <cell r="D192" t="str">
            <v>ICH01CP209</v>
          </cell>
          <cell r="E192" t="str">
            <v>CMP</v>
          </cell>
          <cell r="F192" t="str">
            <v>ICICI Home Finance Company Ltd</v>
          </cell>
          <cell r="G192" t="str">
            <v>ICICI Home Finance Co Ltd CP MD 19-11-2024</v>
          </cell>
          <cell r="H192">
            <v>0</v>
          </cell>
          <cell r="I192" t="str">
            <v>19-11-2024</v>
          </cell>
          <cell r="J192" t="str">
            <v>ICRA A1+</v>
          </cell>
          <cell r="K192">
            <v>0.22</v>
          </cell>
          <cell r="L192">
            <v>500000</v>
          </cell>
          <cell r="M192">
            <v>1500</v>
          </cell>
          <cell r="N192">
            <v>7.3151000000000002</v>
          </cell>
        </row>
        <row r="193">
          <cell r="C193" t="str">
            <v>INE09OL14FK9</v>
          </cell>
          <cell r="D193" t="str">
            <v>FI35109CP236</v>
          </cell>
          <cell r="E193" t="str">
            <v>CMP</v>
          </cell>
          <cell r="F193" t="str">
            <v>Birla Group Holdings Pvt Ltd</v>
          </cell>
          <cell r="G193" t="str">
            <v>Birla Group Holdings Private Ltd CP MD 18-09-2024</v>
          </cell>
          <cell r="H193">
            <v>0</v>
          </cell>
          <cell r="I193" t="str">
            <v>18-09-2024</v>
          </cell>
          <cell r="J193" t="str">
            <v>CRISIL A1+</v>
          </cell>
          <cell r="K193">
            <v>0.05</v>
          </cell>
          <cell r="L193">
            <v>500000</v>
          </cell>
          <cell r="M193">
            <v>2000</v>
          </cell>
          <cell r="N193">
            <v>7.6150000000000002</v>
          </cell>
        </row>
        <row r="194">
          <cell r="C194" t="str">
            <v>INE0DZE14065</v>
          </cell>
          <cell r="D194" t="str">
            <v>FI33100CP200</v>
          </cell>
          <cell r="E194" t="str">
            <v>CMP</v>
          </cell>
          <cell r="F194" t="str">
            <v>Kisetsu Saison Finance</v>
          </cell>
          <cell r="G194" t="str">
            <v>Kisetsu Saison Finance CP MD 10-09-2024</v>
          </cell>
          <cell r="H194">
            <v>0</v>
          </cell>
          <cell r="I194" t="str">
            <v>10-09-2024</v>
          </cell>
          <cell r="J194" t="str">
            <v>CRISIL A1+</v>
          </cell>
          <cell r="K194">
            <v>0.03</v>
          </cell>
          <cell r="L194">
            <v>500000</v>
          </cell>
          <cell r="M194">
            <v>2000</v>
          </cell>
          <cell r="N194">
            <v>7.58</v>
          </cell>
        </row>
        <row r="195">
          <cell r="C195" t="str">
            <v>INE110L14SF0</v>
          </cell>
          <cell r="D195" t="str">
            <v>TC0107CP281</v>
          </cell>
          <cell r="E195" t="str">
            <v>CMP</v>
          </cell>
          <cell r="F195" t="str">
            <v>Reliance Jio Infocomm Ltd</v>
          </cell>
          <cell r="G195" t="str">
            <v>Reliance Jio Infocomm Ltd CP MD 14-11-2024</v>
          </cell>
          <cell r="H195">
            <v>0</v>
          </cell>
          <cell r="I195" t="str">
            <v>14-11-2024</v>
          </cell>
          <cell r="J195" t="str">
            <v>CRISIL A1+</v>
          </cell>
          <cell r="K195">
            <v>0.21</v>
          </cell>
          <cell r="L195">
            <v>500000</v>
          </cell>
          <cell r="M195">
            <v>1500</v>
          </cell>
          <cell r="N195">
            <v>7.25</v>
          </cell>
        </row>
        <row r="196">
          <cell r="C196" t="str">
            <v>INE144H14GX5</v>
          </cell>
          <cell r="D196" t="str">
            <v>FI35118CP208</v>
          </cell>
          <cell r="E196" t="str">
            <v>CMP</v>
          </cell>
          <cell r="F196" t="str">
            <v>Deutsche Investments India Private Ltd</v>
          </cell>
          <cell r="G196" t="str">
            <v>Deutsche Investment India Ltd CMP 03 09 2024</v>
          </cell>
          <cell r="H196">
            <v>0</v>
          </cell>
          <cell r="I196" t="str">
            <v>03-09-2024</v>
          </cell>
          <cell r="J196" t="str">
            <v>CRISIL A1+</v>
          </cell>
          <cell r="K196">
            <v>0.01</v>
          </cell>
          <cell r="L196">
            <v>500000</v>
          </cell>
          <cell r="M196">
            <v>1000</v>
          </cell>
          <cell r="N196">
            <v>7.54</v>
          </cell>
        </row>
        <row r="197">
          <cell r="C197" t="str">
            <v>INE212K14734</v>
          </cell>
          <cell r="D197" t="str">
            <v>FI3605CP206</v>
          </cell>
          <cell r="E197" t="str">
            <v>CMP</v>
          </cell>
          <cell r="F197" t="str">
            <v>SBI Cap securities Ltd</v>
          </cell>
          <cell r="G197" t="str">
            <v>SBICAP Securities Ltd CP MD 19-09-2024</v>
          </cell>
          <cell r="H197">
            <v>0</v>
          </cell>
          <cell r="I197" t="str">
            <v>19-09-2024</v>
          </cell>
          <cell r="J197" t="str">
            <v>CRISIL A1+</v>
          </cell>
          <cell r="K197">
            <v>0.05</v>
          </cell>
          <cell r="L197">
            <v>500000</v>
          </cell>
          <cell r="M197">
            <v>500</v>
          </cell>
          <cell r="N197">
            <v>7.5449999999999999</v>
          </cell>
        </row>
        <row r="198">
          <cell r="C198" t="str">
            <v>INE233A14N74</v>
          </cell>
          <cell r="D198" t="str">
            <v>CH2208CP241</v>
          </cell>
          <cell r="E198" t="str">
            <v>CMP</v>
          </cell>
          <cell r="F198" t="str">
            <v>Godrej Industries Ltd</v>
          </cell>
          <cell r="G198" t="str">
            <v>Godrej Industries Ltd CP MD 06-09-2024</v>
          </cell>
          <cell r="H198">
            <v>0</v>
          </cell>
          <cell r="I198" t="str">
            <v>06-09-2024</v>
          </cell>
          <cell r="J198" t="str">
            <v>CRISIL A1+</v>
          </cell>
          <cell r="K198">
            <v>0.02</v>
          </cell>
          <cell r="L198">
            <v>500000</v>
          </cell>
          <cell r="M198">
            <v>1500</v>
          </cell>
          <cell r="N198">
            <v>7.15</v>
          </cell>
        </row>
        <row r="199">
          <cell r="C199" t="str">
            <v>INE233A14R62</v>
          </cell>
          <cell r="D199" t="str">
            <v>CH2208CP242</v>
          </cell>
          <cell r="E199" t="str">
            <v>CMP</v>
          </cell>
          <cell r="F199" t="str">
            <v>Godrej Industries Ltd</v>
          </cell>
          <cell r="G199" t="str">
            <v>Godrej Industries Ltd CP MD 27-11-2024</v>
          </cell>
          <cell r="H199">
            <v>0</v>
          </cell>
          <cell r="I199" t="str">
            <v>27-11-2024</v>
          </cell>
          <cell r="J199" t="str">
            <v>CRISIL A1+</v>
          </cell>
          <cell r="K199">
            <v>0.24</v>
          </cell>
          <cell r="L199">
            <v>500000</v>
          </cell>
          <cell r="M199">
            <v>1000</v>
          </cell>
          <cell r="N199">
            <v>7.3449999999999998</v>
          </cell>
        </row>
        <row r="200">
          <cell r="C200" t="str">
            <v>INE261F14LX1</v>
          </cell>
          <cell r="D200" t="str">
            <v>FI35NACP379</v>
          </cell>
          <cell r="E200" t="str">
            <v>CMP</v>
          </cell>
          <cell r="F200" t="str">
            <v>National Bank for Agriculture &amp; Rural Development</v>
          </cell>
          <cell r="G200" t="str">
            <v>NABARD CP MD 11-09-2024</v>
          </cell>
          <cell r="H200">
            <v>0</v>
          </cell>
          <cell r="I200" t="str">
            <v>11-09-2024</v>
          </cell>
          <cell r="J200" t="str">
            <v>CRISIL A1+</v>
          </cell>
          <cell r="K200">
            <v>0.03</v>
          </cell>
          <cell r="L200">
            <v>500000</v>
          </cell>
          <cell r="M200">
            <v>500</v>
          </cell>
          <cell r="N200">
            <v>7.0486000000000004</v>
          </cell>
        </row>
        <row r="201">
          <cell r="C201" t="str">
            <v>INE261F14MA7</v>
          </cell>
          <cell r="D201" t="str">
            <v>FI35NACP377</v>
          </cell>
          <cell r="E201" t="str">
            <v>CMP</v>
          </cell>
          <cell r="F201" t="str">
            <v>National Bank for Agriculture &amp; Rural Development</v>
          </cell>
          <cell r="G201" t="str">
            <v>NABARD CP MD 20-09-2024</v>
          </cell>
          <cell r="H201">
            <v>0</v>
          </cell>
          <cell r="I201" t="str">
            <v>20-09-2024</v>
          </cell>
          <cell r="J201" t="str">
            <v>CRISIL A1+</v>
          </cell>
          <cell r="K201">
            <v>0.05</v>
          </cell>
          <cell r="L201">
            <v>500000</v>
          </cell>
          <cell r="M201">
            <v>1500</v>
          </cell>
          <cell r="N201">
            <v>6.9802999999999997</v>
          </cell>
        </row>
        <row r="202">
          <cell r="C202" t="str">
            <v>INE261F14MB5</v>
          </cell>
          <cell r="D202" t="str">
            <v>FI35NACP378</v>
          </cell>
          <cell r="E202" t="str">
            <v>CMP</v>
          </cell>
          <cell r="F202" t="str">
            <v>National Bank for Agriculture &amp; Rural Development</v>
          </cell>
          <cell r="G202" t="str">
            <v>NABARD CP MD 26-09-2024</v>
          </cell>
          <cell r="H202">
            <v>0</v>
          </cell>
          <cell r="I202" t="str">
            <v>26-09-2024</v>
          </cell>
          <cell r="J202" t="str">
            <v>CRISIL A1+</v>
          </cell>
          <cell r="K202">
            <v>7.0000000000000007E-2</v>
          </cell>
          <cell r="L202">
            <v>500000</v>
          </cell>
          <cell r="M202">
            <v>1500</v>
          </cell>
          <cell r="N202">
            <v>7.0301999999999998</v>
          </cell>
        </row>
        <row r="203">
          <cell r="C203" t="str">
            <v>INE289B14JC9</v>
          </cell>
          <cell r="D203" t="str">
            <v>FI3559CP215</v>
          </cell>
          <cell r="E203" t="str">
            <v>CMP</v>
          </cell>
          <cell r="F203" t="str">
            <v>GIC Housing Finance Ltd</v>
          </cell>
          <cell r="G203" t="str">
            <v>GIC Housing Finance Ltd CP MD 22-11-2024</v>
          </cell>
          <cell r="H203">
            <v>0</v>
          </cell>
          <cell r="I203" t="str">
            <v>22-11-2024</v>
          </cell>
          <cell r="J203" t="str">
            <v>CRISIL A1+</v>
          </cell>
          <cell r="K203">
            <v>0.23</v>
          </cell>
          <cell r="L203">
            <v>500000</v>
          </cell>
          <cell r="M203">
            <v>2000</v>
          </cell>
          <cell r="N203">
            <v>7.38</v>
          </cell>
        </row>
        <row r="204">
          <cell r="C204" t="str">
            <v>INE338I14HU5</v>
          </cell>
          <cell r="D204" t="str">
            <v>FI3435CP213</v>
          </cell>
          <cell r="E204" t="str">
            <v>CMP</v>
          </cell>
          <cell r="F204" t="str">
            <v>Motilal Oswal Financial Services Ltd</v>
          </cell>
          <cell r="G204" t="str">
            <v>Motilal Oswal Financial Services Limited CP MD 17-10-2024</v>
          </cell>
          <cell r="H204">
            <v>0</v>
          </cell>
          <cell r="I204" t="str">
            <v>17-10-2024</v>
          </cell>
          <cell r="J204" t="str">
            <v>CRISIL A1+</v>
          </cell>
          <cell r="K204">
            <v>0.13</v>
          </cell>
          <cell r="L204">
            <v>500000</v>
          </cell>
          <cell r="M204">
            <v>1500</v>
          </cell>
          <cell r="N204">
            <v>8.0399999999999991</v>
          </cell>
        </row>
        <row r="205">
          <cell r="C205" t="str">
            <v>INE417C14751</v>
          </cell>
          <cell r="D205" t="str">
            <v>FI35119CP202</v>
          </cell>
          <cell r="E205" t="str">
            <v>CMP</v>
          </cell>
          <cell r="F205" t="str">
            <v>Pilani Investment and Industries Corporation Ltd.</v>
          </cell>
          <cell r="G205" t="str">
            <v>Pilani Investment &amp; Industries Corporation Ltd CP MD 13-09-2024</v>
          </cell>
          <cell r="H205">
            <v>0</v>
          </cell>
          <cell r="I205" t="str">
            <v>13-09-2024</v>
          </cell>
          <cell r="J205" t="str">
            <v>CRISIL A1+</v>
          </cell>
          <cell r="K205">
            <v>0.04</v>
          </cell>
          <cell r="L205">
            <v>500000</v>
          </cell>
          <cell r="M205">
            <v>1000</v>
          </cell>
          <cell r="N205">
            <v>7.69</v>
          </cell>
        </row>
        <row r="206">
          <cell r="C206" t="str">
            <v>INE498L14CE6</v>
          </cell>
          <cell r="D206" t="str">
            <v>FI35LTCP270</v>
          </cell>
          <cell r="E206" t="str">
            <v>CMP</v>
          </cell>
          <cell r="F206" t="str">
            <v>L &amp; T Finance Ltd</v>
          </cell>
          <cell r="G206" t="str">
            <v>L &amp; T Finance Ltd CP MD 24-10-2024</v>
          </cell>
          <cell r="H206">
            <v>0</v>
          </cell>
          <cell r="I206" t="str">
            <v>24-10-2024</v>
          </cell>
          <cell r="J206" t="str">
            <v>CRISIL A1+</v>
          </cell>
          <cell r="K206">
            <v>0.15</v>
          </cell>
          <cell r="L206">
            <v>500000</v>
          </cell>
          <cell r="M206">
            <v>2000</v>
          </cell>
          <cell r="N206">
            <v>7.6050000000000004</v>
          </cell>
        </row>
        <row r="207">
          <cell r="C207" t="str">
            <v>INE514E14RR5</v>
          </cell>
          <cell r="D207" t="str">
            <v>FI35EXCP302</v>
          </cell>
          <cell r="E207" t="str">
            <v>CMP</v>
          </cell>
          <cell r="F207" t="str">
            <v>Export Import Bank of India</v>
          </cell>
          <cell r="G207" t="str">
            <v>Export and Import bank of india CP MD 09-09-2024</v>
          </cell>
          <cell r="H207">
            <v>0</v>
          </cell>
          <cell r="I207" t="str">
            <v>09-09-2024</v>
          </cell>
          <cell r="J207" t="str">
            <v>CRISIL A1+</v>
          </cell>
          <cell r="K207">
            <v>0.02</v>
          </cell>
          <cell r="L207">
            <v>500000</v>
          </cell>
          <cell r="M207">
            <v>3000</v>
          </cell>
          <cell r="N207">
            <v>7.0000999999999998</v>
          </cell>
        </row>
        <row r="208">
          <cell r="C208" t="str">
            <v>INE556F14KK3</v>
          </cell>
          <cell r="D208" t="str">
            <v>FI3405CP298</v>
          </cell>
          <cell r="E208" t="str">
            <v>CMP</v>
          </cell>
          <cell r="F208" t="str">
            <v>Small Industries Development Bank of India</v>
          </cell>
          <cell r="G208" t="str">
            <v>Small Industries Development Bank of India CP MD 11-09-2024</v>
          </cell>
          <cell r="H208">
            <v>0</v>
          </cell>
          <cell r="I208" t="str">
            <v>11-09-2024</v>
          </cell>
          <cell r="J208" t="str">
            <v>CRISIL A1+</v>
          </cell>
          <cell r="K208">
            <v>0.03</v>
          </cell>
          <cell r="L208">
            <v>500000</v>
          </cell>
          <cell r="M208">
            <v>2000</v>
          </cell>
          <cell r="N208">
            <v>6.9996999999999998</v>
          </cell>
        </row>
        <row r="209">
          <cell r="C209" t="str">
            <v>INE557F14FJ3</v>
          </cell>
          <cell r="D209" t="str">
            <v>FI3335CP235</v>
          </cell>
          <cell r="E209" t="str">
            <v>CMP</v>
          </cell>
          <cell r="F209" t="str">
            <v xml:space="preserve">National Housing Bank </v>
          </cell>
          <cell r="G209" t="str">
            <v>NATIONAL HOUSING BANK CP MD 26-09-2024</v>
          </cell>
          <cell r="H209">
            <v>0</v>
          </cell>
          <cell r="I209" t="str">
            <v>26-09-2024</v>
          </cell>
          <cell r="J209" t="str">
            <v>CRISIL A1+</v>
          </cell>
          <cell r="K209">
            <v>7.0000000000000007E-2</v>
          </cell>
          <cell r="L209">
            <v>500000</v>
          </cell>
          <cell r="M209">
            <v>1000</v>
          </cell>
          <cell r="N209">
            <v>6.9947999999999997</v>
          </cell>
        </row>
        <row r="210">
          <cell r="C210" t="str">
            <v>INE572E14JF5</v>
          </cell>
          <cell r="D210" t="str">
            <v>FI3333CP235</v>
          </cell>
          <cell r="E210" t="str">
            <v>CMP</v>
          </cell>
          <cell r="F210" t="str">
            <v>PNB Housing Finance Ltd</v>
          </cell>
          <cell r="G210" t="str">
            <v>PNB  Housing Finance CP MD 10-09-2024</v>
          </cell>
          <cell r="H210">
            <v>0</v>
          </cell>
          <cell r="I210" t="str">
            <v>10-09-2024</v>
          </cell>
          <cell r="J210" t="str">
            <v>CRISIL A1+</v>
          </cell>
          <cell r="K210">
            <v>0.03</v>
          </cell>
          <cell r="L210">
            <v>500000</v>
          </cell>
          <cell r="M210">
            <v>1500</v>
          </cell>
          <cell r="N210">
            <v>7.26</v>
          </cell>
        </row>
        <row r="211">
          <cell r="C211" t="str">
            <v>INE572E14JJ7</v>
          </cell>
          <cell r="D211" t="str">
            <v>FI3333CP236</v>
          </cell>
          <cell r="E211" t="str">
            <v>CMP</v>
          </cell>
          <cell r="F211" t="str">
            <v>PNB Housing Finance Ltd</v>
          </cell>
          <cell r="G211" t="str">
            <v>PNB Housing Finance Ltd CMP 26 11 2024</v>
          </cell>
          <cell r="H211">
            <v>0</v>
          </cell>
          <cell r="I211" t="str">
            <v>26-11-2024</v>
          </cell>
          <cell r="J211" t="str">
            <v>CRISIL A1+</v>
          </cell>
          <cell r="K211">
            <v>0.24</v>
          </cell>
          <cell r="L211">
            <v>500000</v>
          </cell>
          <cell r="M211">
            <v>1000</v>
          </cell>
          <cell r="N211">
            <v>7.34</v>
          </cell>
        </row>
        <row r="212">
          <cell r="C212" t="str">
            <v>INE700G14LD8</v>
          </cell>
          <cell r="D212" t="str">
            <v>FI3601CP217</v>
          </cell>
          <cell r="E212" t="str">
            <v>CMP</v>
          </cell>
          <cell r="F212" t="str">
            <v>HDFC Securities Ltd</v>
          </cell>
          <cell r="G212" t="str">
            <v>HDFC Securities LTD CP MD 12-11-2024</v>
          </cell>
          <cell r="H212">
            <v>0</v>
          </cell>
          <cell r="I212" t="str">
            <v>12-11-2024</v>
          </cell>
          <cell r="J212" t="str">
            <v>CRISIL A1+</v>
          </cell>
          <cell r="K212">
            <v>0.2</v>
          </cell>
          <cell r="L212">
            <v>500000</v>
          </cell>
          <cell r="M212">
            <v>1000</v>
          </cell>
          <cell r="N212">
            <v>7.7450000000000001</v>
          </cell>
        </row>
        <row r="213">
          <cell r="C213" t="str">
            <v>INE721A14DU8</v>
          </cell>
          <cell r="D213" t="str">
            <v>FI3539CP202</v>
          </cell>
          <cell r="E213" t="str">
            <v>CMP</v>
          </cell>
          <cell r="F213" t="str">
            <v>Shriram Finance Ltd</v>
          </cell>
          <cell r="G213" t="str">
            <v>Shriram Finance Limited CP MD 10-09-2024</v>
          </cell>
          <cell r="H213">
            <v>0</v>
          </cell>
          <cell r="I213" t="str">
            <v>10-09-2024</v>
          </cell>
          <cell r="J213" t="str">
            <v>IND A1+</v>
          </cell>
          <cell r="K213">
            <v>0.03</v>
          </cell>
          <cell r="L213">
            <v>500000</v>
          </cell>
          <cell r="M213">
            <v>2000</v>
          </cell>
          <cell r="N213">
            <v>7.665</v>
          </cell>
        </row>
        <row r="214">
          <cell r="C214" t="str">
            <v>INE733E14BN4</v>
          </cell>
          <cell r="D214" t="str">
            <v>UT4712CP227</v>
          </cell>
          <cell r="E214" t="str">
            <v>CMP</v>
          </cell>
          <cell r="F214" t="str">
            <v>NTPC LTD</v>
          </cell>
          <cell r="G214" t="str">
            <v>National Thermal Power Corporation Ltd (NTPC) CP MD 20-09-2024</v>
          </cell>
          <cell r="H214">
            <v>0</v>
          </cell>
          <cell r="I214" t="str">
            <v>20-09-2024</v>
          </cell>
          <cell r="J214" t="str">
            <v>CRISIL A1+</v>
          </cell>
          <cell r="K214">
            <v>0.05</v>
          </cell>
          <cell r="L214">
            <v>500000</v>
          </cell>
          <cell r="M214">
            <v>1000</v>
          </cell>
          <cell r="N214">
            <v>7.0004999999999997</v>
          </cell>
        </row>
        <row r="215">
          <cell r="C215" t="str">
            <v>INE763G14VJ2</v>
          </cell>
          <cell r="D215" t="str">
            <v>FI3418CP241</v>
          </cell>
          <cell r="E215" t="str">
            <v>CMP</v>
          </cell>
          <cell r="F215" t="str">
            <v>ICICI Securities Ltd</v>
          </cell>
          <cell r="G215" t="str">
            <v>ICICI Securities Ltd CP MD 13-11-2024</v>
          </cell>
          <cell r="H215">
            <v>0</v>
          </cell>
          <cell r="I215" t="str">
            <v>13-11-2024</v>
          </cell>
          <cell r="J215" t="str">
            <v>CRISIL A1+</v>
          </cell>
          <cell r="K215">
            <v>0.2</v>
          </cell>
          <cell r="L215">
            <v>500000</v>
          </cell>
          <cell r="M215">
            <v>900</v>
          </cell>
          <cell r="N215">
            <v>7.7450000000000001</v>
          </cell>
        </row>
        <row r="216">
          <cell r="C216" t="str">
            <v>INE790I14FB1</v>
          </cell>
          <cell r="D216" t="str">
            <v>FI35117CP211</v>
          </cell>
          <cell r="E216" t="str">
            <v>CMP</v>
          </cell>
          <cell r="F216" t="str">
            <v>HSBC InvestDirect Financial Services India Limited</v>
          </cell>
          <cell r="G216" t="str">
            <v>HSBC InvestDirect Financial Services India Ltd CP MD 13-11-2024</v>
          </cell>
          <cell r="H216">
            <v>0</v>
          </cell>
          <cell r="I216" t="str">
            <v>13-11-2024</v>
          </cell>
          <cell r="J216" t="str">
            <v>CRISIL A1+</v>
          </cell>
          <cell r="K216">
            <v>0.2</v>
          </cell>
          <cell r="L216">
            <v>500000</v>
          </cell>
          <cell r="M216">
            <v>1000</v>
          </cell>
          <cell r="N216">
            <v>7.81</v>
          </cell>
        </row>
        <row r="217">
          <cell r="C217" t="str">
            <v>INE824H14PR5</v>
          </cell>
          <cell r="D217" t="str">
            <v>FI3398CP233</v>
          </cell>
          <cell r="E217" t="str">
            <v>CMP</v>
          </cell>
          <cell r="F217" t="str">
            <v>Julius Baer Capital (India) Private Ltd</v>
          </cell>
          <cell r="G217" t="str">
            <v>Julius Baer Capital India Private Ltd CP MD 30-09-2024</v>
          </cell>
          <cell r="H217">
            <v>0</v>
          </cell>
          <cell r="I217" t="str">
            <v>30-09-2024</v>
          </cell>
          <cell r="J217" t="str">
            <v>CRISIL A1+</v>
          </cell>
          <cell r="K217">
            <v>0.08</v>
          </cell>
          <cell r="L217">
            <v>500000</v>
          </cell>
          <cell r="M217">
            <v>1500</v>
          </cell>
          <cell r="N217">
            <v>7.6150000000000002</v>
          </cell>
        </row>
        <row r="218">
          <cell r="C218" t="str">
            <v>INE824H14PY1</v>
          </cell>
          <cell r="D218" t="str">
            <v>FI3398CP234</v>
          </cell>
          <cell r="E218" t="str">
            <v>CMP</v>
          </cell>
          <cell r="F218" t="str">
            <v>Julius Baer Capital (India) Private Ltd</v>
          </cell>
          <cell r="G218" t="str">
            <v>Julius Baer Capital India Ltd CMP 22 11 2024</v>
          </cell>
          <cell r="H218">
            <v>0</v>
          </cell>
          <cell r="I218" t="str">
            <v>22-11-2024</v>
          </cell>
          <cell r="J218" t="str">
            <v>CRISIL A1+</v>
          </cell>
          <cell r="K218">
            <v>0.23</v>
          </cell>
          <cell r="L218">
            <v>500000</v>
          </cell>
          <cell r="M218">
            <v>800</v>
          </cell>
          <cell r="N218">
            <v>7.92</v>
          </cell>
        </row>
        <row r="219">
          <cell r="C219" t="str">
            <v>INE824H14PZ8</v>
          </cell>
          <cell r="D219" t="str">
            <v>FI3398CP235</v>
          </cell>
          <cell r="E219" t="str">
            <v>CMP</v>
          </cell>
          <cell r="F219" t="str">
            <v>Julius Baer Capital (India) Private Ltd</v>
          </cell>
          <cell r="G219" t="str">
            <v>Julius Baer Capital India Private Ltd CP MD 27-11-2024</v>
          </cell>
          <cell r="H219">
            <v>0</v>
          </cell>
          <cell r="I219" t="str">
            <v>27-11-2024</v>
          </cell>
          <cell r="J219" t="str">
            <v>CRISIL A1+</v>
          </cell>
          <cell r="K219">
            <v>0.24</v>
          </cell>
          <cell r="L219">
            <v>500000</v>
          </cell>
          <cell r="M219">
            <v>1500</v>
          </cell>
          <cell r="N219">
            <v>7.92</v>
          </cell>
        </row>
        <row r="220">
          <cell r="C220" t="str">
            <v>INE850D14RI4</v>
          </cell>
          <cell r="D220" t="str">
            <v>AG0211CP223</v>
          </cell>
          <cell r="E220" t="str">
            <v>CMP</v>
          </cell>
          <cell r="F220" t="str">
            <v>Godrej Agrovet Ltd</v>
          </cell>
          <cell r="G220" t="str">
            <v>Godrej Agrovet Ltd CP MD 12-09-2024</v>
          </cell>
          <cell r="H220">
            <v>0</v>
          </cell>
          <cell r="I220" t="str">
            <v>12-09-2024</v>
          </cell>
          <cell r="J220" t="str">
            <v>CRISIL A1+</v>
          </cell>
          <cell r="K220">
            <v>0.03</v>
          </cell>
          <cell r="L220">
            <v>500000</v>
          </cell>
          <cell r="M220">
            <v>1000</v>
          </cell>
          <cell r="N220">
            <v>7.2649999999999997</v>
          </cell>
        </row>
        <row r="221">
          <cell r="C221" t="str">
            <v>INE865C14MA2</v>
          </cell>
          <cell r="D221" t="str">
            <v>FI3597CP227</v>
          </cell>
          <cell r="E221" t="str">
            <v>CMP</v>
          </cell>
          <cell r="F221" t="str">
            <v>Aditya Birla Money Ltd</v>
          </cell>
          <cell r="G221" t="str">
            <v>Aditya Birla Money Ltd CP MD 29-11-2024</v>
          </cell>
          <cell r="H221">
            <v>0</v>
          </cell>
          <cell r="I221" t="str">
            <v>29-11-2024</v>
          </cell>
          <cell r="J221" t="str">
            <v>CRISIL A1+</v>
          </cell>
          <cell r="K221">
            <v>0.25</v>
          </cell>
          <cell r="L221">
            <v>500000</v>
          </cell>
          <cell r="M221">
            <v>1000</v>
          </cell>
          <cell r="N221">
            <v>7.85</v>
          </cell>
        </row>
        <row r="222">
          <cell r="C222" t="str">
            <v>INE870H14TD0</v>
          </cell>
          <cell r="D222" t="str">
            <v>MI4029CP207</v>
          </cell>
          <cell r="E222" t="str">
            <v>CMP</v>
          </cell>
          <cell r="F222" t="str">
            <v>Network18 Media &amp; Investments Ltd</v>
          </cell>
          <cell r="G222" t="str">
            <v>Network 18 Media Investment Ltd CMP 30 10 2024</v>
          </cell>
          <cell r="H222">
            <v>0</v>
          </cell>
          <cell r="I222" t="str">
            <v>30-10-2024</v>
          </cell>
          <cell r="J222" t="str">
            <v>ICRA A1+</v>
          </cell>
          <cell r="K222">
            <v>0.16</v>
          </cell>
          <cell r="L222">
            <v>500000</v>
          </cell>
          <cell r="M222">
            <v>1000</v>
          </cell>
          <cell r="N222">
            <v>7.2850000000000001</v>
          </cell>
        </row>
        <row r="223">
          <cell r="C223" t="str">
            <v>INE891D14YQ7</v>
          </cell>
          <cell r="D223" t="str">
            <v>HO3808CP263</v>
          </cell>
          <cell r="E223" t="str">
            <v>CMP</v>
          </cell>
          <cell r="F223" t="str">
            <v>Redington Ltd</v>
          </cell>
          <cell r="G223" t="str">
            <v>Redington Ltd CP MD 12-09-2024</v>
          </cell>
          <cell r="H223">
            <v>0</v>
          </cell>
          <cell r="I223" t="str">
            <v>12-09-2024</v>
          </cell>
          <cell r="J223" t="str">
            <v>CRISIL A1+</v>
          </cell>
          <cell r="K223">
            <v>0.03</v>
          </cell>
          <cell r="L223">
            <v>500000</v>
          </cell>
          <cell r="M223">
            <v>2000</v>
          </cell>
          <cell r="N223">
            <v>7.2451999999999996</v>
          </cell>
        </row>
        <row r="224">
          <cell r="C224" t="str">
            <v>INE891D14YR5</v>
          </cell>
          <cell r="D224" t="str">
            <v>HO3808CP264</v>
          </cell>
          <cell r="E224" t="str">
            <v>CMP</v>
          </cell>
          <cell r="F224" t="str">
            <v>Redington Ltd</v>
          </cell>
          <cell r="G224" t="str">
            <v>Redington (India) Ltd CP MD 13-09-2024</v>
          </cell>
          <cell r="H224">
            <v>0</v>
          </cell>
          <cell r="I224" t="str">
            <v>13-09-2024</v>
          </cell>
          <cell r="J224" t="str">
            <v>CRISIL A1+</v>
          </cell>
          <cell r="K224">
            <v>0.04</v>
          </cell>
          <cell r="L224">
            <v>500000</v>
          </cell>
          <cell r="M224">
            <v>1000</v>
          </cell>
          <cell r="N224">
            <v>7.2451999999999996</v>
          </cell>
        </row>
        <row r="225">
          <cell r="C225" t="str">
            <v>INE929O14CD6</v>
          </cell>
          <cell r="D225" t="str">
            <v>CR2823CP221</v>
          </cell>
          <cell r="E225" t="str">
            <v>CMP</v>
          </cell>
          <cell r="F225" t="str">
            <v>Reliance Retail Ventures Ltd</v>
          </cell>
          <cell r="G225" t="str">
            <v>Reliance Retail Ventures CP MD 08-11-2024</v>
          </cell>
          <cell r="H225">
            <v>0</v>
          </cell>
          <cell r="I225" t="str">
            <v>08-11-2024</v>
          </cell>
          <cell r="J225" t="str">
            <v>CRISIL A1+</v>
          </cell>
          <cell r="K225">
            <v>0.19</v>
          </cell>
          <cell r="L225">
            <v>500000</v>
          </cell>
          <cell r="M225">
            <v>3000</v>
          </cell>
          <cell r="N225">
            <v>7.27</v>
          </cell>
        </row>
        <row r="226">
          <cell r="C226" t="str">
            <v>INE028A16FI3</v>
          </cell>
          <cell r="D226" t="str">
            <v>FI3369CD291</v>
          </cell>
          <cell r="E226" t="str">
            <v>COD</v>
          </cell>
          <cell r="F226" t="str">
            <v>Bank of Baroda</v>
          </cell>
          <cell r="G226" t="str">
            <v>Bank of Baroda COD MD 21-10-2024</v>
          </cell>
          <cell r="H226">
            <v>0</v>
          </cell>
          <cell r="I226" t="str">
            <v>21-10-2024</v>
          </cell>
          <cell r="J226" t="str">
            <v>IND A1+</v>
          </cell>
          <cell r="K226">
            <v>0.14000000000000001</v>
          </cell>
          <cell r="L226">
            <v>500000</v>
          </cell>
          <cell r="M226">
            <v>1000</v>
          </cell>
          <cell r="N226">
            <v>7.22</v>
          </cell>
        </row>
        <row r="227">
          <cell r="C227" t="str">
            <v>INE028A16FT0</v>
          </cell>
          <cell r="D227" t="str">
            <v>FI3369CD289</v>
          </cell>
          <cell r="E227" t="str">
            <v>COD</v>
          </cell>
          <cell r="F227" t="str">
            <v>Bank of Baroda</v>
          </cell>
          <cell r="G227" t="str">
            <v>Bank of Baroda COD MD 23-09-2024</v>
          </cell>
          <cell r="H227">
            <v>0</v>
          </cell>
          <cell r="I227" t="str">
            <v>23-09-2024</v>
          </cell>
          <cell r="J227" t="str">
            <v>IND A1+</v>
          </cell>
          <cell r="K227">
            <v>0.06</v>
          </cell>
          <cell r="L227">
            <v>500000</v>
          </cell>
          <cell r="M227">
            <v>1000</v>
          </cell>
          <cell r="N227">
            <v>6.9641000000000002</v>
          </cell>
        </row>
        <row r="228">
          <cell r="C228" t="str">
            <v>INE028A16GB6</v>
          </cell>
          <cell r="D228" t="str">
            <v>FI3369CD292</v>
          </cell>
          <cell r="E228" t="str">
            <v>COD</v>
          </cell>
          <cell r="F228" t="str">
            <v>Bank of Baroda</v>
          </cell>
          <cell r="G228" t="str">
            <v>BANK OF BARODA COD MD 13-11-2024</v>
          </cell>
          <cell r="H228">
            <v>0</v>
          </cell>
          <cell r="I228" t="str">
            <v>13-11-2024</v>
          </cell>
          <cell r="J228" t="str">
            <v>IND A1+</v>
          </cell>
          <cell r="K228">
            <v>0.2</v>
          </cell>
          <cell r="L228">
            <v>500000</v>
          </cell>
          <cell r="M228">
            <v>1500</v>
          </cell>
          <cell r="N228">
            <v>7.21</v>
          </cell>
        </row>
        <row r="229">
          <cell r="C229" t="str">
            <v>INE040A16EZ5</v>
          </cell>
          <cell r="D229" t="str">
            <v>FI3310CD284</v>
          </cell>
          <cell r="E229" t="str">
            <v>COD</v>
          </cell>
          <cell r="F229" t="str">
            <v>HDFC Bank Ltd</v>
          </cell>
          <cell r="G229" t="str">
            <v>Hdfc Bank Ltd COD MD 11-09-2024</v>
          </cell>
          <cell r="H229">
            <v>0</v>
          </cell>
          <cell r="I229" t="str">
            <v>11-09-2024</v>
          </cell>
          <cell r="J229" t="str">
            <v>CRISIL A1+</v>
          </cell>
          <cell r="K229">
            <v>0.03</v>
          </cell>
          <cell r="L229">
            <v>500000</v>
          </cell>
          <cell r="M229">
            <v>3000</v>
          </cell>
          <cell r="N229">
            <v>6.9852999999999996</v>
          </cell>
        </row>
        <row r="230">
          <cell r="C230" t="str">
            <v>INE040A16FG2</v>
          </cell>
          <cell r="D230" t="str">
            <v>FI3310CD288</v>
          </cell>
          <cell r="E230" t="str">
            <v>COD</v>
          </cell>
          <cell r="F230" t="str">
            <v>HDFC Bank Ltd</v>
          </cell>
          <cell r="G230" t="str">
            <v>HDFC Bank Ltd COD MD 24-10-2024</v>
          </cell>
          <cell r="H230">
            <v>0</v>
          </cell>
          <cell r="I230" t="str">
            <v>24-10-2024</v>
          </cell>
          <cell r="J230" t="str">
            <v>CRISIL A1+</v>
          </cell>
          <cell r="K230">
            <v>0.15</v>
          </cell>
          <cell r="L230">
            <v>500000</v>
          </cell>
          <cell r="M230">
            <v>1500</v>
          </cell>
          <cell r="N230">
            <v>7.2201000000000004</v>
          </cell>
        </row>
        <row r="231">
          <cell r="C231" t="str">
            <v>INE040A16FI8</v>
          </cell>
          <cell r="D231" t="str">
            <v>FI3310CD289</v>
          </cell>
          <cell r="E231" t="str">
            <v>COD</v>
          </cell>
          <cell r="F231" t="str">
            <v>HDFC Bank Ltd</v>
          </cell>
          <cell r="G231" t="str">
            <v>HDFC Bank Ltd CD MD 21-11-2024</v>
          </cell>
          <cell r="H231">
            <v>0</v>
          </cell>
          <cell r="I231" t="str">
            <v>21-11-2024</v>
          </cell>
          <cell r="J231" t="str">
            <v>CRISIL A1+</v>
          </cell>
          <cell r="K231">
            <v>0.22</v>
          </cell>
          <cell r="L231">
            <v>500000</v>
          </cell>
          <cell r="M231">
            <v>2000</v>
          </cell>
          <cell r="N231">
            <v>7.2401</v>
          </cell>
        </row>
        <row r="232">
          <cell r="C232" t="str">
            <v>INE090AD6048</v>
          </cell>
          <cell r="D232" t="str">
            <v>FI3305CD370</v>
          </cell>
          <cell r="E232" t="str">
            <v>COD</v>
          </cell>
          <cell r="F232" t="str">
            <v>ICICI Bank Ltd</v>
          </cell>
          <cell r="G232" t="str">
            <v>ICICI Bank Ltd COD MD 16-09-2024</v>
          </cell>
          <cell r="H232">
            <v>0</v>
          </cell>
          <cell r="I232" t="str">
            <v>16-09-2024</v>
          </cell>
          <cell r="J232" t="str">
            <v>ICRA A1+</v>
          </cell>
          <cell r="K232">
            <v>0.04</v>
          </cell>
          <cell r="L232">
            <v>500000</v>
          </cell>
          <cell r="M232">
            <v>500</v>
          </cell>
          <cell r="N232">
            <v>6.9349999999999996</v>
          </cell>
        </row>
        <row r="233">
          <cell r="C233" t="str">
            <v>INE095A16T81</v>
          </cell>
          <cell r="D233" t="str">
            <v>FI3307CD338</v>
          </cell>
          <cell r="E233" t="str">
            <v>COD</v>
          </cell>
          <cell r="F233" t="str">
            <v>IndusInd Bank Ltd</v>
          </cell>
          <cell r="G233" t="str">
            <v>IndusInd Bank Ltd-COD MD 19-09-2024</v>
          </cell>
          <cell r="H233">
            <v>0</v>
          </cell>
          <cell r="I233" t="str">
            <v>19-09-2024</v>
          </cell>
          <cell r="J233" t="str">
            <v>CRISIL A1+</v>
          </cell>
          <cell r="K233">
            <v>0.05</v>
          </cell>
          <cell r="L233">
            <v>500000</v>
          </cell>
          <cell r="M233">
            <v>3000</v>
          </cell>
          <cell r="N233">
            <v>7.0000999999999998</v>
          </cell>
        </row>
        <row r="234">
          <cell r="C234" t="str">
            <v>INE160A16PD4</v>
          </cell>
          <cell r="D234" t="str">
            <v>FI3316CD372</v>
          </cell>
          <cell r="E234" t="str">
            <v>COD</v>
          </cell>
          <cell r="F234" t="str">
            <v>Punjab National Bank</v>
          </cell>
          <cell r="G234" t="str">
            <v>Punjab National Bank COD MD 26-09-2024</v>
          </cell>
          <cell r="H234">
            <v>0</v>
          </cell>
          <cell r="I234" t="str">
            <v>26-09-2024</v>
          </cell>
          <cell r="J234" t="str">
            <v>CRISIL A1+</v>
          </cell>
          <cell r="K234">
            <v>7.0000000000000007E-2</v>
          </cell>
          <cell r="L234">
            <v>500000</v>
          </cell>
          <cell r="M234">
            <v>1000</v>
          </cell>
          <cell r="N234">
            <v>6.9851000000000001</v>
          </cell>
        </row>
        <row r="235">
          <cell r="C235" t="str">
            <v>INE160A16PL7</v>
          </cell>
          <cell r="D235" t="str">
            <v>FI3316CD373</v>
          </cell>
          <cell r="E235" t="str">
            <v>COD</v>
          </cell>
          <cell r="F235" t="str">
            <v>Punjab National Bank</v>
          </cell>
          <cell r="G235" t="str">
            <v>Punjab National Bank COD MD 25-10-2024</v>
          </cell>
          <cell r="H235">
            <v>0</v>
          </cell>
          <cell r="I235" t="str">
            <v>25-10-2024</v>
          </cell>
          <cell r="J235" t="str">
            <v>CRISIL A1+</v>
          </cell>
          <cell r="K235">
            <v>0.15</v>
          </cell>
          <cell r="L235">
            <v>500000</v>
          </cell>
          <cell r="M235">
            <v>1500</v>
          </cell>
          <cell r="N235">
            <v>7.22</v>
          </cell>
        </row>
        <row r="236">
          <cell r="C236" t="str">
            <v>INE160A16PN3</v>
          </cell>
          <cell r="D236" t="str">
            <v>FI3316CD374</v>
          </cell>
          <cell r="E236" t="str">
            <v>COD</v>
          </cell>
          <cell r="F236" t="str">
            <v>Punjab National Bank</v>
          </cell>
          <cell r="G236" t="str">
            <v>Punjab National Bank COD MD 04-11-2024</v>
          </cell>
          <cell r="H236">
            <v>0</v>
          </cell>
          <cell r="I236" t="str">
            <v>04-11-2024</v>
          </cell>
          <cell r="J236" t="str">
            <v>CRISIL A1+</v>
          </cell>
          <cell r="K236">
            <v>0.18</v>
          </cell>
          <cell r="L236">
            <v>500000</v>
          </cell>
          <cell r="M236">
            <v>1000</v>
          </cell>
          <cell r="N236">
            <v>7.24</v>
          </cell>
        </row>
        <row r="237">
          <cell r="C237" t="str">
            <v>INE160A16PP8</v>
          </cell>
          <cell r="D237" t="str">
            <v>FI3316CD375</v>
          </cell>
          <cell r="E237" t="str">
            <v>COD</v>
          </cell>
          <cell r="F237" t="str">
            <v>Punjab National Bank</v>
          </cell>
          <cell r="G237" t="str">
            <v>Punjab National Bank COD MD 21-11-2024</v>
          </cell>
          <cell r="H237">
            <v>0</v>
          </cell>
          <cell r="I237" t="str">
            <v>21-11-2024</v>
          </cell>
          <cell r="J237" t="str">
            <v>CRISIL A1+</v>
          </cell>
          <cell r="K237">
            <v>0.22</v>
          </cell>
          <cell r="L237">
            <v>500000</v>
          </cell>
          <cell r="M237">
            <v>2000</v>
          </cell>
          <cell r="N237">
            <v>7.24</v>
          </cell>
        </row>
        <row r="238">
          <cell r="C238" t="str">
            <v>INE171A16LN9</v>
          </cell>
          <cell r="D238" t="str">
            <v>FI3326CD251</v>
          </cell>
          <cell r="E238" t="str">
            <v>COD</v>
          </cell>
          <cell r="F238" t="str">
            <v>The Federal Bank Ltd</v>
          </cell>
          <cell r="G238" t="str">
            <v>Federal Bank Ltd COD MD 26-11-2024</v>
          </cell>
          <cell r="H238">
            <v>0</v>
          </cell>
          <cell r="I238" t="str">
            <v>26-11-2024</v>
          </cell>
          <cell r="J238" t="str">
            <v>IND A1+</v>
          </cell>
          <cell r="K238">
            <v>0.24</v>
          </cell>
          <cell r="L238">
            <v>500000</v>
          </cell>
          <cell r="M238">
            <v>1000</v>
          </cell>
          <cell r="N238">
            <v>7.3040000000000003</v>
          </cell>
        </row>
        <row r="239">
          <cell r="C239" t="str">
            <v>INE237A168U0</v>
          </cell>
          <cell r="D239" t="str">
            <v>FI3332CD274</v>
          </cell>
          <cell r="E239" t="str">
            <v>COD</v>
          </cell>
          <cell r="F239" t="str">
            <v>Kotak Mahindra Bank Ltd</v>
          </cell>
          <cell r="G239" t="str">
            <v>Kotak Mahindra Bank COD MD 27-09-2024</v>
          </cell>
          <cell r="H239">
            <v>0</v>
          </cell>
          <cell r="I239" t="str">
            <v>27-09-2024</v>
          </cell>
          <cell r="J239" t="str">
            <v>CRISIL A1+</v>
          </cell>
          <cell r="K239">
            <v>7.0000000000000007E-2</v>
          </cell>
          <cell r="L239">
            <v>500000</v>
          </cell>
          <cell r="M239">
            <v>1000</v>
          </cell>
          <cell r="N239">
            <v>6.9997999999999996</v>
          </cell>
        </row>
        <row r="240">
          <cell r="C240" t="str">
            <v>INE238AD6538</v>
          </cell>
          <cell r="D240" t="str">
            <v>FI3319CD522</v>
          </cell>
          <cell r="E240" t="str">
            <v>COD</v>
          </cell>
          <cell r="F240" t="str">
            <v>Axis Bank Ltd</v>
          </cell>
          <cell r="G240" t="str">
            <v>Axis Bank Ltd COD MD 18-09-2024</v>
          </cell>
          <cell r="H240">
            <v>0</v>
          </cell>
          <cell r="I240" t="str">
            <v>18-09-2024</v>
          </cell>
          <cell r="J240" t="str">
            <v>CRISIL A1+</v>
          </cell>
          <cell r="K240">
            <v>0.05</v>
          </cell>
          <cell r="L240">
            <v>500000</v>
          </cell>
          <cell r="M240">
            <v>1000</v>
          </cell>
          <cell r="N240">
            <v>7.0007999999999999</v>
          </cell>
        </row>
        <row r="241">
          <cell r="C241" t="str">
            <v>INE476A16YJ3</v>
          </cell>
          <cell r="D241" t="str">
            <v>FI3320CD477</v>
          </cell>
          <cell r="E241" t="str">
            <v>COD</v>
          </cell>
          <cell r="F241" t="str">
            <v>Canara Bank</v>
          </cell>
          <cell r="G241" t="str">
            <v>Canara Bank COD MD 06-09-2024</v>
          </cell>
          <cell r="H241">
            <v>0</v>
          </cell>
          <cell r="I241" t="str">
            <v>06-09-2024</v>
          </cell>
          <cell r="J241" t="str">
            <v>CRISIL A1+</v>
          </cell>
          <cell r="K241">
            <v>0.02</v>
          </cell>
          <cell r="L241">
            <v>500000</v>
          </cell>
          <cell r="M241">
            <v>500</v>
          </cell>
          <cell r="N241">
            <v>6.9494999999999996</v>
          </cell>
        </row>
        <row r="242">
          <cell r="C242" t="str">
            <v>INE476A16YK1</v>
          </cell>
          <cell r="D242" t="str">
            <v>FI3320CD472</v>
          </cell>
          <cell r="E242" t="str">
            <v>COD</v>
          </cell>
          <cell r="F242" t="str">
            <v>Canara Bank</v>
          </cell>
          <cell r="G242" t="str">
            <v>Canara Bank COD MD 09-09-2024</v>
          </cell>
          <cell r="H242">
            <v>0</v>
          </cell>
          <cell r="I242" t="str">
            <v>09-09-2024</v>
          </cell>
          <cell r="J242" t="str">
            <v>CRISIL A1+</v>
          </cell>
          <cell r="K242">
            <v>0.02</v>
          </cell>
          <cell r="L242">
            <v>500000</v>
          </cell>
          <cell r="M242">
            <v>2000</v>
          </cell>
          <cell r="N242">
            <v>6.9481999999999999</v>
          </cell>
        </row>
        <row r="243">
          <cell r="C243" t="str">
            <v>INE476A16YM7</v>
          </cell>
          <cell r="D243" t="str">
            <v>FI3320CD474</v>
          </cell>
          <cell r="E243" t="str">
            <v>COD</v>
          </cell>
          <cell r="F243" t="str">
            <v>Canara Bank</v>
          </cell>
          <cell r="G243" t="str">
            <v>Canara Bank COD MD 13-09-2024</v>
          </cell>
          <cell r="H243">
            <v>0</v>
          </cell>
          <cell r="I243" t="str">
            <v>13-09-2024</v>
          </cell>
          <cell r="J243" t="str">
            <v>CRISIL A1+</v>
          </cell>
          <cell r="K243">
            <v>0.04</v>
          </cell>
          <cell r="L243">
            <v>500000</v>
          </cell>
          <cell r="M243">
            <v>3000</v>
          </cell>
          <cell r="N243">
            <v>6.9490999999999996</v>
          </cell>
        </row>
        <row r="244">
          <cell r="C244" t="str">
            <v>INE476A16YU0</v>
          </cell>
          <cell r="D244" t="str">
            <v>FI3320CD476</v>
          </cell>
          <cell r="E244" t="str">
            <v>COD</v>
          </cell>
          <cell r="F244" t="str">
            <v>Canara Bank</v>
          </cell>
          <cell r="G244" t="str">
            <v>Canara Bank COD MD 25-10-2024</v>
          </cell>
          <cell r="H244">
            <v>0</v>
          </cell>
          <cell r="I244" t="str">
            <v>25-10-2024</v>
          </cell>
          <cell r="J244" t="str">
            <v>CRISIL A1+</v>
          </cell>
          <cell r="K244">
            <v>0.15</v>
          </cell>
          <cell r="L244">
            <v>500000</v>
          </cell>
          <cell r="M244">
            <v>2000</v>
          </cell>
          <cell r="N244">
            <v>7.1801000000000004</v>
          </cell>
        </row>
        <row r="245">
          <cell r="C245" t="str">
            <v>INE562A16NA2</v>
          </cell>
          <cell r="D245" t="str">
            <v>FI3345CD304</v>
          </cell>
          <cell r="E245" t="str">
            <v>COD</v>
          </cell>
          <cell r="F245" t="str">
            <v>Indian Bank</v>
          </cell>
          <cell r="G245" t="str">
            <v>Indian Bank Ltd COD MD 03-09-2024</v>
          </cell>
          <cell r="H245">
            <v>0</v>
          </cell>
          <cell r="I245" t="str">
            <v>03-09-2024</v>
          </cell>
          <cell r="J245" t="str">
            <v>CRISIL A1+</v>
          </cell>
          <cell r="K245">
            <v>0.01</v>
          </cell>
          <cell r="L245">
            <v>500000</v>
          </cell>
          <cell r="M245">
            <v>900</v>
          </cell>
          <cell r="N245">
            <v>7.0547000000000004</v>
          </cell>
        </row>
        <row r="246">
          <cell r="C246" t="str">
            <v>INE562A16NF1</v>
          </cell>
          <cell r="D246" t="str">
            <v>FI3345CD306</v>
          </cell>
          <cell r="E246" t="str">
            <v>COD</v>
          </cell>
          <cell r="F246" t="str">
            <v>Indian Bank</v>
          </cell>
          <cell r="G246" t="str">
            <v>Indian Bank COD MD 13-11-2024</v>
          </cell>
          <cell r="H246">
            <v>0</v>
          </cell>
          <cell r="I246" t="str">
            <v>13-11-2024</v>
          </cell>
          <cell r="J246" t="str">
            <v>CRISIL A1+</v>
          </cell>
          <cell r="K246">
            <v>0.2</v>
          </cell>
          <cell r="L246">
            <v>500000</v>
          </cell>
          <cell r="M246">
            <v>2500</v>
          </cell>
          <cell r="N246">
            <v>7.24</v>
          </cell>
        </row>
        <row r="247">
          <cell r="C247" t="str">
            <v>INE692A16HK8</v>
          </cell>
          <cell r="D247" t="str">
            <v>FI3321CD270</v>
          </cell>
          <cell r="E247" t="str">
            <v>COD</v>
          </cell>
          <cell r="F247" t="str">
            <v>Union Bank of India</v>
          </cell>
          <cell r="G247" t="str">
            <v>Union Bank of India COD MD 13-09-2024</v>
          </cell>
          <cell r="H247">
            <v>0</v>
          </cell>
          <cell r="I247" t="str">
            <v>13-09-2024</v>
          </cell>
          <cell r="J247" t="str">
            <v>ICRA A1+</v>
          </cell>
          <cell r="K247">
            <v>0.04</v>
          </cell>
          <cell r="L247">
            <v>500000</v>
          </cell>
          <cell r="M247">
            <v>3000</v>
          </cell>
          <cell r="N247">
            <v>7.0052000000000003</v>
          </cell>
        </row>
        <row r="248">
          <cell r="C248" t="str">
            <v>INE692A16HQ5</v>
          </cell>
          <cell r="D248" t="str">
            <v>FI3321CD271</v>
          </cell>
          <cell r="E248" t="str">
            <v>COD</v>
          </cell>
          <cell r="F248" t="str">
            <v>Union Bank of India</v>
          </cell>
          <cell r="G248" t="str">
            <v>Union Bank of India COD MD 25-09-2024</v>
          </cell>
          <cell r="H248">
            <v>0</v>
          </cell>
          <cell r="I248" t="str">
            <v>25-09-2024</v>
          </cell>
          <cell r="J248" t="str">
            <v>ICRA A1+</v>
          </cell>
          <cell r="K248">
            <v>7.0000000000000007E-2</v>
          </cell>
          <cell r="L248">
            <v>500000</v>
          </cell>
          <cell r="M248">
            <v>1500</v>
          </cell>
          <cell r="N248">
            <v>7.0403000000000002</v>
          </cell>
        </row>
        <row r="249">
          <cell r="C249" t="str">
            <v>INE033L07HI5</v>
          </cell>
          <cell r="D249" t="str">
            <v>FI3514NC210</v>
          </cell>
          <cell r="E249" t="str">
            <v>NCD</v>
          </cell>
          <cell r="F249" t="str">
            <v>Tata Capital Housing Finance Ltd</v>
          </cell>
          <cell r="G249" t="str">
            <v>5.70% Tata Capital Housing Finance Ltd NCD MD 13-09-2024</v>
          </cell>
          <cell r="H249">
            <v>5.7</v>
          </cell>
          <cell r="I249" t="str">
            <v>13-09-2024</v>
          </cell>
          <cell r="J249" t="str">
            <v>CRISIL AAA</v>
          </cell>
          <cell r="K249">
            <v>3.2800000000000003E-2</v>
          </cell>
          <cell r="L249">
            <v>1000000</v>
          </cell>
          <cell r="M249">
            <v>500</v>
          </cell>
          <cell r="N249">
            <v>7.375</v>
          </cell>
        </row>
        <row r="250">
          <cell r="C250" t="str">
            <v>IN002023Y540</v>
          </cell>
          <cell r="D250" t="str">
            <v>182TBL260924</v>
          </cell>
          <cell r="E250" t="str">
            <v>TBL</v>
          </cell>
          <cell r="F250" t="str">
            <v>Govt. of India - GSec / TBL</v>
          </cell>
          <cell r="G250" t="str">
            <v>182 Days - T Bill - 26/09/2024</v>
          </cell>
          <cell r="H250">
            <v>0</v>
          </cell>
          <cell r="I250" t="str">
            <v>26-09-2024</v>
          </cell>
          <cell r="J250" t="str">
            <v>Sovereign</v>
          </cell>
          <cell r="K250">
            <v>7.0000000000000007E-2</v>
          </cell>
          <cell r="L250">
            <v>100</v>
          </cell>
          <cell r="M250">
            <v>27500000</v>
          </cell>
          <cell r="N250">
            <v>6.55</v>
          </cell>
        </row>
        <row r="251">
          <cell r="C251" t="str">
            <v>IN002023Z265</v>
          </cell>
          <cell r="D251" t="str">
            <v>364TBL120924</v>
          </cell>
          <cell r="E251" t="str">
            <v>TBL</v>
          </cell>
          <cell r="F251" t="str">
            <v>Govt. of India - GSec / TBL</v>
          </cell>
          <cell r="G251" t="str">
            <v>364 Days - T Bill - 12/09/2024</v>
          </cell>
          <cell r="H251">
            <v>0</v>
          </cell>
          <cell r="I251" t="str">
            <v>12-09-2024</v>
          </cell>
          <cell r="J251" t="str">
            <v>Sovereign</v>
          </cell>
          <cell r="K251">
            <v>0.03</v>
          </cell>
          <cell r="L251">
            <v>100</v>
          </cell>
          <cell r="M251">
            <v>10000000</v>
          </cell>
          <cell r="N251">
            <v>6.5128000000000004</v>
          </cell>
        </row>
        <row r="252">
          <cell r="C252" t="str">
            <v>IN002024X110</v>
          </cell>
          <cell r="D252" t="str">
            <v>91TBL050924</v>
          </cell>
          <cell r="E252" t="str">
            <v>TBL</v>
          </cell>
          <cell r="F252" t="str">
            <v>Govt. of India - GSec / TBL</v>
          </cell>
          <cell r="G252" t="str">
            <v>91 Days - T Bill - 05/09/2024</v>
          </cell>
          <cell r="H252">
            <v>0</v>
          </cell>
          <cell r="I252" t="str">
            <v>05-09-2024</v>
          </cell>
          <cell r="J252" t="str">
            <v>Sovereign</v>
          </cell>
          <cell r="K252">
            <v>0.01</v>
          </cell>
          <cell r="L252">
            <v>100</v>
          </cell>
          <cell r="M252">
            <v>11300000</v>
          </cell>
          <cell r="N252">
            <v>6.5003000000000002</v>
          </cell>
        </row>
        <row r="253">
          <cell r="C253" t="str">
            <v>IN002024X177</v>
          </cell>
          <cell r="D253" t="str">
            <v>91TBL181024</v>
          </cell>
          <cell r="E253" t="str">
            <v>TBL</v>
          </cell>
          <cell r="F253" t="str">
            <v>Govt. of India - GSec / TBL</v>
          </cell>
          <cell r="G253" t="str">
            <v>91 Days - T Bill - 18/10/2024</v>
          </cell>
          <cell r="H253">
            <v>0</v>
          </cell>
          <cell r="I253" t="str">
            <v>18-10-2024</v>
          </cell>
          <cell r="J253" t="str">
            <v>Sovereign</v>
          </cell>
          <cell r="K253">
            <v>0.13</v>
          </cell>
          <cell r="L253">
            <v>100</v>
          </cell>
          <cell r="M253">
            <v>10000000</v>
          </cell>
          <cell r="N253">
            <v>6.6059000000000001</v>
          </cell>
        </row>
        <row r="254">
          <cell r="C254" t="str">
            <v>IN002024X201</v>
          </cell>
          <cell r="D254" t="str">
            <v>91TBL071124</v>
          </cell>
          <cell r="E254" t="str">
            <v>TBL</v>
          </cell>
          <cell r="F254" t="str">
            <v>Govt. of India - GSec / TBL</v>
          </cell>
          <cell r="G254" t="str">
            <v>91 Days - T Bill - 07/11/2024</v>
          </cell>
          <cell r="H254">
            <v>0</v>
          </cell>
          <cell r="I254" t="str">
            <v>07-11-2024</v>
          </cell>
          <cell r="J254" t="str">
            <v>Sovereign</v>
          </cell>
          <cell r="K254">
            <v>0.19</v>
          </cell>
          <cell r="L254">
            <v>100</v>
          </cell>
          <cell r="M254">
            <v>10000000</v>
          </cell>
          <cell r="N254">
            <v>6.6</v>
          </cell>
        </row>
        <row r="255">
          <cell r="C255" t="str">
            <v>IN002024X219</v>
          </cell>
          <cell r="D255" t="str">
            <v>91TBL151124</v>
          </cell>
          <cell r="E255" t="str">
            <v>TBL</v>
          </cell>
          <cell r="F255" t="str">
            <v>Govt. of India - GSec / TBL</v>
          </cell>
          <cell r="G255" t="str">
            <v>91 Days - T Bill - 15/11/2024</v>
          </cell>
          <cell r="H255">
            <v>0</v>
          </cell>
          <cell r="I255" t="str">
            <v>15-11-2024</v>
          </cell>
          <cell r="J255" t="str">
            <v>Sovereign</v>
          </cell>
          <cell r="K255">
            <v>0.21</v>
          </cell>
          <cell r="L255">
            <v>100</v>
          </cell>
          <cell r="M255">
            <v>10000000</v>
          </cell>
          <cell r="N255">
            <v>6.5244</v>
          </cell>
        </row>
        <row r="256">
          <cell r="C256" t="str">
            <v>IN002024X227</v>
          </cell>
          <cell r="D256" t="str">
            <v>91TBL211124</v>
          </cell>
          <cell r="E256" t="str">
            <v>TBL</v>
          </cell>
          <cell r="F256" t="str">
            <v>Govt. of India - GSec / TBL</v>
          </cell>
          <cell r="G256" t="str">
            <v>91 Days - T Bill - 21/11/2024</v>
          </cell>
          <cell r="H256">
            <v>0</v>
          </cell>
          <cell r="I256" t="str">
            <v>21-11-2024</v>
          </cell>
          <cell r="J256" t="str">
            <v>Sovereign</v>
          </cell>
          <cell r="K256">
            <v>0.22</v>
          </cell>
          <cell r="L256">
            <v>100</v>
          </cell>
          <cell r="M256">
            <v>10000000</v>
          </cell>
          <cell r="N256">
            <v>6.6</v>
          </cell>
        </row>
        <row r="257">
          <cell r="C257" t="str">
            <v>IN002024Y050</v>
          </cell>
          <cell r="D257" t="str">
            <v>182TBL011124</v>
          </cell>
          <cell r="E257" t="str">
            <v>TBL</v>
          </cell>
          <cell r="F257" t="str">
            <v>Govt. of India - GSec / TBL</v>
          </cell>
          <cell r="G257" t="str">
            <v>182 Days - T Bill - 01/11/2024</v>
          </cell>
          <cell r="H257">
            <v>0</v>
          </cell>
          <cell r="I257" t="str">
            <v>01-11-2024</v>
          </cell>
          <cell r="J257" t="str">
            <v>Sovereign</v>
          </cell>
          <cell r="K257">
            <v>0.17</v>
          </cell>
          <cell r="L257">
            <v>100</v>
          </cell>
          <cell r="M257">
            <v>10000000</v>
          </cell>
          <cell r="N257">
            <v>6.5</v>
          </cell>
        </row>
        <row r="258">
          <cell r="C258" t="str">
            <v>INF0RQ622028</v>
          </cell>
          <cell r="D258" t="str">
            <v>CDMDF23</v>
          </cell>
          <cell r="E258" t="str">
            <v>CDMDF</v>
          </cell>
          <cell r="F258" t="str">
            <v>Corporate Debt Market Development Fund</v>
          </cell>
          <cell r="G258" t="str">
            <v>Corporate Debt Market Development Fund - Class A2</v>
          </cell>
          <cell r="H258">
            <v>0</v>
          </cell>
          <cell r="K258">
            <v>0</v>
          </cell>
          <cell r="L258">
            <v>10000</v>
          </cell>
          <cell r="M258">
            <v>511.47399999999999</v>
          </cell>
          <cell r="N258">
            <v>9.9999999999999995E-7</v>
          </cell>
        </row>
        <row r="259">
          <cell r="C259" t="str">
            <v>INE040A16EH3</v>
          </cell>
          <cell r="D259" t="str">
            <v>FI3310CD277</v>
          </cell>
          <cell r="E259" t="str">
            <v>COD</v>
          </cell>
          <cell r="F259" t="str">
            <v>HDFC Bank Ltd</v>
          </cell>
          <cell r="G259" t="str">
            <v>HDFC Bank Ltd - CD - 06/12/2024</v>
          </cell>
          <cell r="H259">
            <v>0</v>
          </cell>
          <cell r="I259" t="str">
            <v>06-12-2024</v>
          </cell>
          <cell r="J259" t="str">
            <v>CRISIL A1+</v>
          </cell>
          <cell r="K259">
            <v>0.27</v>
          </cell>
          <cell r="L259">
            <v>500000</v>
          </cell>
          <cell r="M259">
            <v>100</v>
          </cell>
          <cell r="N259">
            <v>7.35</v>
          </cell>
        </row>
        <row r="260">
          <cell r="C260" t="str">
            <v>INE090AD6113</v>
          </cell>
          <cell r="D260" t="str">
            <v>FI3305CD366</v>
          </cell>
          <cell r="E260" t="str">
            <v>COD</v>
          </cell>
          <cell r="F260" t="str">
            <v>ICICI Bank Ltd</v>
          </cell>
          <cell r="G260" t="str">
            <v>ICICI Bank Ltd COD MD 31-01-2025</v>
          </cell>
          <cell r="H260">
            <v>0</v>
          </cell>
          <cell r="I260" t="str">
            <v>31-01-2025</v>
          </cell>
          <cell r="J260" t="str">
            <v>ICRA A1+</v>
          </cell>
          <cell r="K260">
            <v>0.42</v>
          </cell>
          <cell r="L260">
            <v>500000</v>
          </cell>
          <cell r="M260">
            <v>100</v>
          </cell>
          <cell r="N260">
            <v>7.4100999999999999</v>
          </cell>
        </row>
        <row r="261">
          <cell r="C261" t="str">
            <v>INE556F16AO1</v>
          </cell>
          <cell r="D261" t="str">
            <v>FI3405CD240</v>
          </cell>
          <cell r="E261" t="str">
            <v>COD</v>
          </cell>
          <cell r="F261" t="str">
            <v>Small Industries Development Bank of India</v>
          </cell>
          <cell r="G261" t="str">
            <v>Small Industries Development Bank of India CD 10 01 2025</v>
          </cell>
          <cell r="H261">
            <v>0</v>
          </cell>
          <cell r="I261" t="str">
            <v>10-01-2025</v>
          </cell>
          <cell r="J261" t="str">
            <v>CRISIL A1+</v>
          </cell>
          <cell r="K261">
            <v>0.36</v>
          </cell>
          <cell r="L261">
            <v>500000</v>
          </cell>
          <cell r="M261">
            <v>100</v>
          </cell>
          <cell r="N261">
            <v>7.5499000000000001</v>
          </cell>
        </row>
        <row r="262">
          <cell r="C262" t="str">
            <v>INE692A16GZ8</v>
          </cell>
          <cell r="D262" t="str">
            <v>FI3321CD266</v>
          </cell>
          <cell r="E262" t="str">
            <v>COD</v>
          </cell>
          <cell r="F262" t="str">
            <v>Union Bank of India</v>
          </cell>
          <cell r="G262" t="str">
            <v>UNION BANK OF INDIA COD MD 27-02-2025</v>
          </cell>
          <cell r="H262">
            <v>0</v>
          </cell>
          <cell r="I262" t="str">
            <v>27-02-2025</v>
          </cell>
          <cell r="J262" t="str">
            <v>ICRA A1+</v>
          </cell>
          <cell r="K262">
            <v>0.49</v>
          </cell>
          <cell r="L262">
            <v>500000</v>
          </cell>
          <cell r="M262">
            <v>100</v>
          </cell>
          <cell r="N262">
            <v>7.4901</v>
          </cell>
        </row>
        <row r="263">
          <cell r="C263" t="str">
            <v>IN0020210160</v>
          </cell>
          <cell r="D263" t="str">
            <v>4.04GOI041028</v>
          </cell>
          <cell r="E263" t="str">
            <v>GSE</v>
          </cell>
          <cell r="F263" t="str">
            <v>Govt. of India - GSec / TBL</v>
          </cell>
          <cell r="G263" t="str">
            <v>7.72% Central Government Securities_Floating Rate Bond 04/10/2028 (Previous 7.69)</v>
          </cell>
          <cell r="H263">
            <v>7.72</v>
          </cell>
          <cell r="I263" t="str">
            <v>04-10-2028</v>
          </cell>
          <cell r="J263" t="str">
            <v>Sovereign</v>
          </cell>
          <cell r="K263">
            <v>0</v>
          </cell>
          <cell r="L263">
            <v>100</v>
          </cell>
          <cell r="M263">
            <v>500000</v>
          </cell>
          <cell r="N263">
            <v>7.4407032809170239</v>
          </cell>
        </row>
        <row r="264">
          <cell r="C264" t="str">
            <v>IN0020220037</v>
          </cell>
          <cell r="D264" t="str">
            <v>7.38GSEC200627</v>
          </cell>
          <cell r="E264" t="str">
            <v>GSE</v>
          </cell>
          <cell r="F264" t="str">
            <v>Govt. of India - GSec / TBL</v>
          </cell>
          <cell r="G264" t="str">
            <v>7.38% Central Government Securities 20/06/2027</v>
          </cell>
          <cell r="H264">
            <v>7.38</v>
          </cell>
          <cell r="I264" t="str">
            <v>20-06-2027</v>
          </cell>
          <cell r="J264" t="str">
            <v>Sovereign</v>
          </cell>
          <cell r="K264">
            <v>2.5507</v>
          </cell>
          <cell r="L264">
            <v>100</v>
          </cell>
          <cell r="M264">
            <v>1000000</v>
          </cell>
          <cell r="N264">
            <v>6.8636999999999997</v>
          </cell>
        </row>
        <row r="265">
          <cell r="C265" t="str">
            <v>IN0020230085</v>
          </cell>
          <cell r="D265" t="str">
            <v>7.18GSE140833</v>
          </cell>
          <cell r="E265" t="str">
            <v>GSE</v>
          </cell>
          <cell r="F265" t="str">
            <v>Govt. of India - GSec / TBL</v>
          </cell>
          <cell r="G265" t="str">
            <v>7.18%  Government Securities - 14/08/2033</v>
          </cell>
          <cell r="H265">
            <v>7.18</v>
          </cell>
          <cell r="I265" t="str">
            <v>14-08-2033</v>
          </cell>
          <cell r="J265" t="str">
            <v>Sovereign</v>
          </cell>
          <cell r="K265">
            <v>6.7575000000000003</v>
          </cell>
          <cell r="L265">
            <v>100</v>
          </cell>
          <cell r="M265">
            <v>2900000</v>
          </cell>
          <cell r="N265">
            <v>7.0125000000000002</v>
          </cell>
        </row>
        <row r="266">
          <cell r="C266" t="str">
            <v>IN0020230101</v>
          </cell>
          <cell r="D266" t="str">
            <v>7.37GSE231028</v>
          </cell>
          <cell r="E266" t="str">
            <v>GSE</v>
          </cell>
          <cell r="F266" t="str">
            <v>Govt. of India - GSec / TBL</v>
          </cell>
          <cell r="G266" t="str">
            <v>7.37% Government Securities-23/10/2028</v>
          </cell>
          <cell r="H266">
            <v>7.37</v>
          </cell>
          <cell r="I266" t="str">
            <v>23-10-2028</v>
          </cell>
          <cell r="J266" t="str">
            <v>Sovereign</v>
          </cell>
          <cell r="K266">
            <v>3.5627</v>
          </cell>
          <cell r="L266">
            <v>100</v>
          </cell>
          <cell r="M266">
            <v>1500000</v>
          </cell>
          <cell r="N266">
            <v>6.8971999999999998</v>
          </cell>
        </row>
        <row r="267">
          <cell r="C267" t="str">
            <v>IN0020240019</v>
          </cell>
          <cell r="D267" t="str">
            <v>7.10GSE080434</v>
          </cell>
          <cell r="E267" t="str">
            <v>GSE</v>
          </cell>
          <cell r="F267" t="str">
            <v>Govt. of India - GSec / TBL</v>
          </cell>
          <cell r="G267" t="str">
            <v>7.10% Central Government Securities 08/04/2034</v>
          </cell>
          <cell r="H267">
            <v>7.1</v>
          </cell>
          <cell r="I267" t="str">
            <v>08-04-2034</v>
          </cell>
          <cell r="J267" t="str">
            <v>Sovereign</v>
          </cell>
          <cell r="K267">
            <v>6.9535999999999998</v>
          </cell>
          <cell r="L267">
            <v>100</v>
          </cell>
          <cell r="M267">
            <v>700000</v>
          </cell>
          <cell r="N267">
            <v>6.9809000000000001</v>
          </cell>
        </row>
        <row r="268">
          <cell r="C268" t="str">
            <v>IN3120230484</v>
          </cell>
          <cell r="D268" t="str">
            <v>7.44TNSG20034</v>
          </cell>
          <cell r="E268" t="str">
            <v>GSE</v>
          </cell>
          <cell r="F268" t="str">
            <v>Govt. of India - GSec / TBL</v>
          </cell>
          <cell r="G268" t="str">
            <v>7.44% Tamil Nadu State Government Securities -20/03/2034</v>
          </cell>
          <cell r="H268">
            <v>7.44</v>
          </cell>
          <cell r="I268" t="str">
            <v>20-03-2034</v>
          </cell>
          <cell r="J268" t="str">
            <v>Sovereign</v>
          </cell>
          <cell r="K268">
            <v>6.8034999999999997</v>
          </cell>
          <cell r="L268">
            <v>100</v>
          </cell>
          <cell r="M268">
            <v>500000</v>
          </cell>
          <cell r="N268">
            <v>7.3430999999999997</v>
          </cell>
        </row>
        <row r="269">
          <cell r="C269" t="str">
            <v>INE020B08EI8</v>
          </cell>
          <cell r="D269" t="str">
            <v>UT47NC314</v>
          </cell>
          <cell r="E269" t="str">
            <v>NCD</v>
          </cell>
          <cell r="F269" t="str">
            <v>REC LTD</v>
          </cell>
          <cell r="G269" t="str">
            <v>7.51% REC LTD NCD MD 31-07-2026</v>
          </cell>
          <cell r="H269">
            <v>7.51</v>
          </cell>
          <cell r="I269" t="str">
            <v>31-07-2026</v>
          </cell>
          <cell r="J269" t="str">
            <v>CRISIL AAA</v>
          </cell>
          <cell r="K269">
            <v>1.8424</v>
          </cell>
          <cell r="L269">
            <v>100000</v>
          </cell>
          <cell r="M269">
            <v>500</v>
          </cell>
          <cell r="N269">
            <v>7.5949999999999998</v>
          </cell>
        </row>
        <row r="270">
          <cell r="C270" t="str">
            <v>INE041007100</v>
          </cell>
          <cell r="D270" t="str">
            <v>FI3346NC200</v>
          </cell>
          <cell r="E270" t="str">
            <v>NCD</v>
          </cell>
          <cell r="F270" t="str">
            <v>Embassy Office Parks REIT</v>
          </cell>
          <cell r="G270" t="str">
            <v>7.77% Embassy Office Parks REIT NCD MD 05.06.2025 Series VII NCD Call 05-03-2025</v>
          </cell>
          <cell r="H270">
            <v>7.77</v>
          </cell>
          <cell r="I270" t="str">
            <v>05-06-2025</v>
          </cell>
          <cell r="J270" t="str">
            <v>CRISIL AAA</v>
          </cell>
          <cell r="K270">
            <v>0.73370000000000002</v>
          </cell>
          <cell r="L270">
            <v>100000</v>
          </cell>
          <cell r="M270">
            <v>500</v>
          </cell>
          <cell r="N270">
            <v>8.1850000000000005</v>
          </cell>
        </row>
        <row r="271">
          <cell r="C271" t="str">
            <v>INE115A07MW4</v>
          </cell>
          <cell r="D271" t="str">
            <v>FILICNC370</v>
          </cell>
          <cell r="E271" t="str">
            <v>NCD</v>
          </cell>
          <cell r="F271" t="str">
            <v>LIC Housing Finance Ltd</v>
          </cell>
          <cell r="G271" t="str">
            <v>7.95% LIC Housing Finance Ltd NCD 29 01 2028</v>
          </cell>
          <cell r="H271">
            <v>7.95</v>
          </cell>
          <cell r="I271" t="str">
            <v>29-01-2028</v>
          </cell>
          <cell r="J271" t="str">
            <v>CRISIL AAA</v>
          </cell>
          <cell r="K271">
            <v>2.9908999999999999</v>
          </cell>
          <cell r="L271">
            <v>1000000</v>
          </cell>
          <cell r="M271">
            <v>50</v>
          </cell>
          <cell r="N271">
            <v>7.74</v>
          </cell>
        </row>
        <row r="272">
          <cell r="C272" t="str">
            <v>INE115A07PI6</v>
          </cell>
          <cell r="D272" t="str">
            <v>FILICNC363</v>
          </cell>
          <cell r="E272" t="str">
            <v>NCD</v>
          </cell>
          <cell r="F272" t="str">
            <v>LIC Housing Finance Ltd</v>
          </cell>
          <cell r="G272" t="str">
            <v>6.17% LIC Housing Finance Ltd-NCD-03/09/2026</v>
          </cell>
          <cell r="H272">
            <v>6.17</v>
          </cell>
          <cell r="I272" t="str">
            <v>03-09-2026</v>
          </cell>
          <cell r="J272" t="str">
            <v>CRISIL AAA</v>
          </cell>
          <cell r="K272">
            <v>1.8304</v>
          </cell>
          <cell r="L272">
            <v>1000000</v>
          </cell>
          <cell r="M272">
            <v>50</v>
          </cell>
          <cell r="N272">
            <v>7.85</v>
          </cell>
        </row>
        <row r="273">
          <cell r="C273" t="str">
            <v>INE134E08LP1</v>
          </cell>
          <cell r="D273" t="str">
            <v>FI35PFCNC367</v>
          </cell>
          <cell r="E273" t="str">
            <v>NCD</v>
          </cell>
          <cell r="F273" t="str">
            <v>Power Finance Corporation Ltd</v>
          </cell>
          <cell r="G273" t="str">
            <v>7.13% Power Finance Corporation Ltd NCD MD 15072026 BS 216 2026</v>
          </cell>
          <cell r="H273">
            <v>7.13</v>
          </cell>
          <cell r="I273" t="str">
            <v>15-07-2026</v>
          </cell>
          <cell r="J273" t="str">
            <v>CRISIL AAA</v>
          </cell>
          <cell r="K273">
            <v>1.8089999999999999</v>
          </cell>
          <cell r="L273">
            <v>1000000</v>
          </cell>
          <cell r="M273">
            <v>50</v>
          </cell>
          <cell r="N273">
            <v>7.6013999999999999</v>
          </cell>
        </row>
        <row r="274">
          <cell r="C274" t="str">
            <v>INE134E08MJ2</v>
          </cell>
          <cell r="D274" t="str">
            <v>FI35PFNC367</v>
          </cell>
          <cell r="E274" t="str">
            <v>NCD</v>
          </cell>
          <cell r="F274" t="str">
            <v>Power Finance Corporation Ltd</v>
          </cell>
          <cell r="G274" t="str">
            <v>7.77% Power Finance Corporation Limited NCD MD 15/04/2028</v>
          </cell>
          <cell r="H274">
            <v>7.77</v>
          </cell>
          <cell r="I274" t="str">
            <v>15-04-2028</v>
          </cell>
          <cell r="J274" t="str">
            <v>CRISIL AAA</v>
          </cell>
          <cell r="K274">
            <v>3.1987000000000001</v>
          </cell>
          <cell r="L274">
            <v>100000</v>
          </cell>
          <cell r="M274">
            <v>1000</v>
          </cell>
          <cell r="N274">
            <v>7.4737999999999998</v>
          </cell>
        </row>
        <row r="275">
          <cell r="C275" t="str">
            <v>INE261F08EH1</v>
          </cell>
          <cell r="D275" t="str">
            <v>FI35NANC306</v>
          </cell>
          <cell r="E275" t="str">
            <v>NCD</v>
          </cell>
          <cell r="F275" t="str">
            <v>National Bank for Agriculture &amp; Rural Development</v>
          </cell>
          <cell r="G275" t="str">
            <v>7.62%  NABARD NCD MD 10-05-2029</v>
          </cell>
          <cell r="H275">
            <v>7.62</v>
          </cell>
          <cell r="I275" t="str">
            <v>10-05-2029</v>
          </cell>
          <cell r="J275" t="str">
            <v>CRISIL AAA</v>
          </cell>
          <cell r="K275">
            <v>4.0298999999999996</v>
          </cell>
          <cell r="L275">
            <v>100000</v>
          </cell>
          <cell r="M275">
            <v>1000</v>
          </cell>
          <cell r="N275">
            <v>7.49</v>
          </cell>
        </row>
        <row r="276">
          <cell r="C276" t="str">
            <v>INE403D08181</v>
          </cell>
          <cell r="D276" t="str">
            <v>UT4825NC200</v>
          </cell>
          <cell r="E276" t="str">
            <v>NCD</v>
          </cell>
          <cell r="F276" t="str">
            <v>Bharti Telecom Ltd</v>
          </cell>
          <cell r="G276" t="str">
            <v>8.90% Bharti Telecom Ltd NCD MD 04-12-2025 SERIES XVI</v>
          </cell>
          <cell r="H276">
            <v>8.9</v>
          </cell>
          <cell r="I276" t="str">
            <v>04-12-2025</v>
          </cell>
          <cell r="J276" t="str">
            <v>CRISIL AA+</v>
          </cell>
          <cell r="K276">
            <v>1.1754</v>
          </cell>
          <cell r="L276">
            <v>100000</v>
          </cell>
          <cell r="M276">
            <v>700</v>
          </cell>
          <cell r="N276">
            <v>8.5</v>
          </cell>
        </row>
        <row r="277">
          <cell r="C277" t="str">
            <v>INE477A07373</v>
          </cell>
          <cell r="D277" t="str">
            <v>FI3427NC200</v>
          </cell>
          <cell r="E277" t="str">
            <v>NCD</v>
          </cell>
          <cell r="F277" t="str">
            <v>Can Fin Homes Ltd</v>
          </cell>
          <cell r="G277" t="str">
            <v>8.45% Can Fin Homes Ltd NCD MD 27-05-2026</v>
          </cell>
          <cell r="H277">
            <v>8.4499999999999993</v>
          </cell>
          <cell r="I277" t="str">
            <v>27-05-2026</v>
          </cell>
          <cell r="J277" t="str">
            <v>IND AA+</v>
          </cell>
          <cell r="K277">
            <v>1.6188</v>
          </cell>
          <cell r="L277">
            <v>100000</v>
          </cell>
          <cell r="M277">
            <v>300</v>
          </cell>
          <cell r="N277">
            <v>8.1793999999999993</v>
          </cell>
        </row>
        <row r="278">
          <cell r="C278" t="str">
            <v>INE556F08KE8</v>
          </cell>
          <cell r="D278" t="str">
            <v>FI3405NCD200</v>
          </cell>
          <cell r="E278" t="str">
            <v>NCD</v>
          </cell>
          <cell r="F278" t="str">
            <v>Small Industries Development Bank of India</v>
          </cell>
          <cell r="G278" t="str">
            <v>Small Industries Development Bank of India NCD 25 11 2025</v>
          </cell>
          <cell r="H278">
            <v>7.47</v>
          </cell>
          <cell r="I278" t="str">
            <v>25-11-2025</v>
          </cell>
          <cell r="J278" t="str">
            <v>ICRA AAA</v>
          </cell>
          <cell r="K278">
            <v>1.1589</v>
          </cell>
          <cell r="L278">
            <v>1000000</v>
          </cell>
          <cell r="M278">
            <v>100</v>
          </cell>
          <cell r="N278">
            <v>7.8274999999999997</v>
          </cell>
        </row>
        <row r="279">
          <cell r="C279" t="str">
            <v>INE557F08FV0</v>
          </cell>
          <cell r="D279" t="str">
            <v>FI3335NCD200</v>
          </cell>
          <cell r="E279" t="str">
            <v>NCD</v>
          </cell>
          <cell r="F279" t="str">
            <v xml:space="preserve">National Housing Bank </v>
          </cell>
          <cell r="G279" t="str">
            <v>7.78% National Housing Bank NCD 26 04 2027 PUT 17 03 2025</v>
          </cell>
          <cell r="H279">
            <v>7.78</v>
          </cell>
          <cell r="I279" t="str">
            <v>26-04-2027</v>
          </cell>
          <cell r="J279" t="str">
            <v>CARE AAA</v>
          </cell>
          <cell r="K279">
            <v>0.53849999999999998</v>
          </cell>
          <cell r="L279">
            <v>100000</v>
          </cell>
          <cell r="M279">
            <v>500</v>
          </cell>
          <cell r="N279">
            <v>7.5650000000000004</v>
          </cell>
        </row>
        <row r="280">
          <cell r="C280" t="str">
            <v>INE557F08FY4</v>
          </cell>
          <cell r="D280" t="str">
            <v>FI3335NC246</v>
          </cell>
          <cell r="E280" t="str">
            <v>NCD</v>
          </cell>
          <cell r="F280" t="str">
            <v xml:space="preserve">National Housing Bank </v>
          </cell>
          <cell r="G280" t="str">
            <v>7.59% NATIONAL HOUSING BANK NCD MD 14-07-2027</v>
          </cell>
          <cell r="H280">
            <v>7.59</v>
          </cell>
          <cell r="I280" t="str">
            <v>14-07-2027</v>
          </cell>
          <cell r="J280" t="str">
            <v>CRISIL AAA</v>
          </cell>
          <cell r="K280">
            <v>2.6353</v>
          </cell>
          <cell r="L280">
            <v>100000</v>
          </cell>
          <cell r="M280">
            <v>500</v>
          </cell>
          <cell r="N280">
            <v>7.45</v>
          </cell>
        </row>
        <row r="281">
          <cell r="C281" t="str">
            <v>INF0RQ622028</v>
          </cell>
          <cell r="D281" t="str">
            <v>CDMDF23</v>
          </cell>
          <cell r="E281" t="str">
            <v>CDMDF</v>
          </cell>
          <cell r="F281" t="str">
            <v>Corporate Debt Market Development Fund</v>
          </cell>
          <cell r="G281" t="str">
            <v>Corporate Debt Market Development Fund - Class A2</v>
          </cell>
          <cell r="H281">
            <v>0</v>
          </cell>
          <cell r="K281">
            <v>0</v>
          </cell>
          <cell r="L281">
            <v>10000</v>
          </cell>
          <cell r="M281">
            <v>4528.5039999999999</v>
          </cell>
          <cell r="N281">
            <v>9.9999999999999995E-7</v>
          </cell>
        </row>
        <row r="282">
          <cell r="C282" t="str">
            <v>INE115A14EQ9</v>
          </cell>
          <cell r="D282" t="str">
            <v>FILICCP236</v>
          </cell>
          <cell r="E282" t="str">
            <v>CMP</v>
          </cell>
          <cell r="F282" t="str">
            <v>LIC Housing Finance Ltd</v>
          </cell>
          <cell r="G282" t="str">
            <v>LIC Housing Finance Ltd CP MD 17-12-2024</v>
          </cell>
          <cell r="H282">
            <v>0</v>
          </cell>
          <cell r="I282" t="str">
            <v>17-12-2024</v>
          </cell>
          <cell r="J282" t="str">
            <v>CRISIL A1+</v>
          </cell>
          <cell r="K282">
            <v>0.3</v>
          </cell>
          <cell r="L282">
            <v>500000</v>
          </cell>
          <cell r="M282">
            <v>1000</v>
          </cell>
          <cell r="N282">
            <v>7.4</v>
          </cell>
        </row>
        <row r="283">
          <cell r="C283" t="str">
            <v>INE115A14EV9</v>
          </cell>
          <cell r="D283" t="str">
            <v>FILICCP234</v>
          </cell>
          <cell r="E283" t="str">
            <v>CMP</v>
          </cell>
          <cell r="F283" t="str">
            <v>LIC Housing Finance Ltd</v>
          </cell>
          <cell r="G283" t="str">
            <v>LIC Housing Finance Ltd CP MD 04-03-2025</v>
          </cell>
          <cell r="H283">
            <v>0</v>
          </cell>
          <cell r="I283" t="str">
            <v>04-03-2025</v>
          </cell>
          <cell r="J283" t="str">
            <v>CRISIL A1+</v>
          </cell>
          <cell r="K283">
            <v>0.51</v>
          </cell>
          <cell r="L283">
            <v>500000</v>
          </cell>
          <cell r="M283">
            <v>500</v>
          </cell>
          <cell r="N283">
            <v>7.52</v>
          </cell>
        </row>
        <row r="284">
          <cell r="C284" t="str">
            <v>INE144H14GZ0</v>
          </cell>
          <cell r="D284" t="str">
            <v>FI35118CP209</v>
          </cell>
          <cell r="E284" t="str">
            <v>CMP</v>
          </cell>
          <cell r="F284" t="str">
            <v>Deutsche Investments India Private Ltd</v>
          </cell>
          <cell r="G284" t="str">
            <v>Deutsche Investments India Private Ltd CP MD 09-12-2024</v>
          </cell>
          <cell r="H284">
            <v>0</v>
          </cell>
          <cell r="I284" t="str">
            <v>09-12-2024</v>
          </cell>
          <cell r="J284" t="str">
            <v>CRISIL A1+</v>
          </cell>
          <cell r="K284">
            <v>0.27</v>
          </cell>
          <cell r="L284">
            <v>500000</v>
          </cell>
          <cell r="M284">
            <v>800</v>
          </cell>
          <cell r="N284">
            <v>7.9550000000000001</v>
          </cell>
        </row>
        <row r="285">
          <cell r="C285" t="str">
            <v>INE414G14TC1</v>
          </cell>
          <cell r="D285" t="str">
            <v>FI3545CP211</v>
          </cell>
          <cell r="E285" t="str">
            <v>CMP</v>
          </cell>
          <cell r="F285" t="str">
            <v>Muthoot Finance Ltd</v>
          </cell>
          <cell r="G285" t="str">
            <v>Muthoot Finance CP MD 25-02-2025</v>
          </cell>
          <cell r="H285">
            <v>0</v>
          </cell>
          <cell r="I285" t="str">
            <v>25-02-2025</v>
          </cell>
          <cell r="J285" t="str">
            <v>CRISIL A1+</v>
          </cell>
          <cell r="K285">
            <v>0.49</v>
          </cell>
          <cell r="L285">
            <v>500000</v>
          </cell>
          <cell r="M285">
            <v>1000</v>
          </cell>
          <cell r="N285">
            <v>8.2624999999999993</v>
          </cell>
        </row>
        <row r="286">
          <cell r="C286" t="str">
            <v>INE417C14710</v>
          </cell>
          <cell r="D286" t="str">
            <v>FI35119CP201</v>
          </cell>
          <cell r="E286" t="str">
            <v>CMP</v>
          </cell>
          <cell r="F286" t="str">
            <v>Pilani Investment and Industries Corporation Ltd.</v>
          </cell>
          <cell r="G286" t="str">
            <v>Pilani Investment &amp; Industries Corporation Ltd CP MD 21-03-2025</v>
          </cell>
          <cell r="H286">
            <v>0</v>
          </cell>
          <cell r="I286" t="str">
            <v>21-03-2025</v>
          </cell>
          <cell r="J286" t="str">
            <v>CRISIL A1+</v>
          </cell>
          <cell r="K286">
            <v>0.55000000000000004</v>
          </cell>
          <cell r="L286">
            <v>500000</v>
          </cell>
          <cell r="M286">
            <v>500</v>
          </cell>
          <cell r="N286">
            <v>8.31</v>
          </cell>
        </row>
        <row r="287">
          <cell r="C287" t="str">
            <v>INE477S14CC9</v>
          </cell>
          <cell r="D287" t="str">
            <v>FI3519CP234</v>
          </cell>
          <cell r="E287" t="str">
            <v>CMP</v>
          </cell>
          <cell r="F287" t="str">
            <v>Tata Motors Finance Ltd</v>
          </cell>
          <cell r="G287" t="str">
            <v>Tata Motors Finance Ltd CP MD 11-03-2025</v>
          </cell>
          <cell r="H287">
            <v>0</v>
          </cell>
          <cell r="I287" t="str">
            <v>11-03-2025</v>
          </cell>
          <cell r="J287" t="str">
            <v>CRISIL A1+</v>
          </cell>
          <cell r="K287">
            <v>0.53</v>
          </cell>
          <cell r="L287">
            <v>500000</v>
          </cell>
          <cell r="M287">
            <v>1000</v>
          </cell>
          <cell r="N287">
            <v>7.9474999999999998</v>
          </cell>
        </row>
        <row r="288">
          <cell r="C288" t="str">
            <v>INE556F14KG1</v>
          </cell>
          <cell r="D288" t="str">
            <v>FI3405CP294</v>
          </cell>
          <cell r="E288" t="str">
            <v>CMP</v>
          </cell>
          <cell r="F288" t="str">
            <v>Small Industries Development Bank of India</v>
          </cell>
          <cell r="G288" t="str">
            <v>Small Industries Development Bank of India CP MD 28-02-2025</v>
          </cell>
          <cell r="H288">
            <v>0</v>
          </cell>
          <cell r="I288" t="str">
            <v>28-02-2025</v>
          </cell>
          <cell r="J288" t="str">
            <v>CRISIL A1+</v>
          </cell>
          <cell r="K288">
            <v>0.5</v>
          </cell>
          <cell r="L288">
            <v>500000</v>
          </cell>
          <cell r="M288">
            <v>1000</v>
          </cell>
          <cell r="N288">
            <v>7.56</v>
          </cell>
        </row>
        <row r="289">
          <cell r="C289" t="str">
            <v>INE556F14KH9</v>
          </cell>
          <cell r="D289" t="str">
            <v>FI3405CP296</v>
          </cell>
          <cell r="E289" t="str">
            <v>CMP</v>
          </cell>
          <cell r="F289" t="str">
            <v>Small Industries Development Bank of India</v>
          </cell>
          <cell r="G289" t="str">
            <v>Small Industries Development Bank of India CMP 28 05 2025</v>
          </cell>
          <cell r="H289">
            <v>0</v>
          </cell>
          <cell r="I289" t="str">
            <v>28-05-2025</v>
          </cell>
          <cell r="J289" t="str">
            <v>CRISIL A1+</v>
          </cell>
          <cell r="K289">
            <v>0.74</v>
          </cell>
          <cell r="L289">
            <v>500000</v>
          </cell>
          <cell r="M289">
            <v>300</v>
          </cell>
          <cell r="N289">
            <v>7.6875</v>
          </cell>
        </row>
        <row r="290">
          <cell r="C290" t="str">
            <v>INE763G14TE7</v>
          </cell>
          <cell r="D290" t="str">
            <v>FI3418CP230</v>
          </cell>
          <cell r="E290" t="str">
            <v>CMP</v>
          </cell>
          <cell r="F290" t="str">
            <v>ICICI Securities Ltd</v>
          </cell>
          <cell r="G290" t="str">
            <v>ICICI Securities Ltd CP MD 21-02-2025</v>
          </cell>
          <cell r="H290">
            <v>0</v>
          </cell>
          <cell r="I290" t="str">
            <v>21-02-2025</v>
          </cell>
          <cell r="J290" t="str">
            <v>CRISIL A1+</v>
          </cell>
          <cell r="K290">
            <v>0.48</v>
          </cell>
          <cell r="L290">
            <v>500000</v>
          </cell>
          <cell r="M290">
            <v>300</v>
          </cell>
          <cell r="N290">
            <v>7.95</v>
          </cell>
        </row>
        <row r="291">
          <cell r="C291" t="str">
            <v>INE790I14EV2</v>
          </cell>
          <cell r="D291" t="str">
            <v>FI35117CP210</v>
          </cell>
          <cell r="E291" t="str">
            <v>CMP</v>
          </cell>
          <cell r="F291" t="str">
            <v>HSBC InvestDirect Financial Services India Limited</v>
          </cell>
          <cell r="G291" t="str">
            <v>HSBC InvestDirect Financial Services India Ltd CP MD 24-12-2024</v>
          </cell>
          <cell r="H291">
            <v>0</v>
          </cell>
          <cell r="I291" t="str">
            <v>24-12-2024</v>
          </cell>
          <cell r="J291" t="str">
            <v>CRISIL A1+</v>
          </cell>
          <cell r="K291">
            <v>0.32</v>
          </cell>
          <cell r="L291">
            <v>500000</v>
          </cell>
          <cell r="M291">
            <v>1000</v>
          </cell>
          <cell r="N291">
            <v>7.84</v>
          </cell>
        </row>
        <row r="292">
          <cell r="C292" t="str">
            <v>INE01GA16228</v>
          </cell>
          <cell r="D292" t="str">
            <v>FI3378CD206</v>
          </cell>
          <cell r="E292" t="str">
            <v>COD</v>
          </cell>
          <cell r="F292" t="str">
            <v>DBS BANK LTD</v>
          </cell>
          <cell r="G292" t="str">
            <v>DBS BANK LTD INDIA COD MD 07-03-2025</v>
          </cell>
          <cell r="H292">
            <v>0</v>
          </cell>
          <cell r="I292" t="str">
            <v>07-03-2025</v>
          </cell>
          <cell r="J292" t="str">
            <v>CRISIL A1+</v>
          </cell>
          <cell r="K292">
            <v>0.52</v>
          </cell>
          <cell r="L292">
            <v>500000</v>
          </cell>
          <cell r="M292">
            <v>300</v>
          </cell>
          <cell r="N292">
            <v>7.57</v>
          </cell>
        </row>
        <row r="293">
          <cell r="C293" t="str">
            <v>INE028A16EX5</v>
          </cell>
          <cell r="D293" t="str">
            <v>FI3369CD285</v>
          </cell>
          <cell r="E293" t="str">
            <v>COD</v>
          </cell>
          <cell r="F293" t="str">
            <v>Bank of Baroda</v>
          </cell>
          <cell r="G293" t="str">
            <v>Bank of Baroda COD MD 20-02-2025</v>
          </cell>
          <cell r="H293">
            <v>0</v>
          </cell>
          <cell r="I293" t="str">
            <v>20-02-2025</v>
          </cell>
          <cell r="J293" t="str">
            <v>IND A1+</v>
          </cell>
          <cell r="K293">
            <v>0.47</v>
          </cell>
          <cell r="L293">
            <v>500000</v>
          </cell>
          <cell r="M293">
            <v>200</v>
          </cell>
          <cell r="N293">
            <v>7.45</v>
          </cell>
        </row>
        <row r="294">
          <cell r="C294" t="str">
            <v>INE028A16FL7</v>
          </cell>
          <cell r="D294" t="str">
            <v>FI3369CD293</v>
          </cell>
          <cell r="E294" t="str">
            <v>COD</v>
          </cell>
          <cell r="F294" t="str">
            <v>Bank of Baroda</v>
          </cell>
          <cell r="G294" t="str">
            <v>Bank of Baroda COD MD 10-03-2025</v>
          </cell>
          <cell r="H294">
            <v>0</v>
          </cell>
          <cell r="I294" t="str">
            <v>10-03-2025</v>
          </cell>
          <cell r="J294" t="str">
            <v>IND A1+</v>
          </cell>
          <cell r="K294">
            <v>0.52</v>
          </cell>
          <cell r="L294">
            <v>500000</v>
          </cell>
          <cell r="M294">
            <v>500</v>
          </cell>
          <cell r="N294">
            <v>7.45</v>
          </cell>
        </row>
        <row r="295">
          <cell r="C295" t="str">
            <v>INE028A16FO1</v>
          </cell>
          <cell r="D295" t="str">
            <v>FI3369CD286</v>
          </cell>
          <cell r="E295" t="str">
            <v>COD</v>
          </cell>
          <cell r="F295" t="str">
            <v>Bank of Baroda</v>
          </cell>
          <cell r="G295" t="str">
            <v>Bank of Baroda COD MD 25-11-2024</v>
          </cell>
          <cell r="H295">
            <v>0</v>
          </cell>
          <cell r="I295" t="str">
            <v>25-11-2024</v>
          </cell>
          <cell r="J295" t="str">
            <v>IND A1+</v>
          </cell>
          <cell r="K295">
            <v>0.24</v>
          </cell>
          <cell r="L295">
            <v>500000</v>
          </cell>
          <cell r="M295">
            <v>1000</v>
          </cell>
          <cell r="N295">
            <v>7.21</v>
          </cell>
        </row>
        <row r="296">
          <cell r="C296" t="str">
            <v>INE040A16EH3</v>
          </cell>
          <cell r="D296" t="str">
            <v>FI3310CD277</v>
          </cell>
          <cell r="E296" t="str">
            <v>COD</v>
          </cell>
          <cell r="F296" t="str">
            <v>HDFC Bank Ltd</v>
          </cell>
          <cell r="G296" t="str">
            <v>HDFC Bank Ltd - CD - 06/12/2024</v>
          </cell>
          <cell r="H296">
            <v>0</v>
          </cell>
          <cell r="I296" t="str">
            <v>06-12-2024</v>
          </cell>
          <cell r="J296" t="str">
            <v>CRISIL A1+</v>
          </cell>
          <cell r="K296">
            <v>0.27</v>
          </cell>
          <cell r="L296">
            <v>500000</v>
          </cell>
          <cell r="M296">
            <v>1700</v>
          </cell>
          <cell r="N296">
            <v>7.35</v>
          </cell>
        </row>
        <row r="297">
          <cell r="C297" t="str">
            <v>INE040A16EK7</v>
          </cell>
          <cell r="D297" t="str">
            <v>FI3310CD287</v>
          </cell>
          <cell r="E297" t="str">
            <v>COD</v>
          </cell>
          <cell r="F297" t="str">
            <v>HDFC Bank Ltd</v>
          </cell>
          <cell r="G297" t="str">
            <v>HDFC Bank Ltd CD 09-01-2025</v>
          </cell>
          <cell r="H297">
            <v>0</v>
          </cell>
          <cell r="I297" t="str">
            <v>09-01-2025</v>
          </cell>
          <cell r="J297" t="str">
            <v>CRISIL A1+</v>
          </cell>
          <cell r="K297">
            <v>0.36</v>
          </cell>
          <cell r="L297">
            <v>500000</v>
          </cell>
          <cell r="M297">
            <v>500</v>
          </cell>
          <cell r="N297">
            <v>7.4801000000000002</v>
          </cell>
        </row>
        <row r="298">
          <cell r="C298" t="str">
            <v>INE040A16EN1</v>
          </cell>
          <cell r="D298" t="str">
            <v>FI3310CD279</v>
          </cell>
          <cell r="E298" t="str">
            <v>COD</v>
          </cell>
          <cell r="F298" t="str">
            <v>HDFC Bank Ltd</v>
          </cell>
          <cell r="G298" t="str">
            <v>HDFC BANK LTD CD MD 20-02-2025</v>
          </cell>
          <cell r="H298">
            <v>0</v>
          </cell>
          <cell r="I298" t="str">
            <v>20-02-2025</v>
          </cell>
          <cell r="J298" t="str">
            <v>CRISIL A1+</v>
          </cell>
          <cell r="K298">
            <v>0.47</v>
          </cell>
          <cell r="L298">
            <v>500000</v>
          </cell>
          <cell r="M298">
            <v>300</v>
          </cell>
          <cell r="N298">
            <v>7.5067000000000004</v>
          </cell>
        </row>
        <row r="299">
          <cell r="C299" t="str">
            <v>INE090AD6105</v>
          </cell>
          <cell r="D299" t="str">
            <v>FI3305CD367</v>
          </cell>
          <cell r="E299" t="str">
            <v>COD</v>
          </cell>
          <cell r="F299" t="str">
            <v>ICICI Bank Ltd</v>
          </cell>
          <cell r="G299" t="str">
            <v>ICICI Bank Ltd COD MD 06-12-2024</v>
          </cell>
          <cell r="H299">
            <v>0</v>
          </cell>
          <cell r="I299" t="str">
            <v>06-12-2024</v>
          </cell>
          <cell r="J299" t="str">
            <v>ICRA A1+</v>
          </cell>
          <cell r="K299">
            <v>0.27</v>
          </cell>
          <cell r="L299">
            <v>500000</v>
          </cell>
          <cell r="M299">
            <v>1000</v>
          </cell>
          <cell r="N299">
            <v>7.2850000000000001</v>
          </cell>
        </row>
        <row r="300">
          <cell r="C300" t="str">
            <v>INE090AD6113</v>
          </cell>
          <cell r="D300" t="str">
            <v>FI3305CD366</v>
          </cell>
          <cell r="E300" t="str">
            <v>COD</v>
          </cell>
          <cell r="F300" t="str">
            <v>ICICI Bank Ltd</v>
          </cell>
          <cell r="G300" t="str">
            <v>ICICI Bank Ltd COD MD 31-01-2025</v>
          </cell>
          <cell r="H300">
            <v>0</v>
          </cell>
          <cell r="I300" t="str">
            <v>31-01-2025</v>
          </cell>
          <cell r="J300" t="str">
            <v>ICRA A1+</v>
          </cell>
          <cell r="K300">
            <v>0.42</v>
          </cell>
          <cell r="L300">
            <v>500000</v>
          </cell>
          <cell r="M300">
            <v>600</v>
          </cell>
          <cell r="N300">
            <v>7.4100999999999999</v>
          </cell>
        </row>
        <row r="301">
          <cell r="C301" t="str">
            <v>INE090AD6170</v>
          </cell>
          <cell r="D301" t="str">
            <v>FI3305CD371</v>
          </cell>
          <cell r="E301" t="str">
            <v>COD</v>
          </cell>
          <cell r="F301" t="str">
            <v>ICICI Bank Ltd</v>
          </cell>
          <cell r="G301" t="str">
            <v>ICICI Bank Ltd CD 25 07 2025</v>
          </cell>
          <cell r="H301">
            <v>0</v>
          </cell>
          <cell r="I301" t="str">
            <v>25-07-2025</v>
          </cell>
          <cell r="J301" t="str">
            <v>ICRA A1+</v>
          </cell>
          <cell r="K301">
            <v>0.9</v>
          </cell>
          <cell r="L301">
            <v>500000</v>
          </cell>
          <cell r="M301">
            <v>840</v>
          </cell>
          <cell r="N301">
            <v>7.6150000000000002</v>
          </cell>
        </row>
        <row r="302">
          <cell r="C302" t="str">
            <v>INE092T16WB9</v>
          </cell>
          <cell r="D302" t="str">
            <v>FI3437CD267</v>
          </cell>
          <cell r="E302" t="str">
            <v>COD</v>
          </cell>
          <cell r="F302" t="str">
            <v>IDFC First Bank Ltd</v>
          </cell>
          <cell r="G302" t="str">
            <v>IDFC FIRST BANK LTD COD MD 21-02-2025</v>
          </cell>
          <cell r="H302">
            <v>0</v>
          </cell>
          <cell r="I302" t="str">
            <v>21-02-2025</v>
          </cell>
          <cell r="J302" t="str">
            <v>CRISIL A1+</v>
          </cell>
          <cell r="K302">
            <v>0.48</v>
          </cell>
          <cell r="L302">
            <v>500000</v>
          </cell>
          <cell r="M302">
            <v>660</v>
          </cell>
          <cell r="N302">
            <v>7.5750000000000002</v>
          </cell>
        </row>
        <row r="303">
          <cell r="C303" t="str">
            <v>INE095A16V79</v>
          </cell>
          <cell r="D303" t="str">
            <v>FI3307CD337</v>
          </cell>
          <cell r="E303" t="str">
            <v>COD</v>
          </cell>
          <cell r="F303" t="str">
            <v>IndusInd Bank Ltd</v>
          </cell>
          <cell r="G303" t="str">
            <v>INDUSIND BANK LTD COD MD 24-02-2025</v>
          </cell>
          <cell r="H303">
            <v>0</v>
          </cell>
          <cell r="I303" t="str">
            <v>24-02-2025</v>
          </cell>
          <cell r="J303" t="str">
            <v>CRISIL A1+</v>
          </cell>
          <cell r="K303">
            <v>0.48</v>
          </cell>
          <cell r="L303">
            <v>500000</v>
          </cell>
          <cell r="M303">
            <v>660</v>
          </cell>
          <cell r="N303">
            <v>7.58</v>
          </cell>
        </row>
        <row r="304">
          <cell r="C304" t="str">
            <v>INE095A16X10</v>
          </cell>
          <cell r="D304" t="str">
            <v>FI3307CD339</v>
          </cell>
          <cell r="E304" t="str">
            <v>COD</v>
          </cell>
          <cell r="F304" t="str">
            <v>IndusInd Bank Ltd</v>
          </cell>
          <cell r="G304" t="str">
            <v>IndusInd Bank Ltd COD MD 19-08-2025</v>
          </cell>
          <cell r="H304">
            <v>0</v>
          </cell>
          <cell r="I304" t="str">
            <v>19-08-2025</v>
          </cell>
          <cell r="J304" t="str">
            <v>CRISIL A1+</v>
          </cell>
          <cell r="K304">
            <v>0.97</v>
          </cell>
          <cell r="L304">
            <v>500000</v>
          </cell>
          <cell r="M304">
            <v>500</v>
          </cell>
          <cell r="N304">
            <v>7.7949999999999999</v>
          </cell>
        </row>
        <row r="305">
          <cell r="C305" t="str">
            <v>INE160A16OF2</v>
          </cell>
          <cell r="D305" t="str">
            <v>FI3316CD370</v>
          </cell>
          <cell r="E305" t="str">
            <v>COD</v>
          </cell>
          <cell r="F305" t="str">
            <v>Punjab National Bank</v>
          </cell>
          <cell r="G305" t="str">
            <v>Punjab National Bank COD MD 05.12.2024</v>
          </cell>
          <cell r="H305">
            <v>0</v>
          </cell>
          <cell r="I305" t="str">
            <v>05-12-2024</v>
          </cell>
          <cell r="J305" t="str">
            <v>CRISIL A1+</v>
          </cell>
          <cell r="K305">
            <v>0.26</v>
          </cell>
          <cell r="L305">
            <v>500000</v>
          </cell>
          <cell r="M305">
            <v>1300</v>
          </cell>
          <cell r="N305">
            <v>7.3451000000000004</v>
          </cell>
        </row>
        <row r="306">
          <cell r="C306" t="str">
            <v>INE160A16OH8</v>
          </cell>
          <cell r="D306" t="str">
            <v>FI3316CD361</v>
          </cell>
          <cell r="E306" t="str">
            <v>COD</v>
          </cell>
          <cell r="F306" t="str">
            <v>Punjab National Bank</v>
          </cell>
          <cell r="G306" t="str">
            <v>Punjab National Bank CD MD 31-01-2025</v>
          </cell>
          <cell r="H306">
            <v>0</v>
          </cell>
          <cell r="I306" t="str">
            <v>31-01-2025</v>
          </cell>
          <cell r="J306" t="str">
            <v>CRISIL A1+</v>
          </cell>
          <cell r="K306">
            <v>0.42</v>
          </cell>
          <cell r="L306">
            <v>500000</v>
          </cell>
          <cell r="M306">
            <v>1000</v>
          </cell>
          <cell r="N306">
            <v>7.45</v>
          </cell>
        </row>
        <row r="307">
          <cell r="C307" t="str">
            <v>INE160A16OL0</v>
          </cell>
          <cell r="D307" t="str">
            <v>FI3316CD367</v>
          </cell>
          <cell r="E307" t="str">
            <v>COD</v>
          </cell>
          <cell r="F307" t="str">
            <v>Punjab National Bank</v>
          </cell>
          <cell r="G307" t="str">
            <v>Punjab National Bank COD MD 07-02-2025</v>
          </cell>
          <cell r="H307">
            <v>0</v>
          </cell>
          <cell r="I307" t="str">
            <v>07-02-2025</v>
          </cell>
          <cell r="J307" t="str">
            <v>CRISIL A1+</v>
          </cell>
          <cell r="K307">
            <v>0.44</v>
          </cell>
          <cell r="L307">
            <v>500000</v>
          </cell>
          <cell r="M307">
            <v>500</v>
          </cell>
          <cell r="N307">
            <v>7.47</v>
          </cell>
        </row>
        <row r="308">
          <cell r="C308" t="str">
            <v>INE160A16OM8</v>
          </cell>
          <cell r="D308" t="str">
            <v>FI3316CD363</v>
          </cell>
          <cell r="E308" t="str">
            <v>COD</v>
          </cell>
          <cell r="F308" t="str">
            <v>Punjab National Bank</v>
          </cell>
          <cell r="G308" t="str">
            <v>PUNJAB NATIONAL BANK COD MD  25-02-2025</v>
          </cell>
          <cell r="H308">
            <v>0</v>
          </cell>
          <cell r="I308" t="str">
            <v>25-02-2025</v>
          </cell>
          <cell r="J308" t="str">
            <v>CRISIL A1+</v>
          </cell>
          <cell r="K308">
            <v>0.49</v>
          </cell>
          <cell r="L308">
            <v>500000</v>
          </cell>
          <cell r="M308">
            <v>100</v>
          </cell>
          <cell r="N308">
            <v>7.47</v>
          </cell>
        </row>
        <row r="309">
          <cell r="C309" t="str">
            <v>INE171A16LK5</v>
          </cell>
          <cell r="D309" t="str">
            <v>FI3326CD245</v>
          </cell>
          <cell r="E309" t="str">
            <v>COD</v>
          </cell>
          <cell r="F309" t="str">
            <v>The Federal Bank Ltd</v>
          </cell>
          <cell r="G309" t="str">
            <v>Federal Bank Ltd CD MD 29-11-2024</v>
          </cell>
          <cell r="H309">
            <v>0</v>
          </cell>
          <cell r="I309" t="str">
            <v>29-11-2024</v>
          </cell>
          <cell r="J309" t="str">
            <v>CRISIL A1+</v>
          </cell>
          <cell r="K309">
            <v>0.25</v>
          </cell>
          <cell r="L309">
            <v>500000</v>
          </cell>
          <cell r="M309">
            <v>500</v>
          </cell>
          <cell r="N309">
            <v>7.3150000000000004</v>
          </cell>
        </row>
        <row r="310">
          <cell r="C310" t="str">
            <v>INE171A16LP4</v>
          </cell>
          <cell r="D310" t="str">
            <v>FI3326CD249</v>
          </cell>
          <cell r="E310" t="str">
            <v>COD</v>
          </cell>
          <cell r="F310" t="str">
            <v>The Federal Bank Ltd</v>
          </cell>
          <cell r="G310" t="str">
            <v>Federal Bank Ltd CD MD 04-02-2025</v>
          </cell>
          <cell r="H310">
            <v>0</v>
          </cell>
          <cell r="I310" t="str">
            <v>04-02-2025</v>
          </cell>
          <cell r="J310" t="str">
            <v>CRISIL A1+</v>
          </cell>
          <cell r="K310">
            <v>0.43</v>
          </cell>
          <cell r="L310">
            <v>500000</v>
          </cell>
          <cell r="M310">
            <v>400</v>
          </cell>
          <cell r="N310">
            <v>7.5800999999999998</v>
          </cell>
        </row>
        <row r="311">
          <cell r="C311" t="str">
            <v>INE237A160W3</v>
          </cell>
          <cell r="D311" t="str">
            <v>FI3332CD270</v>
          </cell>
          <cell r="E311" t="str">
            <v>COD</v>
          </cell>
          <cell r="F311" t="str">
            <v>Kotak Mahindra Bank Ltd</v>
          </cell>
          <cell r="G311" t="str">
            <v>KOTAK MAHINDRA BANK CD MD 05-02-2025</v>
          </cell>
          <cell r="H311">
            <v>0</v>
          </cell>
          <cell r="I311" t="str">
            <v>05-02-2025</v>
          </cell>
          <cell r="J311" t="str">
            <v>CRISIL A1+</v>
          </cell>
          <cell r="K311">
            <v>0.43</v>
          </cell>
          <cell r="L311">
            <v>500000</v>
          </cell>
          <cell r="M311">
            <v>500</v>
          </cell>
          <cell r="N311">
            <v>7.47</v>
          </cell>
        </row>
        <row r="312">
          <cell r="C312" t="str">
            <v>INE237A164X3</v>
          </cell>
          <cell r="D312" t="str">
            <v>FI3332CD273</v>
          </cell>
          <cell r="E312" t="str">
            <v>COD</v>
          </cell>
          <cell r="F312" t="str">
            <v>Kotak Mahindra Bank Ltd</v>
          </cell>
          <cell r="G312" t="str">
            <v>KOTAK MAHINDRA BANK COD MD 13-12-2024</v>
          </cell>
          <cell r="H312">
            <v>0</v>
          </cell>
          <cell r="I312" t="str">
            <v>13-12-2024</v>
          </cell>
          <cell r="J312" t="str">
            <v>CRISIL A1+</v>
          </cell>
          <cell r="K312">
            <v>0.28000000000000003</v>
          </cell>
          <cell r="L312">
            <v>500000</v>
          </cell>
          <cell r="M312">
            <v>1300</v>
          </cell>
          <cell r="N312">
            <v>7.3150000000000004</v>
          </cell>
        </row>
        <row r="313">
          <cell r="C313" t="str">
            <v>INE238AD6579</v>
          </cell>
          <cell r="D313" t="str">
            <v>FI3319CD521</v>
          </cell>
          <cell r="E313" t="str">
            <v>COD</v>
          </cell>
          <cell r="F313" t="str">
            <v>Axis Bank Ltd</v>
          </cell>
          <cell r="G313" t="str">
            <v>AXIS Bank Ltd CD 29 11 2024</v>
          </cell>
          <cell r="H313">
            <v>0</v>
          </cell>
          <cell r="I313" t="str">
            <v>29-11-2024</v>
          </cell>
          <cell r="J313" t="str">
            <v>CRISIL A1+</v>
          </cell>
          <cell r="K313">
            <v>0.25</v>
          </cell>
          <cell r="L313">
            <v>500000</v>
          </cell>
          <cell r="M313">
            <v>900</v>
          </cell>
          <cell r="N313">
            <v>7.2328999999999999</v>
          </cell>
        </row>
        <row r="314">
          <cell r="C314" t="str">
            <v>INE238AD6884</v>
          </cell>
          <cell r="D314" t="str">
            <v>FI3319CD526</v>
          </cell>
          <cell r="E314" t="str">
            <v>COD</v>
          </cell>
          <cell r="F314" t="str">
            <v>Axis Bank Ltd</v>
          </cell>
          <cell r="G314" t="str">
            <v>AXIS Bank Ltd CD 22 08 2025</v>
          </cell>
          <cell r="H314">
            <v>0</v>
          </cell>
          <cell r="I314" t="str">
            <v>22-08-2025</v>
          </cell>
          <cell r="J314" t="str">
            <v>CRISIL A1+</v>
          </cell>
          <cell r="K314">
            <v>0.98</v>
          </cell>
          <cell r="L314">
            <v>500000</v>
          </cell>
          <cell r="M314">
            <v>500</v>
          </cell>
          <cell r="N314">
            <v>7.6725000000000003</v>
          </cell>
        </row>
        <row r="315">
          <cell r="C315" t="str">
            <v>INE261F16777</v>
          </cell>
          <cell r="D315" t="str">
            <v>FI35NACD232</v>
          </cell>
          <cell r="E315" t="str">
            <v>COD</v>
          </cell>
          <cell r="F315" t="str">
            <v>National Bank for Agriculture &amp; Rural Development</v>
          </cell>
          <cell r="G315" t="str">
            <v>NABARD CD MD 23-01-2025</v>
          </cell>
          <cell r="H315">
            <v>0</v>
          </cell>
          <cell r="I315" t="str">
            <v>23-01-2025</v>
          </cell>
          <cell r="J315" t="str">
            <v>CRISIL A1+</v>
          </cell>
          <cell r="K315">
            <v>0.4</v>
          </cell>
          <cell r="L315">
            <v>500000</v>
          </cell>
          <cell r="M315">
            <v>500</v>
          </cell>
          <cell r="N315">
            <v>7.4974999999999996</v>
          </cell>
        </row>
        <row r="316">
          <cell r="C316" t="str">
            <v>INE261F16785</v>
          </cell>
          <cell r="D316" t="str">
            <v>FI35NACD352</v>
          </cell>
          <cell r="E316" t="str">
            <v>COD</v>
          </cell>
          <cell r="F316" t="str">
            <v>National Bank for Agriculture &amp; Rural Development</v>
          </cell>
          <cell r="G316" t="str">
            <v>NABARD CD MD 07.02.2025</v>
          </cell>
          <cell r="H316">
            <v>0</v>
          </cell>
          <cell r="I316" t="str">
            <v>07-02-2025</v>
          </cell>
          <cell r="J316" t="str">
            <v>CRISIL A1+</v>
          </cell>
          <cell r="K316">
            <v>0.44</v>
          </cell>
          <cell r="L316">
            <v>500000</v>
          </cell>
          <cell r="M316">
            <v>800</v>
          </cell>
          <cell r="N316">
            <v>7.5250000000000004</v>
          </cell>
        </row>
        <row r="317">
          <cell r="C317" t="str">
            <v>INE261F16793</v>
          </cell>
          <cell r="D317" t="str">
            <v>FI35NACD353</v>
          </cell>
          <cell r="E317" t="str">
            <v>COD</v>
          </cell>
          <cell r="F317" t="str">
            <v>National Bank for Agriculture &amp; Rural Development</v>
          </cell>
          <cell r="G317" t="str">
            <v>NABARD CD MD 12-02-2025</v>
          </cell>
          <cell r="H317">
            <v>0</v>
          </cell>
          <cell r="I317" t="str">
            <v>12-02-2025</v>
          </cell>
          <cell r="J317" t="str">
            <v>CRISIL A1+</v>
          </cell>
          <cell r="K317">
            <v>0.45</v>
          </cell>
          <cell r="L317">
            <v>500000</v>
          </cell>
          <cell r="M317">
            <v>300</v>
          </cell>
          <cell r="N317">
            <v>7.5225</v>
          </cell>
        </row>
        <row r="318">
          <cell r="C318" t="str">
            <v>INE261F16819</v>
          </cell>
          <cell r="D318" t="str">
            <v>FI35NACD354</v>
          </cell>
          <cell r="E318" t="str">
            <v>COD</v>
          </cell>
          <cell r="F318" t="str">
            <v>National Bank for Agriculture &amp; Rural Development</v>
          </cell>
          <cell r="G318" t="str">
            <v>NABARD COD MD 26-02-2025</v>
          </cell>
          <cell r="H318">
            <v>0</v>
          </cell>
          <cell r="I318" t="str">
            <v>26-02-2025</v>
          </cell>
          <cell r="J318" t="str">
            <v>CRISIL A1+</v>
          </cell>
          <cell r="K318">
            <v>0.49</v>
          </cell>
          <cell r="L318">
            <v>500000</v>
          </cell>
          <cell r="M318">
            <v>300</v>
          </cell>
          <cell r="N318">
            <v>7.5225</v>
          </cell>
        </row>
        <row r="319">
          <cell r="C319" t="str">
            <v>INE476A16XV0</v>
          </cell>
          <cell r="D319" t="str">
            <v>FI3320CD478</v>
          </cell>
          <cell r="E319" t="str">
            <v>COD</v>
          </cell>
          <cell r="F319" t="str">
            <v>Canara Bank</v>
          </cell>
          <cell r="G319" t="str">
            <v>Canara Bank COD MD 11-03-2025</v>
          </cell>
          <cell r="H319">
            <v>0</v>
          </cell>
          <cell r="I319" t="str">
            <v>11-03-2025</v>
          </cell>
          <cell r="J319" t="str">
            <v>CRISIL A1+</v>
          </cell>
          <cell r="K319">
            <v>0.53</v>
          </cell>
          <cell r="L319">
            <v>500000</v>
          </cell>
          <cell r="M319">
            <v>500</v>
          </cell>
          <cell r="N319">
            <v>7.49</v>
          </cell>
        </row>
        <row r="320">
          <cell r="C320" t="str">
            <v>INE476A16YR6</v>
          </cell>
          <cell r="D320" t="str">
            <v>FI3320CD479</v>
          </cell>
          <cell r="E320" t="str">
            <v>COD</v>
          </cell>
          <cell r="F320" t="str">
            <v>Canara Bank</v>
          </cell>
          <cell r="G320" t="str">
            <v>Canara Bank COD MD 16-12-2024</v>
          </cell>
          <cell r="H320">
            <v>0</v>
          </cell>
          <cell r="I320" t="str">
            <v>16-12-2024</v>
          </cell>
          <cell r="J320" t="str">
            <v>CRISIL A1+</v>
          </cell>
          <cell r="K320">
            <v>0.28999999999999998</v>
          </cell>
          <cell r="L320">
            <v>500000</v>
          </cell>
          <cell r="M320">
            <v>1000</v>
          </cell>
          <cell r="N320">
            <v>7.32</v>
          </cell>
        </row>
        <row r="321">
          <cell r="C321" t="str">
            <v>INE556F16AM5</v>
          </cell>
          <cell r="D321" t="str">
            <v>FI3405CD238</v>
          </cell>
          <cell r="E321" t="str">
            <v>COD</v>
          </cell>
          <cell r="F321" t="str">
            <v>Small Industries Development Bank of India</v>
          </cell>
          <cell r="G321" t="str">
            <v>Small Industries Development Bank of India COD  MD 11-12-2024</v>
          </cell>
          <cell r="H321">
            <v>0</v>
          </cell>
          <cell r="I321" t="str">
            <v>11-12-2024</v>
          </cell>
          <cell r="J321" t="str">
            <v>CRISIL A1+</v>
          </cell>
          <cell r="K321">
            <v>0.28000000000000003</v>
          </cell>
          <cell r="L321">
            <v>500000</v>
          </cell>
          <cell r="M321">
            <v>700</v>
          </cell>
          <cell r="N321">
            <v>7.3861999999999997</v>
          </cell>
        </row>
        <row r="322">
          <cell r="C322" t="str">
            <v>INE556F16AN3</v>
          </cell>
          <cell r="D322" t="str">
            <v>FI3405CD239</v>
          </cell>
          <cell r="E322" t="str">
            <v>COD</v>
          </cell>
          <cell r="F322" t="str">
            <v>Small Industries Development Bank of India</v>
          </cell>
          <cell r="G322" t="str">
            <v>Small Industries Development Bank of India CD 18 12 2024</v>
          </cell>
          <cell r="H322">
            <v>0</v>
          </cell>
          <cell r="I322" t="str">
            <v>18-12-2024</v>
          </cell>
          <cell r="J322" t="str">
            <v>CRISIL A1+</v>
          </cell>
          <cell r="K322">
            <v>0.3</v>
          </cell>
          <cell r="L322">
            <v>500000</v>
          </cell>
          <cell r="M322">
            <v>500</v>
          </cell>
          <cell r="N322">
            <v>7.3861999999999997</v>
          </cell>
        </row>
        <row r="323">
          <cell r="C323" t="str">
            <v>INE556F16AO1</v>
          </cell>
          <cell r="D323" t="str">
            <v>FI3405CD240</v>
          </cell>
          <cell r="E323" t="str">
            <v>COD</v>
          </cell>
          <cell r="F323" t="str">
            <v>Small Industries Development Bank of India</v>
          </cell>
          <cell r="G323" t="str">
            <v>Small Industries Development Bank of India CD 10 01 2025</v>
          </cell>
          <cell r="H323">
            <v>0</v>
          </cell>
          <cell r="I323" t="str">
            <v>10-01-2025</v>
          </cell>
          <cell r="J323" t="str">
            <v>CRISIL A1+</v>
          </cell>
          <cell r="K323">
            <v>0.36</v>
          </cell>
          <cell r="L323">
            <v>500000</v>
          </cell>
          <cell r="M323">
            <v>800</v>
          </cell>
          <cell r="N323">
            <v>7.5499000000000001</v>
          </cell>
        </row>
        <row r="324">
          <cell r="C324" t="str">
            <v>INE562A16MZ1</v>
          </cell>
          <cell r="D324" t="str">
            <v>FI3345CD302</v>
          </cell>
          <cell r="E324" t="str">
            <v>COD</v>
          </cell>
          <cell r="F324" t="str">
            <v>Indian Bank</v>
          </cell>
          <cell r="G324" t="str">
            <v>INDIAN BANK LTD COD MD 23-05-2025</v>
          </cell>
          <cell r="H324">
            <v>0</v>
          </cell>
          <cell r="I324" t="str">
            <v>23-05-2025</v>
          </cell>
          <cell r="J324" t="str">
            <v>CRISIL A1+</v>
          </cell>
          <cell r="K324">
            <v>0.73</v>
          </cell>
          <cell r="L324">
            <v>500000</v>
          </cell>
          <cell r="M324">
            <v>500</v>
          </cell>
          <cell r="N324">
            <v>7.59</v>
          </cell>
        </row>
        <row r="325">
          <cell r="C325" t="str">
            <v>INE692A16GZ8</v>
          </cell>
          <cell r="D325" t="str">
            <v>FI3321CD266</v>
          </cell>
          <cell r="E325" t="str">
            <v>COD</v>
          </cell>
          <cell r="F325" t="str">
            <v>Union Bank of India</v>
          </cell>
          <cell r="G325" t="str">
            <v>UNION BANK OF INDIA COD MD 27-02-2025</v>
          </cell>
          <cell r="H325">
            <v>0</v>
          </cell>
          <cell r="I325" t="str">
            <v>27-02-2025</v>
          </cell>
          <cell r="J325" t="str">
            <v>ICRA A1+</v>
          </cell>
          <cell r="K325">
            <v>0.49</v>
          </cell>
          <cell r="L325">
            <v>500000</v>
          </cell>
          <cell r="M325">
            <v>800</v>
          </cell>
          <cell r="N325">
            <v>7.4901</v>
          </cell>
        </row>
        <row r="326">
          <cell r="C326" t="str">
            <v>INE041007100</v>
          </cell>
          <cell r="D326" t="str">
            <v>FI3346NC200</v>
          </cell>
          <cell r="E326" t="str">
            <v>NCD</v>
          </cell>
          <cell r="F326" t="str">
            <v>Embassy Office Parks REIT</v>
          </cell>
          <cell r="G326" t="str">
            <v>7.77% Embassy Office Parks REIT NCD MD 05.06.2025 Series VII NCD Call 05-03-2025</v>
          </cell>
          <cell r="H326">
            <v>7.77</v>
          </cell>
          <cell r="I326" t="str">
            <v>05-06-2025</v>
          </cell>
          <cell r="J326" t="str">
            <v>CRISIL AAA</v>
          </cell>
          <cell r="K326">
            <v>0.73370000000000002</v>
          </cell>
          <cell r="L326">
            <v>100000</v>
          </cell>
          <cell r="M326">
            <v>1500</v>
          </cell>
          <cell r="N326">
            <v>8.1850000000000005</v>
          </cell>
        </row>
        <row r="327">
          <cell r="C327" t="str">
            <v>INE115A07OX8</v>
          </cell>
          <cell r="D327" t="str">
            <v>FILICNC375</v>
          </cell>
          <cell r="E327" t="str">
            <v>NCD</v>
          </cell>
          <cell r="F327" t="str">
            <v>LIC Housing Finance Ltd</v>
          </cell>
          <cell r="G327" t="str">
            <v>5.5315% LIC Housing Finance Ltd NCD MD 20-12-2024</v>
          </cell>
          <cell r="H327">
            <v>5.5315000000000003</v>
          </cell>
          <cell r="I327" t="str">
            <v>20-12-2024</v>
          </cell>
          <cell r="J327" t="str">
            <v>CRISIL AAA</v>
          </cell>
          <cell r="K327">
            <v>0.30049999999999999</v>
          </cell>
          <cell r="L327">
            <v>1000000</v>
          </cell>
          <cell r="M327">
            <v>250</v>
          </cell>
          <cell r="N327">
            <v>7.5049999999999999</v>
          </cell>
        </row>
        <row r="328">
          <cell r="C328" t="str">
            <v>INE115A07PQ9</v>
          </cell>
          <cell r="D328" t="str">
            <v>FILICNC374</v>
          </cell>
          <cell r="E328" t="str">
            <v>NCD</v>
          </cell>
          <cell r="F328" t="str">
            <v>LIC Housing Finance Ltd</v>
          </cell>
          <cell r="G328" t="str">
            <v>5.9943% Lic Housing Finance NCD MD 12-03-2025</v>
          </cell>
          <cell r="H328">
            <v>5.9943</v>
          </cell>
          <cell r="I328" t="str">
            <v>12-03-2025</v>
          </cell>
          <cell r="J328" t="str">
            <v>CRISIL AAA</v>
          </cell>
          <cell r="K328">
            <v>0.52600000000000002</v>
          </cell>
          <cell r="L328">
            <v>1000000</v>
          </cell>
          <cell r="M328">
            <v>300</v>
          </cell>
          <cell r="N328">
            <v>7.65</v>
          </cell>
        </row>
        <row r="329">
          <cell r="C329" t="str">
            <v>INE121A07QT9</v>
          </cell>
          <cell r="D329" t="str">
            <v>FI3508NC223</v>
          </cell>
          <cell r="E329" t="str">
            <v>NCD</v>
          </cell>
          <cell r="F329" t="str">
            <v>Cholamandalam Investment and Finance Co Ltd</v>
          </cell>
          <cell r="G329" t="str">
            <v>8.45% Cholamandalam Investment and Finance Co Ltd NCD MD 21-11-2025 (CICFL_Series 630_November 2025)</v>
          </cell>
          <cell r="H329">
            <v>8.4499999999999993</v>
          </cell>
          <cell r="I329" t="str">
            <v>21-11-2025</v>
          </cell>
          <cell r="J329" t="str">
            <v>ICRA AA+</v>
          </cell>
          <cell r="K329">
            <v>1.1434</v>
          </cell>
          <cell r="L329">
            <v>1000000</v>
          </cell>
          <cell r="M329">
            <v>200</v>
          </cell>
          <cell r="N329">
            <v>8.4</v>
          </cell>
        </row>
        <row r="330">
          <cell r="C330" t="str">
            <v>INE121A07RB5</v>
          </cell>
          <cell r="D330" t="str">
            <v>FI3508NC221</v>
          </cell>
          <cell r="E330" t="str">
            <v>NCD</v>
          </cell>
          <cell r="F330" t="str">
            <v>Cholamandalam Investment and Finance Co Ltd</v>
          </cell>
          <cell r="G330" t="str">
            <v>8.25%  Cholamandalam Investment and Finance Co Ltd NCD MD 04-03-2025</v>
          </cell>
          <cell r="H330">
            <v>8.25</v>
          </cell>
          <cell r="I330" t="str">
            <v>04-03-2025</v>
          </cell>
          <cell r="J330" t="str">
            <v>ICRA AA+</v>
          </cell>
          <cell r="K330">
            <v>0.50409999999999999</v>
          </cell>
          <cell r="L330">
            <v>1000</v>
          </cell>
          <cell r="M330">
            <v>250000</v>
          </cell>
          <cell r="N330">
            <v>8.2149999999999999</v>
          </cell>
        </row>
        <row r="331">
          <cell r="C331" t="str">
            <v>INE261F08DK7</v>
          </cell>
          <cell r="D331" t="str">
            <v>FI35NANC308</v>
          </cell>
          <cell r="E331" t="str">
            <v>NCD</v>
          </cell>
          <cell r="F331" t="str">
            <v>National Bank for Agriculture &amp; Rural Development</v>
          </cell>
          <cell r="G331" t="str">
            <v>5.7% NABARD NCD MD 31 07 2025</v>
          </cell>
          <cell r="H331">
            <v>5.7</v>
          </cell>
          <cell r="I331" t="str">
            <v>31-07-2025</v>
          </cell>
          <cell r="J331" t="str">
            <v>CRISIL AAA</v>
          </cell>
          <cell r="K331">
            <v>0.9123</v>
          </cell>
          <cell r="L331">
            <v>1000000</v>
          </cell>
          <cell r="M331">
            <v>250</v>
          </cell>
          <cell r="N331">
            <v>7.74</v>
          </cell>
        </row>
        <row r="332">
          <cell r="C332" t="str">
            <v>INE261F08DX0</v>
          </cell>
          <cell r="D332" t="str">
            <v>FI35NANC298</v>
          </cell>
          <cell r="E332" t="str">
            <v>NCD</v>
          </cell>
          <cell r="F332" t="str">
            <v>National Bank for Agriculture &amp; Rural Development</v>
          </cell>
          <cell r="G332" t="str">
            <v>7.58%  NABARD- NCD-31/07/2026 SERIES 23H</v>
          </cell>
          <cell r="H332">
            <v>7.58</v>
          </cell>
          <cell r="I332" t="str">
            <v>31-07-2026</v>
          </cell>
          <cell r="J332" t="str">
            <v>CRISIL AAA</v>
          </cell>
          <cell r="K332">
            <v>1.8418000000000001</v>
          </cell>
          <cell r="L332">
            <v>100000</v>
          </cell>
          <cell r="M332">
            <v>2500</v>
          </cell>
          <cell r="N332">
            <v>7.68</v>
          </cell>
        </row>
        <row r="333">
          <cell r="C333" t="str">
            <v>INE403D08181</v>
          </cell>
          <cell r="D333" t="str">
            <v>UT4825NC200</v>
          </cell>
          <cell r="E333" t="str">
            <v>NCD</v>
          </cell>
          <cell r="F333" t="str">
            <v>Bharti Telecom Ltd</v>
          </cell>
          <cell r="G333" t="str">
            <v>8.90% Bharti Telecom Ltd NCD MD 04-12-2025 SERIES XVI</v>
          </cell>
          <cell r="H333">
            <v>8.9</v>
          </cell>
          <cell r="I333" t="str">
            <v>04-12-2025</v>
          </cell>
          <cell r="J333" t="str">
            <v>CRISIL AA+</v>
          </cell>
          <cell r="K333">
            <v>1.1754</v>
          </cell>
          <cell r="L333">
            <v>100000</v>
          </cell>
          <cell r="M333">
            <v>5000</v>
          </cell>
          <cell r="N333">
            <v>8.5</v>
          </cell>
        </row>
        <row r="334">
          <cell r="C334" t="str">
            <v>INE477A07373</v>
          </cell>
          <cell r="D334" t="str">
            <v>FI3427NC200</v>
          </cell>
          <cell r="E334" t="str">
            <v>NCD</v>
          </cell>
          <cell r="F334" t="str">
            <v>Can Fin Homes Ltd</v>
          </cell>
          <cell r="G334" t="str">
            <v>8.45% Can Fin Homes Ltd NCD MD 27-05-2026</v>
          </cell>
          <cell r="H334">
            <v>8.4499999999999993</v>
          </cell>
          <cell r="I334" t="str">
            <v>27-05-2026</v>
          </cell>
          <cell r="J334" t="str">
            <v>IND AA+</v>
          </cell>
          <cell r="K334">
            <v>1.6188</v>
          </cell>
          <cell r="L334">
            <v>100000</v>
          </cell>
          <cell r="M334">
            <v>1600</v>
          </cell>
          <cell r="N334">
            <v>8.1793999999999993</v>
          </cell>
        </row>
        <row r="335">
          <cell r="C335" t="str">
            <v>INE721A07RU2</v>
          </cell>
          <cell r="D335" t="str">
            <v>FI3539NC201</v>
          </cell>
          <cell r="E335" t="str">
            <v>NCD</v>
          </cell>
          <cell r="F335" t="str">
            <v>Shriram Finance Ltd</v>
          </cell>
          <cell r="G335" t="str">
            <v>9.25%  Shriram Finance Ltd  NCD MD 19-12-2025 Series PPD XV 23-24 Option 1</v>
          </cell>
          <cell r="H335">
            <v>9.25</v>
          </cell>
          <cell r="I335" t="str">
            <v>19-12-2025</v>
          </cell>
          <cell r="J335" t="str">
            <v>CRISIL AA+</v>
          </cell>
          <cell r="K335">
            <v>1.2133</v>
          </cell>
          <cell r="L335">
            <v>100000</v>
          </cell>
          <cell r="M335">
            <v>1000</v>
          </cell>
          <cell r="N335">
            <v>9.0250000000000004</v>
          </cell>
        </row>
        <row r="336">
          <cell r="C336" t="str">
            <v>INE721A07SB0</v>
          </cell>
          <cell r="D336" t="str">
            <v>FI3539NC202</v>
          </cell>
          <cell r="E336" t="str">
            <v>NCD</v>
          </cell>
          <cell r="F336" t="str">
            <v>Shriram Finance Ltd</v>
          </cell>
          <cell r="G336" t="str">
            <v>9.20% Shriram Finance Limited NCD MD 22-05-2026 Series/Tranche: Series PPD XXI 24-25 Option 2</v>
          </cell>
          <cell r="H336">
            <v>9.1999999999999993</v>
          </cell>
          <cell r="I336" t="str">
            <v>22-05-2026</v>
          </cell>
          <cell r="J336" t="str">
            <v>CRISIL AA+</v>
          </cell>
          <cell r="K336">
            <v>1.6363000000000001</v>
          </cell>
          <cell r="L336">
            <v>100000</v>
          </cell>
          <cell r="M336">
            <v>2000</v>
          </cell>
          <cell r="N336">
            <v>9.1377000000000006</v>
          </cell>
        </row>
        <row r="337">
          <cell r="C337" t="str">
            <v>INE756I07EI4</v>
          </cell>
          <cell r="D337" t="str">
            <v>FI3553NC215</v>
          </cell>
          <cell r="E337" t="str">
            <v>NCD</v>
          </cell>
          <cell r="F337" t="str">
            <v>HDB Financial Services Ltd</v>
          </cell>
          <cell r="G337" t="str">
            <v>7.50%  HDB Financial Services NCD MD 23-09-2025</v>
          </cell>
          <cell r="H337">
            <v>7.5</v>
          </cell>
          <cell r="I337" t="str">
            <v>23-09-2025</v>
          </cell>
          <cell r="J337" t="str">
            <v>CRISIL AAA</v>
          </cell>
          <cell r="K337">
            <v>0.9899</v>
          </cell>
          <cell r="L337">
            <v>1000000</v>
          </cell>
          <cell r="M337">
            <v>250</v>
          </cell>
          <cell r="N337">
            <v>8.1953999999999994</v>
          </cell>
        </row>
        <row r="338">
          <cell r="C338" t="str">
            <v>IN002023Y524</v>
          </cell>
          <cell r="D338" t="str">
            <v>182TBL120924</v>
          </cell>
          <cell r="E338" t="str">
            <v>TBL</v>
          </cell>
          <cell r="F338" t="str">
            <v>Govt. of India - GSec / TBL</v>
          </cell>
          <cell r="G338" t="str">
            <v>182 Days - T Bill - 12/09/2024</v>
          </cell>
          <cell r="H338">
            <v>0</v>
          </cell>
          <cell r="I338" t="str">
            <v>12-09-2024</v>
          </cell>
          <cell r="J338" t="str">
            <v>Sovereign</v>
          </cell>
          <cell r="K338">
            <v>0.03</v>
          </cell>
          <cell r="L338">
            <v>100</v>
          </cell>
          <cell r="M338">
            <v>5000000</v>
          </cell>
          <cell r="N338">
            <v>6.5346000000000002</v>
          </cell>
        </row>
        <row r="339">
          <cell r="C339" t="str">
            <v>IN002023Z265</v>
          </cell>
          <cell r="D339" t="str">
            <v>364TBL120924</v>
          </cell>
          <cell r="E339" t="str">
            <v>TBL</v>
          </cell>
          <cell r="F339" t="str">
            <v>Govt. of India - GSec / TBL</v>
          </cell>
          <cell r="G339" t="str">
            <v>364 Days - T Bill - 12/09/2024</v>
          </cell>
          <cell r="H339">
            <v>0</v>
          </cell>
          <cell r="I339" t="str">
            <v>12-09-2024</v>
          </cell>
          <cell r="J339" t="str">
            <v>Sovereign</v>
          </cell>
          <cell r="K339">
            <v>0.03</v>
          </cell>
          <cell r="L339">
            <v>100</v>
          </cell>
          <cell r="M339">
            <v>5000000</v>
          </cell>
          <cell r="N339">
            <v>6.5128000000000004</v>
          </cell>
        </row>
        <row r="340">
          <cell r="C340" t="str">
            <v>IN002023Z299</v>
          </cell>
          <cell r="D340" t="str">
            <v>364TBL031024</v>
          </cell>
          <cell r="E340" t="str">
            <v>TBL</v>
          </cell>
          <cell r="F340" t="str">
            <v>Govt. of India - GSec / TBL</v>
          </cell>
          <cell r="G340" t="str">
            <v>364 Days- T Bill -03/10/2024</v>
          </cell>
          <cell r="H340">
            <v>0</v>
          </cell>
          <cell r="I340" t="str">
            <v>03-10-2024</v>
          </cell>
          <cell r="J340" t="str">
            <v>Sovereign</v>
          </cell>
          <cell r="K340">
            <v>0.09</v>
          </cell>
          <cell r="L340">
            <v>100</v>
          </cell>
          <cell r="M340">
            <v>500000</v>
          </cell>
          <cell r="N340">
            <v>6.6172000000000004</v>
          </cell>
        </row>
        <row r="341">
          <cell r="C341" t="str">
            <v>IN002024X110</v>
          </cell>
          <cell r="D341" t="str">
            <v>91TBL050924</v>
          </cell>
          <cell r="E341" t="str">
            <v>TBL</v>
          </cell>
          <cell r="F341" t="str">
            <v>Govt. of India - GSec / TBL</v>
          </cell>
          <cell r="G341" t="str">
            <v>91 Days - T Bill - 05/09/2024</v>
          </cell>
          <cell r="H341">
            <v>0</v>
          </cell>
          <cell r="I341" t="str">
            <v>05-09-2024</v>
          </cell>
          <cell r="J341" t="str">
            <v>Sovereign</v>
          </cell>
          <cell r="K341">
            <v>0.01</v>
          </cell>
          <cell r="L341">
            <v>100</v>
          </cell>
          <cell r="M341">
            <v>3700000</v>
          </cell>
          <cell r="N341">
            <v>6.5003000000000002</v>
          </cell>
        </row>
        <row r="342">
          <cell r="C342" t="str">
            <v>IN002023Z307</v>
          </cell>
          <cell r="D342" t="str">
            <v>364TBL101024</v>
          </cell>
          <cell r="E342" t="str">
            <v>TBL</v>
          </cell>
          <cell r="F342" t="str">
            <v>Govt. of India - GSec / TBL</v>
          </cell>
          <cell r="G342" t="str">
            <v>364 Days-T Bill - 10/10/2024</v>
          </cell>
          <cell r="H342">
            <v>0</v>
          </cell>
          <cell r="I342" t="str">
            <v>10-10-2024</v>
          </cell>
          <cell r="J342" t="str">
            <v>Sovereign</v>
          </cell>
          <cell r="K342">
            <v>0.11</v>
          </cell>
          <cell r="L342">
            <v>100</v>
          </cell>
          <cell r="M342">
            <v>2000000</v>
          </cell>
          <cell r="N342">
            <v>6.6</v>
          </cell>
        </row>
        <row r="343">
          <cell r="C343" t="str">
            <v>IN002024Z057</v>
          </cell>
          <cell r="D343" t="str">
            <v>364TBL020525</v>
          </cell>
          <cell r="E343" t="str">
            <v>TBL</v>
          </cell>
          <cell r="F343" t="str">
            <v>Govt. of India - GSec / TBL</v>
          </cell>
          <cell r="G343" t="str">
            <v>364 Days - T Bill - 02/05/2025</v>
          </cell>
          <cell r="H343">
            <v>0</v>
          </cell>
          <cell r="I343" t="str">
            <v>02-05-2025</v>
          </cell>
          <cell r="J343" t="str">
            <v>Sovereign</v>
          </cell>
          <cell r="K343">
            <v>0.67</v>
          </cell>
          <cell r="L343">
            <v>100</v>
          </cell>
          <cell r="M343">
            <v>1000000</v>
          </cell>
          <cell r="N343">
            <v>6.7050000000000001</v>
          </cell>
        </row>
        <row r="344">
          <cell r="C344" t="str">
            <v>INF0RQ622028</v>
          </cell>
          <cell r="D344" t="str">
            <v>CDMDF23</v>
          </cell>
          <cell r="E344" t="str">
            <v>CDMDF</v>
          </cell>
          <cell r="F344" t="str">
            <v>Corporate Debt Market Development Fund</v>
          </cell>
          <cell r="G344" t="str">
            <v>Corporate Debt Market Development Fund - Class A2</v>
          </cell>
          <cell r="H344">
            <v>0</v>
          </cell>
          <cell r="K344">
            <v>0</v>
          </cell>
          <cell r="L344">
            <v>10000</v>
          </cell>
          <cell r="M344">
            <v>112.994</v>
          </cell>
          <cell r="N344">
            <v>9.9999999999999995E-7</v>
          </cell>
        </row>
        <row r="345">
          <cell r="C345" t="str">
            <v>IN0020210186</v>
          </cell>
          <cell r="D345" t="str">
            <v>5.74GSEC151126</v>
          </cell>
          <cell r="E345" t="str">
            <v>GSE</v>
          </cell>
          <cell r="F345" t="str">
            <v>Govt. of India - GSec / TBL</v>
          </cell>
          <cell r="G345" t="str">
            <v>5.74% Central Government Securities 15/11/2026</v>
          </cell>
          <cell r="H345">
            <v>5.74</v>
          </cell>
          <cell r="I345" t="str">
            <v>15-11-2026</v>
          </cell>
          <cell r="J345" t="str">
            <v>Sovereign</v>
          </cell>
          <cell r="K345">
            <v>2.0680000000000001</v>
          </cell>
          <cell r="L345">
            <v>100</v>
          </cell>
          <cell r="M345">
            <v>1000000</v>
          </cell>
          <cell r="N345">
            <v>6.8757999999999999</v>
          </cell>
        </row>
        <row r="346">
          <cell r="C346" t="str">
            <v>IN0020230085</v>
          </cell>
          <cell r="D346" t="str">
            <v>7.18GSE140833</v>
          </cell>
          <cell r="E346" t="str">
            <v>GSE</v>
          </cell>
          <cell r="F346" t="str">
            <v>Govt. of India - GSec / TBL</v>
          </cell>
          <cell r="G346" t="str">
            <v>7.18%  Government Securities - 14/08/2033</v>
          </cell>
          <cell r="H346">
            <v>7.18</v>
          </cell>
          <cell r="I346" t="str">
            <v>14-08-2033</v>
          </cell>
          <cell r="J346" t="str">
            <v>Sovereign</v>
          </cell>
          <cell r="K346">
            <v>6.7575000000000003</v>
          </cell>
          <cell r="L346">
            <v>100</v>
          </cell>
          <cell r="M346">
            <v>1500000</v>
          </cell>
          <cell r="N346">
            <v>7.0125000000000002</v>
          </cell>
        </row>
        <row r="347">
          <cell r="C347" t="str">
            <v>IN0020230101</v>
          </cell>
          <cell r="D347" t="str">
            <v>7.37GSE231028</v>
          </cell>
          <cell r="E347" t="str">
            <v>GSE</v>
          </cell>
          <cell r="F347" t="str">
            <v>Govt. of India - GSec / TBL</v>
          </cell>
          <cell r="G347" t="str">
            <v>7.37% Government Securities-23/10/2028</v>
          </cell>
          <cell r="H347">
            <v>7.37</v>
          </cell>
          <cell r="I347" t="str">
            <v>23-10-2028</v>
          </cell>
          <cell r="J347" t="str">
            <v>Sovereign</v>
          </cell>
          <cell r="K347">
            <v>3.5627</v>
          </cell>
          <cell r="L347">
            <v>100</v>
          </cell>
          <cell r="M347">
            <v>500000</v>
          </cell>
          <cell r="N347">
            <v>6.8971999999999998</v>
          </cell>
        </row>
        <row r="348">
          <cell r="C348" t="str">
            <v>IN3120230484</v>
          </cell>
          <cell r="D348" t="str">
            <v>7.44TNSG20034</v>
          </cell>
          <cell r="E348" t="str">
            <v>GSE</v>
          </cell>
          <cell r="F348" t="str">
            <v>Govt. of India - GSec / TBL</v>
          </cell>
          <cell r="G348" t="str">
            <v>7.44% Tamil Nadu State Government Securities -20/03/2034</v>
          </cell>
          <cell r="H348">
            <v>7.44</v>
          </cell>
          <cell r="I348" t="str">
            <v>20-03-2034</v>
          </cell>
          <cell r="J348" t="str">
            <v>Sovereign</v>
          </cell>
          <cell r="K348">
            <v>6.8034999999999997</v>
          </cell>
          <cell r="L348">
            <v>100</v>
          </cell>
          <cell r="M348">
            <v>230000</v>
          </cell>
          <cell r="N348">
            <v>7.3430999999999997</v>
          </cell>
        </row>
        <row r="349">
          <cell r="C349" t="str">
            <v>INE115A07OY6</v>
          </cell>
          <cell r="D349" t="str">
            <v>FILICNC376</v>
          </cell>
          <cell r="E349" t="str">
            <v>NCD</v>
          </cell>
          <cell r="F349" t="str">
            <v>LIC Housing Finance Ltd</v>
          </cell>
          <cell r="G349" t="str">
            <v>5.7760% LIC Housing Finance Ltd NCD MD 11-09-2025</v>
          </cell>
          <cell r="H349">
            <v>5.7759999999999998</v>
          </cell>
          <cell r="I349" t="str">
            <v>11-09-2025</v>
          </cell>
          <cell r="J349" t="str">
            <v>CRISIL AAA</v>
          </cell>
          <cell r="K349">
            <v>0.97170000000000001</v>
          </cell>
          <cell r="L349">
            <v>1000000</v>
          </cell>
          <cell r="M349">
            <v>10</v>
          </cell>
          <cell r="N349">
            <v>7.8550000000000004</v>
          </cell>
        </row>
        <row r="350">
          <cell r="C350" t="str">
            <v>INE233A08121</v>
          </cell>
          <cell r="D350" t="str">
            <v>CH2208BNC200</v>
          </cell>
          <cell r="E350" t="str">
            <v>NCD</v>
          </cell>
          <cell r="F350" t="str">
            <v>Godrej Industries Ltd</v>
          </cell>
          <cell r="G350" t="str">
            <v>8.36% GODREJ INDUSTRIES LTD NCD MD 28-08-2026</v>
          </cell>
          <cell r="H350">
            <v>8.36</v>
          </cell>
          <cell r="I350" t="str">
            <v>28-08-2026</v>
          </cell>
          <cell r="J350" t="str">
            <v>CRISIL AA</v>
          </cell>
          <cell r="K350">
            <v>1.9121999999999999</v>
          </cell>
          <cell r="L350">
            <v>100000</v>
          </cell>
          <cell r="M350">
            <v>100</v>
          </cell>
          <cell r="N350">
            <v>8.2750000000000004</v>
          </cell>
        </row>
        <row r="351">
          <cell r="C351" t="str">
            <v>INE403D08181</v>
          </cell>
          <cell r="D351" t="str">
            <v>UT4825NC200</v>
          </cell>
          <cell r="E351" t="str">
            <v>NCD</v>
          </cell>
          <cell r="F351" t="str">
            <v>Bharti Telecom Ltd</v>
          </cell>
          <cell r="G351" t="str">
            <v>8.90% Bharti Telecom Ltd NCD MD 04-12-2025 SERIES XVI</v>
          </cell>
          <cell r="H351">
            <v>8.9</v>
          </cell>
          <cell r="I351" t="str">
            <v>04-12-2025</v>
          </cell>
          <cell r="J351" t="str">
            <v>CRISIL AA+</v>
          </cell>
          <cell r="K351">
            <v>1.1754</v>
          </cell>
          <cell r="L351">
            <v>100000</v>
          </cell>
          <cell r="M351">
            <v>100</v>
          </cell>
          <cell r="N351">
            <v>8.5</v>
          </cell>
        </row>
        <row r="352">
          <cell r="C352" t="str">
            <v>INE477A07373</v>
          </cell>
          <cell r="D352" t="str">
            <v>FI3427NC200</v>
          </cell>
          <cell r="E352" t="str">
            <v>NCD</v>
          </cell>
          <cell r="F352" t="str">
            <v>Can Fin Homes Ltd</v>
          </cell>
          <cell r="G352" t="str">
            <v>8.45% Can Fin Homes Ltd NCD MD 27-05-2026</v>
          </cell>
          <cell r="H352">
            <v>8.4499999999999993</v>
          </cell>
          <cell r="I352" t="str">
            <v>27-05-2026</v>
          </cell>
          <cell r="J352" t="str">
            <v>IND AA+</v>
          </cell>
          <cell r="K352">
            <v>1.6188</v>
          </cell>
          <cell r="L352">
            <v>100000</v>
          </cell>
          <cell r="M352">
            <v>100</v>
          </cell>
          <cell r="N352">
            <v>8.1793999999999993</v>
          </cell>
        </row>
        <row r="353">
          <cell r="C353" t="str">
            <v>IN002023Z307</v>
          </cell>
          <cell r="D353" t="str">
            <v>364TBL101024</v>
          </cell>
          <cell r="E353" t="str">
            <v>TBL</v>
          </cell>
          <cell r="F353" t="str">
            <v>Govt. of India - GSec / TBL</v>
          </cell>
          <cell r="G353" t="str">
            <v>364 Days-T Bill - 10/10/2024</v>
          </cell>
          <cell r="H353">
            <v>0</v>
          </cell>
          <cell r="I353" t="str">
            <v>10-10-2024</v>
          </cell>
          <cell r="J353" t="str">
            <v>Sovereign</v>
          </cell>
          <cell r="K353">
            <v>0.11</v>
          </cell>
          <cell r="L353">
            <v>100</v>
          </cell>
          <cell r="M353">
            <v>500000</v>
          </cell>
          <cell r="N353">
            <v>6.6</v>
          </cell>
        </row>
        <row r="354">
          <cell r="C354" t="str">
            <v>IN0020220037</v>
          </cell>
          <cell r="D354" t="str">
            <v>7.38GSEC200627</v>
          </cell>
          <cell r="E354" t="str">
            <v>GSE</v>
          </cell>
          <cell r="F354" t="str">
            <v>Govt. of India - GSec / TBL</v>
          </cell>
          <cell r="G354" t="str">
            <v>7.38% Central Government Securities 20/06/2027</v>
          </cell>
          <cell r="H354">
            <v>7.38</v>
          </cell>
          <cell r="I354" t="str">
            <v>20-06-2027</v>
          </cell>
          <cell r="J354" t="str">
            <v>Sovereign</v>
          </cell>
          <cell r="K354">
            <v>2.5507</v>
          </cell>
          <cell r="L354">
            <v>100</v>
          </cell>
          <cell r="M354">
            <v>10500000</v>
          </cell>
          <cell r="N354">
            <v>6.8636999999999997</v>
          </cell>
        </row>
        <row r="355">
          <cell r="C355" t="str">
            <v>IN0020230085</v>
          </cell>
          <cell r="D355" t="str">
            <v>7.18GSE140833</v>
          </cell>
          <cell r="E355" t="str">
            <v>GSE</v>
          </cell>
          <cell r="F355" t="str">
            <v>Govt. of India - GSec / TBL</v>
          </cell>
          <cell r="G355" t="str">
            <v>7.18%  Government Securities - 14/08/2033</v>
          </cell>
          <cell r="H355">
            <v>7.18</v>
          </cell>
          <cell r="I355" t="str">
            <v>14-08-2033</v>
          </cell>
          <cell r="J355" t="str">
            <v>Sovereign</v>
          </cell>
          <cell r="K355">
            <v>6.7575000000000003</v>
          </cell>
          <cell r="L355">
            <v>100</v>
          </cell>
          <cell r="M355">
            <v>3500000</v>
          </cell>
          <cell r="N355">
            <v>7.0125000000000002</v>
          </cell>
        </row>
        <row r="356">
          <cell r="C356" t="str">
            <v>IN0020230101</v>
          </cell>
          <cell r="D356" t="str">
            <v>7.37GSE231028</v>
          </cell>
          <cell r="E356" t="str">
            <v>GSE</v>
          </cell>
          <cell r="F356" t="str">
            <v>Govt. of India - GSec / TBL</v>
          </cell>
          <cell r="G356" t="str">
            <v>7.37% Government Securities-23/10/2028</v>
          </cell>
          <cell r="H356">
            <v>7.37</v>
          </cell>
          <cell r="I356" t="str">
            <v>23-10-2028</v>
          </cell>
          <cell r="J356" t="str">
            <v>Sovereign</v>
          </cell>
          <cell r="K356">
            <v>3.5627</v>
          </cell>
          <cell r="L356">
            <v>100</v>
          </cell>
          <cell r="M356">
            <v>500000</v>
          </cell>
          <cell r="N356">
            <v>6.8971999999999998</v>
          </cell>
        </row>
        <row r="357">
          <cell r="C357" t="str">
            <v>IN0020230119</v>
          </cell>
          <cell r="D357" t="str">
            <v>7.33GSE301026</v>
          </cell>
          <cell r="E357" t="str">
            <v>GSE</v>
          </cell>
          <cell r="F357" t="str">
            <v>Govt. of India - GSec / TBL</v>
          </cell>
          <cell r="G357" t="str">
            <v>7.33% Government Securities-30/10/2026</v>
          </cell>
          <cell r="H357">
            <v>7.33</v>
          </cell>
          <cell r="I357" t="str">
            <v>30-10-2026</v>
          </cell>
          <cell r="J357" t="str">
            <v>Sovereign</v>
          </cell>
          <cell r="K357">
            <v>1.9944999999999999</v>
          </cell>
          <cell r="L357">
            <v>100</v>
          </cell>
          <cell r="M357">
            <v>5500000</v>
          </cell>
          <cell r="N357">
            <v>6.8635999999999999</v>
          </cell>
        </row>
        <row r="358">
          <cell r="C358" t="str">
            <v>IN0020230135</v>
          </cell>
          <cell r="D358" t="str">
            <v>7.32GSE131130</v>
          </cell>
          <cell r="E358" t="str">
            <v>GSE</v>
          </cell>
          <cell r="F358" t="str">
            <v>Govt. of India - GSec / TBL</v>
          </cell>
          <cell r="G358" t="str">
            <v>7.32% Government Securities-13/11/2030</v>
          </cell>
          <cell r="H358">
            <v>7.32</v>
          </cell>
          <cell r="I358" t="str">
            <v>13-11-2030</v>
          </cell>
          <cell r="J358" t="str">
            <v>Sovereign</v>
          </cell>
          <cell r="K358">
            <v>5.0045000000000002</v>
          </cell>
          <cell r="L358">
            <v>100</v>
          </cell>
          <cell r="M358">
            <v>3000000</v>
          </cell>
          <cell r="N358">
            <v>6.9383999999999997</v>
          </cell>
        </row>
        <row r="359">
          <cell r="C359" t="str">
            <v>IN0020240019</v>
          </cell>
          <cell r="D359" t="str">
            <v>7.10GSE080434</v>
          </cell>
          <cell r="E359" t="str">
            <v>GSE</v>
          </cell>
          <cell r="F359" t="str">
            <v>Govt. of India - GSec / TBL</v>
          </cell>
          <cell r="G359" t="str">
            <v>7.10% Central Government Securities 08/04/2034</v>
          </cell>
          <cell r="H359">
            <v>7.1</v>
          </cell>
          <cell r="I359" t="str">
            <v>08-04-2034</v>
          </cell>
          <cell r="J359" t="str">
            <v>Sovereign</v>
          </cell>
          <cell r="K359">
            <v>6.9535999999999998</v>
          </cell>
          <cell r="L359">
            <v>100</v>
          </cell>
          <cell r="M359">
            <v>500000</v>
          </cell>
          <cell r="N359">
            <v>6.9809000000000001</v>
          </cell>
        </row>
        <row r="360">
          <cell r="C360" t="str">
            <v>INF0RQ622028</v>
          </cell>
          <cell r="D360" t="str">
            <v>CDMDF23</v>
          </cell>
          <cell r="E360" t="str">
            <v>CDMDF</v>
          </cell>
          <cell r="F360" t="str">
            <v>Corporate Debt Market Development Fund</v>
          </cell>
          <cell r="G360" t="str">
            <v>Corporate Debt Market Development Fund - Class A2</v>
          </cell>
          <cell r="H360">
            <v>0</v>
          </cell>
          <cell r="K360">
            <v>0</v>
          </cell>
          <cell r="L360">
            <v>10000</v>
          </cell>
          <cell r="M360">
            <v>76.796000000000006</v>
          </cell>
          <cell r="N360">
            <v>9.9999999999999995E-7</v>
          </cell>
        </row>
        <row r="361">
          <cell r="C361" t="str">
            <v>IN0020230051</v>
          </cell>
          <cell r="D361" t="str">
            <v>7.30GSE190653</v>
          </cell>
          <cell r="E361" t="str">
            <v>GSE</v>
          </cell>
          <cell r="F361" t="str">
            <v>Govt. of India - GSec / TBL</v>
          </cell>
          <cell r="G361" t="str">
            <v>7.30% Government Securities - 19/06/2053</v>
          </cell>
          <cell r="H361">
            <v>7.3</v>
          </cell>
          <cell r="I361" t="str">
            <v>19-06-2053</v>
          </cell>
          <cell r="J361" t="str">
            <v>Sovereign</v>
          </cell>
          <cell r="K361">
            <v>12.4847</v>
          </cell>
          <cell r="L361">
            <v>100</v>
          </cell>
          <cell r="M361">
            <v>500000</v>
          </cell>
          <cell r="N361">
            <v>7.1218000000000004</v>
          </cell>
        </row>
        <row r="362">
          <cell r="C362" t="str">
            <v>IN0020230085</v>
          </cell>
          <cell r="D362" t="str">
            <v>7.18GSE140833</v>
          </cell>
          <cell r="E362" t="str">
            <v>GSE</v>
          </cell>
          <cell r="F362" t="str">
            <v>Govt. of India - GSec / TBL</v>
          </cell>
          <cell r="G362" t="str">
            <v>7.18%  Government Securities - 14/08/2033</v>
          </cell>
          <cell r="H362">
            <v>7.18</v>
          </cell>
          <cell r="I362" t="str">
            <v>14-08-2033</v>
          </cell>
          <cell r="J362" t="str">
            <v>Sovereign</v>
          </cell>
          <cell r="K362">
            <v>6.7575000000000003</v>
          </cell>
          <cell r="L362">
            <v>100</v>
          </cell>
          <cell r="M362">
            <v>1100000</v>
          </cell>
          <cell r="N362">
            <v>7.0125000000000002</v>
          </cell>
        </row>
        <row r="363">
          <cell r="C363" t="str">
            <v>IN002023Y516</v>
          </cell>
          <cell r="D363" t="str">
            <v>182TBL050924</v>
          </cell>
          <cell r="E363" t="str">
            <v>TBL</v>
          </cell>
          <cell r="F363" t="str">
            <v>Govt. of India - GSec / TBL</v>
          </cell>
          <cell r="G363" t="str">
            <v>182 Days- T Bill-05/09/2024</v>
          </cell>
          <cell r="H363">
            <v>0</v>
          </cell>
          <cell r="I363" t="str">
            <v>05-09-2024</v>
          </cell>
          <cell r="J363" t="str">
            <v>Sovereign</v>
          </cell>
          <cell r="K363">
            <v>0.01</v>
          </cell>
          <cell r="L363">
            <v>100</v>
          </cell>
          <cell r="M363">
            <v>2000000</v>
          </cell>
          <cell r="N363">
            <v>6.5270999999999999</v>
          </cell>
        </row>
        <row r="364">
          <cell r="C364" t="str">
            <v>IN002023Y524</v>
          </cell>
          <cell r="D364" t="str">
            <v>182TBL120924</v>
          </cell>
          <cell r="E364" t="str">
            <v>TBL</v>
          </cell>
          <cell r="F364" t="str">
            <v>Govt. of India - GSec / TBL</v>
          </cell>
          <cell r="G364" t="str">
            <v>182 Days - T Bill - 12/09/2024</v>
          </cell>
          <cell r="H364">
            <v>0</v>
          </cell>
          <cell r="I364" t="str">
            <v>12-09-2024</v>
          </cell>
          <cell r="J364" t="str">
            <v>Sovereign</v>
          </cell>
          <cell r="K364">
            <v>0.03</v>
          </cell>
          <cell r="L364">
            <v>100</v>
          </cell>
          <cell r="M364">
            <v>1000000</v>
          </cell>
          <cell r="N364">
            <v>6.5346000000000002</v>
          </cell>
        </row>
        <row r="365">
          <cell r="C365" t="str">
            <v>IN002023Y540</v>
          </cell>
          <cell r="D365" t="str">
            <v>182TBL260924</v>
          </cell>
          <cell r="E365" t="str">
            <v>TBL</v>
          </cell>
          <cell r="F365" t="str">
            <v>Govt. of India - GSec / TBL</v>
          </cell>
          <cell r="G365" t="str">
            <v>182 Days - T Bill - 26/09/2024</v>
          </cell>
          <cell r="H365">
            <v>0</v>
          </cell>
          <cell r="I365" t="str">
            <v>26-09-2024</v>
          </cell>
          <cell r="J365" t="str">
            <v>Sovereign</v>
          </cell>
          <cell r="K365">
            <v>7.0000000000000007E-2</v>
          </cell>
          <cell r="L365">
            <v>100</v>
          </cell>
          <cell r="M365">
            <v>1000000</v>
          </cell>
          <cell r="N365">
            <v>6.55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73514-2B40-452C-A0E5-5E4C3B421556}">
  <dimension ref="A1:C31"/>
  <sheetViews>
    <sheetView tabSelected="1" zoomScale="110" zoomScaleNormal="110" workbookViewId="0">
      <pane ySplit="1" topLeftCell="A2" activePane="bottomLeft" state="frozen"/>
      <selection pane="bottomLeft"/>
    </sheetView>
  </sheetViews>
  <sheetFormatPr defaultColWidth="9.140625" defaultRowHeight="15" x14ac:dyDescent="0.25"/>
  <cols>
    <col min="1" max="1" width="6.140625" style="10" bestFit="1" customWidth="1"/>
    <col min="2" max="2" width="10.42578125" style="10" bestFit="1" customWidth="1"/>
    <col min="3" max="3" width="56.85546875" style="10" bestFit="1" customWidth="1"/>
    <col min="4" max="16384" width="9.140625" style="10"/>
  </cols>
  <sheetData>
    <row r="1" spans="1:3" x14ac:dyDescent="0.25">
      <c r="A1" s="9" t="s">
        <v>871</v>
      </c>
      <c r="B1" s="9" t="s">
        <v>872</v>
      </c>
      <c r="C1" s="9" t="s">
        <v>873</v>
      </c>
    </row>
    <row r="2" spans="1:3" x14ac:dyDescent="0.25">
      <c r="A2" s="11">
        <v>1</v>
      </c>
      <c r="B2" s="12" t="s">
        <v>874</v>
      </c>
      <c r="C2" s="13" t="s">
        <v>1</v>
      </c>
    </row>
    <row r="3" spans="1:3" x14ac:dyDescent="0.25">
      <c r="A3" s="11">
        <v>2</v>
      </c>
      <c r="B3" s="12" t="s">
        <v>875</v>
      </c>
      <c r="C3" s="13" t="s">
        <v>848</v>
      </c>
    </row>
    <row r="4" spans="1:3" x14ac:dyDescent="0.25">
      <c r="A4" s="11">
        <v>3</v>
      </c>
      <c r="B4" s="12" t="s">
        <v>876</v>
      </c>
      <c r="C4" s="13" t="s">
        <v>193</v>
      </c>
    </row>
    <row r="5" spans="1:3" x14ac:dyDescent="0.25">
      <c r="A5" s="11">
        <v>4</v>
      </c>
      <c r="B5" s="12" t="s">
        <v>877</v>
      </c>
      <c r="C5" s="13" t="s">
        <v>878</v>
      </c>
    </row>
    <row r="6" spans="1:3" x14ac:dyDescent="0.25">
      <c r="A6" s="11">
        <v>5</v>
      </c>
      <c r="B6" s="12" t="s">
        <v>879</v>
      </c>
      <c r="C6" s="13" t="s">
        <v>880</v>
      </c>
    </row>
    <row r="7" spans="1:3" x14ac:dyDescent="0.25">
      <c r="A7" s="11">
        <v>6</v>
      </c>
      <c r="B7" s="12" t="s">
        <v>881</v>
      </c>
      <c r="C7" s="13" t="s">
        <v>882</v>
      </c>
    </row>
    <row r="8" spans="1:3" x14ac:dyDescent="0.25">
      <c r="A8" s="11">
        <v>7</v>
      </c>
      <c r="B8" s="12" t="s">
        <v>883</v>
      </c>
      <c r="C8" s="13" t="s">
        <v>884</v>
      </c>
    </row>
    <row r="9" spans="1:3" x14ac:dyDescent="0.25">
      <c r="A9" s="11">
        <v>8</v>
      </c>
      <c r="B9" s="12" t="s">
        <v>885</v>
      </c>
      <c r="C9" s="13" t="s">
        <v>886</v>
      </c>
    </row>
    <row r="10" spans="1:3" x14ac:dyDescent="0.25">
      <c r="A10" s="11">
        <v>9</v>
      </c>
      <c r="B10" s="12" t="s">
        <v>887</v>
      </c>
      <c r="C10" s="13" t="s">
        <v>483</v>
      </c>
    </row>
    <row r="11" spans="1:3" x14ac:dyDescent="0.25">
      <c r="A11" s="11">
        <v>10</v>
      </c>
      <c r="B11" s="12" t="s">
        <v>888</v>
      </c>
      <c r="C11" s="13" t="s">
        <v>486</v>
      </c>
    </row>
    <row r="12" spans="1:3" x14ac:dyDescent="0.25">
      <c r="A12" s="11">
        <v>11</v>
      </c>
      <c r="B12" s="12" t="s">
        <v>889</v>
      </c>
      <c r="C12" s="13" t="s">
        <v>487</v>
      </c>
    </row>
    <row r="13" spans="1:3" x14ac:dyDescent="0.25">
      <c r="A13" s="11">
        <v>12</v>
      </c>
      <c r="B13" s="12" t="s">
        <v>890</v>
      </c>
      <c r="C13" s="13" t="s">
        <v>488</v>
      </c>
    </row>
    <row r="14" spans="1:3" x14ac:dyDescent="0.25">
      <c r="A14" s="11">
        <v>13</v>
      </c>
      <c r="B14" s="12" t="s">
        <v>891</v>
      </c>
      <c r="C14" s="13" t="s">
        <v>489</v>
      </c>
    </row>
    <row r="15" spans="1:3" x14ac:dyDescent="0.25">
      <c r="A15" s="11">
        <v>14</v>
      </c>
      <c r="B15" s="12" t="s">
        <v>892</v>
      </c>
      <c r="C15" s="13" t="s">
        <v>543</v>
      </c>
    </row>
    <row r="16" spans="1:3" x14ac:dyDescent="0.25">
      <c r="A16" s="11">
        <v>15</v>
      </c>
      <c r="B16" s="12" t="s">
        <v>893</v>
      </c>
      <c r="C16" s="13" t="s">
        <v>894</v>
      </c>
    </row>
    <row r="17" spans="1:3" x14ac:dyDescent="0.25">
      <c r="A17" s="11">
        <v>16</v>
      </c>
      <c r="B17" s="12" t="s">
        <v>895</v>
      </c>
      <c r="C17" s="13" t="s">
        <v>667</v>
      </c>
    </row>
    <row r="18" spans="1:3" x14ac:dyDescent="0.25">
      <c r="A18" s="11">
        <v>17</v>
      </c>
      <c r="B18" s="12" t="s">
        <v>896</v>
      </c>
      <c r="C18" s="13" t="s">
        <v>1061</v>
      </c>
    </row>
    <row r="19" spans="1:3" x14ac:dyDescent="0.25">
      <c r="A19" s="11">
        <v>18</v>
      </c>
      <c r="B19" s="12" t="s">
        <v>897</v>
      </c>
      <c r="C19" s="13" t="s">
        <v>695</v>
      </c>
    </row>
    <row r="20" spans="1:3" x14ac:dyDescent="0.25">
      <c r="A20" s="11">
        <v>19</v>
      </c>
      <c r="B20" s="12" t="s">
        <v>898</v>
      </c>
      <c r="C20" s="13" t="s">
        <v>899</v>
      </c>
    </row>
    <row r="21" spans="1:3" x14ac:dyDescent="0.25">
      <c r="A21" s="11">
        <v>20</v>
      </c>
      <c r="B21" s="12" t="s">
        <v>900</v>
      </c>
      <c r="C21" s="13" t="s">
        <v>724</v>
      </c>
    </row>
    <row r="22" spans="1:3" x14ac:dyDescent="0.25">
      <c r="A22" s="11">
        <v>21</v>
      </c>
      <c r="B22" s="12" t="s">
        <v>901</v>
      </c>
      <c r="C22" s="13" t="s">
        <v>902</v>
      </c>
    </row>
    <row r="23" spans="1:3" x14ac:dyDescent="0.25">
      <c r="A23" s="11">
        <v>22</v>
      </c>
      <c r="B23" s="12" t="s">
        <v>903</v>
      </c>
      <c r="C23" s="13" t="s">
        <v>791</v>
      </c>
    </row>
    <row r="24" spans="1:3" x14ac:dyDescent="0.25">
      <c r="A24" s="11">
        <v>23</v>
      </c>
      <c r="B24" s="12" t="s">
        <v>904</v>
      </c>
      <c r="C24" s="13" t="s">
        <v>802</v>
      </c>
    </row>
    <row r="25" spans="1:3" x14ac:dyDescent="0.25">
      <c r="A25" s="11">
        <v>24</v>
      </c>
      <c r="B25" s="12" t="s">
        <v>905</v>
      </c>
      <c r="C25" s="13" t="s">
        <v>809</v>
      </c>
    </row>
    <row r="26" spans="1:3" x14ac:dyDescent="0.25">
      <c r="A26" s="11">
        <v>25</v>
      </c>
      <c r="B26" s="12" t="s">
        <v>906</v>
      </c>
      <c r="C26" s="13" t="s">
        <v>815</v>
      </c>
    </row>
    <row r="27" spans="1:3" x14ac:dyDescent="0.25">
      <c r="A27" s="11">
        <v>26</v>
      </c>
      <c r="B27" s="12" t="s">
        <v>907</v>
      </c>
      <c r="C27" s="13" t="s">
        <v>816</v>
      </c>
    </row>
    <row r="28" spans="1:3" x14ac:dyDescent="0.25">
      <c r="A28" s="11">
        <v>27</v>
      </c>
      <c r="B28" s="12" t="s">
        <v>908</v>
      </c>
      <c r="C28" s="13" t="s">
        <v>832</v>
      </c>
    </row>
    <row r="29" spans="1:3" x14ac:dyDescent="0.25">
      <c r="A29" s="11">
        <v>28</v>
      </c>
      <c r="B29" s="12" t="s">
        <v>909</v>
      </c>
      <c r="C29" s="13" t="s">
        <v>835</v>
      </c>
    </row>
    <row r="30" spans="1:3" x14ac:dyDescent="0.25">
      <c r="A30" s="11">
        <v>29</v>
      </c>
      <c r="B30" s="12" t="s">
        <v>910</v>
      </c>
      <c r="C30" s="13" t="s">
        <v>837</v>
      </c>
    </row>
    <row r="31" spans="1:3" x14ac:dyDescent="0.25">
      <c r="A31" s="11">
        <v>30</v>
      </c>
      <c r="B31" s="14" t="s">
        <v>911</v>
      </c>
      <c r="C31" s="13" t="s">
        <v>819</v>
      </c>
    </row>
  </sheetData>
  <hyperlinks>
    <hyperlink ref="B4" location="MIDCAP!A1" display="MIDCAP" xr:uid="{C17175F8-D5D5-47E1-BD39-B8F371C63A5E}"/>
    <hyperlink ref="B5" location="MULTIP!A1" display="MULTIP" xr:uid="{A1AEF91C-CC4A-48C3-85B1-6D6B7F80444E}"/>
    <hyperlink ref="B6" location="SLTADV3!A1" display="SLTADV3" xr:uid="{06B04E85-CE6A-45F6-B923-226B929C3694}"/>
    <hyperlink ref="B7" location="SLTADV4!A1" display="SLTADV4" xr:uid="{24CE63C1-8668-48B2-829B-3A42CF3C3791}"/>
    <hyperlink ref="B8" location="SLTAX1!A1" display="SLTAX1" xr:uid="{447AFBEF-8FCE-4D80-AA2A-3D14AD8A2646}"/>
    <hyperlink ref="B9" location="SLTAX2!A1" display="SLTAX2" xr:uid="{10C9218A-E927-4CAB-939C-4CA18C352A05}"/>
    <hyperlink ref="B10" location="SLTAX3!A1" display="SLTAX3" xr:uid="{43AD9CAC-15A1-42D1-8567-44A2D71C043B}"/>
    <hyperlink ref="B11" location="SLTAX4!A1" display="SLTAX4" xr:uid="{39FDD707-DA06-462C-884E-8E42348D308E}"/>
    <hyperlink ref="B12" location="SLTAX5!A1" display="SLTAX5" xr:uid="{476CE71B-2B40-439D-9B85-C7A175D3BD83}"/>
    <hyperlink ref="B13" location="SLTAX6!A1" display="SLTAX6" xr:uid="{AFBF44E3-94AB-4444-B6E5-7365BDC13B25}"/>
    <hyperlink ref="B14" location="SMILE!A1" display="SMILE" xr:uid="{65B65B42-9B6B-4B57-8A64-968BD044B5E8}"/>
    <hyperlink ref="B15" location="SPAHF!A1" display="SPAHF" xr:uid="{34CCD784-20C9-442A-B2F3-884E6B40BC73}"/>
    <hyperlink ref="B16" location="SPARF!A1" display="SPARF" xr:uid="{F107E2C8-1C52-46BB-9CED-04FBEA743E56}"/>
    <hyperlink ref="B17" location="SPBAF!A1" display="SPBAF" xr:uid="{962720A8-5709-4F17-9332-DD4E6C16D480}"/>
    <hyperlink ref="B19" location="SPESF!A1" display="SPESF" xr:uid="{EA20F0B5-DB29-47B3-9BFD-84D8BC68A5E0}"/>
    <hyperlink ref="B20" location="SPFOCUS!A1" display="SPFOCUS" xr:uid="{F553A432-F0B3-4E36-863C-521831966B61}"/>
    <hyperlink ref="B21" location="SPMUCF!A1" display="SPMUCF" xr:uid="{951D6C49-B123-4481-BD68-A398B2A4EB16}"/>
    <hyperlink ref="B22" location="SPSN100!A1" display="SPSN100" xr:uid="{F64A2031-9AB3-4958-9D3B-248871B08B56}"/>
    <hyperlink ref="B23" location="SPTAX!A1" display="SPTAX" xr:uid="{7FED8978-BE77-401D-AFA5-22AB7A1D352C}"/>
    <hyperlink ref="B24" location="SRURAL!A1" display="SRURAL" xr:uid="{07CEFA13-EAE9-4A14-B727-424296902035}"/>
    <hyperlink ref="B25" location="SSFUND!A1" display="SSFUND" xr:uid="{5E421CE8-AC1E-4D1D-9761-E1A30FC46024}"/>
    <hyperlink ref="B26" location="STAX!A1" display="STAX" xr:uid="{058542A8-76DC-4FB9-BA5F-3D6C5A13AFB9}"/>
    <hyperlink ref="B27" location="SUNBCF!A1" display="SUNBCF" xr:uid="{6C42B2C0-C713-4389-8438-BF84F1C78BD2}"/>
    <hyperlink ref="B29" location="SUNFOP!A1" display="SUNFOP" xr:uid="{CE3FB466-123B-4D68-9DC3-A521D4C1137C}"/>
    <hyperlink ref="B3" location="GLOB!A1" display="GLOB" xr:uid="{55E67F43-838E-4BFE-B504-B31EC01119B4}"/>
    <hyperlink ref="B28" location="SUNFCF!A1" display="SUNFCF" xr:uid="{7A3E5D88-D12D-425B-9995-9F8CA22FB655}"/>
    <hyperlink ref="B18" location="SPDYF!A1" display="SPDYF" xr:uid="{08F9D1E5-259C-4C0C-BD01-F2D02F383479}"/>
    <hyperlink ref="B30" location="SUNMAF!A1" display="SUNMAF" xr:uid="{27DC9D9F-1A77-4C29-BFC0-3550933569F7}"/>
    <hyperlink ref="B2" location="CAPEXG!A1" display="CAPEXG" xr:uid="{578F8E3E-0AEC-46D6-8FD0-31B2DE0E0529}"/>
    <hyperlink ref="B31" location="SUNCYF!A1" display="SUNCYF" xr:uid="{F2A3C137-BFF8-4B21-B66B-8ECDA78214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BF01A-4AE2-4A69-A238-52F4F56C4045}">
  <sheetPr>
    <outlinePr summaryBelow="0" summaryRight="0"/>
  </sheetPr>
  <dimension ref="A1:Q155"/>
  <sheetViews>
    <sheetView showGridLines="0" workbookViewId="0">
      <selection sqref="A1:H1"/>
    </sheetView>
  </sheetViews>
  <sheetFormatPr defaultRowHeight="12.75" x14ac:dyDescent="0.2"/>
  <cols>
    <col min="1" max="1" width="5.85546875" bestFit="1" customWidth="1"/>
    <col min="2" max="2" width="19.7109375" bestFit="1" customWidth="1"/>
    <col min="3" max="3" width="39.140625" bestFit="1" customWidth="1"/>
    <col min="4" max="4" width="23.42578125" customWidth="1"/>
    <col min="5" max="5" width="8.7109375" bestFit="1" customWidth="1"/>
    <col min="6" max="6" width="10.140625" bestFit="1" customWidth="1"/>
    <col min="7" max="7" width="14" bestFit="1" customWidth="1"/>
    <col min="8" max="8" width="8.42578125" bestFit="1" customWidth="1"/>
    <col min="9" max="9" width="5.7109375" bestFit="1" customWidth="1"/>
    <col min="10" max="10" width="50.7109375" style="8" customWidth="1"/>
  </cols>
  <sheetData>
    <row r="1" spans="1:10" ht="15" x14ac:dyDescent="0.2">
      <c r="A1" s="225" t="s">
        <v>0</v>
      </c>
      <c r="B1" s="225"/>
      <c r="C1" s="225"/>
      <c r="D1" s="225"/>
      <c r="E1" s="225"/>
      <c r="F1" s="225"/>
      <c r="G1" s="225"/>
      <c r="H1" s="225"/>
      <c r="I1" s="6" t="s">
        <v>913</v>
      </c>
      <c r="J1" s="2"/>
    </row>
    <row r="2" spans="1:10" ht="15" x14ac:dyDescent="0.2">
      <c r="A2" s="225" t="s">
        <v>1</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x14ac:dyDescent="0.2">
      <c r="A6" s="120"/>
      <c r="B6" s="120"/>
      <c r="C6" s="121" t="s">
        <v>10</v>
      </c>
      <c r="D6" s="120"/>
      <c r="E6" s="120"/>
      <c r="F6" s="120"/>
      <c r="G6" s="120"/>
      <c r="H6" s="122" t="s">
        <v>153</v>
      </c>
      <c r="J6" s="2"/>
    </row>
    <row r="7" spans="1:10" x14ac:dyDescent="0.2">
      <c r="A7" s="123">
        <v>1</v>
      </c>
      <c r="B7" s="124" t="s">
        <v>11</v>
      </c>
      <c r="C7" s="124" t="s">
        <v>12</v>
      </c>
      <c r="D7" s="124" t="s">
        <v>13</v>
      </c>
      <c r="E7" s="125">
        <v>205000</v>
      </c>
      <c r="F7" s="126">
        <v>7594.5325000000003</v>
      </c>
      <c r="G7" s="127">
        <v>7.2115209999999999E-2</v>
      </c>
      <c r="H7" s="122" t="s">
        <v>153</v>
      </c>
      <c r="J7" s="2"/>
    </row>
    <row r="8" spans="1:10" x14ac:dyDescent="0.2">
      <c r="A8" s="123">
        <v>2</v>
      </c>
      <c r="B8" s="124" t="s">
        <v>14</v>
      </c>
      <c r="C8" s="124" t="s">
        <v>15</v>
      </c>
      <c r="D8" s="124" t="s">
        <v>16</v>
      </c>
      <c r="E8" s="125">
        <v>425000</v>
      </c>
      <c r="F8" s="126">
        <v>6753.4624999999996</v>
      </c>
      <c r="G8" s="127">
        <v>6.4128690000000002E-2</v>
      </c>
      <c r="H8" s="122" t="s">
        <v>153</v>
      </c>
      <c r="J8" s="2"/>
    </row>
    <row r="9" spans="1:10" x14ac:dyDescent="0.2">
      <c r="A9" s="123">
        <v>3</v>
      </c>
      <c r="B9" s="124" t="s">
        <v>17</v>
      </c>
      <c r="C9" s="124" t="s">
        <v>18</v>
      </c>
      <c r="D9" s="124" t="s">
        <v>19</v>
      </c>
      <c r="E9" s="125">
        <v>1540000</v>
      </c>
      <c r="F9" s="126">
        <v>6409.48</v>
      </c>
      <c r="G9" s="127">
        <v>6.0862340000000001E-2</v>
      </c>
      <c r="H9" s="122" t="s">
        <v>153</v>
      </c>
      <c r="J9" s="2"/>
    </row>
    <row r="10" spans="1:10" x14ac:dyDescent="0.2">
      <c r="A10" s="123">
        <v>4</v>
      </c>
      <c r="B10" s="124" t="s">
        <v>20</v>
      </c>
      <c r="C10" s="124" t="s">
        <v>21</v>
      </c>
      <c r="D10" s="124" t="s">
        <v>22</v>
      </c>
      <c r="E10" s="125">
        <v>206000</v>
      </c>
      <c r="F10" s="126">
        <v>6219.6549999999997</v>
      </c>
      <c r="G10" s="127">
        <v>5.9059819999999999E-2</v>
      </c>
      <c r="H10" s="122" t="s">
        <v>153</v>
      </c>
      <c r="J10" s="2"/>
    </row>
    <row r="11" spans="1:10" x14ac:dyDescent="0.2">
      <c r="A11" s="123">
        <v>5</v>
      </c>
      <c r="B11" s="124" t="s">
        <v>23</v>
      </c>
      <c r="C11" s="124" t="s">
        <v>24</v>
      </c>
      <c r="D11" s="124" t="s">
        <v>25</v>
      </c>
      <c r="E11" s="125">
        <v>32000</v>
      </c>
      <c r="F11" s="126">
        <v>3616.6080000000002</v>
      </c>
      <c r="G11" s="127">
        <v>3.4342129999999998E-2</v>
      </c>
      <c r="H11" s="122" t="s">
        <v>153</v>
      </c>
      <c r="J11" s="2"/>
    </row>
    <row r="12" spans="1:10" ht="15" x14ac:dyDescent="0.2">
      <c r="A12" s="123">
        <v>6</v>
      </c>
      <c r="B12" s="124" t="s">
        <v>26</v>
      </c>
      <c r="C12" s="124" t="s">
        <v>27</v>
      </c>
      <c r="D12" s="124" t="s">
        <v>19</v>
      </c>
      <c r="E12" s="125">
        <v>750000</v>
      </c>
      <c r="F12" s="126">
        <v>2530.5</v>
      </c>
      <c r="G12" s="127">
        <v>2.4028810000000001E-2</v>
      </c>
      <c r="H12" s="122" t="s">
        <v>153</v>
      </c>
      <c r="J12" s="7"/>
    </row>
    <row r="13" spans="1:10" x14ac:dyDescent="0.2">
      <c r="A13" s="123">
        <v>7</v>
      </c>
      <c r="B13" s="124" t="s">
        <v>28</v>
      </c>
      <c r="C13" s="124" t="s">
        <v>29</v>
      </c>
      <c r="D13" s="124" t="s">
        <v>22</v>
      </c>
      <c r="E13" s="125">
        <v>575000</v>
      </c>
      <c r="F13" s="126">
        <v>2056.4875000000002</v>
      </c>
      <c r="G13" s="127">
        <v>1.9527739999999998E-2</v>
      </c>
      <c r="H13" s="122" t="s">
        <v>153</v>
      </c>
      <c r="J13" s="2"/>
    </row>
    <row r="14" spans="1:10" x14ac:dyDescent="0.2">
      <c r="A14" s="123">
        <v>8</v>
      </c>
      <c r="B14" s="124" t="s">
        <v>30</v>
      </c>
      <c r="C14" s="124" t="s">
        <v>31</v>
      </c>
      <c r="D14" s="124" t="s">
        <v>32</v>
      </c>
      <c r="E14" s="125">
        <v>650000</v>
      </c>
      <c r="F14" s="126">
        <v>1945.45</v>
      </c>
      <c r="G14" s="127">
        <v>1.8473360000000001E-2</v>
      </c>
      <c r="H14" s="122" t="s">
        <v>153</v>
      </c>
      <c r="J14" s="2"/>
    </row>
    <row r="15" spans="1:10" x14ac:dyDescent="0.2">
      <c r="A15" s="123">
        <v>9</v>
      </c>
      <c r="B15" s="124" t="s">
        <v>33</v>
      </c>
      <c r="C15" s="124" t="s">
        <v>34</v>
      </c>
      <c r="D15" s="124" t="s">
        <v>35</v>
      </c>
      <c r="E15" s="125">
        <v>208250</v>
      </c>
      <c r="F15" s="126">
        <v>1933.6012499999999</v>
      </c>
      <c r="G15" s="127">
        <v>1.8360850000000001E-2</v>
      </c>
      <c r="H15" s="122" t="s">
        <v>153</v>
      </c>
      <c r="J15" s="2" t="s">
        <v>916</v>
      </c>
    </row>
    <row r="16" spans="1:10" x14ac:dyDescent="0.2">
      <c r="A16" s="123">
        <v>10</v>
      </c>
      <c r="B16" s="124" t="s">
        <v>36</v>
      </c>
      <c r="C16" s="124" t="s">
        <v>37</v>
      </c>
      <c r="D16" s="124" t="s">
        <v>38</v>
      </c>
      <c r="E16" s="125">
        <v>580000</v>
      </c>
      <c r="F16" s="126">
        <v>1918.35</v>
      </c>
      <c r="G16" s="127">
        <v>1.8216030000000001E-2</v>
      </c>
      <c r="H16" s="122" t="s">
        <v>153</v>
      </c>
      <c r="J16" s="2"/>
    </row>
    <row r="17" spans="1:10" x14ac:dyDescent="0.2">
      <c r="A17" s="123">
        <v>11</v>
      </c>
      <c r="B17" s="124" t="s">
        <v>39</v>
      </c>
      <c r="C17" s="124" t="s">
        <v>40</v>
      </c>
      <c r="D17" s="124" t="s">
        <v>35</v>
      </c>
      <c r="E17" s="125">
        <v>31400</v>
      </c>
      <c r="F17" s="126">
        <v>1896.1831999999999</v>
      </c>
      <c r="G17" s="127">
        <v>1.800554E-2</v>
      </c>
      <c r="H17" s="122" t="s">
        <v>153</v>
      </c>
      <c r="J17" s="2"/>
    </row>
    <row r="18" spans="1:10" x14ac:dyDescent="0.2">
      <c r="A18" s="123">
        <v>12</v>
      </c>
      <c r="B18" s="124" t="s">
        <v>41</v>
      </c>
      <c r="C18" s="124" t="s">
        <v>42</v>
      </c>
      <c r="D18" s="124" t="s">
        <v>16</v>
      </c>
      <c r="E18" s="125">
        <v>140000</v>
      </c>
      <c r="F18" s="126">
        <v>1752.87</v>
      </c>
      <c r="G18" s="127">
        <v>1.6644679999999999E-2</v>
      </c>
      <c r="H18" s="122" t="s">
        <v>153</v>
      </c>
      <c r="J18" s="2"/>
    </row>
    <row r="19" spans="1:10" x14ac:dyDescent="0.2">
      <c r="A19" s="123">
        <v>13</v>
      </c>
      <c r="B19" s="124" t="s">
        <v>43</v>
      </c>
      <c r="C19" s="124" t="s">
        <v>44</v>
      </c>
      <c r="D19" s="124" t="s">
        <v>45</v>
      </c>
      <c r="E19" s="125">
        <v>38000</v>
      </c>
      <c r="F19" s="126">
        <v>1697.5740000000001</v>
      </c>
      <c r="G19" s="127">
        <v>1.6119609999999999E-2</v>
      </c>
      <c r="H19" s="122" t="s">
        <v>153</v>
      </c>
      <c r="J19" s="2"/>
    </row>
    <row r="20" spans="1:10" x14ac:dyDescent="0.2">
      <c r="A20" s="123">
        <v>14</v>
      </c>
      <c r="B20" s="124" t="s">
        <v>46</v>
      </c>
      <c r="C20" s="124" t="s">
        <v>47</v>
      </c>
      <c r="D20" s="124" t="s">
        <v>48</v>
      </c>
      <c r="E20" s="125">
        <v>138000</v>
      </c>
      <c r="F20" s="126">
        <v>1696.296</v>
      </c>
      <c r="G20" s="127">
        <v>1.610748E-2</v>
      </c>
      <c r="H20" s="122" t="s">
        <v>153</v>
      </c>
      <c r="J20" s="2"/>
    </row>
    <row r="21" spans="1:10" x14ac:dyDescent="0.2">
      <c r="A21" s="123">
        <v>15</v>
      </c>
      <c r="B21" s="124" t="s">
        <v>49</v>
      </c>
      <c r="C21" s="124" t="s">
        <v>50</v>
      </c>
      <c r="D21" s="124" t="s">
        <v>13</v>
      </c>
      <c r="E21" s="125">
        <v>530000</v>
      </c>
      <c r="F21" s="126">
        <v>1690.9649999999999</v>
      </c>
      <c r="G21" s="127">
        <v>1.6056850000000001E-2</v>
      </c>
      <c r="H21" s="122" t="s">
        <v>153</v>
      </c>
      <c r="J21" s="2"/>
    </row>
    <row r="22" spans="1:10" ht="15" x14ac:dyDescent="0.2">
      <c r="A22" s="123">
        <v>16</v>
      </c>
      <c r="B22" s="124" t="s">
        <v>51</v>
      </c>
      <c r="C22" s="124" t="s">
        <v>52</v>
      </c>
      <c r="D22" s="124" t="s">
        <v>53</v>
      </c>
      <c r="E22" s="125">
        <v>370000</v>
      </c>
      <c r="F22" s="126">
        <v>1578.79</v>
      </c>
      <c r="G22" s="127">
        <v>1.499168E-2</v>
      </c>
      <c r="H22" s="122" t="s">
        <v>153</v>
      </c>
      <c r="J22" s="7"/>
    </row>
    <row r="23" spans="1:10" x14ac:dyDescent="0.2">
      <c r="A23" s="123">
        <v>17</v>
      </c>
      <c r="B23" s="124" t="s">
        <v>54</v>
      </c>
      <c r="C23" s="124" t="s">
        <v>55</v>
      </c>
      <c r="D23" s="124" t="s">
        <v>48</v>
      </c>
      <c r="E23" s="125">
        <v>190000</v>
      </c>
      <c r="F23" s="126">
        <v>1549.64</v>
      </c>
      <c r="G23" s="127">
        <v>1.471488E-2</v>
      </c>
      <c r="H23" s="122" t="s">
        <v>153</v>
      </c>
      <c r="J23" s="2"/>
    </row>
    <row r="24" spans="1:10" x14ac:dyDescent="0.2">
      <c r="A24" s="123">
        <v>18</v>
      </c>
      <c r="B24" s="124" t="s">
        <v>56</v>
      </c>
      <c r="C24" s="124" t="s">
        <v>57</v>
      </c>
      <c r="D24" s="124" t="s">
        <v>19</v>
      </c>
      <c r="E24" s="125">
        <v>350000</v>
      </c>
      <c r="F24" s="126">
        <v>1521.2750000000001</v>
      </c>
      <c r="G24" s="127">
        <v>1.444553E-2</v>
      </c>
      <c r="H24" s="122" t="s">
        <v>153</v>
      </c>
      <c r="J24" s="2"/>
    </row>
    <row r="25" spans="1:10" x14ac:dyDescent="0.2">
      <c r="A25" s="123">
        <v>19</v>
      </c>
      <c r="B25" s="124" t="s">
        <v>58</v>
      </c>
      <c r="C25" s="124" t="s">
        <v>59</v>
      </c>
      <c r="D25" s="124" t="s">
        <v>35</v>
      </c>
      <c r="E25" s="125">
        <v>113419</v>
      </c>
      <c r="F25" s="126">
        <v>1513.4064265</v>
      </c>
      <c r="G25" s="127">
        <v>1.4370819999999999E-2</v>
      </c>
      <c r="H25" s="122" t="s">
        <v>153</v>
      </c>
      <c r="J25" s="2"/>
    </row>
    <row r="26" spans="1:10" x14ac:dyDescent="0.2">
      <c r="A26" s="123">
        <v>20</v>
      </c>
      <c r="B26" s="124" t="s">
        <v>60</v>
      </c>
      <c r="C26" s="124" t="s">
        <v>61</v>
      </c>
      <c r="D26" s="124" t="s">
        <v>13</v>
      </c>
      <c r="E26" s="125">
        <v>95750</v>
      </c>
      <c r="F26" s="126">
        <v>1495.9501250000001</v>
      </c>
      <c r="G26" s="127">
        <v>1.420506E-2</v>
      </c>
      <c r="H26" s="122" t="s">
        <v>153</v>
      </c>
      <c r="J26" s="2"/>
    </row>
    <row r="27" spans="1:10" x14ac:dyDescent="0.2">
      <c r="A27" s="123">
        <v>21</v>
      </c>
      <c r="B27" s="124" t="s">
        <v>62</v>
      </c>
      <c r="C27" s="124" t="s">
        <v>63</v>
      </c>
      <c r="D27" s="124" t="s">
        <v>13</v>
      </c>
      <c r="E27" s="125">
        <v>110000</v>
      </c>
      <c r="F27" s="126">
        <v>1482.3050000000001</v>
      </c>
      <c r="G27" s="127">
        <v>1.407549E-2</v>
      </c>
      <c r="H27" s="122" t="s">
        <v>153</v>
      </c>
      <c r="J27" s="2"/>
    </row>
    <row r="28" spans="1:10" x14ac:dyDescent="0.2">
      <c r="A28" s="123">
        <v>22</v>
      </c>
      <c r="B28" s="124" t="s">
        <v>64</v>
      </c>
      <c r="C28" s="124" t="s">
        <v>65</v>
      </c>
      <c r="D28" s="124" t="s">
        <v>66</v>
      </c>
      <c r="E28" s="125">
        <v>620000</v>
      </c>
      <c r="F28" s="126">
        <v>1473.6780000000001</v>
      </c>
      <c r="G28" s="127">
        <v>1.399357E-2</v>
      </c>
      <c r="H28" s="122" t="s">
        <v>153</v>
      </c>
      <c r="J28" s="2"/>
    </row>
    <row r="29" spans="1:10" x14ac:dyDescent="0.2">
      <c r="A29" s="123">
        <v>23</v>
      </c>
      <c r="B29" s="124" t="s">
        <v>67</v>
      </c>
      <c r="C29" s="124" t="s">
        <v>68</v>
      </c>
      <c r="D29" s="124" t="s">
        <v>53</v>
      </c>
      <c r="E29" s="125">
        <v>16000</v>
      </c>
      <c r="F29" s="126">
        <v>1466.16</v>
      </c>
      <c r="G29" s="127">
        <v>1.3922179999999999E-2</v>
      </c>
      <c r="H29" s="122" t="s">
        <v>153</v>
      </c>
      <c r="J29" s="2"/>
    </row>
    <row r="30" spans="1:10" x14ac:dyDescent="0.2">
      <c r="A30" s="123">
        <v>24</v>
      </c>
      <c r="B30" s="124" t="s">
        <v>69</v>
      </c>
      <c r="C30" s="124" t="s">
        <v>70</v>
      </c>
      <c r="D30" s="124" t="s">
        <v>71</v>
      </c>
      <c r="E30" s="125">
        <v>119000</v>
      </c>
      <c r="F30" s="126">
        <v>1433.4145000000001</v>
      </c>
      <c r="G30" s="127">
        <v>1.361124E-2</v>
      </c>
      <c r="H30" s="122" t="s">
        <v>153</v>
      </c>
      <c r="J30" s="2"/>
    </row>
    <row r="31" spans="1:10" x14ac:dyDescent="0.2">
      <c r="A31" s="123">
        <v>25</v>
      </c>
      <c r="B31" s="124" t="s">
        <v>72</v>
      </c>
      <c r="C31" s="124" t="s">
        <v>73</v>
      </c>
      <c r="D31" s="124" t="s">
        <v>74</v>
      </c>
      <c r="E31" s="125">
        <v>23000</v>
      </c>
      <c r="F31" s="126">
        <v>1388.9469999999999</v>
      </c>
      <c r="G31" s="127">
        <v>1.3188989999999999E-2</v>
      </c>
      <c r="H31" s="122" t="s">
        <v>153</v>
      </c>
      <c r="J31" s="2"/>
    </row>
    <row r="32" spans="1:10" x14ac:dyDescent="0.2">
      <c r="A32" s="123">
        <v>26</v>
      </c>
      <c r="B32" s="124" t="s">
        <v>75</v>
      </c>
      <c r="C32" s="124" t="s">
        <v>76</v>
      </c>
      <c r="D32" s="124" t="s">
        <v>53</v>
      </c>
      <c r="E32" s="125">
        <v>20000</v>
      </c>
      <c r="F32" s="126">
        <v>1378.62</v>
      </c>
      <c r="G32" s="127">
        <v>1.3090930000000001E-2</v>
      </c>
      <c r="H32" s="122" t="s">
        <v>153</v>
      </c>
      <c r="J32" s="2"/>
    </row>
    <row r="33" spans="1:10" x14ac:dyDescent="0.2">
      <c r="A33" s="123">
        <v>27</v>
      </c>
      <c r="B33" s="124" t="s">
        <v>77</v>
      </c>
      <c r="C33" s="124" t="s">
        <v>78</v>
      </c>
      <c r="D33" s="124" t="s">
        <v>35</v>
      </c>
      <c r="E33" s="125">
        <v>29000</v>
      </c>
      <c r="F33" s="126">
        <v>1336.8420000000001</v>
      </c>
      <c r="G33" s="127">
        <v>1.2694220000000001E-2</v>
      </c>
      <c r="H33" s="122" t="s">
        <v>153</v>
      </c>
      <c r="J33" s="2"/>
    </row>
    <row r="34" spans="1:10" x14ac:dyDescent="0.2">
      <c r="A34" s="123">
        <v>28</v>
      </c>
      <c r="B34" s="124" t="s">
        <v>79</v>
      </c>
      <c r="C34" s="124" t="s">
        <v>80</v>
      </c>
      <c r="D34" s="124" t="s">
        <v>25</v>
      </c>
      <c r="E34" s="125">
        <v>30000</v>
      </c>
      <c r="F34" s="126">
        <v>1336.17</v>
      </c>
      <c r="G34" s="127">
        <v>1.2687840000000001E-2</v>
      </c>
      <c r="H34" s="122" t="s">
        <v>153</v>
      </c>
      <c r="J34" s="2"/>
    </row>
    <row r="35" spans="1:10" x14ac:dyDescent="0.2">
      <c r="A35" s="123">
        <v>29</v>
      </c>
      <c r="B35" s="124" t="s">
        <v>81</v>
      </c>
      <c r="C35" s="124" t="s">
        <v>82</v>
      </c>
      <c r="D35" s="124" t="s">
        <v>83</v>
      </c>
      <c r="E35" s="125">
        <v>2600</v>
      </c>
      <c r="F35" s="126">
        <v>1325.1927000000001</v>
      </c>
      <c r="G35" s="127">
        <v>1.25836E-2</v>
      </c>
      <c r="H35" s="122" t="s">
        <v>153</v>
      </c>
      <c r="J35" s="2"/>
    </row>
    <row r="36" spans="1:10" x14ac:dyDescent="0.2">
      <c r="A36" s="123">
        <v>30</v>
      </c>
      <c r="B36" s="124" t="s">
        <v>84</v>
      </c>
      <c r="C36" s="124" t="s">
        <v>85</v>
      </c>
      <c r="D36" s="124" t="s">
        <v>86</v>
      </c>
      <c r="E36" s="125">
        <v>27000</v>
      </c>
      <c r="F36" s="126">
        <v>1304.0999999999999</v>
      </c>
      <c r="G36" s="127">
        <v>1.238331E-2</v>
      </c>
      <c r="H36" s="122" t="s">
        <v>153</v>
      </c>
      <c r="J36" s="2"/>
    </row>
    <row r="37" spans="1:10" x14ac:dyDescent="0.2">
      <c r="A37" s="123">
        <v>31</v>
      </c>
      <c r="B37" s="124" t="s">
        <v>87</v>
      </c>
      <c r="C37" s="124" t="s">
        <v>88</v>
      </c>
      <c r="D37" s="124" t="s">
        <v>89</v>
      </c>
      <c r="E37" s="125">
        <v>230000</v>
      </c>
      <c r="F37" s="126">
        <v>1263.9649999999999</v>
      </c>
      <c r="G37" s="127">
        <v>1.2002199999999999E-2</v>
      </c>
      <c r="H37" s="122" t="s">
        <v>153</v>
      </c>
      <c r="J37" s="2"/>
    </row>
    <row r="38" spans="1:10" x14ac:dyDescent="0.2">
      <c r="A38" s="123">
        <v>32</v>
      </c>
      <c r="B38" s="124" t="s">
        <v>90</v>
      </c>
      <c r="C38" s="124" t="s">
        <v>91</v>
      </c>
      <c r="D38" s="124" t="s">
        <v>92</v>
      </c>
      <c r="E38" s="125">
        <v>85000</v>
      </c>
      <c r="F38" s="126">
        <v>1259.615</v>
      </c>
      <c r="G38" s="127">
        <v>1.19609E-2</v>
      </c>
      <c r="H38" s="122" t="s">
        <v>153</v>
      </c>
      <c r="J38" s="2"/>
    </row>
    <row r="39" spans="1:10" x14ac:dyDescent="0.2">
      <c r="A39" s="123">
        <v>33</v>
      </c>
      <c r="B39" s="124" t="s">
        <v>93</v>
      </c>
      <c r="C39" s="124" t="s">
        <v>94</v>
      </c>
      <c r="D39" s="124" t="s">
        <v>86</v>
      </c>
      <c r="E39" s="125">
        <v>130000</v>
      </c>
      <c r="F39" s="126">
        <v>1254.6300000000001</v>
      </c>
      <c r="G39" s="127">
        <v>1.191356E-2</v>
      </c>
      <c r="H39" s="122" t="s">
        <v>153</v>
      </c>
      <c r="J39" s="2"/>
    </row>
    <row r="40" spans="1:10" x14ac:dyDescent="0.2">
      <c r="A40" s="123">
        <v>34</v>
      </c>
      <c r="B40" s="124" t="s">
        <v>95</v>
      </c>
      <c r="C40" s="124" t="s">
        <v>96</v>
      </c>
      <c r="D40" s="124" t="s">
        <v>89</v>
      </c>
      <c r="E40" s="125">
        <v>200000</v>
      </c>
      <c r="F40" s="126">
        <v>1239.5</v>
      </c>
      <c r="G40" s="127">
        <v>1.176989E-2</v>
      </c>
      <c r="H40" s="122" t="s">
        <v>153</v>
      </c>
      <c r="J40" s="2"/>
    </row>
    <row r="41" spans="1:10" x14ac:dyDescent="0.2">
      <c r="A41" s="123">
        <v>35</v>
      </c>
      <c r="B41" s="124" t="s">
        <v>97</v>
      </c>
      <c r="C41" s="124" t="s">
        <v>98</v>
      </c>
      <c r="D41" s="124" t="s">
        <v>53</v>
      </c>
      <c r="E41" s="125">
        <v>165000</v>
      </c>
      <c r="F41" s="126">
        <v>1188.2474999999999</v>
      </c>
      <c r="G41" s="127">
        <v>1.128321E-2</v>
      </c>
      <c r="H41" s="122" t="s">
        <v>153</v>
      </c>
      <c r="J41" s="2"/>
    </row>
    <row r="42" spans="1:10" x14ac:dyDescent="0.2">
      <c r="A42" s="123">
        <v>36</v>
      </c>
      <c r="B42" s="124" t="s">
        <v>99</v>
      </c>
      <c r="C42" s="124" t="s">
        <v>100</v>
      </c>
      <c r="D42" s="124" t="s">
        <v>71</v>
      </c>
      <c r="E42" s="125">
        <v>70000</v>
      </c>
      <c r="F42" s="126">
        <v>1182.825</v>
      </c>
      <c r="G42" s="127">
        <v>1.1231720000000001E-2</v>
      </c>
      <c r="H42" s="122" t="s">
        <v>153</v>
      </c>
      <c r="J42" s="2"/>
    </row>
    <row r="43" spans="1:10" x14ac:dyDescent="0.2">
      <c r="A43" s="123">
        <v>37</v>
      </c>
      <c r="B43" s="124" t="s">
        <v>101</v>
      </c>
      <c r="C43" s="124" t="s">
        <v>102</v>
      </c>
      <c r="D43" s="124" t="s">
        <v>103</v>
      </c>
      <c r="E43" s="125">
        <v>225000</v>
      </c>
      <c r="F43" s="126">
        <v>1181.1375</v>
      </c>
      <c r="G43" s="127">
        <v>1.12157E-2</v>
      </c>
      <c r="H43" s="122" t="s">
        <v>153</v>
      </c>
      <c r="J43" s="2"/>
    </row>
    <row r="44" spans="1:10" x14ac:dyDescent="0.2">
      <c r="A44" s="123">
        <v>38</v>
      </c>
      <c r="B44" s="124" t="s">
        <v>104</v>
      </c>
      <c r="C44" s="124" t="s">
        <v>105</v>
      </c>
      <c r="D44" s="124" t="s">
        <v>35</v>
      </c>
      <c r="E44" s="125">
        <v>90521</v>
      </c>
      <c r="F44" s="126">
        <v>1176.320395</v>
      </c>
      <c r="G44" s="127">
        <v>1.116996E-2</v>
      </c>
      <c r="H44" s="122" t="s">
        <v>153</v>
      </c>
      <c r="J44" s="2"/>
    </row>
    <row r="45" spans="1:10" x14ac:dyDescent="0.2">
      <c r="A45" s="123">
        <v>39</v>
      </c>
      <c r="B45" s="124" t="s">
        <v>106</v>
      </c>
      <c r="C45" s="124" t="s">
        <v>107</v>
      </c>
      <c r="D45" s="124" t="s">
        <v>35</v>
      </c>
      <c r="E45" s="125">
        <v>48000</v>
      </c>
      <c r="F45" s="126">
        <v>1171.44</v>
      </c>
      <c r="G45" s="127">
        <v>1.1123610000000001E-2</v>
      </c>
      <c r="H45" s="122" t="s">
        <v>153</v>
      </c>
      <c r="J45" s="2"/>
    </row>
    <row r="46" spans="1:10" x14ac:dyDescent="0.2">
      <c r="A46" s="123">
        <v>40</v>
      </c>
      <c r="B46" s="124" t="s">
        <v>108</v>
      </c>
      <c r="C46" s="124" t="s">
        <v>109</v>
      </c>
      <c r="D46" s="124" t="s">
        <v>13</v>
      </c>
      <c r="E46" s="125">
        <v>250000</v>
      </c>
      <c r="F46" s="126">
        <v>1124.125</v>
      </c>
      <c r="G46" s="127">
        <v>1.0674329999999999E-2</v>
      </c>
      <c r="H46" s="122" t="s">
        <v>153</v>
      </c>
      <c r="J46" s="2"/>
    </row>
    <row r="47" spans="1:10" x14ac:dyDescent="0.2">
      <c r="A47" s="123">
        <v>41</v>
      </c>
      <c r="B47" s="124" t="s">
        <v>110</v>
      </c>
      <c r="C47" s="124" t="s">
        <v>111</v>
      </c>
      <c r="D47" s="124" t="s">
        <v>35</v>
      </c>
      <c r="E47" s="125">
        <v>30000</v>
      </c>
      <c r="F47" s="126">
        <v>1123.4100000000001</v>
      </c>
      <c r="G47" s="127">
        <v>1.066754E-2</v>
      </c>
      <c r="H47" s="122" t="s">
        <v>153</v>
      </c>
      <c r="J47" s="2"/>
    </row>
    <row r="48" spans="1:10" x14ac:dyDescent="0.2">
      <c r="A48" s="123">
        <v>42</v>
      </c>
      <c r="B48" s="124" t="s">
        <v>112</v>
      </c>
      <c r="C48" s="124" t="s">
        <v>113</v>
      </c>
      <c r="D48" s="124" t="s">
        <v>13</v>
      </c>
      <c r="E48" s="125">
        <v>165000</v>
      </c>
      <c r="F48" s="126">
        <v>1110.78</v>
      </c>
      <c r="G48" s="127">
        <v>1.0547610000000001E-2</v>
      </c>
      <c r="H48" s="122" t="s">
        <v>153</v>
      </c>
      <c r="J48" s="2"/>
    </row>
    <row r="49" spans="1:10" x14ac:dyDescent="0.2">
      <c r="A49" s="123">
        <v>43</v>
      </c>
      <c r="B49" s="124" t="s">
        <v>114</v>
      </c>
      <c r="C49" s="124" t="s">
        <v>115</v>
      </c>
      <c r="D49" s="124" t="s">
        <v>16</v>
      </c>
      <c r="E49" s="125">
        <v>240897</v>
      </c>
      <c r="F49" s="126">
        <v>1104.512745</v>
      </c>
      <c r="G49" s="127">
        <v>1.048809E-2</v>
      </c>
      <c r="H49" s="122" t="s">
        <v>153</v>
      </c>
      <c r="J49" s="2"/>
    </row>
    <row r="50" spans="1:10" x14ac:dyDescent="0.2">
      <c r="A50" s="123">
        <v>44</v>
      </c>
      <c r="B50" s="124" t="s">
        <v>116</v>
      </c>
      <c r="C50" s="124" t="s">
        <v>117</v>
      </c>
      <c r="D50" s="124" t="s">
        <v>53</v>
      </c>
      <c r="E50" s="125">
        <v>9000</v>
      </c>
      <c r="F50" s="126">
        <v>1088.5545</v>
      </c>
      <c r="G50" s="127">
        <v>1.033656E-2</v>
      </c>
      <c r="H50" s="122" t="s">
        <v>153</v>
      </c>
      <c r="J50" s="2"/>
    </row>
    <row r="51" spans="1:10" x14ac:dyDescent="0.2">
      <c r="A51" s="123">
        <v>45</v>
      </c>
      <c r="B51" s="124" t="s">
        <v>118</v>
      </c>
      <c r="C51" s="124" t="s">
        <v>119</v>
      </c>
      <c r="D51" s="124" t="s">
        <v>25</v>
      </c>
      <c r="E51" s="125">
        <v>175000</v>
      </c>
      <c r="F51" s="126">
        <v>1079.8375000000001</v>
      </c>
      <c r="G51" s="127">
        <v>1.025379E-2</v>
      </c>
      <c r="H51" s="122" t="s">
        <v>153</v>
      </c>
      <c r="J51" s="2"/>
    </row>
    <row r="52" spans="1:10" x14ac:dyDescent="0.2">
      <c r="A52" s="123">
        <v>46</v>
      </c>
      <c r="B52" s="124" t="s">
        <v>120</v>
      </c>
      <c r="C52" s="124" t="s">
        <v>121</v>
      </c>
      <c r="D52" s="124" t="s">
        <v>53</v>
      </c>
      <c r="E52" s="125">
        <v>150000</v>
      </c>
      <c r="F52" s="126">
        <v>1044.1500000000001</v>
      </c>
      <c r="G52" s="127">
        <v>9.9149100000000007E-3</v>
      </c>
      <c r="H52" s="122" t="s">
        <v>153</v>
      </c>
      <c r="J52" s="2"/>
    </row>
    <row r="53" spans="1:10" x14ac:dyDescent="0.2">
      <c r="A53" s="123">
        <v>47</v>
      </c>
      <c r="B53" s="124" t="s">
        <v>122</v>
      </c>
      <c r="C53" s="124" t="s">
        <v>123</v>
      </c>
      <c r="D53" s="124" t="s">
        <v>74</v>
      </c>
      <c r="E53" s="125">
        <v>104000</v>
      </c>
      <c r="F53" s="126">
        <v>1016.652</v>
      </c>
      <c r="G53" s="127">
        <v>9.6538000000000006E-3</v>
      </c>
      <c r="H53" s="122" t="s">
        <v>153</v>
      </c>
      <c r="J53" s="2"/>
    </row>
    <row r="54" spans="1:10" x14ac:dyDescent="0.2">
      <c r="A54" s="123">
        <v>48</v>
      </c>
      <c r="B54" s="124" t="s">
        <v>124</v>
      </c>
      <c r="C54" s="124" t="s">
        <v>125</v>
      </c>
      <c r="D54" s="124" t="s">
        <v>35</v>
      </c>
      <c r="E54" s="125">
        <v>600000</v>
      </c>
      <c r="F54" s="126">
        <v>1007.76</v>
      </c>
      <c r="G54" s="127">
        <v>9.5693600000000007E-3</v>
      </c>
      <c r="H54" s="122" t="s">
        <v>153</v>
      </c>
      <c r="J54" s="2"/>
    </row>
    <row r="55" spans="1:10" x14ac:dyDescent="0.2">
      <c r="A55" s="123">
        <v>49</v>
      </c>
      <c r="B55" s="124" t="s">
        <v>126</v>
      </c>
      <c r="C55" s="124" t="s">
        <v>127</v>
      </c>
      <c r="D55" s="124" t="s">
        <v>74</v>
      </c>
      <c r="E55" s="125">
        <v>25000</v>
      </c>
      <c r="F55" s="126">
        <v>985.41250000000002</v>
      </c>
      <c r="G55" s="127">
        <v>9.3571599999999998E-3</v>
      </c>
      <c r="H55" s="122" t="s">
        <v>153</v>
      </c>
      <c r="J55" s="2"/>
    </row>
    <row r="56" spans="1:10" x14ac:dyDescent="0.2">
      <c r="A56" s="123">
        <v>50</v>
      </c>
      <c r="B56" s="124" t="s">
        <v>128</v>
      </c>
      <c r="C56" s="124" t="s">
        <v>129</v>
      </c>
      <c r="D56" s="124" t="s">
        <v>86</v>
      </c>
      <c r="E56" s="125">
        <v>235000</v>
      </c>
      <c r="F56" s="126">
        <v>985.35500000000002</v>
      </c>
      <c r="G56" s="127">
        <v>9.3566099999999996E-3</v>
      </c>
      <c r="H56" s="122" t="s">
        <v>153</v>
      </c>
      <c r="J56" s="2"/>
    </row>
    <row r="57" spans="1:10" x14ac:dyDescent="0.2">
      <c r="A57" s="123">
        <v>51</v>
      </c>
      <c r="B57" s="124" t="s">
        <v>130</v>
      </c>
      <c r="C57" s="124" t="s">
        <v>131</v>
      </c>
      <c r="D57" s="124" t="s">
        <v>53</v>
      </c>
      <c r="E57" s="125">
        <v>22000</v>
      </c>
      <c r="F57" s="126">
        <v>962.01599999999996</v>
      </c>
      <c r="G57" s="127">
        <v>9.1349900000000008E-3</v>
      </c>
      <c r="H57" s="122" t="s">
        <v>153</v>
      </c>
      <c r="J57" s="2"/>
    </row>
    <row r="58" spans="1:10" x14ac:dyDescent="0.2">
      <c r="A58" s="123">
        <v>52</v>
      </c>
      <c r="B58" s="124" t="s">
        <v>132</v>
      </c>
      <c r="C58" s="124" t="s">
        <v>133</v>
      </c>
      <c r="D58" s="124" t="s">
        <v>53</v>
      </c>
      <c r="E58" s="125">
        <v>12000</v>
      </c>
      <c r="F58" s="126">
        <v>952.32600000000002</v>
      </c>
      <c r="G58" s="127">
        <v>9.0429800000000008E-3</v>
      </c>
      <c r="H58" s="122" t="s">
        <v>153</v>
      </c>
      <c r="J58" s="2"/>
    </row>
    <row r="59" spans="1:10" x14ac:dyDescent="0.2">
      <c r="A59" s="123">
        <v>53</v>
      </c>
      <c r="B59" s="124" t="s">
        <v>134</v>
      </c>
      <c r="C59" s="124" t="s">
        <v>135</v>
      </c>
      <c r="D59" s="124" t="s">
        <v>136</v>
      </c>
      <c r="E59" s="125">
        <v>92972</v>
      </c>
      <c r="F59" s="126">
        <v>902.200288</v>
      </c>
      <c r="G59" s="127">
        <v>8.567E-3</v>
      </c>
      <c r="H59" s="122" t="s">
        <v>153</v>
      </c>
      <c r="J59" s="2"/>
    </row>
    <row r="60" spans="1:10" x14ac:dyDescent="0.2">
      <c r="A60" s="123">
        <v>54</v>
      </c>
      <c r="B60" s="124" t="s">
        <v>137</v>
      </c>
      <c r="C60" s="124" t="s">
        <v>138</v>
      </c>
      <c r="D60" s="124" t="s">
        <v>53</v>
      </c>
      <c r="E60" s="125">
        <v>300000</v>
      </c>
      <c r="F60" s="126">
        <v>871.65</v>
      </c>
      <c r="G60" s="127">
        <v>8.2769100000000002E-3</v>
      </c>
      <c r="H60" s="122" t="s">
        <v>153</v>
      </c>
      <c r="J60" s="2"/>
    </row>
    <row r="61" spans="1:10" x14ac:dyDescent="0.2">
      <c r="A61" s="123">
        <v>55</v>
      </c>
      <c r="B61" s="124" t="s">
        <v>139</v>
      </c>
      <c r="C61" s="124" t="s">
        <v>140</v>
      </c>
      <c r="D61" s="124" t="s">
        <v>35</v>
      </c>
      <c r="E61" s="125">
        <v>58000</v>
      </c>
      <c r="F61" s="126">
        <v>848.01800000000003</v>
      </c>
      <c r="G61" s="127">
        <v>8.0525000000000006E-3</v>
      </c>
      <c r="H61" s="122" t="s">
        <v>153</v>
      </c>
      <c r="J61" s="2"/>
    </row>
    <row r="62" spans="1:10" x14ac:dyDescent="0.2">
      <c r="A62" s="123">
        <v>56</v>
      </c>
      <c r="B62" s="124" t="s">
        <v>141</v>
      </c>
      <c r="C62" s="124" t="s">
        <v>142</v>
      </c>
      <c r="D62" s="124" t="s">
        <v>25</v>
      </c>
      <c r="E62" s="125">
        <v>391000</v>
      </c>
      <c r="F62" s="126">
        <v>816.60350000000005</v>
      </c>
      <c r="G62" s="127">
        <v>7.7542000000000002E-3</v>
      </c>
      <c r="H62" s="122" t="s">
        <v>153</v>
      </c>
      <c r="J62" s="2"/>
    </row>
    <row r="63" spans="1:10" x14ac:dyDescent="0.2">
      <c r="A63" s="123">
        <v>57</v>
      </c>
      <c r="B63" s="124" t="s">
        <v>143</v>
      </c>
      <c r="C63" s="124" t="s">
        <v>144</v>
      </c>
      <c r="D63" s="124" t="s">
        <v>35</v>
      </c>
      <c r="E63" s="125">
        <v>52907</v>
      </c>
      <c r="F63" s="126">
        <v>622.26568050000003</v>
      </c>
      <c r="G63" s="127">
        <v>5.9088300000000003E-3</v>
      </c>
      <c r="H63" s="122" t="s">
        <v>153</v>
      </c>
      <c r="J63" s="2"/>
    </row>
    <row r="64" spans="1:10" x14ac:dyDescent="0.2">
      <c r="A64" s="123">
        <v>58</v>
      </c>
      <c r="B64" s="124" t="s">
        <v>145</v>
      </c>
      <c r="C64" s="124" t="s">
        <v>146</v>
      </c>
      <c r="D64" s="124" t="s">
        <v>45</v>
      </c>
      <c r="E64" s="125">
        <v>90000</v>
      </c>
      <c r="F64" s="126">
        <v>355.86</v>
      </c>
      <c r="G64" s="127">
        <v>3.3791300000000002E-3</v>
      </c>
      <c r="H64" s="122" t="s">
        <v>153</v>
      </c>
      <c r="J64" s="2"/>
    </row>
    <row r="65" spans="1:10" x14ac:dyDescent="0.2">
      <c r="A65" s="123">
        <v>59</v>
      </c>
      <c r="B65" s="124" t="s">
        <v>147</v>
      </c>
      <c r="C65" s="124" t="s">
        <v>148</v>
      </c>
      <c r="D65" s="124" t="s">
        <v>66</v>
      </c>
      <c r="E65" s="125">
        <v>63756</v>
      </c>
      <c r="F65" s="126">
        <v>286.90199999999999</v>
      </c>
      <c r="G65" s="127">
        <v>2.7243300000000001E-3</v>
      </c>
      <c r="H65" s="122" t="s">
        <v>153</v>
      </c>
      <c r="J65" s="2"/>
    </row>
    <row r="66" spans="1:10" x14ac:dyDescent="0.2">
      <c r="A66" s="120"/>
      <c r="B66" s="120"/>
      <c r="C66" s="121" t="s">
        <v>152</v>
      </c>
      <c r="D66" s="120"/>
      <c r="E66" s="120" t="s">
        <v>153</v>
      </c>
      <c r="F66" s="128">
        <f>SUM(F7:F65)</f>
        <v>100502.57680999998</v>
      </c>
      <c r="G66" s="129">
        <f>SUM(G7:G65)</f>
        <v>0.95433986000000026</v>
      </c>
      <c r="H66" s="122" t="s">
        <v>153</v>
      </c>
      <c r="J66" s="2"/>
    </row>
    <row r="67" spans="1:10" x14ac:dyDescent="0.2">
      <c r="A67" s="120"/>
      <c r="B67" s="120"/>
      <c r="C67" s="130"/>
      <c r="D67" s="120"/>
      <c r="E67" s="120"/>
      <c r="F67" s="131"/>
      <c r="G67" s="131"/>
      <c r="H67" s="122" t="s">
        <v>153</v>
      </c>
      <c r="J67" s="2"/>
    </row>
    <row r="68" spans="1:10" x14ac:dyDescent="0.2">
      <c r="A68" s="120"/>
      <c r="B68" s="120"/>
      <c r="C68" s="121" t="s">
        <v>154</v>
      </c>
      <c r="D68" s="120"/>
      <c r="E68" s="120"/>
      <c r="F68" s="120"/>
      <c r="G68" s="120"/>
      <c r="H68" s="122" t="s">
        <v>153</v>
      </c>
      <c r="J68" s="2"/>
    </row>
    <row r="69" spans="1:10" x14ac:dyDescent="0.2">
      <c r="A69" s="120"/>
      <c r="B69" s="120"/>
      <c r="C69" s="121" t="s">
        <v>152</v>
      </c>
      <c r="D69" s="120"/>
      <c r="E69" s="120" t="s">
        <v>153</v>
      </c>
      <c r="F69" s="132" t="s">
        <v>155</v>
      </c>
      <c r="G69" s="129">
        <v>0</v>
      </c>
      <c r="H69" s="122" t="s">
        <v>153</v>
      </c>
      <c r="J69" s="2"/>
    </row>
    <row r="70" spans="1:10" x14ac:dyDescent="0.2">
      <c r="A70" s="120"/>
      <c r="B70" s="120"/>
      <c r="C70" s="130"/>
      <c r="D70" s="120"/>
      <c r="E70" s="120"/>
      <c r="F70" s="131"/>
      <c r="G70" s="131"/>
      <c r="H70" s="122" t="s">
        <v>153</v>
      </c>
      <c r="J70" s="2"/>
    </row>
    <row r="71" spans="1:10" x14ac:dyDescent="0.2">
      <c r="A71" s="120"/>
      <c r="B71" s="120"/>
      <c r="C71" s="121" t="s">
        <v>156</v>
      </c>
      <c r="D71" s="120"/>
      <c r="E71" s="120"/>
      <c r="F71" s="120"/>
      <c r="G71" s="120"/>
      <c r="H71" s="122" t="s">
        <v>153</v>
      </c>
      <c r="J71" s="2"/>
    </row>
    <row r="72" spans="1:10" x14ac:dyDescent="0.2">
      <c r="A72" s="123">
        <v>1</v>
      </c>
      <c r="B72" s="124" t="s">
        <v>149</v>
      </c>
      <c r="C72" s="124" t="s">
        <v>1065</v>
      </c>
      <c r="D72" s="124" t="s">
        <v>150</v>
      </c>
      <c r="E72" s="125">
        <v>559425</v>
      </c>
      <c r="F72" s="126">
        <v>1.1189000000000001E-5</v>
      </c>
      <c r="G72" s="133" t="s">
        <v>151</v>
      </c>
      <c r="H72" s="122" t="s">
        <v>153</v>
      </c>
      <c r="J72" s="2"/>
    </row>
    <row r="73" spans="1:10" x14ac:dyDescent="0.2">
      <c r="A73" s="120"/>
      <c r="B73" s="120"/>
      <c r="C73" s="121" t="s">
        <v>152</v>
      </c>
      <c r="D73" s="120"/>
      <c r="E73" s="120" t="s">
        <v>153</v>
      </c>
      <c r="F73" s="132" t="s">
        <v>155</v>
      </c>
      <c r="G73" s="129">
        <v>0</v>
      </c>
      <c r="H73" s="122" t="s">
        <v>153</v>
      </c>
      <c r="J73" s="2"/>
    </row>
    <row r="74" spans="1:10" x14ac:dyDescent="0.2">
      <c r="A74" s="120"/>
      <c r="B74" s="120"/>
      <c r="C74" s="130"/>
      <c r="D74" s="120"/>
      <c r="E74" s="120"/>
      <c r="F74" s="131"/>
      <c r="G74" s="131"/>
      <c r="H74" s="122" t="s">
        <v>153</v>
      </c>
      <c r="J74" s="2"/>
    </row>
    <row r="75" spans="1:10" x14ac:dyDescent="0.2">
      <c r="A75" s="120"/>
      <c r="B75" s="120"/>
      <c r="C75" s="121" t="s">
        <v>157</v>
      </c>
      <c r="D75" s="120"/>
      <c r="E75" s="120"/>
      <c r="F75" s="120"/>
      <c r="G75" s="120"/>
      <c r="H75" s="122" t="s">
        <v>153</v>
      </c>
      <c r="J75" s="2"/>
    </row>
    <row r="76" spans="1:10" x14ac:dyDescent="0.2">
      <c r="A76" s="120"/>
      <c r="B76" s="120"/>
      <c r="C76" s="121" t="s">
        <v>152</v>
      </c>
      <c r="D76" s="120"/>
      <c r="E76" s="120" t="s">
        <v>153</v>
      </c>
      <c r="F76" s="132" t="s">
        <v>155</v>
      </c>
      <c r="G76" s="129">
        <v>0</v>
      </c>
      <c r="H76" s="122" t="s">
        <v>153</v>
      </c>
      <c r="J76" s="2"/>
    </row>
    <row r="77" spans="1:10" x14ac:dyDescent="0.2">
      <c r="A77" s="120"/>
      <c r="B77" s="120"/>
      <c r="C77" s="130"/>
      <c r="D77" s="120"/>
      <c r="E77" s="120"/>
      <c r="F77" s="131"/>
      <c r="G77" s="131"/>
      <c r="H77" s="122" t="s">
        <v>153</v>
      </c>
      <c r="J77" s="2"/>
    </row>
    <row r="78" spans="1:10" x14ac:dyDescent="0.2">
      <c r="A78" s="120"/>
      <c r="B78" s="120"/>
      <c r="C78" s="121" t="s">
        <v>158</v>
      </c>
      <c r="D78" s="120"/>
      <c r="E78" s="120"/>
      <c r="F78" s="131"/>
      <c r="G78" s="131"/>
      <c r="H78" s="122" t="s">
        <v>153</v>
      </c>
      <c r="J78" s="2"/>
    </row>
    <row r="79" spans="1:10" x14ac:dyDescent="0.2">
      <c r="A79" s="120"/>
      <c r="B79" s="120"/>
      <c r="C79" s="121" t="s">
        <v>152</v>
      </c>
      <c r="D79" s="120"/>
      <c r="E79" s="120" t="s">
        <v>153</v>
      </c>
      <c r="F79" s="132" t="s">
        <v>155</v>
      </c>
      <c r="G79" s="129">
        <v>0</v>
      </c>
      <c r="H79" s="122" t="s">
        <v>153</v>
      </c>
      <c r="J79" s="2"/>
    </row>
    <row r="80" spans="1:10" x14ac:dyDescent="0.2">
      <c r="A80" s="120"/>
      <c r="B80" s="120"/>
      <c r="C80" s="130"/>
      <c r="D80" s="120"/>
      <c r="E80" s="120"/>
      <c r="F80" s="131"/>
      <c r="G80" s="131"/>
      <c r="H80" s="122" t="s">
        <v>153</v>
      </c>
      <c r="J80" s="2"/>
    </row>
    <row r="81" spans="1:10" x14ac:dyDescent="0.2">
      <c r="A81" s="120"/>
      <c r="B81" s="120"/>
      <c r="C81" s="121" t="s">
        <v>159</v>
      </c>
      <c r="D81" s="120"/>
      <c r="E81" s="120"/>
      <c r="F81" s="131"/>
      <c r="G81" s="131"/>
      <c r="H81" s="122" t="s">
        <v>153</v>
      </c>
      <c r="J81" s="2"/>
    </row>
    <row r="82" spans="1:10" x14ac:dyDescent="0.2">
      <c r="A82" s="120"/>
      <c r="B82" s="120"/>
      <c r="C82" s="121" t="s">
        <v>152</v>
      </c>
      <c r="D82" s="120"/>
      <c r="E82" s="120" t="s">
        <v>153</v>
      </c>
      <c r="F82" s="132" t="s">
        <v>155</v>
      </c>
      <c r="G82" s="129">
        <v>0</v>
      </c>
      <c r="H82" s="122" t="s">
        <v>153</v>
      </c>
      <c r="J82" s="2"/>
    </row>
    <row r="83" spans="1:10" x14ac:dyDescent="0.2">
      <c r="A83" s="120"/>
      <c r="B83" s="120"/>
      <c r="C83" s="130"/>
      <c r="D83" s="120"/>
      <c r="E83" s="120"/>
      <c r="F83" s="131"/>
      <c r="G83" s="131"/>
      <c r="H83" s="122" t="s">
        <v>153</v>
      </c>
      <c r="J83" s="2"/>
    </row>
    <row r="84" spans="1:10" x14ac:dyDescent="0.2">
      <c r="A84" s="120"/>
      <c r="B84" s="120"/>
      <c r="C84" s="121" t="s">
        <v>160</v>
      </c>
      <c r="D84" s="120"/>
      <c r="E84" s="120"/>
      <c r="F84" s="128">
        <v>100502.576821189</v>
      </c>
      <c r="G84" s="129">
        <v>0.95433986000000004</v>
      </c>
      <c r="H84" s="122" t="s">
        <v>153</v>
      </c>
      <c r="J84" s="2"/>
    </row>
    <row r="85" spans="1:10" x14ac:dyDescent="0.2">
      <c r="A85" s="120"/>
      <c r="B85" s="120"/>
      <c r="C85" s="130"/>
      <c r="D85" s="120"/>
      <c r="E85" s="120"/>
      <c r="F85" s="131"/>
      <c r="G85" s="131"/>
      <c r="H85" s="122" t="s">
        <v>153</v>
      </c>
      <c r="J85" s="2"/>
    </row>
    <row r="86" spans="1:10" x14ac:dyDescent="0.2">
      <c r="A86" s="120"/>
      <c r="B86" s="120"/>
      <c r="C86" s="121" t="s">
        <v>161</v>
      </c>
      <c r="D86" s="120"/>
      <c r="E86" s="120"/>
      <c r="F86" s="131"/>
      <c r="G86" s="131"/>
      <c r="H86" s="122" t="s">
        <v>153</v>
      </c>
      <c r="J86" s="2"/>
    </row>
    <row r="87" spans="1:10" x14ac:dyDescent="0.2">
      <c r="A87" s="120"/>
      <c r="B87" s="120"/>
      <c r="C87" s="121" t="s">
        <v>10</v>
      </c>
      <c r="D87" s="120"/>
      <c r="E87" s="120"/>
      <c r="F87" s="131"/>
      <c r="G87" s="131"/>
      <c r="H87" s="122" t="s">
        <v>153</v>
      </c>
      <c r="J87" s="2"/>
    </row>
    <row r="88" spans="1:10" x14ac:dyDescent="0.2">
      <c r="A88" s="120"/>
      <c r="B88" s="120"/>
      <c r="C88" s="121" t="s">
        <v>152</v>
      </c>
      <c r="D88" s="120"/>
      <c r="E88" s="120" t="s">
        <v>153</v>
      </c>
      <c r="F88" s="132" t="s">
        <v>155</v>
      </c>
      <c r="G88" s="129">
        <v>0</v>
      </c>
      <c r="H88" s="122" t="s">
        <v>153</v>
      </c>
      <c r="J88" s="2"/>
    </row>
    <row r="89" spans="1:10" x14ac:dyDescent="0.2">
      <c r="A89" s="120"/>
      <c r="B89" s="120"/>
      <c r="C89" s="130"/>
      <c r="D89" s="120"/>
      <c r="E89" s="120"/>
      <c r="F89" s="131"/>
      <c r="G89" s="131"/>
      <c r="H89" s="122" t="s">
        <v>153</v>
      </c>
      <c r="J89" s="2"/>
    </row>
    <row r="90" spans="1:10" x14ac:dyDescent="0.2">
      <c r="A90" s="120"/>
      <c r="B90" s="120"/>
      <c r="C90" s="121" t="s">
        <v>162</v>
      </c>
      <c r="D90" s="120"/>
      <c r="E90" s="120"/>
      <c r="F90" s="120"/>
      <c r="G90" s="120"/>
      <c r="H90" s="122" t="s">
        <v>153</v>
      </c>
      <c r="J90" s="2"/>
    </row>
    <row r="91" spans="1:10" x14ac:dyDescent="0.2">
      <c r="A91" s="120"/>
      <c r="B91" s="120"/>
      <c r="C91" s="121" t="s">
        <v>152</v>
      </c>
      <c r="D91" s="120"/>
      <c r="E91" s="120" t="s">
        <v>153</v>
      </c>
      <c r="F91" s="132" t="s">
        <v>155</v>
      </c>
      <c r="G91" s="129">
        <v>0</v>
      </c>
      <c r="H91" s="122" t="s">
        <v>153</v>
      </c>
      <c r="J91" s="2"/>
    </row>
    <row r="92" spans="1:10" x14ac:dyDescent="0.2">
      <c r="A92" s="120"/>
      <c r="B92" s="120"/>
      <c r="C92" s="130"/>
      <c r="D92" s="120"/>
      <c r="E92" s="120"/>
      <c r="F92" s="131"/>
      <c r="G92" s="131"/>
      <c r="H92" s="122" t="s">
        <v>153</v>
      </c>
      <c r="J92" s="2"/>
    </row>
    <row r="93" spans="1:10" x14ac:dyDescent="0.2">
      <c r="A93" s="120"/>
      <c r="B93" s="120"/>
      <c r="C93" s="121" t="s">
        <v>163</v>
      </c>
      <c r="D93" s="120"/>
      <c r="E93" s="120"/>
      <c r="F93" s="120"/>
      <c r="G93" s="120"/>
      <c r="H93" s="122" t="s">
        <v>153</v>
      </c>
      <c r="J93" s="2"/>
    </row>
    <row r="94" spans="1:10" x14ac:dyDescent="0.2">
      <c r="A94" s="120"/>
      <c r="B94" s="120"/>
      <c r="C94" s="121" t="s">
        <v>152</v>
      </c>
      <c r="D94" s="120"/>
      <c r="E94" s="120" t="s">
        <v>153</v>
      </c>
      <c r="F94" s="132" t="s">
        <v>155</v>
      </c>
      <c r="G94" s="129">
        <v>0</v>
      </c>
      <c r="H94" s="122" t="s">
        <v>153</v>
      </c>
      <c r="J94" s="2"/>
    </row>
    <row r="95" spans="1:10" x14ac:dyDescent="0.2">
      <c r="A95" s="120"/>
      <c r="B95" s="120"/>
      <c r="C95" s="130"/>
      <c r="D95" s="120"/>
      <c r="E95" s="120"/>
      <c r="F95" s="131"/>
      <c r="G95" s="131"/>
      <c r="H95" s="122" t="s">
        <v>153</v>
      </c>
      <c r="J95" s="2"/>
    </row>
    <row r="96" spans="1:10" x14ac:dyDescent="0.2">
      <c r="A96" s="120"/>
      <c r="B96" s="120"/>
      <c r="C96" s="121" t="s">
        <v>164</v>
      </c>
      <c r="D96" s="120"/>
      <c r="E96" s="120"/>
      <c r="F96" s="131"/>
      <c r="G96" s="131"/>
      <c r="H96" s="122" t="s">
        <v>153</v>
      </c>
      <c r="J96" s="2"/>
    </row>
    <row r="97" spans="1:10" x14ac:dyDescent="0.2">
      <c r="A97" s="120"/>
      <c r="B97" s="120"/>
      <c r="C97" s="121" t="s">
        <v>152</v>
      </c>
      <c r="D97" s="120"/>
      <c r="E97" s="120" t="s">
        <v>153</v>
      </c>
      <c r="F97" s="132" t="s">
        <v>155</v>
      </c>
      <c r="G97" s="129">
        <v>0</v>
      </c>
      <c r="H97" s="122" t="s">
        <v>153</v>
      </c>
      <c r="J97" s="2"/>
    </row>
    <row r="98" spans="1:10" x14ac:dyDescent="0.2">
      <c r="A98" s="120"/>
      <c r="B98" s="120"/>
      <c r="C98" s="130"/>
      <c r="D98" s="120"/>
      <c r="E98" s="120"/>
      <c r="F98" s="131"/>
      <c r="G98" s="131"/>
      <c r="H98" s="122" t="s">
        <v>153</v>
      </c>
      <c r="J98" s="2"/>
    </row>
    <row r="99" spans="1:10" x14ac:dyDescent="0.2">
      <c r="A99" s="120"/>
      <c r="B99" s="120"/>
      <c r="C99" s="121" t="s">
        <v>165</v>
      </c>
      <c r="D99" s="120"/>
      <c r="E99" s="120"/>
      <c r="F99" s="128">
        <v>0</v>
      </c>
      <c r="G99" s="129">
        <v>0</v>
      </c>
      <c r="H99" s="122" t="s">
        <v>153</v>
      </c>
      <c r="J99" s="2"/>
    </row>
    <row r="100" spans="1:10" x14ac:dyDescent="0.2">
      <c r="A100" s="120"/>
      <c r="B100" s="120"/>
      <c r="C100" s="130"/>
      <c r="D100" s="120"/>
      <c r="E100" s="120"/>
      <c r="F100" s="131"/>
      <c r="G100" s="131"/>
      <c r="H100" s="122" t="s">
        <v>153</v>
      </c>
      <c r="J100" s="2"/>
    </row>
    <row r="101" spans="1:10" x14ac:dyDescent="0.2">
      <c r="A101" s="120"/>
      <c r="B101" s="120"/>
      <c r="C101" s="121" t="s">
        <v>166</v>
      </c>
      <c r="D101" s="120"/>
      <c r="E101" s="120"/>
      <c r="F101" s="131"/>
      <c r="G101" s="131"/>
      <c r="H101" s="122" t="s">
        <v>153</v>
      </c>
      <c r="J101" s="2"/>
    </row>
    <row r="102" spans="1:10" x14ac:dyDescent="0.2">
      <c r="A102" s="120"/>
      <c r="B102" s="120"/>
      <c r="C102" s="121" t="s">
        <v>167</v>
      </c>
      <c r="D102" s="120"/>
      <c r="E102" s="120"/>
      <c r="F102" s="131"/>
      <c r="G102" s="131"/>
      <c r="H102" s="122" t="s">
        <v>153</v>
      </c>
      <c r="J102" s="2"/>
    </row>
    <row r="103" spans="1:10" x14ac:dyDescent="0.2">
      <c r="A103" s="120"/>
      <c r="B103" s="120"/>
      <c r="C103" s="121" t="s">
        <v>152</v>
      </c>
      <c r="D103" s="120"/>
      <c r="E103" s="120" t="s">
        <v>153</v>
      </c>
      <c r="F103" s="132" t="s">
        <v>155</v>
      </c>
      <c r="G103" s="129">
        <v>0</v>
      </c>
      <c r="H103" s="122" t="s">
        <v>153</v>
      </c>
      <c r="J103" s="2"/>
    </row>
    <row r="104" spans="1:10" x14ac:dyDescent="0.2">
      <c r="A104" s="120"/>
      <c r="B104" s="120"/>
      <c r="C104" s="130"/>
      <c r="D104" s="120"/>
      <c r="E104" s="120"/>
      <c r="F104" s="131"/>
      <c r="G104" s="131"/>
      <c r="H104" s="122" t="s">
        <v>153</v>
      </c>
      <c r="J104" s="2"/>
    </row>
    <row r="105" spans="1:10" x14ac:dyDescent="0.2">
      <c r="A105" s="120"/>
      <c r="B105" s="120"/>
      <c r="C105" s="121" t="s">
        <v>168</v>
      </c>
      <c r="D105" s="120"/>
      <c r="E105" s="120"/>
      <c r="F105" s="131"/>
      <c r="G105" s="131"/>
      <c r="H105" s="122" t="s">
        <v>153</v>
      </c>
      <c r="J105" s="2"/>
    </row>
    <row r="106" spans="1:10" x14ac:dyDescent="0.2">
      <c r="A106" s="120"/>
      <c r="B106" s="120"/>
      <c r="C106" s="121" t="s">
        <v>152</v>
      </c>
      <c r="D106" s="120"/>
      <c r="E106" s="120" t="s">
        <v>153</v>
      </c>
      <c r="F106" s="132" t="s">
        <v>155</v>
      </c>
      <c r="G106" s="129">
        <v>0</v>
      </c>
      <c r="H106" s="122" t="s">
        <v>153</v>
      </c>
      <c r="J106" s="2"/>
    </row>
    <row r="107" spans="1:10" x14ac:dyDescent="0.2">
      <c r="A107" s="120"/>
      <c r="B107" s="120"/>
      <c r="C107" s="130"/>
      <c r="D107" s="120"/>
      <c r="E107" s="120"/>
      <c r="F107" s="131"/>
      <c r="G107" s="131"/>
      <c r="H107" s="122" t="s">
        <v>153</v>
      </c>
      <c r="J107" s="2"/>
    </row>
    <row r="108" spans="1:10" x14ac:dyDescent="0.2">
      <c r="A108" s="120"/>
      <c r="B108" s="120"/>
      <c r="C108" s="121" t="s">
        <v>169</v>
      </c>
      <c r="D108" s="120"/>
      <c r="E108" s="120"/>
      <c r="F108" s="131"/>
      <c r="G108" s="131"/>
      <c r="H108" s="122" t="s">
        <v>153</v>
      </c>
      <c r="J108" s="2"/>
    </row>
    <row r="109" spans="1:10" x14ac:dyDescent="0.2">
      <c r="A109" s="120"/>
      <c r="B109" s="120"/>
      <c r="C109" s="121" t="s">
        <v>152</v>
      </c>
      <c r="D109" s="120"/>
      <c r="E109" s="120" t="s">
        <v>153</v>
      </c>
      <c r="F109" s="132" t="s">
        <v>155</v>
      </c>
      <c r="G109" s="129">
        <v>0</v>
      </c>
      <c r="H109" s="122" t="s">
        <v>153</v>
      </c>
      <c r="J109" s="2"/>
    </row>
    <row r="110" spans="1:10" x14ac:dyDescent="0.2">
      <c r="A110" s="120"/>
      <c r="B110" s="120"/>
      <c r="C110" s="130"/>
      <c r="D110" s="120"/>
      <c r="E110" s="120"/>
      <c r="F110" s="131"/>
      <c r="G110" s="131"/>
      <c r="H110" s="122" t="s">
        <v>153</v>
      </c>
      <c r="J110" s="2"/>
    </row>
    <row r="111" spans="1:10" x14ac:dyDescent="0.2">
      <c r="A111" s="120"/>
      <c r="B111" s="120"/>
      <c r="C111" s="121" t="s">
        <v>170</v>
      </c>
      <c r="D111" s="120"/>
      <c r="E111" s="120"/>
      <c r="F111" s="131"/>
      <c r="G111" s="131"/>
      <c r="H111" s="122" t="s">
        <v>153</v>
      </c>
      <c r="J111" s="2"/>
    </row>
    <row r="112" spans="1:10" x14ac:dyDescent="0.2">
      <c r="A112" s="123">
        <v>1</v>
      </c>
      <c r="B112" s="124"/>
      <c r="C112" s="124" t="s">
        <v>171</v>
      </c>
      <c r="D112" s="124"/>
      <c r="E112" s="133"/>
      <c r="F112" s="126">
        <v>2369.390391896</v>
      </c>
      <c r="G112" s="127">
        <v>2.2498959999999998E-2</v>
      </c>
      <c r="H112" s="122">
        <v>6.62</v>
      </c>
      <c r="J112" s="2"/>
    </row>
    <row r="113" spans="1:10" x14ac:dyDescent="0.2">
      <c r="A113" s="120"/>
      <c r="B113" s="120"/>
      <c r="C113" s="121" t="s">
        <v>152</v>
      </c>
      <c r="D113" s="120"/>
      <c r="E113" s="120" t="s">
        <v>153</v>
      </c>
      <c r="F113" s="128">
        <v>2369.390391896</v>
      </c>
      <c r="G113" s="129">
        <v>2.2498959999999998E-2</v>
      </c>
      <c r="H113" s="122" t="s">
        <v>153</v>
      </c>
      <c r="J113" s="2"/>
    </row>
    <row r="114" spans="1:10" x14ac:dyDescent="0.2">
      <c r="A114" s="120"/>
      <c r="B114" s="120"/>
      <c r="C114" s="130"/>
      <c r="D114" s="120"/>
      <c r="E114" s="120"/>
      <c r="F114" s="131"/>
      <c r="G114" s="131"/>
      <c r="H114" s="122" t="s">
        <v>153</v>
      </c>
      <c r="J114" s="2"/>
    </row>
    <row r="115" spans="1:10" x14ac:dyDescent="0.2">
      <c r="A115" s="120"/>
      <c r="B115" s="120"/>
      <c r="C115" s="121" t="s">
        <v>172</v>
      </c>
      <c r="D115" s="120"/>
      <c r="E115" s="120"/>
      <c r="F115" s="128">
        <v>2369.390391896</v>
      </c>
      <c r="G115" s="129">
        <v>2.2498959999999998E-2</v>
      </c>
      <c r="H115" s="122" t="s">
        <v>153</v>
      </c>
      <c r="J115" s="2"/>
    </row>
    <row r="116" spans="1:10" x14ac:dyDescent="0.2">
      <c r="A116" s="120"/>
      <c r="B116" s="120"/>
      <c r="C116" s="131"/>
      <c r="D116" s="120"/>
      <c r="E116" s="120"/>
      <c r="F116" s="120"/>
      <c r="G116" s="120"/>
      <c r="H116" s="122" t="s">
        <v>153</v>
      </c>
      <c r="J116" s="2"/>
    </row>
    <row r="117" spans="1:10" x14ac:dyDescent="0.2">
      <c r="A117" s="120"/>
      <c r="B117" s="120"/>
      <c r="C117" s="121" t="s">
        <v>173</v>
      </c>
      <c r="D117" s="120"/>
      <c r="E117" s="120"/>
      <c r="F117" s="120"/>
      <c r="G117" s="120"/>
      <c r="H117" s="122" t="s">
        <v>153</v>
      </c>
      <c r="J117" s="2"/>
    </row>
    <row r="118" spans="1:10" x14ac:dyDescent="0.2">
      <c r="A118" s="120"/>
      <c r="B118" s="120"/>
      <c r="C118" s="121" t="s">
        <v>174</v>
      </c>
      <c r="D118" s="120"/>
      <c r="E118" s="120"/>
      <c r="F118" s="120"/>
      <c r="G118" s="120"/>
      <c r="H118" s="122" t="s">
        <v>153</v>
      </c>
      <c r="J118" s="2"/>
    </row>
    <row r="119" spans="1:10" x14ac:dyDescent="0.2">
      <c r="A119" s="120"/>
      <c r="B119" s="120"/>
      <c r="C119" s="121" t="s">
        <v>152</v>
      </c>
      <c r="D119" s="120"/>
      <c r="E119" s="120" t="s">
        <v>153</v>
      </c>
      <c r="F119" s="132" t="s">
        <v>155</v>
      </c>
      <c r="G119" s="129">
        <v>0</v>
      </c>
      <c r="H119" s="122" t="s">
        <v>153</v>
      </c>
      <c r="J119" s="2"/>
    </row>
    <row r="120" spans="1:10" x14ac:dyDescent="0.2">
      <c r="A120" s="120"/>
      <c r="B120" s="120"/>
      <c r="C120" s="130"/>
      <c r="D120" s="120"/>
      <c r="E120" s="120"/>
      <c r="F120" s="131"/>
      <c r="G120" s="131"/>
      <c r="H120" s="122" t="s">
        <v>153</v>
      </c>
      <c r="J120" s="2"/>
    </row>
    <row r="121" spans="1:10" x14ac:dyDescent="0.2">
      <c r="A121" s="120"/>
      <c r="B121" s="120"/>
      <c r="C121" s="121" t="s">
        <v>175</v>
      </c>
      <c r="D121" s="120"/>
      <c r="E121" s="120"/>
      <c r="F121" s="120"/>
      <c r="G121" s="120"/>
      <c r="H121" s="122" t="s">
        <v>153</v>
      </c>
      <c r="J121" s="2"/>
    </row>
    <row r="122" spans="1:10" x14ac:dyDescent="0.2">
      <c r="A122" s="120"/>
      <c r="B122" s="120"/>
      <c r="C122" s="121" t="s">
        <v>176</v>
      </c>
      <c r="D122" s="120"/>
      <c r="E122" s="120"/>
      <c r="F122" s="120"/>
      <c r="G122" s="120"/>
      <c r="H122" s="122" t="s">
        <v>153</v>
      </c>
      <c r="J122" s="2"/>
    </row>
    <row r="123" spans="1:10" x14ac:dyDescent="0.2">
      <c r="A123" s="120"/>
      <c r="B123" s="120"/>
      <c r="C123" s="121" t="s">
        <v>152</v>
      </c>
      <c r="D123" s="120"/>
      <c r="E123" s="120" t="s">
        <v>153</v>
      </c>
      <c r="F123" s="132" t="s">
        <v>155</v>
      </c>
      <c r="G123" s="129">
        <v>0</v>
      </c>
      <c r="H123" s="122" t="s">
        <v>153</v>
      </c>
      <c r="J123" s="2"/>
    </row>
    <row r="124" spans="1:10" x14ac:dyDescent="0.2">
      <c r="A124" s="120"/>
      <c r="B124" s="120"/>
      <c r="C124" s="130"/>
      <c r="D124" s="120"/>
      <c r="E124" s="120"/>
      <c r="F124" s="131"/>
      <c r="G124" s="131"/>
      <c r="H124" s="122" t="s">
        <v>153</v>
      </c>
      <c r="J124" s="2"/>
    </row>
    <row r="125" spans="1:10" x14ac:dyDescent="0.2">
      <c r="A125" s="120"/>
      <c r="B125" s="120"/>
      <c r="C125" s="121" t="s">
        <v>177</v>
      </c>
      <c r="D125" s="120"/>
      <c r="E125" s="120"/>
      <c r="F125" s="131"/>
      <c r="G125" s="131"/>
      <c r="H125" s="122" t="s">
        <v>153</v>
      </c>
      <c r="J125" s="2"/>
    </row>
    <row r="126" spans="1:10" x14ac:dyDescent="0.2">
      <c r="A126" s="120"/>
      <c r="B126" s="120"/>
      <c r="C126" s="121" t="s">
        <v>152</v>
      </c>
      <c r="D126" s="120"/>
      <c r="E126" s="120" t="s">
        <v>153</v>
      </c>
      <c r="F126" s="132" t="s">
        <v>155</v>
      </c>
      <c r="G126" s="129">
        <v>0</v>
      </c>
      <c r="H126" s="122" t="s">
        <v>153</v>
      </c>
      <c r="J126" s="2"/>
    </row>
    <row r="127" spans="1:10" x14ac:dyDescent="0.2">
      <c r="A127" s="120"/>
      <c r="B127" s="120"/>
      <c r="C127" s="130"/>
      <c r="D127" s="120"/>
      <c r="E127" s="120"/>
      <c r="F127" s="131"/>
      <c r="G127" s="131"/>
      <c r="H127" s="122" t="s">
        <v>153</v>
      </c>
      <c r="J127" s="2"/>
    </row>
    <row r="128" spans="1:10" x14ac:dyDescent="0.2">
      <c r="A128" s="133"/>
      <c r="B128" s="124"/>
      <c r="C128" s="124" t="s">
        <v>178</v>
      </c>
      <c r="D128" s="124"/>
      <c r="E128" s="133"/>
      <c r="F128" s="126">
        <v>2439.1356293200001</v>
      </c>
      <c r="G128" s="127">
        <v>2.316124E-2</v>
      </c>
      <c r="H128" s="122" t="s">
        <v>153</v>
      </c>
      <c r="J128" s="2"/>
    </row>
    <row r="129" spans="1:17" x14ac:dyDescent="0.2">
      <c r="A129" s="130"/>
      <c r="B129" s="130"/>
      <c r="C129" s="121" t="s">
        <v>179</v>
      </c>
      <c r="D129" s="131"/>
      <c r="E129" s="131"/>
      <c r="F129" s="128">
        <v>105311.102842405</v>
      </c>
      <c r="G129" s="134">
        <v>1.0000000600000001</v>
      </c>
      <c r="H129" s="122" t="s">
        <v>153</v>
      </c>
      <c r="J129" s="2"/>
    </row>
    <row r="130" spans="1:17" x14ac:dyDescent="0.2">
      <c r="A130" s="135"/>
      <c r="B130" s="135"/>
      <c r="C130" s="135"/>
      <c r="D130" s="136"/>
      <c r="E130" s="136"/>
      <c r="F130" s="136"/>
      <c r="G130" s="136"/>
      <c r="J130" s="2"/>
    </row>
    <row r="131" spans="1:17" ht="12.75" customHeight="1" x14ac:dyDescent="0.2">
      <c r="A131" s="137"/>
      <c r="B131" s="226" t="s">
        <v>863</v>
      </c>
      <c r="C131" s="226"/>
      <c r="D131" s="226"/>
      <c r="E131" s="226"/>
      <c r="F131" s="226"/>
      <c r="G131" s="226"/>
      <c r="H131" s="226"/>
      <c r="J131" s="2"/>
    </row>
    <row r="132" spans="1:17" ht="14.1" customHeight="1" x14ac:dyDescent="0.2">
      <c r="A132" s="137"/>
      <c r="B132" s="226" t="s">
        <v>864</v>
      </c>
      <c r="C132" s="226"/>
      <c r="D132" s="226"/>
      <c r="E132" s="226"/>
      <c r="F132" s="226"/>
      <c r="G132" s="226"/>
      <c r="H132" s="226"/>
      <c r="J132" s="2"/>
    </row>
    <row r="133" spans="1:17" ht="17.100000000000001" customHeight="1" x14ac:dyDescent="0.2">
      <c r="A133" s="137"/>
      <c r="B133" s="226" t="s">
        <v>865</v>
      </c>
      <c r="C133" s="226"/>
      <c r="D133" s="226"/>
      <c r="E133" s="226"/>
      <c r="F133" s="226"/>
      <c r="G133" s="226"/>
      <c r="H133" s="226"/>
      <c r="J133" s="2"/>
    </row>
    <row r="134" spans="1:17" s="5" customFormat="1" ht="65.25" customHeight="1" x14ac:dyDescent="0.25">
      <c r="A134" s="139"/>
      <c r="B134" s="227" t="s">
        <v>866</v>
      </c>
      <c r="C134" s="227"/>
      <c r="D134" s="227"/>
      <c r="E134" s="227"/>
      <c r="F134" s="227"/>
      <c r="G134" s="227"/>
      <c r="H134" s="227"/>
      <c r="I134"/>
      <c r="J134" s="2"/>
      <c r="K134"/>
      <c r="L134"/>
      <c r="M134"/>
      <c r="N134"/>
      <c r="O134"/>
      <c r="P134"/>
      <c r="Q134"/>
    </row>
    <row r="135" spans="1:17" ht="12.75" customHeight="1" x14ac:dyDescent="0.2">
      <c r="A135" s="137"/>
      <c r="B135" s="226" t="s">
        <v>867</v>
      </c>
      <c r="C135" s="226"/>
      <c r="D135" s="226"/>
      <c r="E135" s="226"/>
      <c r="F135" s="226"/>
      <c r="G135" s="226"/>
      <c r="H135" s="226"/>
      <c r="J135" s="2"/>
    </row>
    <row r="136" spans="1:17" x14ac:dyDescent="0.2">
      <c r="A136" s="140"/>
      <c r="B136" s="140"/>
      <c r="C136" s="140"/>
      <c r="D136" s="141"/>
      <c r="E136" s="141"/>
      <c r="F136" s="141"/>
      <c r="G136" s="141"/>
      <c r="J136" s="2"/>
    </row>
    <row r="137" spans="1:17" x14ac:dyDescent="0.2">
      <c r="A137" s="140"/>
      <c r="B137" s="228" t="s">
        <v>180</v>
      </c>
      <c r="C137" s="229"/>
      <c r="D137" s="230"/>
      <c r="E137" s="142"/>
      <c r="F137" s="141"/>
      <c r="G137" s="141"/>
      <c r="J137" s="2"/>
    </row>
    <row r="138" spans="1:17" x14ac:dyDescent="0.2">
      <c r="A138" s="140"/>
      <c r="B138" s="223" t="s">
        <v>181</v>
      </c>
      <c r="C138" s="224"/>
      <c r="D138" s="121" t="s">
        <v>182</v>
      </c>
      <c r="E138" s="142"/>
      <c r="F138" s="141"/>
      <c r="G138" s="141"/>
      <c r="J138" s="2"/>
    </row>
    <row r="139" spans="1:17" ht="12.75" customHeight="1" x14ac:dyDescent="0.2">
      <c r="A139" s="140"/>
      <c r="B139" s="221" t="s">
        <v>868</v>
      </c>
      <c r="C139" s="222"/>
      <c r="D139" s="143" t="str">
        <f>"Rs. "&amp;TEXT(F72,"0.00")&amp;" lacs/ #"</f>
        <v>Rs. 0.00 lacs/ #</v>
      </c>
      <c r="E139" s="142"/>
      <c r="F139" s="141"/>
      <c r="G139" s="141"/>
      <c r="J139" s="2"/>
    </row>
    <row r="140" spans="1:17" x14ac:dyDescent="0.2">
      <c r="A140" s="140"/>
      <c r="B140" s="223" t="s">
        <v>184</v>
      </c>
      <c r="C140" s="224"/>
      <c r="D140" s="131" t="s">
        <v>153</v>
      </c>
      <c r="E140" s="142"/>
      <c r="F140" s="141"/>
      <c r="G140" s="141"/>
      <c r="J140" s="2"/>
    </row>
    <row r="141" spans="1:17" x14ac:dyDescent="0.2">
      <c r="A141" s="144"/>
      <c r="B141" s="145" t="s">
        <v>153</v>
      </c>
      <c r="C141" s="145" t="s">
        <v>870</v>
      </c>
      <c r="D141" s="145" t="s">
        <v>185</v>
      </c>
      <c r="E141" s="144"/>
      <c r="F141" s="144"/>
      <c r="G141" s="144"/>
      <c r="H141" s="144"/>
      <c r="J141" s="2"/>
    </row>
    <row r="142" spans="1:17" x14ac:dyDescent="0.2">
      <c r="A142" s="146"/>
      <c r="B142" s="147" t="s">
        <v>186</v>
      </c>
      <c r="C142" s="148">
        <v>45504</v>
      </c>
      <c r="D142" s="149">
        <v>45535</v>
      </c>
      <c r="E142" s="146"/>
      <c r="F142" s="146"/>
      <c r="G142" s="146"/>
      <c r="J142" s="2"/>
    </row>
    <row r="143" spans="1:17" x14ac:dyDescent="0.2">
      <c r="A143" s="146"/>
      <c r="B143" s="124" t="s">
        <v>187</v>
      </c>
      <c r="C143" s="150">
        <v>105.0167</v>
      </c>
      <c r="D143" s="150">
        <v>103.9757</v>
      </c>
      <c r="E143" s="146"/>
      <c r="F143" s="151"/>
      <c r="G143" s="152"/>
      <c r="J143" s="2"/>
    </row>
    <row r="144" spans="1:17" x14ac:dyDescent="0.2">
      <c r="A144" s="146"/>
      <c r="B144" s="124" t="s">
        <v>926</v>
      </c>
      <c r="C144" s="150">
        <v>69.980800000000002</v>
      </c>
      <c r="D144" s="150">
        <v>69.287099999999995</v>
      </c>
      <c r="E144" s="146"/>
      <c r="F144" s="151"/>
      <c r="G144" s="152"/>
      <c r="J144" s="2"/>
    </row>
    <row r="145" spans="1:10" x14ac:dyDescent="0.2">
      <c r="A145" s="146"/>
      <c r="B145" s="124" t="s">
        <v>188</v>
      </c>
      <c r="C145" s="150">
        <v>98.796199999999999</v>
      </c>
      <c r="D145" s="150">
        <v>97.768699999999995</v>
      </c>
      <c r="E145" s="146"/>
      <c r="F145" s="151"/>
      <c r="G145" s="152"/>
      <c r="J145" s="2"/>
    </row>
    <row r="146" spans="1:10" x14ac:dyDescent="0.2">
      <c r="A146" s="146"/>
      <c r="B146" s="124" t="s">
        <v>927</v>
      </c>
      <c r="C146" s="150">
        <v>65.501300000000001</v>
      </c>
      <c r="D146" s="150">
        <v>64.819999999999993</v>
      </c>
      <c r="E146" s="146"/>
      <c r="F146" s="151"/>
      <c r="G146" s="152"/>
      <c r="J146" s="2"/>
    </row>
    <row r="147" spans="1:10" x14ac:dyDescent="0.2">
      <c r="A147" s="146"/>
      <c r="B147" s="146"/>
      <c r="C147" s="146"/>
      <c r="D147" s="146"/>
      <c r="E147" s="146"/>
      <c r="F147" s="146"/>
      <c r="G147" s="146"/>
      <c r="J147" s="2"/>
    </row>
    <row r="148" spans="1:10" x14ac:dyDescent="0.2">
      <c r="A148" s="144"/>
      <c r="B148" s="221" t="s">
        <v>869</v>
      </c>
      <c r="C148" s="222"/>
      <c r="D148" s="143" t="s">
        <v>182</v>
      </c>
      <c r="E148" s="144"/>
      <c r="F148" s="144"/>
      <c r="G148" s="144"/>
      <c r="J148" s="2"/>
    </row>
    <row r="149" spans="1:10" x14ac:dyDescent="0.2">
      <c r="A149" s="144"/>
      <c r="B149" s="138"/>
      <c r="C149" s="138"/>
      <c r="D149" s="144"/>
      <c r="E149" s="144"/>
      <c r="F149" s="144"/>
      <c r="G149" s="144"/>
      <c r="J149" s="2"/>
    </row>
    <row r="150" spans="1:10" x14ac:dyDescent="0.2">
      <c r="A150" s="144"/>
      <c r="B150" s="221" t="s">
        <v>189</v>
      </c>
      <c r="C150" s="222"/>
      <c r="D150" s="143" t="s">
        <v>182</v>
      </c>
      <c r="E150" s="153"/>
      <c r="F150" s="144"/>
      <c r="G150" s="144"/>
      <c r="J150" s="2"/>
    </row>
    <row r="151" spans="1:10" x14ac:dyDescent="0.2">
      <c r="A151" s="144"/>
      <c r="B151" s="221" t="s">
        <v>190</v>
      </c>
      <c r="C151" s="222"/>
      <c r="D151" s="143" t="s">
        <v>182</v>
      </c>
      <c r="E151" s="153"/>
      <c r="F151" s="144"/>
      <c r="G151" s="144"/>
      <c r="J151" s="2"/>
    </row>
    <row r="152" spans="1:10" x14ac:dyDescent="0.2">
      <c r="A152" s="144"/>
      <c r="B152" s="221" t="s">
        <v>191</v>
      </c>
      <c r="C152" s="222"/>
      <c r="D152" s="143" t="s">
        <v>182</v>
      </c>
      <c r="E152" s="153"/>
      <c r="F152" s="144"/>
      <c r="G152" s="144"/>
      <c r="J152" s="2"/>
    </row>
    <row r="153" spans="1:10" x14ac:dyDescent="0.2">
      <c r="A153" s="144"/>
      <c r="B153" s="221" t="s">
        <v>192</v>
      </c>
      <c r="C153" s="222"/>
      <c r="D153" s="154">
        <v>0.35475874440401073</v>
      </c>
      <c r="E153" s="144"/>
      <c r="F153" s="138"/>
      <c r="G153" s="155"/>
      <c r="J153" s="2"/>
    </row>
    <row r="154" spans="1:10" x14ac:dyDescent="0.2">
      <c r="J154" s="2"/>
    </row>
    <row r="155" spans="1:10" x14ac:dyDescent="0.2">
      <c r="J155" s="2"/>
    </row>
  </sheetData>
  <mergeCells count="17">
    <mergeCell ref="B138:C138"/>
    <mergeCell ref="A1:H1"/>
    <mergeCell ref="A2:H2"/>
    <mergeCell ref="A3:H3"/>
    <mergeCell ref="B131:H131"/>
    <mergeCell ref="B132:H132"/>
    <mergeCell ref="B133:H133"/>
    <mergeCell ref="B134:H134"/>
    <mergeCell ref="B135:H135"/>
    <mergeCell ref="B137:D137"/>
    <mergeCell ref="B139:C139"/>
    <mergeCell ref="B140:C140"/>
    <mergeCell ref="B148:C148"/>
    <mergeCell ref="B152:C152"/>
    <mergeCell ref="B153:C153"/>
    <mergeCell ref="B150:C150"/>
    <mergeCell ref="B151:C151"/>
  </mergeCells>
  <hyperlinks>
    <hyperlink ref="I1" location="Index!B2" display="Index" xr:uid="{E96192C2-2056-4266-8E20-00A0E744052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7258F-1D8A-458F-940C-E4EFD1D62EA7}">
  <sheetPr>
    <outlinePr summaryBelow="0" summaryRight="0"/>
  </sheetPr>
  <dimension ref="A1:Q9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5.7109375" style="15" bestFit="1" customWidth="1"/>
    <col min="10" max="10" width="50.7109375" style="8"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10" ht="15" x14ac:dyDescent="0.2">
      <c r="A1" s="225" t="s">
        <v>0</v>
      </c>
      <c r="B1" s="225"/>
      <c r="C1" s="225"/>
      <c r="D1" s="225"/>
      <c r="E1" s="225"/>
      <c r="F1" s="225"/>
      <c r="G1" s="225"/>
      <c r="H1" s="225"/>
      <c r="I1" s="16" t="s">
        <v>913</v>
      </c>
      <c r="J1" s="2"/>
    </row>
    <row r="2" spans="1:10" ht="15" x14ac:dyDescent="0.2">
      <c r="A2" s="225" t="s">
        <v>848</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I4" s="17"/>
      <c r="J4" s="2"/>
    </row>
    <row r="5" spans="1:10" ht="14.1" customHeight="1" x14ac:dyDescent="0.2">
      <c r="A5" s="120"/>
      <c r="B5" s="120"/>
      <c r="C5" s="121" t="s">
        <v>9</v>
      </c>
      <c r="D5" s="120"/>
      <c r="E5" s="120"/>
      <c r="F5" s="120"/>
      <c r="G5" s="120"/>
      <c r="H5" s="122" t="s">
        <v>153</v>
      </c>
      <c r="J5" s="2"/>
    </row>
    <row r="6" spans="1:10" ht="24" customHeight="1" x14ac:dyDescent="0.2">
      <c r="A6" s="120"/>
      <c r="B6" s="120"/>
      <c r="C6" s="121" t="s">
        <v>10</v>
      </c>
      <c r="D6" s="120"/>
      <c r="E6" s="120"/>
      <c r="F6" s="120"/>
      <c r="G6" s="120"/>
      <c r="H6" s="122" t="s">
        <v>153</v>
      </c>
      <c r="J6" s="2"/>
    </row>
    <row r="7" spans="1:10" ht="14.1" customHeight="1" x14ac:dyDescent="0.2">
      <c r="A7" s="120"/>
      <c r="B7" s="120"/>
      <c r="C7" s="121" t="s">
        <v>152</v>
      </c>
      <c r="D7" s="120"/>
      <c r="E7" s="120" t="s">
        <v>153</v>
      </c>
      <c r="F7" s="132" t="s">
        <v>155</v>
      </c>
      <c r="G7" s="129">
        <v>0</v>
      </c>
      <c r="H7" s="122" t="s">
        <v>153</v>
      </c>
      <c r="J7" s="2"/>
    </row>
    <row r="8" spans="1:10" ht="14.1" customHeight="1" x14ac:dyDescent="0.2">
      <c r="A8" s="120"/>
      <c r="B8" s="120"/>
      <c r="C8" s="130"/>
      <c r="D8" s="120"/>
      <c r="E8" s="120"/>
      <c r="F8" s="131"/>
      <c r="G8" s="131"/>
      <c r="H8" s="122" t="s">
        <v>153</v>
      </c>
      <c r="J8" s="2"/>
    </row>
    <row r="9" spans="1:10" ht="14.1" customHeight="1" x14ac:dyDescent="0.2">
      <c r="A9" s="120"/>
      <c r="B9" s="120"/>
      <c r="C9" s="121" t="s">
        <v>154</v>
      </c>
      <c r="D9" s="120"/>
      <c r="E9" s="120"/>
      <c r="F9" s="120"/>
      <c r="G9" s="120"/>
      <c r="H9" s="122" t="s">
        <v>153</v>
      </c>
      <c r="J9" s="2"/>
    </row>
    <row r="10" spans="1:10" ht="14.1" customHeight="1" x14ac:dyDescent="0.2">
      <c r="A10" s="120"/>
      <c r="B10" s="120"/>
      <c r="C10" s="121" t="s">
        <v>152</v>
      </c>
      <c r="D10" s="120"/>
      <c r="E10" s="120" t="s">
        <v>153</v>
      </c>
      <c r="F10" s="132" t="s">
        <v>155</v>
      </c>
      <c r="G10" s="129">
        <v>0</v>
      </c>
      <c r="H10" s="122" t="s">
        <v>153</v>
      </c>
      <c r="J10" s="2"/>
    </row>
    <row r="11" spans="1:10" ht="14.1" customHeight="1" x14ac:dyDescent="0.2">
      <c r="A11" s="120"/>
      <c r="B11" s="120"/>
      <c r="C11" s="130"/>
      <c r="D11" s="120"/>
      <c r="E11" s="120"/>
      <c r="F11" s="131"/>
      <c r="G11" s="131"/>
      <c r="H11" s="122" t="s">
        <v>153</v>
      </c>
      <c r="J11" s="2"/>
    </row>
    <row r="12" spans="1:10" ht="14.1" customHeight="1" x14ac:dyDescent="0.2">
      <c r="A12" s="120"/>
      <c r="B12" s="120"/>
      <c r="C12" s="121" t="s">
        <v>156</v>
      </c>
      <c r="D12" s="120"/>
      <c r="E12" s="120"/>
      <c r="F12" s="120"/>
      <c r="G12" s="120"/>
      <c r="H12" s="122" t="s">
        <v>153</v>
      </c>
      <c r="J12" s="7"/>
    </row>
    <row r="13" spans="1:10" ht="14.1" customHeight="1" x14ac:dyDescent="0.2">
      <c r="A13" s="120"/>
      <c r="B13" s="120"/>
      <c r="C13" s="121" t="s">
        <v>152</v>
      </c>
      <c r="D13" s="120"/>
      <c r="E13" s="120" t="s">
        <v>153</v>
      </c>
      <c r="F13" s="132" t="s">
        <v>155</v>
      </c>
      <c r="G13" s="129">
        <v>0</v>
      </c>
      <c r="H13" s="122" t="s">
        <v>153</v>
      </c>
      <c r="J13" s="2"/>
    </row>
    <row r="14" spans="1:10" ht="14.1" customHeight="1" x14ac:dyDescent="0.2">
      <c r="A14" s="120"/>
      <c r="B14" s="120"/>
      <c r="C14" s="130"/>
      <c r="D14" s="120"/>
      <c r="E14" s="120"/>
      <c r="F14" s="131"/>
      <c r="G14" s="131"/>
      <c r="H14" s="122" t="s">
        <v>153</v>
      </c>
      <c r="J14" s="2"/>
    </row>
    <row r="15" spans="1:10" ht="14.1" customHeight="1" x14ac:dyDescent="0.2">
      <c r="A15" s="120"/>
      <c r="B15" s="120"/>
      <c r="C15" s="121" t="s">
        <v>157</v>
      </c>
      <c r="D15" s="120"/>
      <c r="E15" s="120"/>
      <c r="F15" s="120"/>
      <c r="G15" s="120"/>
      <c r="H15" s="122" t="s">
        <v>153</v>
      </c>
      <c r="J15" s="2"/>
    </row>
    <row r="16" spans="1:10" ht="14.1" customHeight="1" x14ac:dyDescent="0.2">
      <c r="A16" s="120"/>
      <c r="B16" s="120"/>
      <c r="C16" s="121" t="s">
        <v>152</v>
      </c>
      <c r="D16" s="120"/>
      <c r="E16" s="120" t="s">
        <v>153</v>
      </c>
      <c r="F16" s="132" t="s">
        <v>155</v>
      </c>
      <c r="G16" s="129">
        <v>0</v>
      </c>
      <c r="H16" s="122" t="s">
        <v>153</v>
      </c>
      <c r="J16" s="2" t="s">
        <v>915</v>
      </c>
    </row>
    <row r="17" spans="1:10" ht="14.1" customHeight="1" x14ac:dyDescent="0.2">
      <c r="A17" s="120"/>
      <c r="B17" s="120"/>
      <c r="C17" s="130"/>
      <c r="D17" s="120"/>
      <c r="E17" s="120"/>
      <c r="F17" s="131"/>
      <c r="G17" s="131"/>
      <c r="H17" s="122" t="s">
        <v>153</v>
      </c>
      <c r="J17" s="2"/>
    </row>
    <row r="18" spans="1:10" ht="14.1" customHeight="1" x14ac:dyDescent="0.2">
      <c r="A18" s="120"/>
      <c r="B18" s="120"/>
      <c r="C18" s="121" t="s">
        <v>158</v>
      </c>
      <c r="D18" s="120"/>
      <c r="E18" s="120"/>
      <c r="F18" s="131"/>
      <c r="G18" s="131"/>
      <c r="H18" s="122" t="s">
        <v>153</v>
      </c>
      <c r="J18" s="2"/>
    </row>
    <row r="19" spans="1:10" ht="14.1" customHeight="1" x14ac:dyDescent="0.2">
      <c r="A19" s="120"/>
      <c r="B19" s="120"/>
      <c r="C19" s="121" t="s">
        <v>152</v>
      </c>
      <c r="D19" s="120"/>
      <c r="E19" s="120" t="s">
        <v>153</v>
      </c>
      <c r="F19" s="132" t="s">
        <v>155</v>
      </c>
      <c r="G19" s="129">
        <v>0</v>
      </c>
      <c r="H19" s="122" t="s">
        <v>153</v>
      </c>
      <c r="J19" s="2"/>
    </row>
    <row r="20" spans="1:10" ht="14.1" customHeight="1" x14ac:dyDescent="0.2">
      <c r="A20" s="120"/>
      <c r="B20" s="120"/>
      <c r="C20" s="130"/>
      <c r="D20" s="120"/>
      <c r="E20" s="120"/>
      <c r="F20" s="131"/>
      <c r="G20" s="131"/>
      <c r="H20" s="122" t="s">
        <v>153</v>
      </c>
      <c r="J20" s="2"/>
    </row>
    <row r="21" spans="1:10" ht="14.1" customHeight="1" x14ac:dyDescent="0.2">
      <c r="A21" s="120"/>
      <c r="B21" s="120"/>
      <c r="C21" s="121" t="s">
        <v>159</v>
      </c>
      <c r="D21" s="120"/>
      <c r="E21" s="120"/>
      <c r="F21" s="131"/>
      <c r="G21" s="131"/>
      <c r="H21" s="122" t="s">
        <v>153</v>
      </c>
      <c r="J21" s="2"/>
    </row>
    <row r="22" spans="1:10" ht="14.1" customHeight="1" x14ac:dyDescent="0.2">
      <c r="A22" s="120"/>
      <c r="B22" s="120"/>
      <c r="C22" s="121" t="s">
        <v>152</v>
      </c>
      <c r="D22" s="120"/>
      <c r="E22" s="120" t="s">
        <v>153</v>
      </c>
      <c r="F22" s="132" t="s">
        <v>155</v>
      </c>
      <c r="G22" s="129">
        <v>0</v>
      </c>
      <c r="H22" s="122" t="s">
        <v>153</v>
      </c>
      <c r="J22" s="7"/>
    </row>
    <row r="23" spans="1:10" ht="14.1" customHeight="1" x14ac:dyDescent="0.2">
      <c r="A23" s="120"/>
      <c r="B23" s="120"/>
      <c r="C23" s="130"/>
      <c r="D23" s="120"/>
      <c r="E23" s="120"/>
      <c r="F23" s="131"/>
      <c r="G23" s="131"/>
      <c r="H23" s="122" t="s">
        <v>153</v>
      </c>
      <c r="J23" s="2"/>
    </row>
    <row r="24" spans="1:10" ht="18" customHeight="1" x14ac:dyDescent="0.2">
      <c r="A24" s="120"/>
      <c r="B24" s="120"/>
      <c r="C24" s="121" t="s">
        <v>160</v>
      </c>
      <c r="D24" s="120"/>
      <c r="E24" s="120"/>
      <c r="F24" s="128">
        <v>0</v>
      </c>
      <c r="G24" s="129">
        <v>0</v>
      </c>
      <c r="H24" s="122" t="s">
        <v>153</v>
      </c>
      <c r="J24" s="2"/>
    </row>
    <row r="25" spans="1:10" ht="14.1" customHeight="1" x14ac:dyDescent="0.2">
      <c r="A25" s="120"/>
      <c r="B25" s="120"/>
      <c r="C25" s="130"/>
      <c r="D25" s="120"/>
      <c r="E25" s="120"/>
      <c r="F25" s="131"/>
      <c r="G25" s="131"/>
      <c r="H25" s="122" t="s">
        <v>153</v>
      </c>
      <c r="J25" s="2"/>
    </row>
    <row r="26" spans="1:10" ht="14.1" customHeight="1" x14ac:dyDescent="0.2">
      <c r="A26" s="120"/>
      <c r="B26" s="120"/>
      <c r="C26" s="121" t="s">
        <v>161</v>
      </c>
      <c r="D26" s="120"/>
      <c r="E26" s="120"/>
      <c r="F26" s="131"/>
      <c r="G26" s="131"/>
      <c r="H26" s="122" t="s">
        <v>153</v>
      </c>
      <c r="J26" s="2"/>
    </row>
    <row r="27" spans="1:10" ht="24" customHeight="1" x14ac:dyDescent="0.2">
      <c r="A27" s="120"/>
      <c r="B27" s="120"/>
      <c r="C27" s="121" t="s">
        <v>10</v>
      </c>
      <c r="D27" s="120"/>
      <c r="E27" s="120"/>
      <c r="F27" s="131"/>
      <c r="G27" s="131"/>
      <c r="H27" s="122" t="s">
        <v>153</v>
      </c>
      <c r="J27" s="2"/>
    </row>
    <row r="28" spans="1:10" ht="14.1" customHeight="1" x14ac:dyDescent="0.2">
      <c r="A28" s="120"/>
      <c r="B28" s="120"/>
      <c r="C28" s="121" t="s">
        <v>152</v>
      </c>
      <c r="D28" s="120"/>
      <c r="E28" s="120" t="s">
        <v>153</v>
      </c>
      <c r="F28" s="132" t="s">
        <v>155</v>
      </c>
      <c r="G28" s="129">
        <v>0</v>
      </c>
      <c r="H28" s="122" t="s">
        <v>153</v>
      </c>
      <c r="J28" s="2"/>
    </row>
    <row r="29" spans="1:10" ht="14.1" customHeight="1" x14ac:dyDescent="0.2">
      <c r="A29" s="120"/>
      <c r="B29" s="120"/>
      <c r="C29" s="130"/>
      <c r="D29" s="120"/>
      <c r="E29" s="120"/>
      <c r="F29" s="131"/>
      <c r="G29" s="131"/>
      <c r="H29" s="122" t="s">
        <v>153</v>
      </c>
      <c r="J29" s="2"/>
    </row>
    <row r="30" spans="1:10" ht="14.1" customHeight="1" x14ac:dyDescent="0.2">
      <c r="A30" s="120"/>
      <c r="B30" s="120"/>
      <c r="C30" s="121" t="s">
        <v>162</v>
      </c>
      <c r="D30" s="120"/>
      <c r="E30" s="120"/>
      <c r="F30" s="120"/>
      <c r="G30" s="120"/>
      <c r="H30" s="122" t="s">
        <v>153</v>
      </c>
      <c r="J30" s="2"/>
    </row>
    <row r="31" spans="1:10" ht="14.1" customHeight="1" x14ac:dyDescent="0.2">
      <c r="A31" s="120"/>
      <c r="B31" s="120"/>
      <c r="C31" s="121" t="s">
        <v>152</v>
      </c>
      <c r="D31" s="120"/>
      <c r="E31" s="120" t="s">
        <v>153</v>
      </c>
      <c r="F31" s="132" t="s">
        <v>155</v>
      </c>
      <c r="G31" s="129">
        <v>0</v>
      </c>
      <c r="H31" s="122" t="s">
        <v>153</v>
      </c>
      <c r="J31" s="2"/>
    </row>
    <row r="32" spans="1:10" ht="14.1" customHeight="1" x14ac:dyDescent="0.2">
      <c r="A32" s="120"/>
      <c r="B32" s="120"/>
      <c r="C32" s="130"/>
      <c r="D32" s="120"/>
      <c r="E32" s="120"/>
      <c r="F32" s="131"/>
      <c r="G32" s="131"/>
      <c r="H32" s="122" t="s">
        <v>153</v>
      </c>
      <c r="J32" s="2"/>
    </row>
    <row r="33" spans="1:10" ht="14.1" customHeight="1" x14ac:dyDescent="0.2">
      <c r="A33" s="120"/>
      <c r="B33" s="120"/>
      <c r="C33" s="121" t="s">
        <v>163</v>
      </c>
      <c r="D33" s="120"/>
      <c r="E33" s="120"/>
      <c r="F33" s="120"/>
      <c r="G33" s="120"/>
      <c r="H33" s="122" t="s">
        <v>153</v>
      </c>
      <c r="J33" s="2"/>
    </row>
    <row r="34" spans="1:10" ht="14.1" customHeight="1" x14ac:dyDescent="0.2">
      <c r="A34" s="120"/>
      <c r="B34" s="120"/>
      <c r="C34" s="121" t="s">
        <v>152</v>
      </c>
      <c r="D34" s="120"/>
      <c r="E34" s="120" t="s">
        <v>153</v>
      </c>
      <c r="F34" s="132" t="s">
        <v>155</v>
      </c>
      <c r="G34" s="129">
        <v>0</v>
      </c>
      <c r="H34" s="122" t="s">
        <v>153</v>
      </c>
      <c r="J34" s="2"/>
    </row>
    <row r="35" spans="1:10" ht="14.1" customHeight="1" x14ac:dyDescent="0.2">
      <c r="A35" s="120"/>
      <c r="B35" s="120"/>
      <c r="C35" s="130"/>
      <c r="D35" s="120"/>
      <c r="E35" s="120"/>
      <c r="F35" s="131"/>
      <c r="G35" s="131"/>
      <c r="H35" s="122" t="s">
        <v>153</v>
      </c>
      <c r="J35" s="2"/>
    </row>
    <row r="36" spans="1:10" ht="14.1" customHeight="1" x14ac:dyDescent="0.2">
      <c r="A36" s="120"/>
      <c r="B36" s="120"/>
      <c r="C36" s="121" t="s">
        <v>164</v>
      </c>
      <c r="D36" s="120"/>
      <c r="E36" s="120"/>
      <c r="F36" s="131"/>
      <c r="G36" s="131"/>
      <c r="H36" s="122" t="s">
        <v>153</v>
      </c>
      <c r="J36" s="2"/>
    </row>
    <row r="37" spans="1:10" ht="14.1" customHeight="1" x14ac:dyDescent="0.2">
      <c r="A37" s="120"/>
      <c r="B37" s="120"/>
      <c r="C37" s="121" t="s">
        <v>152</v>
      </c>
      <c r="D37" s="120"/>
      <c r="E37" s="120" t="s">
        <v>153</v>
      </c>
      <c r="F37" s="132" t="s">
        <v>155</v>
      </c>
      <c r="G37" s="129">
        <v>0</v>
      </c>
      <c r="H37" s="122" t="s">
        <v>153</v>
      </c>
      <c r="J37" s="2"/>
    </row>
    <row r="38" spans="1:10" ht="14.1" customHeight="1" x14ac:dyDescent="0.2">
      <c r="A38" s="120"/>
      <c r="B38" s="120"/>
      <c r="C38" s="130"/>
      <c r="D38" s="120"/>
      <c r="E38" s="120"/>
      <c r="F38" s="131"/>
      <c r="G38" s="131"/>
      <c r="H38" s="122" t="s">
        <v>153</v>
      </c>
      <c r="J38" s="2"/>
    </row>
    <row r="39" spans="1:10" ht="14.1" customHeight="1" x14ac:dyDescent="0.2">
      <c r="A39" s="120"/>
      <c r="B39" s="120"/>
      <c r="C39" s="121" t="s">
        <v>165</v>
      </c>
      <c r="D39" s="120"/>
      <c r="E39" s="120"/>
      <c r="F39" s="128">
        <v>0</v>
      </c>
      <c r="G39" s="129">
        <v>0</v>
      </c>
      <c r="H39" s="122" t="s">
        <v>153</v>
      </c>
      <c r="J39" s="2"/>
    </row>
    <row r="40" spans="1:10" ht="14.1" customHeight="1" x14ac:dyDescent="0.2">
      <c r="A40" s="120"/>
      <c r="B40" s="120"/>
      <c r="C40" s="130"/>
      <c r="D40" s="120"/>
      <c r="E40" s="120"/>
      <c r="F40" s="131"/>
      <c r="G40" s="131"/>
      <c r="H40" s="122" t="s">
        <v>153</v>
      </c>
      <c r="J40" s="2"/>
    </row>
    <row r="41" spans="1:10" ht="14.1" customHeight="1" x14ac:dyDescent="0.2">
      <c r="A41" s="120"/>
      <c r="B41" s="120"/>
      <c r="C41" s="121" t="s">
        <v>166</v>
      </c>
      <c r="D41" s="120"/>
      <c r="E41" s="120"/>
      <c r="F41" s="131"/>
      <c r="G41" s="131"/>
      <c r="H41" s="122" t="s">
        <v>153</v>
      </c>
      <c r="J41" s="2"/>
    </row>
    <row r="42" spans="1:10" ht="14.1" customHeight="1" x14ac:dyDescent="0.2">
      <c r="A42" s="120"/>
      <c r="B42" s="120"/>
      <c r="C42" s="121" t="s">
        <v>167</v>
      </c>
      <c r="D42" s="120"/>
      <c r="E42" s="120"/>
      <c r="F42" s="131"/>
      <c r="G42" s="131"/>
      <c r="H42" s="122" t="s">
        <v>153</v>
      </c>
      <c r="J42" s="2"/>
    </row>
    <row r="43" spans="1:10" ht="14.1" customHeight="1" x14ac:dyDescent="0.2">
      <c r="A43" s="120"/>
      <c r="B43" s="120"/>
      <c r="C43" s="121" t="s">
        <v>152</v>
      </c>
      <c r="D43" s="120"/>
      <c r="E43" s="120" t="s">
        <v>153</v>
      </c>
      <c r="F43" s="132" t="s">
        <v>155</v>
      </c>
      <c r="G43" s="129">
        <v>0</v>
      </c>
      <c r="H43" s="122" t="s">
        <v>153</v>
      </c>
      <c r="J43" s="2"/>
    </row>
    <row r="44" spans="1:10" ht="14.1" customHeight="1" x14ac:dyDescent="0.2">
      <c r="A44" s="120"/>
      <c r="B44" s="120"/>
      <c r="C44" s="130"/>
      <c r="D44" s="120"/>
      <c r="E44" s="120"/>
      <c r="F44" s="131"/>
      <c r="G44" s="131"/>
      <c r="H44" s="122" t="s">
        <v>153</v>
      </c>
      <c r="J44" s="2"/>
    </row>
    <row r="45" spans="1:10" ht="14.1" customHeight="1" x14ac:dyDescent="0.2">
      <c r="A45" s="120"/>
      <c r="B45" s="120"/>
      <c r="C45" s="121" t="s">
        <v>168</v>
      </c>
      <c r="D45" s="120"/>
      <c r="E45" s="120"/>
      <c r="F45" s="131"/>
      <c r="G45" s="131"/>
      <c r="H45" s="122" t="s">
        <v>153</v>
      </c>
      <c r="J45" s="2"/>
    </row>
    <row r="46" spans="1:10" ht="14.1" customHeight="1" x14ac:dyDescent="0.2">
      <c r="A46" s="120"/>
      <c r="B46" s="120"/>
      <c r="C46" s="121" t="s">
        <v>152</v>
      </c>
      <c r="D46" s="120"/>
      <c r="E46" s="120" t="s">
        <v>153</v>
      </c>
      <c r="F46" s="132" t="s">
        <v>155</v>
      </c>
      <c r="G46" s="129">
        <v>0</v>
      </c>
      <c r="H46" s="122" t="s">
        <v>153</v>
      </c>
      <c r="J46" s="2"/>
    </row>
    <row r="47" spans="1:10" ht="14.1" customHeight="1" x14ac:dyDescent="0.2">
      <c r="A47" s="120"/>
      <c r="B47" s="120"/>
      <c r="C47" s="130"/>
      <c r="D47" s="120"/>
      <c r="E47" s="120"/>
      <c r="F47" s="131"/>
      <c r="G47" s="131"/>
      <c r="H47" s="122" t="s">
        <v>153</v>
      </c>
      <c r="J47" s="2"/>
    </row>
    <row r="48" spans="1:10" ht="14.1" customHeight="1" x14ac:dyDescent="0.2">
      <c r="A48" s="120"/>
      <c r="B48" s="120"/>
      <c r="C48" s="121" t="s">
        <v>169</v>
      </c>
      <c r="D48" s="120"/>
      <c r="E48" s="120"/>
      <c r="F48" s="131"/>
      <c r="G48" s="131"/>
      <c r="H48" s="122" t="s">
        <v>153</v>
      </c>
      <c r="J48" s="2"/>
    </row>
    <row r="49" spans="1:10" ht="14.1" customHeight="1" x14ac:dyDescent="0.2">
      <c r="A49" s="120"/>
      <c r="B49" s="120"/>
      <c r="C49" s="121" t="s">
        <v>152</v>
      </c>
      <c r="D49" s="120"/>
      <c r="E49" s="120" t="s">
        <v>153</v>
      </c>
      <c r="F49" s="132" t="s">
        <v>155</v>
      </c>
      <c r="G49" s="129">
        <v>0</v>
      </c>
      <c r="H49" s="122" t="s">
        <v>153</v>
      </c>
      <c r="J49" s="2"/>
    </row>
    <row r="50" spans="1:10" ht="14.1" customHeight="1" x14ac:dyDescent="0.2">
      <c r="A50" s="120"/>
      <c r="B50" s="120"/>
      <c r="C50" s="130"/>
      <c r="D50" s="120"/>
      <c r="E50" s="120"/>
      <c r="F50" s="131"/>
      <c r="G50" s="131"/>
      <c r="H50" s="122" t="s">
        <v>153</v>
      </c>
      <c r="J50" s="2"/>
    </row>
    <row r="51" spans="1:10" ht="14.1" customHeight="1" x14ac:dyDescent="0.2">
      <c r="A51" s="120"/>
      <c r="B51" s="120"/>
      <c r="C51" s="121" t="s">
        <v>170</v>
      </c>
      <c r="D51" s="120"/>
      <c r="E51" s="120"/>
      <c r="F51" s="131"/>
      <c r="G51" s="131"/>
      <c r="H51" s="122" t="s">
        <v>153</v>
      </c>
      <c r="J51" s="2"/>
    </row>
    <row r="52" spans="1:10" ht="17.100000000000001" customHeight="1" x14ac:dyDescent="0.2">
      <c r="A52" s="123">
        <v>1</v>
      </c>
      <c r="B52" s="124"/>
      <c r="C52" s="124" t="s">
        <v>171</v>
      </c>
      <c r="D52" s="124"/>
      <c r="E52" s="133"/>
      <c r="F52" s="126">
        <v>394.09794359900002</v>
      </c>
      <c r="G52" s="127">
        <v>3.4464189999999999E-2</v>
      </c>
      <c r="H52" s="122">
        <v>6.62</v>
      </c>
      <c r="J52" s="2"/>
    </row>
    <row r="53" spans="1:10" ht="14.1" customHeight="1" x14ac:dyDescent="0.2">
      <c r="A53" s="120"/>
      <c r="B53" s="120"/>
      <c r="C53" s="121" t="s">
        <v>152</v>
      </c>
      <c r="D53" s="120"/>
      <c r="E53" s="120" t="s">
        <v>153</v>
      </c>
      <c r="F53" s="128">
        <v>394.09794359900002</v>
      </c>
      <c r="G53" s="129">
        <v>3.4464189999999999E-2</v>
      </c>
      <c r="H53" s="122" t="s">
        <v>153</v>
      </c>
      <c r="J53" s="2"/>
    </row>
    <row r="54" spans="1:10" ht="14.1" customHeight="1" x14ac:dyDescent="0.2">
      <c r="A54" s="120"/>
      <c r="B54" s="120"/>
      <c r="C54" s="130"/>
      <c r="D54" s="120"/>
      <c r="E54" s="120"/>
      <c r="F54" s="131"/>
      <c r="G54" s="131"/>
      <c r="H54" s="122" t="s">
        <v>153</v>
      </c>
      <c r="J54" s="2"/>
    </row>
    <row r="55" spans="1:10" ht="14.1" customHeight="1" x14ac:dyDescent="0.2">
      <c r="A55" s="120"/>
      <c r="B55" s="120"/>
      <c r="C55" s="121" t="s">
        <v>172</v>
      </c>
      <c r="D55" s="120"/>
      <c r="E55" s="120"/>
      <c r="F55" s="128">
        <v>394.09794359900002</v>
      </c>
      <c r="G55" s="129">
        <v>3.4464189999999999E-2</v>
      </c>
      <c r="H55" s="122" t="s">
        <v>153</v>
      </c>
      <c r="J55" s="2"/>
    </row>
    <row r="56" spans="1:10" ht="14.1" customHeight="1" x14ac:dyDescent="0.2">
      <c r="A56" s="120"/>
      <c r="B56" s="120"/>
      <c r="C56" s="131"/>
      <c r="D56" s="120"/>
      <c r="E56" s="120"/>
      <c r="F56" s="120"/>
      <c r="G56" s="120"/>
      <c r="H56" s="122" t="s">
        <v>153</v>
      </c>
      <c r="J56" s="2"/>
    </row>
    <row r="57" spans="1:10" ht="14.1" customHeight="1" x14ac:dyDescent="0.2">
      <c r="A57" s="120"/>
      <c r="B57" s="120"/>
      <c r="C57" s="121" t="s">
        <v>173</v>
      </c>
      <c r="D57" s="120"/>
      <c r="E57" s="120"/>
      <c r="F57" s="120"/>
      <c r="G57" s="120"/>
      <c r="H57" s="122" t="s">
        <v>153</v>
      </c>
      <c r="J57" s="2"/>
    </row>
    <row r="58" spans="1:10" ht="25.5" x14ac:dyDescent="0.2">
      <c r="A58" s="120"/>
      <c r="B58" s="120"/>
      <c r="C58" s="156" t="s">
        <v>912</v>
      </c>
      <c r="D58" s="120"/>
      <c r="E58" s="120"/>
      <c r="F58" s="120"/>
      <c r="G58" s="120"/>
      <c r="H58" s="122" t="s">
        <v>153</v>
      </c>
      <c r="J58" s="2"/>
    </row>
    <row r="59" spans="1:10" ht="29.1" customHeight="1" x14ac:dyDescent="0.2">
      <c r="A59" s="123">
        <v>1</v>
      </c>
      <c r="B59" s="124" t="s">
        <v>849</v>
      </c>
      <c r="C59" s="124" t="s">
        <v>850</v>
      </c>
      <c r="D59" s="124"/>
      <c r="E59" s="157">
        <v>8832595.0219999999</v>
      </c>
      <c r="F59" s="126">
        <v>11074.925522768001</v>
      </c>
      <c r="G59" s="127">
        <v>0.96851122000000001</v>
      </c>
      <c r="H59" s="122" t="s">
        <v>153</v>
      </c>
      <c r="J59" s="2"/>
    </row>
    <row r="60" spans="1:10" ht="14.1" customHeight="1" x14ac:dyDescent="0.2">
      <c r="A60" s="120"/>
      <c r="B60" s="120"/>
      <c r="C60" s="121" t="s">
        <v>152</v>
      </c>
      <c r="D60" s="120"/>
      <c r="E60" s="120" t="s">
        <v>153</v>
      </c>
      <c r="F60" s="128">
        <v>11074.925522768001</v>
      </c>
      <c r="G60" s="129">
        <v>0.96851122000000001</v>
      </c>
      <c r="H60" s="122" t="s">
        <v>153</v>
      </c>
      <c r="J60" s="2"/>
    </row>
    <row r="61" spans="1:10" ht="14.1" customHeight="1" x14ac:dyDescent="0.2">
      <c r="A61" s="120"/>
      <c r="B61" s="120"/>
      <c r="C61" s="130"/>
      <c r="D61" s="120"/>
      <c r="E61" s="120"/>
      <c r="F61" s="131"/>
      <c r="G61" s="131"/>
      <c r="H61" s="122" t="s">
        <v>153</v>
      </c>
      <c r="J61" s="2"/>
    </row>
    <row r="62" spans="1:10" ht="14.1" customHeight="1" x14ac:dyDescent="0.2">
      <c r="A62" s="120"/>
      <c r="B62" s="120"/>
      <c r="C62" s="121" t="s">
        <v>175</v>
      </c>
      <c r="D62" s="120"/>
      <c r="E62" s="120"/>
      <c r="F62" s="120"/>
      <c r="G62" s="120"/>
      <c r="H62" s="122" t="s">
        <v>153</v>
      </c>
      <c r="J62" s="2"/>
    </row>
    <row r="63" spans="1:10" ht="14.1" customHeight="1" x14ac:dyDescent="0.2">
      <c r="A63" s="120"/>
      <c r="B63" s="120"/>
      <c r="C63" s="121" t="s">
        <v>176</v>
      </c>
      <c r="D63" s="120"/>
      <c r="E63" s="120"/>
      <c r="F63" s="120"/>
      <c r="G63" s="120"/>
      <c r="H63" s="122" t="s">
        <v>153</v>
      </c>
      <c r="J63" s="2"/>
    </row>
    <row r="64" spans="1:10" ht="14.1" customHeight="1" x14ac:dyDescent="0.2">
      <c r="A64" s="120"/>
      <c r="B64" s="120"/>
      <c r="C64" s="121" t="s">
        <v>152</v>
      </c>
      <c r="D64" s="120"/>
      <c r="E64" s="120" t="s">
        <v>153</v>
      </c>
      <c r="F64" s="132" t="s">
        <v>155</v>
      </c>
      <c r="G64" s="129">
        <v>0</v>
      </c>
      <c r="H64" s="122" t="s">
        <v>153</v>
      </c>
      <c r="J64" s="2"/>
    </row>
    <row r="65" spans="1:17" ht="14.1" customHeight="1" x14ac:dyDescent="0.2">
      <c r="A65" s="120"/>
      <c r="B65" s="120"/>
      <c r="C65" s="130"/>
      <c r="D65" s="120"/>
      <c r="E65" s="120"/>
      <c r="F65" s="131"/>
      <c r="G65" s="131"/>
      <c r="H65" s="122" t="s">
        <v>153</v>
      </c>
      <c r="J65" s="2"/>
    </row>
    <row r="66" spans="1:17" ht="24" customHeight="1" x14ac:dyDescent="0.2">
      <c r="A66" s="120"/>
      <c r="B66" s="120"/>
      <c r="C66" s="121" t="s">
        <v>177</v>
      </c>
      <c r="D66" s="120"/>
      <c r="E66" s="120"/>
      <c r="F66" s="131"/>
      <c r="G66" s="131"/>
      <c r="H66" s="122" t="s">
        <v>153</v>
      </c>
      <c r="J66" s="2"/>
    </row>
    <row r="67" spans="1:17" ht="14.1" customHeight="1" x14ac:dyDescent="0.2">
      <c r="A67" s="120"/>
      <c r="B67" s="120"/>
      <c r="C67" s="121" t="s">
        <v>152</v>
      </c>
      <c r="D67" s="120"/>
      <c r="E67" s="120" t="s">
        <v>153</v>
      </c>
      <c r="F67" s="132" t="s">
        <v>155</v>
      </c>
      <c r="G67" s="129">
        <v>0</v>
      </c>
      <c r="H67" s="122" t="s">
        <v>153</v>
      </c>
      <c r="J67" s="2"/>
    </row>
    <row r="68" spans="1:17" ht="14.1" customHeight="1" x14ac:dyDescent="0.2">
      <c r="A68" s="120"/>
      <c r="B68" s="124"/>
      <c r="C68" s="124"/>
      <c r="D68" s="121"/>
      <c r="E68" s="120"/>
      <c r="F68" s="124"/>
      <c r="G68" s="133"/>
      <c r="H68" s="122" t="s">
        <v>153</v>
      </c>
      <c r="J68" s="2"/>
    </row>
    <row r="69" spans="1:17" ht="18" customHeight="1" x14ac:dyDescent="0.2">
      <c r="A69" s="133"/>
      <c r="B69" s="124"/>
      <c r="C69" s="124" t="s">
        <v>178</v>
      </c>
      <c r="D69" s="124"/>
      <c r="E69" s="133"/>
      <c r="F69" s="126">
        <f>-34.02380568+0.0000017330002784729</f>
        <v>-34.02380394699972</v>
      </c>
      <c r="G69" s="127">
        <v>-2.9754099999999999E-3</v>
      </c>
      <c r="H69" s="122" t="s">
        <v>153</v>
      </c>
      <c r="J69" s="2"/>
    </row>
    <row r="70" spans="1:17" ht="14.1" customHeight="1" x14ac:dyDescent="0.2">
      <c r="A70" s="130"/>
      <c r="B70" s="130"/>
      <c r="C70" s="121" t="s">
        <v>179</v>
      </c>
      <c r="D70" s="131"/>
      <c r="E70" s="131"/>
      <c r="F70" s="128">
        <f>11434.999660687+0.0000017330002784729</f>
        <v>11434.999662420001</v>
      </c>
      <c r="G70" s="134">
        <v>1</v>
      </c>
      <c r="H70" s="122" t="s">
        <v>153</v>
      </c>
      <c r="J70" s="2"/>
    </row>
    <row r="71" spans="1:17" ht="14.1" customHeight="1" x14ac:dyDescent="0.2">
      <c r="A71" s="135"/>
      <c r="B71" s="135"/>
      <c r="C71" s="135"/>
      <c r="D71" s="136"/>
      <c r="E71" s="136"/>
      <c r="F71" s="136"/>
      <c r="G71" s="136"/>
      <c r="J71" s="2"/>
    </row>
    <row r="72" spans="1:17" ht="12.75" customHeight="1" x14ac:dyDescent="0.2">
      <c r="A72" s="137"/>
      <c r="B72" s="226" t="s">
        <v>863</v>
      </c>
      <c r="C72" s="226"/>
      <c r="D72" s="226"/>
      <c r="E72" s="226"/>
      <c r="F72" s="226"/>
      <c r="G72" s="226"/>
      <c r="H72" s="226"/>
      <c r="I72"/>
      <c r="J72" s="2"/>
    </row>
    <row r="73" spans="1:17" ht="14.1" customHeight="1" x14ac:dyDescent="0.2">
      <c r="A73" s="137"/>
      <c r="B73" s="226" t="s">
        <v>864</v>
      </c>
      <c r="C73" s="226"/>
      <c r="D73" s="226"/>
      <c r="E73" s="226"/>
      <c r="F73" s="226"/>
      <c r="G73" s="226"/>
      <c r="H73" s="226"/>
      <c r="I73"/>
      <c r="J73" s="2"/>
    </row>
    <row r="74" spans="1:17" ht="17.100000000000001" customHeight="1" x14ac:dyDescent="0.2">
      <c r="A74" s="137"/>
      <c r="B74" s="226" t="s">
        <v>865</v>
      </c>
      <c r="C74" s="226"/>
      <c r="D74" s="226"/>
      <c r="E74" s="226"/>
      <c r="F74" s="226"/>
      <c r="G74" s="226"/>
      <c r="H74" s="226"/>
      <c r="I74"/>
      <c r="J74" s="2"/>
    </row>
    <row r="75" spans="1:17" s="5" customFormat="1" ht="65.25" customHeight="1" x14ac:dyDescent="0.25">
      <c r="A75" s="139"/>
      <c r="B75" s="227" t="s">
        <v>866</v>
      </c>
      <c r="C75" s="227"/>
      <c r="D75" s="227"/>
      <c r="E75" s="227"/>
      <c r="F75" s="227"/>
      <c r="G75" s="227"/>
      <c r="H75" s="227"/>
      <c r="I75"/>
      <c r="J75" s="2"/>
      <c r="K75"/>
      <c r="L75"/>
      <c r="M75"/>
      <c r="N75"/>
      <c r="O75"/>
      <c r="P75"/>
      <c r="Q75"/>
    </row>
    <row r="76" spans="1:17" ht="12.75" customHeight="1" x14ac:dyDescent="0.2">
      <c r="A76" s="137"/>
      <c r="B76" s="226" t="s">
        <v>867</v>
      </c>
      <c r="C76" s="226"/>
      <c r="D76" s="226"/>
      <c r="E76" s="226"/>
      <c r="F76" s="226"/>
      <c r="G76" s="226"/>
      <c r="H76" s="226"/>
      <c r="I76"/>
      <c r="J76" s="2"/>
    </row>
    <row r="77" spans="1:17" ht="14.1" customHeight="1" x14ac:dyDescent="0.2">
      <c r="A77" s="140"/>
      <c r="B77" s="140"/>
      <c r="C77" s="140"/>
      <c r="D77" s="141"/>
      <c r="E77" s="141"/>
      <c r="F77" s="141"/>
      <c r="G77" s="141"/>
      <c r="J77" s="2"/>
    </row>
    <row r="78" spans="1:17" ht="14.1" customHeight="1" x14ac:dyDescent="0.2">
      <c r="A78" s="140"/>
      <c r="B78" s="228" t="s">
        <v>180</v>
      </c>
      <c r="C78" s="229"/>
      <c r="D78" s="230"/>
      <c r="E78" s="142"/>
      <c r="F78" s="141"/>
      <c r="G78" s="141"/>
      <c r="J78" s="2"/>
    </row>
    <row r="79" spans="1:17" ht="29.1" customHeight="1" x14ac:dyDescent="0.2">
      <c r="A79" s="140"/>
      <c r="B79" s="223" t="s">
        <v>181</v>
      </c>
      <c r="C79" s="224"/>
      <c r="D79" s="121" t="s">
        <v>182</v>
      </c>
      <c r="E79" s="142"/>
      <c r="F79" s="141"/>
      <c r="G79" s="141"/>
      <c r="J79" s="2"/>
    </row>
    <row r="80" spans="1:17" ht="17.100000000000001" customHeight="1" x14ac:dyDescent="0.2">
      <c r="A80" s="140"/>
      <c r="B80" s="223" t="s">
        <v>183</v>
      </c>
      <c r="C80" s="224"/>
      <c r="D80" s="121" t="s">
        <v>182</v>
      </c>
      <c r="E80" s="142"/>
      <c r="F80" s="141"/>
      <c r="G80" s="141"/>
      <c r="J80" s="2"/>
    </row>
    <row r="81" spans="1:10" ht="17.100000000000001" customHeight="1" x14ac:dyDescent="0.2">
      <c r="A81" s="140"/>
      <c r="B81" s="223" t="s">
        <v>184</v>
      </c>
      <c r="C81" s="224"/>
      <c r="D81" s="131" t="s">
        <v>153</v>
      </c>
      <c r="E81" s="142"/>
      <c r="F81" s="141"/>
      <c r="G81" s="141"/>
      <c r="J81" s="2"/>
    </row>
    <row r="82" spans="1:10" x14ac:dyDescent="0.2">
      <c r="A82" s="144"/>
      <c r="B82" s="145" t="s">
        <v>153</v>
      </c>
      <c r="C82" s="145" t="s">
        <v>870</v>
      </c>
      <c r="D82" s="145" t="s">
        <v>185</v>
      </c>
      <c r="E82" s="144"/>
      <c r="F82" s="144"/>
      <c r="G82" s="144"/>
      <c r="H82" s="144"/>
      <c r="I82"/>
      <c r="J82" s="2"/>
    </row>
    <row r="83" spans="1:10" x14ac:dyDescent="0.2">
      <c r="A83" s="146"/>
      <c r="B83" s="147" t="s">
        <v>186</v>
      </c>
      <c r="C83" s="148">
        <v>45504</v>
      </c>
      <c r="D83" s="149">
        <v>45535</v>
      </c>
      <c r="E83" s="146"/>
      <c r="F83" s="146"/>
      <c r="G83" s="146"/>
      <c r="I83"/>
      <c r="J83" s="2"/>
    </row>
    <row r="84" spans="1:10" ht="17.100000000000001" customHeight="1" x14ac:dyDescent="0.2">
      <c r="A84" s="146"/>
      <c r="B84" s="124" t="s">
        <v>187</v>
      </c>
      <c r="C84" s="150">
        <v>33.0989</v>
      </c>
      <c r="D84" s="150">
        <v>33.611800000000002</v>
      </c>
      <c r="E84" s="146"/>
      <c r="F84" s="151"/>
      <c r="G84" s="152"/>
      <c r="J84" s="2"/>
    </row>
    <row r="85" spans="1:10" ht="17.100000000000001" customHeight="1" x14ac:dyDescent="0.2">
      <c r="A85" s="146"/>
      <c r="B85" s="124" t="s">
        <v>926</v>
      </c>
      <c r="C85" s="150">
        <v>29.436</v>
      </c>
      <c r="D85" s="150">
        <v>29.892199999999999</v>
      </c>
      <c r="E85" s="146"/>
      <c r="F85" s="151"/>
      <c r="G85" s="152"/>
      <c r="J85" s="2"/>
    </row>
    <row r="86" spans="1:10" ht="17.100000000000001" customHeight="1" x14ac:dyDescent="0.2">
      <c r="A86" s="146"/>
      <c r="B86" s="124" t="s">
        <v>188</v>
      </c>
      <c r="C86" s="150">
        <v>30.491499999999998</v>
      </c>
      <c r="D86" s="150">
        <v>30.9391</v>
      </c>
      <c r="E86" s="146"/>
      <c r="F86" s="151"/>
      <c r="G86" s="152"/>
      <c r="J86" s="2"/>
    </row>
    <row r="87" spans="1:10" ht="17.100000000000001" customHeight="1" x14ac:dyDescent="0.2">
      <c r="A87" s="146"/>
      <c r="B87" s="124" t="s">
        <v>927</v>
      </c>
      <c r="C87" s="150">
        <v>26.128699999999998</v>
      </c>
      <c r="D87" s="150">
        <v>26.5122</v>
      </c>
      <c r="E87" s="146"/>
      <c r="F87" s="151"/>
      <c r="G87" s="152"/>
      <c r="J87" s="2"/>
    </row>
    <row r="88" spans="1:10" ht="14.1" customHeight="1" x14ac:dyDescent="0.2">
      <c r="A88" s="146"/>
      <c r="B88" s="146"/>
      <c r="C88" s="146"/>
      <c r="D88" s="146"/>
      <c r="E88" s="146"/>
      <c r="F88" s="146"/>
      <c r="G88" s="146"/>
      <c r="J88" s="2"/>
    </row>
    <row r="89" spans="1:10" s="15" customFormat="1" x14ac:dyDescent="0.2">
      <c r="A89" s="158"/>
      <c r="B89" s="231" t="s">
        <v>869</v>
      </c>
      <c r="C89" s="232"/>
      <c r="D89" s="143" t="s">
        <v>182</v>
      </c>
      <c r="E89" s="158"/>
      <c r="F89" s="158"/>
      <c r="G89" s="158"/>
      <c r="J89" s="2"/>
    </row>
    <row r="90" spans="1:10" s="15" customFormat="1" x14ac:dyDescent="0.2">
      <c r="A90" s="158"/>
      <c r="B90" s="159"/>
      <c r="C90" s="159"/>
      <c r="D90" s="158"/>
      <c r="E90" s="158"/>
      <c r="F90" s="158"/>
      <c r="G90" s="158"/>
      <c r="J90" s="2"/>
    </row>
    <row r="91" spans="1:10" ht="29.1" customHeight="1" x14ac:dyDescent="0.2">
      <c r="A91" s="144"/>
      <c r="B91" s="221" t="s">
        <v>189</v>
      </c>
      <c r="C91" s="222"/>
      <c r="D91" s="143" t="s">
        <v>182</v>
      </c>
      <c r="E91" s="153"/>
      <c r="F91" s="144"/>
      <c r="G91" s="144"/>
      <c r="J91" s="2"/>
    </row>
    <row r="92" spans="1:10" ht="29.1" customHeight="1" x14ac:dyDescent="0.2">
      <c r="A92" s="144"/>
      <c r="B92" s="221" t="s">
        <v>190</v>
      </c>
      <c r="C92" s="222"/>
      <c r="D92" s="143" t="str">
        <f>"Rs. "&amp;TEXT(F60,"0,000.00")&amp;" Lacs"</f>
        <v>Rs. 11,074.93 Lacs</v>
      </c>
      <c r="E92" s="153"/>
      <c r="F92" s="144"/>
      <c r="G92" s="144"/>
      <c r="J92" s="2"/>
    </row>
    <row r="93" spans="1:10" ht="17.100000000000001" customHeight="1" x14ac:dyDescent="0.2">
      <c r="A93" s="144"/>
      <c r="B93" s="221" t="s">
        <v>191</v>
      </c>
      <c r="C93" s="222"/>
      <c r="D93" s="143" t="s">
        <v>182</v>
      </c>
      <c r="E93" s="153"/>
      <c r="F93" s="144"/>
      <c r="G93" s="144"/>
      <c r="J93" s="2"/>
    </row>
    <row r="94" spans="1:10" ht="17.100000000000001" customHeight="1" x14ac:dyDescent="0.2">
      <c r="A94" s="144"/>
      <c r="B94" s="221" t="s">
        <v>192</v>
      </c>
      <c r="C94" s="222"/>
      <c r="D94" s="154">
        <v>0</v>
      </c>
      <c r="E94" s="144"/>
      <c r="F94" s="138"/>
      <c r="G94" s="155"/>
      <c r="J94" s="2"/>
    </row>
    <row r="95" spans="1:10" x14ac:dyDescent="0.2">
      <c r="J95" s="2"/>
    </row>
  </sheetData>
  <mergeCells count="17">
    <mergeCell ref="A1:H1"/>
    <mergeCell ref="A2:H2"/>
    <mergeCell ref="A3:H3"/>
    <mergeCell ref="B72:H72"/>
    <mergeCell ref="B73:H73"/>
    <mergeCell ref="B74:H74"/>
    <mergeCell ref="B75:H75"/>
    <mergeCell ref="B76:H76"/>
    <mergeCell ref="B80:C80"/>
    <mergeCell ref="B81:C81"/>
    <mergeCell ref="B78:D78"/>
    <mergeCell ref="B79:C79"/>
    <mergeCell ref="B89:C89"/>
    <mergeCell ref="B93:C93"/>
    <mergeCell ref="B94:C94"/>
    <mergeCell ref="B91:C91"/>
    <mergeCell ref="B92:C92"/>
  </mergeCells>
  <hyperlinks>
    <hyperlink ref="I1" location="Index!B3" display="Index" xr:uid="{70ABFD31-1D04-49C4-84B9-C66B8A7C893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18BC7-69F2-4DE1-BC3B-150BA4AF5588}">
  <sheetPr>
    <outlinePr summaryBelow="0" summaryRight="0"/>
  </sheetPr>
  <dimension ref="A1:Q17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5.42578125" bestFit="1" customWidth="1"/>
    <col min="10" max="10" width="50.7109375" style="8" customWidth="1"/>
  </cols>
  <sheetData>
    <row r="1" spans="1:10" ht="15" x14ac:dyDescent="0.2">
      <c r="A1" s="225" t="s">
        <v>0</v>
      </c>
      <c r="B1" s="225"/>
      <c r="C1" s="225"/>
      <c r="D1" s="225"/>
      <c r="E1" s="225"/>
      <c r="F1" s="225"/>
      <c r="G1" s="225"/>
      <c r="H1" s="225"/>
      <c r="I1" s="1" t="s">
        <v>913</v>
      </c>
      <c r="J1" s="2"/>
    </row>
    <row r="2" spans="1:10" ht="15" x14ac:dyDescent="0.2">
      <c r="A2" s="225" t="s">
        <v>193</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ht="14.1" customHeight="1" x14ac:dyDescent="0.2">
      <c r="A5" s="120"/>
      <c r="B5" s="120"/>
      <c r="C5" s="121" t="s">
        <v>9</v>
      </c>
      <c r="D5" s="120"/>
      <c r="E5" s="120"/>
      <c r="F5" s="120"/>
      <c r="G5" s="120"/>
      <c r="H5" s="122" t="s">
        <v>153</v>
      </c>
      <c r="J5" s="2"/>
    </row>
    <row r="6" spans="1:10" ht="24" customHeight="1" x14ac:dyDescent="0.2">
      <c r="A6" s="120"/>
      <c r="B6" s="120"/>
      <c r="C6" s="121" t="s">
        <v>10</v>
      </c>
      <c r="D6" s="120"/>
      <c r="E6" s="120"/>
      <c r="F6" s="120"/>
      <c r="G6" s="120"/>
      <c r="H6" s="122" t="s">
        <v>153</v>
      </c>
      <c r="J6" s="2"/>
    </row>
    <row r="7" spans="1:10" ht="17.100000000000001" customHeight="1" x14ac:dyDescent="0.2">
      <c r="A7" s="123">
        <v>1</v>
      </c>
      <c r="B7" s="124" t="s">
        <v>194</v>
      </c>
      <c r="C7" s="124" t="s">
        <v>195</v>
      </c>
      <c r="D7" s="124" t="s">
        <v>45</v>
      </c>
      <c r="E7" s="125">
        <v>8297488</v>
      </c>
      <c r="F7" s="126">
        <v>51046.146176000002</v>
      </c>
      <c r="G7" s="127">
        <v>4.0151800000000001E-2</v>
      </c>
      <c r="H7" s="122" t="s">
        <v>153</v>
      </c>
      <c r="J7" s="2"/>
    </row>
    <row r="8" spans="1:10" ht="17.100000000000001" customHeight="1" x14ac:dyDescent="0.2">
      <c r="A8" s="123">
        <v>2</v>
      </c>
      <c r="B8" s="124" t="s">
        <v>110</v>
      </c>
      <c r="C8" s="124" t="s">
        <v>111</v>
      </c>
      <c r="D8" s="124" t="s">
        <v>35</v>
      </c>
      <c r="E8" s="125">
        <v>1177160</v>
      </c>
      <c r="F8" s="126">
        <v>44081.110520000002</v>
      </c>
      <c r="G8" s="127">
        <v>3.4673259999999997E-2</v>
      </c>
      <c r="H8" s="122" t="s">
        <v>153</v>
      </c>
      <c r="J8" s="2"/>
    </row>
    <row r="9" spans="1:10" ht="17.100000000000001" customHeight="1" x14ac:dyDescent="0.2">
      <c r="A9" s="123">
        <v>3</v>
      </c>
      <c r="B9" s="124" t="s">
        <v>196</v>
      </c>
      <c r="C9" s="124" t="s">
        <v>197</v>
      </c>
      <c r="D9" s="124" t="s">
        <v>198</v>
      </c>
      <c r="E9" s="125">
        <v>604417</v>
      </c>
      <c r="F9" s="126">
        <v>43268.701987499997</v>
      </c>
      <c r="G9" s="127">
        <v>3.4034229999999999E-2</v>
      </c>
      <c r="H9" s="122" t="s">
        <v>153</v>
      </c>
      <c r="J9" s="2"/>
    </row>
    <row r="10" spans="1:10" ht="17.100000000000001" customHeight="1" x14ac:dyDescent="0.2">
      <c r="A10" s="123">
        <v>4</v>
      </c>
      <c r="B10" s="124" t="s">
        <v>199</v>
      </c>
      <c r="C10" s="124" t="s">
        <v>200</v>
      </c>
      <c r="D10" s="124" t="s">
        <v>74</v>
      </c>
      <c r="E10" s="125">
        <v>969864</v>
      </c>
      <c r="F10" s="126">
        <v>39093.278112</v>
      </c>
      <c r="G10" s="127">
        <v>3.074994E-2</v>
      </c>
      <c r="H10" s="122" t="s">
        <v>153</v>
      </c>
      <c r="J10" s="2"/>
    </row>
    <row r="11" spans="1:10" ht="17.100000000000001" customHeight="1" x14ac:dyDescent="0.2">
      <c r="A11" s="123">
        <v>5</v>
      </c>
      <c r="B11" s="124" t="s">
        <v>201</v>
      </c>
      <c r="C11" s="124" t="s">
        <v>202</v>
      </c>
      <c r="D11" s="124" t="s">
        <v>48</v>
      </c>
      <c r="E11" s="125">
        <v>20011397</v>
      </c>
      <c r="F11" s="126">
        <v>38962.189959000003</v>
      </c>
      <c r="G11" s="127">
        <v>3.0646820000000002E-2</v>
      </c>
      <c r="H11" s="122" t="s">
        <v>153</v>
      </c>
      <c r="J11" s="2"/>
    </row>
    <row r="12" spans="1:10" ht="29.1" customHeight="1" x14ac:dyDescent="0.2">
      <c r="A12" s="123">
        <v>6</v>
      </c>
      <c r="B12" s="124" t="s">
        <v>203</v>
      </c>
      <c r="C12" s="124" t="s">
        <v>204</v>
      </c>
      <c r="D12" s="124" t="s">
        <v>205</v>
      </c>
      <c r="E12" s="125">
        <v>1773310</v>
      </c>
      <c r="F12" s="126">
        <v>31179.223075000002</v>
      </c>
      <c r="G12" s="127">
        <v>2.452491E-2</v>
      </c>
      <c r="H12" s="122" t="s">
        <v>153</v>
      </c>
      <c r="J12" s="7"/>
    </row>
    <row r="13" spans="1:10" ht="29.1" customHeight="1" x14ac:dyDescent="0.2">
      <c r="A13" s="123">
        <v>7</v>
      </c>
      <c r="B13" s="124" t="s">
        <v>206</v>
      </c>
      <c r="C13" s="124" t="s">
        <v>207</v>
      </c>
      <c r="D13" s="124" t="s">
        <v>208</v>
      </c>
      <c r="E13" s="125">
        <v>1388200</v>
      </c>
      <c r="F13" s="126">
        <v>31098.456399999999</v>
      </c>
      <c r="G13" s="127">
        <v>2.4461380000000001E-2</v>
      </c>
      <c r="H13" s="122" t="s">
        <v>153</v>
      </c>
      <c r="J13" s="2"/>
    </row>
    <row r="14" spans="1:10" ht="17.100000000000001" customHeight="1" x14ac:dyDescent="0.2">
      <c r="A14" s="123">
        <v>8</v>
      </c>
      <c r="B14" s="124" t="s">
        <v>87</v>
      </c>
      <c r="C14" s="124" t="s">
        <v>88</v>
      </c>
      <c r="D14" s="124" t="s">
        <v>89</v>
      </c>
      <c r="E14" s="125">
        <v>5470000</v>
      </c>
      <c r="F14" s="126">
        <v>30060.384999999998</v>
      </c>
      <c r="G14" s="127">
        <v>2.3644849999999999E-2</v>
      </c>
      <c r="H14" s="122" t="s">
        <v>153</v>
      </c>
      <c r="J14" s="2" t="s">
        <v>917</v>
      </c>
    </row>
    <row r="15" spans="1:10" ht="17.100000000000001" customHeight="1" x14ac:dyDescent="0.2">
      <c r="A15" s="123">
        <v>9</v>
      </c>
      <c r="B15" s="124" t="s">
        <v>209</v>
      </c>
      <c r="C15" s="124" t="s">
        <v>210</v>
      </c>
      <c r="D15" s="124" t="s">
        <v>211</v>
      </c>
      <c r="E15" s="125">
        <v>506729</v>
      </c>
      <c r="F15" s="126">
        <v>26202.196496500001</v>
      </c>
      <c r="G15" s="127">
        <v>2.0610090000000001E-2</v>
      </c>
      <c r="H15" s="122" t="s">
        <v>153</v>
      </c>
      <c r="J15" s="2"/>
    </row>
    <row r="16" spans="1:10" ht="17.100000000000001" customHeight="1" x14ac:dyDescent="0.2">
      <c r="A16" s="123">
        <v>10</v>
      </c>
      <c r="B16" s="124" t="s">
        <v>212</v>
      </c>
      <c r="C16" s="124" t="s">
        <v>213</v>
      </c>
      <c r="D16" s="124" t="s">
        <v>48</v>
      </c>
      <c r="E16" s="125">
        <v>3755252</v>
      </c>
      <c r="F16" s="126">
        <v>25862.420524000001</v>
      </c>
      <c r="G16" s="127">
        <v>2.0342829999999999E-2</v>
      </c>
      <c r="H16" s="122" t="s">
        <v>153</v>
      </c>
      <c r="J16" s="2"/>
    </row>
    <row r="17" spans="1:10" ht="17.100000000000001" customHeight="1" x14ac:dyDescent="0.2">
      <c r="A17" s="123">
        <v>11</v>
      </c>
      <c r="B17" s="124" t="s">
        <v>214</v>
      </c>
      <c r="C17" s="124" t="s">
        <v>215</v>
      </c>
      <c r="D17" s="124" t="s">
        <v>216</v>
      </c>
      <c r="E17" s="125">
        <v>4646820</v>
      </c>
      <c r="F17" s="126">
        <v>25641.152760000001</v>
      </c>
      <c r="G17" s="127">
        <v>2.0168780000000001E-2</v>
      </c>
      <c r="H17" s="122" t="s">
        <v>153</v>
      </c>
      <c r="J17" s="2"/>
    </row>
    <row r="18" spans="1:10" ht="17.100000000000001" customHeight="1" x14ac:dyDescent="0.2">
      <c r="A18" s="123">
        <v>12</v>
      </c>
      <c r="B18" s="124" t="s">
        <v>217</v>
      </c>
      <c r="C18" s="124" t="s">
        <v>218</v>
      </c>
      <c r="D18" s="124" t="s">
        <v>48</v>
      </c>
      <c r="E18" s="125">
        <v>4488932</v>
      </c>
      <c r="F18" s="126">
        <v>25465.711235999999</v>
      </c>
      <c r="G18" s="127">
        <v>2.0030780000000002E-2</v>
      </c>
      <c r="H18" s="122" t="s">
        <v>153</v>
      </c>
      <c r="J18" s="2"/>
    </row>
    <row r="19" spans="1:10" ht="17.100000000000001" customHeight="1" x14ac:dyDescent="0.2">
      <c r="A19" s="123">
        <v>13</v>
      </c>
      <c r="B19" s="124" t="s">
        <v>219</v>
      </c>
      <c r="C19" s="124" t="s">
        <v>220</v>
      </c>
      <c r="D19" s="124" t="s">
        <v>71</v>
      </c>
      <c r="E19" s="125">
        <v>1389543</v>
      </c>
      <c r="F19" s="126">
        <v>24627.565360500001</v>
      </c>
      <c r="G19" s="127">
        <v>1.937152E-2</v>
      </c>
      <c r="H19" s="122" t="s">
        <v>153</v>
      </c>
      <c r="J19" s="2"/>
    </row>
    <row r="20" spans="1:10" ht="17.100000000000001" customHeight="1" x14ac:dyDescent="0.2">
      <c r="A20" s="123">
        <v>14</v>
      </c>
      <c r="B20" s="124" t="s">
        <v>221</v>
      </c>
      <c r="C20" s="124" t="s">
        <v>222</v>
      </c>
      <c r="D20" s="124" t="s">
        <v>19</v>
      </c>
      <c r="E20" s="125">
        <v>1341316</v>
      </c>
      <c r="F20" s="126">
        <v>23385.84446</v>
      </c>
      <c r="G20" s="127">
        <v>1.8394799999999999E-2</v>
      </c>
      <c r="H20" s="122" t="s">
        <v>153</v>
      </c>
      <c r="J20" s="2"/>
    </row>
    <row r="21" spans="1:10" ht="17.100000000000001" customHeight="1" x14ac:dyDescent="0.2">
      <c r="A21" s="123">
        <v>15</v>
      </c>
      <c r="B21" s="124" t="s">
        <v>223</v>
      </c>
      <c r="C21" s="124" t="s">
        <v>224</v>
      </c>
      <c r="D21" s="124" t="s">
        <v>89</v>
      </c>
      <c r="E21" s="125">
        <v>161490</v>
      </c>
      <c r="F21" s="126">
        <v>22526.240099999999</v>
      </c>
      <c r="G21" s="127">
        <v>1.7718660000000001E-2</v>
      </c>
      <c r="H21" s="122" t="s">
        <v>153</v>
      </c>
      <c r="J21" s="2"/>
    </row>
    <row r="22" spans="1:10" ht="29.1" customHeight="1" x14ac:dyDescent="0.2">
      <c r="A22" s="123">
        <v>16</v>
      </c>
      <c r="B22" s="124" t="s">
        <v>225</v>
      </c>
      <c r="C22" s="124" t="s">
        <v>226</v>
      </c>
      <c r="D22" s="124" t="s">
        <v>227</v>
      </c>
      <c r="E22" s="125">
        <v>1211495</v>
      </c>
      <c r="F22" s="126">
        <v>21470.7201375</v>
      </c>
      <c r="G22" s="127">
        <v>1.688841E-2</v>
      </c>
      <c r="H22" s="122" t="s">
        <v>153</v>
      </c>
      <c r="J22" s="7"/>
    </row>
    <row r="23" spans="1:10" ht="29.1" customHeight="1" x14ac:dyDescent="0.2">
      <c r="A23" s="123">
        <v>17</v>
      </c>
      <c r="B23" s="124" t="s">
        <v>228</v>
      </c>
      <c r="C23" s="124" t="s">
        <v>229</v>
      </c>
      <c r="D23" s="124" t="s">
        <v>208</v>
      </c>
      <c r="E23" s="125">
        <v>1885000</v>
      </c>
      <c r="F23" s="126">
        <v>21260.915000000001</v>
      </c>
      <c r="G23" s="127">
        <v>1.6723379999999999E-2</v>
      </c>
      <c r="H23" s="122" t="s">
        <v>153</v>
      </c>
      <c r="J23" s="2"/>
    </row>
    <row r="24" spans="1:10" ht="29.1" customHeight="1" x14ac:dyDescent="0.2">
      <c r="A24" s="123">
        <v>18</v>
      </c>
      <c r="B24" s="124" t="s">
        <v>230</v>
      </c>
      <c r="C24" s="124" t="s">
        <v>231</v>
      </c>
      <c r="D24" s="124" t="s">
        <v>208</v>
      </c>
      <c r="E24" s="125">
        <v>329521</v>
      </c>
      <c r="F24" s="126">
        <v>20332.599023499999</v>
      </c>
      <c r="G24" s="127">
        <v>1.5993190000000001E-2</v>
      </c>
      <c r="H24" s="122" t="s">
        <v>153</v>
      </c>
      <c r="J24" s="2"/>
    </row>
    <row r="25" spans="1:10" ht="17.100000000000001" customHeight="1" x14ac:dyDescent="0.2">
      <c r="A25" s="123">
        <v>19</v>
      </c>
      <c r="B25" s="124" t="s">
        <v>232</v>
      </c>
      <c r="C25" s="124" t="s">
        <v>233</v>
      </c>
      <c r="D25" s="124" t="s">
        <v>22</v>
      </c>
      <c r="E25" s="125">
        <v>4535492</v>
      </c>
      <c r="F25" s="126">
        <v>19005.979225999999</v>
      </c>
      <c r="G25" s="127">
        <v>1.49497E-2</v>
      </c>
      <c r="H25" s="122" t="s">
        <v>153</v>
      </c>
      <c r="J25" s="2" t="s">
        <v>918</v>
      </c>
    </row>
    <row r="26" spans="1:10" ht="17.100000000000001" customHeight="1" x14ac:dyDescent="0.2">
      <c r="A26" s="123">
        <v>20</v>
      </c>
      <c r="B26" s="124" t="s">
        <v>234</v>
      </c>
      <c r="C26" s="124" t="s">
        <v>235</v>
      </c>
      <c r="D26" s="124" t="s">
        <v>236</v>
      </c>
      <c r="E26" s="125">
        <v>2758889</v>
      </c>
      <c r="F26" s="126">
        <v>17941.055166999999</v>
      </c>
      <c r="G26" s="127">
        <v>1.4112049999999999E-2</v>
      </c>
      <c r="H26" s="122" t="s">
        <v>153</v>
      </c>
      <c r="J26" s="2"/>
    </row>
    <row r="27" spans="1:10" ht="17.100000000000001" customHeight="1" x14ac:dyDescent="0.2">
      <c r="A27" s="123">
        <v>21</v>
      </c>
      <c r="B27" s="124" t="s">
        <v>237</v>
      </c>
      <c r="C27" s="124" t="s">
        <v>238</v>
      </c>
      <c r="D27" s="124" t="s">
        <v>239</v>
      </c>
      <c r="E27" s="125">
        <v>403395</v>
      </c>
      <c r="F27" s="126">
        <v>17189.669437500001</v>
      </c>
      <c r="G27" s="127">
        <v>1.352103E-2</v>
      </c>
      <c r="H27" s="122" t="s">
        <v>153</v>
      </c>
      <c r="J27" s="2"/>
    </row>
    <row r="28" spans="1:10" ht="17.100000000000001" customHeight="1" x14ac:dyDescent="0.2">
      <c r="A28" s="123">
        <v>22</v>
      </c>
      <c r="B28" s="124" t="s">
        <v>240</v>
      </c>
      <c r="C28" s="124" t="s">
        <v>241</v>
      </c>
      <c r="D28" s="124" t="s">
        <v>45</v>
      </c>
      <c r="E28" s="125">
        <v>978850</v>
      </c>
      <c r="F28" s="126">
        <v>17067.718024999998</v>
      </c>
      <c r="G28" s="127">
        <v>1.3425100000000001E-2</v>
      </c>
      <c r="H28" s="122" t="s">
        <v>153</v>
      </c>
      <c r="J28" s="2"/>
    </row>
    <row r="29" spans="1:10" ht="17.100000000000001" customHeight="1" x14ac:dyDescent="0.2">
      <c r="A29" s="123">
        <v>23</v>
      </c>
      <c r="B29" s="124" t="s">
        <v>242</v>
      </c>
      <c r="C29" s="124" t="s">
        <v>243</v>
      </c>
      <c r="D29" s="124" t="s">
        <v>89</v>
      </c>
      <c r="E29" s="125">
        <v>531870</v>
      </c>
      <c r="F29" s="126">
        <v>17043.774150000001</v>
      </c>
      <c r="G29" s="127">
        <v>1.340627E-2</v>
      </c>
      <c r="H29" s="122" t="s">
        <v>153</v>
      </c>
      <c r="J29" s="2"/>
    </row>
    <row r="30" spans="1:10" ht="17.100000000000001" customHeight="1" x14ac:dyDescent="0.2">
      <c r="A30" s="123">
        <v>24</v>
      </c>
      <c r="B30" s="124" t="s">
        <v>106</v>
      </c>
      <c r="C30" s="124" t="s">
        <v>107</v>
      </c>
      <c r="D30" s="124" t="s">
        <v>35</v>
      </c>
      <c r="E30" s="125">
        <v>689789</v>
      </c>
      <c r="F30" s="126">
        <v>16834.300544999998</v>
      </c>
      <c r="G30" s="127">
        <v>1.32415E-2</v>
      </c>
      <c r="H30" s="122" t="s">
        <v>153</v>
      </c>
      <c r="J30" s="2"/>
    </row>
    <row r="31" spans="1:10" ht="17.100000000000001" customHeight="1" x14ac:dyDescent="0.2">
      <c r="A31" s="123">
        <v>25</v>
      </c>
      <c r="B31" s="124" t="s">
        <v>244</v>
      </c>
      <c r="C31" s="124" t="s">
        <v>245</v>
      </c>
      <c r="D31" s="124" t="s">
        <v>198</v>
      </c>
      <c r="E31" s="125">
        <v>214946</v>
      </c>
      <c r="F31" s="126">
        <v>16505.273448</v>
      </c>
      <c r="G31" s="127">
        <v>1.298269E-2</v>
      </c>
      <c r="H31" s="122" t="s">
        <v>153</v>
      </c>
      <c r="J31" s="2"/>
    </row>
    <row r="32" spans="1:10" ht="17.100000000000001" customHeight="1" x14ac:dyDescent="0.2">
      <c r="A32" s="123">
        <v>26</v>
      </c>
      <c r="B32" s="124" t="s">
        <v>246</v>
      </c>
      <c r="C32" s="124" t="s">
        <v>247</v>
      </c>
      <c r="D32" s="124" t="s">
        <v>211</v>
      </c>
      <c r="E32" s="125">
        <v>528688</v>
      </c>
      <c r="F32" s="126">
        <v>16415.498056</v>
      </c>
      <c r="G32" s="127">
        <v>1.2912079999999999E-2</v>
      </c>
      <c r="H32" s="122" t="s">
        <v>153</v>
      </c>
      <c r="J32" s="2"/>
    </row>
    <row r="33" spans="1:10" ht="29.1" customHeight="1" x14ac:dyDescent="0.2">
      <c r="A33" s="123">
        <v>27</v>
      </c>
      <c r="B33" s="124" t="s">
        <v>30</v>
      </c>
      <c r="C33" s="124" t="s">
        <v>31</v>
      </c>
      <c r="D33" s="124" t="s">
        <v>32</v>
      </c>
      <c r="E33" s="125">
        <v>5364231</v>
      </c>
      <c r="F33" s="126">
        <v>16055.143383000001</v>
      </c>
      <c r="G33" s="127">
        <v>1.262863E-2</v>
      </c>
      <c r="H33" s="122" t="s">
        <v>153</v>
      </c>
      <c r="J33" s="2"/>
    </row>
    <row r="34" spans="1:10" ht="17.100000000000001" customHeight="1" x14ac:dyDescent="0.2">
      <c r="A34" s="123">
        <v>28</v>
      </c>
      <c r="B34" s="124" t="s">
        <v>128</v>
      </c>
      <c r="C34" s="124" t="s">
        <v>129</v>
      </c>
      <c r="D34" s="124" t="s">
        <v>86</v>
      </c>
      <c r="E34" s="125">
        <v>3742763</v>
      </c>
      <c r="F34" s="126">
        <v>15693.405258999999</v>
      </c>
      <c r="G34" s="127">
        <v>1.23441E-2</v>
      </c>
      <c r="H34" s="122" t="s">
        <v>153</v>
      </c>
      <c r="J34" s="2"/>
    </row>
    <row r="35" spans="1:10" ht="29.1" customHeight="1" x14ac:dyDescent="0.2">
      <c r="A35" s="123">
        <v>29</v>
      </c>
      <c r="B35" s="124" t="s">
        <v>248</v>
      </c>
      <c r="C35" s="124" t="s">
        <v>249</v>
      </c>
      <c r="D35" s="124" t="s">
        <v>250</v>
      </c>
      <c r="E35" s="125">
        <v>517174</v>
      </c>
      <c r="F35" s="126">
        <v>15055.193727</v>
      </c>
      <c r="G35" s="127">
        <v>1.184209E-2</v>
      </c>
      <c r="H35" s="122" t="s">
        <v>153</v>
      </c>
      <c r="J35" s="2"/>
    </row>
    <row r="36" spans="1:10" ht="17.100000000000001" customHeight="1" x14ac:dyDescent="0.2">
      <c r="A36" s="123">
        <v>30</v>
      </c>
      <c r="B36" s="124" t="s">
        <v>251</v>
      </c>
      <c r="C36" s="124" t="s">
        <v>252</v>
      </c>
      <c r="D36" s="124" t="s">
        <v>236</v>
      </c>
      <c r="E36" s="125">
        <v>1791031</v>
      </c>
      <c r="F36" s="126">
        <v>14957.7953965</v>
      </c>
      <c r="G36" s="127">
        <v>1.176548E-2</v>
      </c>
      <c r="H36" s="122" t="s">
        <v>153</v>
      </c>
      <c r="J36" s="2"/>
    </row>
    <row r="37" spans="1:10" ht="17.100000000000001" customHeight="1" x14ac:dyDescent="0.2">
      <c r="A37" s="123">
        <v>31</v>
      </c>
      <c r="B37" s="124" t="s">
        <v>253</v>
      </c>
      <c r="C37" s="124" t="s">
        <v>254</v>
      </c>
      <c r="D37" s="124" t="s">
        <v>255</v>
      </c>
      <c r="E37" s="125">
        <v>1373475</v>
      </c>
      <c r="F37" s="126">
        <v>14762.7960375</v>
      </c>
      <c r="G37" s="127">
        <v>1.16121E-2</v>
      </c>
      <c r="H37" s="122" t="s">
        <v>153</v>
      </c>
      <c r="J37" s="2"/>
    </row>
    <row r="38" spans="1:10" ht="17.100000000000001" customHeight="1" x14ac:dyDescent="0.2">
      <c r="A38" s="123">
        <v>32</v>
      </c>
      <c r="B38" s="124" t="s">
        <v>256</v>
      </c>
      <c r="C38" s="124" t="s">
        <v>257</v>
      </c>
      <c r="D38" s="124" t="s">
        <v>89</v>
      </c>
      <c r="E38" s="125">
        <v>917251</v>
      </c>
      <c r="F38" s="126">
        <v>14694.36102</v>
      </c>
      <c r="G38" s="127">
        <v>1.1558270000000001E-2</v>
      </c>
      <c r="H38" s="122" t="s">
        <v>153</v>
      </c>
      <c r="J38" s="2"/>
    </row>
    <row r="39" spans="1:10" ht="29.1" customHeight="1" x14ac:dyDescent="0.2">
      <c r="A39" s="123">
        <v>33</v>
      </c>
      <c r="B39" s="124" t="s">
        <v>258</v>
      </c>
      <c r="C39" s="124" t="s">
        <v>259</v>
      </c>
      <c r="D39" s="124" t="s">
        <v>89</v>
      </c>
      <c r="E39" s="125">
        <v>4662523</v>
      </c>
      <c r="F39" s="126">
        <v>14656.6410505</v>
      </c>
      <c r="G39" s="127">
        <v>1.15286E-2</v>
      </c>
      <c r="H39" s="122" t="s">
        <v>153</v>
      </c>
      <c r="J39" s="2"/>
    </row>
    <row r="40" spans="1:10" ht="29.1" customHeight="1" x14ac:dyDescent="0.2">
      <c r="A40" s="123">
        <v>34</v>
      </c>
      <c r="B40" s="124" t="s">
        <v>260</v>
      </c>
      <c r="C40" s="124" t="s">
        <v>261</v>
      </c>
      <c r="D40" s="124" t="s">
        <v>74</v>
      </c>
      <c r="E40" s="125">
        <v>91595</v>
      </c>
      <c r="F40" s="126">
        <v>14259.372207500001</v>
      </c>
      <c r="G40" s="127">
        <v>1.121612E-2</v>
      </c>
      <c r="H40" s="122" t="s">
        <v>153</v>
      </c>
      <c r="J40" s="2"/>
    </row>
    <row r="41" spans="1:10" ht="17.100000000000001" customHeight="1" x14ac:dyDescent="0.2">
      <c r="A41" s="123">
        <v>35</v>
      </c>
      <c r="B41" s="124" t="s">
        <v>262</v>
      </c>
      <c r="C41" s="124" t="s">
        <v>263</v>
      </c>
      <c r="D41" s="124" t="s">
        <v>264</v>
      </c>
      <c r="E41" s="125">
        <v>689899</v>
      </c>
      <c r="F41" s="126">
        <v>14146.034045500001</v>
      </c>
      <c r="G41" s="127">
        <v>1.112697E-2</v>
      </c>
      <c r="H41" s="122" t="s">
        <v>153</v>
      </c>
      <c r="J41" s="2"/>
    </row>
    <row r="42" spans="1:10" ht="17.100000000000001" customHeight="1" x14ac:dyDescent="0.2">
      <c r="A42" s="123">
        <v>36</v>
      </c>
      <c r="B42" s="124" t="s">
        <v>134</v>
      </c>
      <c r="C42" s="124" t="s">
        <v>135</v>
      </c>
      <c r="D42" s="124" t="s">
        <v>136</v>
      </c>
      <c r="E42" s="125">
        <v>1436748</v>
      </c>
      <c r="F42" s="126">
        <v>13942.202592</v>
      </c>
      <c r="G42" s="127">
        <v>1.096664E-2</v>
      </c>
      <c r="H42" s="122" t="s">
        <v>153</v>
      </c>
      <c r="J42" s="2"/>
    </row>
    <row r="43" spans="1:10" ht="17.100000000000001" customHeight="1" x14ac:dyDescent="0.2">
      <c r="A43" s="123">
        <v>37</v>
      </c>
      <c r="B43" s="124" t="s">
        <v>265</v>
      </c>
      <c r="C43" s="124" t="s">
        <v>266</v>
      </c>
      <c r="D43" s="124" t="s">
        <v>216</v>
      </c>
      <c r="E43" s="125">
        <v>1603545</v>
      </c>
      <c r="F43" s="126">
        <v>13829.7738525</v>
      </c>
      <c r="G43" s="127">
        <v>1.0878199999999999E-2</v>
      </c>
      <c r="H43" s="122" t="s">
        <v>153</v>
      </c>
      <c r="J43" s="2"/>
    </row>
    <row r="44" spans="1:10" ht="29.1" customHeight="1" x14ac:dyDescent="0.2">
      <c r="A44" s="123">
        <v>38</v>
      </c>
      <c r="B44" s="124" t="s">
        <v>79</v>
      </c>
      <c r="C44" s="124" t="s">
        <v>80</v>
      </c>
      <c r="D44" s="124" t="s">
        <v>25</v>
      </c>
      <c r="E44" s="125">
        <v>307948</v>
      </c>
      <c r="F44" s="126">
        <v>13715.695972</v>
      </c>
      <c r="G44" s="127">
        <v>1.078847E-2</v>
      </c>
      <c r="H44" s="122" t="s">
        <v>153</v>
      </c>
      <c r="J44" s="2"/>
    </row>
    <row r="45" spans="1:10" ht="17.100000000000001" customHeight="1" x14ac:dyDescent="0.2">
      <c r="A45" s="123">
        <v>39</v>
      </c>
      <c r="B45" s="124" t="s">
        <v>267</v>
      </c>
      <c r="C45" s="124" t="s">
        <v>268</v>
      </c>
      <c r="D45" s="124" t="s">
        <v>35</v>
      </c>
      <c r="E45" s="125">
        <v>200075</v>
      </c>
      <c r="F45" s="126">
        <v>13631.91005</v>
      </c>
      <c r="G45" s="127">
        <v>1.0722570000000001E-2</v>
      </c>
      <c r="H45" s="122" t="s">
        <v>153</v>
      </c>
      <c r="J45" s="2"/>
    </row>
    <row r="46" spans="1:10" ht="17.100000000000001" customHeight="1" x14ac:dyDescent="0.2">
      <c r="A46" s="123">
        <v>40</v>
      </c>
      <c r="B46" s="124" t="s">
        <v>269</v>
      </c>
      <c r="C46" s="124" t="s">
        <v>270</v>
      </c>
      <c r="D46" s="124" t="s">
        <v>74</v>
      </c>
      <c r="E46" s="125">
        <v>2721024</v>
      </c>
      <c r="F46" s="126">
        <v>13411.927296</v>
      </c>
      <c r="G46" s="127">
        <v>1.054954E-2</v>
      </c>
      <c r="H46" s="122" t="s">
        <v>153</v>
      </c>
      <c r="J46" s="2"/>
    </row>
    <row r="47" spans="1:10" ht="17.100000000000001" customHeight="1" x14ac:dyDescent="0.2">
      <c r="A47" s="123">
        <v>41</v>
      </c>
      <c r="B47" s="124" t="s">
        <v>271</v>
      </c>
      <c r="C47" s="124" t="s">
        <v>272</v>
      </c>
      <c r="D47" s="124" t="s">
        <v>273</v>
      </c>
      <c r="E47" s="125">
        <v>474240</v>
      </c>
      <c r="F47" s="126">
        <v>13341.79392</v>
      </c>
      <c r="G47" s="127">
        <v>1.0494369999999999E-2</v>
      </c>
      <c r="H47" s="122" t="s">
        <v>153</v>
      </c>
      <c r="J47" s="2"/>
    </row>
    <row r="48" spans="1:10" ht="17.100000000000001" customHeight="1" x14ac:dyDescent="0.2">
      <c r="A48" s="123">
        <v>42</v>
      </c>
      <c r="B48" s="124" t="s">
        <v>274</v>
      </c>
      <c r="C48" s="124" t="s">
        <v>275</v>
      </c>
      <c r="D48" s="124" t="s">
        <v>74</v>
      </c>
      <c r="E48" s="125">
        <v>1118982</v>
      </c>
      <c r="F48" s="126">
        <v>13135.729697999999</v>
      </c>
      <c r="G48" s="127">
        <v>1.0332279999999999E-2</v>
      </c>
      <c r="H48" s="122" t="s">
        <v>153</v>
      </c>
      <c r="J48" s="2"/>
    </row>
    <row r="49" spans="1:10" ht="17.100000000000001" customHeight="1" x14ac:dyDescent="0.2">
      <c r="A49" s="123">
        <v>43</v>
      </c>
      <c r="B49" s="124" t="s">
        <v>276</v>
      </c>
      <c r="C49" s="124" t="s">
        <v>277</v>
      </c>
      <c r="D49" s="124" t="s">
        <v>278</v>
      </c>
      <c r="E49" s="125">
        <v>1001424</v>
      </c>
      <c r="F49" s="126">
        <v>13134.677184</v>
      </c>
      <c r="G49" s="127">
        <v>1.0331460000000001E-2</v>
      </c>
      <c r="H49" s="122" t="s">
        <v>153</v>
      </c>
      <c r="J49" s="2"/>
    </row>
    <row r="50" spans="1:10" ht="17.100000000000001" customHeight="1" x14ac:dyDescent="0.2">
      <c r="A50" s="123">
        <v>44</v>
      </c>
      <c r="B50" s="124" t="s">
        <v>93</v>
      </c>
      <c r="C50" s="124" t="s">
        <v>94</v>
      </c>
      <c r="D50" s="124" t="s">
        <v>86</v>
      </c>
      <c r="E50" s="125">
        <v>1346768</v>
      </c>
      <c r="F50" s="126">
        <v>12997.657968</v>
      </c>
      <c r="G50" s="127">
        <v>1.0223680000000001E-2</v>
      </c>
      <c r="H50" s="122" t="s">
        <v>153</v>
      </c>
      <c r="J50" s="2"/>
    </row>
    <row r="51" spans="1:10" ht="17.100000000000001" customHeight="1" x14ac:dyDescent="0.2">
      <c r="A51" s="123">
        <v>45</v>
      </c>
      <c r="B51" s="124" t="s">
        <v>279</v>
      </c>
      <c r="C51" s="124" t="s">
        <v>280</v>
      </c>
      <c r="D51" s="124" t="s">
        <v>48</v>
      </c>
      <c r="E51" s="125">
        <v>10644981</v>
      </c>
      <c r="F51" s="126">
        <v>12937.909907400001</v>
      </c>
      <c r="G51" s="127">
        <v>1.017668E-2</v>
      </c>
      <c r="H51" s="122" t="s">
        <v>153</v>
      </c>
      <c r="J51" s="2"/>
    </row>
    <row r="52" spans="1:10" ht="17.100000000000001" customHeight="1" x14ac:dyDescent="0.2">
      <c r="A52" s="123">
        <v>46</v>
      </c>
      <c r="B52" s="124" t="s">
        <v>120</v>
      </c>
      <c r="C52" s="124" t="s">
        <v>121</v>
      </c>
      <c r="D52" s="124" t="s">
        <v>53</v>
      </c>
      <c r="E52" s="125">
        <v>1826417</v>
      </c>
      <c r="F52" s="126">
        <v>12713.688737</v>
      </c>
      <c r="G52" s="127">
        <v>1.000032E-2</v>
      </c>
      <c r="H52" s="122" t="s">
        <v>153</v>
      </c>
      <c r="J52" s="2"/>
    </row>
    <row r="53" spans="1:10" ht="29.1" customHeight="1" x14ac:dyDescent="0.2">
      <c r="A53" s="123">
        <v>47</v>
      </c>
      <c r="B53" s="124" t="s">
        <v>281</v>
      </c>
      <c r="C53" s="124" t="s">
        <v>282</v>
      </c>
      <c r="D53" s="124" t="s">
        <v>89</v>
      </c>
      <c r="E53" s="125">
        <v>871913</v>
      </c>
      <c r="F53" s="126">
        <v>12691.565628</v>
      </c>
      <c r="G53" s="127">
        <v>9.9829099999999994E-3</v>
      </c>
      <c r="H53" s="122" t="s">
        <v>153</v>
      </c>
      <c r="J53" s="2"/>
    </row>
    <row r="54" spans="1:10" ht="17.100000000000001" customHeight="1" x14ac:dyDescent="0.2">
      <c r="A54" s="123">
        <v>48</v>
      </c>
      <c r="B54" s="124" t="s">
        <v>126</v>
      </c>
      <c r="C54" s="124" t="s">
        <v>127</v>
      </c>
      <c r="D54" s="124" t="s">
        <v>74</v>
      </c>
      <c r="E54" s="125">
        <v>313672</v>
      </c>
      <c r="F54" s="126">
        <v>12363.852387999999</v>
      </c>
      <c r="G54" s="127">
        <v>9.7251400000000002E-3</v>
      </c>
      <c r="H54" s="122" t="s">
        <v>153</v>
      </c>
      <c r="J54" s="2"/>
    </row>
    <row r="55" spans="1:10" ht="17.100000000000001" customHeight="1" x14ac:dyDescent="0.2">
      <c r="A55" s="123">
        <v>49</v>
      </c>
      <c r="B55" s="124" t="s">
        <v>137</v>
      </c>
      <c r="C55" s="124" t="s">
        <v>138</v>
      </c>
      <c r="D55" s="124" t="s">
        <v>53</v>
      </c>
      <c r="E55" s="125">
        <v>4000000</v>
      </c>
      <c r="F55" s="126">
        <v>11622</v>
      </c>
      <c r="G55" s="127">
        <v>9.1416199999999996E-3</v>
      </c>
      <c r="H55" s="122" t="s">
        <v>153</v>
      </c>
      <c r="J55" s="2"/>
    </row>
    <row r="56" spans="1:10" ht="17.100000000000001" customHeight="1" x14ac:dyDescent="0.2">
      <c r="A56" s="123">
        <v>50</v>
      </c>
      <c r="B56" s="124" t="s">
        <v>283</v>
      </c>
      <c r="C56" s="124" t="s">
        <v>284</v>
      </c>
      <c r="D56" s="124" t="s">
        <v>273</v>
      </c>
      <c r="E56" s="125">
        <v>9685266</v>
      </c>
      <c r="F56" s="126">
        <v>11421.834193799999</v>
      </c>
      <c r="G56" s="127">
        <v>8.9841699999999997E-3</v>
      </c>
      <c r="H56" s="122" t="s">
        <v>153</v>
      </c>
      <c r="J56" s="2"/>
    </row>
    <row r="57" spans="1:10" ht="17.100000000000001" customHeight="1" x14ac:dyDescent="0.2">
      <c r="A57" s="123">
        <v>51</v>
      </c>
      <c r="B57" s="124" t="s">
        <v>285</v>
      </c>
      <c r="C57" s="124" t="s">
        <v>286</v>
      </c>
      <c r="D57" s="124" t="s">
        <v>35</v>
      </c>
      <c r="E57" s="125">
        <v>213026</v>
      </c>
      <c r="F57" s="126">
        <v>11257.891535000001</v>
      </c>
      <c r="G57" s="127">
        <v>8.8552200000000005E-3</v>
      </c>
      <c r="H57" s="122" t="s">
        <v>153</v>
      </c>
      <c r="J57" s="2"/>
    </row>
    <row r="58" spans="1:10" ht="17.100000000000001" customHeight="1" x14ac:dyDescent="0.2">
      <c r="A58" s="123">
        <v>52</v>
      </c>
      <c r="B58" s="124" t="s">
        <v>287</v>
      </c>
      <c r="C58" s="124" t="s">
        <v>288</v>
      </c>
      <c r="D58" s="124" t="s">
        <v>211</v>
      </c>
      <c r="E58" s="125">
        <v>173456</v>
      </c>
      <c r="F58" s="126">
        <v>11004.135367999999</v>
      </c>
      <c r="G58" s="127">
        <v>8.6556199999999993E-3</v>
      </c>
      <c r="H58" s="122" t="s">
        <v>153</v>
      </c>
      <c r="J58" s="2"/>
    </row>
    <row r="59" spans="1:10" ht="17.100000000000001" customHeight="1" x14ac:dyDescent="0.2">
      <c r="A59" s="123">
        <v>53</v>
      </c>
      <c r="B59" s="124" t="s">
        <v>289</v>
      </c>
      <c r="C59" s="124" t="s">
        <v>290</v>
      </c>
      <c r="D59" s="124" t="s">
        <v>66</v>
      </c>
      <c r="E59" s="125">
        <v>2397401</v>
      </c>
      <c r="F59" s="126">
        <v>10610.896826</v>
      </c>
      <c r="G59" s="127">
        <v>8.3462999999999992E-3</v>
      </c>
      <c r="H59" s="122" t="s">
        <v>153</v>
      </c>
      <c r="J59" s="2"/>
    </row>
    <row r="60" spans="1:10" ht="17.100000000000001" customHeight="1" x14ac:dyDescent="0.2">
      <c r="A60" s="123">
        <v>54</v>
      </c>
      <c r="B60" s="124" t="s">
        <v>291</v>
      </c>
      <c r="C60" s="124" t="s">
        <v>292</v>
      </c>
      <c r="D60" s="124" t="s">
        <v>89</v>
      </c>
      <c r="E60" s="125">
        <v>611549</v>
      </c>
      <c r="F60" s="126">
        <v>10523.229417500001</v>
      </c>
      <c r="G60" s="127">
        <v>8.2773499999999993E-3</v>
      </c>
      <c r="H60" s="122" t="s">
        <v>153</v>
      </c>
      <c r="J60" s="2"/>
    </row>
    <row r="61" spans="1:10" ht="17.100000000000001" customHeight="1" x14ac:dyDescent="0.2">
      <c r="A61" s="123">
        <v>55</v>
      </c>
      <c r="B61" s="124" t="s">
        <v>293</v>
      </c>
      <c r="C61" s="124" t="s">
        <v>294</v>
      </c>
      <c r="D61" s="124" t="s">
        <v>239</v>
      </c>
      <c r="E61" s="125">
        <v>362682</v>
      </c>
      <c r="F61" s="126">
        <v>10273.511673000001</v>
      </c>
      <c r="G61" s="127">
        <v>8.0809200000000001E-3</v>
      </c>
      <c r="H61" s="122" t="s">
        <v>153</v>
      </c>
      <c r="J61" s="2"/>
    </row>
    <row r="62" spans="1:10" ht="29.1" customHeight="1" x14ac:dyDescent="0.2">
      <c r="A62" s="123">
        <v>56</v>
      </c>
      <c r="B62" s="124" t="s">
        <v>295</v>
      </c>
      <c r="C62" s="124" t="s">
        <v>296</v>
      </c>
      <c r="D62" s="124" t="s">
        <v>208</v>
      </c>
      <c r="E62" s="125">
        <v>2119699</v>
      </c>
      <c r="F62" s="126">
        <v>9965.7648485000009</v>
      </c>
      <c r="G62" s="127">
        <v>7.8388599999999996E-3</v>
      </c>
      <c r="H62" s="122" t="s">
        <v>153</v>
      </c>
      <c r="J62" s="2"/>
    </row>
    <row r="63" spans="1:10" ht="17.100000000000001" customHeight="1" x14ac:dyDescent="0.2">
      <c r="A63" s="123">
        <v>57</v>
      </c>
      <c r="B63" s="124" t="s">
        <v>297</v>
      </c>
      <c r="C63" s="124" t="s">
        <v>298</v>
      </c>
      <c r="D63" s="124" t="s">
        <v>35</v>
      </c>
      <c r="E63" s="125">
        <v>505581</v>
      </c>
      <c r="F63" s="126">
        <v>9703.8689235000002</v>
      </c>
      <c r="G63" s="127">
        <v>7.63286E-3</v>
      </c>
      <c r="H63" s="122" t="s">
        <v>153</v>
      </c>
      <c r="J63" s="2"/>
    </row>
    <row r="64" spans="1:10" ht="29.1" customHeight="1" x14ac:dyDescent="0.2">
      <c r="A64" s="123">
        <v>58</v>
      </c>
      <c r="B64" s="124" t="s">
        <v>299</v>
      </c>
      <c r="C64" s="124" t="s">
        <v>300</v>
      </c>
      <c r="D64" s="124" t="s">
        <v>205</v>
      </c>
      <c r="E64" s="125">
        <v>206644</v>
      </c>
      <c r="F64" s="126">
        <v>9289.5776979999991</v>
      </c>
      <c r="G64" s="127">
        <v>7.3069800000000002E-3</v>
      </c>
      <c r="H64" s="122" t="s">
        <v>153</v>
      </c>
      <c r="J64" s="2"/>
    </row>
    <row r="65" spans="1:10" ht="17.100000000000001" customHeight="1" x14ac:dyDescent="0.2">
      <c r="A65" s="123">
        <v>59</v>
      </c>
      <c r="B65" s="124" t="s">
        <v>301</v>
      </c>
      <c r="C65" s="124" t="s">
        <v>302</v>
      </c>
      <c r="D65" s="124" t="s">
        <v>236</v>
      </c>
      <c r="E65" s="125">
        <v>5147346</v>
      </c>
      <c r="F65" s="126">
        <v>9054.6963486000004</v>
      </c>
      <c r="G65" s="127">
        <v>7.1222300000000002E-3</v>
      </c>
      <c r="H65" s="122" t="s">
        <v>153</v>
      </c>
      <c r="J65" s="2"/>
    </row>
    <row r="66" spans="1:10" ht="29.1" customHeight="1" x14ac:dyDescent="0.2">
      <c r="A66" s="123">
        <v>60</v>
      </c>
      <c r="B66" s="124" t="s">
        <v>303</v>
      </c>
      <c r="C66" s="124" t="s">
        <v>304</v>
      </c>
      <c r="D66" s="124" t="s">
        <v>25</v>
      </c>
      <c r="E66" s="125">
        <v>387328</v>
      </c>
      <c r="F66" s="126">
        <v>9021.4501120000004</v>
      </c>
      <c r="G66" s="127">
        <v>7.0960800000000003E-3</v>
      </c>
      <c r="H66" s="122" t="s">
        <v>153</v>
      </c>
      <c r="J66" s="2"/>
    </row>
    <row r="67" spans="1:10" ht="29.1" customHeight="1" x14ac:dyDescent="0.2">
      <c r="A67" s="123">
        <v>61</v>
      </c>
      <c r="B67" s="124" t="s">
        <v>305</v>
      </c>
      <c r="C67" s="124" t="s">
        <v>306</v>
      </c>
      <c r="D67" s="124" t="s">
        <v>25</v>
      </c>
      <c r="E67" s="125">
        <v>435760</v>
      </c>
      <c r="F67" s="126">
        <v>8240.4394799999991</v>
      </c>
      <c r="G67" s="127">
        <v>6.4817499999999997E-3</v>
      </c>
      <c r="H67" s="122" t="s">
        <v>153</v>
      </c>
      <c r="J67" s="2"/>
    </row>
    <row r="68" spans="1:10" ht="17.100000000000001" customHeight="1" x14ac:dyDescent="0.2">
      <c r="A68" s="123">
        <v>62</v>
      </c>
      <c r="B68" s="124" t="s">
        <v>307</v>
      </c>
      <c r="C68" s="124" t="s">
        <v>308</v>
      </c>
      <c r="D68" s="124" t="s">
        <v>74</v>
      </c>
      <c r="E68" s="125">
        <v>1112556</v>
      </c>
      <c r="F68" s="126">
        <v>7602.6514260000004</v>
      </c>
      <c r="G68" s="127">
        <v>5.9800799999999996E-3</v>
      </c>
      <c r="H68" s="122" t="s">
        <v>153</v>
      </c>
      <c r="J68" s="2"/>
    </row>
    <row r="69" spans="1:10" ht="17.100000000000001" customHeight="1" x14ac:dyDescent="0.2">
      <c r="A69" s="123">
        <v>63</v>
      </c>
      <c r="B69" s="124" t="s">
        <v>309</v>
      </c>
      <c r="C69" s="124" t="s">
        <v>310</v>
      </c>
      <c r="D69" s="124" t="s">
        <v>45</v>
      </c>
      <c r="E69" s="125">
        <v>562562</v>
      </c>
      <c r="F69" s="126">
        <v>7599.3687769999997</v>
      </c>
      <c r="G69" s="127">
        <v>5.9775000000000002E-3</v>
      </c>
      <c r="H69" s="122" t="s">
        <v>153</v>
      </c>
      <c r="J69" s="2"/>
    </row>
    <row r="70" spans="1:10" ht="17.100000000000001" customHeight="1" x14ac:dyDescent="0.2">
      <c r="A70" s="123">
        <v>64</v>
      </c>
      <c r="B70" s="124" t="s">
        <v>311</v>
      </c>
      <c r="C70" s="124" t="s">
        <v>312</v>
      </c>
      <c r="D70" s="124" t="s">
        <v>216</v>
      </c>
      <c r="E70" s="125">
        <v>219508</v>
      </c>
      <c r="F70" s="126">
        <v>7501.4663920000003</v>
      </c>
      <c r="G70" s="127">
        <v>5.9004900000000004E-3</v>
      </c>
      <c r="H70" s="122" t="s">
        <v>153</v>
      </c>
      <c r="J70" s="2"/>
    </row>
    <row r="71" spans="1:10" ht="29.1" customHeight="1" x14ac:dyDescent="0.2">
      <c r="A71" s="123">
        <v>65</v>
      </c>
      <c r="B71" s="124" t="s">
        <v>313</v>
      </c>
      <c r="C71" s="124" t="s">
        <v>314</v>
      </c>
      <c r="D71" s="124" t="s">
        <v>315</v>
      </c>
      <c r="E71" s="125">
        <v>1150264</v>
      </c>
      <c r="F71" s="126">
        <v>7443.9334760000002</v>
      </c>
      <c r="G71" s="127">
        <v>5.8552400000000003E-3</v>
      </c>
      <c r="H71" s="122" t="s">
        <v>153</v>
      </c>
      <c r="J71" s="2"/>
    </row>
    <row r="72" spans="1:10" ht="17.100000000000001" customHeight="1" x14ac:dyDescent="0.2">
      <c r="A72" s="123">
        <v>66</v>
      </c>
      <c r="B72" s="124" t="s">
        <v>316</v>
      </c>
      <c r="C72" s="124" t="s">
        <v>317</v>
      </c>
      <c r="D72" s="124" t="s">
        <v>45</v>
      </c>
      <c r="E72" s="125">
        <v>2130968</v>
      </c>
      <c r="F72" s="126">
        <v>6318.3201200000003</v>
      </c>
      <c r="G72" s="127">
        <v>4.9698600000000004E-3</v>
      </c>
      <c r="H72" s="122" t="s">
        <v>153</v>
      </c>
      <c r="J72" s="2"/>
    </row>
    <row r="73" spans="1:10" ht="29.1" customHeight="1" x14ac:dyDescent="0.2">
      <c r="A73" s="123">
        <v>67</v>
      </c>
      <c r="B73" s="124" t="s">
        <v>318</v>
      </c>
      <c r="C73" s="124" t="s">
        <v>319</v>
      </c>
      <c r="D73" s="124" t="s">
        <v>208</v>
      </c>
      <c r="E73" s="125">
        <v>1738432</v>
      </c>
      <c r="F73" s="126">
        <v>6242.709312</v>
      </c>
      <c r="G73" s="127">
        <v>4.9103799999999998E-3</v>
      </c>
      <c r="H73" s="122" t="s">
        <v>153</v>
      </c>
      <c r="J73" s="2"/>
    </row>
    <row r="74" spans="1:10" ht="17.100000000000001" customHeight="1" x14ac:dyDescent="0.2">
      <c r="A74" s="123">
        <v>68</v>
      </c>
      <c r="B74" s="124" t="s">
        <v>320</v>
      </c>
      <c r="C74" s="124" t="s">
        <v>321</v>
      </c>
      <c r="D74" s="124" t="s">
        <v>211</v>
      </c>
      <c r="E74" s="125">
        <v>76738</v>
      </c>
      <c r="F74" s="126">
        <v>6139.577166</v>
      </c>
      <c r="G74" s="127">
        <v>4.8292600000000001E-3</v>
      </c>
      <c r="H74" s="122" t="s">
        <v>153</v>
      </c>
      <c r="J74" s="2"/>
    </row>
    <row r="75" spans="1:10" ht="17.100000000000001" customHeight="1" x14ac:dyDescent="0.2">
      <c r="A75" s="123">
        <v>69</v>
      </c>
      <c r="B75" s="124" t="s">
        <v>139</v>
      </c>
      <c r="C75" s="124" t="s">
        <v>140</v>
      </c>
      <c r="D75" s="124" t="s">
        <v>35</v>
      </c>
      <c r="E75" s="125">
        <v>404954</v>
      </c>
      <c r="F75" s="126">
        <v>5920.8324339999999</v>
      </c>
      <c r="G75" s="127">
        <v>4.6572000000000002E-3</v>
      </c>
      <c r="H75" s="122" t="s">
        <v>153</v>
      </c>
      <c r="J75" s="2"/>
    </row>
    <row r="76" spans="1:10" ht="17.100000000000001" customHeight="1" x14ac:dyDescent="0.2">
      <c r="A76" s="123">
        <v>70</v>
      </c>
      <c r="B76" s="124" t="s">
        <v>322</v>
      </c>
      <c r="C76" s="124" t="s">
        <v>323</v>
      </c>
      <c r="D76" s="124" t="s">
        <v>53</v>
      </c>
      <c r="E76" s="125">
        <v>7635895</v>
      </c>
      <c r="F76" s="126">
        <v>5791.0627679999998</v>
      </c>
      <c r="G76" s="127">
        <v>4.5551300000000001E-3</v>
      </c>
      <c r="H76" s="122" t="s">
        <v>153</v>
      </c>
      <c r="J76" s="2"/>
    </row>
    <row r="77" spans="1:10" ht="17.100000000000001" customHeight="1" x14ac:dyDescent="0.2">
      <c r="A77" s="123">
        <v>71</v>
      </c>
      <c r="B77" s="124" t="s">
        <v>43</v>
      </c>
      <c r="C77" s="124" t="s">
        <v>44</v>
      </c>
      <c r="D77" s="124" t="s">
        <v>45</v>
      </c>
      <c r="E77" s="125">
        <v>103154</v>
      </c>
      <c r="F77" s="126">
        <v>4608.1986420000003</v>
      </c>
      <c r="G77" s="127">
        <v>3.6247100000000002E-3</v>
      </c>
      <c r="H77" s="122" t="s">
        <v>153</v>
      </c>
      <c r="J77" s="2"/>
    </row>
    <row r="78" spans="1:10" ht="29.1" customHeight="1" x14ac:dyDescent="0.2">
      <c r="A78" s="123">
        <v>72</v>
      </c>
      <c r="B78" s="124" t="s">
        <v>324</v>
      </c>
      <c r="C78" s="124" t="s">
        <v>325</v>
      </c>
      <c r="D78" s="124" t="s">
        <v>250</v>
      </c>
      <c r="E78" s="125">
        <v>138929</v>
      </c>
      <c r="F78" s="126">
        <v>4582.4341359999999</v>
      </c>
      <c r="G78" s="127">
        <v>3.60444E-3</v>
      </c>
      <c r="H78" s="122" t="s">
        <v>153</v>
      </c>
      <c r="J78" s="2"/>
    </row>
    <row r="79" spans="1:10" ht="17.100000000000001" customHeight="1" x14ac:dyDescent="0.2">
      <c r="A79" s="123">
        <v>73</v>
      </c>
      <c r="B79" s="124" t="s">
        <v>41</v>
      </c>
      <c r="C79" s="124" t="s">
        <v>42</v>
      </c>
      <c r="D79" s="124" t="s">
        <v>16</v>
      </c>
      <c r="E79" s="125">
        <v>328662</v>
      </c>
      <c r="F79" s="126">
        <v>4115.0125710000002</v>
      </c>
      <c r="G79" s="127">
        <v>3.2367799999999999E-3</v>
      </c>
      <c r="H79" s="122" t="s">
        <v>153</v>
      </c>
      <c r="J79" s="2"/>
    </row>
    <row r="80" spans="1:10" ht="29.1" customHeight="1" x14ac:dyDescent="0.2">
      <c r="A80" s="123">
        <v>74</v>
      </c>
      <c r="B80" s="124" t="s">
        <v>326</v>
      </c>
      <c r="C80" s="124" t="s">
        <v>327</v>
      </c>
      <c r="D80" s="124" t="s">
        <v>208</v>
      </c>
      <c r="E80" s="125">
        <v>60062</v>
      </c>
      <c r="F80" s="126">
        <v>4089.62158</v>
      </c>
      <c r="G80" s="127">
        <v>3.2168100000000001E-3</v>
      </c>
      <c r="H80" s="122" t="s">
        <v>153</v>
      </c>
      <c r="J80" s="2"/>
    </row>
    <row r="81" spans="1:10" ht="17.100000000000001" customHeight="1" x14ac:dyDescent="0.2">
      <c r="A81" s="123">
        <v>75</v>
      </c>
      <c r="B81" s="124" t="s">
        <v>328</v>
      </c>
      <c r="C81" s="124" t="s">
        <v>329</v>
      </c>
      <c r="D81" s="124" t="s">
        <v>236</v>
      </c>
      <c r="E81" s="125">
        <v>604722</v>
      </c>
      <c r="F81" s="126">
        <v>3915.5749500000002</v>
      </c>
      <c r="G81" s="127">
        <v>3.0799099999999999E-3</v>
      </c>
      <c r="H81" s="122" t="s">
        <v>153</v>
      </c>
      <c r="J81" s="2"/>
    </row>
    <row r="82" spans="1:10" ht="29.1" customHeight="1" x14ac:dyDescent="0.2">
      <c r="A82" s="123">
        <v>76</v>
      </c>
      <c r="B82" s="124" t="s">
        <v>330</v>
      </c>
      <c r="C82" s="124" t="s">
        <v>331</v>
      </c>
      <c r="D82" s="124" t="s">
        <v>255</v>
      </c>
      <c r="E82" s="125">
        <v>503403</v>
      </c>
      <c r="F82" s="126">
        <v>3791.3796944999999</v>
      </c>
      <c r="G82" s="127">
        <v>2.9822199999999998E-3</v>
      </c>
      <c r="H82" s="122" t="s">
        <v>153</v>
      </c>
      <c r="J82" s="2"/>
    </row>
    <row r="83" spans="1:10" ht="17.100000000000001" customHeight="1" x14ac:dyDescent="0.2">
      <c r="A83" s="123">
        <v>77</v>
      </c>
      <c r="B83" s="124" t="s">
        <v>332</v>
      </c>
      <c r="C83" s="124" t="s">
        <v>333</v>
      </c>
      <c r="D83" s="124" t="s">
        <v>71</v>
      </c>
      <c r="E83" s="125">
        <v>206201</v>
      </c>
      <c r="F83" s="126">
        <v>3738.7334314999998</v>
      </c>
      <c r="G83" s="127">
        <v>2.9408099999999999E-3</v>
      </c>
      <c r="H83" s="122" t="s">
        <v>153</v>
      </c>
      <c r="J83" s="2"/>
    </row>
    <row r="84" spans="1:10" ht="17.100000000000001" customHeight="1" x14ac:dyDescent="0.2">
      <c r="A84" s="123">
        <v>78</v>
      </c>
      <c r="B84" s="124" t="s">
        <v>114</v>
      </c>
      <c r="C84" s="124" t="s">
        <v>115</v>
      </c>
      <c r="D84" s="124" t="s">
        <v>16</v>
      </c>
      <c r="E84" s="125">
        <v>728777</v>
      </c>
      <c r="F84" s="126">
        <v>3341.4425449999999</v>
      </c>
      <c r="G84" s="127">
        <v>2.62831E-3</v>
      </c>
      <c r="H84" s="122" t="s">
        <v>153</v>
      </c>
      <c r="J84" s="2"/>
    </row>
    <row r="85" spans="1:10" ht="29.1" customHeight="1" x14ac:dyDescent="0.2">
      <c r="A85" s="123">
        <v>79</v>
      </c>
      <c r="B85" s="124" t="s">
        <v>334</v>
      </c>
      <c r="C85" s="124" t="s">
        <v>335</v>
      </c>
      <c r="D85" s="124" t="s">
        <v>208</v>
      </c>
      <c r="E85" s="125">
        <v>60062</v>
      </c>
      <c r="F85" s="126">
        <v>2265.9290430000001</v>
      </c>
      <c r="G85" s="127">
        <v>1.7823299999999999E-3</v>
      </c>
      <c r="H85" s="122" t="s">
        <v>153</v>
      </c>
      <c r="J85" s="2"/>
    </row>
    <row r="86" spans="1:10" ht="17.100000000000001" customHeight="1" x14ac:dyDescent="0.2">
      <c r="A86" s="123">
        <v>80</v>
      </c>
      <c r="B86" s="124" t="s">
        <v>336</v>
      </c>
      <c r="C86" s="124" t="s">
        <v>337</v>
      </c>
      <c r="D86" s="124" t="s">
        <v>66</v>
      </c>
      <c r="E86" s="125">
        <v>321233</v>
      </c>
      <c r="F86" s="126">
        <v>1949.7236935000001</v>
      </c>
      <c r="G86" s="127">
        <v>1.5336099999999999E-3</v>
      </c>
      <c r="H86" s="122" t="s">
        <v>153</v>
      </c>
      <c r="J86" s="2"/>
    </row>
    <row r="87" spans="1:10" ht="17.100000000000001" customHeight="1" x14ac:dyDescent="0.2">
      <c r="A87" s="123">
        <v>81</v>
      </c>
      <c r="B87" s="124" t="s">
        <v>338</v>
      </c>
      <c r="C87" s="124" t="s">
        <v>339</v>
      </c>
      <c r="D87" s="124" t="s">
        <v>273</v>
      </c>
      <c r="E87" s="125">
        <v>8000</v>
      </c>
      <c r="F87" s="126">
        <v>992.24</v>
      </c>
      <c r="G87" s="127">
        <v>7.8047999999999995E-4</v>
      </c>
      <c r="H87" s="122" t="s">
        <v>153</v>
      </c>
      <c r="J87" s="2"/>
    </row>
    <row r="88" spans="1:10" ht="14.1" customHeight="1" x14ac:dyDescent="0.2">
      <c r="A88" s="120"/>
      <c r="B88" s="120"/>
      <c r="C88" s="121" t="s">
        <v>152</v>
      </c>
      <c r="D88" s="120"/>
      <c r="E88" s="120" t="s">
        <v>153</v>
      </c>
      <c r="F88" s="128">
        <v>1219636.7602828001</v>
      </c>
      <c r="G88" s="129">
        <v>0.95934017999999999</v>
      </c>
      <c r="H88" s="122" t="s">
        <v>153</v>
      </c>
      <c r="J88" s="2"/>
    </row>
    <row r="89" spans="1:10" ht="14.1" customHeight="1" x14ac:dyDescent="0.2">
      <c r="A89" s="120"/>
      <c r="B89" s="120"/>
      <c r="C89" s="130"/>
      <c r="D89" s="120"/>
      <c r="E89" s="120"/>
      <c r="F89" s="131"/>
      <c r="G89" s="131"/>
      <c r="H89" s="122" t="s">
        <v>153</v>
      </c>
      <c r="J89" s="2"/>
    </row>
    <row r="90" spans="1:10" ht="14.1" customHeight="1" x14ac:dyDescent="0.2">
      <c r="A90" s="120"/>
      <c r="B90" s="120"/>
      <c r="C90" s="121" t="s">
        <v>154</v>
      </c>
      <c r="D90" s="120"/>
      <c r="E90" s="120"/>
      <c r="F90" s="120"/>
      <c r="G90" s="120"/>
      <c r="H90" s="122" t="s">
        <v>153</v>
      </c>
      <c r="J90" s="2"/>
    </row>
    <row r="91" spans="1:10" ht="14.1" customHeight="1" x14ac:dyDescent="0.2">
      <c r="A91" s="120"/>
      <c r="B91" s="120"/>
      <c r="C91" s="121" t="s">
        <v>152</v>
      </c>
      <c r="D91" s="120"/>
      <c r="E91" s="120" t="s">
        <v>153</v>
      </c>
      <c r="F91" s="132" t="s">
        <v>155</v>
      </c>
      <c r="G91" s="129">
        <v>0</v>
      </c>
      <c r="H91" s="122" t="s">
        <v>153</v>
      </c>
      <c r="J91" s="2"/>
    </row>
    <row r="92" spans="1:10" ht="14.1" customHeight="1" x14ac:dyDescent="0.2">
      <c r="A92" s="120"/>
      <c r="B92" s="120"/>
      <c r="C92" s="130"/>
      <c r="D92" s="120"/>
      <c r="E92" s="120"/>
      <c r="F92" s="131"/>
      <c r="G92" s="131"/>
      <c r="H92" s="122" t="s">
        <v>153</v>
      </c>
      <c r="J92" s="2"/>
    </row>
    <row r="93" spans="1:10" ht="14.1" customHeight="1" x14ac:dyDescent="0.2">
      <c r="A93" s="120"/>
      <c r="B93" s="120"/>
      <c r="C93" s="121" t="s">
        <v>156</v>
      </c>
      <c r="D93" s="120"/>
      <c r="E93" s="120"/>
      <c r="F93" s="120"/>
      <c r="G93" s="120"/>
      <c r="H93" s="122" t="s">
        <v>153</v>
      </c>
      <c r="J93" s="2"/>
    </row>
    <row r="94" spans="1:10" ht="14.1" customHeight="1" x14ac:dyDescent="0.2">
      <c r="A94" s="120"/>
      <c r="B94" s="120"/>
      <c r="C94" s="121" t="s">
        <v>152</v>
      </c>
      <c r="D94" s="120"/>
      <c r="E94" s="120" t="s">
        <v>153</v>
      </c>
      <c r="F94" s="132" t="s">
        <v>155</v>
      </c>
      <c r="G94" s="129">
        <v>0</v>
      </c>
      <c r="H94" s="122" t="s">
        <v>153</v>
      </c>
      <c r="J94" s="2"/>
    </row>
    <row r="95" spans="1:10" ht="14.1" customHeight="1" x14ac:dyDescent="0.2">
      <c r="A95" s="120"/>
      <c r="B95" s="120"/>
      <c r="C95" s="130"/>
      <c r="D95" s="120"/>
      <c r="E95" s="120"/>
      <c r="F95" s="131"/>
      <c r="G95" s="131"/>
      <c r="H95" s="122" t="s">
        <v>153</v>
      </c>
      <c r="J95" s="2"/>
    </row>
    <row r="96" spans="1:10" ht="14.1" customHeight="1" x14ac:dyDescent="0.2">
      <c r="A96" s="120"/>
      <c r="B96" s="120"/>
      <c r="C96" s="121" t="s">
        <v>157</v>
      </c>
      <c r="D96" s="120"/>
      <c r="E96" s="120"/>
      <c r="F96" s="120"/>
      <c r="G96" s="120"/>
      <c r="H96" s="122" t="s">
        <v>153</v>
      </c>
      <c r="J96" s="2"/>
    </row>
    <row r="97" spans="1:10" ht="14.1" customHeight="1" x14ac:dyDescent="0.2">
      <c r="A97" s="120"/>
      <c r="B97" s="120"/>
      <c r="C97" s="121" t="s">
        <v>152</v>
      </c>
      <c r="D97" s="120"/>
      <c r="E97" s="120" t="s">
        <v>153</v>
      </c>
      <c r="F97" s="132" t="s">
        <v>155</v>
      </c>
      <c r="G97" s="129">
        <v>0</v>
      </c>
      <c r="H97" s="122" t="s">
        <v>153</v>
      </c>
      <c r="J97" s="2"/>
    </row>
    <row r="98" spans="1:10" ht="14.1" customHeight="1" x14ac:dyDescent="0.2">
      <c r="A98" s="120"/>
      <c r="B98" s="120"/>
      <c r="C98" s="130"/>
      <c r="D98" s="120"/>
      <c r="E98" s="120"/>
      <c r="F98" s="131"/>
      <c r="G98" s="131"/>
      <c r="H98" s="122" t="s">
        <v>153</v>
      </c>
      <c r="J98" s="2"/>
    </row>
    <row r="99" spans="1:10" ht="14.1" customHeight="1" x14ac:dyDescent="0.2">
      <c r="A99" s="120"/>
      <c r="B99" s="120"/>
      <c r="C99" s="121" t="s">
        <v>158</v>
      </c>
      <c r="D99" s="120"/>
      <c r="E99" s="120"/>
      <c r="F99" s="131"/>
      <c r="G99" s="131"/>
      <c r="H99" s="122" t="s">
        <v>153</v>
      </c>
      <c r="J99" s="2"/>
    </row>
    <row r="100" spans="1:10" ht="14.1" customHeight="1" x14ac:dyDescent="0.2">
      <c r="A100" s="120"/>
      <c r="B100" s="120"/>
      <c r="C100" s="121" t="s">
        <v>152</v>
      </c>
      <c r="D100" s="120"/>
      <c r="E100" s="120" t="s">
        <v>153</v>
      </c>
      <c r="F100" s="132" t="s">
        <v>155</v>
      </c>
      <c r="G100" s="129">
        <v>0</v>
      </c>
      <c r="H100" s="122" t="s">
        <v>153</v>
      </c>
      <c r="J100" s="2"/>
    </row>
    <row r="101" spans="1:10" ht="14.1" customHeight="1" x14ac:dyDescent="0.2">
      <c r="A101" s="120"/>
      <c r="B101" s="120"/>
      <c r="C101" s="130"/>
      <c r="D101" s="120"/>
      <c r="E101" s="120"/>
      <c r="F101" s="131"/>
      <c r="G101" s="131"/>
      <c r="H101" s="122" t="s">
        <v>153</v>
      </c>
      <c r="J101" s="2"/>
    </row>
    <row r="102" spans="1:10" ht="14.1" customHeight="1" x14ac:dyDescent="0.2">
      <c r="A102" s="120"/>
      <c r="B102" s="120"/>
      <c r="C102" s="121" t="s">
        <v>159</v>
      </c>
      <c r="D102" s="120"/>
      <c r="E102" s="120"/>
      <c r="F102" s="131"/>
      <c r="G102" s="131"/>
      <c r="H102" s="122" t="s">
        <v>153</v>
      </c>
      <c r="J102" s="2"/>
    </row>
    <row r="103" spans="1:10" ht="14.1" customHeight="1" x14ac:dyDescent="0.2">
      <c r="A103" s="120"/>
      <c r="B103" s="120"/>
      <c r="C103" s="121" t="s">
        <v>152</v>
      </c>
      <c r="D103" s="120"/>
      <c r="E103" s="120" t="s">
        <v>153</v>
      </c>
      <c r="F103" s="132" t="s">
        <v>155</v>
      </c>
      <c r="G103" s="129">
        <v>0</v>
      </c>
      <c r="H103" s="122" t="s">
        <v>153</v>
      </c>
      <c r="J103" s="2"/>
    </row>
    <row r="104" spans="1:10" ht="14.1" customHeight="1" x14ac:dyDescent="0.2">
      <c r="A104" s="120"/>
      <c r="B104" s="120"/>
      <c r="C104" s="130"/>
      <c r="D104" s="120"/>
      <c r="E104" s="120"/>
      <c r="F104" s="131"/>
      <c r="G104" s="131"/>
      <c r="H104" s="122" t="s">
        <v>153</v>
      </c>
      <c r="J104" s="2"/>
    </row>
    <row r="105" spans="1:10" ht="18" customHeight="1" x14ac:dyDescent="0.2">
      <c r="A105" s="120"/>
      <c r="B105" s="120"/>
      <c r="C105" s="121" t="s">
        <v>160</v>
      </c>
      <c r="D105" s="120"/>
      <c r="E105" s="120"/>
      <c r="F105" s="128">
        <v>1219636.7602828001</v>
      </c>
      <c r="G105" s="129">
        <v>0.95934017999999999</v>
      </c>
      <c r="H105" s="122" t="s">
        <v>153</v>
      </c>
      <c r="J105" s="2"/>
    </row>
    <row r="106" spans="1:10" ht="14.1" customHeight="1" x14ac:dyDescent="0.2">
      <c r="A106" s="120"/>
      <c r="B106" s="120"/>
      <c r="C106" s="130"/>
      <c r="D106" s="120"/>
      <c r="E106" s="120"/>
      <c r="F106" s="131"/>
      <c r="G106" s="131"/>
      <c r="H106" s="122" t="s">
        <v>153</v>
      </c>
      <c r="J106" s="2"/>
    </row>
    <row r="107" spans="1:10" ht="14.1" customHeight="1" x14ac:dyDescent="0.2">
      <c r="A107" s="120"/>
      <c r="B107" s="120"/>
      <c r="C107" s="121" t="s">
        <v>161</v>
      </c>
      <c r="D107" s="120"/>
      <c r="E107" s="120"/>
      <c r="F107" s="131"/>
      <c r="G107" s="131"/>
      <c r="H107" s="122" t="s">
        <v>153</v>
      </c>
      <c r="J107" s="2"/>
    </row>
    <row r="108" spans="1:10" ht="24" customHeight="1" x14ac:dyDescent="0.2">
      <c r="A108" s="120"/>
      <c r="B108" s="120"/>
      <c r="C108" s="121" t="s">
        <v>10</v>
      </c>
      <c r="D108" s="120"/>
      <c r="E108" s="120"/>
      <c r="F108" s="131"/>
      <c r="G108" s="131"/>
      <c r="H108" s="122" t="s">
        <v>153</v>
      </c>
      <c r="J108" s="2"/>
    </row>
    <row r="109" spans="1:10" ht="14.1" customHeight="1" x14ac:dyDescent="0.2">
      <c r="A109" s="120"/>
      <c r="B109" s="120"/>
      <c r="C109" s="121" t="s">
        <v>152</v>
      </c>
      <c r="D109" s="120"/>
      <c r="E109" s="120" t="s">
        <v>153</v>
      </c>
      <c r="F109" s="132" t="s">
        <v>155</v>
      </c>
      <c r="G109" s="129">
        <v>0</v>
      </c>
      <c r="H109" s="122" t="s">
        <v>153</v>
      </c>
      <c r="J109" s="2"/>
    </row>
    <row r="110" spans="1:10" ht="14.1" customHeight="1" x14ac:dyDescent="0.2">
      <c r="A110" s="120"/>
      <c r="B110" s="120"/>
      <c r="C110" s="130"/>
      <c r="D110" s="120"/>
      <c r="E110" s="120"/>
      <c r="F110" s="131"/>
      <c r="G110" s="131"/>
      <c r="H110" s="122" t="s">
        <v>153</v>
      </c>
      <c r="J110" s="2"/>
    </row>
    <row r="111" spans="1:10" ht="14.1" customHeight="1" x14ac:dyDescent="0.2">
      <c r="A111" s="120"/>
      <c r="B111" s="120"/>
      <c r="C111" s="121" t="s">
        <v>162</v>
      </c>
      <c r="D111" s="120"/>
      <c r="E111" s="120"/>
      <c r="F111" s="120"/>
      <c r="G111" s="120"/>
      <c r="H111" s="122" t="s">
        <v>153</v>
      </c>
      <c r="J111" s="2"/>
    </row>
    <row r="112" spans="1:10" ht="14.1" customHeight="1" x14ac:dyDescent="0.2">
      <c r="A112" s="120"/>
      <c r="B112" s="120"/>
      <c r="C112" s="121" t="s">
        <v>152</v>
      </c>
      <c r="D112" s="120"/>
      <c r="E112" s="120" t="s">
        <v>153</v>
      </c>
      <c r="F112" s="132" t="s">
        <v>155</v>
      </c>
      <c r="G112" s="129">
        <v>0</v>
      </c>
      <c r="H112" s="122" t="s">
        <v>153</v>
      </c>
      <c r="J112" s="2"/>
    </row>
    <row r="113" spans="1:10" ht="14.1" customHeight="1" x14ac:dyDescent="0.2">
      <c r="A113" s="120"/>
      <c r="B113" s="120"/>
      <c r="C113" s="130"/>
      <c r="D113" s="120"/>
      <c r="E113" s="120"/>
      <c r="F113" s="131"/>
      <c r="G113" s="131"/>
      <c r="H113" s="122" t="s">
        <v>153</v>
      </c>
      <c r="J113" s="2"/>
    </row>
    <row r="114" spans="1:10" ht="14.1" customHeight="1" x14ac:dyDescent="0.2">
      <c r="A114" s="120"/>
      <c r="B114" s="120"/>
      <c r="C114" s="121" t="s">
        <v>163</v>
      </c>
      <c r="D114" s="120"/>
      <c r="E114" s="120"/>
      <c r="F114" s="120"/>
      <c r="G114" s="120"/>
      <c r="H114" s="122" t="s">
        <v>153</v>
      </c>
      <c r="J114" s="2"/>
    </row>
    <row r="115" spans="1:10" ht="14.1" customHeight="1" x14ac:dyDescent="0.2">
      <c r="A115" s="120"/>
      <c r="B115" s="120"/>
      <c r="C115" s="121" t="s">
        <v>152</v>
      </c>
      <c r="D115" s="120"/>
      <c r="E115" s="120" t="s">
        <v>153</v>
      </c>
      <c r="F115" s="132" t="s">
        <v>155</v>
      </c>
      <c r="G115" s="129">
        <v>0</v>
      </c>
      <c r="H115" s="122" t="s">
        <v>153</v>
      </c>
      <c r="J115" s="2"/>
    </row>
    <row r="116" spans="1:10" ht="14.1" customHeight="1" x14ac:dyDescent="0.2">
      <c r="A116" s="120"/>
      <c r="B116" s="120"/>
      <c r="C116" s="130"/>
      <c r="D116" s="120"/>
      <c r="E116" s="120"/>
      <c r="F116" s="131"/>
      <c r="G116" s="131"/>
      <c r="H116" s="122" t="s">
        <v>153</v>
      </c>
      <c r="J116" s="2"/>
    </row>
    <row r="117" spans="1:10" ht="14.1" customHeight="1" x14ac:dyDescent="0.2">
      <c r="A117" s="120"/>
      <c r="B117" s="120"/>
      <c r="C117" s="121" t="s">
        <v>164</v>
      </c>
      <c r="D117" s="120"/>
      <c r="E117" s="120"/>
      <c r="F117" s="131"/>
      <c r="G117" s="131"/>
      <c r="H117" s="122" t="s">
        <v>153</v>
      </c>
      <c r="J117" s="2"/>
    </row>
    <row r="118" spans="1:10" ht="14.1" customHeight="1" x14ac:dyDescent="0.2">
      <c r="A118" s="120"/>
      <c r="B118" s="120"/>
      <c r="C118" s="121" t="s">
        <v>152</v>
      </c>
      <c r="D118" s="120"/>
      <c r="E118" s="120" t="s">
        <v>153</v>
      </c>
      <c r="F118" s="132" t="s">
        <v>155</v>
      </c>
      <c r="G118" s="129">
        <v>0</v>
      </c>
      <c r="H118" s="122" t="s">
        <v>153</v>
      </c>
      <c r="J118" s="2"/>
    </row>
    <row r="119" spans="1:10" ht="14.1" customHeight="1" x14ac:dyDescent="0.2">
      <c r="A119" s="120"/>
      <c r="B119" s="120"/>
      <c r="C119" s="130"/>
      <c r="D119" s="120"/>
      <c r="E119" s="120"/>
      <c r="F119" s="131"/>
      <c r="G119" s="131"/>
      <c r="H119" s="122" t="s">
        <v>153</v>
      </c>
      <c r="J119" s="2"/>
    </row>
    <row r="120" spans="1:10" ht="14.1" customHeight="1" x14ac:dyDescent="0.2">
      <c r="A120" s="120"/>
      <c r="B120" s="120"/>
      <c r="C120" s="121" t="s">
        <v>165</v>
      </c>
      <c r="D120" s="120"/>
      <c r="E120" s="120"/>
      <c r="F120" s="128">
        <v>0</v>
      </c>
      <c r="G120" s="129">
        <v>0</v>
      </c>
      <c r="H120" s="122" t="s">
        <v>153</v>
      </c>
      <c r="J120" s="2"/>
    </row>
    <row r="121" spans="1:10" ht="14.1" customHeight="1" x14ac:dyDescent="0.2">
      <c r="A121" s="120"/>
      <c r="B121" s="120"/>
      <c r="C121" s="130"/>
      <c r="D121" s="120"/>
      <c r="E121" s="120"/>
      <c r="F121" s="131"/>
      <c r="G121" s="131"/>
      <c r="H121" s="122" t="s">
        <v>153</v>
      </c>
      <c r="J121" s="2"/>
    </row>
    <row r="122" spans="1:10" ht="14.1" customHeight="1" x14ac:dyDescent="0.2">
      <c r="A122" s="120"/>
      <c r="B122" s="120"/>
      <c r="C122" s="121" t="s">
        <v>166</v>
      </c>
      <c r="D122" s="120"/>
      <c r="E122" s="120"/>
      <c r="F122" s="131"/>
      <c r="G122" s="131"/>
      <c r="H122" s="122" t="s">
        <v>153</v>
      </c>
      <c r="J122" s="2"/>
    </row>
    <row r="123" spans="1:10" ht="14.1" customHeight="1" x14ac:dyDescent="0.2">
      <c r="A123" s="120"/>
      <c r="B123" s="120"/>
      <c r="C123" s="121" t="s">
        <v>167</v>
      </c>
      <c r="D123" s="120"/>
      <c r="E123" s="120"/>
      <c r="F123" s="131"/>
      <c r="G123" s="131"/>
      <c r="H123" s="122" t="s">
        <v>153</v>
      </c>
      <c r="J123" s="2"/>
    </row>
    <row r="124" spans="1:10" ht="14.1" customHeight="1" x14ac:dyDescent="0.2">
      <c r="A124" s="120"/>
      <c r="B124" s="120"/>
      <c r="C124" s="121" t="s">
        <v>152</v>
      </c>
      <c r="D124" s="120"/>
      <c r="E124" s="120" t="s">
        <v>153</v>
      </c>
      <c r="F124" s="132" t="s">
        <v>155</v>
      </c>
      <c r="G124" s="129">
        <v>0</v>
      </c>
      <c r="H124" s="122" t="s">
        <v>153</v>
      </c>
      <c r="J124" s="2"/>
    </row>
    <row r="125" spans="1:10" ht="14.1" customHeight="1" x14ac:dyDescent="0.2">
      <c r="A125" s="120"/>
      <c r="B125" s="120"/>
      <c r="C125" s="130"/>
      <c r="D125" s="120"/>
      <c r="E125" s="120"/>
      <c r="F125" s="131"/>
      <c r="G125" s="131"/>
      <c r="H125" s="122" t="s">
        <v>153</v>
      </c>
      <c r="J125" s="2"/>
    </row>
    <row r="126" spans="1:10" ht="14.1" customHeight="1" x14ac:dyDescent="0.2">
      <c r="A126" s="120"/>
      <c r="B126" s="120"/>
      <c r="C126" s="121" t="s">
        <v>168</v>
      </c>
      <c r="D126" s="120"/>
      <c r="E126" s="120"/>
      <c r="F126" s="131"/>
      <c r="G126" s="131"/>
      <c r="H126" s="122" t="s">
        <v>153</v>
      </c>
      <c r="J126" s="2"/>
    </row>
    <row r="127" spans="1:10" ht="14.1" customHeight="1" x14ac:dyDescent="0.2">
      <c r="A127" s="120"/>
      <c r="B127" s="120"/>
      <c r="C127" s="121" t="s">
        <v>152</v>
      </c>
      <c r="D127" s="120"/>
      <c r="E127" s="120" t="s">
        <v>153</v>
      </c>
      <c r="F127" s="132" t="s">
        <v>155</v>
      </c>
      <c r="G127" s="129">
        <v>0</v>
      </c>
      <c r="H127" s="122" t="s">
        <v>153</v>
      </c>
      <c r="J127" s="2"/>
    </row>
    <row r="128" spans="1:10" ht="14.1" customHeight="1" x14ac:dyDescent="0.2">
      <c r="A128" s="120"/>
      <c r="B128" s="120"/>
      <c r="C128" s="130"/>
      <c r="D128" s="120"/>
      <c r="E128" s="120"/>
      <c r="F128" s="131"/>
      <c r="G128" s="131"/>
      <c r="H128" s="122" t="s">
        <v>153</v>
      </c>
      <c r="J128" s="2"/>
    </row>
    <row r="129" spans="1:10" ht="14.1" customHeight="1" x14ac:dyDescent="0.2">
      <c r="A129" s="120"/>
      <c r="B129" s="120"/>
      <c r="C129" s="121" t="s">
        <v>169</v>
      </c>
      <c r="D129" s="120"/>
      <c r="E129" s="120"/>
      <c r="F129" s="131"/>
      <c r="G129" s="131"/>
      <c r="H129" s="122" t="s">
        <v>153</v>
      </c>
      <c r="J129" s="2"/>
    </row>
    <row r="130" spans="1:10" ht="14.1" customHeight="1" x14ac:dyDescent="0.2">
      <c r="A130" s="120"/>
      <c r="B130" s="120"/>
      <c r="C130" s="121" t="s">
        <v>152</v>
      </c>
      <c r="D130" s="120"/>
      <c r="E130" s="120" t="s">
        <v>153</v>
      </c>
      <c r="F130" s="132" t="s">
        <v>155</v>
      </c>
      <c r="G130" s="129">
        <v>0</v>
      </c>
      <c r="H130" s="122" t="s">
        <v>153</v>
      </c>
      <c r="J130" s="2"/>
    </row>
    <row r="131" spans="1:10" ht="14.1" customHeight="1" x14ac:dyDescent="0.2">
      <c r="A131" s="120"/>
      <c r="B131" s="120"/>
      <c r="C131" s="130"/>
      <c r="D131" s="120"/>
      <c r="E131" s="120"/>
      <c r="F131" s="131"/>
      <c r="G131" s="131"/>
      <c r="H131" s="122" t="s">
        <v>153</v>
      </c>
      <c r="J131" s="2"/>
    </row>
    <row r="132" spans="1:10" ht="14.1" customHeight="1" x14ac:dyDescent="0.2">
      <c r="A132" s="120"/>
      <c r="B132" s="120"/>
      <c r="C132" s="121" t="s">
        <v>170</v>
      </c>
      <c r="D132" s="120"/>
      <c r="E132" s="120"/>
      <c r="F132" s="131"/>
      <c r="G132" s="131"/>
      <c r="H132" s="122" t="s">
        <v>153</v>
      </c>
      <c r="J132" s="2"/>
    </row>
    <row r="133" spans="1:10" ht="17.100000000000001" customHeight="1" x14ac:dyDescent="0.2">
      <c r="A133" s="123">
        <v>1</v>
      </c>
      <c r="B133" s="124"/>
      <c r="C133" s="124" t="s">
        <v>171</v>
      </c>
      <c r="D133" s="124"/>
      <c r="E133" s="133"/>
      <c r="F133" s="126">
        <v>44767.585986922</v>
      </c>
      <c r="G133" s="127">
        <v>3.5213220000000003E-2</v>
      </c>
      <c r="H133" s="122">
        <v>6.62</v>
      </c>
      <c r="J133" s="2"/>
    </row>
    <row r="134" spans="1:10" ht="14.1" customHeight="1" x14ac:dyDescent="0.2">
      <c r="A134" s="120"/>
      <c r="B134" s="120"/>
      <c r="C134" s="121" t="s">
        <v>152</v>
      </c>
      <c r="D134" s="120"/>
      <c r="E134" s="120" t="s">
        <v>153</v>
      </c>
      <c r="F134" s="128">
        <v>44767.585986922</v>
      </c>
      <c r="G134" s="129">
        <v>3.5213220000000003E-2</v>
      </c>
      <c r="H134" s="122" t="s">
        <v>153</v>
      </c>
      <c r="J134" s="2"/>
    </row>
    <row r="135" spans="1:10" ht="14.1" customHeight="1" x14ac:dyDescent="0.2">
      <c r="A135" s="120"/>
      <c r="B135" s="120"/>
      <c r="C135" s="130"/>
      <c r="D135" s="120"/>
      <c r="E135" s="120"/>
      <c r="F135" s="131"/>
      <c r="G135" s="131"/>
      <c r="H135" s="122" t="s">
        <v>153</v>
      </c>
      <c r="J135" s="2"/>
    </row>
    <row r="136" spans="1:10" ht="14.1" customHeight="1" x14ac:dyDescent="0.2">
      <c r="A136" s="120"/>
      <c r="B136" s="120"/>
      <c r="C136" s="121" t="s">
        <v>172</v>
      </c>
      <c r="D136" s="120"/>
      <c r="E136" s="120"/>
      <c r="F136" s="128">
        <v>44767.585986922</v>
      </c>
      <c r="G136" s="129">
        <v>3.5213220000000003E-2</v>
      </c>
      <c r="H136" s="122" t="s">
        <v>153</v>
      </c>
      <c r="J136" s="2"/>
    </row>
    <row r="137" spans="1:10" ht="14.1" customHeight="1" x14ac:dyDescent="0.2">
      <c r="A137" s="120"/>
      <c r="B137" s="120"/>
      <c r="C137" s="131"/>
      <c r="D137" s="120"/>
      <c r="E137" s="120"/>
      <c r="F137" s="120"/>
      <c r="G137" s="120"/>
      <c r="H137" s="122" t="s">
        <v>153</v>
      </c>
      <c r="J137" s="2"/>
    </row>
    <row r="138" spans="1:10" ht="14.1" customHeight="1" x14ac:dyDescent="0.2">
      <c r="A138" s="120"/>
      <c r="B138" s="120"/>
      <c r="C138" s="121" t="s">
        <v>173</v>
      </c>
      <c r="D138" s="120"/>
      <c r="E138" s="120"/>
      <c r="F138" s="120"/>
      <c r="G138" s="120"/>
      <c r="H138" s="122" t="s">
        <v>153</v>
      </c>
      <c r="J138" s="2"/>
    </row>
    <row r="139" spans="1:10" ht="14.1" customHeight="1" x14ac:dyDescent="0.2">
      <c r="A139" s="120"/>
      <c r="B139" s="120"/>
      <c r="C139" s="121" t="s">
        <v>174</v>
      </c>
      <c r="D139" s="120"/>
      <c r="E139" s="120"/>
      <c r="F139" s="120"/>
      <c r="G139" s="120"/>
      <c r="H139" s="122" t="s">
        <v>153</v>
      </c>
      <c r="J139" s="2"/>
    </row>
    <row r="140" spans="1:10" ht="17.100000000000001" customHeight="1" x14ac:dyDescent="0.2">
      <c r="A140" s="123">
        <v>1</v>
      </c>
      <c r="B140" s="124" t="s">
        <v>340</v>
      </c>
      <c r="C140" s="160" t="s">
        <v>919</v>
      </c>
      <c r="D140" s="124"/>
      <c r="E140" s="157">
        <v>231364.02679999999</v>
      </c>
      <c r="F140" s="126">
        <v>5084.1266219469999</v>
      </c>
      <c r="G140" s="127">
        <v>3.9990700000000004E-3</v>
      </c>
      <c r="H140" s="122" t="s">
        <v>153</v>
      </c>
      <c r="J140" s="2"/>
    </row>
    <row r="141" spans="1:10" ht="14.1" customHeight="1" x14ac:dyDescent="0.2">
      <c r="A141" s="120"/>
      <c r="B141" s="120"/>
      <c r="C141" s="121" t="s">
        <v>152</v>
      </c>
      <c r="D141" s="120"/>
      <c r="E141" s="120" t="s">
        <v>153</v>
      </c>
      <c r="F141" s="128">
        <v>5084.1266219469999</v>
      </c>
      <c r="G141" s="129">
        <v>3.9990700000000004E-3</v>
      </c>
      <c r="H141" s="122" t="s">
        <v>153</v>
      </c>
      <c r="J141" s="2"/>
    </row>
    <row r="142" spans="1:10" ht="14.1" customHeight="1" x14ac:dyDescent="0.2">
      <c r="A142" s="120"/>
      <c r="B142" s="120"/>
      <c r="C142" s="130"/>
      <c r="D142" s="120"/>
      <c r="E142" s="120"/>
      <c r="F142" s="131"/>
      <c r="G142" s="131"/>
      <c r="H142" s="122" t="s">
        <v>153</v>
      </c>
      <c r="J142" s="2"/>
    </row>
    <row r="143" spans="1:10" ht="14.1" customHeight="1" x14ac:dyDescent="0.2">
      <c r="A143" s="120"/>
      <c r="B143" s="120"/>
      <c r="C143" s="121" t="s">
        <v>175</v>
      </c>
      <c r="D143" s="120"/>
      <c r="E143" s="120"/>
      <c r="F143" s="120"/>
      <c r="G143" s="120"/>
      <c r="H143" s="122" t="s">
        <v>153</v>
      </c>
      <c r="J143" s="2"/>
    </row>
    <row r="144" spans="1:10" ht="14.1" customHeight="1" x14ac:dyDescent="0.2">
      <c r="A144" s="120"/>
      <c r="B144" s="120"/>
      <c r="C144" s="121" t="s">
        <v>176</v>
      </c>
      <c r="D144" s="120"/>
      <c r="E144" s="120"/>
      <c r="F144" s="120"/>
      <c r="G144" s="120"/>
      <c r="H144" s="122" t="s">
        <v>153</v>
      </c>
      <c r="J144" s="2"/>
    </row>
    <row r="145" spans="1:17" ht="14.1" customHeight="1" x14ac:dyDescent="0.2">
      <c r="A145" s="120"/>
      <c r="B145" s="120"/>
      <c r="C145" s="121" t="s">
        <v>152</v>
      </c>
      <c r="D145" s="120"/>
      <c r="E145" s="120" t="s">
        <v>153</v>
      </c>
      <c r="F145" s="132" t="s">
        <v>155</v>
      </c>
      <c r="G145" s="129">
        <v>0</v>
      </c>
      <c r="H145" s="122" t="s">
        <v>153</v>
      </c>
      <c r="J145" s="2"/>
    </row>
    <row r="146" spans="1:17" ht="14.1" customHeight="1" x14ac:dyDescent="0.2">
      <c r="A146" s="120"/>
      <c r="B146" s="120"/>
      <c r="C146" s="130"/>
      <c r="D146" s="120"/>
      <c r="E146" s="120"/>
      <c r="F146" s="131"/>
      <c r="G146" s="131"/>
      <c r="H146" s="122" t="s">
        <v>153</v>
      </c>
      <c r="J146" s="2"/>
    </row>
    <row r="147" spans="1:17" ht="24" customHeight="1" x14ac:dyDescent="0.2">
      <c r="A147" s="120"/>
      <c r="B147" s="120"/>
      <c r="C147" s="121" t="s">
        <v>177</v>
      </c>
      <c r="D147" s="120"/>
      <c r="E147" s="120"/>
      <c r="F147" s="131"/>
      <c r="G147" s="131"/>
      <c r="H147" s="122" t="s">
        <v>153</v>
      </c>
      <c r="J147" s="2"/>
    </row>
    <row r="148" spans="1:17" ht="14.1" customHeight="1" x14ac:dyDescent="0.2">
      <c r="A148" s="120"/>
      <c r="B148" s="120"/>
      <c r="C148" s="121" t="s">
        <v>152</v>
      </c>
      <c r="D148" s="120"/>
      <c r="E148" s="120" t="s">
        <v>153</v>
      </c>
      <c r="F148" s="132" t="s">
        <v>155</v>
      </c>
      <c r="G148" s="129">
        <v>0</v>
      </c>
      <c r="H148" s="122" t="s">
        <v>153</v>
      </c>
      <c r="J148" s="2"/>
    </row>
    <row r="149" spans="1:17" ht="14.1" customHeight="1" x14ac:dyDescent="0.2">
      <c r="A149" s="120"/>
      <c r="B149" s="124"/>
      <c r="C149" s="124"/>
      <c r="D149" s="121"/>
      <c r="E149" s="120"/>
      <c r="F149" s="124"/>
      <c r="G149" s="133"/>
      <c r="H149" s="122" t="s">
        <v>153</v>
      </c>
      <c r="J149" s="2"/>
    </row>
    <row r="150" spans="1:17" ht="18" customHeight="1" x14ac:dyDescent="0.2">
      <c r="A150" s="133"/>
      <c r="B150" s="124"/>
      <c r="C150" s="124" t="s">
        <v>178</v>
      </c>
      <c r="D150" s="124"/>
      <c r="E150" s="133"/>
      <c r="F150" s="126">
        <v>1840.35164814</v>
      </c>
      <c r="G150" s="127">
        <v>1.44758E-3</v>
      </c>
      <c r="H150" s="122" t="s">
        <v>153</v>
      </c>
      <c r="J150" s="2"/>
    </row>
    <row r="151" spans="1:17" ht="14.1" customHeight="1" x14ac:dyDescent="0.2">
      <c r="A151" s="130"/>
      <c r="B151" s="130"/>
      <c r="C151" s="121" t="s">
        <v>179</v>
      </c>
      <c r="D151" s="131"/>
      <c r="E151" s="131"/>
      <c r="F151" s="128">
        <v>1271328.824539809</v>
      </c>
      <c r="G151" s="134">
        <v>1.0000000499999999</v>
      </c>
      <c r="H151" s="122" t="s">
        <v>153</v>
      </c>
      <c r="J151" s="2"/>
    </row>
    <row r="152" spans="1:17" ht="14.1" customHeight="1" x14ac:dyDescent="0.2">
      <c r="A152" s="135"/>
      <c r="B152" s="135"/>
      <c r="C152" s="135"/>
      <c r="D152" s="136"/>
      <c r="E152" s="136"/>
      <c r="F152" s="136"/>
      <c r="G152" s="136"/>
      <c r="J152" s="2"/>
    </row>
    <row r="153" spans="1:17" ht="12.75" customHeight="1" x14ac:dyDescent="0.2">
      <c r="A153" s="137"/>
      <c r="B153" s="226" t="s">
        <v>863</v>
      </c>
      <c r="C153" s="226"/>
      <c r="D153" s="226"/>
      <c r="E153" s="226"/>
      <c r="F153" s="226"/>
      <c r="G153" s="226"/>
      <c r="H153" s="226"/>
      <c r="J153" s="2"/>
    </row>
    <row r="154" spans="1:17" ht="14.1" customHeight="1" x14ac:dyDescent="0.2">
      <c r="A154" s="137"/>
      <c r="B154" s="226" t="s">
        <v>864</v>
      </c>
      <c r="C154" s="226"/>
      <c r="D154" s="226"/>
      <c r="E154" s="226"/>
      <c r="F154" s="226"/>
      <c r="G154" s="226"/>
      <c r="H154" s="226"/>
      <c r="J154" s="2"/>
    </row>
    <row r="155" spans="1:17" ht="17.100000000000001" customHeight="1" x14ac:dyDescent="0.2">
      <c r="A155" s="137"/>
      <c r="B155" s="226" t="s">
        <v>865</v>
      </c>
      <c r="C155" s="226"/>
      <c r="D155" s="226"/>
      <c r="E155" s="226"/>
      <c r="F155" s="226"/>
      <c r="G155" s="226"/>
      <c r="H155" s="226"/>
      <c r="J155" s="2"/>
    </row>
    <row r="156" spans="1:17" s="5" customFormat="1" ht="65.25" customHeight="1" x14ac:dyDescent="0.25">
      <c r="A156" s="139"/>
      <c r="B156" s="227" t="s">
        <v>866</v>
      </c>
      <c r="C156" s="227"/>
      <c r="D156" s="227"/>
      <c r="E156" s="227"/>
      <c r="F156" s="227"/>
      <c r="G156" s="227"/>
      <c r="H156" s="227"/>
      <c r="I156"/>
      <c r="J156" s="2"/>
      <c r="K156"/>
      <c r="L156"/>
      <c r="M156"/>
      <c r="N156"/>
      <c r="O156"/>
      <c r="P156"/>
      <c r="Q156"/>
    </row>
    <row r="157" spans="1:17" ht="12.75" customHeight="1" x14ac:dyDescent="0.2">
      <c r="A157" s="137"/>
      <c r="B157" s="226" t="s">
        <v>867</v>
      </c>
      <c r="C157" s="226"/>
      <c r="D157" s="226"/>
      <c r="E157" s="226"/>
      <c r="F157" s="226"/>
      <c r="G157" s="226"/>
      <c r="H157" s="226"/>
      <c r="J157" s="2"/>
    </row>
    <row r="158" spans="1:17" ht="15" customHeight="1" x14ac:dyDescent="0.2">
      <c r="A158" s="140"/>
      <c r="B158" s="233" t="s">
        <v>153</v>
      </c>
      <c r="C158" s="233"/>
      <c r="D158" s="233"/>
      <c r="E158" s="233"/>
      <c r="F158" s="233"/>
      <c r="G158" s="141"/>
      <c r="J158" s="2"/>
    </row>
    <row r="159" spans="1:17" ht="14.1" customHeight="1" x14ac:dyDescent="0.2">
      <c r="A159" s="140"/>
      <c r="B159" s="228" t="s">
        <v>180</v>
      </c>
      <c r="C159" s="229"/>
      <c r="D159" s="230"/>
      <c r="E159" s="142"/>
      <c r="F159" s="141"/>
      <c r="G159" s="141"/>
      <c r="J159" s="2"/>
    </row>
    <row r="160" spans="1:17" ht="29.1" customHeight="1" x14ac:dyDescent="0.2">
      <c r="A160" s="140"/>
      <c r="B160" s="223" t="s">
        <v>181</v>
      </c>
      <c r="C160" s="224"/>
      <c r="D160" s="121" t="s">
        <v>182</v>
      </c>
      <c r="E160" s="142"/>
      <c r="F160" s="141"/>
      <c r="G160" s="141"/>
      <c r="J160" s="2"/>
    </row>
    <row r="161" spans="1:10" ht="12.75" customHeight="1" x14ac:dyDescent="0.2">
      <c r="A161" s="137"/>
      <c r="B161" s="221" t="s">
        <v>868</v>
      </c>
      <c r="C161" s="222"/>
      <c r="D161" s="121" t="s">
        <v>182</v>
      </c>
      <c r="E161" s="161"/>
      <c r="F161" s="162"/>
      <c r="G161" s="162"/>
      <c r="J161" s="2"/>
    </row>
    <row r="162" spans="1:10" ht="17.100000000000001" customHeight="1" x14ac:dyDescent="0.2">
      <c r="A162" s="140"/>
      <c r="B162" s="223" t="s">
        <v>184</v>
      </c>
      <c r="C162" s="224"/>
      <c r="D162" s="131" t="s">
        <v>153</v>
      </c>
      <c r="E162" s="142"/>
      <c r="F162" s="141"/>
      <c r="G162" s="141"/>
      <c r="J162" s="2"/>
    </row>
    <row r="163" spans="1:10" x14ac:dyDescent="0.2">
      <c r="A163" s="144"/>
      <c r="B163" s="145" t="s">
        <v>153</v>
      </c>
      <c r="C163" s="145" t="s">
        <v>870</v>
      </c>
      <c r="D163" s="145" t="s">
        <v>185</v>
      </c>
      <c r="E163" s="144"/>
      <c r="F163" s="144"/>
      <c r="G163" s="144"/>
      <c r="H163" s="144"/>
      <c r="J163" s="2"/>
    </row>
    <row r="164" spans="1:10" x14ac:dyDescent="0.2">
      <c r="A164" s="146"/>
      <c r="B164" s="147" t="s">
        <v>186</v>
      </c>
      <c r="C164" s="148">
        <v>45504</v>
      </c>
      <c r="D164" s="149">
        <v>45535</v>
      </c>
      <c r="E164" s="146"/>
      <c r="F164" s="146"/>
      <c r="G164" s="146"/>
      <c r="J164" s="2"/>
    </row>
    <row r="165" spans="1:10" ht="17.100000000000001" customHeight="1" x14ac:dyDescent="0.2">
      <c r="A165" s="146"/>
      <c r="B165" s="124" t="s">
        <v>187</v>
      </c>
      <c r="C165" s="150">
        <v>1465.8205</v>
      </c>
      <c r="D165" s="150">
        <v>1499.6965</v>
      </c>
      <c r="E165" s="146"/>
      <c r="F165" s="151"/>
      <c r="G165" s="152"/>
      <c r="J165" s="2"/>
    </row>
    <row r="166" spans="1:10" ht="17.100000000000001" customHeight="1" x14ac:dyDescent="0.2">
      <c r="A166" s="146"/>
      <c r="B166" s="124" t="s">
        <v>926</v>
      </c>
      <c r="C166" s="150">
        <v>79.537199999999999</v>
      </c>
      <c r="D166" s="150">
        <v>81.375399999999999</v>
      </c>
      <c r="E166" s="146"/>
      <c r="F166" s="151"/>
      <c r="G166" s="152"/>
      <c r="J166" s="2"/>
    </row>
    <row r="167" spans="1:10" ht="17.100000000000001" customHeight="1" x14ac:dyDescent="0.2">
      <c r="A167" s="146"/>
      <c r="B167" s="124" t="s">
        <v>188</v>
      </c>
      <c r="C167" s="150">
        <v>1353.3131000000001</v>
      </c>
      <c r="D167" s="150">
        <v>1383.6133</v>
      </c>
      <c r="E167" s="146"/>
      <c r="F167" s="151"/>
      <c r="G167" s="152"/>
    </row>
    <row r="168" spans="1:10" ht="17.100000000000001" customHeight="1" x14ac:dyDescent="0.2">
      <c r="A168" s="146"/>
      <c r="B168" s="124" t="s">
        <v>927</v>
      </c>
      <c r="C168" s="150">
        <v>72.406000000000006</v>
      </c>
      <c r="D168" s="150">
        <v>74.027199999999993</v>
      </c>
      <c r="E168" s="146"/>
      <c r="F168" s="151"/>
      <c r="G168" s="152"/>
    </row>
    <row r="169" spans="1:10" ht="14.1" customHeight="1" x14ac:dyDescent="0.2">
      <c r="A169" s="146"/>
      <c r="B169" s="146"/>
      <c r="C169" s="146"/>
      <c r="D169" s="146"/>
      <c r="E169" s="146"/>
      <c r="F169" s="146"/>
      <c r="G169" s="146"/>
    </row>
    <row r="170" spans="1:10" x14ac:dyDescent="0.2">
      <c r="A170" s="144"/>
      <c r="B170" s="221" t="s">
        <v>869</v>
      </c>
      <c r="C170" s="222"/>
      <c r="D170" s="143" t="s">
        <v>182</v>
      </c>
      <c r="E170" s="144"/>
      <c r="F170" s="144"/>
      <c r="G170" s="144"/>
    </row>
    <row r="171" spans="1:10" x14ac:dyDescent="0.2">
      <c r="A171" s="144"/>
      <c r="B171" s="163"/>
      <c r="C171" s="163"/>
      <c r="D171" s="163"/>
      <c r="E171" s="144"/>
      <c r="F171" s="144"/>
      <c r="G171" s="144"/>
    </row>
    <row r="172" spans="1:10" x14ac:dyDescent="0.2">
      <c r="A172" s="144"/>
      <c r="B172" s="221" t="s">
        <v>189</v>
      </c>
      <c r="C172" s="222"/>
      <c r="D172" s="143" t="s">
        <v>182</v>
      </c>
      <c r="E172" s="163"/>
      <c r="F172" s="163"/>
      <c r="G172" s="163"/>
    </row>
    <row r="173" spans="1:10" x14ac:dyDescent="0.2">
      <c r="A173" s="144"/>
      <c r="B173" s="221" t="s">
        <v>190</v>
      </c>
      <c r="C173" s="222"/>
      <c r="D173" s="143" t="s">
        <v>182</v>
      </c>
      <c r="E173" s="144"/>
      <c r="F173" s="144"/>
      <c r="G173" s="144"/>
    </row>
    <row r="174" spans="1:10" ht="12.75" customHeight="1" x14ac:dyDescent="0.2">
      <c r="A174" s="144"/>
      <c r="B174" s="221" t="s">
        <v>191</v>
      </c>
      <c r="C174" s="222"/>
      <c r="D174" s="143" t="s">
        <v>182</v>
      </c>
      <c r="E174" s="153"/>
      <c r="F174" s="144"/>
      <c r="G174" s="144"/>
    </row>
    <row r="175" spans="1:10" ht="12.75" customHeight="1" x14ac:dyDescent="0.2">
      <c r="A175" s="144"/>
      <c r="B175" s="221" t="s">
        <v>192</v>
      </c>
      <c r="C175" s="222"/>
      <c r="D175" s="154">
        <v>0.39218137375643319</v>
      </c>
      <c r="E175" s="153"/>
      <c r="F175" s="144"/>
      <c r="G175" s="144"/>
    </row>
  </sheetData>
  <mergeCells count="18">
    <mergeCell ref="B160:C160"/>
    <mergeCell ref="A1:H1"/>
    <mergeCell ref="A2:H2"/>
    <mergeCell ref="A3:H3"/>
    <mergeCell ref="B153:H153"/>
    <mergeCell ref="B154:H154"/>
    <mergeCell ref="B155:H155"/>
    <mergeCell ref="B156:H156"/>
    <mergeCell ref="B157:H157"/>
    <mergeCell ref="B158:F158"/>
    <mergeCell ref="B159:D159"/>
    <mergeCell ref="B161:C161"/>
    <mergeCell ref="B162:C162"/>
    <mergeCell ref="B170:C170"/>
    <mergeCell ref="B174:C174"/>
    <mergeCell ref="B175:C175"/>
    <mergeCell ref="B172:C172"/>
    <mergeCell ref="B173:C173"/>
  </mergeCells>
  <hyperlinks>
    <hyperlink ref="I1" location="Index!B4" display="Index" xr:uid="{31972297-4D18-43C5-9A25-CEE35CD29D9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1EA50-E7E0-4656-859B-2FB3AD8A7996}">
  <sheetPr>
    <outlinePr summaryBelow="0" summaryRight="0"/>
  </sheetPr>
  <dimension ref="A1:Q17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341</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ht="14.1" customHeight="1" x14ac:dyDescent="0.2">
      <c r="A5" s="120"/>
      <c r="B5" s="120"/>
      <c r="C5" s="121" t="s">
        <v>9</v>
      </c>
      <c r="D5" s="120"/>
      <c r="E5" s="120"/>
      <c r="F5" s="120"/>
      <c r="G5" s="120"/>
      <c r="H5" s="122" t="s">
        <v>153</v>
      </c>
      <c r="J5" s="2"/>
    </row>
    <row r="6" spans="1:10" ht="24" customHeight="1" x14ac:dyDescent="0.2">
      <c r="A6" s="120"/>
      <c r="B6" s="120"/>
      <c r="C6" s="121" t="s">
        <v>10</v>
      </c>
      <c r="D6" s="120"/>
      <c r="E6" s="120"/>
      <c r="F6" s="120"/>
      <c r="G6" s="120"/>
      <c r="H6" s="122" t="s">
        <v>153</v>
      </c>
      <c r="J6" s="2"/>
    </row>
    <row r="7" spans="1:10" ht="17.100000000000001" customHeight="1" x14ac:dyDescent="0.2">
      <c r="A7" s="123">
        <v>1</v>
      </c>
      <c r="B7" s="124" t="s">
        <v>342</v>
      </c>
      <c r="C7" s="124" t="s">
        <v>343</v>
      </c>
      <c r="D7" s="124" t="s">
        <v>48</v>
      </c>
      <c r="E7" s="125">
        <v>1875000</v>
      </c>
      <c r="F7" s="126">
        <v>30691.875</v>
      </c>
      <c r="G7" s="127">
        <v>4.3048530000000002E-2</v>
      </c>
      <c r="H7" s="122" t="s">
        <v>153</v>
      </c>
      <c r="J7" s="2"/>
    </row>
    <row r="8" spans="1:10" ht="17.100000000000001" customHeight="1" x14ac:dyDescent="0.2">
      <c r="A8" s="123">
        <v>2</v>
      </c>
      <c r="B8" s="124" t="s">
        <v>46</v>
      </c>
      <c r="C8" s="124" t="s">
        <v>47</v>
      </c>
      <c r="D8" s="124" t="s">
        <v>48</v>
      </c>
      <c r="E8" s="125">
        <v>2225000</v>
      </c>
      <c r="F8" s="126">
        <v>27349.7</v>
      </c>
      <c r="G8" s="127">
        <v>3.8360779999999997E-2</v>
      </c>
      <c r="H8" s="122" t="s">
        <v>153</v>
      </c>
      <c r="J8" s="2"/>
    </row>
    <row r="9" spans="1:10" ht="17.100000000000001" customHeight="1" x14ac:dyDescent="0.2">
      <c r="A9" s="123">
        <v>3</v>
      </c>
      <c r="B9" s="124" t="s">
        <v>20</v>
      </c>
      <c r="C9" s="124" t="s">
        <v>21</v>
      </c>
      <c r="D9" s="124" t="s">
        <v>22</v>
      </c>
      <c r="E9" s="125">
        <v>800000</v>
      </c>
      <c r="F9" s="126">
        <v>24154</v>
      </c>
      <c r="G9" s="127">
        <v>3.3878480000000002E-2</v>
      </c>
      <c r="H9" s="122" t="s">
        <v>153</v>
      </c>
      <c r="J9" s="2"/>
    </row>
    <row r="10" spans="1:10" ht="17.100000000000001" customHeight="1" x14ac:dyDescent="0.2">
      <c r="A10" s="123">
        <v>4</v>
      </c>
      <c r="B10" s="124" t="s">
        <v>54</v>
      </c>
      <c r="C10" s="124" t="s">
        <v>55</v>
      </c>
      <c r="D10" s="124" t="s">
        <v>48</v>
      </c>
      <c r="E10" s="125">
        <v>2300000</v>
      </c>
      <c r="F10" s="126">
        <v>18758.8</v>
      </c>
      <c r="G10" s="127">
        <v>2.631116E-2</v>
      </c>
      <c r="H10" s="122" t="s">
        <v>153</v>
      </c>
      <c r="J10" s="2"/>
    </row>
    <row r="11" spans="1:10" ht="17.100000000000001" customHeight="1" x14ac:dyDescent="0.2">
      <c r="A11" s="123">
        <v>5</v>
      </c>
      <c r="B11" s="124" t="s">
        <v>344</v>
      </c>
      <c r="C11" s="124" t="s">
        <v>345</v>
      </c>
      <c r="D11" s="124" t="s">
        <v>211</v>
      </c>
      <c r="E11" s="125">
        <v>900000</v>
      </c>
      <c r="F11" s="126">
        <v>17493.3</v>
      </c>
      <c r="G11" s="127">
        <v>2.4536160000000001E-2</v>
      </c>
      <c r="H11" s="122" t="s">
        <v>153</v>
      </c>
      <c r="J11" s="2"/>
    </row>
    <row r="12" spans="1:10" ht="17.100000000000001" customHeight="1" x14ac:dyDescent="0.2">
      <c r="A12" s="123">
        <v>6</v>
      </c>
      <c r="B12" s="124" t="s">
        <v>346</v>
      </c>
      <c r="C12" s="124" t="s">
        <v>347</v>
      </c>
      <c r="D12" s="124" t="s">
        <v>198</v>
      </c>
      <c r="E12" s="125">
        <v>6943496</v>
      </c>
      <c r="F12" s="126">
        <v>17395.5405288</v>
      </c>
      <c r="G12" s="127">
        <v>2.4399049999999999E-2</v>
      </c>
      <c r="H12" s="122" t="s">
        <v>153</v>
      </c>
      <c r="J12" s="7"/>
    </row>
    <row r="13" spans="1:10" ht="17.100000000000001" customHeight="1" x14ac:dyDescent="0.2">
      <c r="A13" s="123">
        <v>7</v>
      </c>
      <c r="B13" s="124" t="s">
        <v>11</v>
      </c>
      <c r="C13" s="124" t="s">
        <v>12</v>
      </c>
      <c r="D13" s="124" t="s">
        <v>13</v>
      </c>
      <c r="E13" s="125">
        <v>415000</v>
      </c>
      <c r="F13" s="126">
        <v>15374.297500000001</v>
      </c>
      <c r="G13" s="127">
        <v>2.156404E-2</v>
      </c>
      <c r="H13" s="122" t="s">
        <v>153</v>
      </c>
      <c r="J13" s="2"/>
    </row>
    <row r="14" spans="1:10" ht="17.100000000000001" customHeight="1" x14ac:dyDescent="0.2">
      <c r="A14" s="123">
        <v>8</v>
      </c>
      <c r="B14" s="124" t="s">
        <v>274</v>
      </c>
      <c r="C14" s="124" t="s">
        <v>275</v>
      </c>
      <c r="D14" s="124" t="s">
        <v>74</v>
      </c>
      <c r="E14" s="125">
        <v>1220000</v>
      </c>
      <c r="F14" s="126">
        <v>14321.58</v>
      </c>
      <c r="G14" s="127">
        <v>2.0087500000000001E-2</v>
      </c>
      <c r="H14" s="122" t="s">
        <v>153</v>
      </c>
      <c r="J14" s="2" t="s">
        <v>920</v>
      </c>
    </row>
    <row r="15" spans="1:10" ht="17.100000000000001" customHeight="1" x14ac:dyDescent="0.2">
      <c r="A15" s="123">
        <v>9</v>
      </c>
      <c r="B15" s="124" t="s">
        <v>14</v>
      </c>
      <c r="C15" s="124" t="s">
        <v>15</v>
      </c>
      <c r="D15" s="124" t="s">
        <v>16</v>
      </c>
      <c r="E15" s="125">
        <v>900000</v>
      </c>
      <c r="F15" s="126">
        <v>14301.45</v>
      </c>
      <c r="G15" s="127">
        <v>2.0059259999999999E-2</v>
      </c>
      <c r="H15" s="122" t="s">
        <v>153</v>
      </c>
      <c r="J15" s="2"/>
    </row>
    <row r="16" spans="1:10" ht="29.1" customHeight="1" x14ac:dyDescent="0.2">
      <c r="A16" s="123">
        <v>10</v>
      </c>
      <c r="B16" s="124" t="s">
        <v>206</v>
      </c>
      <c r="C16" s="124" t="s">
        <v>207</v>
      </c>
      <c r="D16" s="124" t="s">
        <v>208</v>
      </c>
      <c r="E16" s="125">
        <v>540541</v>
      </c>
      <c r="F16" s="126">
        <v>12109.199482</v>
      </c>
      <c r="G16" s="127">
        <v>1.6984409999999998E-2</v>
      </c>
      <c r="H16" s="122" t="s">
        <v>153</v>
      </c>
      <c r="J16" s="2"/>
    </row>
    <row r="17" spans="1:10" ht="17.100000000000001" customHeight="1" x14ac:dyDescent="0.2">
      <c r="A17" s="123">
        <v>11</v>
      </c>
      <c r="B17" s="124" t="s">
        <v>348</v>
      </c>
      <c r="C17" s="124" t="s">
        <v>349</v>
      </c>
      <c r="D17" s="124" t="s">
        <v>211</v>
      </c>
      <c r="E17" s="125">
        <v>265000</v>
      </c>
      <c r="F17" s="126">
        <v>12067.4375</v>
      </c>
      <c r="G17" s="127">
        <v>1.6925829999999999E-2</v>
      </c>
      <c r="H17" s="122" t="s">
        <v>153</v>
      </c>
      <c r="J17" s="2"/>
    </row>
    <row r="18" spans="1:10" ht="17.100000000000001" customHeight="1" x14ac:dyDescent="0.2">
      <c r="A18" s="123">
        <v>12</v>
      </c>
      <c r="B18" s="124" t="s">
        <v>350</v>
      </c>
      <c r="C18" s="124" t="s">
        <v>351</v>
      </c>
      <c r="D18" s="124" t="s">
        <v>48</v>
      </c>
      <c r="E18" s="125">
        <v>1000000</v>
      </c>
      <c r="F18" s="126">
        <v>11752.5</v>
      </c>
      <c r="G18" s="127">
        <v>1.6484100000000002E-2</v>
      </c>
      <c r="H18" s="122" t="s">
        <v>153</v>
      </c>
      <c r="J18" s="2"/>
    </row>
    <row r="19" spans="1:10" ht="17.100000000000001" customHeight="1" x14ac:dyDescent="0.2">
      <c r="A19" s="123">
        <v>13</v>
      </c>
      <c r="B19" s="124" t="s">
        <v>17</v>
      </c>
      <c r="C19" s="124" t="s">
        <v>18</v>
      </c>
      <c r="D19" s="124" t="s">
        <v>19</v>
      </c>
      <c r="E19" s="125">
        <v>2775000</v>
      </c>
      <c r="F19" s="126">
        <v>11549.55</v>
      </c>
      <c r="G19" s="127">
        <v>1.6199439999999999E-2</v>
      </c>
      <c r="H19" s="122" t="s">
        <v>153</v>
      </c>
      <c r="J19" s="2"/>
    </row>
    <row r="20" spans="1:10" ht="29.1" customHeight="1" x14ac:dyDescent="0.2">
      <c r="A20" s="123">
        <v>14</v>
      </c>
      <c r="B20" s="124" t="s">
        <v>352</v>
      </c>
      <c r="C20" s="124" t="s">
        <v>353</v>
      </c>
      <c r="D20" s="124" t="s">
        <v>208</v>
      </c>
      <c r="E20" s="125">
        <v>600000</v>
      </c>
      <c r="F20" s="126">
        <v>10929.9</v>
      </c>
      <c r="G20" s="127">
        <v>1.533032E-2</v>
      </c>
      <c r="H20" s="122" t="s">
        <v>153</v>
      </c>
      <c r="J20" s="2"/>
    </row>
    <row r="21" spans="1:10" ht="17.100000000000001" customHeight="1" x14ac:dyDescent="0.2">
      <c r="A21" s="123">
        <v>15</v>
      </c>
      <c r="B21" s="124" t="s">
        <v>244</v>
      </c>
      <c r="C21" s="124" t="s">
        <v>245</v>
      </c>
      <c r="D21" s="124" t="s">
        <v>198</v>
      </c>
      <c r="E21" s="125">
        <v>140000</v>
      </c>
      <c r="F21" s="126">
        <v>10750.32</v>
      </c>
      <c r="G21" s="127">
        <v>1.507844E-2</v>
      </c>
      <c r="H21" s="122" t="s">
        <v>153</v>
      </c>
      <c r="J21" s="2"/>
    </row>
    <row r="22" spans="1:10" ht="17.100000000000001" customHeight="1" x14ac:dyDescent="0.2">
      <c r="A22" s="123">
        <v>16</v>
      </c>
      <c r="B22" s="124" t="s">
        <v>209</v>
      </c>
      <c r="C22" s="124" t="s">
        <v>210</v>
      </c>
      <c r="D22" s="124" t="s">
        <v>211</v>
      </c>
      <c r="E22" s="125">
        <v>207000</v>
      </c>
      <c r="F22" s="126">
        <v>10703.6595</v>
      </c>
      <c r="G22" s="127">
        <v>1.501299E-2</v>
      </c>
      <c r="H22" s="122" t="s">
        <v>153</v>
      </c>
      <c r="J22" s="7"/>
    </row>
    <row r="23" spans="1:10" ht="17.100000000000001" customHeight="1" x14ac:dyDescent="0.2">
      <c r="A23" s="123">
        <v>17</v>
      </c>
      <c r="B23" s="124" t="s">
        <v>354</v>
      </c>
      <c r="C23" s="124" t="s">
        <v>355</v>
      </c>
      <c r="D23" s="124" t="s">
        <v>264</v>
      </c>
      <c r="E23" s="125">
        <v>675000</v>
      </c>
      <c r="F23" s="126">
        <v>10131.075000000001</v>
      </c>
      <c r="G23" s="127">
        <v>1.4209879999999999E-2</v>
      </c>
      <c r="H23" s="122" t="s">
        <v>153</v>
      </c>
      <c r="J23" s="2"/>
    </row>
    <row r="24" spans="1:10" ht="17.100000000000001" customHeight="1" x14ac:dyDescent="0.2">
      <c r="A24" s="123">
        <v>18</v>
      </c>
      <c r="B24" s="124" t="s">
        <v>87</v>
      </c>
      <c r="C24" s="124" t="s">
        <v>88</v>
      </c>
      <c r="D24" s="124" t="s">
        <v>89</v>
      </c>
      <c r="E24" s="125">
        <v>1800000</v>
      </c>
      <c r="F24" s="126">
        <v>9891.9</v>
      </c>
      <c r="G24" s="127">
        <v>1.387441E-2</v>
      </c>
      <c r="H24" s="122" t="s">
        <v>153</v>
      </c>
      <c r="J24" s="2"/>
    </row>
    <row r="25" spans="1:10" ht="17.100000000000001" customHeight="1" x14ac:dyDescent="0.2">
      <c r="A25" s="123">
        <v>19</v>
      </c>
      <c r="B25" s="124" t="s">
        <v>356</v>
      </c>
      <c r="C25" s="124" t="s">
        <v>357</v>
      </c>
      <c r="D25" s="124" t="s">
        <v>48</v>
      </c>
      <c r="E25" s="125">
        <v>550000</v>
      </c>
      <c r="F25" s="126">
        <v>9794.4</v>
      </c>
      <c r="G25" s="127">
        <v>1.373766E-2</v>
      </c>
      <c r="H25" s="122" t="s">
        <v>153</v>
      </c>
      <c r="J25" s="2"/>
    </row>
    <row r="26" spans="1:10" ht="17.100000000000001" customHeight="1" x14ac:dyDescent="0.2">
      <c r="A26" s="123">
        <v>20</v>
      </c>
      <c r="B26" s="124" t="s">
        <v>232</v>
      </c>
      <c r="C26" s="124" t="s">
        <v>233</v>
      </c>
      <c r="D26" s="124" t="s">
        <v>22</v>
      </c>
      <c r="E26" s="125">
        <v>2300000</v>
      </c>
      <c r="F26" s="126">
        <v>9638.15</v>
      </c>
      <c r="G26" s="127">
        <v>1.3518499999999999E-2</v>
      </c>
      <c r="H26" s="122" t="s">
        <v>153</v>
      </c>
      <c r="J26" s="2"/>
    </row>
    <row r="27" spans="1:10" ht="17.100000000000001" customHeight="1" x14ac:dyDescent="0.2">
      <c r="A27" s="123">
        <v>21</v>
      </c>
      <c r="B27" s="124" t="s">
        <v>358</v>
      </c>
      <c r="C27" s="124" t="s">
        <v>359</v>
      </c>
      <c r="D27" s="124" t="s">
        <v>360</v>
      </c>
      <c r="E27" s="125">
        <v>1350000</v>
      </c>
      <c r="F27" s="126">
        <v>9468.2250000000004</v>
      </c>
      <c r="G27" s="127">
        <v>1.3280170000000001E-2</v>
      </c>
      <c r="H27" s="122" t="s">
        <v>153</v>
      </c>
      <c r="J27" s="2" t="s">
        <v>921</v>
      </c>
    </row>
    <row r="28" spans="1:10" ht="17.100000000000001" customHeight="1" x14ac:dyDescent="0.2">
      <c r="A28" s="123">
        <v>22</v>
      </c>
      <c r="B28" s="124" t="s">
        <v>361</v>
      </c>
      <c r="C28" s="124" t="s">
        <v>362</v>
      </c>
      <c r="D28" s="124" t="s">
        <v>273</v>
      </c>
      <c r="E28" s="125">
        <v>850000</v>
      </c>
      <c r="F28" s="126">
        <v>9446.4750000000004</v>
      </c>
      <c r="G28" s="127">
        <v>1.324966E-2</v>
      </c>
      <c r="H28" s="122" t="s">
        <v>153</v>
      </c>
      <c r="J28" s="2"/>
    </row>
    <row r="29" spans="1:10" ht="17.100000000000001" customHeight="1" x14ac:dyDescent="0.2">
      <c r="A29" s="123">
        <v>23</v>
      </c>
      <c r="B29" s="124" t="s">
        <v>219</v>
      </c>
      <c r="C29" s="124" t="s">
        <v>220</v>
      </c>
      <c r="D29" s="124" t="s">
        <v>71</v>
      </c>
      <c r="E29" s="125">
        <v>530000</v>
      </c>
      <c r="F29" s="126">
        <v>9393.4549999999999</v>
      </c>
      <c r="G29" s="127">
        <v>1.3175289999999999E-2</v>
      </c>
      <c r="H29" s="122" t="s">
        <v>153</v>
      </c>
      <c r="J29" s="2"/>
    </row>
    <row r="30" spans="1:10" ht="17.100000000000001" customHeight="1" x14ac:dyDescent="0.2">
      <c r="A30" s="123">
        <v>24</v>
      </c>
      <c r="B30" s="124" t="s">
        <v>199</v>
      </c>
      <c r="C30" s="124" t="s">
        <v>200</v>
      </c>
      <c r="D30" s="124" t="s">
        <v>74</v>
      </c>
      <c r="E30" s="125">
        <v>230000</v>
      </c>
      <c r="F30" s="126">
        <v>9270.84</v>
      </c>
      <c r="G30" s="127">
        <v>1.3003310000000001E-2</v>
      </c>
      <c r="H30" s="122" t="s">
        <v>153</v>
      </c>
      <c r="J30" s="2"/>
    </row>
    <row r="31" spans="1:10" ht="17.100000000000001" customHeight="1" x14ac:dyDescent="0.2">
      <c r="A31" s="123">
        <v>25</v>
      </c>
      <c r="B31" s="124" t="s">
        <v>246</v>
      </c>
      <c r="C31" s="124" t="s">
        <v>247</v>
      </c>
      <c r="D31" s="124" t="s">
        <v>211</v>
      </c>
      <c r="E31" s="125">
        <v>295000</v>
      </c>
      <c r="F31" s="126">
        <v>9159.6025000000009</v>
      </c>
      <c r="G31" s="127">
        <v>1.2847290000000001E-2</v>
      </c>
      <c r="H31" s="122" t="s">
        <v>153</v>
      </c>
      <c r="J31" s="2"/>
    </row>
    <row r="32" spans="1:10" ht="17.100000000000001" customHeight="1" x14ac:dyDescent="0.2">
      <c r="A32" s="123">
        <v>26</v>
      </c>
      <c r="B32" s="124" t="s">
        <v>363</v>
      </c>
      <c r="C32" s="124" t="s">
        <v>364</v>
      </c>
      <c r="D32" s="124" t="s">
        <v>239</v>
      </c>
      <c r="E32" s="125">
        <v>175000</v>
      </c>
      <c r="F32" s="126">
        <v>9069.9</v>
      </c>
      <c r="G32" s="127">
        <v>1.272147E-2</v>
      </c>
      <c r="H32" s="122" t="s">
        <v>153</v>
      </c>
      <c r="J32" s="2"/>
    </row>
    <row r="33" spans="1:10" ht="17.100000000000001" customHeight="1" x14ac:dyDescent="0.2">
      <c r="A33" s="123">
        <v>27</v>
      </c>
      <c r="B33" s="124" t="s">
        <v>262</v>
      </c>
      <c r="C33" s="124" t="s">
        <v>263</v>
      </c>
      <c r="D33" s="124" t="s">
        <v>264</v>
      </c>
      <c r="E33" s="125">
        <v>427342</v>
      </c>
      <c r="F33" s="126">
        <v>8762.4340389999998</v>
      </c>
      <c r="G33" s="127">
        <v>1.2290219999999999E-2</v>
      </c>
      <c r="H33" s="122" t="s">
        <v>153</v>
      </c>
      <c r="J33" s="2"/>
    </row>
    <row r="34" spans="1:10" ht="29.1" customHeight="1" x14ac:dyDescent="0.2">
      <c r="A34" s="123">
        <v>28</v>
      </c>
      <c r="B34" s="124" t="s">
        <v>230</v>
      </c>
      <c r="C34" s="124" t="s">
        <v>231</v>
      </c>
      <c r="D34" s="124" t="s">
        <v>208</v>
      </c>
      <c r="E34" s="125">
        <v>140000</v>
      </c>
      <c r="F34" s="126">
        <v>8638.49</v>
      </c>
      <c r="G34" s="127">
        <v>1.211638E-2</v>
      </c>
      <c r="H34" s="122" t="s">
        <v>153</v>
      </c>
      <c r="J34" s="2"/>
    </row>
    <row r="35" spans="1:10" ht="29.1" customHeight="1" x14ac:dyDescent="0.2">
      <c r="A35" s="123">
        <v>29</v>
      </c>
      <c r="B35" s="124" t="s">
        <v>23</v>
      </c>
      <c r="C35" s="124" t="s">
        <v>24</v>
      </c>
      <c r="D35" s="124" t="s">
        <v>25</v>
      </c>
      <c r="E35" s="125">
        <v>75000</v>
      </c>
      <c r="F35" s="126">
        <v>8476.4249999999993</v>
      </c>
      <c r="G35" s="127">
        <v>1.188906E-2</v>
      </c>
      <c r="H35" s="122" t="s">
        <v>153</v>
      </c>
      <c r="J35" s="2"/>
    </row>
    <row r="36" spans="1:10" ht="17.100000000000001" customHeight="1" x14ac:dyDescent="0.2">
      <c r="A36" s="123">
        <v>30</v>
      </c>
      <c r="B36" s="124" t="s">
        <v>365</v>
      </c>
      <c r="C36" s="124" t="s">
        <v>366</v>
      </c>
      <c r="D36" s="124" t="s">
        <v>367</v>
      </c>
      <c r="E36" s="125">
        <v>315000</v>
      </c>
      <c r="F36" s="126">
        <v>8212.8374999999996</v>
      </c>
      <c r="G36" s="127">
        <v>1.1519349999999999E-2</v>
      </c>
      <c r="H36" s="122" t="s">
        <v>153</v>
      </c>
      <c r="J36" s="2"/>
    </row>
    <row r="37" spans="1:10" ht="17.100000000000001" customHeight="1" x14ac:dyDescent="0.2">
      <c r="A37" s="123">
        <v>31</v>
      </c>
      <c r="B37" s="124" t="s">
        <v>201</v>
      </c>
      <c r="C37" s="124" t="s">
        <v>202</v>
      </c>
      <c r="D37" s="124" t="s">
        <v>48</v>
      </c>
      <c r="E37" s="125">
        <v>4200000</v>
      </c>
      <c r="F37" s="126">
        <v>8177.4</v>
      </c>
      <c r="G37" s="127">
        <v>1.146965E-2</v>
      </c>
      <c r="H37" s="122" t="s">
        <v>153</v>
      </c>
      <c r="J37" s="2"/>
    </row>
    <row r="38" spans="1:10" ht="17.100000000000001" customHeight="1" x14ac:dyDescent="0.2">
      <c r="A38" s="123">
        <v>32</v>
      </c>
      <c r="B38" s="124" t="s">
        <v>267</v>
      </c>
      <c r="C38" s="124" t="s">
        <v>268</v>
      </c>
      <c r="D38" s="124" t="s">
        <v>35</v>
      </c>
      <c r="E38" s="125">
        <v>120000</v>
      </c>
      <c r="F38" s="126">
        <v>8176.08</v>
      </c>
      <c r="G38" s="127">
        <v>1.14678E-2</v>
      </c>
      <c r="H38" s="122" t="s">
        <v>153</v>
      </c>
      <c r="J38" s="2"/>
    </row>
    <row r="39" spans="1:10" ht="17.100000000000001" customHeight="1" x14ac:dyDescent="0.2">
      <c r="A39" s="123">
        <v>33</v>
      </c>
      <c r="B39" s="124" t="s">
        <v>269</v>
      </c>
      <c r="C39" s="124" t="s">
        <v>270</v>
      </c>
      <c r="D39" s="124" t="s">
        <v>74</v>
      </c>
      <c r="E39" s="125">
        <v>1650000</v>
      </c>
      <c r="F39" s="126">
        <v>8132.85</v>
      </c>
      <c r="G39" s="127">
        <v>1.140716E-2</v>
      </c>
      <c r="H39" s="122" t="s">
        <v>153</v>
      </c>
      <c r="J39" s="2"/>
    </row>
    <row r="40" spans="1:10" ht="29.1" customHeight="1" x14ac:dyDescent="0.2">
      <c r="A40" s="123">
        <v>34</v>
      </c>
      <c r="B40" s="124" t="s">
        <v>368</v>
      </c>
      <c r="C40" s="124" t="s">
        <v>369</v>
      </c>
      <c r="D40" s="124" t="s">
        <v>208</v>
      </c>
      <c r="E40" s="125">
        <v>115000</v>
      </c>
      <c r="F40" s="126">
        <v>8086.0524999999998</v>
      </c>
      <c r="G40" s="127">
        <v>1.1341530000000001E-2</v>
      </c>
      <c r="H40" s="122" t="s">
        <v>153</v>
      </c>
      <c r="J40" s="2"/>
    </row>
    <row r="41" spans="1:10" ht="29.1" customHeight="1" x14ac:dyDescent="0.2">
      <c r="A41" s="123">
        <v>35</v>
      </c>
      <c r="B41" s="124" t="s">
        <v>281</v>
      </c>
      <c r="C41" s="124" t="s">
        <v>282</v>
      </c>
      <c r="D41" s="124" t="s">
        <v>89</v>
      </c>
      <c r="E41" s="125">
        <v>550000</v>
      </c>
      <c r="F41" s="126">
        <v>8005.8</v>
      </c>
      <c r="G41" s="127">
        <v>1.122896E-2</v>
      </c>
      <c r="H41" s="122" t="s">
        <v>153</v>
      </c>
      <c r="J41" s="2"/>
    </row>
    <row r="42" spans="1:10" ht="29.1" customHeight="1" x14ac:dyDescent="0.2">
      <c r="A42" s="123">
        <v>36</v>
      </c>
      <c r="B42" s="124" t="s">
        <v>370</v>
      </c>
      <c r="C42" s="124" t="s">
        <v>371</v>
      </c>
      <c r="D42" s="124" t="s">
        <v>208</v>
      </c>
      <c r="E42" s="125">
        <v>500000</v>
      </c>
      <c r="F42" s="126">
        <v>7847</v>
      </c>
      <c r="G42" s="127">
        <v>1.1006230000000001E-2</v>
      </c>
      <c r="H42" s="122" t="s">
        <v>153</v>
      </c>
      <c r="J42" s="2"/>
    </row>
    <row r="43" spans="1:10" ht="29.1" customHeight="1" x14ac:dyDescent="0.2">
      <c r="A43" s="123">
        <v>37</v>
      </c>
      <c r="B43" s="124" t="s">
        <v>299</v>
      </c>
      <c r="C43" s="124" t="s">
        <v>300</v>
      </c>
      <c r="D43" s="124" t="s">
        <v>205</v>
      </c>
      <c r="E43" s="125">
        <v>174000</v>
      </c>
      <c r="F43" s="126">
        <v>7822.0829999999996</v>
      </c>
      <c r="G43" s="127">
        <v>1.097128E-2</v>
      </c>
      <c r="H43" s="122" t="s">
        <v>153</v>
      </c>
      <c r="J43" s="2"/>
    </row>
    <row r="44" spans="1:10" ht="17.100000000000001" customHeight="1" x14ac:dyDescent="0.2">
      <c r="A44" s="123">
        <v>38</v>
      </c>
      <c r="B44" s="124" t="s">
        <v>328</v>
      </c>
      <c r="C44" s="124" t="s">
        <v>329</v>
      </c>
      <c r="D44" s="124" t="s">
        <v>236</v>
      </c>
      <c r="E44" s="125">
        <v>1200000</v>
      </c>
      <c r="F44" s="126">
        <v>7770</v>
      </c>
      <c r="G44" s="127">
        <v>1.089823E-2</v>
      </c>
      <c r="H44" s="122" t="s">
        <v>153</v>
      </c>
      <c r="J44" s="2"/>
    </row>
    <row r="45" spans="1:10" ht="17.100000000000001" customHeight="1" x14ac:dyDescent="0.2">
      <c r="A45" s="123">
        <v>39</v>
      </c>
      <c r="B45" s="124" t="s">
        <v>93</v>
      </c>
      <c r="C45" s="124" t="s">
        <v>94</v>
      </c>
      <c r="D45" s="124" t="s">
        <v>86</v>
      </c>
      <c r="E45" s="125">
        <v>805000</v>
      </c>
      <c r="F45" s="126">
        <v>7769.0550000000003</v>
      </c>
      <c r="G45" s="127">
        <v>1.0896899999999999E-2</v>
      </c>
      <c r="H45" s="122" t="s">
        <v>153</v>
      </c>
      <c r="J45" s="2"/>
    </row>
    <row r="46" spans="1:10" ht="17.100000000000001" customHeight="1" x14ac:dyDescent="0.2">
      <c r="A46" s="123">
        <v>40</v>
      </c>
      <c r="B46" s="124" t="s">
        <v>372</v>
      </c>
      <c r="C46" s="124" t="s">
        <v>373</v>
      </c>
      <c r="D46" s="124" t="s">
        <v>374</v>
      </c>
      <c r="E46" s="125">
        <v>1545000</v>
      </c>
      <c r="F46" s="126">
        <v>7754.3549999999996</v>
      </c>
      <c r="G46" s="127">
        <v>1.087629E-2</v>
      </c>
      <c r="H46" s="122" t="s">
        <v>153</v>
      </c>
      <c r="J46" s="2"/>
    </row>
    <row r="47" spans="1:10" ht="17.100000000000001" customHeight="1" x14ac:dyDescent="0.2">
      <c r="A47" s="123">
        <v>41</v>
      </c>
      <c r="B47" s="124" t="s">
        <v>41</v>
      </c>
      <c r="C47" s="124" t="s">
        <v>42</v>
      </c>
      <c r="D47" s="124" t="s">
        <v>16</v>
      </c>
      <c r="E47" s="125">
        <v>600000</v>
      </c>
      <c r="F47" s="126">
        <v>7512.3</v>
      </c>
      <c r="G47" s="127">
        <v>1.0536780000000001E-2</v>
      </c>
      <c r="H47" s="122" t="s">
        <v>153</v>
      </c>
      <c r="J47" s="2"/>
    </row>
    <row r="48" spans="1:10" ht="17.100000000000001" customHeight="1" x14ac:dyDescent="0.2">
      <c r="A48" s="123">
        <v>42</v>
      </c>
      <c r="B48" s="124" t="s">
        <v>132</v>
      </c>
      <c r="C48" s="124" t="s">
        <v>133</v>
      </c>
      <c r="D48" s="124" t="s">
        <v>53</v>
      </c>
      <c r="E48" s="125">
        <v>93000</v>
      </c>
      <c r="F48" s="126">
        <v>7380.5264999999999</v>
      </c>
      <c r="G48" s="127">
        <v>1.035195E-2</v>
      </c>
      <c r="H48" s="122" t="s">
        <v>153</v>
      </c>
      <c r="J48" s="2"/>
    </row>
    <row r="49" spans="1:10" ht="17.100000000000001" customHeight="1" x14ac:dyDescent="0.2">
      <c r="A49" s="123">
        <v>43</v>
      </c>
      <c r="B49" s="124" t="s">
        <v>58</v>
      </c>
      <c r="C49" s="124" t="s">
        <v>59</v>
      </c>
      <c r="D49" s="124" t="s">
        <v>35</v>
      </c>
      <c r="E49" s="125">
        <v>550300</v>
      </c>
      <c r="F49" s="126">
        <v>7342.9280500000004</v>
      </c>
      <c r="G49" s="127">
        <v>1.029922E-2</v>
      </c>
      <c r="H49" s="122" t="s">
        <v>153</v>
      </c>
      <c r="J49" s="2"/>
    </row>
    <row r="50" spans="1:10" ht="17.100000000000001" customHeight="1" x14ac:dyDescent="0.2">
      <c r="A50" s="123">
        <v>44</v>
      </c>
      <c r="B50" s="124" t="s">
        <v>265</v>
      </c>
      <c r="C50" s="124" t="s">
        <v>266</v>
      </c>
      <c r="D50" s="124" t="s">
        <v>216</v>
      </c>
      <c r="E50" s="125">
        <v>850000</v>
      </c>
      <c r="F50" s="126">
        <v>7330.8249999999998</v>
      </c>
      <c r="G50" s="127">
        <v>1.028224E-2</v>
      </c>
      <c r="H50" s="122" t="s">
        <v>153</v>
      </c>
      <c r="J50" s="2"/>
    </row>
    <row r="51" spans="1:10" ht="17.100000000000001" customHeight="1" x14ac:dyDescent="0.2">
      <c r="A51" s="123">
        <v>45</v>
      </c>
      <c r="B51" s="124" t="s">
        <v>110</v>
      </c>
      <c r="C51" s="124" t="s">
        <v>111</v>
      </c>
      <c r="D51" s="124" t="s">
        <v>35</v>
      </c>
      <c r="E51" s="125">
        <v>195000</v>
      </c>
      <c r="F51" s="126">
        <v>7302.165</v>
      </c>
      <c r="G51" s="127">
        <v>1.0242040000000001E-2</v>
      </c>
      <c r="H51" s="122" t="s">
        <v>153</v>
      </c>
      <c r="J51" s="2"/>
    </row>
    <row r="52" spans="1:10" ht="17.100000000000001" customHeight="1" x14ac:dyDescent="0.2">
      <c r="A52" s="123">
        <v>46</v>
      </c>
      <c r="B52" s="124" t="s">
        <v>214</v>
      </c>
      <c r="C52" s="124" t="s">
        <v>215</v>
      </c>
      <c r="D52" s="124" t="s">
        <v>216</v>
      </c>
      <c r="E52" s="125">
        <v>1300000</v>
      </c>
      <c r="F52" s="126">
        <v>7173.4</v>
      </c>
      <c r="G52" s="127">
        <v>1.006144E-2</v>
      </c>
      <c r="H52" s="122" t="s">
        <v>153</v>
      </c>
      <c r="J52" s="2"/>
    </row>
    <row r="53" spans="1:10" ht="17.100000000000001" customHeight="1" x14ac:dyDescent="0.2">
      <c r="A53" s="123">
        <v>47</v>
      </c>
      <c r="B53" s="124" t="s">
        <v>375</v>
      </c>
      <c r="C53" s="124" t="s">
        <v>376</v>
      </c>
      <c r="D53" s="124" t="s">
        <v>273</v>
      </c>
      <c r="E53" s="125">
        <v>130000</v>
      </c>
      <c r="F53" s="126">
        <v>7092.02</v>
      </c>
      <c r="G53" s="127">
        <v>9.9472899999999993E-3</v>
      </c>
      <c r="H53" s="122" t="s">
        <v>153</v>
      </c>
      <c r="J53" s="2"/>
    </row>
    <row r="54" spans="1:10" ht="17.100000000000001" customHeight="1" x14ac:dyDescent="0.2">
      <c r="A54" s="123">
        <v>48</v>
      </c>
      <c r="B54" s="124" t="s">
        <v>307</v>
      </c>
      <c r="C54" s="124" t="s">
        <v>308</v>
      </c>
      <c r="D54" s="124" t="s">
        <v>74</v>
      </c>
      <c r="E54" s="125">
        <v>1030000</v>
      </c>
      <c r="F54" s="126">
        <v>7038.5050000000001</v>
      </c>
      <c r="G54" s="127">
        <v>9.8722299999999992E-3</v>
      </c>
      <c r="H54" s="122" t="s">
        <v>153</v>
      </c>
      <c r="J54" s="2"/>
    </row>
    <row r="55" spans="1:10" ht="17.100000000000001" customHeight="1" x14ac:dyDescent="0.2">
      <c r="A55" s="123">
        <v>49</v>
      </c>
      <c r="B55" s="124" t="s">
        <v>377</v>
      </c>
      <c r="C55" s="124" t="s">
        <v>378</v>
      </c>
      <c r="D55" s="124" t="s">
        <v>374</v>
      </c>
      <c r="E55" s="125">
        <v>250000</v>
      </c>
      <c r="F55" s="126">
        <v>6945</v>
      </c>
      <c r="G55" s="127">
        <v>9.7410799999999992E-3</v>
      </c>
      <c r="H55" s="122" t="s">
        <v>153</v>
      </c>
      <c r="J55" s="2"/>
    </row>
    <row r="56" spans="1:10" ht="17.100000000000001" customHeight="1" x14ac:dyDescent="0.2">
      <c r="A56" s="123">
        <v>50</v>
      </c>
      <c r="B56" s="124" t="s">
        <v>126</v>
      </c>
      <c r="C56" s="124" t="s">
        <v>127</v>
      </c>
      <c r="D56" s="124" t="s">
        <v>74</v>
      </c>
      <c r="E56" s="125">
        <v>176000</v>
      </c>
      <c r="F56" s="126">
        <v>6937.3040000000001</v>
      </c>
      <c r="G56" s="127">
        <v>9.7302900000000008E-3</v>
      </c>
      <c r="H56" s="122" t="s">
        <v>153</v>
      </c>
      <c r="J56" s="2"/>
    </row>
    <row r="57" spans="1:10" ht="17.100000000000001" customHeight="1" x14ac:dyDescent="0.2">
      <c r="A57" s="123">
        <v>51</v>
      </c>
      <c r="B57" s="124" t="s">
        <v>95</v>
      </c>
      <c r="C57" s="124" t="s">
        <v>96</v>
      </c>
      <c r="D57" s="124" t="s">
        <v>89</v>
      </c>
      <c r="E57" s="125">
        <v>1100000</v>
      </c>
      <c r="F57" s="126">
        <v>6817.25</v>
      </c>
      <c r="G57" s="127">
        <v>9.5618999999999999E-3</v>
      </c>
      <c r="H57" s="122" t="s">
        <v>153</v>
      </c>
      <c r="J57" s="2"/>
    </row>
    <row r="58" spans="1:10" ht="17.100000000000001" customHeight="1" x14ac:dyDescent="0.2">
      <c r="A58" s="123">
        <v>52</v>
      </c>
      <c r="B58" s="124" t="s">
        <v>283</v>
      </c>
      <c r="C58" s="124" t="s">
        <v>284</v>
      </c>
      <c r="D58" s="124" t="s">
        <v>273</v>
      </c>
      <c r="E58" s="125">
        <v>5663245</v>
      </c>
      <c r="F58" s="126">
        <v>6678.6648285000001</v>
      </c>
      <c r="G58" s="127">
        <v>9.3675200000000007E-3</v>
      </c>
      <c r="H58" s="122" t="s">
        <v>153</v>
      </c>
      <c r="J58" s="2"/>
    </row>
    <row r="59" spans="1:10" ht="17.100000000000001" customHeight="1" x14ac:dyDescent="0.2">
      <c r="A59" s="123">
        <v>53</v>
      </c>
      <c r="B59" s="124" t="s">
        <v>379</v>
      </c>
      <c r="C59" s="124" t="s">
        <v>380</v>
      </c>
      <c r="D59" s="124" t="s">
        <v>45</v>
      </c>
      <c r="E59" s="125">
        <v>509000</v>
      </c>
      <c r="F59" s="126">
        <v>6647.7945</v>
      </c>
      <c r="G59" s="127">
        <v>9.3242199999999994E-3</v>
      </c>
      <c r="H59" s="122" t="s">
        <v>153</v>
      </c>
      <c r="J59" s="2"/>
    </row>
    <row r="60" spans="1:10" ht="29.1" customHeight="1" x14ac:dyDescent="0.2">
      <c r="A60" s="123">
        <v>54</v>
      </c>
      <c r="B60" s="124" t="s">
        <v>381</v>
      </c>
      <c r="C60" s="124" t="s">
        <v>382</v>
      </c>
      <c r="D60" s="124" t="s">
        <v>32</v>
      </c>
      <c r="E60" s="125">
        <v>140000</v>
      </c>
      <c r="F60" s="126">
        <v>6551.93</v>
      </c>
      <c r="G60" s="127">
        <v>9.1897599999999999E-3</v>
      </c>
      <c r="H60" s="122" t="s">
        <v>153</v>
      </c>
      <c r="J60" s="2"/>
    </row>
    <row r="61" spans="1:10" ht="17.100000000000001" customHeight="1" x14ac:dyDescent="0.2">
      <c r="A61" s="123">
        <v>55</v>
      </c>
      <c r="B61" s="124" t="s">
        <v>137</v>
      </c>
      <c r="C61" s="124" t="s">
        <v>138</v>
      </c>
      <c r="D61" s="124" t="s">
        <v>53</v>
      </c>
      <c r="E61" s="125">
        <v>2250000</v>
      </c>
      <c r="F61" s="126">
        <v>6537.375</v>
      </c>
      <c r="G61" s="127">
        <v>9.1693499999999997E-3</v>
      </c>
      <c r="H61" s="122" t="s">
        <v>153</v>
      </c>
      <c r="J61" s="2"/>
    </row>
    <row r="62" spans="1:10" ht="17.100000000000001" customHeight="1" x14ac:dyDescent="0.2">
      <c r="A62" s="123">
        <v>56</v>
      </c>
      <c r="B62" s="124" t="s">
        <v>43</v>
      </c>
      <c r="C62" s="124" t="s">
        <v>44</v>
      </c>
      <c r="D62" s="124" t="s">
        <v>45</v>
      </c>
      <c r="E62" s="125">
        <v>140000</v>
      </c>
      <c r="F62" s="126">
        <v>6254.22</v>
      </c>
      <c r="G62" s="127">
        <v>8.7721899999999992E-3</v>
      </c>
      <c r="H62" s="122" t="s">
        <v>153</v>
      </c>
      <c r="J62" s="2"/>
    </row>
    <row r="63" spans="1:10" ht="17.100000000000001" customHeight="1" x14ac:dyDescent="0.2">
      <c r="A63" s="123">
        <v>57</v>
      </c>
      <c r="B63" s="124" t="s">
        <v>383</v>
      </c>
      <c r="C63" s="124" t="s">
        <v>384</v>
      </c>
      <c r="D63" s="124" t="s">
        <v>136</v>
      </c>
      <c r="E63" s="125">
        <v>4000000</v>
      </c>
      <c r="F63" s="126">
        <v>6110.4</v>
      </c>
      <c r="G63" s="127">
        <v>8.5704700000000002E-3</v>
      </c>
      <c r="H63" s="122" t="s">
        <v>153</v>
      </c>
      <c r="J63" s="2"/>
    </row>
    <row r="64" spans="1:10" ht="17.100000000000001" customHeight="1" x14ac:dyDescent="0.2">
      <c r="A64" s="123">
        <v>58</v>
      </c>
      <c r="B64" s="124" t="s">
        <v>97</v>
      </c>
      <c r="C64" s="124" t="s">
        <v>98</v>
      </c>
      <c r="D64" s="124" t="s">
        <v>53</v>
      </c>
      <c r="E64" s="125">
        <v>830000</v>
      </c>
      <c r="F64" s="126">
        <v>5977.2449999999999</v>
      </c>
      <c r="G64" s="127">
        <v>8.3836999999999991E-3</v>
      </c>
      <c r="H64" s="122" t="s">
        <v>153</v>
      </c>
      <c r="J64" s="2"/>
    </row>
    <row r="65" spans="1:10" ht="17.100000000000001" customHeight="1" x14ac:dyDescent="0.2">
      <c r="A65" s="123">
        <v>59</v>
      </c>
      <c r="B65" s="124" t="s">
        <v>385</v>
      </c>
      <c r="C65" s="124" t="s">
        <v>386</v>
      </c>
      <c r="D65" s="124" t="s">
        <v>74</v>
      </c>
      <c r="E65" s="125">
        <v>370000</v>
      </c>
      <c r="F65" s="126">
        <v>5871.9</v>
      </c>
      <c r="G65" s="127">
        <v>8.2359500000000006E-3</v>
      </c>
      <c r="H65" s="122" t="s">
        <v>153</v>
      </c>
      <c r="J65" s="2"/>
    </row>
    <row r="66" spans="1:10" ht="17.100000000000001" customHeight="1" x14ac:dyDescent="0.2">
      <c r="A66" s="123">
        <v>60</v>
      </c>
      <c r="B66" s="124" t="s">
        <v>128</v>
      </c>
      <c r="C66" s="124" t="s">
        <v>129</v>
      </c>
      <c r="D66" s="124" t="s">
        <v>86</v>
      </c>
      <c r="E66" s="125">
        <v>1400000</v>
      </c>
      <c r="F66" s="126">
        <v>5870.2</v>
      </c>
      <c r="G66" s="127">
        <v>8.2335599999999991E-3</v>
      </c>
      <c r="H66" s="122" t="s">
        <v>153</v>
      </c>
      <c r="J66" s="2"/>
    </row>
    <row r="67" spans="1:10" ht="17.100000000000001" customHeight="1" x14ac:dyDescent="0.2">
      <c r="A67" s="123">
        <v>61</v>
      </c>
      <c r="B67" s="124" t="s">
        <v>387</v>
      </c>
      <c r="C67" s="124" t="s">
        <v>388</v>
      </c>
      <c r="D67" s="124" t="s">
        <v>35</v>
      </c>
      <c r="E67" s="125">
        <v>710928</v>
      </c>
      <c r="F67" s="126">
        <v>5560.5233520000002</v>
      </c>
      <c r="G67" s="127">
        <v>7.79921E-3</v>
      </c>
      <c r="H67" s="122" t="s">
        <v>153</v>
      </c>
      <c r="J67" s="2"/>
    </row>
    <row r="68" spans="1:10" ht="29.1" customHeight="1" x14ac:dyDescent="0.2">
      <c r="A68" s="123">
        <v>62</v>
      </c>
      <c r="B68" s="124" t="s">
        <v>389</v>
      </c>
      <c r="C68" s="124" t="s">
        <v>390</v>
      </c>
      <c r="D68" s="124" t="s">
        <v>92</v>
      </c>
      <c r="E68" s="125">
        <v>1700000</v>
      </c>
      <c r="F68" s="126">
        <v>5518.2</v>
      </c>
      <c r="G68" s="127">
        <v>7.7398500000000004E-3</v>
      </c>
      <c r="H68" s="122" t="s">
        <v>153</v>
      </c>
      <c r="J68" s="2"/>
    </row>
    <row r="69" spans="1:10" ht="17.100000000000001" customHeight="1" x14ac:dyDescent="0.2">
      <c r="A69" s="123">
        <v>63</v>
      </c>
      <c r="B69" s="124" t="s">
        <v>253</v>
      </c>
      <c r="C69" s="124" t="s">
        <v>254</v>
      </c>
      <c r="D69" s="124" t="s">
        <v>255</v>
      </c>
      <c r="E69" s="125">
        <v>501344</v>
      </c>
      <c r="F69" s="126">
        <v>5388.695984</v>
      </c>
      <c r="G69" s="127">
        <v>7.5582000000000002E-3</v>
      </c>
      <c r="H69" s="122" t="s">
        <v>153</v>
      </c>
      <c r="J69" s="2"/>
    </row>
    <row r="70" spans="1:10" ht="53.1" customHeight="1" x14ac:dyDescent="0.2">
      <c r="A70" s="123">
        <v>64</v>
      </c>
      <c r="B70" s="124" t="s">
        <v>391</v>
      </c>
      <c r="C70" s="124" t="s">
        <v>392</v>
      </c>
      <c r="D70" s="124" t="s">
        <v>393</v>
      </c>
      <c r="E70" s="125">
        <v>2100000</v>
      </c>
      <c r="F70" s="126">
        <v>5385.45</v>
      </c>
      <c r="G70" s="127">
        <v>7.5536500000000003E-3</v>
      </c>
      <c r="H70" s="122" t="s">
        <v>153</v>
      </c>
      <c r="J70" s="2"/>
    </row>
    <row r="71" spans="1:10" ht="29.1" customHeight="1" x14ac:dyDescent="0.2">
      <c r="A71" s="123">
        <v>65</v>
      </c>
      <c r="B71" s="124" t="s">
        <v>313</v>
      </c>
      <c r="C71" s="124" t="s">
        <v>314</v>
      </c>
      <c r="D71" s="124" t="s">
        <v>315</v>
      </c>
      <c r="E71" s="125">
        <v>814000</v>
      </c>
      <c r="F71" s="126">
        <v>5267.8010000000004</v>
      </c>
      <c r="G71" s="127">
        <v>7.3886400000000001E-3</v>
      </c>
      <c r="H71" s="122" t="s">
        <v>153</v>
      </c>
      <c r="J71" s="2"/>
    </row>
    <row r="72" spans="1:10" ht="17.100000000000001" customHeight="1" x14ac:dyDescent="0.2">
      <c r="A72" s="123">
        <v>66</v>
      </c>
      <c r="B72" s="124" t="s">
        <v>394</v>
      </c>
      <c r="C72" s="124" t="s">
        <v>395</v>
      </c>
      <c r="D72" s="124" t="s">
        <v>45</v>
      </c>
      <c r="E72" s="125">
        <v>146498</v>
      </c>
      <c r="F72" s="126">
        <v>5222.8734469999999</v>
      </c>
      <c r="G72" s="127">
        <v>7.3256199999999997E-3</v>
      </c>
      <c r="H72" s="122" t="s">
        <v>153</v>
      </c>
      <c r="J72" s="2"/>
    </row>
    <row r="73" spans="1:10" ht="17.100000000000001" customHeight="1" x14ac:dyDescent="0.2">
      <c r="A73" s="123">
        <v>67</v>
      </c>
      <c r="B73" s="124" t="s">
        <v>194</v>
      </c>
      <c r="C73" s="124" t="s">
        <v>195</v>
      </c>
      <c r="D73" s="124" t="s">
        <v>45</v>
      </c>
      <c r="E73" s="125">
        <v>829572</v>
      </c>
      <c r="F73" s="126">
        <v>5103.5269440000002</v>
      </c>
      <c r="G73" s="127">
        <v>7.1582299999999998E-3</v>
      </c>
      <c r="H73" s="122" t="s">
        <v>153</v>
      </c>
      <c r="J73" s="2"/>
    </row>
    <row r="74" spans="1:10" ht="17.100000000000001" customHeight="1" x14ac:dyDescent="0.2">
      <c r="A74" s="123">
        <v>68</v>
      </c>
      <c r="B74" s="124" t="s">
        <v>311</v>
      </c>
      <c r="C74" s="124" t="s">
        <v>312</v>
      </c>
      <c r="D74" s="124" t="s">
        <v>216</v>
      </c>
      <c r="E74" s="125">
        <v>148809</v>
      </c>
      <c r="F74" s="126">
        <v>5085.3987660000003</v>
      </c>
      <c r="G74" s="127">
        <v>7.1327999999999999E-3</v>
      </c>
      <c r="H74" s="122" t="s">
        <v>153</v>
      </c>
      <c r="J74" s="2"/>
    </row>
    <row r="75" spans="1:10" ht="17.100000000000001" customHeight="1" x14ac:dyDescent="0.2">
      <c r="A75" s="123">
        <v>69</v>
      </c>
      <c r="B75" s="124" t="s">
        <v>396</v>
      </c>
      <c r="C75" s="124" t="s">
        <v>397</v>
      </c>
      <c r="D75" s="124" t="s">
        <v>398</v>
      </c>
      <c r="E75" s="125">
        <v>11000</v>
      </c>
      <c r="F75" s="126">
        <v>4677.2605000000003</v>
      </c>
      <c r="G75" s="127">
        <v>6.5603399999999996E-3</v>
      </c>
      <c r="H75" s="122" t="s">
        <v>153</v>
      </c>
      <c r="J75" s="2"/>
    </row>
    <row r="76" spans="1:10" ht="17.100000000000001" customHeight="1" x14ac:dyDescent="0.2">
      <c r="A76" s="123">
        <v>70</v>
      </c>
      <c r="B76" s="124" t="s">
        <v>309</v>
      </c>
      <c r="C76" s="124" t="s">
        <v>310</v>
      </c>
      <c r="D76" s="124" t="s">
        <v>45</v>
      </c>
      <c r="E76" s="125">
        <v>346000</v>
      </c>
      <c r="F76" s="126">
        <v>4673.9409999999998</v>
      </c>
      <c r="G76" s="127">
        <v>6.5556900000000003E-3</v>
      </c>
      <c r="H76" s="122" t="s">
        <v>153</v>
      </c>
      <c r="J76" s="2"/>
    </row>
    <row r="77" spans="1:10" ht="17.100000000000001" customHeight="1" x14ac:dyDescent="0.2">
      <c r="A77" s="123">
        <v>71</v>
      </c>
      <c r="B77" s="124" t="s">
        <v>399</v>
      </c>
      <c r="C77" s="124" t="s">
        <v>400</v>
      </c>
      <c r="D77" s="124" t="s">
        <v>74</v>
      </c>
      <c r="E77" s="125">
        <v>328185</v>
      </c>
      <c r="F77" s="126">
        <v>4439.5225874999996</v>
      </c>
      <c r="G77" s="127">
        <v>6.2268899999999997E-3</v>
      </c>
      <c r="H77" s="122" t="s">
        <v>153</v>
      </c>
      <c r="J77" s="2"/>
    </row>
    <row r="78" spans="1:10" ht="17.100000000000001" customHeight="1" x14ac:dyDescent="0.2">
      <c r="A78" s="123">
        <v>72</v>
      </c>
      <c r="B78" s="124" t="s">
        <v>101</v>
      </c>
      <c r="C78" s="124" t="s">
        <v>102</v>
      </c>
      <c r="D78" s="124" t="s">
        <v>103</v>
      </c>
      <c r="E78" s="125">
        <v>825000</v>
      </c>
      <c r="F78" s="126">
        <v>4330.8374999999996</v>
      </c>
      <c r="G78" s="127">
        <v>6.0744500000000003E-3</v>
      </c>
      <c r="H78" s="122" t="s">
        <v>153</v>
      </c>
      <c r="J78" s="2"/>
    </row>
    <row r="79" spans="1:10" ht="17.100000000000001" customHeight="1" x14ac:dyDescent="0.2">
      <c r="A79" s="123">
        <v>73</v>
      </c>
      <c r="B79" s="124" t="s">
        <v>221</v>
      </c>
      <c r="C79" s="124" t="s">
        <v>222</v>
      </c>
      <c r="D79" s="124" t="s">
        <v>19</v>
      </c>
      <c r="E79" s="125">
        <v>235000</v>
      </c>
      <c r="F79" s="126">
        <v>4097.2250000000004</v>
      </c>
      <c r="G79" s="127">
        <v>5.7467799999999999E-3</v>
      </c>
      <c r="H79" s="122" t="s">
        <v>153</v>
      </c>
      <c r="J79" s="2"/>
    </row>
    <row r="80" spans="1:10" ht="17.100000000000001" customHeight="1" x14ac:dyDescent="0.2">
      <c r="A80" s="123">
        <v>74</v>
      </c>
      <c r="B80" s="124" t="s">
        <v>401</v>
      </c>
      <c r="C80" s="124" t="s">
        <v>402</v>
      </c>
      <c r="D80" s="124" t="s">
        <v>403</v>
      </c>
      <c r="E80" s="125">
        <v>200000</v>
      </c>
      <c r="F80" s="126">
        <v>3263.2</v>
      </c>
      <c r="G80" s="127">
        <v>4.5769799999999996E-3</v>
      </c>
      <c r="H80" s="122" t="s">
        <v>153</v>
      </c>
      <c r="J80" s="2"/>
    </row>
    <row r="81" spans="1:10" ht="17.100000000000001" customHeight="1" x14ac:dyDescent="0.2">
      <c r="A81" s="123">
        <v>75</v>
      </c>
      <c r="B81" s="124" t="s">
        <v>56</v>
      </c>
      <c r="C81" s="124" t="s">
        <v>57</v>
      </c>
      <c r="D81" s="124" t="s">
        <v>19</v>
      </c>
      <c r="E81" s="125">
        <v>650000</v>
      </c>
      <c r="F81" s="126">
        <v>2825.2249999999999</v>
      </c>
      <c r="G81" s="127">
        <v>3.9626699999999997E-3</v>
      </c>
      <c r="H81" s="122" t="s">
        <v>153</v>
      </c>
      <c r="J81" s="2"/>
    </row>
    <row r="82" spans="1:10" ht="29.1" customHeight="1" x14ac:dyDescent="0.2">
      <c r="A82" s="123">
        <v>76</v>
      </c>
      <c r="B82" s="124" t="s">
        <v>404</v>
      </c>
      <c r="C82" s="124" t="s">
        <v>405</v>
      </c>
      <c r="D82" s="124" t="s">
        <v>25</v>
      </c>
      <c r="E82" s="125">
        <v>100000</v>
      </c>
      <c r="F82" s="126">
        <v>2698.85</v>
      </c>
      <c r="G82" s="127">
        <v>3.7854199999999998E-3</v>
      </c>
      <c r="H82" s="122" t="s">
        <v>153</v>
      </c>
      <c r="J82" s="2"/>
    </row>
    <row r="83" spans="1:10" ht="17.100000000000001" customHeight="1" x14ac:dyDescent="0.2">
      <c r="A83" s="123">
        <v>77</v>
      </c>
      <c r="B83" s="124" t="s">
        <v>406</v>
      </c>
      <c r="C83" s="124" t="s">
        <v>407</v>
      </c>
      <c r="D83" s="124" t="s">
        <v>48</v>
      </c>
      <c r="E83" s="125">
        <v>2000000</v>
      </c>
      <c r="F83" s="126">
        <v>2230.6</v>
      </c>
      <c r="G83" s="127">
        <v>3.1286500000000002E-3</v>
      </c>
      <c r="H83" s="122" t="s">
        <v>153</v>
      </c>
      <c r="J83" s="2"/>
    </row>
    <row r="84" spans="1:10" ht="29.1" customHeight="1" x14ac:dyDescent="0.2">
      <c r="A84" s="123">
        <v>78</v>
      </c>
      <c r="B84" s="124" t="s">
        <v>225</v>
      </c>
      <c r="C84" s="124" t="s">
        <v>226</v>
      </c>
      <c r="D84" s="124" t="s">
        <v>227</v>
      </c>
      <c r="E84" s="125">
        <v>50000</v>
      </c>
      <c r="F84" s="126">
        <v>886.125</v>
      </c>
      <c r="G84" s="127">
        <v>1.24288E-3</v>
      </c>
      <c r="H84" s="122" t="s">
        <v>153</v>
      </c>
      <c r="J84" s="2"/>
    </row>
    <row r="85" spans="1:10" ht="17.100000000000001" customHeight="1" x14ac:dyDescent="0.2">
      <c r="A85" s="123">
        <v>79</v>
      </c>
      <c r="B85" s="124" t="s">
        <v>28</v>
      </c>
      <c r="C85" s="124" t="s">
        <v>29</v>
      </c>
      <c r="D85" s="124" t="s">
        <v>22</v>
      </c>
      <c r="E85" s="125">
        <v>200000</v>
      </c>
      <c r="F85" s="126">
        <v>715.3</v>
      </c>
      <c r="G85" s="127">
        <v>1.0032800000000001E-3</v>
      </c>
      <c r="H85" s="122" t="s">
        <v>153</v>
      </c>
      <c r="J85" s="2"/>
    </row>
    <row r="86" spans="1:10" ht="14.1" customHeight="1" x14ac:dyDescent="0.2">
      <c r="A86" s="120"/>
      <c r="B86" s="120"/>
      <c r="C86" s="121" t="s">
        <v>152</v>
      </c>
      <c r="D86" s="120"/>
      <c r="E86" s="120" t="s">
        <v>153</v>
      </c>
      <c r="F86" s="128">
        <v>681340.50300879998</v>
      </c>
      <c r="G86" s="129">
        <v>0.95565058000000003</v>
      </c>
      <c r="H86" s="122" t="s">
        <v>153</v>
      </c>
      <c r="J86" s="2"/>
    </row>
    <row r="87" spans="1:10" ht="14.1" customHeight="1" x14ac:dyDescent="0.2">
      <c r="A87" s="120"/>
      <c r="B87" s="120"/>
      <c r="C87" s="130"/>
      <c r="D87" s="120"/>
      <c r="E87" s="120"/>
      <c r="F87" s="131"/>
      <c r="G87" s="131"/>
      <c r="H87" s="122" t="s">
        <v>153</v>
      </c>
      <c r="J87" s="2"/>
    </row>
    <row r="88" spans="1:10" ht="14.1" customHeight="1" x14ac:dyDescent="0.2">
      <c r="A88" s="120"/>
      <c r="B88" s="120"/>
      <c r="C88" s="121" t="s">
        <v>154</v>
      </c>
      <c r="D88" s="120"/>
      <c r="E88" s="120"/>
      <c r="F88" s="120"/>
      <c r="G88" s="120"/>
      <c r="H88" s="122" t="s">
        <v>153</v>
      </c>
      <c r="J88" s="2"/>
    </row>
    <row r="89" spans="1:10" ht="14.1" customHeight="1" x14ac:dyDescent="0.2">
      <c r="A89" s="120"/>
      <c r="B89" s="120"/>
      <c r="C89" s="121" t="s">
        <v>152</v>
      </c>
      <c r="D89" s="120"/>
      <c r="E89" s="120" t="s">
        <v>153</v>
      </c>
      <c r="F89" s="132" t="s">
        <v>155</v>
      </c>
      <c r="G89" s="129">
        <v>0</v>
      </c>
      <c r="H89" s="122" t="s">
        <v>153</v>
      </c>
      <c r="J89" s="2"/>
    </row>
    <row r="90" spans="1:10" ht="14.1" customHeight="1" x14ac:dyDescent="0.2">
      <c r="A90" s="120"/>
      <c r="B90" s="120"/>
      <c r="C90" s="130"/>
      <c r="D90" s="120"/>
      <c r="E90" s="120"/>
      <c r="F90" s="131"/>
      <c r="G90" s="131"/>
      <c r="H90" s="122" t="s">
        <v>153</v>
      </c>
      <c r="J90" s="2"/>
    </row>
    <row r="91" spans="1:10" ht="14.1" customHeight="1" x14ac:dyDescent="0.2">
      <c r="A91" s="120"/>
      <c r="B91" s="120"/>
      <c r="C91" s="121" t="s">
        <v>156</v>
      </c>
      <c r="D91" s="120"/>
      <c r="E91" s="120"/>
      <c r="F91" s="120"/>
      <c r="G91" s="120"/>
      <c r="H91" s="122" t="s">
        <v>153</v>
      </c>
      <c r="J91" s="2"/>
    </row>
    <row r="92" spans="1:10" ht="14.1" customHeight="1" x14ac:dyDescent="0.2">
      <c r="A92" s="120"/>
      <c r="B92" s="120"/>
      <c r="C92" s="121" t="s">
        <v>152</v>
      </c>
      <c r="D92" s="120"/>
      <c r="E92" s="120" t="s">
        <v>153</v>
      </c>
      <c r="F92" s="132" t="s">
        <v>155</v>
      </c>
      <c r="G92" s="129">
        <v>0</v>
      </c>
      <c r="H92" s="122" t="s">
        <v>153</v>
      </c>
      <c r="J92" s="2"/>
    </row>
    <row r="93" spans="1:10" ht="14.1" customHeight="1" x14ac:dyDescent="0.2">
      <c r="A93" s="120"/>
      <c r="B93" s="120"/>
      <c r="C93" s="130"/>
      <c r="D93" s="120"/>
      <c r="E93" s="120"/>
      <c r="F93" s="131"/>
      <c r="G93" s="131"/>
      <c r="H93" s="122" t="s">
        <v>153</v>
      </c>
      <c r="J93" s="2"/>
    </row>
    <row r="94" spans="1:10" ht="14.1" customHeight="1" x14ac:dyDescent="0.2">
      <c r="A94" s="120"/>
      <c r="B94" s="120"/>
      <c r="C94" s="121" t="s">
        <v>157</v>
      </c>
      <c r="D94" s="120"/>
      <c r="E94" s="120"/>
      <c r="F94" s="120"/>
      <c r="G94" s="120"/>
      <c r="H94" s="122" t="s">
        <v>153</v>
      </c>
      <c r="J94" s="2"/>
    </row>
    <row r="95" spans="1:10" ht="14.1" customHeight="1" x14ac:dyDescent="0.2">
      <c r="A95" s="120"/>
      <c r="B95" s="120"/>
      <c r="C95" s="121" t="s">
        <v>152</v>
      </c>
      <c r="D95" s="120"/>
      <c r="E95" s="120" t="s">
        <v>153</v>
      </c>
      <c r="F95" s="132" t="s">
        <v>155</v>
      </c>
      <c r="G95" s="129">
        <v>0</v>
      </c>
      <c r="H95" s="122" t="s">
        <v>153</v>
      </c>
      <c r="J95" s="2"/>
    </row>
    <row r="96" spans="1:10" ht="14.1" customHeight="1" x14ac:dyDescent="0.2">
      <c r="A96" s="120"/>
      <c r="B96" s="120"/>
      <c r="C96" s="130"/>
      <c r="D96" s="120"/>
      <c r="E96" s="120"/>
      <c r="F96" s="131"/>
      <c r="G96" s="131"/>
      <c r="H96" s="122" t="s">
        <v>153</v>
      </c>
      <c r="J96" s="2"/>
    </row>
    <row r="97" spans="1:10" ht="14.1" customHeight="1" x14ac:dyDescent="0.2">
      <c r="A97" s="120"/>
      <c r="B97" s="120"/>
      <c r="C97" s="121" t="s">
        <v>158</v>
      </c>
      <c r="D97" s="120"/>
      <c r="E97" s="120"/>
      <c r="F97" s="131"/>
      <c r="G97" s="131"/>
      <c r="H97" s="122" t="s">
        <v>153</v>
      </c>
      <c r="J97" s="2"/>
    </row>
    <row r="98" spans="1:10" ht="14.1" customHeight="1" x14ac:dyDescent="0.2">
      <c r="A98" s="120"/>
      <c r="B98" s="120"/>
      <c r="C98" s="121" t="s">
        <v>152</v>
      </c>
      <c r="D98" s="120"/>
      <c r="E98" s="120" t="s">
        <v>153</v>
      </c>
      <c r="F98" s="132" t="s">
        <v>155</v>
      </c>
      <c r="G98" s="129">
        <v>0</v>
      </c>
      <c r="H98" s="122" t="s">
        <v>153</v>
      </c>
      <c r="J98" s="2"/>
    </row>
    <row r="99" spans="1:10" ht="14.1" customHeight="1" x14ac:dyDescent="0.2">
      <c r="A99" s="120"/>
      <c r="B99" s="120"/>
      <c r="C99" s="130"/>
      <c r="D99" s="120"/>
      <c r="E99" s="120"/>
      <c r="F99" s="131"/>
      <c r="G99" s="131"/>
      <c r="H99" s="122" t="s">
        <v>153</v>
      </c>
      <c r="J99" s="2"/>
    </row>
    <row r="100" spans="1:10" ht="14.1" customHeight="1" x14ac:dyDescent="0.2">
      <c r="A100" s="120"/>
      <c r="B100" s="120"/>
      <c r="C100" s="121" t="s">
        <v>159</v>
      </c>
      <c r="D100" s="120"/>
      <c r="E100" s="120"/>
      <c r="F100" s="131"/>
      <c r="G100" s="131"/>
      <c r="H100" s="122" t="s">
        <v>153</v>
      </c>
      <c r="J100" s="2"/>
    </row>
    <row r="101" spans="1:10" ht="14.1" customHeight="1" x14ac:dyDescent="0.2">
      <c r="A101" s="120"/>
      <c r="B101" s="120"/>
      <c r="C101" s="121" t="s">
        <v>152</v>
      </c>
      <c r="D101" s="120"/>
      <c r="E101" s="120" t="s">
        <v>153</v>
      </c>
      <c r="F101" s="132" t="s">
        <v>155</v>
      </c>
      <c r="G101" s="129">
        <v>0</v>
      </c>
      <c r="H101" s="122" t="s">
        <v>153</v>
      </c>
      <c r="J101" s="2"/>
    </row>
    <row r="102" spans="1:10" ht="14.1" customHeight="1" x14ac:dyDescent="0.2">
      <c r="A102" s="120"/>
      <c r="B102" s="120"/>
      <c r="C102" s="130"/>
      <c r="D102" s="120"/>
      <c r="E102" s="120"/>
      <c r="F102" s="131"/>
      <c r="G102" s="131"/>
      <c r="H102" s="122" t="s">
        <v>153</v>
      </c>
      <c r="J102" s="2"/>
    </row>
    <row r="103" spans="1:10" ht="18" customHeight="1" x14ac:dyDescent="0.2">
      <c r="A103" s="120"/>
      <c r="B103" s="120"/>
      <c r="C103" s="121" t="s">
        <v>160</v>
      </c>
      <c r="D103" s="120"/>
      <c r="E103" s="120"/>
      <c r="F103" s="128">
        <v>681340.50300879998</v>
      </c>
      <c r="G103" s="129">
        <v>0.95565058000000003</v>
      </c>
      <c r="H103" s="122" t="s">
        <v>153</v>
      </c>
      <c r="J103" s="2"/>
    </row>
    <row r="104" spans="1:10" ht="14.1" customHeight="1" x14ac:dyDescent="0.2">
      <c r="A104" s="120"/>
      <c r="B104" s="120"/>
      <c r="C104" s="130"/>
      <c r="D104" s="120"/>
      <c r="E104" s="120"/>
      <c r="F104" s="131"/>
      <c r="G104" s="131"/>
      <c r="H104" s="122" t="s">
        <v>153</v>
      </c>
      <c r="J104" s="2"/>
    </row>
    <row r="105" spans="1:10" ht="14.1" customHeight="1" x14ac:dyDescent="0.2">
      <c r="A105" s="120"/>
      <c r="B105" s="120"/>
      <c r="C105" s="121" t="s">
        <v>161</v>
      </c>
      <c r="D105" s="120"/>
      <c r="E105" s="120"/>
      <c r="F105" s="131"/>
      <c r="G105" s="131"/>
      <c r="H105" s="122" t="s">
        <v>153</v>
      </c>
      <c r="J105" s="2"/>
    </row>
    <row r="106" spans="1:10" ht="24" customHeight="1" x14ac:dyDescent="0.2">
      <c r="A106" s="120"/>
      <c r="B106" s="120"/>
      <c r="C106" s="121" t="s">
        <v>10</v>
      </c>
      <c r="D106" s="120"/>
      <c r="E106" s="120"/>
      <c r="F106" s="131"/>
      <c r="G106" s="131"/>
      <c r="H106" s="122" t="s">
        <v>153</v>
      </c>
      <c r="J106" s="2"/>
    </row>
    <row r="107" spans="1:10" ht="14.1" customHeight="1" x14ac:dyDescent="0.2">
      <c r="A107" s="120"/>
      <c r="B107" s="120"/>
      <c r="C107" s="121" t="s">
        <v>152</v>
      </c>
      <c r="D107" s="120"/>
      <c r="E107" s="120" t="s">
        <v>153</v>
      </c>
      <c r="F107" s="132" t="s">
        <v>155</v>
      </c>
      <c r="G107" s="129">
        <v>0</v>
      </c>
      <c r="H107" s="122" t="s">
        <v>153</v>
      </c>
      <c r="J107" s="2"/>
    </row>
    <row r="108" spans="1:10" ht="14.1" customHeight="1" x14ac:dyDescent="0.2">
      <c r="A108" s="120"/>
      <c r="B108" s="120"/>
      <c r="C108" s="130"/>
      <c r="D108" s="120"/>
      <c r="E108" s="120"/>
      <c r="F108" s="131"/>
      <c r="G108" s="131"/>
      <c r="H108" s="122" t="s">
        <v>153</v>
      </c>
      <c r="J108" s="2"/>
    </row>
    <row r="109" spans="1:10" ht="14.1" customHeight="1" x14ac:dyDescent="0.2">
      <c r="A109" s="120"/>
      <c r="B109" s="120"/>
      <c r="C109" s="121" t="s">
        <v>162</v>
      </c>
      <c r="D109" s="120"/>
      <c r="E109" s="120"/>
      <c r="F109" s="120"/>
      <c r="G109" s="120"/>
      <c r="H109" s="122" t="s">
        <v>153</v>
      </c>
      <c r="J109" s="2"/>
    </row>
    <row r="110" spans="1:10" ht="14.1" customHeight="1" x14ac:dyDescent="0.2">
      <c r="A110" s="120"/>
      <c r="B110" s="120"/>
      <c r="C110" s="121" t="s">
        <v>152</v>
      </c>
      <c r="D110" s="120"/>
      <c r="E110" s="120" t="s">
        <v>153</v>
      </c>
      <c r="F110" s="132" t="s">
        <v>155</v>
      </c>
      <c r="G110" s="129">
        <v>0</v>
      </c>
      <c r="H110" s="122" t="s">
        <v>153</v>
      </c>
      <c r="J110" s="2"/>
    </row>
    <row r="111" spans="1:10" ht="14.1" customHeight="1" x14ac:dyDescent="0.2">
      <c r="A111" s="120"/>
      <c r="B111" s="120"/>
      <c r="C111" s="130"/>
      <c r="D111" s="120"/>
      <c r="E111" s="120"/>
      <c r="F111" s="131"/>
      <c r="G111" s="131"/>
      <c r="H111" s="122" t="s">
        <v>153</v>
      </c>
      <c r="J111" s="2"/>
    </row>
    <row r="112" spans="1:10" ht="14.1" customHeight="1" x14ac:dyDescent="0.2">
      <c r="A112" s="120"/>
      <c r="B112" s="120"/>
      <c r="C112" s="121" t="s">
        <v>163</v>
      </c>
      <c r="D112" s="120"/>
      <c r="E112" s="120"/>
      <c r="F112" s="120"/>
      <c r="G112" s="120"/>
      <c r="H112" s="122" t="s">
        <v>153</v>
      </c>
      <c r="J112" s="2"/>
    </row>
    <row r="113" spans="1:10" ht="14.1" customHeight="1" x14ac:dyDescent="0.2">
      <c r="A113" s="120"/>
      <c r="B113" s="120"/>
      <c r="C113" s="121" t="s">
        <v>152</v>
      </c>
      <c r="D113" s="120"/>
      <c r="E113" s="120" t="s">
        <v>153</v>
      </c>
      <c r="F113" s="132" t="s">
        <v>155</v>
      </c>
      <c r="G113" s="129">
        <v>0</v>
      </c>
      <c r="H113" s="122" t="s">
        <v>153</v>
      </c>
      <c r="J113" s="2"/>
    </row>
    <row r="114" spans="1:10" ht="14.1" customHeight="1" x14ac:dyDescent="0.2">
      <c r="A114" s="120"/>
      <c r="B114" s="120"/>
      <c r="C114" s="130"/>
      <c r="D114" s="120"/>
      <c r="E114" s="120"/>
      <c r="F114" s="131"/>
      <c r="G114" s="131"/>
      <c r="H114" s="122" t="s">
        <v>153</v>
      </c>
      <c r="J114" s="2"/>
    </row>
    <row r="115" spans="1:10" ht="14.1" customHeight="1" x14ac:dyDescent="0.2">
      <c r="A115" s="120"/>
      <c r="B115" s="120"/>
      <c r="C115" s="121" t="s">
        <v>164</v>
      </c>
      <c r="D115" s="120"/>
      <c r="E115" s="120"/>
      <c r="F115" s="131"/>
      <c r="G115" s="131"/>
      <c r="H115" s="122" t="s">
        <v>153</v>
      </c>
      <c r="J115" s="2"/>
    </row>
    <row r="116" spans="1:10" ht="14.1" customHeight="1" x14ac:dyDescent="0.2">
      <c r="A116" s="120"/>
      <c r="B116" s="120"/>
      <c r="C116" s="121" t="s">
        <v>152</v>
      </c>
      <c r="D116" s="120"/>
      <c r="E116" s="120" t="s">
        <v>153</v>
      </c>
      <c r="F116" s="132" t="s">
        <v>155</v>
      </c>
      <c r="G116" s="129">
        <v>0</v>
      </c>
      <c r="H116" s="122" t="s">
        <v>153</v>
      </c>
      <c r="J116" s="2"/>
    </row>
    <row r="117" spans="1:10" ht="14.1" customHeight="1" x14ac:dyDescent="0.2">
      <c r="A117" s="120"/>
      <c r="B117" s="120"/>
      <c r="C117" s="130"/>
      <c r="D117" s="120"/>
      <c r="E117" s="120"/>
      <c r="F117" s="131"/>
      <c r="G117" s="131"/>
      <c r="H117" s="122" t="s">
        <v>153</v>
      </c>
      <c r="J117" s="2"/>
    </row>
    <row r="118" spans="1:10" ht="14.1" customHeight="1" x14ac:dyDescent="0.2">
      <c r="A118" s="120"/>
      <c r="B118" s="120"/>
      <c r="C118" s="121" t="s">
        <v>165</v>
      </c>
      <c r="D118" s="120"/>
      <c r="E118" s="120"/>
      <c r="F118" s="128">
        <v>0</v>
      </c>
      <c r="G118" s="129">
        <v>0</v>
      </c>
      <c r="H118" s="122" t="s">
        <v>153</v>
      </c>
      <c r="J118" s="2"/>
    </row>
    <row r="119" spans="1:10" ht="14.1" customHeight="1" x14ac:dyDescent="0.2">
      <c r="A119" s="120"/>
      <c r="B119" s="120"/>
      <c r="C119" s="130"/>
      <c r="D119" s="120"/>
      <c r="E119" s="120"/>
      <c r="F119" s="131"/>
      <c r="G119" s="131"/>
      <c r="H119" s="122" t="s">
        <v>153</v>
      </c>
      <c r="J119" s="2"/>
    </row>
    <row r="120" spans="1:10" ht="14.1" customHeight="1" x14ac:dyDescent="0.2">
      <c r="A120" s="120"/>
      <c r="B120" s="120"/>
      <c r="C120" s="121" t="s">
        <v>166</v>
      </c>
      <c r="D120" s="120"/>
      <c r="E120" s="120"/>
      <c r="F120" s="131"/>
      <c r="G120" s="131"/>
      <c r="H120" s="122" t="s">
        <v>153</v>
      </c>
      <c r="J120" s="2"/>
    </row>
    <row r="121" spans="1:10" ht="14.1" customHeight="1" x14ac:dyDescent="0.2">
      <c r="A121" s="120"/>
      <c r="B121" s="120"/>
      <c r="C121" s="121" t="s">
        <v>167</v>
      </c>
      <c r="D121" s="120"/>
      <c r="E121" s="120"/>
      <c r="F121" s="131"/>
      <c r="G121" s="131"/>
      <c r="H121" s="122" t="s">
        <v>153</v>
      </c>
      <c r="J121" s="2"/>
    </row>
    <row r="122" spans="1:10" ht="14.1" customHeight="1" x14ac:dyDescent="0.2">
      <c r="A122" s="120"/>
      <c r="B122" s="120"/>
      <c r="C122" s="121" t="s">
        <v>152</v>
      </c>
      <c r="D122" s="120"/>
      <c r="E122" s="120" t="s">
        <v>153</v>
      </c>
      <c r="F122" s="132" t="s">
        <v>155</v>
      </c>
      <c r="G122" s="129">
        <v>0</v>
      </c>
      <c r="H122" s="122" t="s">
        <v>153</v>
      </c>
      <c r="J122" s="2"/>
    </row>
    <row r="123" spans="1:10" ht="14.1" customHeight="1" x14ac:dyDescent="0.2">
      <c r="A123" s="120"/>
      <c r="B123" s="120"/>
      <c r="C123" s="130"/>
      <c r="D123" s="120"/>
      <c r="E123" s="120"/>
      <c r="F123" s="131"/>
      <c r="G123" s="131"/>
      <c r="H123" s="122" t="s">
        <v>153</v>
      </c>
      <c r="J123" s="2"/>
    </row>
    <row r="124" spans="1:10" ht="14.1" customHeight="1" x14ac:dyDescent="0.2">
      <c r="A124" s="120"/>
      <c r="B124" s="120"/>
      <c r="C124" s="121" t="s">
        <v>168</v>
      </c>
      <c r="D124" s="120"/>
      <c r="E124" s="120"/>
      <c r="F124" s="131"/>
      <c r="G124" s="131"/>
      <c r="H124" s="122" t="s">
        <v>153</v>
      </c>
      <c r="J124" s="2"/>
    </row>
    <row r="125" spans="1:10" ht="14.1" customHeight="1" x14ac:dyDescent="0.2">
      <c r="A125" s="120"/>
      <c r="B125" s="120"/>
      <c r="C125" s="121" t="s">
        <v>152</v>
      </c>
      <c r="D125" s="120"/>
      <c r="E125" s="120" t="s">
        <v>153</v>
      </c>
      <c r="F125" s="132" t="s">
        <v>155</v>
      </c>
      <c r="G125" s="129">
        <v>0</v>
      </c>
      <c r="H125" s="122" t="s">
        <v>153</v>
      </c>
      <c r="J125" s="2"/>
    </row>
    <row r="126" spans="1:10" ht="14.1" customHeight="1" x14ac:dyDescent="0.2">
      <c r="A126" s="120"/>
      <c r="B126" s="120"/>
      <c r="C126" s="130"/>
      <c r="D126" s="120"/>
      <c r="E126" s="120"/>
      <c r="F126" s="131"/>
      <c r="G126" s="131"/>
      <c r="H126" s="122" t="s">
        <v>153</v>
      </c>
      <c r="J126" s="2"/>
    </row>
    <row r="127" spans="1:10" ht="14.1" customHeight="1" x14ac:dyDescent="0.2">
      <c r="A127" s="120"/>
      <c r="B127" s="120"/>
      <c r="C127" s="121" t="s">
        <v>169</v>
      </c>
      <c r="D127" s="120"/>
      <c r="E127" s="120"/>
      <c r="F127" s="131"/>
      <c r="G127" s="131"/>
      <c r="H127" s="122" t="s">
        <v>153</v>
      </c>
      <c r="J127" s="2"/>
    </row>
    <row r="128" spans="1:10" ht="14.1" customHeight="1" x14ac:dyDescent="0.2">
      <c r="A128" s="120"/>
      <c r="B128" s="120"/>
      <c r="C128" s="121" t="s">
        <v>152</v>
      </c>
      <c r="D128" s="120"/>
      <c r="E128" s="120" t="s">
        <v>153</v>
      </c>
      <c r="F128" s="132" t="s">
        <v>155</v>
      </c>
      <c r="G128" s="129">
        <v>0</v>
      </c>
      <c r="H128" s="122" t="s">
        <v>153</v>
      </c>
      <c r="J128" s="2"/>
    </row>
    <row r="129" spans="1:10" ht="14.1" customHeight="1" x14ac:dyDescent="0.2">
      <c r="A129" s="120"/>
      <c r="B129" s="120"/>
      <c r="C129" s="130"/>
      <c r="D129" s="120"/>
      <c r="E129" s="120"/>
      <c r="F129" s="131"/>
      <c r="G129" s="131"/>
      <c r="H129" s="122" t="s">
        <v>153</v>
      </c>
      <c r="J129" s="2"/>
    </row>
    <row r="130" spans="1:10" ht="14.1" customHeight="1" x14ac:dyDescent="0.2">
      <c r="A130" s="120"/>
      <c r="B130" s="120"/>
      <c r="C130" s="121" t="s">
        <v>170</v>
      </c>
      <c r="D130" s="120"/>
      <c r="E130" s="120"/>
      <c r="F130" s="131"/>
      <c r="G130" s="131"/>
      <c r="H130" s="122" t="s">
        <v>153</v>
      </c>
      <c r="J130" s="2"/>
    </row>
    <row r="131" spans="1:10" ht="17.100000000000001" customHeight="1" x14ac:dyDescent="0.2">
      <c r="A131" s="123">
        <v>1</v>
      </c>
      <c r="B131" s="124"/>
      <c r="C131" s="124" t="s">
        <v>171</v>
      </c>
      <c r="D131" s="124"/>
      <c r="E131" s="133"/>
      <c r="F131" s="126">
        <v>25006.252323722001</v>
      </c>
      <c r="G131" s="127">
        <v>3.5073859999999998E-2</v>
      </c>
      <c r="H131" s="122">
        <v>6.62</v>
      </c>
      <c r="J131" s="2"/>
    </row>
    <row r="132" spans="1:10" ht="14.1" customHeight="1" x14ac:dyDescent="0.2">
      <c r="A132" s="120"/>
      <c r="B132" s="120"/>
      <c r="C132" s="121" t="s">
        <v>152</v>
      </c>
      <c r="D132" s="120"/>
      <c r="E132" s="120" t="s">
        <v>153</v>
      </c>
      <c r="F132" s="128">
        <v>25006.252323722001</v>
      </c>
      <c r="G132" s="129">
        <v>3.5073859999999998E-2</v>
      </c>
      <c r="H132" s="122" t="s">
        <v>153</v>
      </c>
      <c r="J132" s="2"/>
    </row>
    <row r="133" spans="1:10" ht="14.1" customHeight="1" x14ac:dyDescent="0.2">
      <c r="A133" s="120"/>
      <c r="B133" s="120"/>
      <c r="C133" s="130"/>
      <c r="D133" s="120"/>
      <c r="E133" s="120"/>
      <c r="F133" s="131"/>
      <c r="G133" s="131"/>
      <c r="H133" s="122" t="s">
        <v>153</v>
      </c>
      <c r="J133" s="2"/>
    </row>
    <row r="134" spans="1:10" ht="14.1" customHeight="1" x14ac:dyDescent="0.2">
      <c r="A134" s="120"/>
      <c r="B134" s="120"/>
      <c r="C134" s="121" t="s">
        <v>172</v>
      </c>
      <c r="D134" s="120"/>
      <c r="E134" s="120"/>
      <c r="F134" s="128">
        <v>25006.252323722001</v>
      </c>
      <c r="G134" s="129">
        <v>3.5073859999999998E-2</v>
      </c>
      <c r="H134" s="122" t="s">
        <v>153</v>
      </c>
      <c r="J134" s="2"/>
    </row>
    <row r="135" spans="1:10" ht="14.1" customHeight="1" x14ac:dyDescent="0.2">
      <c r="A135" s="120"/>
      <c r="B135" s="120"/>
      <c r="C135" s="131"/>
      <c r="D135" s="120"/>
      <c r="E135" s="120"/>
      <c r="F135" s="120"/>
      <c r="G135" s="120"/>
      <c r="H135" s="122" t="s">
        <v>153</v>
      </c>
      <c r="J135" s="2"/>
    </row>
    <row r="136" spans="1:10" ht="14.1" customHeight="1" x14ac:dyDescent="0.2">
      <c r="A136" s="120"/>
      <c r="B136" s="120"/>
      <c r="C136" s="121" t="s">
        <v>173</v>
      </c>
      <c r="D136" s="120"/>
      <c r="E136" s="120"/>
      <c r="F136" s="120"/>
      <c r="G136" s="120"/>
      <c r="H136" s="122" t="s">
        <v>153</v>
      </c>
      <c r="J136" s="2"/>
    </row>
    <row r="137" spans="1:10" ht="14.1" customHeight="1" x14ac:dyDescent="0.2">
      <c r="A137" s="120"/>
      <c r="B137" s="120"/>
      <c r="C137" s="121" t="s">
        <v>174</v>
      </c>
      <c r="D137" s="120"/>
      <c r="E137" s="120"/>
      <c r="F137" s="120"/>
      <c r="G137" s="120"/>
      <c r="H137" s="122" t="s">
        <v>153</v>
      </c>
      <c r="J137" s="2"/>
    </row>
    <row r="138" spans="1:10" ht="14.1" customHeight="1" x14ac:dyDescent="0.2">
      <c r="A138" s="120"/>
      <c r="B138" s="120"/>
      <c r="C138" s="121" t="s">
        <v>152</v>
      </c>
      <c r="D138" s="120"/>
      <c r="E138" s="120" t="s">
        <v>153</v>
      </c>
      <c r="F138" s="132" t="s">
        <v>155</v>
      </c>
      <c r="G138" s="129">
        <v>0</v>
      </c>
      <c r="H138" s="122" t="s">
        <v>153</v>
      </c>
      <c r="J138" s="2"/>
    </row>
    <row r="139" spans="1:10" ht="14.1" customHeight="1" x14ac:dyDescent="0.2">
      <c r="A139" s="120"/>
      <c r="B139" s="120"/>
      <c r="C139" s="130"/>
      <c r="D139" s="120"/>
      <c r="E139" s="120"/>
      <c r="F139" s="131"/>
      <c r="G139" s="131"/>
      <c r="H139" s="122" t="s">
        <v>153</v>
      </c>
      <c r="J139" s="2"/>
    </row>
    <row r="140" spans="1:10" ht="14.1" customHeight="1" x14ac:dyDescent="0.2">
      <c r="A140" s="120"/>
      <c r="B140" s="120"/>
      <c r="C140" s="121" t="s">
        <v>175</v>
      </c>
      <c r="D140" s="120"/>
      <c r="E140" s="120"/>
      <c r="F140" s="120"/>
      <c r="G140" s="120"/>
      <c r="H140" s="122" t="s">
        <v>153</v>
      </c>
      <c r="J140" s="2"/>
    </row>
    <row r="141" spans="1:10" ht="14.1" customHeight="1" x14ac:dyDescent="0.2">
      <c r="A141" s="120"/>
      <c r="B141" s="120"/>
      <c r="C141" s="121" t="s">
        <v>176</v>
      </c>
      <c r="D141" s="120"/>
      <c r="E141" s="120"/>
      <c r="F141" s="120"/>
      <c r="G141" s="120"/>
      <c r="H141" s="122" t="s">
        <v>153</v>
      </c>
      <c r="J141" s="2"/>
    </row>
    <row r="142" spans="1:10" ht="14.1" customHeight="1" x14ac:dyDescent="0.2">
      <c r="A142" s="120"/>
      <c r="B142" s="120"/>
      <c r="C142" s="121" t="s">
        <v>152</v>
      </c>
      <c r="D142" s="120"/>
      <c r="E142" s="120" t="s">
        <v>153</v>
      </c>
      <c r="F142" s="132" t="s">
        <v>155</v>
      </c>
      <c r="G142" s="129">
        <v>0</v>
      </c>
      <c r="H142" s="122" t="s">
        <v>153</v>
      </c>
      <c r="J142" s="2"/>
    </row>
    <row r="143" spans="1:10" ht="14.1" customHeight="1" x14ac:dyDescent="0.2">
      <c r="A143" s="120"/>
      <c r="B143" s="120"/>
      <c r="C143" s="130"/>
      <c r="D143" s="120"/>
      <c r="E143" s="120"/>
      <c r="F143" s="131"/>
      <c r="G143" s="131"/>
      <c r="H143" s="122" t="s">
        <v>153</v>
      </c>
      <c r="J143" s="2"/>
    </row>
    <row r="144" spans="1:10" ht="24" customHeight="1" x14ac:dyDescent="0.2">
      <c r="A144" s="120"/>
      <c r="B144" s="120"/>
      <c r="C144" s="121" t="s">
        <v>177</v>
      </c>
      <c r="D144" s="120"/>
      <c r="E144" s="120"/>
      <c r="F144" s="131"/>
      <c r="G144" s="131"/>
      <c r="H144" s="122" t="s">
        <v>153</v>
      </c>
      <c r="J144" s="2"/>
    </row>
    <row r="145" spans="1:17" ht="14.1" customHeight="1" x14ac:dyDescent="0.2">
      <c r="A145" s="120"/>
      <c r="B145" s="120"/>
      <c r="C145" s="121" t="s">
        <v>152</v>
      </c>
      <c r="D145" s="120"/>
      <c r="E145" s="120" t="s">
        <v>153</v>
      </c>
      <c r="F145" s="132" t="s">
        <v>155</v>
      </c>
      <c r="G145" s="129">
        <v>0</v>
      </c>
      <c r="H145" s="122" t="s">
        <v>153</v>
      </c>
      <c r="J145" s="2"/>
    </row>
    <row r="146" spans="1:17" ht="14.1" customHeight="1" x14ac:dyDescent="0.2">
      <c r="A146" s="120"/>
      <c r="B146" s="124"/>
      <c r="C146" s="124"/>
      <c r="D146" s="121"/>
      <c r="E146" s="120"/>
      <c r="F146" s="124"/>
      <c r="G146" s="133"/>
      <c r="H146" s="122" t="s">
        <v>153</v>
      </c>
      <c r="J146" s="2"/>
    </row>
    <row r="147" spans="1:17" ht="18" customHeight="1" x14ac:dyDescent="0.2">
      <c r="A147" s="133"/>
      <c r="B147" s="124"/>
      <c r="C147" s="124" t="s">
        <v>178</v>
      </c>
      <c r="D147" s="124"/>
      <c r="E147" s="133"/>
      <c r="F147" s="126">
        <v>6613.1309848000001</v>
      </c>
      <c r="G147" s="127">
        <v>9.2756000000000002E-3</v>
      </c>
      <c r="H147" s="122" t="s">
        <v>153</v>
      </c>
      <c r="J147" s="2"/>
    </row>
    <row r="148" spans="1:17" ht="14.1" customHeight="1" x14ac:dyDescent="0.2">
      <c r="A148" s="130"/>
      <c r="B148" s="130"/>
      <c r="C148" s="121" t="s">
        <v>179</v>
      </c>
      <c r="D148" s="131"/>
      <c r="E148" s="131"/>
      <c r="F148" s="128">
        <v>712959.88631732203</v>
      </c>
      <c r="G148" s="134">
        <v>1.00000004</v>
      </c>
      <c r="H148" s="122" t="s">
        <v>153</v>
      </c>
      <c r="J148" s="2"/>
    </row>
    <row r="149" spans="1:17" ht="14.1" customHeight="1" x14ac:dyDescent="0.2">
      <c r="A149" s="135"/>
      <c r="B149" s="135"/>
      <c r="C149" s="135"/>
      <c r="D149" s="136"/>
      <c r="E149" s="136"/>
      <c r="F149" s="136"/>
      <c r="G149" s="136"/>
      <c r="J149" s="2"/>
    </row>
    <row r="150" spans="1:17" ht="12.75" customHeight="1" x14ac:dyDescent="0.2">
      <c r="A150" s="137"/>
      <c r="B150" s="226" t="s">
        <v>863</v>
      </c>
      <c r="C150" s="226"/>
      <c r="D150" s="226"/>
      <c r="E150" s="226"/>
      <c r="F150" s="226"/>
      <c r="G150" s="226"/>
      <c r="H150" s="226"/>
      <c r="J150" s="2"/>
    </row>
    <row r="151" spans="1:17" ht="14.1" customHeight="1" x14ac:dyDescent="0.2">
      <c r="A151" s="137"/>
      <c r="B151" s="226" t="s">
        <v>864</v>
      </c>
      <c r="C151" s="226"/>
      <c r="D151" s="226"/>
      <c r="E151" s="226"/>
      <c r="F151" s="226"/>
      <c r="G151" s="226"/>
      <c r="H151" s="226"/>
      <c r="J151" s="2"/>
    </row>
    <row r="152" spans="1:17" ht="17.100000000000001" customHeight="1" x14ac:dyDescent="0.2">
      <c r="A152" s="137"/>
      <c r="B152" s="226" t="s">
        <v>865</v>
      </c>
      <c r="C152" s="226"/>
      <c r="D152" s="226"/>
      <c r="E152" s="226"/>
      <c r="F152" s="226"/>
      <c r="G152" s="226"/>
      <c r="H152" s="226"/>
      <c r="J152" s="2"/>
    </row>
    <row r="153" spans="1:17" s="5" customFormat="1" ht="65.25" customHeight="1" x14ac:dyDescent="0.25">
      <c r="A153" s="139"/>
      <c r="B153" s="227" t="s">
        <v>866</v>
      </c>
      <c r="C153" s="227"/>
      <c r="D153" s="227"/>
      <c r="E153" s="227"/>
      <c r="F153" s="227"/>
      <c r="G153" s="227"/>
      <c r="H153" s="227"/>
      <c r="I153"/>
      <c r="J153" s="2"/>
      <c r="K153"/>
      <c r="L153"/>
      <c r="M153"/>
      <c r="N153"/>
      <c r="O153"/>
      <c r="P153"/>
      <c r="Q153"/>
    </row>
    <row r="154" spans="1:17" ht="12.75" customHeight="1" x14ac:dyDescent="0.2">
      <c r="A154" s="137"/>
      <c r="B154" s="226" t="s">
        <v>867</v>
      </c>
      <c r="C154" s="226"/>
      <c r="D154" s="226"/>
      <c r="E154" s="226"/>
      <c r="F154" s="226"/>
      <c r="G154" s="226"/>
      <c r="H154" s="226"/>
      <c r="J154" s="2"/>
    </row>
    <row r="155" spans="1:17" ht="14.1" customHeight="1" x14ac:dyDescent="0.2">
      <c r="A155" s="140"/>
      <c r="B155" s="140"/>
      <c r="C155" s="140"/>
      <c r="D155" s="141"/>
      <c r="E155" s="141"/>
      <c r="F155" s="141"/>
      <c r="G155" s="141"/>
      <c r="J155" s="2"/>
    </row>
    <row r="156" spans="1:17" ht="14.1" customHeight="1" x14ac:dyDescent="0.2">
      <c r="A156" s="140"/>
      <c r="B156" s="228" t="s">
        <v>180</v>
      </c>
      <c r="C156" s="229"/>
      <c r="D156" s="230"/>
      <c r="E156" s="142"/>
      <c r="F156" s="141"/>
      <c r="G156" s="141"/>
      <c r="J156" s="2"/>
    </row>
    <row r="157" spans="1:17" ht="29.1" customHeight="1" x14ac:dyDescent="0.2">
      <c r="A157" s="140"/>
      <c r="B157" s="223" t="s">
        <v>181</v>
      </c>
      <c r="C157" s="224"/>
      <c r="D157" s="121" t="s">
        <v>182</v>
      </c>
      <c r="E157" s="142"/>
      <c r="F157" s="141"/>
      <c r="G157" s="141"/>
      <c r="J157" s="2"/>
    </row>
    <row r="158" spans="1:17" ht="17.100000000000001" customHeight="1" x14ac:dyDescent="0.2">
      <c r="A158" s="140"/>
      <c r="B158" s="223" t="s">
        <v>183</v>
      </c>
      <c r="C158" s="224"/>
      <c r="D158" s="121" t="s">
        <v>182</v>
      </c>
      <c r="E158" s="142"/>
      <c r="F158" s="141"/>
      <c r="G158" s="141"/>
      <c r="J158" s="2"/>
    </row>
    <row r="159" spans="1:17" ht="17.100000000000001" customHeight="1" x14ac:dyDescent="0.2">
      <c r="A159" s="140"/>
      <c r="B159" s="223" t="s">
        <v>184</v>
      </c>
      <c r="C159" s="224"/>
      <c r="D159" s="131" t="s">
        <v>153</v>
      </c>
      <c r="E159" s="142"/>
      <c r="F159" s="141"/>
      <c r="G159" s="141"/>
      <c r="J159" s="2"/>
    </row>
    <row r="160" spans="1:17" x14ac:dyDescent="0.2">
      <c r="A160" s="144"/>
      <c r="B160" s="145" t="s">
        <v>153</v>
      </c>
      <c r="C160" s="145" t="s">
        <v>870</v>
      </c>
      <c r="D160" s="145" t="s">
        <v>185</v>
      </c>
      <c r="E160" s="144"/>
      <c r="F160" s="144"/>
      <c r="G160" s="144"/>
      <c r="H160" s="144"/>
      <c r="J160" s="2"/>
    </row>
    <row r="161" spans="1:10" x14ac:dyDescent="0.2">
      <c r="A161" s="146"/>
      <c r="B161" s="147" t="s">
        <v>186</v>
      </c>
      <c r="C161" s="148">
        <v>45504</v>
      </c>
      <c r="D161" s="149">
        <v>45535</v>
      </c>
      <c r="E161" s="146"/>
      <c r="F161" s="146"/>
      <c r="G161" s="146"/>
      <c r="J161" s="2"/>
    </row>
    <row r="162" spans="1:10" ht="17.100000000000001" customHeight="1" x14ac:dyDescent="0.2">
      <c r="A162" s="146"/>
      <c r="B162" s="124" t="s">
        <v>187</v>
      </c>
      <c r="C162" s="150">
        <v>95.266199999999998</v>
      </c>
      <c r="D162" s="150">
        <v>96.864199999999997</v>
      </c>
      <c r="E162" s="146"/>
      <c r="F162" s="151"/>
      <c r="G162" s="152"/>
      <c r="J162" s="2"/>
    </row>
    <row r="163" spans="1:10" ht="17.100000000000001" customHeight="1" x14ac:dyDescent="0.2">
      <c r="A163" s="146"/>
      <c r="B163" s="124" t="s">
        <v>926</v>
      </c>
      <c r="C163" s="150">
        <v>38.045699999999997</v>
      </c>
      <c r="D163" s="150">
        <v>38.683799999999998</v>
      </c>
      <c r="E163" s="146"/>
      <c r="F163" s="151"/>
      <c r="G163" s="152"/>
      <c r="J163" s="2"/>
    </row>
    <row r="164" spans="1:10" ht="17.100000000000001" customHeight="1" x14ac:dyDescent="0.2">
      <c r="A164" s="146"/>
      <c r="B164" s="124" t="s">
        <v>188</v>
      </c>
      <c r="C164" s="150">
        <v>85.554699999999997</v>
      </c>
      <c r="D164" s="150">
        <v>86.910700000000006</v>
      </c>
      <c r="E164" s="146"/>
      <c r="F164" s="151"/>
      <c r="G164" s="152"/>
      <c r="J164" s="2"/>
    </row>
    <row r="165" spans="1:10" ht="17.100000000000001" customHeight="1" x14ac:dyDescent="0.2">
      <c r="A165" s="146"/>
      <c r="B165" s="124" t="s">
        <v>927</v>
      </c>
      <c r="C165" s="150">
        <v>33.4465</v>
      </c>
      <c r="D165" s="150">
        <v>33.976599999999998</v>
      </c>
      <c r="E165" s="146"/>
      <c r="F165" s="151"/>
      <c r="G165" s="152"/>
      <c r="J165" s="2"/>
    </row>
    <row r="166" spans="1:10" ht="14.1" customHeight="1" x14ac:dyDescent="0.2">
      <c r="A166" s="146"/>
      <c r="B166" s="146"/>
      <c r="C166" s="146"/>
      <c r="D166" s="146"/>
      <c r="E166" s="146"/>
      <c r="F166" s="146"/>
      <c r="G166" s="146"/>
      <c r="J166" s="2"/>
    </row>
    <row r="167" spans="1:10" x14ac:dyDescent="0.2">
      <c r="A167" s="146"/>
      <c r="B167" s="223" t="s">
        <v>869</v>
      </c>
      <c r="C167" s="224"/>
      <c r="D167" s="121" t="s">
        <v>182</v>
      </c>
      <c r="E167" s="146"/>
      <c r="F167" s="146"/>
      <c r="G167" s="146"/>
      <c r="J167" s="2"/>
    </row>
    <row r="168" spans="1:10" x14ac:dyDescent="0.2">
      <c r="A168" s="146"/>
      <c r="B168" s="151"/>
      <c r="C168" s="151"/>
      <c r="D168" s="146"/>
      <c r="E168" s="146"/>
      <c r="F168" s="146"/>
      <c r="G168" s="146"/>
      <c r="J168" s="2"/>
    </row>
    <row r="169" spans="1:10" x14ac:dyDescent="0.2">
      <c r="A169" s="146"/>
      <c r="B169" s="223" t="s">
        <v>189</v>
      </c>
      <c r="C169" s="224"/>
      <c r="D169" s="121" t="s">
        <v>182</v>
      </c>
      <c r="E169" s="164"/>
      <c r="F169" s="146"/>
      <c r="G169" s="146"/>
      <c r="J169" s="2"/>
    </row>
    <row r="170" spans="1:10" x14ac:dyDescent="0.2">
      <c r="A170" s="146"/>
      <c r="B170" s="223" t="s">
        <v>190</v>
      </c>
      <c r="C170" s="224"/>
      <c r="D170" s="121" t="s">
        <v>182</v>
      </c>
      <c r="E170" s="164"/>
      <c r="F170" s="146"/>
      <c r="G170" s="146"/>
      <c r="J170" s="2"/>
    </row>
    <row r="171" spans="1:10" x14ac:dyDescent="0.2">
      <c r="A171" s="146"/>
      <c r="B171" s="223" t="s">
        <v>191</v>
      </c>
      <c r="C171" s="224"/>
      <c r="D171" s="121" t="s">
        <v>182</v>
      </c>
      <c r="E171" s="164"/>
      <c r="F171" s="146"/>
      <c r="G171" s="146"/>
      <c r="J171" s="2"/>
    </row>
    <row r="172" spans="1:10" x14ac:dyDescent="0.2">
      <c r="A172" s="146"/>
      <c r="B172" s="223" t="s">
        <v>192</v>
      </c>
      <c r="C172" s="224"/>
      <c r="D172" s="165">
        <v>0.33794118249558952</v>
      </c>
      <c r="E172" s="146"/>
      <c r="F172" s="151"/>
      <c r="G172" s="152"/>
      <c r="J172" s="2"/>
    </row>
    <row r="173" spans="1:10" x14ac:dyDescent="0.2">
      <c r="J173" s="2"/>
    </row>
    <row r="174" spans="1:10" x14ac:dyDescent="0.2">
      <c r="J174" s="2"/>
    </row>
    <row r="175" spans="1:10" x14ac:dyDescent="0.2">
      <c r="J175" s="2"/>
    </row>
    <row r="176" spans="1:10" x14ac:dyDescent="0.2">
      <c r="J176" s="2"/>
    </row>
    <row r="177" spans="10:10" x14ac:dyDescent="0.2">
      <c r="J177" s="2"/>
    </row>
    <row r="178" spans="10:10" x14ac:dyDescent="0.2">
      <c r="J178" s="2"/>
    </row>
    <row r="179" spans="10:10" x14ac:dyDescent="0.2">
      <c r="J179" s="2"/>
    </row>
  </sheetData>
  <mergeCells count="17">
    <mergeCell ref="B157:C157"/>
    <mergeCell ref="A1:H1"/>
    <mergeCell ref="A2:H2"/>
    <mergeCell ref="A3:H3"/>
    <mergeCell ref="B150:H150"/>
    <mergeCell ref="B151:H151"/>
    <mergeCell ref="B152:H152"/>
    <mergeCell ref="B153:H153"/>
    <mergeCell ref="B154:H154"/>
    <mergeCell ref="B156:D156"/>
    <mergeCell ref="B158:C158"/>
    <mergeCell ref="B159:C159"/>
    <mergeCell ref="B167:C167"/>
    <mergeCell ref="B171:C171"/>
    <mergeCell ref="B172:C172"/>
    <mergeCell ref="B169:C169"/>
    <mergeCell ref="B170:C170"/>
  </mergeCells>
  <hyperlinks>
    <hyperlink ref="I1" location="Index!B5" display="Index" xr:uid="{5D2DA833-5D14-4DA7-A83F-126B0B7D57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0393C-F421-45F8-AD99-E9E066C6EEEC}">
  <sheetPr>
    <outlinePr summaryBelow="0" summaryRight="0"/>
  </sheetPr>
  <dimension ref="A1:Q13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408</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ht="25.5" x14ac:dyDescent="0.2">
      <c r="A6" s="120"/>
      <c r="B6" s="120"/>
      <c r="C6" s="121" t="s">
        <v>10</v>
      </c>
      <c r="D6" s="120"/>
      <c r="E6" s="120"/>
      <c r="F6" s="120"/>
      <c r="G6" s="120"/>
      <c r="H6" s="122" t="s">
        <v>153</v>
      </c>
      <c r="J6" s="2"/>
    </row>
    <row r="7" spans="1:10" x14ac:dyDescent="0.2">
      <c r="A7" s="123">
        <v>1</v>
      </c>
      <c r="B7" s="124" t="s">
        <v>363</v>
      </c>
      <c r="C7" s="124" t="s">
        <v>364</v>
      </c>
      <c r="D7" s="124" t="s">
        <v>239</v>
      </c>
      <c r="E7" s="125">
        <v>4353</v>
      </c>
      <c r="F7" s="126">
        <v>225.60728399999999</v>
      </c>
      <c r="G7" s="127">
        <v>5.7855509999999999E-2</v>
      </c>
      <c r="H7" s="122" t="s">
        <v>153</v>
      </c>
      <c r="J7" s="2"/>
    </row>
    <row r="8" spans="1:10" x14ac:dyDescent="0.2">
      <c r="A8" s="123">
        <v>2</v>
      </c>
      <c r="B8" s="124" t="s">
        <v>77</v>
      </c>
      <c r="C8" s="124" t="s">
        <v>78</v>
      </c>
      <c r="D8" s="124" t="s">
        <v>35</v>
      </c>
      <c r="E8" s="125">
        <v>4013</v>
      </c>
      <c r="F8" s="126">
        <v>184.991274</v>
      </c>
      <c r="G8" s="127">
        <v>4.7439799999999997E-2</v>
      </c>
      <c r="H8" s="122" t="s">
        <v>153</v>
      </c>
      <c r="J8" s="2"/>
    </row>
    <row r="9" spans="1:10" x14ac:dyDescent="0.2">
      <c r="A9" s="123">
        <v>3</v>
      </c>
      <c r="B9" s="124" t="s">
        <v>409</v>
      </c>
      <c r="C9" s="124" t="s">
        <v>410</v>
      </c>
      <c r="D9" s="124" t="s">
        <v>45</v>
      </c>
      <c r="E9" s="125">
        <v>7210</v>
      </c>
      <c r="F9" s="126">
        <v>178.53402</v>
      </c>
      <c r="G9" s="127">
        <v>4.5783879999999999E-2</v>
      </c>
      <c r="H9" s="122" t="s">
        <v>153</v>
      </c>
      <c r="J9" s="2"/>
    </row>
    <row r="10" spans="1:10" x14ac:dyDescent="0.2">
      <c r="A10" s="123">
        <v>4</v>
      </c>
      <c r="B10" s="124" t="s">
        <v>33</v>
      </c>
      <c r="C10" s="124" t="s">
        <v>34</v>
      </c>
      <c r="D10" s="124" t="s">
        <v>35</v>
      </c>
      <c r="E10" s="125">
        <v>18540</v>
      </c>
      <c r="F10" s="126">
        <v>172.1439</v>
      </c>
      <c r="G10" s="127">
        <v>4.4145179999999999E-2</v>
      </c>
      <c r="H10" s="122" t="s">
        <v>153</v>
      </c>
      <c r="J10" s="2"/>
    </row>
    <row r="11" spans="1:10" x14ac:dyDescent="0.2">
      <c r="A11" s="123">
        <v>5</v>
      </c>
      <c r="B11" s="124" t="s">
        <v>145</v>
      </c>
      <c r="C11" s="124" t="s">
        <v>146</v>
      </c>
      <c r="D11" s="124" t="s">
        <v>45</v>
      </c>
      <c r="E11" s="125">
        <v>43192</v>
      </c>
      <c r="F11" s="126">
        <v>170.78116800000001</v>
      </c>
      <c r="G11" s="127">
        <v>4.3795720000000003E-2</v>
      </c>
      <c r="H11" s="122" t="s">
        <v>153</v>
      </c>
      <c r="J11" s="2"/>
    </row>
    <row r="12" spans="1:10" ht="15" x14ac:dyDescent="0.2">
      <c r="A12" s="123">
        <v>6</v>
      </c>
      <c r="B12" s="124" t="s">
        <v>223</v>
      </c>
      <c r="C12" s="124" t="s">
        <v>224</v>
      </c>
      <c r="D12" s="124" t="s">
        <v>89</v>
      </c>
      <c r="E12" s="125">
        <v>1151</v>
      </c>
      <c r="F12" s="126">
        <v>160.55298999999999</v>
      </c>
      <c r="G12" s="127">
        <v>4.1172769999999997E-2</v>
      </c>
      <c r="H12" s="122" t="s">
        <v>153</v>
      </c>
      <c r="J12" s="7"/>
    </row>
    <row r="13" spans="1:10" x14ac:dyDescent="0.2">
      <c r="A13" s="123">
        <v>7</v>
      </c>
      <c r="B13" s="124" t="s">
        <v>401</v>
      </c>
      <c r="C13" s="124" t="s">
        <v>402</v>
      </c>
      <c r="D13" s="124" t="s">
        <v>403</v>
      </c>
      <c r="E13" s="125">
        <v>9566</v>
      </c>
      <c r="F13" s="126">
        <v>156.078856</v>
      </c>
      <c r="G13" s="127">
        <v>4.0025400000000003E-2</v>
      </c>
      <c r="H13" s="122" t="s">
        <v>153</v>
      </c>
    </row>
    <row r="14" spans="1:10" x14ac:dyDescent="0.2">
      <c r="A14" s="123">
        <v>8</v>
      </c>
      <c r="B14" s="124" t="s">
        <v>411</v>
      </c>
      <c r="C14" s="124" t="s">
        <v>412</v>
      </c>
      <c r="D14" s="124" t="s">
        <v>236</v>
      </c>
      <c r="E14" s="125">
        <v>8970</v>
      </c>
      <c r="F14" s="126">
        <v>149.58820499999999</v>
      </c>
      <c r="G14" s="127">
        <v>3.836092E-2</v>
      </c>
      <c r="H14" s="122" t="s">
        <v>153</v>
      </c>
      <c r="J14" s="2"/>
    </row>
    <row r="15" spans="1:10" x14ac:dyDescent="0.2">
      <c r="A15" s="123">
        <v>9</v>
      </c>
      <c r="B15" s="124" t="s">
        <v>413</v>
      </c>
      <c r="C15" s="124" t="s">
        <v>414</v>
      </c>
      <c r="D15" s="124" t="s">
        <v>216</v>
      </c>
      <c r="E15" s="125">
        <v>31964</v>
      </c>
      <c r="F15" s="126">
        <v>129.99758800000001</v>
      </c>
      <c r="G15" s="127">
        <v>3.3337029999999997E-2</v>
      </c>
      <c r="H15" s="122" t="s">
        <v>153</v>
      </c>
      <c r="J15" s="2"/>
    </row>
    <row r="16" spans="1:10" x14ac:dyDescent="0.2">
      <c r="A16" s="123">
        <v>10</v>
      </c>
      <c r="B16" s="124" t="s">
        <v>415</v>
      </c>
      <c r="C16" s="124" t="s">
        <v>416</v>
      </c>
      <c r="D16" s="124" t="s">
        <v>48</v>
      </c>
      <c r="E16" s="125">
        <v>149355</v>
      </c>
      <c r="F16" s="126">
        <v>121.4405505</v>
      </c>
      <c r="G16" s="127">
        <v>3.1142639999999999E-2</v>
      </c>
      <c r="H16" s="122" t="s">
        <v>153</v>
      </c>
      <c r="J16" s="2"/>
    </row>
    <row r="17" spans="1:10" x14ac:dyDescent="0.2">
      <c r="A17" s="123">
        <v>11</v>
      </c>
      <c r="B17" s="124" t="s">
        <v>417</v>
      </c>
      <c r="C17" s="124" t="s">
        <v>418</v>
      </c>
      <c r="D17" s="124" t="s">
        <v>48</v>
      </c>
      <c r="E17" s="125">
        <v>268914</v>
      </c>
      <c r="F17" s="126">
        <v>118.0801374</v>
      </c>
      <c r="G17" s="127">
        <v>3.028088E-2</v>
      </c>
      <c r="H17" s="122" t="s">
        <v>153</v>
      </c>
      <c r="J17" s="2" t="s">
        <v>922</v>
      </c>
    </row>
    <row r="18" spans="1:10" x14ac:dyDescent="0.2">
      <c r="A18" s="123">
        <v>12</v>
      </c>
      <c r="B18" s="124" t="s">
        <v>419</v>
      </c>
      <c r="C18" s="124" t="s">
        <v>420</v>
      </c>
      <c r="D18" s="124" t="s">
        <v>211</v>
      </c>
      <c r="E18" s="125">
        <v>14636</v>
      </c>
      <c r="F18" s="126">
        <v>107.96245399999999</v>
      </c>
      <c r="G18" s="127">
        <v>2.7686269999999999E-2</v>
      </c>
      <c r="H18" s="122" t="s">
        <v>153</v>
      </c>
      <c r="J18" s="2"/>
    </row>
    <row r="19" spans="1:10" x14ac:dyDescent="0.2">
      <c r="A19" s="123">
        <v>13</v>
      </c>
      <c r="B19" s="124" t="s">
        <v>421</v>
      </c>
      <c r="C19" s="124" t="s">
        <v>422</v>
      </c>
      <c r="D19" s="124" t="s">
        <v>48</v>
      </c>
      <c r="E19" s="125">
        <v>33313</v>
      </c>
      <c r="F19" s="126">
        <v>107.8175245</v>
      </c>
      <c r="G19" s="127">
        <v>2.7649099999999999E-2</v>
      </c>
      <c r="H19" s="122" t="s">
        <v>153</v>
      </c>
      <c r="J19" s="2"/>
    </row>
    <row r="20" spans="1:10" x14ac:dyDescent="0.2">
      <c r="A20" s="123">
        <v>14</v>
      </c>
      <c r="B20" s="124" t="s">
        <v>423</v>
      </c>
      <c r="C20" s="124" t="s">
        <v>424</v>
      </c>
      <c r="D20" s="124" t="s">
        <v>35</v>
      </c>
      <c r="E20" s="125">
        <v>8019</v>
      </c>
      <c r="F20" s="126">
        <v>105.3656505</v>
      </c>
      <c r="G20" s="127">
        <v>2.7020329999999999E-2</v>
      </c>
      <c r="H20" s="122" t="s">
        <v>153</v>
      </c>
      <c r="J20" s="2"/>
    </row>
    <row r="21" spans="1:10" ht="25.5" x14ac:dyDescent="0.2">
      <c r="A21" s="123">
        <v>15</v>
      </c>
      <c r="B21" s="124" t="s">
        <v>425</v>
      </c>
      <c r="C21" s="124" t="s">
        <v>426</v>
      </c>
      <c r="D21" s="124" t="s">
        <v>208</v>
      </c>
      <c r="E21" s="125">
        <v>5362</v>
      </c>
      <c r="F21" s="126">
        <v>104.762756</v>
      </c>
      <c r="G21" s="127">
        <v>2.6865719999999999E-2</v>
      </c>
      <c r="H21" s="122" t="s">
        <v>153</v>
      </c>
      <c r="J21" s="2"/>
    </row>
    <row r="22" spans="1:10" ht="15" x14ac:dyDescent="0.2">
      <c r="A22" s="123">
        <v>16</v>
      </c>
      <c r="B22" s="124" t="s">
        <v>427</v>
      </c>
      <c r="C22" s="124" t="s">
        <v>428</v>
      </c>
      <c r="D22" s="124" t="s">
        <v>429</v>
      </c>
      <c r="E22" s="125">
        <v>6861</v>
      </c>
      <c r="F22" s="126">
        <v>103.9132755</v>
      </c>
      <c r="G22" s="127">
        <v>2.6647879999999999E-2</v>
      </c>
      <c r="H22" s="122" t="s">
        <v>153</v>
      </c>
      <c r="J22" s="7"/>
    </row>
    <row r="23" spans="1:10" ht="25.5" x14ac:dyDescent="0.2">
      <c r="A23" s="123">
        <v>17</v>
      </c>
      <c r="B23" s="124" t="s">
        <v>324</v>
      </c>
      <c r="C23" s="124" t="s">
        <v>325</v>
      </c>
      <c r="D23" s="124" t="s">
        <v>250</v>
      </c>
      <c r="E23" s="125">
        <v>2940</v>
      </c>
      <c r="F23" s="126">
        <v>96.97296</v>
      </c>
      <c r="G23" s="127">
        <v>2.4868080000000001E-2</v>
      </c>
      <c r="H23" s="122" t="s">
        <v>153</v>
      </c>
      <c r="J23" s="2"/>
    </row>
    <row r="24" spans="1:10" x14ac:dyDescent="0.2">
      <c r="A24" s="123">
        <v>18</v>
      </c>
      <c r="B24" s="124" t="s">
        <v>430</v>
      </c>
      <c r="C24" s="124" t="s">
        <v>431</v>
      </c>
      <c r="D24" s="124" t="s">
        <v>89</v>
      </c>
      <c r="E24" s="125">
        <v>11094</v>
      </c>
      <c r="F24" s="126">
        <v>95.802237000000005</v>
      </c>
      <c r="G24" s="127">
        <v>2.456786E-2</v>
      </c>
      <c r="H24" s="122" t="s">
        <v>153</v>
      </c>
      <c r="J24" s="2"/>
    </row>
    <row r="25" spans="1:10" x14ac:dyDescent="0.2">
      <c r="A25" s="123">
        <v>19</v>
      </c>
      <c r="B25" s="124" t="s">
        <v>432</v>
      </c>
      <c r="C25" s="124" t="s">
        <v>433</v>
      </c>
      <c r="D25" s="124" t="s">
        <v>239</v>
      </c>
      <c r="E25" s="125">
        <v>3672</v>
      </c>
      <c r="F25" s="126">
        <v>94.970771999999997</v>
      </c>
      <c r="G25" s="127">
        <v>2.4354629999999999E-2</v>
      </c>
      <c r="H25" s="122" t="s">
        <v>153</v>
      </c>
      <c r="J25" s="2"/>
    </row>
    <row r="26" spans="1:10" ht="25.5" x14ac:dyDescent="0.2">
      <c r="A26" s="123">
        <v>20</v>
      </c>
      <c r="B26" s="124" t="s">
        <v>434</v>
      </c>
      <c r="C26" s="124" t="s">
        <v>435</v>
      </c>
      <c r="D26" s="124" t="s">
        <v>208</v>
      </c>
      <c r="E26" s="125">
        <v>1748</v>
      </c>
      <c r="F26" s="126">
        <v>91.205395999999993</v>
      </c>
      <c r="G26" s="127">
        <v>2.3389030000000002E-2</v>
      </c>
      <c r="H26" s="122" t="s">
        <v>153</v>
      </c>
      <c r="J26" s="2"/>
    </row>
    <row r="27" spans="1:10" ht="25.5" x14ac:dyDescent="0.2">
      <c r="A27" s="123">
        <v>21</v>
      </c>
      <c r="B27" s="124" t="s">
        <v>436</v>
      </c>
      <c r="C27" s="124" t="s">
        <v>437</v>
      </c>
      <c r="D27" s="124" t="s">
        <v>438</v>
      </c>
      <c r="E27" s="125">
        <v>22120</v>
      </c>
      <c r="F27" s="126">
        <v>89.574939999999998</v>
      </c>
      <c r="G27" s="127">
        <v>2.2970910000000001E-2</v>
      </c>
      <c r="H27" s="122" t="s">
        <v>153</v>
      </c>
      <c r="J27" s="2"/>
    </row>
    <row r="28" spans="1:10" x14ac:dyDescent="0.2">
      <c r="A28" s="123">
        <v>22</v>
      </c>
      <c r="B28" s="124" t="s">
        <v>69</v>
      </c>
      <c r="C28" s="124" t="s">
        <v>70</v>
      </c>
      <c r="D28" s="124" t="s">
        <v>71</v>
      </c>
      <c r="E28" s="125">
        <v>7207</v>
      </c>
      <c r="F28" s="126">
        <v>86.811918500000004</v>
      </c>
      <c r="G28" s="127">
        <v>2.226235E-2</v>
      </c>
      <c r="H28" s="122" t="s">
        <v>153</v>
      </c>
      <c r="J28" s="2"/>
    </row>
    <row r="29" spans="1:10" x14ac:dyDescent="0.2">
      <c r="A29" s="123">
        <v>23</v>
      </c>
      <c r="B29" s="124" t="s">
        <v>439</v>
      </c>
      <c r="C29" s="124" t="s">
        <v>440</v>
      </c>
      <c r="D29" s="124" t="s">
        <v>35</v>
      </c>
      <c r="E29" s="125">
        <v>12724</v>
      </c>
      <c r="F29" s="126">
        <v>78.049015999999995</v>
      </c>
      <c r="G29" s="127">
        <v>2.0015160000000001E-2</v>
      </c>
      <c r="H29" s="122" t="s">
        <v>153</v>
      </c>
      <c r="J29" s="2"/>
    </row>
    <row r="30" spans="1:10" ht="25.5" x14ac:dyDescent="0.2">
      <c r="A30" s="123">
        <v>24</v>
      </c>
      <c r="B30" s="124" t="s">
        <v>295</v>
      </c>
      <c r="C30" s="124" t="s">
        <v>296</v>
      </c>
      <c r="D30" s="124" t="s">
        <v>208</v>
      </c>
      <c r="E30" s="125">
        <v>16491</v>
      </c>
      <c r="F30" s="126">
        <v>77.532436500000003</v>
      </c>
      <c r="G30" s="127">
        <v>1.9882690000000001E-2</v>
      </c>
      <c r="H30" s="122" t="s">
        <v>153</v>
      </c>
      <c r="J30" s="2"/>
    </row>
    <row r="31" spans="1:10" ht="25.5" x14ac:dyDescent="0.2">
      <c r="A31" s="123">
        <v>25</v>
      </c>
      <c r="B31" s="124" t="s">
        <v>79</v>
      </c>
      <c r="C31" s="124" t="s">
        <v>80</v>
      </c>
      <c r="D31" s="124" t="s">
        <v>25</v>
      </c>
      <c r="E31" s="125">
        <v>1736</v>
      </c>
      <c r="F31" s="126">
        <v>77.319704000000002</v>
      </c>
      <c r="G31" s="127">
        <v>1.9828129999999999E-2</v>
      </c>
      <c r="H31" s="122" t="s">
        <v>153</v>
      </c>
      <c r="J31" s="2"/>
    </row>
    <row r="32" spans="1:10" x14ac:dyDescent="0.2">
      <c r="A32" s="123">
        <v>26</v>
      </c>
      <c r="B32" s="124" t="s">
        <v>441</v>
      </c>
      <c r="C32" s="124" t="s">
        <v>442</v>
      </c>
      <c r="D32" s="124" t="s">
        <v>211</v>
      </c>
      <c r="E32" s="125">
        <v>11397</v>
      </c>
      <c r="F32" s="126">
        <v>76.422583500000002</v>
      </c>
      <c r="G32" s="127">
        <v>1.9598069999999999E-2</v>
      </c>
      <c r="H32" s="122" t="s">
        <v>153</v>
      </c>
      <c r="J32" s="2"/>
    </row>
    <row r="33" spans="1:10" x14ac:dyDescent="0.2">
      <c r="A33" s="123">
        <v>27</v>
      </c>
      <c r="B33" s="124" t="s">
        <v>443</v>
      </c>
      <c r="C33" s="124" t="s">
        <v>444</v>
      </c>
      <c r="D33" s="124" t="s">
        <v>236</v>
      </c>
      <c r="E33" s="125">
        <v>8151</v>
      </c>
      <c r="F33" s="126">
        <v>67.058277000000004</v>
      </c>
      <c r="G33" s="127">
        <v>1.7196659999999999E-2</v>
      </c>
      <c r="H33" s="122" t="s">
        <v>153</v>
      </c>
      <c r="J33" s="2"/>
    </row>
    <row r="34" spans="1:10" x14ac:dyDescent="0.2">
      <c r="A34" s="123">
        <v>28</v>
      </c>
      <c r="B34" s="124" t="s">
        <v>445</v>
      </c>
      <c r="C34" s="124" t="s">
        <v>446</v>
      </c>
      <c r="D34" s="124" t="s">
        <v>45</v>
      </c>
      <c r="E34" s="125">
        <v>8402</v>
      </c>
      <c r="F34" s="126">
        <v>66.102734999999996</v>
      </c>
      <c r="G34" s="127">
        <v>1.6951620000000001E-2</v>
      </c>
      <c r="H34" s="122" t="s">
        <v>153</v>
      </c>
      <c r="J34" s="2"/>
    </row>
    <row r="35" spans="1:10" x14ac:dyDescent="0.2">
      <c r="A35" s="123">
        <v>29</v>
      </c>
      <c r="B35" s="124" t="s">
        <v>447</v>
      </c>
      <c r="C35" s="124" t="s">
        <v>448</v>
      </c>
      <c r="D35" s="124" t="s">
        <v>45</v>
      </c>
      <c r="E35" s="125">
        <v>6126</v>
      </c>
      <c r="F35" s="126">
        <v>59.088332999999999</v>
      </c>
      <c r="G35" s="127">
        <v>1.5152819999999999E-2</v>
      </c>
      <c r="H35" s="122" t="s">
        <v>153</v>
      </c>
      <c r="J35" s="2"/>
    </row>
    <row r="36" spans="1:10" x14ac:dyDescent="0.2">
      <c r="A36" s="123">
        <v>30</v>
      </c>
      <c r="B36" s="124" t="s">
        <v>256</v>
      </c>
      <c r="C36" s="124" t="s">
        <v>257</v>
      </c>
      <c r="D36" s="124" t="s">
        <v>89</v>
      </c>
      <c r="E36" s="125">
        <v>3675</v>
      </c>
      <c r="F36" s="126">
        <v>58.8735</v>
      </c>
      <c r="G36" s="127">
        <v>1.509772E-2</v>
      </c>
      <c r="H36" s="122" t="s">
        <v>153</v>
      </c>
      <c r="J36" s="2"/>
    </row>
    <row r="37" spans="1:10" x14ac:dyDescent="0.2">
      <c r="A37" s="123">
        <v>31</v>
      </c>
      <c r="B37" s="124" t="s">
        <v>106</v>
      </c>
      <c r="C37" s="124" t="s">
        <v>107</v>
      </c>
      <c r="D37" s="124" t="s">
        <v>35</v>
      </c>
      <c r="E37" s="125">
        <v>2356</v>
      </c>
      <c r="F37" s="126">
        <v>57.498179999999998</v>
      </c>
      <c r="G37" s="127">
        <v>1.4745029999999999E-2</v>
      </c>
      <c r="H37" s="122" t="s">
        <v>153</v>
      </c>
      <c r="J37" s="2"/>
    </row>
    <row r="38" spans="1:10" x14ac:dyDescent="0.2">
      <c r="A38" s="123">
        <v>32</v>
      </c>
      <c r="B38" s="124" t="s">
        <v>449</v>
      </c>
      <c r="C38" s="124" t="s">
        <v>450</v>
      </c>
      <c r="D38" s="124" t="s">
        <v>89</v>
      </c>
      <c r="E38" s="125">
        <v>4638</v>
      </c>
      <c r="F38" s="126">
        <v>56.632299000000003</v>
      </c>
      <c r="G38" s="127">
        <v>1.452298E-2</v>
      </c>
      <c r="H38" s="122" t="s">
        <v>153</v>
      </c>
      <c r="J38" s="2"/>
    </row>
    <row r="39" spans="1:10" x14ac:dyDescent="0.2">
      <c r="A39" s="123">
        <v>33</v>
      </c>
      <c r="B39" s="124" t="s">
        <v>451</v>
      </c>
      <c r="C39" s="124" t="s">
        <v>452</v>
      </c>
      <c r="D39" s="124" t="s">
        <v>89</v>
      </c>
      <c r="E39" s="125">
        <v>4394</v>
      </c>
      <c r="F39" s="126">
        <v>50.662820000000004</v>
      </c>
      <c r="G39" s="127">
        <v>1.2992149999999999E-2</v>
      </c>
      <c r="H39" s="122" t="s">
        <v>153</v>
      </c>
      <c r="J39" s="2"/>
    </row>
    <row r="40" spans="1:10" x14ac:dyDescent="0.2">
      <c r="A40" s="123">
        <v>34</v>
      </c>
      <c r="B40" s="124" t="s">
        <v>453</v>
      </c>
      <c r="C40" s="124" t="s">
        <v>454</v>
      </c>
      <c r="D40" s="124" t="s">
        <v>86</v>
      </c>
      <c r="E40" s="125">
        <v>4036</v>
      </c>
      <c r="F40" s="126">
        <v>43.826923999999998</v>
      </c>
      <c r="G40" s="127">
        <v>1.123913E-2</v>
      </c>
      <c r="H40" s="122" t="s">
        <v>153</v>
      </c>
      <c r="J40" s="2"/>
    </row>
    <row r="41" spans="1:10" x14ac:dyDescent="0.2">
      <c r="A41" s="123">
        <v>35</v>
      </c>
      <c r="B41" s="124" t="s">
        <v>383</v>
      </c>
      <c r="C41" s="124" t="s">
        <v>384</v>
      </c>
      <c r="D41" s="124" t="s">
        <v>136</v>
      </c>
      <c r="E41" s="125">
        <v>27808</v>
      </c>
      <c r="F41" s="126">
        <v>42.479500799999997</v>
      </c>
      <c r="G41" s="127">
        <v>1.089359E-2</v>
      </c>
      <c r="H41" s="122" t="s">
        <v>153</v>
      </c>
      <c r="J41" s="2"/>
    </row>
    <row r="42" spans="1:10" x14ac:dyDescent="0.2">
      <c r="A42" s="123">
        <v>36</v>
      </c>
      <c r="B42" s="124" t="s">
        <v>455</v>
      </c>
      <c r="C42" s="124" t="s">
        <v>456</v>
      </c>
      <c r="D42" s="124" t="s">
        <v>71</v>
      </c>
      <c r="E42" s="125">
        <v>1089</v>
      </c>
      <c r="F42" s="126">
        <v>41.048766000000001</v>
      </c>
      <c r="G42" s="127">
        <v>1.052669E-2</v>
      </c>
      <c r="H42" s="122" t="s">
        <v>153</v>
      </c>
      <c r="J42" s="2"/>
    </row>
    <row r="43" spans="1:10" x14ac:dyDescent="0.2">
      <c r="A43" s="123">
        <v>37</v>
      </c>
      <c r="B43" s="124" t="s">
        <v>457</v>
      </c>
      <c r="C43" s="124" t="s">
        <v>458</v>
      </c>
      <c r="D43" s="124" t="s">
        <v>35</v>
      </c>
      <c r="E43" s="125">
        <v>2283</v>
      </c>
      <c r="F43" s="126">
        <v>34.811183999999997</v>
      </c>
      <c r="G43" s="127">
        <v>8.9271000000000003E-3</v>
      </c>
      <c r="H43" s="122" t="s">
        <v>153</v>
      </c>
      <c r="J43" s="2"/>
    </row>
    <row r="44" spans="1:10" ht="25.5" x14ac:dyDescent="0.2">
      <c r="A44" s="123">
        <v>38</v>
      </c>
      <c r="B44" s="124" t="s">
        <v>459</v>
      </c>
      <c r="C44" s="124" t="s">
        <v>460</v>
      </c>
      <c r="D44" s="124" t="s">
        <v>45</v>
      </c>
      <c r="E44" s="125">
        <v>5400</v>
      </c>
      <c r="F44" s="126">
        <v>25.7607</v>
      </c>
      <c r="G44" s="127">
        <v>6.6061599999999998E-3</v>
      </c>
      <c r="H44" s="122" t="s">
        <v>153</v>
      </c>
      <c r="J44" s="2"/>
    </row>
    <row r="45" spans="1:10" x14ac:dyDescent="0.2">
      <c r="A45" s="123">
        <v>39</v>
      </c>
      <c r="B45" s="124" t="s">
        <v>461</v>
      </c>
      <c r="C45" s="124" t="s">
        <v>462</v>
      </c>
      <c r="D45" s="124" t="s">
        <v>74</v>
      </c>
      <c r="E45" s="125">
        <v>4214</v>
      </c>
      <c r="F45" s="126">
        <v>25.138617</v>
      </c>
      <c r="G45" s="127">
        <v>6.4466300000000001E-3</v>
      </c>
      <c r="H45" s="122" t="s">
        <v>153</v>
      </c>
      <c r="J45" s="2"/>
    </row>
    <row r="46" spans="1:10" x14ac:dyDescent="0.2">
      <c r="A46" s="120"/>
      <c r="B46" s="120"/>
      <c r="C46" s="121" t="s">
        <v>152</v>
      </c>
      <c r="D46" s="120"/>
      <c r="E46" s="120" t="s">
        <v>153</v>
      </c>
      <c r="F46" s="128">
        <v>3791.2614327000001</v>
      </c>
      <c r="G46" s="129">
        <v>0.97224421999999999</v>
      </c>
      <c r="H46" s="122" t="s">
        <v>153</v>
      </c>
      <c r="J46" s="2"/>
    </row>
    <row r="47" spans="1:10" x14ac:dyDescent="0.2">
      <c r="A47" s="120"/>
      <c r="B47" s="120"/>
      <c r="C47" s="130"/>
      <c r="D47" s="120"/>
      <c r="E47" s="120"/>
      <c r="F47" s="131"/>
      <c r="G47" s="131"/>
      <c r="H47" s="122" t="s">
        <v>153</v>
      </c>
      <c r="J47" s="2"/>
    </row>
    <row r="48" spans="1:10" x14ac:dyDescent="0.2">
      <c r="A48" s="120"/>
      <c r="B48" s="120"/>
      <c r="C48" s="121" t="s">
        <v>154</v>
      </c>
      <c r="D48" s="120"/>
      <c r="E48" s="120"/>
      <c r="F48" s="120"/>
      <c r="G48" s="120"/>
      <c r="H48" s="122" t="s">
        <v>153</v>
      </c>
      <c r="J48" s="2"/>
    </row>
    <row r="49" spans="1:10" x14ac:dyDescent="0.2">
      <c r="A49" s="120"/>
      <c r="B49" s="120"/>
      <c r="C49" s="121" t="s">
        <v>152</v>
      </c>
      <c r="D49" s="120"/>
      <c r="E49" s="120" t="s">
        <v>153</v>
      </c>
      <c r="F49" s="132" t="s">
        <v>155</v>
      </c>
      <c r="G49" s="129">
        <v>0</v>
      </c>
      <c r="H49" s="122" t="s">
        <v>153</v>
      </c>
      <c r="J49" s="2"/>
    </row>
    <row r="50" spans="1:10" x14ac:dyDescent="0.2">
      <c r="A50" s="120"/>
      <c r="B50" s="120"/>
      <c r="C50" s="130"/>
      <c r="D50" s="120"/>
      <c r="E50" s="120"/>
      <c r="F50" s="131"/>
      <c r="G50" s="131"/>
      <c r="H50" s="122" t="s">
        <v>153</v>
      </c>
      <c r="J50" s="2"/>
    </row>
    <row r="51" spans="1:10" x14ac:dyDescent="0.2">
      <c r="A51" s="120"/>
      <c r="B51" s="120"/>
      <c r="C51" s="121" t="s">
        <v>156</v>
      </c>
      <c r="D51" s="120"/>
      <c r="E51" s="120"/>
      <c r="F51" s="120"/>
      <c r="G51" s="120"/>
      <c r="H51" s="122" t="s">
        <v>153</v>
      </c>
      <c r="J51" s="2"/>
    </row>
    <row r="52" spans="1:10" x14ac:dyDescent="0.2">
      <c r="A52" s="120"/>
      <c r="B52" s="120"/>
      <c r="C52" s="121" t="s">
        <v>152</v>
      </c>
      <c r="D52" s="120"/>
      <c r="E52" s="120" t="s">
        <v>153</v>
      </c>
      <c r="F52" s="132" t="s">
        <v>155</v>
      </c>
      <c r="G52" s="129">
        <v>0</v>
      </c>
      <c r="H52" s="122" t="s">
        <v>153</v>
      </c>
      <c r="J52" s="2"/>
    </row>
    <row r="53" spans="1:10" x14ac:dyDescent="0.2">
      <c r="A53" s="120"/>
      <c r="B53" s="120"/>
      <c r="C53" s="130"/>
      <c r="D53" s="120"/>
      <c r="E53" s="120"/>
      <c r="F53" s="131"/>
      <c r="G53" s="131"/>
      <c r="H53" s="122" t="s">
        <v>153</v>
      </c>
      <c r="J53" s="2"/>
    </row>
    <row r="54" spans="1:10" x14ac:dyDescent="0.2">
      <c r="A54" s="120"/>
      <c r="B54" s="120"/>
      <c r="C54" s="121" t="s">
        <v>157</v>
      </c>
      <c r="D54" s="120"/>
      <c r="E54" s="120"/>
      <c r="F54" s="120"/>
      <c r="G54" s="120"/>
      <c r="H54" s="122" t="s">
        <v>153</v>
      </c>
      <c r="J54" s="2"/>
    </row>
    <row r="55" spans="1:10" x14ac:dyDescent="0.2">
      <c r="A55" s="120"/>
      <c r="B55" s="120"/>
      <c r="C55" s="121" t="s">
        <v>152</v>
      </c>
      <c r="D55" s="120"/>
      <c r="E55" s="120" t="s">
        <v>153</v>
      </c>
      <c r="F55" s="132" t="s">
        <v>155</v>
      </c>
      <c r="G55" s="129">
        <v>0</v>
      </c>
      <c r="H55" s="122" t="s">
        <v>153</v>
      </c>
      <c r="J55" s="2"/>
    </row>
    <row r="56" spans="1:10" x14ac:dyDescent="0.2">
      <c r="A56" s="120"/>
      <c r="B56" s="120"/>
      <c r="C56" s="130"/>
      <c r="D56" s="120"/>
      <c r="E56" s="120"/>
      <c r="F56" s="131"/>
      <c r="G56" s="131"/>
      <c r="H56" s="122" t="s">
        <v>153</v>
      </c>
      <c r="J56" s="2"/>
    </row>
    <row r="57" spans="1:10" x14ac:dyDescent="0.2">
      <c r="A57" s="120"/>
      <c r="B57" s="120"/>
      <c r="C57" s="121" t="s">
        <v>158</v>
      </c>
      <c r="D57" s="120"/>
      <c r="E57" s="120"/>
      <c r="F57" s="131"/>
      <c r="G57" s="131"/>
      <c r="H57" s="122" t="s">
        <v>153</v>
      </c>
      <c r="J57" s="2"/>
    </row>
    <row r="58" spans="1:10" x14ac:dyDescent="0.2">
      <c r="A58" s="120"/>
      <c r="B58" s="120"/>
      <c r="C58" s="121" t="s">
        <v>152</v>
      </c>
      <c r="D58" s="120"/>
      <c r="E58" s="120" t="s">
        <v>153</v>
      </c>
      <c r="F58" s="132" t="s">
        <v>155</v>
      </c>
      <c r="G58" s="129">
        <v>0</v>
      </c>
      <c r="H58" s="122" t="s">
        <v>153</v>
      </c>
      <c r="J58" s="2"/>
    </row>
    <row r="59" spans="1:10" x14ac:dyDescent="0.2">
      <c r="A59" s="120"/>
      <c r="B59" s="120"/>
      <c r="C59" s="130"/>
      <c r="D59" s="120"/>
      <c r="E59" s="120"/>
      <c r="F59" s="131"/>
      <c r="G59" s="131"/>
      <c r="H59" s="122" t="s">
        <v>153</v>
      </c>
      <c r="J59" s="2"/>
    </row>
    <row r="60" spans="1:10" x14ac:dyDescent="0.2">
      <c r="A60" s="120"/>
      <c r="B60" s="120"/>
      <c r="C60" s="121" t="s">
        <v>159</v>
      </c>
      <c r="D60" s="120"/>
      <c r="E60" s="120"/>
      <c r="F60" s="131"/>
      <c r="G60" s="131"/>
      <c r="H60" s="122" t="s">
        <v>153</v>
      </c>
      <c r="J60" s="2"/>
    </row>
    <row r="61" spans="1:10" x14ac:dyDescent="0.2">
      <c r="A61" s="120"/>
      <c r="B61" s="120"/>
      <c r="C61" s="121" t="s">
        <v>152</v>
      </c>
      <c r="D61" s="120"/>
      <c r="E61" s="120" t="s">
        <v>153</v>
      </c>
      <c r="F61" s="132" t="s">
        <v>155</v>
      </c>
      <c r="G61" s="129">
        <v>0</v>
      </c>
      <c r="H61" s="122" t="s">
        <v>153</v>
      </c>
      <c r="J61" s="2"/>
    </row>
    <row r="62" spans="1:10" x14ac:dyDescent="0.2">
      <c r="A62" s="120"/>
      <c r="B62" s="120"/>
      <c r="C62" s="130"/>
      <c r="D62" s="120"/>
      <c r="E62" s="120"/>
      <c r="F62" s="131"/>
      <c r="G62" s="131"/>
      <c r="H62" s="122" t="s">
        <v>153</v>
      </c>
      <c r="J62" s="2"/>
    </row>
    <row r="63" spans="1:10" x14ac:dyDescent="0.2">
      <c r="A63" s="120"/>
      <c r="B63" s="120"/>
      <c r="C63" s="121" t="s">
        <v>160</v>
      </c>
      <c r="D63" s="120"/>
      <c r="E63" s="120"/>
      <c r="F63" s="128">
        <v>3791.2614327000001</v>
      </c>
      <c r="G63" s="129">
        <v>0.97224421999999999</v>
      </c>
      <c r="H63" s="122" t="s">
        <v>153</v>
      </c>
      <c r="J63" s="2"/>
    </row>
    <row r="64" spans="1:10" x14ac:dyDescent="0.2">
      <c r="A64" s="120"/>
      <c r="B64" s="120"/>
      <c r="C64" s="130"/>
      <c r="D64" s="120"/>
      <c r="E64" s="120"/>
      <c r="F64" s="131"/>
      <c r="G64" s="131"/>
      <c r="H64" s="122" t="s">
        <v>153</v>
      </c>
      <c r="J64" s="2"/>
    </row>
    <row r="65" spans="1:10" x14ac:dyDescent="0.2">
      <c r="A65" s="120"/>
      <c r="B65" s="120"/>
      <c r="C65" s="121" t="s">
        <v>161</v>
      </c>
      <c r="D65" s="120"/>
      <c r="E65" s="120"/>
      <c r="F65" s="131"/>
      <c r="G65" s="131"/>
      <c r="H65" s="122" t="s">
        <v>153</v>
      </c>
      <c r="J65" s="2"/>
    </row>
    <row r="66" spans="1:10" ht="25.5" x14ac:dyDescent="0.2">
      <c r="A66" s="120"/>
      <c r="B66" s="120"/>
      <c r="C66" s="121" t="s">
        <v>10</v>
      </c>
      <c r="D66" s="120"/>
      <c r="E66" s="120"/>
      <c r="F66" s="131"/>
      <c r="G66" s="131"/>
      <c r="H66" s="122" t="s">
        <v>153</v>
      </c>
      <c r="J66" s="2"/>
    </row>
    <row r="67" spans="1:10" x14ac:dyDescent="0.2">
      <c r="A67" s="120"/>
      <c r="B67" s="120"/>
      <c r="C67" s="121" t="s">
        <v>152</v>
      </c>
      <c r="D67" s="120"/>
      <c r="E67" s="120" t="s">
        <v>153</v>
      </c>
      <c r="F67" s="132" t="s">
        <v>155</v>
      </c>
      <c r="G67" s="129">
        <v>0</v>
      </c>
      <c r="H67" s="122" t="s">
        <v>153</v>
      </c>
      <c r="J67" s="2"/>
    </row>
    <row r="68" spans="1:10" x14ac:dyDescent="0.2">
      <c r="A68" s="120"/>
      <c r="B68" s="120"/>
      <c r="C68" s="130"/>
      <c r="D68" s="120"/>
      <c r="E68" s="120"/>
      <c r="F68" s="131"/>
      <c r="G68" s="131"/>
      <c r="H68" s="122" t="s">
        <v>153</v>
      </c>
      <c r="J68" s="2"/>
    </row>
    <row r="69" spans="1:10" x14ac:dyDescent="0.2">
      <c r="A69" s="120"/>
      <c r="B69" s="120"/>
      <c r="C69" s="121" t="s">
        <v>162</v>
      </c>
      <c r="D69" s="120"/>
      <c r="E69" s="120"/>
      <c r="F69" s="120"/>
      <c r="G69" s="120"/>
      <c r="H69" s="122" t="s">
        <v>153</v>
      </c>
      <c r="J69" s="2"/>
    </row>
    <row r="70" spans="1:10" x14ac:dyDescent="0.2">
      <c r="A70" s="120"/>
      <c r="B70" s="120"/>
      <c r="C70" s="121" t="s">
        <v>152</v>
      </c>
      <c r="D70" s="120"/>
      <c r="E70" s="120" t="s">
        <v>153</v>
      </c>
      <c r="F70" s="132" t="s">
        <v>155</v>
      </c>
      <c r="G70" s="129">
        <v>0</v>
      </c>
      <c r="H70" s="122" t="s">
        <v>153</v>
      </c>
      <c r="J70" s="2"/>
    </row>
    <row r="71" spans="1:10" x14ac:dyDescent="0.2">
      <c r="A71" s="120"/>
      <c r="B71" s="120"/>
      <c r="C71" s="130"/>
      <c r="D71" s="120"/>
      <c r="E71" s="120"/>
      <c r="F71" s="131"/>
      <c r="G71" s="131"/>
      <c r="H71" s="122" t="s">
        <v>153</v>
      </c>
      <c r="J71" s="2"/>
    </row>
    <row r="72" spans="1:10" x14ac:dyDescent="0.2">
      <c r="A72" s="120"/>
      <c r="B72" s="120"/>
      <c r="C72" s="121" t="s">
        <v>163</v>
      </c>
      <c r="D72" s="120"/>
      <c r="E72" s="120"/>
      <c r="F72" s="120"/>
      <c r="G72" s="120"/>
      <c r="H72" s="122" t="s">
        <v>153</v>
      </c>
      <c r="J72" s="2"/>
    </row>
    <row r="73" spans="1:10" x14ac:dyDescent="0.2">
      <c r="A73" s="120"/>
      <c r="B73" s="120"/>
      <c r="C73" s="121" t="s">
        <v>152</v>
      </c>
      <c r="D73" s="120"/>
      <c r="E73" s="120" t="s">
        <v>153</v>
      </c>
      <c r="F73" s="132" t="s">
        <v>155</v>
      </c>
      <c r="G73" s="129">
        <v>0</v>
      </c>
      <c r="H73" s="122" t="s">
        <v>153</v>
      </c>
      <c r="J73" s="2"/>
    </row>
    <row r="74" spans="1:10" x14ac:dyDescent="0.2">
      <c r="A74" s="120"/>
      <c r="B74" s="120"/>
      <c r="C74" s="130"/>
      <c r="D74" s="120"/>
      <c r="E74" s="120"/>
      <c r="F74" s="131"/>
      <c r="G74" s="131"/>
      <c r="H74" s="122" t="s">
        <v>153</v>
      </c>
      <c r="J74" s="2"/>
    </row>
    <row r="75" spans="1:10" x14ac:dyDescent="0.2">
      <c r="A75" s="120"/>
      <c r="B75" s="120"/>
      <c r="C75" s="121" t="s">
        <v>164</v>
      </c>
      <c r="D75" s="120"/>
      <c r="E75" s="120"/>
      <c r="F75" s="131"/>
      <c r="G75" s="131"/>
      <c r="H75" s="122" t="s">
        <v>153</v>
      </c>
      <c r="J75" s="2"/>
    </row>
    <row r="76" spans="1:10" x14ac:dyDescent="0.2">
      <c r="A76" s="120"/>
      <c r="B76" s="120"/>
      <c r="C76" s="121" t="s">
        <v>152</v>
      </c>
      <c r="D76" s="120"/>
      <c r="E76" s="120" t="s">
        <v>153</v>
      </c>
      <c r="F76" s="132" t="s">
        <v>155</v>
      </c>
      <c r="G76" s="129">
        <v>0</v>
      </c>
      <c r="H76" s="122" t="s">
        <v>153</v>
      </c>
      <c r="J76" s="2"/>
    </row>
    <row r="77" spans="1:10" x14ac:dyDescent="0.2">
      <c r="A77" s="120"/>
      <c r="B77" s="120"/>
      <c r="C77" s="130"/>
      <c r="D77" s="120"/>
      <c r="E77" s="120"/>
      <c r="F77" s="131"/>
      <c r="G77" s="131"/>
      <c r="H77" s="122" t="s">
        <v>153</v>
      </c>
      <c r="J77" s="2"/>
    </row>
    <row r="78" spans="1:10" x14ac:dyDescent="0.2">
      <c r="A78" s="120"/>
      <c r="B78" s="120"/>
      <c r="C78" s="121" t="s">
        <v>165</v>
      </c>
      <c r="D78" s="120"/>
      <c r="E78" s="120"/>
      <c r="F78" s="128">
        <v>0</v>
      </c>
      <c r="G78" s="129">
        <v>0</v>
      </c>
      <c r="H78" s="122" t="s">
        <v>153</v>
      </c>
      <c r="J78" s="2"/>
    </row>
    <row r="79" spans="1:10" x14ac:dyDescent="0.2">
      <c r="A79" s="120"/>
      <c r="B79" s="120"/>
      <c r="C79" s="130"/>
      <c r="D79" s="120"/>
      <c r="E79" s="120"/>
      <c r="F79" s="131"/>
      <c r="G79" s="131"/>
      <c r="H79" s="122" t="s">
        <v>153</v>
      </c>
      <c r="J79" s="2"/>
    </row>
    <row r="80" spans="1:10" x14ac:dyDescent="0.2">
      <c r="A80" s="120"/>
      <c r="B80" s="120"/>
      <c r="C80" s="121" t="s">
        <v>166</v>
      </c>
      <c r="D80" s="120"/>
      <c r="E80" s="120"/>
      <c r="F80" s="131"/>
      <c r="G80" s="131"/>
      <c r="H80" s="122" t="s">
        <v>153</v>
      </c>
      <c r="J80" s="2"/>
    </row>
    <row r="81" spans="1:10" x14ac:dyDescent="0.2">
      <c r="A81" s="120"/>
      <c r="B81" s="120"/>
      <c r="C81" s="121" t="s">
        <v>167</v>
      </c>
      <c r="D81" s="120"/>
      <c r="E81" s="120"/>
      <c r="F81" s="131"/>
      <c r="G81" s="131"/>
      <c r="H81" s="122" t="s">
        <v>153</v>
      </c>
      <c r="J81" s="2"/>
    </row>
    <row r="82" spans="1:10" x14ac:dyDescent="0.2">
      <c r="A82" s="120"/>
      <c r="B82" s="120"/>
      <c r="C82" s="121" t="s">
        <v>152</v>
      </c>
      <c r="D82" s="120"/>
      <c r="E82" s="120" t="s">
        <v>153</v>
      </c>
      <c r="F82" s="132" t="s">
        <v>155</v>
      </c>
      <c r="G82" s="129">
        <v>0</v>
      </c>
      <c r="H82" s="122" t="s">
        <v>153</v>
      </c>
      <c r="J82" s="2"/>
    </row>
    <row r="83" spans="1:10" x14ac:dyDescent="0.2">
      <c r="A83" s="120"/>
      <c r="B83" s="120"/>
      <c r="C83" s="130"/>
      <c r="D83" s="120"/>
      <c r="E83" s="120"/>
      <c r="F83" s="131"/>
      <c r="G83" s="131"/>
      <c r="H83" s="122" t="s">
        <v>153</v>
      </c>
      <c r="J83" s="2"/>
    </row>
    <row r="84" spans="1:10" x14ac:dyDescent="0.2">
      <c r="A84" s="120"/>
      <c r="B84" s="120"/>
      <c r="C84" s="121" t="s">
        <v>168</v>
      </c>
      <c r="D84" s="120"/>
      <c r="E84" s="120"/>
      <c r="F84" s="131"/>
      <c r="G84" s="131"/>
      <c r="H84" s="122" t="s">
        <v>153</v>
      </c>
      <c r="J84" s="2"/>
    </row>
    <row r="85" spans="1:10" x14ac:dyDescent="0.2">
      <c r="A85" s="120"/>
      <c r="B85" s="120"/>
      <c r="C85" s="121" t="s">
        <v>152</v>
      </c>
      <c r="D85" s="120"/>
      <c r="E85" s="120" t="s">
        <v>153</v>
      </c>
      <c r="F85" s="132" t="s">
        <v>155</v>
      </c>
      <c r="G85" s="129">
        <v>0</v>
      </c>
      <c r="H85" s="122" t="s">
        <v>153</v>
      </c>
      <c r="J85" s="2"/>
    </row>
    <row r="86" spans="1:10" x14ac:dyDescent="0.2">
      <c r="A86" s="120"/>
      <c r="B86" s="120"/>
      <c r="C86" s="130"/>
      <c r="D86" s="120"/>
      <c r="E86" s="120"/>
      <c r="F86" s="131"/>
      <c r="G86" s="131"/>
      <c r="H86" s="122" t="s">
        <v>153</v>
      </c>
      <c r="J86" s="2"/>
    </row>
    <row r="87" spans="1:10" x14ac:dyDescent="0.2">
      <c r="A87" s="120"/>
      <c r="B87" s="120"/>
      <c r="C87" s="121" t="s">
        <v>169</v>
      </c>
      <c r="D87" s="120"/>
      <c r="E87" s="120"/>
      <c r="F87" s="131"/>
      <c r="G87" s="131"/>
      <c r="H87" s="122" t="s">
        <v>153</v>
      </c>
      <c r="J87" s="2"/>
    </row>
    <row r="88" spans="1:10" x14ac:dyDescent="0.2">
      <c r="A88" s="120"/>
      <c r="B88" s="120"/>
      <c r="C88" s="121" t="s">
        <v>152</v>
      </c>
      <c r="D88" s="120"/>
      <c r="E88" s="120" t="s">
        <v>153</v>
      </c>
      <c r="F88" s="132" t="s">
        <v>155</v>
      </c>
      <c r="G88" s="129">
        <v>0</v>
      </c>
      <c r="H88" s="122" t="s">
        <v>153</v>
      </c>
      <c r="J88" s="2"/>
    </row>
    <row r="89" spans="1:10" x14ac:dyDescent="0.2">
      <c r="A89" s="120"/>
      <c r="B89" s="120"/>
      <c r="C89" s="130"/>
      <c r="D89" s="120"/>
      <c r="E89" s="120"/>
      <c r="F89" s="131"/>
      <c r="G89" s="131"/>
      <c r="H89" s="122" t="s">
        <v>153</v>
      </c>
      <c r="J89" s="2"/>
    </row>
    <row r="90" spans="1:10" x14ac:dyDescent="0.2">
      <c r="A90" s="120"/>
      <c r="B90" s="120"/>
      <c r="C90" s="121" t="s">
        <v>170</v>
      </c>
      <c r="D90" s="120"/>
      <c r="E90" s="120"/>
      <c r="F90" s="131"/>
      <c r="G90" s="131"/>
      <c r="H90" s="122" t="s">
        <v>153</v>
      </c>
      <c r="J90" s="2"/>
    </row>
    <row r="91" spans="1:10" x14ac:dyDescent="0.2">
      <c r="A91" s="123">
        <v>1</v>
      </c>
      <c r="B91" s="124"/>
      <c r="C91" s="124" t="s">
        <v>171</v>
      </c>
      <c r="D91" s="124"/>
      <c r="E91" s="133"/>
      <c r="F91" s="126">
        <v>113.4895116</v>
      </c>
      <c r="G91" s="127">
        <v>2.910364E-2</v>
      </c>
      <c r="H91" s="122">
        <v>6.62</v>
      </c>
      <c r="J91" s="2"/>
    </row>
    <row r="92" spans="1:10" x14ac:dyDescent="0.2">
      <c r="A92" s="120"/>
      <c r="B92" s="120"/>
      <c r="C92" s="121" t="s">
        <v>152</v>
      </c>
      <c r="D92" s="120"/>
      <c r="E92" s="120" t="s">
        <v>153</v>
      </c>
      <c r="F92" s="128">
        <v>113.4895116</v>
      </c>
      <c r="G92" s="129">
        <v>2.910364E-2</v>
      </c>
      <c r="H92" s="122" t="s">
        <v>153</v>
      </c>
      <c r="J92" s="2"/>
    </row>
    <row r="93" spans="1:10" x14ac:dyDescent="0.2">
      <c r="A93" s="120"/>
      <c r="B93" s="120"/>
      <c r="C93" s="130"/>
      <c r="D93" s="120"/>
      <c r="E93" s="120"/>
      <c r="F93" s="131"/>
      <c r="G93" s="131"/>
      <c r="H93" s="122" t="s">
        <v>153</v>
      </c>
      <c r="J93" s="2"/>
    </row>
    <row r="94" spans="1:10" x14ac:dyDescent="0.2">
      <c r="A94" s="120"/>
      <c r="B94" s="120"/>
      <c r="C94" s="121" t="s">
        <v>172</v>
      </c>
      <c r="D94" s="120"/>
      <c r="E94" s="120"/>
      <c r="F94" s="128">
        <v>113.4895116</v>
      </c>
      <c r="G94" s="129">
        <v>2.910364E-2</v>
      </c>
      <c r="H94" s="122" t="s">
        <v>153</v>
      </c>
      <c r="J94" s="2"/>
    </row>
    <row r="95" spans="1:10" x14ac:dyDescent="0.2">
      <c r="A95" s="120"/>
      <c r="B95" s="120"/>
      <c r="C95" s="131"/>
      <c r="D95" s="120"/>
      <c r="E95" s="120"/>
      <c r="F95" s="120"/>
      <c r="G95" s="120"/>
      <c r="H95" s="122" t="s">
        <v>153</v>
      </c>
      <c r="J95" s="2"/>
    </row>
    <row r="96" spans="1:10" x14ac:dyDescent="0.2">
      <c r="A96" s="120"/>
      <c r="B96" s="120"/>
      <c r="C96" s="121" t="s">
        <v>173</v>
      </c>
      <c r="D96" s="120"/>
      <c r="E96" s="120"/>
      <c r="F96" s="120"/>
      <c r="G96" s="120"/>
      <c r="H96" s="122" t="s">
        <v>153</v>
      </c>
      <c r="J96" s="2"/>
    </row>
    <row r="97" spans="1:10" x14ac:dyDescent="0.2">
      <c r="A97" s="120"/>
      <c r="B97" s="120"/>
      <c r="C97" s="121" t="s">
        <v>174</v>
      </c>
      <c r="D97" s="120"/>
      <c r="E97" s="120"/>
      <c r="F97" s="120"/>
      <c r="G97" s="120"/>
      <c r="H97" s="122" t="s">
        <v>153</v>
      </c>
      <c r="J97" s="2"/>
    </row>
    <row r="98" spans="1:10" x14ac:dyDescent="0.2">
      <c r="A98" s="120"/>
      <c r="B98" s="120"/>
      <c r="C98" s="121" t="s">
        <v>152</v>
      </c>
      <c r="D98" s="120"/>
      <c r="E98" s="120" t="s">
        <v>153</v>
      </c>
      <c r="F98" s="132" t="s">
        <v>155</v>
      </c>
      <c r="G98" s="129">
        <v>0</v>
      </c>
      <c r="H98" s="122" t="s">
        <v>153</v>
      </c>
      <c r="J98" s="2"/>
    </row>
    <row r="99" spans="1:10" x14ac:dyDescent="0.2">
      <c r="A99" s="120"/>
      <c r="B99" s="120"/>
      <c r="C99" s="130"/>
      <c r="D99" s="120"/>
      <c r="E99" s="120"/>
      <c r="F99" s="131"/>
      <c r="G99" s="131"/>
      <c r="H99" s="122" t="s">
        <v>153</v>
      </c>
      <c r="J99" s="2"/>
    </row>
    <row r="100" spans="1:10" x14ac:dyDescent="0.2">
      <c r="A100" s="120"/>
      <c r="B100" s="120"/>
      <c r="C100" s="121" t="s">
        <v>175</v>
      </c>
      <c r="D100" s="120"/>
      <c r="E100" s="120"/>
      <c r="F100" s="120"/>
      <c r="G100" s="120"/>
      <c r="H100" s="122" t="s">
        <v>153</v>
      </c>
      <c r="J100" s="2"/>
    </row>
    <row r="101" spans="1:10" x14ac:dyDescent="0.2">
      <c r="A101" s="120"/>
      <c r="B101" s="120"/>
      <c r="C101" s="121" t="s">
        <v>176</v>
      </c>
      <c r="D101" s="120"/>
      <c r="E101" s="120"/>
      <c r="F101" s="120"/>
      <c r="G101" s="120"/>
      <c r="H101" s="122" t="s">
        <v>153</v>
      </c>
      <c r="J101" s="2"/>
    </row>
    <row r="102" spans="1:10" x14ac:dyDescent="0.2">
      <c r="A102" s="120"/>
      <c r="B102" s="120"/>
      <c r="C102" s="121" t="s">
        <v>152</v>
      </c>
      <c r="D102" s="120"/>
      <c r="E102" s="120" t="s">
        <v>153</v>
      </c>
      <c r="F102" s="132" t="s">
        <v>155</v>
      </c>
      <c r="G102" s="129">
        <v>0</v>
      </c>
      <c r="H102" s="122" t="s">
        <v>153</v>
      </c>
      <c r="J102" s="2"/>
    </row>
    <row r="103" spans="1:10" x14ac:dyDescent="0.2">
      <c r="A103" s="120"/>
      <c r="B103" s="120"/>
      <c r="C103" s="130"/>
      <c r="D103" s="120"/>
      <c r="E103" s="120"/>
      <c r="F103" s="131"/>
      <c r="G103" s="131"/>
      <c r="H103" s="122" t="s">
        <v>153</v>
      </c>
      <c r="J103" s="2"/>
    </row>
    <row r="104" spans="1:10" ht="25.5" x14ac:dyDescent="0.2">
      <c r="A104" s="120"/>
      <c r="B104" s="120"/>
      <c r="C104" s="121" t="s">
        <v>177</v>
      </c>
      <c r="D104" s="120"/>
      <c r="E104" s="120"/>
      <c r="F104" s="131"/>
      <c r="G104" s="131"/>
      <c r="H104" s="122" t="s">
        <v>153</v>
      </c>
      <c r="J104" s="2"/>
    </row>
    <row r="105" spans="1:10" x14ac:dyDescent="0.2">
      <c r="A105" s="120"/>
      <c r="B105" s="120"/>
      <c r="C105" s="121" t="s">
        <v>152</v>
      </c>
      <c r="D105" s="120"/>
      <c r="E105" s="120" t="s">
        <v>153</v>
      </c>
      <c r="F105" s="132" t="s">
        <v>155</v>
      </c>
      <c r="G105" s="129">
        <v>0</v>
      </c>
      <c r="H105" s="122" t="s">
        <v>153</v>
      </c>
      <c r="J105" s="2"/>
    </row>
    <row r="106" spans="1:10" x14ac:dyDescent="0.2">
      <c r="A106" s="120"/>
      <c r="B106" s="124"/>
      <c r="C106" s="124"/>
      <c r="D106" s="121"/>
      <c r="E106" s="120"/>
      <c r="F106" s="124"/>
      <c r="G106" s="133"/>
      <c r="H106" s="122" t="s">
        <v>153</v>
      </c>
      <c r="J106" s="2"/>
    </row>
    <row r="107" spans="1:10" x14ac:dyDescent="0.2">
      <c r="A107" s="133"/>
      <c r="B107" s="124"/>
      <c r="C107" s="124" t="s">
        <v>178</v>
      </c>
      <c r="D107" s="124"/>
      <c r="E107" s="133"/>
      <c r="F107" s="126">
        <v>-5.2560077400000003</v>
      </c>
      <c r="G107" s="127">
        <v>-1.3478699999999999E-3</v>
      </c>
      <c r="H107" s="122" t="s">
        <v>153</v>
      </c>
      <c r="J107" s="2"/>
    </row>
    <row r="108" spans="1:10" x14ac:dyDescent="0.2">
      <c r="A108" s="130"/>
      <c r="B108" s="130"/>
      <c r="C108" s="121" t="s">
        <v>179</v>
      </c>
      <c r="D108" s="131"/>
      <c r="E108" s="131"/>
      <c r="F108" s="128">
        <v>3899.49493656</v>
      </c>
      <c r="G108" s="134">
        <v>0.99999998999999995</v>
      </c>
      <c r="H108" s="122" t="s">
        <v>153</v>
      </c>
      <c r="J108" s="2"/>
    </row>
    <row r="109" spans="1:10" x14ac:dyDescent="0.2">
      <c r="A109" s="135"/>
      <c r="B109" s="135"/>
      <c r="C109" s="135"/>
      <c r="D109" s="136"/>
      <c r="E109" s="136"/>
      <c r="F109" s="136"/>
      <c r="G109" s="136"/>
      <c r="J109" s="2"/>
    </row>
    <row r="110" spans="1:10" x14ac:dyDescent="0.2">
      <c r="A110" s="137"/>
      <c r="B110" s="226" t="s">
        <v>863</v>
      </c>
      <c r="C110" s="226"/>
      <c r="D110" s="226"/>
      <c r="E110" s="226"/>
      <c r="F110" s="226"/>
      <c r="G110" s="226"/>
      <c r="H110" s="226"/>
      <c r="J110" s="2"/>
    </row>
    <row r="111" spans="1:10" x14ac:dyDescent="0.2">
      <c r="A111" s="137"/>
      <c r="B111" s="226" t="s">
        <v>864</v>
      </c>
      <c r="C111" s="226"/>
      <c r="D111" s="226"/>
      <c r="E111" s="226"/>
      <c r="F111" s="226"/>
      <c r="G111" s="226"/>
      <c r="H111" s="226"/>
      <c r="J111" s="2"/>
    </row>
    <row r="112" spans="1:10" x14ac:dyDescent="0.2">
      <c r="A112" s="137"/>
      <c r="B112" s="226" t="s">
        <v>865</v>
      </c>
      <c r="C112" s="226"/>
      <c r="D112" s="226"/>
      <c r="E112" s="226"/>
      <c r="F112" s="226"/>
      <c r="G112" s="226"/>
      <c r="H112" s="226"/>
      <c r="J112" s="2"/>
    </row>
    <row r="113" spans="1:17" s="5" customFormat="1" ht="15" x14ac:dyDescent="0.25">
      <c r="A113" s="139"/>
      <c r="B113" s="227" t="s">
        <v>866</v>
      </c>
      <c r="C113" s="227"/>
      <c r="D113" s="227"/>
      <c r="E113" s="227"/>
      <c r="F113" s="227"/>
      <c r="G113" s="227"/>
      <c r="H113" s="227"/>
      <c r="I113"/>
      <c r="J113" s="2"/>
      <c r="K113"/>
      <c r="L113"/>
      <c r="M113"/>
      <c r="N113"/>
      <c r="O113"/>
      <c r="P113"/>
      <c r="Q113"/>
    </row>
    <row r="114" spans="1:17" x14ac:dyDescent="0.2">
      <c r="A114" s="137"/>
      <c r="B114" s="226" t="s">
        <v>867</v>
      </c>
      <c r="C114" s="226"/>
      <c r="D114" s="226"/>
      <c r="E114" s="226"/>
      <c r="F114" s="226"/>
      <c r="G114" s="226"/>
      <c r="H114" s="226"/>
      <c r="J114" s="2"/>
    </row>
    <row r="115" spans="1:17" x14ac:dyDescent="0.2">
      <c r="A115" s="140"/>
      <c r="B115" s="140"/>
      <c r="C115" s="140"/>
      <c r="D115" s="141"/>
      <c r="E115" s="141"/>
      <c r="F115" s="141"/>
      <c r="G115" s="141"/>
      <c r="J115" s="2"/>
    </row>
    <row r="116" spans="1:17" x14ac:dyDescent="0.2">
      <c r="A116" s="140"/>
      <c r="B116" s="228" t="s">
        <v>180</v>
      </c>
      <c r="C116" s="229"/>
      <c r="D116" s="230"/>
      <c r="E116" s="142"/>
      <c r="F116" s="141"/>
      <c r="G116" s="141"/>
      <c r="J116" s="2"/>
    </row>
    <row r="117" spans="1:17" x14ac:dyDescent="0.2">
      <c r="A117" s="140"/>
      <c r="B117" s="223" t="s">
        <v>181</v>
      </c>
      <c r="C117" s="224"/>
      <c r="D117" s="121" t="s">
        <v>182</v>
      </c>
      <c r="E117" s="142"/>
      <c r="F117" s="141"/>
      <c r="G117" s="141"/>
      <c r="J117" s="2"/>
    </row>
    <row r="118" spans="1:17" ht="12.75" customHeight="1" x14ac:dyDescent="0.2">
      <c r="A118" s="140"/>
      <c r="B118" s="221" t="s">
        <v>868</v>
      </c>
      <c r="C118" s="222"/>
      <c r="D118" s="121" t="s">
        <v>182</v>
      </c>
      <c r="E118" s="142"/>
      <c r="F118" s="141"/>
      <c r="G118" s="141"/>
      <c r="J118" s="2"/>
    </row>
    <row r="119" spans="1:17" x14ac:dyDescent="0.2">
      <c r="A119" s="140"/>
      <c r="B119" s="223" t="s">
        <v>184</v>
      </c>
      <c r="C119" s="224"/>
      <c r="D119" s="131" t="s">
        <v>153</v>
      </c>
      <c r="E119" s="142"/>
      <c r="F119" s="141"/>
      <c r="G119" s="141"/>
      <c r="J119" s="2"/>
    </row>
    <row r="120" spans="1:17" x14ac:dyDescent="0.2">
      <c r="A120" s="144"/>
      <c r="B120" s="145" t="s">
        <v>153</v>
      </c>
      <c r="C120" s="145" t="s">
        <v>870</v>
      </c>
      <c r="D120" s="145" t="s">
        <v>185</v>
      </c>
      <c r="E120" s="144"/>
      <c r="F120" s="144"/>
      <c r="G120" s="144"/>
      <c r="H120" s="144"/>
      <c r="J120" s="2"/>
    </row>
    <row r="121" spans="1:17" x14ac:dyDescent="0.2">
      <c r="A121" s="146"/>
      <c r="B121" s="147" t="s">
        <v>186</v>
      </c>
      <c r="C121" s="148">
        <v>45504</v>
      </c>
      <c r="D121" s="149">
        <v>45535</v>
      </c>
      <c r="E121" s="146"/>
      <c r="F121" s="146"/>
      <c r="G121" s="146"/>
      <c r="J121" s="2"/>
    </row>
    <row r="122" spans="1:17" x14ac:dyDescent="0.2">
      <c r="A122" s="146"/>
      <c r="B122" s="124" t="s">
        <v>187</v>
      </c>
      <c r="C122" s="150">
        <v>28.877500000000001</v>
      </c>
      <c r="D122" s="150">
        <v>29.6722</v>
      </c>
      <c r="E122" s="146"/>
      <c r="F122" s="151"/>
      <c r="G122" s="152"/>
      <c r="J122" s="2"/>
    </row>
    <row r="123" spans="1:17" x14ac:dyDescent="0.2">
      <c r="A123" s="146"/>
      <c r="B123" s="124" t="s">
        <v>926</v>
      </c>
      <c r="C123" s="150">
        <v>27.491299999999999</v>
      </c>
      <c r="D123" s="150">
        <v>28.247900000000001</v>
      </c>
      <c r="E123" s="146"/>
      <c r="F123" s="151"/>
      <c r="G123" s="152"/>
      <c r="J123" s="2"/>
    </row>
    <row r="124" spans="1:17" x14ac:dyDescent="0.2">
      <c r="A124" s="146"/>
      <c r="B124" s="124" t="s">
        <v>188</v>
      </c>
      <c r="C124" s="150">
        <v>28.037099999999999</v>
      </c>
      <c r="D124" s="150">
        <v>28.803000000000001</v>
      </c>
      <c r="E124" s="146"/>
      <c r="F124" s="151"/>
      <c r="G124" s="152"/>
      <c r="J124" s="2"/>
    </row>
    <row r="125" spans="1:17" x14ac:dyDescent="0.2">
      <c r="A125" s="146"/>
      <c r="B125" s="124" t="s">
        <v>927</v>
      </c>
      <c r="C125" s="150">
        <v>26.652999999999999</v>
      </c>
      <c r="D125" s="150">
        <v>27.3812</v>
      </c>
      <c r="E125" s="146"/>
      <c r="F125" s="151"/>
      <c r="G125" s="152"/>
      <c r="J125" s="2"/>
    </row>
    <row r="126" spans="1:17" x14ac:dyDescent="0.2">
      <c r="A126" s="146"/>
      <c r="B126" s="146"/>
      <c r="C126" s="146"/>
      <c r="D126" s="146"/>
      <c r="E126" s="146"/>
      <c r="F126" s="146"/>
      <c r="G126" s="146"/>
      <c r="J126" s="2"/>
    </row>
    <row r="127" spans="1:17" x14ac:dyDescent="0.2">
      <c r="A127" s="144"/>
      <c r="B127" s="221" t="s">
        <v>869</v>
      </c>
      <c r="C127" s="222"/>
      <c r="D127" s="143" t="s">
        <v>182</v>
      </c>
      <c r="E127" s="144"/>
      <c r="F127" s="144"/>
      <c r="G127" s="144"/>
      <c r="J127" s="2"/>
    </row>
    <row r="128" spans="1:17" x14ac:dyDescent="0.2">
      <c r="A128" s="144"/>
      <c r="B128" s="163"/>
      <c r="C128" s="163"/>
      <c r="D128" s="163"/>
      <c r="E128" s="144"/>
      <c r="F128" s="144"/>
      <c r="G128" s="144"/>
      <c r="J128" s="2"/>
    </row>
    <row r="129" spans="1:10" x14ac:dyDescent="0.2">
      <c r="A129" s="144"/>
      <c r="B129" s="221" t="s">
        <v>189</v>
      </c>
      <c r="C129" s="222"/>
      <c r="D129" s="143" t="s">
        <v>182</v>
      </c>
      <c r="E129" s="153"/>
      <c r="F129" s="144"/>
      <c r="G129" s="144"/>
      <c r="J129" s="2"/>
    </row>
    <row r="130" spans="1:10" x14ac:dyDescent="0.2">
      <c r="A130" s="144"/>
      <c r="B130" s="221" t="s">
        <v>190</v>
      </c>
      <c r="C130" s="222"/>
      <c r="D130" s="143" t="s">
        <v>182</v>
      </c>
      <c r="E130" s="153"/>
      <c r="F130" s="144"/>
      <c r="G130" s="144"/>
      <c r="J130" s="2"/>
    </row>
    <row r="131" spans="1:10" x14ac:dyDescent="0.2">
      <c r="A131" s="144"/>
      <c r="B131" s="221" t="s">
        <v>191</v>
      </c>
      <c r="C131" s="222"/>
      <c r="D131" s="143" t="s">
        <v>182</v>
      </c>
      <c r="E131" s="153"/>
      <c r="F131" s="144"/>
      <c r="G131" s="144"/>
      <c r="J131" s="2"/>
    </row>
    <row r="132" spans="1:10" x14ac:dyDescent="0.2">
      <c r="A132" s="144"/>
      <c r="B132" s="221" t="s">
        <v>192</v>
      </c>
      <c r="C132" s="222"/>
      <c r="D132" s="154">
        <v>0.26738461801670727</v>
      </c>
      <c r="E132" s="144"/>
      <c r="F132" s="138"/>
      <c r="G132" s="155"/>
      <c r="J132" s="2"/>
    </row>
    <row r="133" spans="1:10" x14ac:dyDescent="0.2">
      <c r="J133" s="2"/>
    </row>
    <row r="134" spans="1:10" x14ac:dyDescent="0.2">
      <c r="J134" s="2"/>
    </row>
    <row r="135" spans="1:10" x14ac:dyDescent="0.2">
      <c r="J135" s="2"/>
    </row>
    <row r="136" spans="1:10" x14ac:dyDescent="0.2">
      <c r="J136" s="2"/>
    </row>
    <row r="137" spans="1:10" x14ac:dyDescent="0.2">
      <c r="J137" s="2"/>
    </row>
    <row r="138" spans="1:10" x14ac:dyDescent="0.2">
      <c r="J138" s="2"/>
    </row>
    <row r="139" spans="1:10" x14ac:dyDescent="0.2">
      <c r="J139" s="2"/>
    </row>
  </sheetData>
  <mergeCells count="17">
    <mergeCell ref="B117:C117"/>
    <mergeCell ref="A1:H1"/>
    <mergeCell ref="A2:H2"/>
    <mergeCell ref="A3:H3"/>
    <mergeCell ref="B110:H110"/>
    <mergeCell ref="B111:H111"/>
    <mergeCell ref="B112:H112"/>
    <mergeCell ref="B113:H113"/>
    <mergeCell ref="B114:H114"/>
    <mergeCell ref="B116:D116"/>
    <mergeCell ref="B118:C118"/>
    <mergeCell ref="B119:C119"/>
    <mergeCell ref="B127:C127"/>
    <mergeCell ref="B131:C131"/>
    <mergeCell ref="B132:C132"/>
    <mergeCell ref="B129:C129"/>
    <mergeCell ref="B130:C130"/>
  </mergeCells>
  <hyperlinks>
    <hyperlink ref="I1" location="Index!B6" display="Index" xr:uid="{79CBDB2A-75EE-4310-94D5-C0F1653B6D8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A3A71-767B-4D48-9561-932066ABBBAD}">
  <sheetPr>
    <outlinePr summaryBelow="0" summaryRight="0"/>
  </sheetPr>
  <dimension ref="A1:Q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463</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ht="14.1" customHeight="1" x14ac:dyDescent="0.2">
      <c r="A5" s="120"/>
      <c r="B5" s="120"/>
      <c r="C5" s="121" t="s">
        <v>9</v>
      </c>
      <c r="D5" s="120"/>
      <c r="E5" s="120"/>
      <c r="F5" s="120"/>
      <c r="G5" s="120"/>
      <c r="H5" s="122" t="s">
        <v>153</v>
      </c>
      <c r="J5" s="2"/>
    </row>
    <row r="6" spans="1:10" ht="24" customHeight="1" x14ac:dyDescent="0.2">
      <c r="A6" s="120"/>
      <c r="B6" s="120"/>
      <c r="C6" s="121" t="s">
        <v>10</v>
      </c>
      <c r="D6" s="120"/>
      <c r="E6" s="120"/>
      <c r="F6" s="120"/>
      <c r="G6" s="120"/>
      <c r="H6" s="122" t="s">
        <v>153</v>
      </c>
      <c r="J6" s="2"/>
    </row>
    <row r="7" spans="1:10" ht="17.100000000000001" customHeight="1" x14ac:dyDescent="0.2">
      <c r="A7" s="123">
        <v>1</v>
      </c>
      <c r="B7" s="124" t="s">
        <v>363</v>
      </c>
      <c r="C7" s="124" t="s">
        <v>364</v>
      </c>
      <c r="D7" s="124" t="s">
        <v>239</v>
      </c>
      <c r="E7" s="125">
        <v>2806</v>
      </c>
      <c r="F7" s="126">
        <v>145.42936800000001</v>
      </c>
      <c r="G7" s="127">
        <v>5.7559199999999998E-2</v>
      </c>
      <c r="H7" s="122" t="s">
        <v>153</v>
      </c>
      <c r="J7" s="2"/>
    </row>
    <row r="8" spans="1:10" ht="17.100000000000001" customHeight="1" x14ac:dyDescent="0.2">
      <c r="A8" s="123">
        <v>2</v>
      </c>
      <c r="B8" s="124" t="s">
        <v>409</v>
      </c>
      <c r="C8" s="124" t="s">
        <v>410</v>
      </c>
      <c r="D8" s="124" t="s">
        <v>45</v>
      </c>
      <c r="E8" s="125">
        <v>5638</v>
      </c>
      <c r="F8" s="126">
        <v>139.60815600000001</v>
      </c>
      <c r="G8" s="127">
        <v>5.5255239999999997E-2</v>
      </c>
      <c r="H8" s="122" t="s">
        <v>153</v>
      </c>
      <c r="J8" s="2"/>
    </row>
    <row r="9" spans="1:10" ht="17.100000000000001" customHeight="1" x14ac:dyDescent="0.2">
      <c r="A9" s="123">
        <v>3</v>
      </c>
      <c r="B9" s="124" t="s">
        <v>145</v>
      </c>
      <c r="C9" s="124" t="s">
        <v>146</v>
      </c>
      <c r="D9" s="124" t="s">
        <v>45</v>
      </c>
      <c r="E9" s="125">
        <v>27896</v>
      </c>
      <c r="F9" s="126">
        <v>110.30078399999999</v>
      </c>
      <c r="G9" s="127">
        <v>4.3655729999999997E-2</v>
      </c>
      <c r="H9" s="122" t="s">
        <v>153</v>
      </c>
      <c r="J9" s="2"/>
    </row>
    <row r="10" spans="1:10" ht="17.100000000000001" customHeight="1" x14ac:dyDescent="0.2">
      <c r="A10" s="123">
        <v>4</v>
      </c>
      <c r="B10" s="124" t="s">
        <v>401</v>
      </c>
      <c r="C10" s="124" t="s">
        <v>402</v>
      </c>
      <c r="D10" s="124" t="s">
        <v>403</v>
      </c>
      <c r="E10" s="125">
        <v>6568</v>
      </c>
      <c r="F10" s="126">
        <v>107.163488</v>
      </c>
      <c r="G10" s="127">
        <v>4.2414029999999998E-2</v>
      </c>
      <c r="H10" s="122" t="s">
        <v>153</v>
      </c>
      <c r="J10" s="2"/>
    </row>
    <row r="11" spans="1:10" ht="17.100000000000001" customHeight="1" x14ac:dyDescent="0.2">
      <c r="A11" s="123">
        <v>5</v>
      </c>
      <c r="B11" s="124" t="s">
        <v>33</v>
      </c>
      <c r="C11" s="124" t="s">
        <v>34</v>
      </c>
      <c r="D11" s="124" t="s">
        <v>35</v>
      </c>
      <c r="E11" s="125">
        <v>10955</v>
      </c>
      <c r="F11" s="126">
        <v>101.717175</v>
      </c>
      <c r="G11" s="127">
        <v>4.025844E-2</v>
      </c>
      <c r="H11" s="122" t="s">
        <v>153</v>
      </c>
      <c r="J11" s="2"/>
    </row>
    <row r="12" spans="1:10" ht="17.100000000000001" customHeight="1" x14ac:dyDescent="0.2">
      <c r="A12" s="123">
        <v>6</v>
      </c>
      <c r="B12" s="124" t="s">
        <v>411</v>
      </c>
      <c r="C12" s="124" t="s">
        <v>412</v>
      </c>
      <c r="D12" s="124" t="s">
        <v>236</v>
      </c>
      <c r="E12" s="125">
        <v>6017</v>
      </c>
      <c r="F12" s="126">
        <v>100.3425005</v>
      </c>
      <c r="G12" s="127">
        <v>3.9714359999999997E-2</v>
      </c>
      <c r="H12" s="122" t="s">
        <v>153</v>
      </c>
      <c r="J12" s="7"/>
    </row>
    <row r="13" spans="1:10" ht="17.100000000000001" customHeight="1" x14ac:dyDescent="0.2">
      <c r="A13" s="123">
        <v>7</v>
      </c>
      <c r="B13" s="124" t="s">
        <v>223</v>
      </c>
      <c r="C13" s="124" t="s">
        <v>224</v>
      </c>
      <c r="D13" s="124" t="s">
        <v>89</v>
      </c>
      <c r="E13" s="125">
        <v>700</v>
      </c>
      <c r="F13" s="126">
        <v>97.643000000000001</v>
      </c>
      <c r="G13" s="127">
        <v>3.8645930000000002E-2</v>
      </c>
      <c r="H13" s="122" t="s">
        <v>153</v>
      </c>
      <c r="J13" s="2"/>
    </row>
    <row r="14" spans="1:10" ht="17.100000000000001" customHeight="1" x14ac:dyDescent="0.2">
      <c r="A14" s="123">
        <v>8</v>
      </c>
      <c r="B14" s="124" t="s">
        <v>77</v>
      </c>
      <c r="C14" s="124" t="s">
        <v>78</v>
      </c>
      <c r="D14" s="124" t="s">
        <v>35</v>
      </c>
      <c r="E14" s="125">
        <v>1987</v>
      </c>
      <c r="F14" s="126">
        <v>91.596726000000004</v>
      </c>
      <c r="G14" s="127">
        <v>3.6252890000000003E-2</v>
      </c>
      <c r="H14" s="122" t="s">
        <v>153</v>
      </c>
      <c r="J14" s="2"/>
    </row>
    <row r="15" spans="1:10" ht="17.100000000000001" customHeight="1" x14ac:dyDescent="0.2">
      <c r="A15" s="123">
        <v>9</v>
      </c>
      <c r="B15" s="124" t="s">
        <v>413</v>
      </c>
      <c r="C15" s="124" t="s">
        <v>414</v>
      </c>
      <c r="D15" s="124" t="s">
        <v>216</v>
      </c>
      <c r="E15" s="125">
        <v>21323</v>
      </c>
      <c r="F15" s="126">
        <v>86.720641000000001</v>
      </c>
      <c r="G15" s="127">
        <v>3.4322989999999998E-2</v>
      </c>
      <c r="H15" s="122" t="s">
        <v>153</v>
      </c>
      <c r="J15" s="2" t="s">
        <v>923</v>
      </c>
    </row>
    <row r="16" spans="1:10" ht="17.100000000000001" customHeight="1" x14ac:dyDescent="0.2">
      <c r="A16" s="123">
        <v>10</v>
      </c>
      <c r="B16" s="124" t="s">
        <v>415</v>
      </c>
      <c r="C16" s="124" t="s">
        <v>416</v>
      </c>
      <c r="D16" s="124" t="s">
        <v>48</v>
      </c>
      <c r="E16" s="125">
        <v>101192</v>
      </c>
      <c r="F16" s="126">
        <v>82.279215199999996</v>
      </c>
      <c r="G16" s="127">
        <v>3.2565129999999998E-2</v>
      </c>
      <c r="H16" s="122" t="s">
        <v>153</v>
      </c>
      <c r="J16" s="2"/>
    </row>
    <row r="17" spans="1:10" ht="17.100000000000001" customHeight="1" x14ac:dyDescent="0.2">
      <c r="A17" s="123">
        <v>11</v>
      </c>
      <c r="B17" s="124" t="s">
        <v>417</v>
      </c>
      <c r="C17" s="124" t="s">
        <v>418</v>
      </c>
      <c r="D17" s="124" t="s">
        <v>48</v>
      </c>
      <c r="E17" s="125">
        <v>178820</v>
      </c>
      <c r="F17" s="126">
        <v>78.519862000000003</v>
      </c>
      <c r="G17" s="127">
        <v>3.1077219999999999E-2</v>
      </c>
      <c r="H17" s="122" t="s">
        <v>153</v>
      </c>
      <c r="J17" s="2"/>
    </row>
    <row r="18" spans="1:10" ht="17.100000000000001" customHeight="1" x14ac:dyDescent="0.2">
      <c r="A18" s="123">
        <v>12</v>
      </c>
      <c r="B18" s="124" t="s">
        <v>421</v>
      </c>
      <c r="C18" s="124" t="s">
        <v>422</v>
      </c>
      <c r="D18" s="124" t="s">
        <v>48</v>
      </c>
      <c r="E18" s="125">
        <v>22305</v>
      </c>
      <c r="F18" s="126">
        <v>72.190132500000004</v>
      </c>
      <c r="G18" s="127">
        <v>2.8571989999999998E-2</v>
      </c>
      <c r="H18" s="122" t="s">
        <v>153</v>
      </c>
      <c r="J18" s="2"/>
    </row>
    <row r="19" spans="1:10" ht="17.100000000000001" customHeight="1" x14ac:dyDescent="0.2">
      <c r="A19" s="123">
        <v>13</v>
      </c>
      <c r="B19" s="124" t="s">
        <v>419</v>
      </c>
      <c r="C19" s="124" t="s">
        <v>420</v>
      </c>
      <c r="D19" s="124" t="s">
        <v>211</v>
      </c>
      <c r="E19" s="125">
        <v>9732</v>
      </c>
      <c r="F19" s="126">
        <v>71.788098000000005</v>
      </c>
      <c r="G19" s="127">
        <v>2.841287E-2</v>
      </c>
      <c r="H19" s="122" t="s">
        <v>153</v>
      </c>
      <c r="J19" s="2"/>
    </row>
    <row r="20" spans="1:10" ht="29.1" customHeight="1" x14ac:dyDescent="0.2">
      <c r="A20" s="123">
        <v>14</v>
      </c>
      <c r="B20" s="124" t="s">
        <v>425</v>
      </c>
      <c r="C20" s="124" t="s">
        <v>426</v>
      </c>
      <c r="D20" s="124" t="s">
        <v>208</v>
      </c>
      <c r="E20" s="125">
        <v>3630</v>
      </c>
      <c r="F20" s="126">
        <v>70.922939999999997</v>
      </c>
      <c r="G20" s="127">
        <v>2.807045E-2</v>
      </c>
      <c r="H20" s="122" t="s">
        <v>153</v>
      </c>
      <c r="J20" s="2"/>
    </row>
    <row r="21" spans="1:10" ht="17.100000000000001" customHeight="1" x14ac:dyDescent="0.2">
      <c r="A21" s="123">
        <v>15</v>
      </c>
      <c r="B21" s="124" t="s">
        <v>423</v>
      </c>
      <c r="C21" s="124" t="s">
        <v>424</v>
      </c>
      <c r="D21" s="124" t="s">
        <v>35</v>
      </c>
      <c r="E21" s="125">
        <v>5262</v>
      </c>
      <c r="F21" s="126">
        <v>69.140049000000005</v>
      </c>
      <c r="G21" s="127">
        <v>2.7364800000000002E-2</v>
      </c>
      <c r="H21" s="122" t="s">
        <v>153</v>
      </c>
      <c r="J21" s="2"/>
    </row>
    <row r="22" spans="1:10" ht="17.100000000000001" customHeight="1" x14ac:dyDescent="0.2">
      <c r="A22" s="123">
        <v>16</v>
      </c>
      <c r="B22" s="124" t="s">
        <v>427</v>
      </c>
      <c r="C22" s="124" t="s">
        <v>428</v>
      </c>
      <c r="D22" s="124" t="s">
        <v>429</v>
      </c>
      <c r="E22" s="125">
        <v>4462</v>
      </c>
      <c r="F22" s="126">
        <v>67.579221000000004</v>
      </c>
      <c r="G22" s="127">
        <v>2.6747050000000001E-2</v>
      </c>
      <c r="H22" s="122" t="s">
        <v>153</v>
      </c>
      <c r="J22" s="7"/>
    </row>
    <row r="23" spans="1:10" ht="29.1" customHeight="1" x14ac:dyDescent="0.2">
      <c r="A23" s="123">
        <v>17</v>
      </c>
      <c r="B23" s="124" t="s">
        <v>324</v>
      </c>
      <c r="C23" s="124" t="s">
        <v>325</v>
      </c>
      <c r="D23" s="124" t="s">
        <v>250</v>
      </c>
      <c r="E23" s="125">
        <v>1976</v>
      </c>
      <c r="F23" s="126">
        <v>65.176383999999999</v>
      </c>
      <c r="G23" s="127">
        <v>2.5796030000000001E-2</v>
      </c>
      <c r="H23" s="122" t="s">
        <v>153</v>
      </c>
      <c r="J23" s="2"/>
    </row>
    <row r="24" spans="1:10" ht="29.1" customHeight="1" x14ac:dyDescent="0.2">
      <c r="A24" s="123">
        <v>18</v>
      </c>
      <c r="B24" s="124" t="s">
        <v>434</v>
      </c>
      <c r="C24" s="124" t="s">
        <v>435</v>
      </c>
      <c r="D24" s="124" t="s">
        <v>208</v>
      </c>
      <c r="E24" s="125">
        <v>1238</v>
      </c>
      <c r="F24" s="126">
        <v>64.595125999999993</v>
      </c>
      <c r="G24" s="127">
        <v>2.5565979999999999E-2</v>
      </c>
      <c r="H24" s="122" t="s">
        <v>153</v>
      </c>
      <c r="J24" s="2"/>
    </row>
    <row r="25" spans="1:10" ht="17.100000000000001" customHeight="1" x14ac:dyDescent="0.2">
      <c r="A25" s="123">
        <v>19</v>
      </c>
      <c r="B25" s="124" t="s">
        <v>432</v>
      </c>
      <c r="C25" s="124" t="s">
        <v>433</v>
      </c>
      <c r="D25" s="124" t="s">
        <v>239</v>
      </c>
      <c r="E25" s="125">
        <v>2367</v>
      </c>
      <c r="F25" s="126">
        <v>61.218904500000001</v>
      </c>
      <c r="G25" s="127">
        <v>2.4229710000000002E-2</v>
      </c>
      <c r="H25" s="122" t="s">
        <v>153</v>
      </c>
      <c r="J25" s="2"/>
    </row>
    <row r="26" spans="1:10" ht="17.100000000000001" customHeight="1" x14ac:dyDescent="0.2">
      <c r="A26" s="123">
        <v>20</v>
      </c>
      <c r="B26" s="124" t="s">
        <v>69</v>
      </c>
      <c r="C26" s="124" t="s">
        <v>70</v>
      </c>
      <c r="D26" s="124" t="s">
        <v>71</v>
      </c>
      <c r="E26" s="125">
        <v>5006</v>
      </c>
      <c r="F26" s="126">
        <v>60.299773000000002</v>
      </c>
      <c r="G26" s="127">
        <v>2.386593E-2</v>
      </c>
      <c r="H26" s="122" t="s">
        <v>153</v>
      </c>
      <c r="J26" s="2"/>
    </row>
    <row r="27" spans="1:10" ht="17.100000000000001" customHeight="1" x14ac:dyDescent="0.2">
      <c r="A27" s="123">
        <v>21</v>
      </c>
      <c r="B27" s="124" t="s">
        <v>430</v>
      </c>
      <c r="C27" s="124" t="s">
        <v>431</v>
      </c>
      <c r="D27" s="124" t="s">
        <v>89</v>
      </c>
      <c r="E27" s="125">
        <v>6934</v>
      </c>
      <c r="F27" s="126">
        <v>59.878557000000001</v>
      </c>
      <c r="G27" s="127">
        <v>2.369922E-2</v>
      </c>
      <c r="H27" s="122" t="s">
        <v>153</v>
      </c>
      <c r="J27" s="2"/>
    </row>
    <row r="28" spans="1:10" ht="29.1" customHeight="1" x14ac:dyDescent="0.2">
      <c r="A28" s="123">
        <v>22</v>
      </c>
      <c r="B28" s="124" t="s">
        <v>436</v>
      </c>
      <c r="C28" s="124" t="s">
        <v>437</v>
      </c>
      <c r="D28" s="124" t="s">
        <v>438</v>
      </c>
      <c r="E28" s="125">
        <v>14767</v>
      </c>
      <c r="F28" s="126">
        <v>59.798966499999999</v>
      </c>
      <c r="G28" s="127">
        <v>2.366772E-2</v>
      </c>
      <c r="H28" s="122" t="s">
        <v>153</v>
      </c>
      <c r="J28" s="2"/>
    </row>
    <row r="29" spans="1:10" ht="29.1" customHeight="1" x14ac:dyDescent="0.2">
      <c r="A29" s="123">
        <v>23</v>
      </c>
      <c r="B29" s="124" t="s">
        <v>79</v>
      </c>
      <c r="C29" s="124" t="s">
        <v>80</v>
      </c>
      <c r="D29" s="124" t="s">
        <v>25</v>
      </c>
      <c r="E29" s="125">
        <v>1193</v>
      </c>
      <c r="F29" s="126">
        <v>53.135027000000001</v>
      </c>
      <c r="G29" s="127">
        <v>2.1030210000000001E-2</v>
      </c>
      <c r="H29" s="122" t="s">
        <v>153</v>
      </c>
      <c r="J29" s="2"/>
    </row>
    <row r="30" spans="1:10" ht="17.100000000000001" customHeight="1" x14ac:dyDescent="0.2">
      <c r="A30" s="123">
        <v>24</v>
      </c>
      <c r="B30" s="124" t="s">
        <v>439</v>
      </c>
      <c r="C30" s="124" t="s">
        <v>440</v>
      </c>
      <c r="D30" s="124" t="s">
        <v>35</v>
      </c>
      <c r="E30" s="125">
        <v>8416</v>
      </c>
      <c r="F30" s="126">
        <v>51.623744000000002</v>
      </c>
      <c r="G30" s="127">
        <v>2.0432059999999998E-2</v>
      </c>
      <c r="H30" s="122" t="s">
        <v>153</v>
      </c>
      <c r="J30" s="2"/>
    </row>
    <row r="31" spans="1:10" ht="17.100000000000001" customHeight="1" x14ac:dyDescent="0.2">
      <c r="A31" s="123">
        <v>25</v>
      </c>
      <c r="B31" s="124" t="s">
        <v>441</v>
      </c>
      <c r="C31" s="124" t="s">
        <v>442</v>
      </c>
      <c r="D31" s="124" t="s">
        <v>211</v>
      </c>
      <c r="E31" s="125">
        <v>7579</v>
      </c>
      <c r="F31" s="126">
        <v>50.820984500000002</v>
      </c>
      <c r="G31" s="127">
        <v>2.0114340000000001E-2</v>
      </c>
      <c r="H31" s="122" t="s">
        <v>153</v>
      </c>
      <c r="J31" s="2"/>
    </row>
    <row r="32" spans="1:10" ht="17.100000000000001" customHeight="1" x14ac:dyDescent="0.2">
      <c r="A32" s="123">
        <v>26</v>
      </c>
      <c r="B32" s="124" t="s">
        <v>106</v>
      </c>
      <c r="C32" s="124" t="s">
        <v>107</v>
      </c>
      <c r="D32" s="124" t="s">
        <v>35</v>
      </c>
      <c r="E32" s="125">
        <v>1906</v>
      </c>
      <c r="F32" s="126">
        <v>46.515929999999997</v>
      </c>
      <c r="G32" s="127">
        <v>1.8410449999999998E-2</v>
      </c>
      <c r="H32" s="122" t="s">
        <v>153</v>
      </c>
      <c r="J32" s="2"/>
    </row>
    <row r="33" spans="1:10" ht="17.100000000000001" customHeight="1" x14ac:dyDescent="0.2">
      <c r="A33" s="123">
        <v>27</v>
      </c>
      <c r="B33" s="124" t="s">
        <v>445</v>
      </c>
      <c r="C33" s="124" t="s">
        <v>446</v>
      </c>
      <c r="D33" s="124" t="s">
        <v>45</v>
      </c>
      <c r="E33" s="125">
        <v>5778</v>
      </c>
      <c r="F33" s="126">
        <v>45.458415000000002</v>
      </c>
      <c r="G33" s="127">
        <v>1.7991900000000002E-2</v>
      </c>
      <c r="H33" s="122" t="s">
        <v>153</v>
      </c>
      <c r="J33" s="2"/>
    </row>
    <row r="34" spans="1:10" ht="29.1" customHeight="1" x14ac:dyDescent="0.2">
      <c r="A34" s="123">
        <v>28</v>
      </c>
      <c r="B34" s="124" t="s">
        <v>295</v>
      </c>
      <c r="C34" s="124" t="s">
        <v>296</v>
      </c>
      <c r="D34" s="124" t="s">
        <v>208</v>
      </c>
      <c r="E34" s="125">
        <v>9440</v>
      </c>
      <c r="F34" s="126">
        <v>44.382159999999999</v>
      </c>
      <c r="G34" s="127">
        <v>1.756593E-2</v>
      </c>
      <c r="H34" s="122" t="s">
        <v>153</v>
      </c>
      <c r="J34" s="2"/>
    </row>
    <row r="35" spans="1:10" ht="17.100000000000001" customHeight="1" x14ac:dyDescent="0.2">
      <c r="A35" s="123">
        <v>29</v>
      </c>
      <c r="B35" s="124" t="s">
        <v>443</v>
      </c>
      <c r="C35" s="124" t="s">
        <v>444</v>
      </c>
      <c r="D35" s="124" t="s">
        <v>236</v>
      </c>
      <c r="E35" s="125">
        <v>5099</v>
      </c>
      <c r="F35" s="126">
        <v>41.949472999999998</v>
      </c>
      <c r="G35" s="127">
        <v>1.6603099999999999E-2</v>
      </c>
      <c r="H35" s="122" t="s">
        <v>153</v>
      </c>
      <c r="J35" s="2"/>
    </row>
    <row r="36" spans="1:10" ht="17.100000000000001" customHeight="1" x14ac:dyDescent="0.2">
      <c r="A36" s="123">
        <v>30</v>
      </c>
      <c r="B36" s="124" t="s">
        <v>449</v>
      </c>
      <c r="C36" s="124" t="s">
        <v>450</v>
      </c>
      <c r="D36" s="124" t="s">
        <v>89</v>
      </c>
      <c r="E36" s="125">
        <v>3328</v>
      </c>
      <c r="F36" s="126">
        <v>40.636544000000001</v>
      </c>
      <c r="G36" s="127">
        <v>1.6083460000000001E-2</v>
      </c>
      <c r="H36" s="122" t="s">
        <v>153</v>
      </c>
      <c r="J36" s="2"/>
    </row>
    <row r="37" spans="1:10" ht="17.100000000000001" customHeight="1" x14ac:dyDescent="0.2">
      <c r="A37" s="123">
        <v>31</v>
      </c>
      <c r="B37" s="124" t="s">
        <v>256</v>
      </c>
      <c r="C37" s="124" t="s">
        <v>257</v>
      </c>
      <c r="D37" s="124" t="s">
        <v>89</v>
      </c>
      <c r="E37" s="125">
        <v>2453</v>
      </c>
      <c r="F37" s="126">
        <v>39.297060000000002</v>
      </c>
      <c r="G37" s="127">
        <v>1.5553310000000001E-2</v>
      </c>
      <c r="H37" s="122" t="s">
        <v>153</v>
      </c>
      <c r="J37" s="2"/>
    </row>
    <row r="38" spans="1:10" ht="17.100000000000001" customHeight="1" x14ac:dyDescent="0.2">
      <c r="A38" s="123">
        <v>32</v>
      </c>
      <c r="B38" s="124" t="s">
        <v>447</v>
      </c>
      <c r="C38" s="124" t="s">
        <v>448</v>
      </c>
      <c r="D38" s="124" t="s">
        <v>45</v>
      </c>
      <c r="E38" s="125">
        <v>4055</v>
      </c>
      <c r="F38" s="126">
        <v>39.112502499999998</v>
      </c>
      <c r="G38" s="127">
        <v>1.5480259999999999E-2</v>
      </c>
      <c r="H38" s="122" t="s">
        <v>153</v>
      </c>
      <c r="J38" s="2"/>
    </row>
    <row r="39" spans="1:10" ht="17.100000000000001" customHeight="1" x14ac:dyDescent="0.2">
      <c r="A39" s="123">
        <v>33</v>
      </c>
      <c r="B39" s="124" t="s">
        <v>383</v>
      </c>
      <c r="C39" s="124" t="s">
        <v>384</v>
      </c>
      <c r="D39" s="124" t="s">
        <v>136</v>
      </c>
      <c r="E39" s="125">
        <v>18454</v>
      </c>
      <c r="F39" s="126">
        <v>28.190330400000001</v>
      </c>
      <c r="G39" s="127">
        <v>1.11574E-2</v>
      </c>
      <c r="H39" s="122" t="s">
        <v>153</v>
      </c>
      <c r="J39" s="2"/>
    </row>
    <row r="40" spans="1:10" ht="17.100000000000001" customHeight="1" x14ac:dyDescent="0.2">
      <c r="A40" s="123">
        <v>34</v>
      </c>
      <c r="B40" s="124" t="s">
        <v>453</v>
      </c>
      <c r="C40" s="124" t="s">
        <v>454</v>
      </c>
      <c r="D40" s="124" t="s">
        <v>86</v>
      </c>
      <c r="E40" s="125">
        <v>2557</v>
      </c>
      <c r="F40" s="126">
        <v>27.766463000000002</v>
      </c>
      <c r="G40" s="127">
        <v>1.098963E-2</v>
      </c>
      <c r="H40" s="122" t="s">
        <v>153</v>
      </c>
      <c r="J40" s="2"/>
    </row>
    <row r="41" spans="1:10" ht="17.100000000000001" customHeight="1" x14ac:dyDescent="0.2">
      <c r="A41" s="123">
        <v>35</v>
      </c>
      <c r="B41" s="124" t="s">
        <v>455</v>
      </c>
      <c r="C41" s="124" t="s">
        <v>456</v>
      </c>
      <c r="D41" s="124" t="s">
        <v>71</v>
      </c>
      <c r="E41" s="125">
        <v>695</v>
      </c>
      <c r="F41" s="126">
        <v>26.197330000000001</v>
      </c>
      <c r="G41" s="127">
        <v>1.036859E-2</v>
      </c>
      <c r="H41" s="122" t="s">
        <v>153</v>
      </c>
      <c r="J41" s="2"/>
    </row>
    <row r="42" spans="1:10" ht="17.100000000000001" customHeight="1" x14ac:dyDescent="0.2">
      <c r="A42" s="123">
        <v>36</v>
      </c>
      <c r="B42" s="124" t="s">
        <v>457</v>
      </c>
      <c r="C42" s="124" t="s">
        <v>458</v>
      </c>
      <c r="D42" s="124" t="s">
        <v>35</v>
      </c>
      <c r="E42" s="125">
        <v>1475</v>
      </c>
      <c r="F42" s="126">
        <v>22.4908</v>
      </c>
      <c r="G42" s="127">
        <v>8.9015899999999992E-3</v>
      </c>
      <c r="H42" s="122" t="s">
        <v>153</v>
      </c>
      <c r="J42" s="2"/>
    </row>
    <row r="43" spans="1:10" ht="17.100000000000001" customHeight="1" x14ac:dyDescent="0.2">
      <c r="A43" s="123">
        <v>37</v>
      </c>
      <c r="B43" s="124" t="s">
        <v>461</v>
      </c>
      <c r="C43" s="124" t="s">
        <v>462</v>
      </c>
      <c r="D43" s="124" t="s">
        <v>74</v>
      </c>
      <c r="E43" s="125">
        <v>2606</v>
      </c>
      <c r="F43" s="126">
        <v>15.546093000000001</v>
      </c>
      <c r="G43" s="127">
        <v>6.1529599999999999E-3</v>
      </c>
      <c r="H43" s="122" t="s">
        <v>153</v>
      </c>
      <c r="J43" s="2"/>
    </row>
    <row r="44" spans="1:10" ht="29.1" customHeight="1" x14ac:dyDescent="0.2">
      <c r="A44" s="123">
        <v>38</v>
      </c>
      <c r="B44" s="124" t="s">
        <v>459</v>
      </c>
      <c r="C44" s="124" t="s">
        <v>460</v>
      </c>
      <c r="D44" s="124" t="s">
        <v>45</v>
      </c>
      <c r="E44" s="125">
        <v>2931</v>
      </c>
      <c r="F44" s="126">
        <v>13.9823355</v>
      </c>
      <c r="G44" s="127">
        <v>5.5340399999999996E-3</v>
      </c>
      <c r="H44" s="122" t="s">
        <v>153</v>
      </c>
      <c r="J44" s="2"/>
    </row>
    <row r="45" spans="1:10" ht="14.1" customHeight="1" x14ac:dyDescent="0.2">
      <c r="A45" s="120"/>
      <c r="B45" s="120"/>
      <c r="C45" s="121" t="s">
        <v>152</v>
      </c>
      <c r="D45" s="120"/>
      <c r="E45" s="120" t="s">
        <v>153</v>
      </c>
      <c r="F45" s="128">
        <v>2451.0142590999999</v>
      </c>
      <c r="G45" s="129">
        <v>0.97008214000000004</v>
      </c>
      <c r="H45" s="122" t="s">
        <v>153</v>
      </c>
      <c r="J45" s="2"/>
    </row>
    <row r="46" spans="1:10" ht="14.1" customHeight="1" x14ac:dyDescent="0.2">
      <c r="A46" s="120"/>
      <c r="B46" s="120"/>
      <c r="C46" s="130"/>
      <c r="D46" s="120"/>
      <c r="E46" s="120"/>
      <c r="F46" s="131"/>
      <c r="G46" s="131"/>
      <c r="H46" s="122" t="s">
        <v>153</v>
      </c>
      <c r="J46" s="2"/>
    </row>
    <row r="47" spans="1:10" ht="14.1" customHeight="1" x14ac:dyDescent="0.2">
      <c r="A47" s="120"/>
      <c r="B47" s="120"/>
      <c r="C47" s="121" t="s">
        <v>154</v>
      </c>
      <c r="D47" s="120"/>
      <c r="E47" s="120"/>
      <c r="F47" s="120"/>
      <c r="G47" s="120"/>
      <c r="H47" s="122" t="s">
        <v>153</v>
      </c>
      <c r="J47" s="2"/>
    </row>
    <row r="48" spans="1:10" ht="14.1" customHeight="1" x14ac:dyDescent="0.2">
      <c r="A48" s="120"/>
      <c r="B48" s="120"/>
      <c r="C48" s="121" t="s">
        <v>152</v>
      </c>
      <c r="D48" s="120"/>
      <c r="E48" s="120" t="s">
        <v>153</v>
      </c>
      <c r="F48" s="132" t="s">
        <v>155</v>
      </c>
      <c r="G48" s="129">
        <v>0</v>
      </c>
      <c r="H48" s="122" t="s">
        <v>153</v>
      </c>
      <c r="J48" s="2"/>
    </row>
    <row r="49" spans="1:10" ht="14.1" customHeight="1" x14ac:dyDescent="0.2">
      <c r="A49" s="120"/>
      <c r="B49" s="120"/>
      <c r="C49" s="130"/>
      <c r="D49" s="120"/>
      <c r="E49" s="120"/>
      <c r="F49" s="131"/>
      <c r="G49" s="131"/>
      <c r="H49" s="122" t="s">
        <v>153</v>
      </c>
      <c r="J49" s="2"/>
    </row>
    <row r="50" spans="1:10" ht="14.1" customHeight="1" x14ac:dyDescent="0.2">
      <c r="A50" s="120"/>
      <c r="B50" s="120"/>
      <c r="C50" s="121" t="s">
        <v>156</v>
      </c>
      <c r="D50" s="120"/>
      <c r="E50" s="120"/>
      <c r="F50" s="120"/>
      <c r="G50" s="120"/>
      <c r="H50" s="122" t="s">
        <v>153</v>
      </c>
      <c r="J50" s="2"/>
    </row>
    <row r="51" spans="1:10" ht="14.1" customHeight="1" x14ac:dyDescent="0.2">
      <c r="A51" s="120"/>
      <c r="B51" s="120"/>
      <c r="C51" s="121" t="s">
        <v>152</v>
      </c>
      <c r="D51" s="120"/>
      <c r="E51" s="120" t="s">
        <v>153</v>
      </c>
      <c r="F51" s="132" t="s">
        <v>155</v>
      </c>
      <c r="G51" s="129">
        <v>0</v>
      </c>
      <c r="H51" s="122" t="s">
        <v>153</v>
      </c>
      <c r="J51" s="2"/>
    </row>
    <row r="52" spans="1:10" ht="14.1" customHeight="1" x14ac:dyDescent="0.2">
      <c r="A52" s="120"/>
      <c r="B52" s="120"/>
      <c r="C52" s="130"/>
      <c r="D52" s="120"/>
      <c r="E52" s="120"/>
      <c r="F52" s="131"/>
      <c r="G52" s="131"/>
      <c r="H52" s="122" t="s">
        <v>153</v>
      </c>
      <c r="J52" s="2"/>
    </row>
    <row r="53" spans="1:10" ht="14.1" customHeight="1" x14ac:dyDescent="0.2">
      <c r="A53" s="120"/>
      <c r="B53" s="120"/>
      <c r="C53" s="121" t="s">
        <v>157</v>
      </c>
      <c r="D53" s="120"/>
      <c r="E53" s="120"/>
      <c r="F53" s="120"/>
      <c r="G53" s="120"/>
      <c r="H53" s="122" t="s">
        <v>153</v>
      </c>
      <c r="J53" s="2"/>
    </row>
    <row r="54" spans="1:10" ht="14.1" customHeight="1" x14ac:dyDescent="0.2">
      <c r="A54" s="120"/>
      <c r="B54" s="120"/>
      <c r="C54" s="121" t="s">
        <v>152</v>
      </c>
      <c r="D54" s="120"/>
      <c r="E54" s="120" t="s">
        <v>153</v>
      </c>
      <c r="F54" s="132" t="s">
        <v>155</v>
      </c>
      <c r="G54" s="129">
        <v>0</v>
      </c>
      <c r="H54" s="122" t="s">
        <v>153</v>
      </c>
      <c r="J54" s="2"/>
    </row>
    <row r="55" spans="1:10" ht="14.1" customHeight="1" x14ac:dyDescent="0.2">
      <c r="A55" s="120"/>
      <c r="B55" s="120"/>
      <c r="C55" s="130"/>
      <c r="D55" s="120"/>
      <c r="E55" s="120"/>
      <c r="F55" s="131"/>
      <c r="G55" s="131"/>
      <c r="H55" s="122" t="s">
        <v>153</v>
      </c>
      <c r="J55" s="2"/>
    </row>
    <row r="56" spans="1:10" ht="14.1" customHeight="1" x14ac:dyDescent="0.2">
      <c r="A56" s="120"/>
      <c r="B56" s="120"/>
      <c r="C56" s="121" t="s">
        <v>158</v>
      </c>
      <c r="D56" s="120"/>
      <c r="E56" s="120"/>
      <c r="F56" s="131"/>
      <c r="G56" s="131"/>
      <c r="H56" s="122" t="s">
        <v>153</v>
      </c>
      <c r="J56" s="2"/>
    </row>
    <row r="57" spans="1:10" ht="14.1" customHeight="1" x14ac:dyDescent="0.2">
      <c r="A57" s="120"/>
      <c r="B57" s="120"/>
      <c r="C57" s="121" t="s">
        <v>152</v>
      </c>
      <c r="D57" s="120"/>
      <c r="E57" s="120" t="s">
        <v>153</v>
      </c>
      <c r="F57" s="132" t="s">
        <v>155</v>
      </c>
      <c r="G57" s="129">
        <v>0</v>
      </c>
      <c r="H57" s="122" t="s">
        <v>153</v>
      </c>
      <c r="J57" s="2"/>
    </row>
    <row r="58" spans="1:10" ht="14.1" customHeight="1" x14ac:dyDescent="0.2">
      <c r="A58" s="120"/>
      <c r="B58" s="120"/>
      <c r="C58" s="130"/>
      <c r="D58" s="120"/>
      <c r="E58" s="120"/>
      <c r="F58" s="131"/>
      <c r="G58" s="131"/>
      <c r="H58" s="122" t="s">
        <v>153</v>
      </c>
      <c r="J58" s="2"/>
    </row>
    <row r="59" spans="1:10" ht="14.1" customHeight="1" x14ac:dyDescent="0.2">
      <c r="A59" s="120"/>
      <c r="B59" s="120"/>
      <c r="C59" s="121" t="s">
        <v>159</v>
      </c>
      <c r="D59" s="120"/>
      <c r="E59" s="120"/>
      <c r="F59" s="131"/>
      <c r="G59" s="131"/>
      <c r="H59" s="122" t="s">
        <v>153</v>
      </c>
      <c r="J59" s="2"/>
    </row>
    <row r="60" spans="1:10" ht="14.1" customHeight="1" x14ac:dyDescent="0.2">
      <c r="A60" s="120"/>
      <c r="B60" s="120"/>
      <c r="C60" s="121" t="s">
        <v>152</v>
      </c>
      <c r="D60" s="120"/>
      <c r="E60" s="120" t="s">
        <v>153</v>
      </c>
      <c r="F60" s="132" t="s">
        <v>155</v>
      </c>
      <c r="G60" s="129">
        <v>0</v>
      </c>
      <c r="H60" s="122" t="s">
        <v>153</v>
      </c>
      <c r="J60" s="2"/>
    </row>
    <row r="61" spans="1:10" ht="14.1" customHeight="1" x14ac:dyDescent="0.2">
      <c r="A61" s="120"/>
      <c r="B61" s="120"/>
      <c r="C61" s="130"/>
      <c r="D61" s="120"/>
      <c r="E61" s="120"/>
      <c r="F61" s="131"/>
      <c r="G61" s="131"/>
      <c r="H61" s="122" t="s">
        <v>153</v>
      </c>
      <c r="J61" s="2"/>
    </row>
    <row r="62" spans="1:10" ht="18" customHeight="1" x14ac:dyDescent="0.2">
      <c r="A62" s="120"/>
      <c r="B62" s="120"/>
      <c r="C62" s="121" t="s">
        <v>160</v>
      </c>
      <c r="D62" s="120"/>
      <c r="E62" s="120"/>
      <c r="F62" s="128">
        <v>2451.0142590999999</v>
      </c>
      <c r="G62" s="129">
        <v>0.97008214000000004</v>
      </c>
      <c r="H62" s="122" t="s">
        <v>153</v>
      </c>
      <c r="J62" s="2"/>
    </row>
    <row r="63" spans="1:10" ht="14.1" customHeight="1" x14ac:dyDescent="0.2">
      <c r="A63" s="120"/>
      <c r="B63" s="120"/>
      <c r="C63" s="130"/>
      <c r="D63" s="120"/>
      <c r="E63" s="120"/>
      <c r="F63" s="131"/>
      <c r="G63" s="131"/>
      <c r="H63" s="122" t="s">
        <v>153</v>
      </c>
      <c r="J63" s="2"/>
    </row>
    <row r="64" spans="1:10" ht="14.1" customHeight="1" x14ac:dyDescent="0.2">
      <c r="A64" s="120"/>
      <c r="B64" s="120"/>
      <c r="C64" s="121" t="s">
        <v>161</v>
      </c>
      <c r="D64" s="120"/>
      <c r="E64" s="120"/>
      <c r="F64" s="131"/>
      <c r="G64" s="131"/>
      <c r="H64" s="122" t="s">
        <v>153</v>
      </c>
      <c r="J64" s="2"/>
    </row>
    <row r="65" spans="1:10" ht="24" customHeight="1" x14ac:dyDescent="0.2">
      <c r="A65" s="120"/>
      <c r="B65" s="120"/>
      <c r="C65" s="121" t="s">
        <v>10</v>
      </c>
      <c r="D65" s="120"/>
      <c r="E65" s="120"/>
      <c r="F65" s="131"/>
      <c r="G65" s="131"/>
      <c r="H65" s="122" t="s">
        <v>153</v>
      </c>
      <c r="J65" s="2"/>
    </row>
    <row r="66" spans="1:10" ht="14.1" customHeight="1" x14ac:dyDescent="0.2">
      <c r="A66" s="120"/>
      <c r="B66" s="120"/>
      <c r="C66" s="121" t="s">
        <v>152</v>
      </c>
      <c r="D66" s="120"/>
      <c r="E66" s="120" t="s">
        <v>153</v>
      </c>
      <c r="F66" s="132" t="s">
        <v>155</v>
      </c>
      <c r="G66" s="129">
        <v>0</v>
      </c>
      <c r="H66" s="122" t="s">
        <v>153</v>
      </c>
      <c r="J66" s="2"/>
    </row>
    <row r="67" spans="1:10" ht="14.1" customHeight="1" x14ac:dyDescent="0.2">
      <c r="A67" s="120"/>
      <c r="B67" s="120"/>
      <c r="C67" s="130"/>
      <c r="D67" s="120"/>
      <c r="E67" s="120"/>
      <c r="F67" s="131"/>
      <c r="G67" s="131"/>
      <c r="H67" s="122" t="s">
        <v>153</v>
      </c>
      <c r="J67" s="2"/>
    </row>
    <row r="68" spans="1:10" ht="14.1" customHeight="1" x14ac:dyDescent="0.2">
      <c r="A68" s="120"/>
      <c r="B68" s="120"/>
      <c r="C68" s="121" t="s">
        <v>162</v>
      </c>
      <c r="D68" s="120"/>
      <c r="E68" s="120"/>
      <c r="F68" s="120"/>
      <c r="G68" s="120"/>
      <c r="H68" s="122" t="s">
        <v>153</v>
      </c>
      <c r="J68" s="2"/>
    </row>
    <row r="69" spans="1:10" ht="14.1" customHeight="1" x14ac:dyDescent="0.2">
      <c r="A69" s="120"/>
      <c r="B69" s="120"/>
      <c r="C69" s="121" t="s">
        <v>152</v>
      </c>
      <c r="D69" s="120"/>
      <c r="E69" s="120" t="s">
        <v>153</v>
      </c>
      <c r="F69" s="132" t="s">
        <v>155</v>
      </c>
      <c r="G69" s="129">
        <v>0</v>
      </c>
      <c r="H69" s="122" t="s">
        <v>153</v>
      </c>
      <c r="J69" s="2"/>
    </row>
    <row r="70" spans="1:10" ht="14.1" customHeight="1" x14ac:dyDescent="0.2">
      <c r="A70" s="120"/>
      <c r="B70" s="120"/>
      <c r="C70" s="130"/>
      <c r="D70" s="120"/>
      <c r="E70" s="120"/>
      <c r="F70" s="131"/>
      <c r="G70" s="131"/>
      <c r="H70" s="122" t="s">
        <v>153</v>
      </c>
      <c r="J70" s="2"/>
    </row>
    <row r="71" spans="1:10" ht="14.1" customHeight="1" x14ac:dyDescent="0.2">
      <c r="A71" s="120"/>
      <c r="B71" s="120"/>
      <c r="C71" s="121" t="s">
        <v>163</v>
      </c>
      <c r="D71" s="120"/>
      <c r="E71" s="120"/>
      <c r="F71" s="120"/>
      <c r="G71" s="120"/>
      <c r="H71" s="122" t="s">
        <v>153</v>
      </c>
      <c r="J71" s="2"/>
    </row>
    <row r="72" spans="1:10" ht="14.1" customHeight="1" x14ac:dyDescent="0.2">
      <c r="A72" s="120"/>
      <c r="B72" s="120"/>
      <c r="C72" s="121" t="s">
        <v>152</v>
      </c>
      <c r="D72" s="120"/>
      <c r="E72" s="120" t="s">
        <v>153</v>
      </c>
      <c r="F72" s="132" t="s">
        <v>155</v>
      </c>
      <c r="G72" s="129">
        <v>0</v>
      </c>
      <c r="H72" s="122" t="s">
        <v>153</v>
      </c>
      <c r="J72" s="2"/>
    </row>
    <row r="73" spans="1:10" ht="14.1" customHeight="1" x14ac:dyDescent="0.2">
      <c r="A73" s="120"/>
      <c r="B73" s="120"/>
      <c r="C73" s="130"/>
      <c r="D73" s="120"/>
      <c r="E73" s="120"/>
      <c r="F73" s="131"/>
      <c r="G73" s="131"/>
      <c r="H73" s="122" t="s">
        <v>153</v>
      </c>
      <c r="J73" s="2"/>
    </row>
    <row r="74" spans="1:10" ht="14.1" customHeight="1" x14ac:dyDescent="0.2">
      <c r="A74" s="120"/>
      <c r="B74" s="120"/>
      <c r="C74" s="121" t="s">
        <v>164</v>
      </c>
      <c r="D74" s="120"/>
      <c r="E74" s="120"/>
      <c r="F74" s="131"/>
      <c r="G74" s="131"/>
      <c r="H74" s="122" t="s">
        <v>153</v>
      </c>
      <c r="J74" s="2"/>
    </row>
    <row r="75" spans="1:10" ht="14.1" customHeight="1" x14ac:dyDescent="0.2">
      <c r="A75" s="120"/>
      <c r="B75" s="120"/>
      <c r="C75" s="121" t="s">
        <v>152</v>
      </c>
      <c r="D75" s="120"/>
      <c r="E75" s="120" t="s">
        <v>153</v>
      </c>
      <c r="F75" s="132" t="s">
        <v>155</v>
      </c>
      <c r="G75" s="129">
        <v>0</v>
      </c>
      <c r="H75" s="122" t="s">
        <v>153</v>
      </c>
      <c r="J75" s="2"/>
    </row>
    <row r="76" spans="1:10" ht="14.1" customHeight="1" x14ac:dyDescent="0.2">
      <c r="A76" s="120"/>
      <c r="B76" s="120"/>
      <c r="C76" s="130"/>
      <c r="D76" s="120"/>
      <c r="E76" s="120"/>
      <c r="F76" s="131"/>
      <c r="G76" s="131"/>
      <c r="H76" s="122" t="s">
        <v>153</v>
      </c>
      <c r="J76" s="2"/>
    </row>
    <row r="77" spans="1:10" ht="14.1" customHeight="1" x14ac:dyDescent="0.2">
      <c r="A77" s="120"/>
      <c r="B77" s="120"/>
      <c r="C77" s="121" t="s">
        <v>165</v>
      </c>
      <c r="D77" s="120"/>
      <c r="E77" s="120"/>
      <c r="F77" s="128">
        <v>0</v>
      </c>
      <c r="G77" s="129">
        <v>0</v>
      </c>
      <c r="H77" s="122" t="s">
        <v>153</v>
      </c>
      <c r="J77" s="2"/>
    </row>
    <row r="78" spans="1:10" ht="14.1" customHeight="1" x14ac:dyDescent="0.2">
      <c r="A78" s="120"/>
      <c r="B78" s="120"/>
      <c r="C78" s="130"/>
      <c r="D78" s="120"/>
      <c r="E78" s="120"/>
      <c r="F78" s="131"/>
      <c r="G78" s="131"/>
      <c r="H78" s="122" t="s">
        <v>153</v>
      </c>
      <c r="J78" s="2"/>
    </row>
    <row r="79" spans="1:10" ht="14.1" customHeight="1" x14ac:dyDescent="0.2">
      <c r="A79" s="120"/>
      <c r="B79" s="120"/>
      <c r="C79" s="121" t="s">
        <v>166</v>
      </c>
      <c r="D79" s="120"/>
      <c r="E79" s="120"/>
      <c r="F79" s="131"/>
      <c r="G79" s="131"/>
      <c r="H79" s="122" t="s">
        <v>153</v>
      </c>
      <c r="J79" s="2"/>
    </row>
    <row r="80" spans="1:10" ht="14.1" customHeight="1" x14ac:dyDescent="0.2">
      <c r="A80" s="120"/>
      <c r="B80" s="120"/>
      <c r="C80" s="121" t="s">
        <v>167</v>
      </c>
      <c r="D80" s="120"/>
      <c r="E80" s="120"/>
      <c r="F80" s="131"/>
      <c r="G80" s="131"/>
      <c r="H80" s="122" t="s">
        <v>153</v>
      </c>
      <c r="J80" s="2"/>
    </row>
    <row r="81" spans="1:10" ht="14.1" customHeight="1" x14ac:dyDescent="0.2">
      <c r="A81" s="120"/>
      <c r="B81" s="120"/>
      <c r="C81" s="121" t="s">
        <v>152</v>
      </c>
      <c r="D81" s="120"/>
      <c r="E81" s="120" t="s">
        <v>153</v>
      </c>
      <c r="F81" s="132" t="s">
        <v>155</v>
      </c>
      <c r="G81" s="129">
        <v>0</v>
      </c>
      <c r="H81" s="122" t="s">
        <v>153</v>
      </c>
      <c r="J81" s="2"/>
    </row>
    <row r="82" spans="1:10" ht="14.1" customHeight="1" x14ac:dyDescent="0.2">
      <c r="A82" s="120"/>
      <c r="B82" s="120"/>
      <c r="C82" s="130"/>
      <c r="D82" s="120"/>
      <c r="E82" s="120"/>
      <c r="F82" s="131"/>
      <c r="G82" s="131"/>
      <c r="H82" s="122" t="s">
        <v>153</v>
      </c>
      <c r="J82" s="2"/>
    </row>
    <row r="83" spans="1:10" ht="14.1" customHeight="1" x14ac:dyDescent="0.2">
      <c r="A83" s="120"/>
      <c r="B83" s="120"/>
      <c r="C83" s="121" t="s">
        <v>168</v>
      </c>
      <c r="D83" s="120"/>
      <c r="E83" s="120"/>
      <c r="F83" s="131"/>
      <c r="G83" s="131"/>
      <c r="H83" s="122" t="s">
        <v>153</v>
      </c>
      <c r="J83" s="2"/>
    </row>
    <row r="84" spans="1:10" ht="14.1" customHeight="1" x14ac:dyDescent="0.2">
      <c r="A84" s="120"/>
      <c r="B84" s="120"/>
      <c r="C84" s="121" t="s">
        <v>152</v>
      </c>
      <c r="D84" s="120"/>
      <c r="E84" s="120" t="s">
        <v>153</v>
      </c>
      <c r="F84" s="132" t="s">
        <v>155</v>
      </c>
      <c r="G84" s="129">
        <v>0</v>
      </c>
      <c r="H84" s="122" t="s">
        <v>153</v>
      </c>
      <c r="J84" s="2"/>
    </row>
    <row r="85" spans="1:10" ht="14.1" customHeight="1" x14ac:dyDescent="0.2">
      <c r="A85" s="120"/>
      <c r="B85" s="120"/>
      <c r="C85" s="130"/>
      <c r="D85" s="120"/>
      <c r="E85" s="120"/>
      <c r="F85" s="131"/>
      <c r="G85" s="131"/>
      <c r="H85" s="122" t="s">
        <v>153</v>
      </c>
      <c r="J85" s="2"/>
    </row>
    <row r="86" spans="1:10" ht="14.1" customHeight="1" x14ac:dyDescent="0.2">
      <c r="A86" s="120"/>
      <c r="B86" s="120"/>
      <c r="C86" s="121" t="s">
        <v>169</v>
      </c>
      <c r="D86" s="120"/>
      <c r="E86" s="120"/>
      <c r="F86" s="131"/>
      <c r="G86" s="131"/>
      <c r="H86" s="122" t="s">
        <v>153</v>
      </c>
      <c r="J86" s="2"/>
    </row>
    <row r="87" spans="1:10" ht="14.1" customHeight="1" x14ac:dyDescent="0.2">
      <c r="A87" s="120"/>
      <c r="B87" s="120"/>
      <c r="C87" s="121" t="s">
        <v>152</v>
      </c>
      <c r="D87" s="120"/>
      <c r="E87" s="120" t="s">
        <v>153</v>
      </c>
      <c r="F87" s="132" t="s">
        <v>155</v>
      </c>
      <c r="G87" s="129">
        <v>0</v>
      </c>
      <c r="H87" s="122" t="s">
        <v>153</v>
      </c>
      <c r="J87" s="2"/>
    </row>
    <row r="88" spans="1:10" ht="14.1" customHeight="1" x14ac:dyDescent="0.2">
      <c r="A88" s="120"/>
      <c r="B88" s="120"/>
      <c r="C88" s="130"/>
      <c r="D88" s="120"/>
      <c r="E88" s="120"/>
      <c r="F88" s="131"/>
      <c r="G88" s="131"/>
      <c r="H88" s="122" t="s">
        <v>153</v>
      </c>
      <c r="J88" s="2"/>
    </row>
    <row r="89" spans="1:10" ht="14.1" customHeight="1" x14ac:dyDescent="0.2">
      <c r="A89" s="120"/>
      <c r="B89" s="120"/>
      <c r="C89" s="121" t="s">
        <v>170</v>
      </c>
      <c r="D89" s="120"/>
      <c r="E89" s="120"/>
      <c r="F89" s="131"/>
      <c r="G89" s="131"/>
      <c r="H89" s="122" t="s">
        <v>153</v>
      </c>
      <c r="J89" s="2"/>
    </row>
    <row r="90" spans="1:10" ht="17.100000000000001" customHeight="1" x14ac:dyDescent="0.2">
      <c r="A90" s="123">
        <v>1</v>
      </c>
      <c r="B90" s="124"/>
      <c r="C90" s="124" t="s">
        <v>171</v>
      </c>
      <c r="D90" s="124"/>
      <c r="E90" s="133"/>
      <c r="F90" s="126">
        <v>74.545632699999999</v>
      </c>
      <c r="G90" s="127">
        <v>2.9504269999999999E-2</v>
      </c>
      <c r="H90" s="122">
        <v>6.62</v>
      </c>
      <c r="J90" s="2"/>
    </row>
    <row r="91" spans="1:10" ht="14.1" customHeight="1" x14ac:dyDescent="0.2">
      <c r="A91" s="120"/>
      <c r="B91" s="120"/>
      <c r="C91" s="121" t="s">
        <v>152</v>
      </c>
      <c r="D91" s="120"/>
      <c r="E91" s="120" t="s">
        <v>153</v>
      </c>
      <c r="F91" s="128">
        <v>74.545632699999999</v>
      </c>
      <c r="G91" s="129">
        <v>2.9504269999999999E-2</v>
      </c>
      <c r="H91" s="122" t="s">
        <v>153</v>
      </c>
      <c r="J91" s="2"/>
    </row>
    <row r="92" spans="1:10" ht="14.1" customHeight="1" x14ac:dyDescent="0.2">
      <c r="A92" s="120"/>
      <c r="B92" s="120"/>
      <c r="C92" s="130"/>
      <c r="D92" s="120"/>
      <c r="E92" s="120"/>
      <c r="F92" s="131"/>
      <c r="G92" s="131"/>
      <c r="H92" s="122" t="s">
        <v>153</v>
      </c>
      <c r="J92" s="2"/>
    </row>
    <row r="93" spans="1:10" ht="14.1" customHeight="1" x14ac:dyDescent="0.2">
      <c r="A93" s="120"/>
      <c r="B93" s="120"/>
      <c r="C93" s="121" t="s">
        <v>172</v>
      </c>
      <c r="D93" s="120"/>
      <c r="E93" s="120"/>
      <c r="F93" s="128">
        <v>74.545632699999999</v>
      </c>
      <c r="G93" s="129">
        <v>2.9504269999999999E-2</v>
      </c>
      <c r="H93" s="122" t="s">
        <v>153</v>
      </c>
      <c r="J93" s="2"/>
    </row>
    <row r="94" spans="1:10" ht="14.1" customHeight="1" x14ac:dyDescent="0.2">
      <c r="A94" s="120"/>
      <c r="B94" s="120"/>
      <c r="C94" s="131"/>
      <c r="D94" s="120"/>
      <c r="E94" s="120"/>
      <c r="F94" s="120"/>
      <c r="G94" s="120"/>
      <c r="H94" s="122" t="s">
        <v>153</v>
      </c>
      <c r="J94" s="2"/>
    </row>
    <row r="95" spans="1:10" ht="14.1" customHeight="1" x14ac:dyDescent="0.2">
      <c r="A95" s="120"/>
      <c r="B95" s="120"/>
      <c r="C95" s="121" t="s">
        <v>173</v>
      </c>
      <c r="D95" s="120"/>
      <c r="E95" s="120"/>
      <c r="F95" s="120"/>
      <c r="G95" s="120"/>
      <c r="H95" s="122" t="s">
        <v>153</v>
      </c>
      <c r="J95" s="2"/>
    </row>
    <row r="96" spans="1:10" ht="14.1" customHeight="1" x14ac:dyDescent="0.2">
      <c r="A96" s="120"/>
      <c r="B96" s="120"/>
      <c r="C96" s="121" t="s">
        <v>174</v>
      </c>
      <c r="D96" s="120"/>
      <c r="E96" s="120"/>
      <c r="F96" s="120"/>
      <c r="G96" s="120"/>
      <c r="H96" s="122" t="s">
        <v>153</v>
      </c>
      <c r="J96" s="2"/>
    </row>
    <row r="97" spans="1:17" ht="14.1" customHeight="1" x14ac:dyDescent="0.2">
      <c r="A97" s="120"/>
      <c r="B97" s="120"/>
      <c r="C97" s="121" t="s">
        <v>152</v>
      </c>
      <c r="D97" s="120"/>
      <c r="E97" s="120" t="s">
        <v>153</v>
      </c>
      <c r="F97" s="132" t="s">
        <v>155</v>
      </c>
      <c r="G97" s="129">
        <v>0</v>
      </c>
      <c r="H97" s="122" t="s">
        <v>153</v>
      </c>
      <c r="J97" s="2"/>
    </row>
    <row r="98" spans="1:17" ht="14.1" customHeight="1" x14ac:dyDescent="0.2">
      <c r="A98" s="120"/>
      <c r="B98" s="120"/>
      <c r="C98" s="130"/>
      <c r="D98" s="120"/>
      <c r="E98" s="120"/>
      <c r="F98" s="131"/>
      <c r="G98" s="131"/>
      <c r="H98" s="122" t="s">
        <v>153</v>
      </c>
      <c r="J98" s="2"/>
    </row>
    <row r="99" spans="1:17" ht="14.1" customHeight="1" x14ac:dyDescent="0.2">
      <c r="A99" s="120"/>
      <c r="B99" s="120"/>
      <c r="C99" s="121" t="s">
        <v>175</v>
      </c>
      <c r="D99" s="120"/>
      <c r="E99" s="120"/>
      <c r="F99" s="120"/>
      <c r="G99" s="120"/>
      <c r="H99" s="122" t="s">
        <v>153</v>
      </c>
      <c r="J99" s="2"/>
    </row>
    <row r="100" spans="1:17" ht="14.1" customHeight="1" x14ac:dyDescent="0.2">
      <c r="A100" s="120"/>
      <c r="B100" s="120"/>
      <c r="C100" s="121" t="s">
        <v>176</v>
      </c>
      <c r="D100" s="120"/>
      <c r="E100" s="120"/>
      <c r="F100" s="120"/>
      <c r="G100" s="120"/>
      <c r="H100" s="122" t="s">
        <v>153</v>
      </c>
      <c r="J100" s="2"/>
    </row>
    <row r="101" spans="1:17" ht="14.1" customHeight="1" x14ac:dyDescent="0.2">
      <c r="A101" s="120"/>
      <c r="B101" s="120"/>
      <c r="C101" s="121" t="s">
        <v>152</v>
      </c>
      <c r="D101" s="120"/>
      <c r="E101" s="120" t="s">
        <v>153</v>
      </c>
      <c r="F101" s="132" t="s">
        <v>155</v>
      </c>
      <c r="G101" s="129">
        <v>0</v>
      </c>
      <c r="H101" s="122" t="s">
        <v>153</v>
      </c>
      <c r="J101" s="2"/>
    </row>
    <row r="102" spans="1:17" ht="14.1" customHeight="1" x14ac:dyDescent="0.2">
      <c r="A102" s="120"/>
      <c r="B102" s="120"/>
      <c r="C102" s="130"/>
      <c r="D102" s="120"/>
      <c r="E102" s="120"/>
      <c r="F102" s="131"/>
      <c r="G102" s="131"/>
      <c r="H102" s="122" t="s">
        <v>153</v>
      </c>
      <c r="J102" s="2"/>
    </row>
    <row r="103" spans="1:17" ht="24" customHeight="1" x14ac:dyDescent="0.2">
      <c r="A103" s="120"/>
      <c r="B103" s="120"/>
      <c r="C103" s="121" t="s">
        <v>177</v>
      </c>
      <c r="D103" s="120"/>
      <c r="E103" s="120"/>
      <c r="F103" s="131"/>
      <c r="G103" s="131"/>
      <c r="H103" s="122" t="s">
        <v>153</v>
      </c>
      <c r="J103" s="2"/>
    </row>
    <row r="104" spans="1:17" ht="14.1" customHeight="1" x14ac:dyDescent="0.2">
      <c r="A104" s="120"/>
      <c r="B104" s="120"/>
      <c r="C104" s="121" t="s">
        <v>152</v>
      </c>
      <c r="D104" s="120"/>
      <c r="E104" s="120" t="s">
        <v>153</v>
      </c>
      <c r="F104" s="132" t="s">
        <v>155</v>
      </c>
      <c r="G104" s="129">
        <v>0</v>
      </c>
      <c r="H104" s="122" t="s">
        <v>153</v>
      </c>
      <c r="J104" s="2"/>
    </row>
    <row r="105" spans="1:17" ht="14.1" customHeight="1" x14ac:dyDescent="0.2">
      <c r="A105" s="120"/>
      <c r="B105" s="120"/>
      <c r="C105" s="130"/>
      <c r="D105" s="120"/>
      <c r="E105" s="120"/>
      <c r="F105" s="131"/>
      <c r="G105" s="131"/>
      <c r="H105" s="122" t="s">
        <v>153</v>
      </c>
      <c r="J105" s="2"/>
    </row>
    <row r="106" spans="1:17" ht="18" customHeight="1" x14ac:dyDescent="0.2">
      <c r="A106" s="133"/>
      <c r="B106" s="124"/>
      <c r="C106" s="124" t="s">
        <v>178</v>
      </c>
      <c r="D106" s="124"/>
      <c r="E106" s="133"/>
      <c r="F106" s="126">
        <v>1.04510302</v>
      </c>
      <c r="G106" s="127">
        <v>4.1364E-4</v>
      </c>
      <c r="H106" s="122" t="s">
        <v>153</v>
      </c>
      <c r="J106" s="2"/>
    </row>
    <row r="107" spans="1:17" ht="14.1" customHeight="1" x14ac:dyDescent="0.2">
      <c r="A107" s="130"/>
      <c r="B107" s="130"/>
      <c r="C107" s="121" t="s">
        <v>179</v>
      </c>
      <c r="D107" s="131"/>
      <c r="E107" s="131"/>
      <c r="F107" s="128">
        <v>2526.6049948199998</v>
      </c>
      <c r="G107" s="134">
        <v>1.0000000499999999</v>
      </c>
      <c r="H107" s="122" t="s">
        <v>153</v>
      </c>
      <c r="J107" s="2"/>
    </row>
    <row r="108" spans="1:17" ht="14.1" customHeight="1" x14ac:dyDescent="0.2">
      <c r="A108" s="135"/>
      <c r="B108" s="135"/>
      <c r="C108" s="135"/>
      <c r="D108" s="136"/>
      <c r="E108" s="136"/>
      <c r="F108" s="136"/>
      <c r="G108" s="136"/>
      <c r="J108" s="2"/>
    </row>
    <row r="109" spans="1:17" ht="12.75" customHeight="1" x14ac:dyDescent="0.2">
      <c r="A109" s="137"/>
      <c r="B109" s="226" t="s">
        <v>863</v>
      </c>
      <c r="C109" s="226"/>
      <c r="D109" s="226"/>
      <c r="E109" s="226"/>
      <c r="F109" s="226"/>
      <c r="G109" s="226"/>
      <c r="H109" s="226"/>
      <c r="J109" s="2"/>
    </row>
    <row r="110" spans="1:17" ht="14.1" customHeight="1" x14ac:dyDescent="0.2">
      <c r="A110" s="137"/>
      <c r="B110" s="226" t="s">
        <v>864</v>
      </c>
      <c r="C110" s="226"/>
      <c r="D110" s="226"/>
      <c r="E110" s="226"/>
      <c r="F110" s="226"/>
      <c r="G110" s="226"/>
      <c r="H110" s="226"/>
      <c r="J110" s="2"/>
    </row>
    <row r="111" spans="1:17" ht="17.100000000000001" customHeight="1" x14ac:dyDescent="0.2">
      <c r="A111" s="137"/>
      <c r="B111" s="226" t="s">
        <v>865</v>
      </c>
      <c r="C111" s="226"/>
      <c r="D111" s="226"/>
      <c r="E111" s="226"/>
      <c r="F111" s="226"/>
      <c r="G111" s="226"/>
      <c r="H111" s="226"/>
      <c r="J111" s="2"/>
    </row>
    <row r="112" spans="1:17" s="5" customFormat="1" ht="65.25" customHeight="1" x14ac:dyDescent="0.25">
      <c r="A112" s="139"/>
      <c r="B112" s="227" t="s">
        <v>866</v>
      </c>
      <c r="C112" s="227"/>
      <c r="D112" s="227"/>
      <c r="E112" s="227"/>
      <c r="F112" s="227"/>
      <c r="G112" s="227"/>
      <c r="H112" s="227"/>
      <c r="I112"/>
      <c r="J112" s="2"/>
      <c r="K112"/>
      <c r="L112"/>
      <c r="M112"/>
      <c r="N112"/>
      <c r="O112"/>
      <c r="P112"/>
      <c r="Q112"/>
    </row>
    <row r="113" spans="1:10" ht="12.75" customHeight="1" x14ac:dyDescent="0.2">
      <c r="A113" s="137"/>
      <c r="B113" s="226" t="s">
        <v>867</v>
      </c>
      <c r="C113" s="226"/>
      <c r="D113" s="226"/>
      <c r="E113" s="226"/>
      <c r="F113" s="226"/>
      <c r="G113" s="226"/>
      <c r="H113" s="226"/>
      <c r="J113" s="2"/>
    </row>
    <row r="114" spans="1:10" ht="15" customHeight="1" x14ac:dyDescent="0.2">
      <c r="A114" s="140"/>
      <c r="B114" s="233" t="s">
        <v>153</v>
      </c>
      <c r="C114" s="233"/>
      <c r="D114" s="233"/>
      <c r="E114" s="233"/>
      <c r="F114" s="233"/>
      <c r="G114" s="141"/>
      <c r="J114" s="2"/>
    </row>
    <row r="115" spans="1:10" ht="14.1" customHeight="1" x14ac:dyDescent="0.2">
      <c r="A115" s="140"/>
      <c r="B115" s="228" t="s">
        <v>180</v>
      </c>
      <c r="C115" s="229"/>
      <c r="D115" s="230"/>
      <c r="E115" s="142"/>
      <c r="F115" s="141"/>
      <c r="G115" s="141"/>
      <c r="J115" s="2"/>
    </row>
    <row r="116" spans="1:10" ht="29.1" customHeight="1" x14ac:dyDescent="0.2">
      <c r="A116" s="140"/>
      <c r="B116" s="223" t="s">
        <v>181</v>
      </c>
      <c r="C116" s="224"/>
      <c r="D116" s="121" t="s">
        <v>182</v>
      </c>
      <c r="E116" s="142"/>
      <c r="F116" s="141"/>
      <c r="G116" s="141"/>
      <c r="J116" s="2"/>
    </row>
    <row r="117" spans="1:10" x14ac:dyDescent="0.2">
      <c r="A117" s="140"/>
      <c r="B117" s="221" t="s">
        <v>868</v>
      </c>
      <c r="C117" s="222"/>
      <c r="D117" s="143" t="s">
        <v>182</v>
      </c>
      <c r="E117" s="142"/>
      <c r="F117" s="141"/>
      <c r="G117" s="141"/>
      <c r="J117" s="2"/>
    </row>
    <row r="118" spans="1:10" ht="17.100000000000001" customHeight="1" x14ac:dyDescent="0.2">
      <c r="A118" s="140"/>
      <c r="B118" s="223" t="s">
        <v>184</v>
      </c>
      <c r="C118" s="224"/>
      <c r="D118" s="131" t="s">
        <v>153</v>
      </c>
      <c r="E118" s="142"/>
      <c r="F118" s="141"/>
      <c r="G118" s="141"/>
      <c r="J118" s="2"/>
    </row>
    <row r="119" spans="1:10" x14ac:dyDescent="0.2">
      <c r="A119" s="144"/>
      <c r="B119" s="145" t="s">
        <v>153</v>
      </c>
      <c r="C119" s="145" t="s">
        <v>870</v>
      </c>
      <c r="D119" s="145" t="s">
        <v>185</v>
      </c>
      <c r="E119" s="144"/>
      <c r="F119" s="144"/>
      <c r="G119" s="144"/>
      <c r="H119" s="144"/>
      <c r="J119" s="2"/>
    </row>
    <row r="120" spans="1:10" x14ac:dyDescent="0.2">
      <c r="A120" s="146"/>
      <c r="B120" s="147" t="s">
        <v>186</v>
      </c>
      <c r="C120" s="148">
        <v>45504</v>
      </c>
      <c r="D120" s="149">
        <v>45535</v>
      </c>
      <c r="E120" s="146"/>
      <c r="F120" s="146"/>
      <c r="G120" s="146"/>
      <c r="J120" s="2"/>
    </row>
    <row r="121" spans="1:10" ht="17.100000000000001" customHeight="1" x14ac:dyDescent="0.2">
      <c r="A121" s="146"/>
      <c r="B121" s="124" t="s">
        <v>187</v>
      </c>
      <c r="C121" s="150">
        <v>33.023400000000002</v>
      </c>
      <c r="D121" s="150">
        <v>33.910400000000003</v>
      </c>
      <c r="E121" s="146"/>
      <c r="F121" s="151"/>
      <c r="G121" s="152"/>
      <c r="J121" s="2"/>
    </row>
    <row r="122" spans="1:10" ht="17.100000000000001" customHeight="1" x14ac:dyDescent="0.2">
      <c r="A122" s="146"/>
      <c r="B122" s="124" t="s">
        <v>926</v>
      </c>
      <c r="C122" s="150">
        <v>30.341200000000001</v>
      </c>
      <c r="D122" s="150">
        <v>31.156099999999999</v>
      </c>
      <c r="E122" s="146"/>
      <c r="F122" s="151"/>
      <c r="G122" s="152"/>
      <c r="J122" s="2"/>
    </row>
    <row r="123" spans="1:10" ht="17.100000000000001" customHeight="1" x14ac:dyDescent="0.2">
      <c r="A123" s="146"/>
      <c r="B123" s="124" t="s">
        <v>188</v>
      </c>
      <c r="C123" s="150">
        <v>32.447400000000002</v>
      </c>
      <c r="D123" s="150">
        <v>33.312600000000003</v>
      </c>
      <c r="E123" s="146"/>
      <c r="F123" s="151"/>
      <c r="G123" s="152"/>
      <c r="J123" s="2"/>
    </row>
    <row r="124" spans="1:10" ht="17.100000000000001" customHeight="1" x14ac:dyDescent="0.2">
      <c r="A124" s="146"/>
      <c r="B124" s="124" t="s">
        <v>927</v>
      </c>
      <c r="C124" s="150">
        <v>29.775600000000001</v>
      </c>
      <c r="D124" s="150">
        <v>30.569600000000001</v>
      </c>
      <c r="E124" s="146"/>
      <c r="F124" s="151"/>
      <c r="G124" s="152"/>
      <c r="J124" s="2"/>
    </row>
    <row r="125" spans="1:10" ht="14.1" customHeight="1" x14ac:dyDescent="0.2">
      <c r="A125" s="146"/>
      <c r="B125" s="146"/>
      <c r="C125" s="146"/>
      <c r="D125" s="146"/>
      <c r="E125" s="146"/>
      <c r="F125" s="146"/>
      <c r="G125" s="146"/>
      <c r="J125" s="2"/>
    </row>
    <row r="126" spans="1:10" x14ac:dyDescent="0.2">
      <c r="A126" s="144"/>
      <c r="B126" s="221" t="s">
        <v>869</v>
      </c>
      <c r="C126" s="222"/>
      <c r="D126" s="143" t="s">
        <v>182</v>
      </c>
      <c r="E126" s="144"/>
      <c r="F126" s="144"/>
      <c r="G126" s="144"/>
      <c r="J126" s="2"/>
    </row>
    <row r="127" spans="1:10" x14ac:dyDescent="0.2">
      <c r="A127" s="144"/>
      <c r="B127" s="163"/>
      <c r="C127" s="163"/>
      <c r="D127" s="163"/>
      <c r="E127" s="144"/>
      <c r="F127" s="144"/>
      <c r="G127" s="144"/>
      <c r="J127" s="2"/>
    </row>
    <row r="128" spans="1:10" x14ac:dyDescent="0.2">
      <c r="A128" s="144"/>
      <c r="B128" s="221" t="s">
        <v>189</v>
      </c>
      <c r="C128" s="222"/>
      <c r="D128" s="143" t="s">
        <v>182</v>
      </c>
      <c r="E128" s="163"/>
      <c r="F128" s="163"/>
      <c r="G128" s="163"/>
      <c r="J128" s="2"/>
    </row>
    <row r="129" spans="1:10" x14ac:dyDescent="0.2">
      <c r="A129" s="144"/>
      <c r="B129" s="221" t="s">
        <v>190</v>
      </c>
      <c r="C129" s="222"/>
      <c r="D129" s="143" t="s">
        <v>182</v>
      </c>
      <c r="E129" s="144"/>
      <c r="F129" s="144"/>
      <c r="G129" s="144"/>
      <c r="J129" s="2"/>
    </row>
    <row r="130" spans="1:10" ht="12.75" customHeight="1" x14ac:dyDescent="0.2">
      <c r="A130" s="144"/>
      <c r="B130" s="221" t="s">
        <v>191</v>
      </c>
      <c r="C130" s="222"/>
      <c r="D130" s="143" t="s">
        <v>182</v>
      </c>
      <c r="E130" s="153"/>
      <c r="F130" s="144"/>
      <c r="G130" s="144"/>
      <c r="J130" s="2"/>
    </row>
    <row r="131" spans="1:10" ht="12.75" customHeight="1" x14ac:dyDescent="0.2">
      <c r="A131" s="144"/>
      <c r="B131" s="221" t="s">
        <v>192</v>
      </c>
      <c r="C131" s="222"/>
      <c r="D131" s="154">
        <v>0.2687003773544876</v>
      </c>
      <c r="E131" s="153"/>
      <c r="F131" s="144"/>
      <c r="G131" s="144"/>
      <c r="J131" s="2"/>
    </row>
    <row r="132" spans="1:10" x14ac:dyDescent="0.2">
      <c r="J132" s="2"/>
    </row>
    <row r="133" spans="1:10" x14ac:dyDescent="0.2">
      <c r="J133" s="2"/>
    </row>
    <row r="134" spans="1:10" x14ac:dyDescent="0.2">
      <c r="J134" s="2"/>
    </row>
    <row r="135" spans="1:10" x14ac:dyDescent="0.2">
      <c r="J135" s="2"/>
    </row>
    <row r="136" spans="1:10" x14ac:dyDescent="0.2">
      <c r="J136" s="2"/>
    </row>
    <row r="137" spans="1:10" x14ac:dyDescent="0.2">
      <c r="J137" s="2"/>
    </row>
    <row r="138" spans="1:10" x14ac:dyDescent="0.2">
      <c r="J138" s="2"/>
    </row>
    <row r="139" spans="1:10" x14ac:dyDescent="0.2">
      <c r="J139" s="2"/>
    </row>
    <row r="140" spans="1:10" x14ac:dyDescent="0.2">
      <c r="J140" s="2"/>
    </row>
  </sheetData>
  <mergeCells count="18">
    <mergeCell ref="B116:C116"/>
    <mergeCell ref="A1:H1"/>
    <mergeCell ref="A2:H2"/>
    <mergeCell ref="A3:H3"/>
    <mergeCell ref="B109:H109"/>
    <mergeCell ref="B110:H110"/>
    <mergeCell ref="B111:H111"/>
    <mergeCell ref="B112:H112"/>
    <mergeCell ref="B113:H113"/>
    <mergeCell ref="B114:F114"/>
    <mergeCell ref="B115:D115"/>
    <mergeCell ref="B117:C117"/>
    <mergeCell ref="B118:C118"/>
    <mergeCell ref="B126:C126"/>
    <mergeCell ref="B130:C130"/>
    <mergeCell ref="B131:C131"/>
    <mergeCell ref="B128:C128"/>
    <mergeCell ref="B129:C129"/>
  </mergeCells>
  <hyperlinks>
    <hyperlink ref="I1" location="Index!B7" display="Index" xr:uid="{CDC71997-3456-4A68-A23E-9F1C79F339D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3DC12-B9F8-4127-B513-E2DA68D5DD7D}">
  <sheetPr>
    <outlinePr summaryBelow="0" summaryRight="0"/>
  </sheetPr>
  <dimension ref="A1:Q124"/>
  <sheetViews>
    <sheetView showGridLines="0" workbookViewId="0">
      <selection sqref="A1:H1"/>
    </sheetView>
  </sheetViews>
  <sheetFormatPr defaultRowHeight="12.75" x14ac:dyDescent="0.2"/>
  <cols>
    <col min="1" max="1" width="6.85546875" customWidth="1"/>
    <col min="2" max="2" width="20.5703125" customWidth="1"/>
    <col min="3" max="3" width="37.14062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464</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x14ac:dyDescent="0.2">
      <c r="A6" s="120"/>
      <c r="B6" s="120"/>
      <c r="C6" s="121" t="s">
        <v>10</v>
      </c>
      <c r="D6" s="120"/>
      <c r="E6" s="120"/>
      <c r="F6" s="120"/>
      <c r="G6" s="120"/>
      <c r="H6" s="122" t="s">
        <v>153</v>
      </c>
      <c r="J6" s="2"/>
    </row>
    <row r="7" spans="1:10" x14ac:dyDescent="0.2">
      <c r="A7" s="123">
        <v>1</v>
      </c>
      <c r="B7" s="124" t="s">
        <v>46</v>
      </c>
      <c r="C7" s="124" t="s">
        <v>47</v>
      </c>
      <c r="D7" s="124" t="s">
        <v>48</v>
      </c>
      <c r="E7" s="125">
        <v>16013</v>
      </c>
      <c r="F7" s="126">
        <v>196.831796</v>
      </c>
      <c r="G7" s="127">
        <v>9.3204679999999998E-2</v>
      </c>
      <c r="H7" s="122" t="s">
        <v>153</v>
      </c>
      <c r="J7" s="2"/>
    </row>
    <row r="8" spans="1:10" x14ac:dyDescent="0.2">
      <c r="A8" s="123">
        <v>2</v>
      </c>
      <c r="B8" s="124" t="s">
        <v>20</v>
      </c>
      <c r="C8" s="124" t="s">
        <v>21</v>
      </c>
      <c r="D8" s="124" t="s">
        <v>22</v>
      </c>
      <c r="E8" s="125">
        <v>5610</v>
      </c>
      <c r="F8" s="126">
        <v>169.37992499999999</v>
      </c>
      <c r="G8" s="127">
        <v>8.020555E-2</v>
      </c>
      <c r="H8" s="122" t="s">
        <v>153</v>
      </c>
      <c r="J8" s="2"/>
    </row>
    <row r="9" spans="1:10" x14ac:dyDescent="0.2">
      <c r="A9" s="123">
        <v>3</v>
      </c>
      <c r="B9" s="124" t="s">
        <v>342</v>
      </c>
      <c r="C9" s="124" t="s">
        <v>343</v>
      </c>
      <c r="D9" s="124" t="s">
        <v>48</v>
      </c>
      <c r="E9" s="125">
        <v>10200</v>
      </c>
      <c r="F9" s="126">
        <v>166.96379999999999</v>
      </c>
      <c r="G9" s="127">
        <v>7.9061450000000005E-2</v>
      </c>
      <c r="H9" s="122" t="s">
        <v>153</v>
      </c>
      <c r="J9" s="2"/>
    </row>
    <row r="10" spans="1:10" x14ac:dyDescent="0.2">
      <c r="A10" s="123">
        <v>4</v>
      </c>
      <c r="B10" s="124" t="s">
        <v>344</v>
      </c>
      <c r="C10" s="124" t="s">
        <v>345</v>
      </c>
      <c r="D10" s="124" t="s">
        <v>211</v>
      </c>
      <c r="E10" s="125">
        <v>8300</v>
      </c>
      <c r="F10" s="126">
        <v>161.3271</v>
      </c>
      <c r="G10" s="127">
        <v>7.6392340000000003E-2</v>
      </c>
      <c r="H10" s="122" t="s">
        <v>153</v>
      </c>
      <c r="J10" s="2"/>
    </row>
    <row r="11" spans="1:10" x14ac:dyDescent="0.2">
      <c r="A11" s="123">
        <v>5</v>
      </c>
      <c r="B11" s="124" t="s">
        <v>54</v>
      </c>
      <c r="C11" s="124" t="s">
        <v>55</v>
      </c>
      <c r="D11" s="124" t="s">
        <v>48</v>
      </c>
      <c r="E11" s="125">
        <v>14847</v>
      </c>
      <c r="F11" s="126">
        <v>121.09213200000001</v>
      </c>
      <c r="G11" s="127">
        <v>5.7340090000000003E-2</v>
      </c>
      <c r="H11" s="122" t="s">
        <v>153</v>
      </c>
      <c r="J11" s="2"/>
    </row>
    <row r="12" spans="1:10" ht="15" x14ac:dyDescent="0.2">
      <c r="A12" s="123">
        <v>6</v>
      </c>
      <c r="B12" s="124" t="s">
        <v>14</v>
      </c>
      <c r="C12" s="124" t="s">
        <v>15</v>
      </c>
      <c r="D12" s="124" t="s">
        <v>16</v>
      </c>
      <c r="E12" s="125">
        <v>6757</v>
      </c>
      <c r="F12" s="126">
        <v>107.3721085</v>
      </c>
      <c r="G12" s="127">
        <v>5.0843329999999999E-2</v>
      </c>
      <c r="H12" s="122" t="s">
        <v>153</v>
      </c>
      <c r="J12" s="7"/>
    </row>
    <row r="13" spans="1:10" x14ac:dyDescent="0.2">
      <c r="A13" s="123">
        <v>7</v>
      </c>
      <c r="B13" s="124" t="s">
        <v>11</v>
      </c>
      <c r="C13" s="124" t="s">
        <v>12</v>
      </c>
      <c r="D13" s="124" t="s">
        <v>13</v>
      </c>
      <c r="E13" s="125">
        <v>2429</v>
      </c>
      <c r="F13" s="126">
        <v>89.985948500000006</v>
      </c>
      <c r="G13" s="127">
        <v>4.2610549999999997E-2</v>
      </c>
      <c r="H13" s="122" t="s">
        <v>153</v>
      </c>
      <c r="J13" s="2"/>
    </row>
    <row r="14" spans="1:10" x14ac:dyDescent="0.2">
      <c r="A14" s="123">
        <v>8</v>
      </c>
      <c r="B14" s="124" t="s">
        <v>361</v>
      </c>
      <c r="C14" s="124" t="s">
        <v>362</v>
      </c>
      <c r="D14" s="124" t="s">
        <v>273</v>
      </c>
      <c r="E14" s="125">
        <v>6930</v>
      </c>
      <c r="F14" s="126">
        <v>77.016554999999997</v>
      </c>
      <c r="G14" s="127">
        <v>3.6469229999999998E-2</v>
      </c>
      <c r="H14" s="122" t="s">
        <v>153</v>
      </c>
      <c r="J14" s="2"/>
    </row>
    <row r="15" spans="1:10" ht="25.5" x14ac:dyDescent="0.2">
      <c r="A15" s="123">
        <v>9</v>
      </c>
      <c r="B15" s="124" t="s">
        <v>23</v>
      </c>
      <c r="C15" s="124" t="s">
        <v>24</v>
      </c>
      <c r="D15" s="124" t="s">
        <v>25</v>
      </c>
      <c r="E15" s="125">
        <v>651</v>
      </c>
      <c r="F15" s="126">
        <v>73.575368999999995</v>
      </c>
      <c r="G15" s="127">
        <v>3.4839740000000001E-2</v>
      </c>
      <c r="H15" s="122" t="s">
        <v>153</v>
      </c>
      <c r="J15" s="2"/>
    </row>
    <row r="16" spans="1:10" x14ac:dyDescent="0.2">
      <c r="A16" s="123">
        <v>10</v>
      </c>
      <c r="B16" s="124" t="s">
        <v>350</v>
      </c>
      <c r="C16" s="124" t="s">
        <v>351</v>
      </c>
      <c r="D16" s="124" t="s">
        <v>48</v>
      </c>
      <c r="E16" s="125">
        <v>6081</v>
      </c>
      <c r="F16" s="126">
        <v>71.466952500000005</v>
      </c>
      <c r="G16" s="127">
        <v>3.3841360000000001E-2</v>
      </c>
      <c r="H16" s="122" t="s">
        <v>153</v>
      </c>
      <c r="J16" s="2" t="s">
        <v>923</v>
      </c>
    </row>
    <row r="17" spans="1:10" ht="25.5" x14ac:dyDescent="0.2">
      <c r="A17" s="123">
        <v>11</v>
      </c>
      <c r="B17" s="124" t="s">
        <v>203</v>
      </c>
      <c r="C17" s="124" t="s">
        <v>204</v>
      </c>
      <c r="D17" s="124" t="s">
        <v>205</v>
      </c>
      <c r="E17" s="125">
        <v>4000</v>
      </c>
      <c r="F17" s="126">
        <v>70.33</v>
      </c>
      <c r="G17" s="127">
        <v>3.3302980000000003E-2</v>
      </c>
      <c r="H17" s="122" t="s">
        <v>153</v>
      </c>
      <c r="J17" s="2"/>
    </row>
    <row r="18" spans="1:10" x14ac:dyDescent="0.2">
      <c r="A18" s="123">
        <v>12</v>
      </c>
      <c r="B18" s="124" t="s">
        <v>465</v>
      </c>
      <c r="C18" s="124" t="s">
        <v>466</v>
      </c>
      <c r="D18" s="124" t="s">
        <v>255</v>
      </c>
      <c r="E18" s="125">
        <v>3200</v>
      </c>
      <c r="F18" s="126">
        <v>59.209600000000002</v>
      </c>
      <c r="G18" s="127">
        <v>2.8037200000000002E-2</v>
      </c>
      <c r="H18" s="122" t="s">
        <v>153</v>
      </c>
      <c r="J18" s="2"/>
    </row>
    <row r="19" spans="1:10" x14ac:dyDescent="0.2">
      <c r="A19" s="123">
        <v>13</v>
      </c>
      <c r="B19" s="124" t="s">
        <v>134</v>
      </c>
      <c r="C19" s="124" t="s">
        <v>135</v>
      </c>
      <c r="D19" s="124" t="s">
        <v>136</v>
      </c>
      <c r="E19" s="125">
        <v>6000</v>
      </c>
      <c r="F19" s="126">
        <v>58.223999999999997</v>
      </c>
      <c r="G19" s="127">
        <v>2.757049E-2</v>
      </c>
      <c r="H19" s="122" t="s">
        <v>153</v>
      </c>
      <c r="J19" s="2"/>
    </row>
    <row r="20" spans="1:10" x14ac:dyDescent="0.2">
      <c r="A20" s="123">
        <v>14</v>
      </c>
      <c r="B20" s="124" t="s">
        <v>372</v>
      </c>
      <c r="C20" s="124" t="s">
        <v>373</v>
      </c>
      <c r="D20" s="124" t="s">
        <v>374</v>
      </c>
      <c r="E20" s="125">
        <v>10141</v>
      </c>
      <c r="F20" s="126">
        <v>50.897678999999997</v>
      </c>
      <c r="G20" s="127">
        <v>2.4101299999999999E-2</v>
      </c>
      <c r="H20" s="122" t="s">
        <v>153</v>
      </c>
      <c r="J20" s="2"/>
    </row>
    <row r="21" spans="1:10" x14ac:dyDescent="0.2">
      <c r="A21" s="123">
        <v>15</v>
      </c>
      <c r="B21" s="124" t="s">
        <v>394</v>
      </c>
      <c r="C21" s="124" t="s">
        <v>395</v>
      </c>
      <c r="D21" s="124" t="s">
        <v>45</v>
      </c>
      <c r="E21" s="125">
        <v>1421</v>
      </c>
      <c r="F21" s="126">
        <v>50.660781499999999</v>
      </c>
      <c r="G21" s="127">
        <v>2.3989119999999999E-2</v>
      </c>
      <c r="H21" s="122" t="s">
        <v>153</v>
      </c>
      <c r="J21" s="2"/>
    </row>
    <row r="22" spans="1:10" ht="15" x14ac:dyDescent="0.2">
      <c r="A22" s="123">
        <v>16</v>
      </c>
      <c r="B22" s="124" t="s">
        <v>126</v>
      </c>
      <c r="C22" s="124" t="s">
        <v>127</v>
      </c>
      <c r="D22" s="124" t="s">
        <v>74</v>
      </c>
      <c r="E22" s="125">
        <v>1240</v>
      </c>
      <c r="F22" s="126">
        <v>48.876460000000002</v>
      </c>
      <c r="G22" s="127">
        <v>2.31442E-2</v>
      </c>
      <c r="H22" s="122" t="s">
        <v>153</v>
      </c>
      <c r="J22" s="7"/>
    </row>
    <row r="23" spans="1:10" ht="25.5" x14ac:dyDescent="0.2">
      <c r="A23" s="123">
        <v>17</v>
      </c>
      <c r="B23" s="124" t="s">
        <v>352</v>
      </c>
      <c r="C23" s="124" t="s">
        <v>353</v>
      </c>
      <c r="D23" s="124" t="s">
        <v>208</v>
      </c>
      <c r="E23" s="125">
        <v>2650</v>
      </c>
      <c r="F23" s="126">
        <v>48.273724999999999</v>
      </c>
      <c r="G23" s="127">
        <v>2.285879E-2</v>
      </c>
      <c r="H23" s="122" t="s">
        <v>153</v>
      </c>
      <c r="J23" s="2"/>
    </row>
    <row r="24" spans="1:10" x14ac:dyDescent="0.2">
      <c r="A24" s="123">
        <v>18</v>
      </c>
      <c r="B24" s="124" t="s">
        <v>232</v>
      </c>
      <c r="C24" s="124" t="s">
        <v>233</v>
      </c>
      <c r="D24" s="124" t="s">
        <v>22</v>
      </c>
      <c r="E24" s="125">
        <v>11251</v>
      </c>
      <c r="F24" s="126">
        <v>47.147315499999998</v>
      </c>
      <c r="G24" s="127">
        <v>2.232541E-2</v>
      </c>
      <c r="H24" s="122" t="s">
        <v>153</v>
      </c>
      <c r="J24" s="2"/>
    </row>
    <row r="25" spans="1:10" x14ac:dyDescent="0.2">
      <c r="A25" s="123">
        <v>19</v>
      </c>
      <c r="B25" s="124" t="s">
        <v>467</v>
      </c>
      <c r="C25" s="124" t="s">
        <v>468</v>
      </c>
      <c r="D25" s="124" t="s">
        <v>48</v>
      </c>
      <c r="E25" s="125">
        <v>17989</v>
      </c>
      <c r="F25" s="126">
        <v>44.990488999999997</v>
      </c>
      <c r="G25" s="127">
        <v>2.1304099999999999E-2</v>
      </c>
      <c r="H25" s="122" t="s">
        <v>153</v>
      </c>
      <c r="J25" s="2"/>
    </row>
    <row r="26" spans="1:10" x14ac:dyDescent="0.2">
      <c r="A26" s="123">
        <v>20</v>
      </c>
      <c r="B26" s="124" t="s">
        <v>469</v>
      </c>
      <c r="C26" s="124" t="s">
        <v>470</v>
      </c>
      <c r="D26" s="124" t="s">
        <v>211</v>
      </c>
      <c r="E26" s="125">
        <v>2560</v>
      </c>
      <c r="F26" s="126">
        <v>44.883200000000002</v>
      </c>
      <c r="G26" s="127">
        <v>2.1253299999999999E-2</v>
      </c>
      <c r="H26" s="122" t="s">
        <v>153</v>
      </c>
      <c r="J26" s="2"/>
    </row>
    <row r="27" spans="1:10" x14ac:dyDescent="0.2">
      <c r="A27" s="123">
        <v>21</v>
      </c>
      <c r="B27" s="124" t="s">
        <v>348</v>
      </c>
      <c r="C27" s="124" t="s">
        <v>349</v>
      </c>
      <c r="D27" s="124" t="s">
        <v>211</v>
      </c>
      <c r="E27" s="125">
        <v>937</v>
      </c>
      <c r="F27" s="126">
        <v>42.668637500000003</v>
      </c>
      <c r="G27" s="127">
        <v>2.0204650000000001E-2</v>
      </c>
      <c r="H27" s="122" t="s">
        <v>153</v>
      </c>
      <c r="J27" s="2"/>
    </row>
    <row r="28" spans="1:10" x14ac:dyDescent="0.2">
      <c r="A28" s="123">
        <v>22</v>
      </c>
      <c r="B28" s="124" t="s">
        <v>28</v>
      </c>
      <c r="C28" s="124" t="s">
        <v>29</v>
      </c>
      <c r="D28" s="124" t="s">
        <v>22</v>
      </c>
      <c r="E28" s="125">
        <v>11824</v>
      </c>
      <c r="F28" s="126">
        <v>42.288536000000001</v>
      </c>
      <c r="G28" s="127">
        <v>2.002466E-2</v>
      </c>
      <c r="H28" s="122" t="s">
        <v>153</v>
      </c>
      <c r="J28" s="2"/>
    </row>
    <row r="29" spans="1:10" ht="25.5" x14ac:dyDescent="0.2">
      <c r="A29" s="123">
        <v>23</v>
      </c>
      <c r="B29" s="124" t="s">
        <v>324</v>
      </c>
      <c r="C29" s="124" t="s">
        <v>325</v>
      </c>
      <c r="D29" s="124" t="s">
        <v>250</v>
      </c>
      <c r="E29" s="125">
        <v>1204</v>
      </c>
      <c r="F29" s="126">
        <v>39.712736</v>
      </c>
      <c r="G29" s="127">
        <v>1.8804950000000001E-2</v>
      </c>
      <c r="H29" s="122" t="s">
        <v>153</v>
      </c>
      <c r="J29" s="2"/>
    </row>
    <row r="30" spans="1:10" ht="25.5" x14ac:dyDescent="0.2">
      <c r="A30" s="123">
        <v>24</v>
      </c>
      <c r="B30" s="124" t="s">
        <v>471</v>
      </c>
      <c r="C30" s="124" t="s">
        <v>472</v>
      </c>
      <c r="D30" s="124" t="s">
        <v>208</v>
      </c>
      <c r="E30" s="125">
        <v>1814</v>
      </c>
      <c r="F30" s="126">
        <v>30.019886</v>
      </c>
      <c r="G30" s="127">
        <v>1.4215149999999999E-2</v>
      </c>
      <c r="H30" s="122" t="s">
        <v>153</v>
      </c>
      <c r="J30" s="2"/>
    </row>
    <row r="31" spans="1:10" ht="25.5" x14ac:dyDescent="0.2">
      <c r="A31" s="123">
        <v>25</v>
      </c>
      <c r="B31" s="124" t="s">
        <v>473</v>
      </c>
      <c r="C31" s="124" t="s">
        <v>474</v>
      </c>
      <c r="D31" s="124" t="s">
        <v>315</v>
      </c>
      <c r="E31" s="125">
        <v>2385</v>
      </c>
      <c r="F31" s="126">
        <v>28.6235775</v>
      </c>
      <c r="G31" s="127">
        <v>1.355397E-2</v>
      </c>
      <c r="H31" s="122" t="s">
        <v>153</v>
      </c>
      <c r="J31" s="2"/>
    </row>
    <row r="32" spans="1:10" ht="25.5" x14ac:dyDescent="0.2">
      <c r="A32" s="123">
        <v>26</v>
      </c>
      <c r="B32" s="124" t="s">
        <v>475</v>
      </c>
      <c r="C32" s="124" t="s">
        <v>476</v>
      </c>
      <c r="D32" s="124" t="s">
        <v>25</v>
      </c>
      <c r="E32" s="125">
        <v>1871</v>
      </c>
      <c r="F32" s="126">
        <v>24.899267999999999</v>
      </c>
      <c r="G32" s="127">
        <v>1.1790409999999999E-2</v>
      </c>
      <c r="H32" s="122" t="s">
        <v>153</v>
      </c>
      <c r="J32" s="2"/>
    </row>
    <row r="33" spans="1:10" x14ac:dyDescent="0.2">
      <c r="A33" s="123">
        <v>27</v>
      </c>
      <c r="B33" s="124" t="s">
        <v>93</v>
      </c>
      <c r="C33" s="124" t="s">
        <v>94</v>
      </c>
      <c r="D33" s="124" t="s">
        <v>86</v>
      </c>
      <c r="E33" s="125">
        <v>2464</v>
      </c>
      <c r="F33" s="126">
        <v>23.780063999999999</v>
      </c>
      <c r="G33" s="127">
        <v>1.126044E-2</v>
      </c>
      <c r="H33" s="122" t="s">
        <v>153</v>
      </c>
      <c r="J33" s="2"/>
    </row>
    <row r="34" spans="1:10" x14ac:dyDescent="0.2">
      <c r="A34" s="123">
        <v>28</v>
      </c>
      <c r="B34" s="124" t="s">
        <v>377</v>
      </c>
      <c r="C34" s="124" t="s">
        <v>378</v>
      </c>
      <c r="D34" s="124" t="s">
        <v>374</v>
      </c>
      <c r="E34" s="125">
        <v>788</v>
      </c>
      <c r="F34" s="126">
        <v>21.890640000000001</v>
      </c>
      <c r="G34" s="127">
        <v>1.036576E-2</v>
      </c>
      <c r="H34" s="122" t="s">
        <v>153</v>
      </c>
      <c r="J34" s="2"/>
    </row>
    <row r="35" spans="1:10" x14ac:dyDescent="0.2">
      <c r="A35" s="123">
        <v>29</v>
      </c>
      <c r="B35" s="124" t="s">
        <v>477</v>
      </c>
      <c r="C35" s="124" t="s">
        <v>478</v>
      </c>
      <c r="D35" s="124" t="s">
        <v>48</v>
      </c>
      <c r="E35" s="125">
        <v>1250</v>
      </c>
      <c r="F35" s="126">
        <v>17.815625000000001</v>
      </c>
      <c r="G35" s="127">
        <v>8.43614E-3</v>
      </c>
      <c r="H35" s="122" t="s">
        <v>153</v>
      </c>
      <c r="J35" s="2"/>
    </row>
    <row r="36" spans="1:10" x14ac:dyDescent="0.2">
      <c r="A36" s="123">
        <v>30</v>
      </c>
      <c r="B36" s="124" t="s">
        <v>358</v>
      </c>
      <c r="C36" s="124" t="s">
        <v>359</v>
      </c>
      <c r="D36" s="124" t="s">
        <v>360</v>
      </c>
      <c r="E36" s="125">
        <v>2289</v>
      </c>
      <c r="F36" s="126">
        <v>16.053901499999998</v>
      </c>
      <c r="G36" s="127">
        <v>7.6019199999999999E-3</v>
      </c>
      <c r="H36" s="122" t="s">
        <v>153</v>
      </c>
      <c r="J36" s="2"/>
    </row>
    <row r="37" spans="1:10" x14ac:dyDescent="0.2">
      <c r="A37" s="123">
        <v>31</v>
      </c>
      <c r="B37" s="124" t="s">
        <v>479</v>
      </c>
      <c r="C37" s="160" t="s">
        <v>924</v>
      </c>
      <c r="D37" s="124" t="s">
        <v>16</v>
      </c>
      <c r="E37" s="125">
        <v>482</v>
      </c>
      <c r="F37" s="126">
        <v>5.7514649999999996</v>
      </c>
      <c r="G37" s="127">
        <v>2.72346E-3</v>
      </c>
      <c r="H37" s="122" t="s">
        <v>153</v>
      </c>
      <c r="J37" s="2"/>
    </row>
    <row r="38" spans="1:10" x14ac:dyDescent="0.2">
      <c r="A38" s="120"/>
      <c r="B38" s="120"/>
      <c r="C38" s="121" t="s">
        <v>152</v>
      </c>
      <c r="D38" s="120"/>
      <c r="E38" s="120" t="s">
        <v>153</v>
      </c>
      <c r="F38" s="128">
        <f>SUM(F7:F37)</f>
        <v>2052.0092729999992</v>
      </c>
      <c r="G38" s="129">
        <f>SUM(G7:G37)</f>
        <v>0.97167672000000027</v>
      </c>
      <c r="H38" s="122" t="s">
        <v>153</v>
      </c>
      <c r="J38" s="2"/>
    </row>
    <row r="39" spans="1:10" x14ac:dyDescent="0.2">
      <c r="A39" s="120"/>
      <c r="B39" s="120"/>
      <c r="C39" s="130"/>
      <c r="D39" s="120"/>
      <c r="E39" s="120"/>
      <c r="F39" s="131"/>
      <c r="G39" s="131"/>
      <c r="H39" s="122" t="s">
        <v>153</v>
      </c>
      <c r="J39" s="2"/>
    </row>
    <row r="40" spans="1:10" x14ac:dyDescent="0.2">
      <c r="A40" s="120"/>
      <c r="B40" s="120"/>
      <c r="C40" s="121" t="s">
        <v>154</v>
      </c>
      <c r="D40" s="120"/>
      <c r="E40" s="120"/>
      <c r="F40" s="120"/>
      <c r="G40" s="120"/>
      <c r="H40" s="122" t="s">
        <v>153</v>
      </c>
      <c r="J40" s="2"/>
    </row>
    <row r="41" spans="1:10" x14ac:dyDescent="0.2">
      <c r="A41" s="120"/>
      <c r="B41" s="120"/>
      <c r="C41" s="121" t="s">
        <v>152</v>
      </c>
      <c r="D41" s="120"/>
      <c r="E41" s="120" t="s">
        <v>153</v>
      </c>
      <c r="F41" s="132" t="s">
        <v>155</v>
      </c>
      <c r="G41" s="129">
        <v>0</v>
      </c>
      <c r="H41" s="122" t="s">
        <v>153</v>
      </c>
      <c r="J41" s="2"/>
    </row>
    <row r="42" spans="1:10" x14ac:dyDescent="0.2">
      <c r="A42" s="120"/>
      <c r="B42" s="120"/>
      <c r="C42" s="130"/>
      <c r="D42" s="120"/>
      <c r="E42" s="120"/>
      <c r="F42" s="131"/>
      <c r="G42" s="131"/>
      <c r="H42" s="122" t="s">
        <v>153</v>
      </c>
      <c r="J42" s="2"/>
    </row>
    <row r="43" spans="1:10" x14ac:dyDescent="0.2">
      <c r="A43" s="120"/>
      <c r="B43" s="120"/>
      <c r="C43" s="121" t="s">
        <v>156</v>
      </c>
      <c r="D43" s="120"/>
      <c r="E43" s="120"/>
      <c r="F43" s="120"/>
      <c r="G43" s="120"/>
      <c r="H43" s="122" t="s">
        <v>153</v>
      </c>
      <c r="J43" s="2"/>
    </row>
    <row r="44" spans="1:10" x14ac:dyDescent="0.2">
      <c r="A44" s="120"/>
      <c r="B44" s="120"/>
      <c r="C44" s="121" t="s">
        <v>152</v>
      </c>
      <c r="D44" s="120"/>
      <c r="E44" s="120" t="s">
        <v>153</v>
      </c>
      <c r="F44" s="132" t="s">
        <v>155</v>
      </c>
      <c r="G44" s="129">
        <v>0</v>
      </c>
      <c r="H44" s="122" t="s">
        <v>153</v>
      </c>
      <c r="J44" s="2"/>
    </row>
    <row r="45" spans="1:10" x14ac:dyDescent="0.2">
      <c r="A45" s="120"/>
      <c r="B45" s="120"/>
      <c r="C45" s="130"/>
      <c r="D45" s="120"/>
      <c r="E45" s="120"/>
      <c r="F45" s="131"/>
      <c r="G45" s="131"/>
      <c r="H45" s="122" t="s">
        <v>153</v>
      </c>
      <c r="J45" s="2"/>
    </row>
    <row r="46" spans="1:10" x14ac:dyDescent="0.2">
      <c r="A46" s="120"/>
      <c r="B46" s="120"/>
      <c r="C46" s="121" t="s">
        <v>157</v>
      </c>
      <c r="D46" s="120"/>
      <c r="E46" s="120"/>
      <c r="F46" s="120"/>
      <c r="G46" s="120"/>
      <c r="H46" s="122" t="s">
        <v>153</v>
      </c>
      <c r="J46" s="2"/>
    </row>
    <row r="47" spans="1:10" x14ac:dyDescent="0.2">
      <c r="A47" s="120"/>
      <c r="B47" s="120"/>
      <c r="C47" s="121" t="s">
        <v>152</v>
      </c>
      <c r="D47" s="120"/>
      <c r="E47" s="120" t="s">
        <v>153</v>
      </c>
      <c r="F47" s="132" t="s">
        <v>155</v>
      </c>
      <c r="G47" s="129">
        <v>0</v>
      </c>
      <c r="H47" s="122" t="s">
        <v>153</v>
      </c>
      <c r="J47" s="2"/>
    </row>
    <row r="48" spans="1:10" x14ac:dyDescent="0.2">
      <c r="A48" s="120"/>
      <c r="B48" s="120"/>
      <c r="C48" s="130"/>
      <c r="D48" s="120"/>
      <c r="E48" s="120"/>
      <c r="F48" s="131"/>
      <c r="G48" s="131"/>
      <c r="H48" s="122" t="s">
        <v>153</v>
      </c>
      <c r="J48" s="2"/>
    </row>
    <row r="49" spans="1:10" x14ac:dyDescent="0.2">
      <c r="A49" s="120"/>
      <c r="B49" s="120"/>
      <c r="C49" s="121" t="s">
        <v>158</v>
      </c>
      <c r="D49" s="120"/>
      <c r="E49" s="120"/>
      <c r="F49" s="131"/>
      <c r="G49" s="131"/>
      <c r="H49" s="122" t="s">
        <v>153</v>
      </c>
      <c r="J49" s="2"/>
    </row>
    <row r="50" spans="1:10" x14ac:dyDescent="0.2">
      <c r="A50" s="120"/>
      <c r="B50" s="120"/>
      <c r="C50" s="121" t="s">
        <v>152</v>
      </c>
      <c r="D50" s="120"/>
      <c r="E50" s="120" t="s">
        <v>153</v>
      </c>
      <c r="F50" s="132" t="s">
        <v>155</v>
      </c>
      <c r="G50" s="129">
        <v>0</v>
      </c>
      <c r="H50" s="122" t="s">
        <v>153</v>
      </c>
      <c r="J50" s="2"/>
    </row>
    <row r="51" spans="1:10" x14ac:dyDescent="0.2">
      <c r="A51" s="120"/>
      <c r="B51" s="120"/>
      <c r="C51" s="130"/>
      <c r="D51" s="120"/>
      <c r="E51" s="120"/>
      <c r="F51" s="131"/>
      <c r="G51" s="131"/>
      <c r="H51" s="122" t="s">
        <v>153</v>
      </c>
      <c r="J51" s="2"/>
    </row>
    <row r="52" spans="1:10" x14ac:dyDescent="0.2">
      <c r="A52" s="120"/>
      <c r="B52" s="120"/>
      <c r="C52" s="121" t="s">
        <v>159</v>
      </c>
      <c r="D52" s="120"/>
      <c r="E52" s="120"/>
      <c r="F52" s="131"/>
      <c r="G52" s="131"/>
      <c r="H52" s="122" t="s">
        <v>153</v>
      </c>
      <c r="J52" s="2"/>
    </row>
    <row r="53" spans="1:10" x14ac:dyDescent="0.2">
      <c r="A53" s="120"/>
      <c r="B53" s="120"/>
      <c r="C53" s="121" t="s">
        <v>152</v>
      </c>
      <c r="D53" s="120"/>
      <c r="E53" s="120" t="s">
        <v>153</v>
      </c>
      <c r="F53" s="132" t="s">
        <v>155</v>
      </c>
      <c r="G53" s="129">
        <v>0</v>
      </c>
      <c r="H53" s="122" t="s">
        <v>153</v>
      </c>
      <c r="J53" s="2"/>
    </row>
    <row r="54" spans="1:10" x14ac:dyDescent="0.2">
      <c r="A54" s="120"/>
      <c r="B54" s="120"/>
      <c r="C54" s="130"/>
      <c r="D54" s="120"/>
      <c r="E54" s="120"/>
      <c r="F54" s="131"/>
      <c r="G54" s="131"/>
      <c r="H54" s="122" t="s">
        <v>153</v>
      </c>
      <c r="J54" s="2"/>
    </row>
    <row r="55" spans="1:10" x14ac:dyDescent="0.2">
      <c r="A55" s="120"/>
      <c r="B55" s="120"/>
      <c r="C55" s="121" t="s">
        <v>160</v>
      </c>
      <c r="D55" s="120"/>
      <c r="E55" s="120"/>
      <c r="F55" s="128">
        <v>2052.0092730000001</v>
      </c>
      <c r="G55" s="129">
        <v>0.97167672000000005</v>
      </c>
      <c r="H55" s="122" t="s">
        <v>153</v>
      </c>
      <c r="J55" s="2"/>
    </row>
    <row r="56" spans="1:10" x14ac:dyDescent="0.2">
      <c r="A56" s="120"/>
      <c r="B56" s="120"/>
      <c r="C56" s="130"/>
      <c r="D56" s="120"/>
      <c r="E56" s="120"/>
      <c r="F56" s="131"/>
      <c r="G56" s="131"/>
      <c r="H56" s="122" t="s">
        <v>153</v>
      </c>
      <c r="J56" s="2"/>
    </row>
    <row r="57" spans="1:10" x14ac:dyDescent="0.2">
      <c r="A57" s="120"/>
      <c r="B57" s="120"/>
      <c r="C57" s="121" t="s">
        <v>161</v>
      </c>
      <c r="D57" s="120"/>
      <c r="E57" s="120"/>
      <c r="F57" s="131"/>
      <c r="G57" s="131"/>
      <c r="H57" s="122" t="s">
        <v>153</v>
      </c>
      <c r="J57" s="2"/>
    </row>
    <row r="58" spans="1:10" x14ac:dyDescent="0.2">
      <c r="A58" s="120"/>
      <c r="B58" s="120"/>
      <c r="C58" s="121" t="s">
        <v>10</v>
      </c>
      <c r="D58" s="120"/>
      <c r="E58" s="120"/>
      <c r="F58" s="131"/>
      <c r="G58" s="131"/>
      <c r="H58" s="122" t="s">
        <v>153</v>
      </c>
      <c r="J58" s="2"/>
    </row>
    <row r="59" spans="1:10" x14ac:dyDescent="0.2">
      <c r="A59" s="120"/>
      <c r="B59" s="120"/>
      <c r="C59" s="121" t="s">
        <v>152</v>
      </c>
      <c r="D59" s="120"/>
      <c r="E59" s="120" t="s">
        <v>153</v>
      </c>
      <c r="F59" s="132" t="s">
        <v>155</v>
      </c>
      <c r="G59" s="129">
        <v>0</v>
      </c>
      <c r="H59" s="122" t="s">
        <v>153</v>
      </c>
      <c r="J59" s="2"/>
    </row>
    <row r="60" spans="1:10" x14ac:dyDescent="0.2">
      <c r="A60" s="120"/>
      <c r="B60" s="120"/>
      <c r="C60" s="130"/>
      <c r="D60" s="120"/>
      <c r="E60" s="120"/>
      <c r="F60" s="131"/>
      <c r="G60" s="131"/>
      <c r="H60" s="122" t="s">
        <v>153</v>
      </c>
      <c r="J60" s="2"/>
    </row>
    <row r="61" spans="1:10" x14ac:dyDescent="0.2">
      <c r="A61" s="120"/>
      <c r="B61" s="120"/>
      <c r="C61" s="121" t="s">
        <v>162</v>
      </c>
      <c r="D61" s="120"/>
      <c r="E61" s="120"/>
      <c r="F61" s="120"/>
      <c r="G61" s="120"/>
      <c r="H61" s="122" t="s">
        <v>153</v>
      </c>
      <c r="J61" s="2"/>
    </row>
    <row r="62" spans="1:10" x14ac:dyDescent="0.2">
      <c r="A62" s="120"/>
      <c r="B62" s="120"/>
      <c r="C62" s="121" t="s">
        <v>152</v>
      </c>
      <c r="D62" s="120"/>
      <c r="E62" s="120" t="s">
        <v>153</v>
      </c>
      <c r="F62" s="132" t="s">
        <v>155</v>
      </c>
      <c r="G62" s="129">
        <v>0</v>
      </c>
      <c r="H62" s="122" t="s">
        <v>153</v>
      </c>
      <c r="J62" s="2"/>
    </row>
    <row r="63" spans="1:10" x14ac:dyDescent="0.2">
      <c r="A63" s="120"/>
      <c r="B63" s="120"/>
      <c r="C63" s="130"/>
      <c r="D63" s="120"/>
      <c r="E63" s="120"/>
      <c r="F63" s="131"/>
      <c r="G63" s="131"/>
      <c r="H63" s="122" t="s">
        <v>153</v>
      </c>
      <c r="J63" s="2"/>
    </row>
    <row r="64" spans="1:10" x14ac:dyDescent="0.2">
      <c r="A64" s="120"/>
      <c r="B64" s="120"/>
      <c r="C64" s="121" t="s">
        <v>163</v>
      </c>
      <c r="D64" s="120"/>
      <c r="E64" s="120"/>
      <c r="F64" s="120"/>
      <c r="G64" s="120"/>
      <c r="H64" s="122" t="s">
        <v>153</v>
      </c>
      <c r="J64" s="2"/>
    </row>
    <row r="65" spans="1:10" x14ac:dyDescent="0.2">
      <c r="A65" s="120"/>
      <c r="B65" s="120"/>
      <c r="C65" s="121" t="s">
        <v>152</v>
      </c>
      <c r="D65" s="120"/>
      <c r="E65" s="120" t="s">
        <v>153</v>
      </c>
      <c r="F65" s="132" t="s">
        <v>155</v>
      </c>
      <c r="G65" s="129">
        <v>0</v>
      </c>
      <c r="H65" s="122" t="s">
        <v>153</v>
      </c>
      <c r="J65" s="2"/>
    </row>
    <row r="66" spans="1:10" x14ac:dyDescent="0.2">
      <c r="A66" s="120"/>
      <c r="B66" s="120"/>
      <c r="C66" s="130"/>
      <c r="D66" s="120"/>
      <c r="E66" s="120"/>
      <c r="F66" s="131"/>
      <c r="G66" s="131"/>
      <c r="H66" s="122" t="s">
        <v>153</v>
      </c>
      <c r="J66" s="2"/>
    </row>
    <row r="67" spans="1:10" x14ac:dyDescent="0.2">
      <c r="A67" s="120"/>
      <c r="B67" s="120"/>
      <c r="C67" s="121" t="s">
        <v>164</v>
      </c>
      <c r="D67" s="120"/>
      <c r="E67" s="120"/>
      <c r="F67" s="131"/>
      <c r="G67" s="131"/>
      <c r="H67" s="122" t="s">
        <v>153</v>
      </c>
      <c r="J67" s="2"/>
    </row>
    <row r="68" spans="1:10" x14ac:dyDescent="0.2">
      <c r="A68" s="120"/>
      <c r="B68" s="120"/>
      <c r="C68" s="121" t="s">
        <v>152</v>
      </c>
      <c r="D68" s="120"/>
      <c r="E68" s="120" t="s">
        <v>153</v>
      </c>
      <c r="F68" s="132" t="s">
        <v>155</v>
      </c>
      <c r="G68" s="129">
        <v>0</v>
      </c>
      <c r="H68" s="122" t="s">
        <v>153</v>
      </c>
      <c r="J68" s="2"/>
    </row>
    <row r="69" spans="1:10" x14ac:dyDescent="0.2">
      <c r="A69" s="120"/>
      <c r="B69" s="120"/>
      <c r="C69" s="130"/>
      <c r="D69" s="120"/>
      <c r="E69" s="120"/>
      <c r="F69" s="131"/>
      <c r="G69" s="131"/>
      <c r="H69" s="122" t="s">
        <v>153</v>
      </c>
      <c r="J69" s="2"/>
    </row>
    <row r="70" spans="1:10" x14ac:dyDescent="0.2">
      <c r="A70" s="120"/>
      <c r="B70" s="120"/>
      <c r="C70" s="121" t="s">
        <v>165</v>
      </c>
      <c r="D70" s="120"/>
      <c r="E70" s="120"/>
      <c r="F70" s="128">
        <v>0</v>
      </c>
      <c r="G70" s="129">
        <v>0</v>
      </c>
      <c r="H70" s="122" t="s">
        <v>153</v>
      </c>
      <c r="J70" s="2"/>
    </row>
    <row r="71" spans="1:10" x14ac:dyDescent="0.2">
      <c r="A71" s="120"/>
      <c r="B71" s="120"/>
      <c r="C71" s="130"/>
      <c r="D71" s="120"/>
      <c r="E71" s="120"/>
      <c r="F71" s="131"/>
      <c r="G71" s="131"/>
      <c r="H71" s="122" t="s">
        <v>153</v>
      </c>
      <c r="J71" s="2"/>
    </row>
    <row r="72" spans="1:10" x14ac:dyDescent="0.2">
      <c r="A72" s="120"/>
      <c r="B72" s="120"/>
      <c r="C72" s="121" t="s">
        <v>166</v>
      </c>
      <c r="D72" s="120"/>
      <c r="E72" s="120"/>
      <c r="F72" s="131"/>
      <c r="G72" s="131"/>
      <c r="H72" s="122" t="s">
        <v>153</v>
      </c>
      <c r="J72" s="2"/>
    </row>
    <row r="73" spans="1:10" x14ac:dyDescent="0.2">
      <c r="A73" s="120"/>
      <c r="B73" s="120"/>
      <c r="C73" s="121" t="s">
        <v>167</v>
      </c>
      <c r="D73" s="120"/>
      <c r="E73" s="120"/>
      <c r="F73" s="131"/>
      <c r="G73" s="131"/>
      <c r="H73" s="122" t="s">
        <v>153</v>
      </c>
      <c r="J73" s="2"/>
    </row>
    <row r="74" spans="1:10" x14ac:dyDescent="0.2">
      <c r="A74" s="120"/>
      <c r="B74" s="120"/>
      <c r="C74" s="121" t="s">
        <v>152</v>
      </c>
      <c r="D74" s="120"/>
      <c r="E74" s="120" t="s">
        <v>153</v>
      </c>
      <c r="F74" s="132" t="s">
        <v>155</v>
      </c>
      <c r="G74" s="129">
        <v>0</v>
      </c>
      <c r="H74" s="122" t="s">
        <v>153</v>
      </c>
      <c r="J74" s="2"/>
    </row>
    <row r="75" spans="1:10" x14ac:dyDescent="0.2">
      <c r="A75" s="120"/>
      <c r="B75" s="120"/>
      <c r="C75" s="130"/>
      <c r="D75" s="120"/>
      <c r="E75" s="120"/>
      <c r="F75" s="131"/>
      <c r="G75" s="131"/>
      <c r="H75" s="122" t="s">
        <v>153</v>
      </c>
      <c r="J75" s="2"/>
    </row>
    <row r="76" spans="1:10" x14ac:dyDescent="0.2">
      <c r="A76" s="120"/>
      <c r="B76" s="120"/>
      <c r="C76" s="121" t="s">
        <v>168</v>
      </c>
      <c r="D76" s="120"/>
      <c r="E76" s="120"/>
      <c r="F76" s="131"/>
      <c r="G76" s="131"/>
      <c r="H76" s="122" t="s">
        <v>153</v>
      </c>
      <c r="J76" s="2"/>
    </row>
    <row r="77" spans="1:10" x14ac:dyDescent="0.2">
      <c r="A77" s="120"/>
      <c r="B77" s="120"/>
      <c r="C77" s="121" t="s">
        <v>152</v>
      </c>
      <c r="D77" s="120"/>
      <c r="E77" s="120" t="s">
        <v>153</v>
      </c>
      <c r="F77" s="132" t="s">
        <v>155</v>
      </c>
      <c r="G77" s="129">
        <v>0</v>
      </c>
      <c r="H77" s="122" t="s">
        <v>153</v>
      </c>
      <c r="J77" s="2"/>
    </row>
    <row r="78" spans="1:10" x14ac:dyDescent="0.2">
      <c r="A78" s="120"/>
      <c r="B78" s="120"/>
      <c r="C78" s="130"/>
      <c r="D78" s="120"/>
      <c r="E78" s="120"/>
      <c r="F78" s="131"/>
      <c r="G78" s="131"/>
      <c r="H78" s="122" t="s">
        <v>153</v>
      </c>
      <c r="J78" s="2"/>
    </row>
    <row r="79" spans="1:10" x14ac:dyDescent="0.2">
      <c r="A79" s="120"/>
      <c r="B79" s="120"/>
      <c r="C79" s="121" t="s">
        <v>169</v>
      </c>
      <c r="D79" s="120"/>
      <c r="E79" s="120"/>
      <c r="F79" s="131"/>
      <c r="G79" s="131"/>
      <c r="H79" s="122" t="s">
        <v>153</v>
      </c>
      <c r="J79" s="2"/>
    </row>
    <row r="80" spans="1:10" x14ac:dyDescent="0.2">
      <c r="A80" s="120"/>
      <c r="B80" s="120"/>
      <c r="C80" s="121" t="s">
        <v>152</v>
      </c>
      <c r="D80" s="120"/>
      <c r="E80" s="120" t="s">
        <v>153</v>
      </c>
      <c r="F80" s="132" t="s">
        <v>155</v>
      </c>
      <c r="G80" s="129">
        <v>0</v>
      </c>
      <c r="H80" s="122" t="s">
        <v>153</v>
      </c>
      <c r="J80" s="2"/>
    </row>
    <row r="81" spans="1:10" x14ac:dyDescent="0.2">
      <c r="A81" s="120"/>
      <c r="B81" s="120"/>
      <c r="C81" s="130"/>
      <c r="D81" s="120"/>
      <c r="E81" s="120"/>
      <c r="F81" s="131"/>
      <c r="G81" s="131"/>
      <c r="H81" s="122" t="s">
        <v>153</v>
      </c>
      <c r="J81" s="2"/>
    </row>
    <row r="82" spans="1:10" x14ac:dyDescent="0.2">
      <c r="A82" s="120"/>
      <c r="B82" s="120"/>
      <c r="C82" s="121" t="s">
        <v>170</v>
      </c>
      <c r="D82" s="120"/>
      <c r="E82" s="120"/>
      <c r="F82" s="131"/>
      <c r="G82" s="131"/>
      <c r="H82" s="122" t="s">
        <v>153</v>
      </c>
      <c r="J82" s="2"/>
    </row>
    <row r="83" spans="1:10" x14ac:dyDescent="0.2">
      <c r="A83" s="123">
        <v>1</v>
      </c>
      <c r="B83" s="124"/>
      <c r="C83" s="124" t="s">
        <v>171</v>
      </c>
      <c r="D83" s="124"/>
      <c r="E83" s="133"/>
      <c r="F83" s="126">
        <v>61.956135799999998</v>
      </c>
      <c r="G83" s="127">
        <v>2.9337749999999999E-2</v>
      </c>
      <c r="H83" s="122">
        <v>6.62</v>
      </c>
      <c r="J83" s="2"/>
    </row>
    <row r="84" spans="1:10" x14ac:dyDescent="0.2">
      <c r="A84" s="120"/>
      <c r="B84" s="120"/>
      <c r="C84" s="121" t="s">
        <v>152</v>
      </c>
      <c r="D84" s="120"/>
      <c r="E84" s="120" t="s">
        <v>153</v>
      </c>
      <c r="F84" s="128">
        <v>61.956135799999998</v>
      </c>
      <c r="G84" s="129">
        <v>2.9337749999999999E-2</v>
      </c>
      <c r="H84" s="122" t="s">
        <v>153</v>
      </c>
      <c r="J84" s="2"/>
    </row>
    <row r="85" spans="1:10" x14ac:dyDescent="0.2">
      <c r="A85" s="120"/>
      <c r="B85" s="120"/>
      <c r="C85" s="130"/>
      <c r="D85" s="120"/>
      <c r="E85" s="120"/>
      <c r="F85" s="131"/>
      <c r="G85" s="131"/>
      <c r="H85" s="122" t="s">
        <v>153</v>
      </c>
      <c r="J85" s="2"/>
    </row>
    <row r="86" spans="1:10" x14ac:dyDescent="0.2">
      <c r="A86" s="120"/>
      <c r="B86" s="120"/>
      <c r="C86" s="121" t="s">
        <v>172</v>
      </c>
      <c r="D86" s="120"/>
      <c r="E86" s="120"/>
      <c r="F86" s="128">
        <v>61.956135799999998</v>
      </c>
      <c r="G86" s="129">
        <v>2.9337749999999999E-2</v>
      </c>
      <c r="H86" s="122" t="s">
        <v>153</v>
      </c>
      <c r="J86" s="2"/>
    </row>
    <row r="87" spans="1:10" x14ac:dyDescent="0.2">
      <c r="A87" s="120"/>
      <c r="B87" s="120"/>
      <c r="C87" s="131"/>
      <c r="D87" s="120"/>
      <c r="E87" s="120"/>
      <c r="F87" s="120"/>
      <c r="G87" s="120"/>
      <c r="H87" s="122" t="s">
        <v>153</v>
      </c>
      <c r="J87" s="2"/>
    </row>
    <row r="88" spans="1:10" x14ac:dyDescent="0.2">
      <c r="A88" s="120"/>
      <c r="B88" s="120"/>
      <c r="C88" s="121" t="s">
        <v>173</v>
      </c>
      <c r="D88" s="120"/>
      <c r="E88" s="120"/>
      <c r="F88" s="120"/>
      <c r="G88" s="120"/>
      <c r="H88" s="122" t="s">
        <v>153</v>
      </c>
      <c r="J88" s="2"/>
    </row>
    <row r="89" spans="1:10" x14ac:dyDescent="0.2">
      <c r="A89" s="120"/>
      <c r="B89" s="120"/>
      <c r="C89" s="121" t="s">
        <v>174</v>
      </c>
      <c r="D89" s="120"/>
      <c r="E89" s="120"/>
      <c r="F89" s="120"/>
      <c r="G89" s="120"/>
      <c r="H89" s="122" t="s">
        <v>153</v>
      </c>
      <c r="J89" s="2"/>
    </row>
    <row r="90" spans="1:10" x14ac:dyDescent="0.2">
      <c r="A90" s="120"/>
      <c r="B90" s="120"/>
      <c r="C90" s="121" t="s">
        <v>152</v>
      </c>
      <c r="D90" s="120"/>
      <c r="E90" s="120" t="s">
        <v>153</v>
      </c>
      <c r="F90" s="132" t="s">
        <v>155</v>
      </c>
      <c r="G90" s="129">
        <v>0</v>
      </c>
      <c r="H90" s="122" t="s">
        <v>153</v>
      </c>
      <c r="J90" s="2"/>
    </row>
    <row r="91" spans="1:10" x14ac:dyDescent="0.2">
      <c r="A91" s="120"/>
      <c r="B91" s="120"/>
      <c r="C91" s="130"/>
      <c r="D91" s="120"/>
      <c r="E91" s="120"/>
      <c r="F91" s="131"/>
      <c r="G91" s="131"/>
      <c r="H91" s="122" t="s">
        <v>153</v>
      </c>
      <c r="J91" s="2"/>
    </row>
    <row r="92" spans="1:10" x14ac:dyDescent="0.2">
      <c r="A92" s="120"/>
      <c r="B92" s="120"/>
      <c r="C92" s="121" t="s">
        <v>175</v>
      </c>
      <c r="D92" s="120"/>
      <c r="E92" s="120"/>
      <c r="F92" s="120"/>
      <c r="G92" s="120"/>
      <c r="H92" s="122" t="s">
        <v>153</v>
      </c>
      <c r="J92" s="2"/>
    </row>
    <row r="93" spans="1:10" x14ac:dyDescent="0.2">
      <c r="A93" s="120"/>
      <c r="B93" s="120"/>
      <c r="C93" s="121" t="s">
        <v>176</v>
      </c>
      <c r="D93" s="120"/>
      <c r="E93" s="120"/>
      <c r="F93" s="120"/>
      <c r="G93" s="120"/>
      <c r="H93" s="122" t="s">
        <v>153</v>
      </c>
      <c r="J93" s="2"/>
    </row>
    <row r="94" spans="1:10" x14ac:dyDescent="0.2">
      <c r="A94" s="120"/>
      <c r="B94" s="120"/>
      <c r="C94" s="121" t="s">
        <v>152</v>
      </c>
      <c r="D94" s="120"/>
      <c r="E94" s="120" t="s">
        <v>153</v>
      </c>
      <c r="F94" s="132" t="s">
        <v>155</v>
      </c>
      <c r="G94" s="129">
        <v>0</v>
      </c>
      <c r="H94" s="122" t="s">
        <v>153</v>
      </c>
      <c r="J94" s="2"/>
    </row>
    <row r="95" spans="1:10" x14ac:dyDescent="0.2">
      <c r="A95" s="120"/>
      <c r="B95" s="120"/>
      <c r="C95" s="130"/>
      <c r="D95" s="120"/>
      <c r="E95" s="120"/>
      <c r="F95" s="131"/>
      <c r="G95" s="131"/>
      <c r="H95" s="122" t="s">
        <v>153</v>
      </c>
      <c r="J95" s="2"/>
    </row>
    <row r="96" spans="1:10" ht="25.5" x14ac:dyDescent="0.2">
      <c r="A96" s="120"/>
      <c r="B96" s="120"/>
      <c r="C96" s="121" t="s">
        <v>177</v>
      </c>
      <c r="D96" s="120"/>
      <c r="E96" s="120"/>
      <c r="F96" s="131"/>
      <c r="G96" s="131"/>
      <c r="H96" s="122" t="s">
        <v>153</v>
      </c>
      <c r="J96" s="2"/>
    </row>
    <row r="97" spans="1:17" x14ac:dyDescent="0.2">
      <c r="A97" s="120"/>
      <c r="B97" s="120"/>
      <c r="C97" s="121" t="s">
        <v>152</v>
      </c>
      <c r="D97" s="120"/>
      <c r="E97" s="120" t="s">
        <v>153</v>
      </c>
      <c r="F97" s="132" t="s">
        <v>155</v>
      </c>
      <c r="G97" s="129">
        <v>0</v>
      </c>
      <c r="H97" s="122" t="s">
        <v>153</v>
      </c>
      <c r="J97" s="2"/>
    </row>
    <row r="98" spans="1:17" x14ac:dyDescent="0.2">
      <c r="A98" s="120"/>
      <c r="B98" s="124"/>
      <c r="C98" s="124"/>
      <c r="D98" s="121"/>
      <c r="E98" s="120"/>
      <c r="F98" s="124"/>
      <c r="G98" s="133"/>
      <c r="H98" s="122" t="s">
        <v>153</v>
      </c>
      <c r="J98" s="2"/>
    </row>
    <row r="99" spans="1:17" x14ac:dyDescent="0.2">
      <c r="A99" s="133"/>
      <c r="B99" s="124"/>
      <c r="C99" s="124" t="s">
        <v>178</v>
      </c>
      <c r="D99" s="124"/>
      <c r="E99" s="133"/>
      <c r="F99" s="126">
        <v>-2.1423593599999999</v>
      </c>
      <c r="G99" s="127">
        <v>-1.01446E-3</v>
      </c>
      <c r="H99" s="122" t="s">
        <v>153</v>
      </c>
      <c r="J99" s="2"/>
    </row>
    <row r="100" spans="1:17" x14ac:dyDescent="0.2">
      <c r="A100" s="130"/>
      <c r="B100" s="130"/>
      <c r="C100" s="121" t="s">
        <v>179</v>
      </c>
      <c r="D100" s="131"/>
      <c r="E100" s="131"/>
      <c r="F100" s="128">
        <v>2111.82304944</v>
      </c>
      <c r="G100" s="134">
        <v>1.0000000099999999</v>
      </c>
      <c r="H100" s="122" t="s">
        <v>153</v>
      </c>
      <c r="J100" s="2"/>
    </row>
    <row r="101" spans="1:17" x14ac:dyDescent="0.2">
      <c r="A101" s="135"/>
      <c r="B101" s="135"/>
      <c r="C101" s="135"/>
      <c r="D101" s="136"/>
      <c r="E101" s="136"/>
      <c r="F101" s="136"/>
      <c r="G101" s="136"/>
      <c r="J101" s="2"/>
    </row>
    <row r="102" spans="1:17" x14ac:dyDescent="0.2">
      <c r="A102" s="137"/>
      <c r="B102" s="226" t="s">
        <v>863</v>
      </c>
      <c r="C102" s="226"/>
      <c r="D102" s="226"/>
      <c r="E102" s="226"/>
      <c r="F102" s="226"/>
      <c r="G102" s="226"/>
      <c r="H102" s="226"/>
      <c r="J102" s="2"/>
    </row>
    <row r="103" spans="1:17" x14ac:dyDescent="0.2">
      <c r="A103" s="137"/>
      <c r="B103" s="226" t="s">
        <v>864</v>
      </c>
      <c r="C103" s="226"/>
      <c r="D103" s="226"/>
      <c r="E103" s="226"/>
      <c r="F103" s="226"/>
      <c r="G103" s="226"/>
      <c r="H103" s="226"/>
      <c r="J103" s="2"/>
    </row>
    <row r="104" spans="1:17" x14ac:dyDescent="0.2">
      <c r="A104" s="137"/>
      <c r="B104" s="226" t="s">
        <v>865</v>
      </c>
      <c r="C104" s="226"/>
      <c r="D104" s="226"/>
      <c r="E104" s="226"/>
      <c r="F104" s="226"/>
      <c r="G104" s="226"/>
      <c r="H104" s="226"/>
      <c r="J104" s="2"/>
    </row>
    <row r="105" spans="1:17" s="5" customFormat="1" ht="15" x14ac:dyDescent="0.25">
      <c r="A105" s="139"/>
      <c r="B105" s="227" t="s">
        <v>866</v>
      </c>
      <c r="C105" s="227"/>
      <c r="D105" s="227"/>
      <c r="E105" s="227"/>
      <c r="F105" s="227"/>
      <c r="G105" s="227"/>
      <c r="H105" s="227"/>
      <c r="I105"/>
      <c r="J105" s="2"/>
      <c r="K105"/>
      <c r="L105"/>
      <c r="M105"/>
      <c r="N105"/>
      <c r="O105"/>
      <c r="P105"/>
      <c r="Q105"/>
    </row>
    <row r="106" spans="1:17" x14ac:dyDescent="0.2">
      <c r="A106" s="137"/>
      <c r="B106" s="226" t="s">
        <v>867</v>
      </c>
      <c r="C106" s="226"/>
      <c r="D106" s="226"/>
      <c r="E106" s="226"/>
      <c r="F106" s="226"/>
      <c r="G106" s="226"/>
      <c r="H106" s="226"/>
      <c r="J106" s="2"/>
    </row>
    <row r="107" spans="1:17" x14ac:dyDescent="0.2">
      <c r="A107" s="140"/>
      <c r="B107" s="140"/>
      <c r="C107" s="140"/>
      <c r="D107" s="141"/>
      <c r="E107" s="141"/>
      <c r="F107" s="141"/>
      <c r="G107" s="141"/>
      <c r="J107" s="2"/>
    </row>
    <row r="108" spans="1:17" x14ac:dyDescent="0.2">
      <c r="A108" s="140"/>
      <c r="B108" s="228" t="s">
        <v>180</v>
      </c>
      <c r="C108" s="229"/>
      <c r="D108" s="230"/>
      <c r="E108" s="142"/>
      <c r="F108" s="141"/>
      <c r="G108" s="141"/>
      <c r="J108" s="2"/>
    </row>
    <row r="109" spans="1:17" x14ac:dyDescent="0.2">
      <c r="A109" s="140"/>
      <c r="B109" s="223" t="s">
        <v>181</v>
      </c>
      <c r="C109" s="224"/>
      <c r="D109" s="121" t="s">
        <v>182</v>
      </c>
      <c r="E109" s="142"/>
      <c r="F109" s="141"/>
      <c r="G109" s="141"/>
      <c r="J109" s="2"/>
    </row>
    <row r="110" spans="1:17" x14ac:dyDescent="0.2">
      <c r="A110" s="140"/>
      <c r="B110" s="223" t="s">
        <v>183</v>
      </c>
      <c r="C110" s="224"/>
      <c r="D110" s="121" t="s">
        <v>182</v>
      </c>
      <c r="E110" s="142"/>
      <c r="F110" s="141"/>
      <c r="G110" s="141"/>
      <c r="J110" s="2"/>
    </row>
    <row r="111" spans="1:17" x14ac:dyDescent="0.2">
      <c r="A111" s="140"/>
      <c r="B111" s="223" t="s">
        <v>184</v>
      </c>
      <c r="C111" s="224"/>
      <c r="D111" s="131" t="s">
        <v>153</v>
      </c>
      <c r="E111" s="142"/>
      <c r="F111" s="141"/>
      <c r="G111" s="141"/>
      <c r="J111" s="2"/>
    </row>
    <row r="112" spans="1:17" x14ac:dyDescent="0.2">
      <c r="A112" s="144"/>
      <c r="B112" s="145" t="s">
        <v>153</v>
      </c>
      <c r="C112" s="145" t="s">
        <v>870</v>
      </c>
      <c r="D112" s="145" t="s">
        <v>185</v>
      </c>
      <c r="E112" s="144"/>
      <c r="F112" s="144"/>
      <c r="G112" s="144"/>
      <c r="H112" s="144"/>
      <c r="J112" s="2"/>
    </row>
    <row r="113" spans="1:10" x14ac:dyDescent="0.2">
      <c r="A113" s="146"/>
      <c r="B113" s="147" t="s">
        <v>186</v>
      </c>
      <c r="C113" s="148">
        <v>45504</v>
      </c>
      <c r="D113" s="149">
        <v>45535</v>
      </c>
      <c r="E113" s="146"/>
      <c r="F113" s="146"/>
      <c r="G113" s="146"/>
      <c r="J113" s="2"/>
    </row>
    <row r="114" spans="1:10" x14ac:dyDescent="0.2">
      <c r="A114" s="146"/>
      <c r="B114" s="124" t="s">
        <v>187</v>
      </c>
      <c r="C114" s="150">
        <v>33.662199999999999</v>
      </c>
      <c r="D114" s="150">
        <v>33.864199999999997</v>
      </c>
      <c r="E114" s="146"/>
      <c r="F114" s="151"/>
      <c r="G114" s="152"/>
      <c r="J114" s="2"/>
    </row>
    <row r="115" spans="1:10" x14ac:dyDescent="0.2">
      <c r="A115" s="146"/>
      <c r="B115" s="124" t="s">
        <v>926</v>
      </c>
      <c r="C115" s="150">
        <v>26.732099999999999</v>
      </c>
      <c r="D115" s="150">
        <v>26.892499999999998</v>
      </c>
      <c r="E115" s="146"/>
      <c r="F115" s="151"/>
      <c r="G115" s="152"/>
      <c r="J115" s="2"/>
    </row>
    <row r="116" spans="1:10" x14ac:dyDescent="0.2">
      <c r="A116" s="146"/>
      <c r="B116" s="124" t="s">
        <v>188</v>
      </c>
      <c r="C116" s="150">
        <v>32.881</v>
      </c>
      <c r="D116" s="150">
        <v>33.076900000000002</v>
      </c>
      <c r="E116" s="146"/>
      <c r="F116" s="151"/>
      <c r="G116" s="152"/>
      <c r="J116" s="2"/>
    </row>
    <row r="117" spans="1:10" x14ac:dyDescent="0.2">
      <c r="A117" s="146"/>
      <c r="B117" s="124" t="s">
        <v>927</v>
      </c>
      <c r="C117" s="150">
        <v>25.988299999999999</v>
      </c>
      <c r="D117" s="150">
        <v>26.1431</v>
      </c>
      <c r="E117" s="146"/>
      <c r="F117" s="151"/>
      <c r="G117" s="152"/>
      <c r="J117" s="2"/>
    </row>
    <row r="118" spans="1:10" x14ac:dyDescent="0.2">
      <c r="A118" s="146"/>
      <c r="B118" s="146"/>
      <c r="C118" s="146"/>
      <c r="D118" s="146"/>
      <c r="E118" s="146"/>
      <c r="F118" s="146"/>
      <c r="G118" s="146"/>
      <c r="J118" s="2"/>
    </row>
    <row r="119" spans="1:10" x14ac:dyDescent="0.2">
      <c r="A119" s="144"/>
      <c r="B119" s="221" t="s">
        <v>869</v>
      </c>
      <c r="C119" s="222"/>
      <c r="D119" s="143" t="s">
        <v>182</v>
      </c>
      <c r="E119" s="144"/>
      <c r="F119" s="144"/>
      <c r="G119" s="144"/>
      <c r="J119" s="2"/>
    </row>
    <row r="120" spans="1:10" x14ac:dyDescent="0.2">
      <c r="A120" s="144"/>
      <c r="B120" s="163"/>
      <c r="C120" s="163"/>
      <c r="D120" s="163"/>
      <c r="E120" s="144"/>
      <c r="F120" s="144"/>
      <c r="G120" s="144"/>
      <c r="J120" s="2"/>
    </row>
    <row r="121" spans="1:10" x14ac:dyDescent="0.2">
      <c r="A121" s="144"/>
      <c r="B121" s="221" t="s">
        <v>189</v>
      </c>
      <c r="C121" s="222"/>
      <c r="D121" s="143" t="s">
        <v>182</v>
      </c>
      <c r="E121" s="153"/>
      <c r="F121" s="144"/>
      <c r="G121" s="144"/>
      <c r="J121" s="2"/>
    </row>
    <row r="122" spans="1:10" x14ac:dyDescent="0.2">
      <c r="A122" s="144"/>
      <c r="B122" s="221" t="s">
        <v>190</v>
      </c>
      <c r="C122" s="222"/>
      <c r="D122" s="143" t="s">
        <v>182</v>
      </c>
      <c r="E122" s="153"/>
      <c r="F122" s="144"/>
      <c r="G122" s="144"/>
      <c r="J122" s="2"/>
    </row>
    <row r="123" spans="1:10" x14ac:dyDescent="0.2">
      <c r="A123" s="144"/>
      <c r="B123" s="221" t="s">
        <v>191</v>
      </c>
      <c r="C123" s="222"/>
      <c r="D123" s="143" t="s">
        <v>182</v>
      </c>
      <c r="E123" s="153"/>
      <c r="F123" s="144"/>
      <c r="G123" s="144"/>
      <c r="J123" s="2"/>
    </row>
    <row r="124" spans="1:10" x14ac:dyDescent="0.2">
      <c r="A124" s="144"/>
      <c r="B124" s="221" t="s">
        <v>192</v>
      </c>
      <c r="C124" s="222"/>
      <c r="D124" s="154">
        <v>3.1619019082344553E-2</v>
      </c>
      <c r="E124" s="144"/>
      <c r="F124" s="138"/>
      <c r="G124" s="155"/>
    </row>
  </sheetData>
  <mergeCells count="17">
    <mergeCell ref="B109:C109"/>
    <mergeCell ref="A1:H1"/>
    <mergeCell ref="A2:H2"/>
    <mergeCell ref="A3:H3"/>
    <mergeCell ref="B102:H102"/>
    <mergeCell ref="B103:H103"/>
    <mergeCell ref="B104:H104"/>
    <mergeCell ref="B105:H105"/>
    <mergeCell ref="B106:H106"/>
    <mergeCell ref="B108:D108"/>
    <mergeCell ref="B110:C110"/>
    <mergeCell ref="B111:C111"/>
    <mergeCell ref="B119:C119"/>
    <mergeCell ref="B123:C123"/>
    <mergeCell ref="B124:C124"/>
    <mergeCell ref="B121:C121"/>
    <mergeCell ref="B122:C122"/>
  </mergeCells>
  <hyperlinks>
    <hyperlink ref="I1" location="Index!B8" display="Index" xr:uid="{A7DB0DE0-C0A8-496C-B2E4-F9B3EDCCBF1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0C6B-3A25-40B6-A1F9-DA1E790B964E}">
  <sheetPr>
    <outlinePr summaryBelow="0" summaryRight="0"/>
  </sheetPr>
  <dimension ref="A1:Q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6.140625"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480</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ht="25.5" x14ac:dyDescent="0.2">
      <c r="A6" s="120"/>
      <c r="B6" s="120"/>
      <c r="C6" s="121" t="s">
        <v>10</v>
      </c>
      <c r="D6" s="120"/>
      <c r="E6" s="120"/>
      <c r="F6" s="120"/>
      <c r="G6" s="120"/>
      <c r="H6" s="122" t="s">
        <v>153</v>
      </c>
      <c r="J6" s="2"/>
    </row>
    <row r="7" spans="1:10" x14ac:dyDescent="0.2">
      <c r="A7" s="123">
        <v>1</v>
      </c>
      <c r="B7" s="124" t="s">
        <v>46</v>
      </c>
      <c r="C7" s="124" t="s">
        <v>47</v>
      </c>
      <c r="D7" s="124" t="s">
        <v>48</v>
      </c>
      <c r="E7" s="125">
        <v>9931</v>
      </c>
      <c r="F7" s="126">
        <v>122.07185200000001</v>
      </c>
      <c r="G7" s="127">
        <v>9.0184920000000002E-2</v>
      </c>
      <c r="H7" s="122" t="s">
        <v>153</v>
      </c>
      <c r="J7" s="2"/>
    </row>
    <row r="8" spans="1:10" x14ac:dyDescent="0.2">
      <c r="A8" s="123">
        <v>2</v>
      </c>
      <c r="B8" s="124" t="s">
        <v>342</v>
      </c>
      <c r="C8" s="124" t="s">
        <v>343</v>
      </c>
      <c r="D8" s="124" t="s">
        <v>48</v>
      </c>
      <c r="E8" s="125">
        <v>6942</v>
      </c>
      <c r="F8" s="126">
        <v>113.63359800000001</v>
      </c>
      <c r="G8" s="127">
        <v>8.3950860000000002E-2</v>
      </c>
      <c r="H8" s="122" t="s">
        <v>153</v>
      </c>
      <c r="J8" s="2"/>
    </row>
    <row r="9" spans="1:10" x14ac:dyDescent="0.2">
      <c r="A9" s="123">
        <v>3</v>
      </c>
      <c r="B9" s="124" t="s">
        <v>344</v>
      </c>
      <c r="C9" s="124" t="s">
        <v>345</v>
      </c>
      <c r="D9" s="124" t="s">
        <v>211</v>
      </c>
      <c r="E9" s="125">
        <v>5430</v>
      </c>
      <c r="F9" s="126">
        <v>105.54291000000001</v>
      </c>
      <c r="G9" s="127">
        <v>7.7973580000000001E-2</v>
      </c>
      <c r="H9" s="122" t="s">
        <v>153</v>
      </c>
      <c r="J9" s="2"/>
    </row>
    <row r="10" spans="1:10" x14ac:dyDescent="0.2">
      <c r="A10" s="123">
        <v>4</v>
      </c>
      <c r="B10" s="124" t="s">
        <v>20</v>
      </c>
      <c r="C10" s="124" t="s">
        <v>21</v>
      </c>
      <c r="D10" s="124" t="s">
        <v>22</v>
      </c>
      <c r="E10" s="125">
        <v>3489</v>
      </c>
      <c r="F10" s="126">
        <v>105.3416325</v>
      </c>
      <c r="G10" s="127">
        <v>7.7824870000000004E-2</v>
      </c>
      <c r="H10" s="122" t="s">
        <v>153</v>
      </c>
      <c r="J10" s="2"/>
    </row>
    <row r="11" spans="1:10" x14ac:dyDescent="0.2">
      <c r="A11" s="123">
        <v>5</v>
      </c>
      <c r="B11" s="124" t="s">
        <v>54</v>
      </c>
      <c r="C11" s="124" t="s">
        <v>55</v>
      </c>
      <c r="D11" s="124" t="s">
        <v>48</v>
      </c>
      <c r="E11" s="125">
        <v>11730</v>
      </c>
      <c r="F11" s="126">
        <v>95.669880000000006</v>
      </c>
      <c r="G11" s="127">
        <v>7.0679519999999996E-2</v>
      </c>
      <c r="H11" s="122" t="s">
        <v>153</v>
      </c>
      <c r="J11" s="2"/>
    </row>
    <row r="12" spans="1:10" ht="15" x14ac:dyDescent="0.2">
      <c r="A12" s="123">
        <v>6</v>
      </c>
      <c r="B12" s="124" t="s">
        <v>14</v>
      </c>
      <c r="C12" s="124" t="s">
        <v>15</v>
      </c>
      <c r="D12" s="124" t="s">
        <v>16</v>
      </c>
      <c r="E12" s="125">
        <v>4294</v>
      </c>
      <c r="F12" s="126">
        <v>68.233806999999999</v>
      </c>
      <c r="G12" s="127">
        <v>5.0410150000000001E-2</v>
      </c>
      <c r="H12" s="122" t="s">
        <v>153</v>
      </c>
      <c r="J12" s="7"/>
    </row>
    <row r="13" spans="1:10" x14ac:dyDescent="0.2">
      <c r="A13" s="123">
        <v>7</v>
      </c>
      <c r="B13" s="124" t="s">
        <v>11</v>
      </c>
      <c r="C13" s="124" t="s">
        <v>12</v>
      </c>
      <c r="D13" s="124" t="s">
        <v>13</v>
      </c>
      <c r="E13" s="125">
        <v>1772</v>
      </c>
      <c r="F13" s="126">
        <v>65.646398000000005</v>
      </c>
      <c r="G13" s="127">
        <v>4.8498609999999998E-2</v>
      </c>
      <c r="H13" s="122" t="s">
        <v>153</v>
      </c>
      <c r="J13" s="2"/>
    </row>
    <row r="14" spans="1:10" x14ac:dyDescent="0.2">
      <c r="A14" s="123">
        <v>8</v>
      </c>
      <c r="B14" s="124" t="s">
        <v>361</v>
      </c>
      <c r="C14" s="124" t="s">
        <v>362</v>
      </c>
      <c r="D14" s="124" t="s">
        <v>273</v>
      </c>
      <c r="E14" s="125">
        <v>4883</v>
      </c>
      <c r="F14" s="126">
        <v>54.267220500000001</v>
      </c>
      <c r="G14" s="127">
        <v>4.0091839999999997E-2</v>
      </c>
      <c r="H14" s="122" t="s">
        <v>153</v>
      </c>
      <c r="J14" s="2"/>
    </row>
    <row r="15" spans="1:10" ht="25.5" x14ac:dyDescent="0.2">
      <c r="A15" s="123">
        <v>9</v>
      </c>
      <c r="B15" s="124" t="s">
        <v>23</v>
      </c>
      <c r="C15" s="124" t="s">
        <v>24</v>
      </c>
      <c r="D15" s="124" t="s">
        <v>25</v>
      </c>
      <c r="E15" s="125">
        <v>424</v>
      </c>
      <c r="F15" s="126">
        <v>47.920056000000002</v>
      </c>
      <c r="G15" s="127">
        <v>3.5402639999999999E-2</v>
      </c>
      <c r="H15" s="122" t="s">
        <v>153</v>
      </c>
      <c r="J15" s="2"/>
    </row>
    <row r="16" spans="1:10" x14ac:dyDescent="0.2">
      <c r="A16" s="123">
        <v>10</v>
      </c>
      <c r="B16" s="124" t="s">
        <v>350</v>
      </c>
      <c r="C16" s="124" t="s">
        <v>351</v>
      </c>
      <c r="D16" s="124" t="s">
        <v>48</v>
      </c>
      <c r="E16" s="125">
        <v>3621</v>
      </c>
      <c r="F16" s="126">
        <v>42.555802499999999</v>
      </c>
      <c r="G16" s="127">
        <v>3.143961E-2</v>
      </c>
      <c r="H16" s="122" t="s">
        <v>153</v>
      </c>
      <c r="J16" s="2" t="s">
        <v>923</v>
      </c>
    </row>
    <row r="17" spans="1:10" x14ac:dyDescent="0.2">
      <c r="A17" s="123">
        <v>11</v>
      </c>
      <c r="B17" s="124" t="s">
        <v>232</v>
      </c>
      <c r="C17" s="124" t="s">
        <v>233</v>
      </c>
      <c r="D17" s="124" t="s">
        <v>22</v>
      </c>
      <c r="E17" s="125">
        <v>9124</v>
      </c>
      <c r="F17" s="126">
        <v>38.234121999999999</v>
      </c>
      <c r="G17" s="127">
        <v>2.8246819999999999E-2</v>
      </c>
      <c r="H17" s="122" t="s">
        <v>153</v>
      </c>
      <c r="J17" s="2"/>
    </row>
    <row r="18" spans="1:10" x14ac:dyDescent="0.2">
      <c r="A18" s="123">
        <v>12</v>
      </c>
      <c r="B18" s="124" t="s">
        <v>372</v>
      </c>
      <c r="C18" s="124" t="s">
        <v>373</v>
      </c>
      <c r="D18" s="124" t="s">
        <v>374</v>
      </c>
      <c r="E18" s="125">
        <v>7286</v>
      </c>
      <c r="F18" s="126">
        <v>36.568434000000003</v>
      </c>
      <c r="G18" s="127">
        <v>2.7016229999999999E-2</v>
      </c>
      <c r="H18" s="122" t="s">
        <v>153</v>
      </c>
      <c r="J18" s="2"/>
    </row>
    <row r="19" spans="1:10" x14ac:dyDescent="0.2">
      <c r="A19" s="123">
        <v>13</v>
      </c>
      <c r="B19" s="124" t="s">
        <v>134</v>
      </c>
      <c r="C19" s="124" t="s">
        <v>135</v>
      </c>
      <c r="D19" s="124" t="s">
        <v>136</v>
      </c>
      <c r="E19" s="125">
        <v>3580</v>
      </c>
      <c r="F19" s="126">
        <v>34.740319999999997</v>
      </c>
      <c r="G19" s="127">
        <v>2.5665650000000002E-2</v>
      </c>
      <c r="H19" s="122" t="s">
        <v>153</v>
      </c>
      <c r="J19" s="2"/>
    </row>
    <row r="20" spans="1:10" x14ac:dyDescent="0.2">
      <c r="A20" s="123">
        <v>14</v>
      </c>
      <c r="B20" s="124" t="s">
        <v>394</v>
      </c>
      <c r="C20" s="124" t="s">
        <v>395</v>
      </c>
      <c r="D20" s="124" t="s">
        <v>45</v>
      </c>
      <c r="E20" s="125">
        <v>901</v>
      </c>
      <c r="F20" s="126">
        <v>32.122001500000003</v>
      </c>
      <c r="G20" s="127">
        <v>2.3731269999999999E-2</v>
      </c>
      <c r="H20" s="122" t="s">
        <v>153</v>
      </c>
      <c r="J20" s="2"/>
    </row>
    <row r="21" spans="1:10" ht="25.5" x14ac:dyDescent="0.2">
      <c r="A21" s="123">
        <v>15</v>
      </c>
      <c r="B21" s="124" t="s">
        <v>203</v>
      </c>
      <c r="C21" s="124" t="s">
        <v>204</v>
      </c>
      <c r="D21" s="124" t="s">
        <v>205</v>
      </c>
      <c r="E21" s="125">
        <v>1637</v>
      </c>
      <c r="F21" s="126">
        <v>28.782552500000001</v>
      </c>
      <c r="G21" s="127">
        <v>2.1264129999999999E-2</v>
      </c>
      <c r="H21" s="122" t="s">
        <v>153</v>
      </c>
      <c r="J21" s="2"/>
    </row>
    <row r="22" spans="1:10" ht="15" x14ac:dyDescent="0.2">
      <c r="A22" s="123">
        <v>16</v>
      </c>
      <c r="B22" s="124" t="s">
        <v>348</v>
      </c>
      <c r="C22" s="124" t="s">
        <v>349</v>
      </c>
      <c r="D22" s="124" t="s">
        <v>211</v>
      </c>
      <c r="E22" s="125">
        <v>617</v>
      </c>
      <c r="F22" s="126">
        <v>28.0966375</v>
      </c>
      <c r="G22" s="127">
        <v>2.0757390000000001E-2</v>
      </c>
      <c r="H22" s="122" t="s">
        <v>153</v>
      </c>
      <c r="J22" s="7"/>
    </row>
    <row r="23" spans="1:10" x14ac:dyDescent="0.2">
      <c r="A23" s="123">
        <v>17</v>
      </c>
      <c r="B23" s="124" t="s">
        <v>469</v>
      </c>
      <c r="C23" s="124" t="s">
        <v>470</v>
      </c>
      <c r="D23" s="124" t="s">
        <v>211</v>
      </c>
      <c r="E23" s="125">
        <v>1555</v>
      </c>
      <c r="F23" s="126">
        <v>27.263037499999999</v>
      </c>
      <c r="G23" s="127">
        <v>2.0141539999999999E-2</v>
      </c>
      <c r="H23" s="122" t="s">
        <v>153</v>
      </c>
      <c r="J23" s="2"/>
    </row>
    <row r="24" spans="1:10" x14ac:dyDescent="0.2">
      <c r="A24" s="123">
        <v>18</v>
      </c>
      <c r="B24" s="124" t="s">
        <v>28</v>
      </c>
      <c r="C24" s="124" t="s">
        <v>29</v>
      </c>
      <c r="D24" s="124" t="s">
        <v>22</v>
      </c>
      <c r="E24" s="125">
        <v>7496</v>
      </c>
      <c r="F24" s="126">
        <v>26.809443999999999</v>
      </c>
      <c r="G24" s="127">
        <v>1.980643E-2</v>
      </c>
      <c r="H24" s="122" t="s">
        <v>153</v>
      </c>
      <c r="J24" s="2"/>
    </row>
    <row r="25" spans="1:10" x14ac:dyDescent="0.2">
      <c r="A25" s="123">
        <v>19</v>
      </c>
      <c r="B25" s="124" t="s">
        <v>467</v>
      </c>
      <c r="C25" s="124" t="s">
        <v>468</v>
      </c>
      <c r="D25" s="124" t="s">
        <v>48</v>
      </c>
      <c r="E25" s="125">
        <v>9495</v>
      </c>
      <c r="F25" s="126">
        <v>23.746994999999998</v>
      </c>
      <c r="G25" s="127">
        <v>1.7543940000000001E-2</v>
      </c>
      <c r="H25" s="122" t="s">
        <v>153</v>
      </c>
      <c r="J25" s="2"/>
    </row>
    <row r="26" spans="1:10" x14ac:dyDescent="0.2">
      <c r="A26" s="123">
        <v>20</v>
      </c>
      <c r="B26" s="124" t="s">
        <v>126</v>
      </c>
      <c r="C26" s="124" t="s">
        <v>127</v>
      </c>
      <c r="D26" s="124" t="s">
        <v>74</v>
      </c>
      <c r="E26" s="125">
        <v>587</v>
      </c>
      <c r="F26" s="126">
        <v>23.1374855</v>
      </c>
      <c r="G26" s="127">
        <v>1.709364E-2</v>
      </c>
      <c r="H26" s="122" t="s">
        <v>153</v>
      </c>
      <c r="J26" s="2"/>
    </row>
    <row r="27" spans="1:10" x14ac:dyDescent="0.2">
      <c r="A27" s="123">
        <v>21</v>
      </c>
      <c r="B27" s="124" t="s">
        <v>465</v>
      </c>
      <c r="C27" s="124" t="s">
        <v>466</v>
      </c>
      <c r="D27" s="124" t="s">
        <v>255</v>
      </c>
      <c r="E27" s="125">
        <v>1169</v>
      </c>
      <c r="F27" s="126">
        <v>21.630006999999999</v>
      </c>
      <c r="G27" s="127">
        <v>1.5979940000000002E-2</v>
      </c>
      <c r="H27" s="122" t="s">
        <v>153</v>
      </c>
      <c r="J27" s="2"/>
    </row>
    <row r="28" spans="1:10" x14ac:dyDescent="0.2">
      <c r="A28" s="123">
        <v>22</v>
      </c>
      <c r="B28" s="124" t="s">
        <v>358</v>
      </c>
      <c r="C28" s="124" t="s">
        <v>359</v>
      </c>
      <c r="D28" s="124" t="s">
        <v>360</v>
      </c>
      <c r="E28" s="125">
        <v>2810</v>
      </c>
      <c r="F28" s="126">
        <v>19.707934999999999</v>
      </c>
      <c r="G28" s="127">
        <v>1.455994E-2</v>
      </c>
      <c r="H28" s="122" t="s">
        <v>153</v>
      </c>
      <c r="J28" s="2"/>
    </row>
    <row r="29" spans="1:10" ht="25.5" x14ac:dyDescent="0.2">
      <c r="A29" s="123">
        <v>23</v>
      </c>
      <c r="B29" s="124" t="s">
        <v>473</v>
      </c>
      <c r="C29" s="124" t="s">
        <v>474</v>
      </c>
      <c r="D29" s="124" t="s">
        <v>315</v>
      </c>
      <c r="E29" s="125">
        <v>1612</v>
      </c>
      <c r="F29" s="126">
        <v>19.346418</v>
      </c>
      <c r="G29" s="127">
        <v>1.4292849999999999E-2</v>
      </c>
      <c r="H29" s="122" t="s">
        <v>153</v>
      </c>
      <c r="J29" s="2"/>
    </row>
    <row r="30" spans="1:10" ht="25.5" x14ac:dyDescent="0.2">
      <c r="A30" s="123">
        <v>24</v>
      </c>
      <c r="B30" s="124" t="s">
        <v>471</v>
      </c>
      <c r="C30" s="124" t="s">
        <v>472</v>
      </c>
      <c r="D30" s="124" t="s">
        <v>208</v>
      </c>
      <c r="E30" s="125">
        <v>1140</v>
      </c>
      <c r="F30" s="126">
        <v>18.865860000000001</v>
      </c>
      <c r="G30" s="127">
        <v>1.393782E-2</v>
      </c>
      <c r="H30" s="122" t="s">
        <v>153</v>
      </c>
      <c r="J30" s="2"/>
    </row>
    <row r="31" spans="1:10" ht="25.5" x14ac:dyDescent="0.2">
      <c r="A31" s="123">
        <v>25</v>
      </c>
      <c r="B31" s="124" t="s">
        <v>324</v>
      </c>
      <c r="C31" s="124" t="s">
        <v>325</v>
      </c>
      <c r="D31" s="124" t="s">
        <v>250</v>
      </c>
      <c r="E31" s="125">
        <v>526</v>
      </c>
      <c r="F31" s="126">
        <v>17.349584</v>
      </c>
      <c r="G31" s="127">
        <v>1.281762E-2</v>
      </c>
      <c r="H31" s="122" t="s">
        <v>153</v>
      </c>
      <c r="J31" s="2"/>
    </row>
    <row r="32" spans="1:10" ht="25.5" x14ac:dyDescent="0.2">
      <c r="A32" s="123">
        <v>26</v>
      </c>
      <c r="B32" s="124" t="s">
        <v>475</v>
      </c>
      <c r="C32" s="124" t="s">
        <v>476</v>
      </c>
      <c r="D32" s="124" t="s">
        <v>25</v>
      </c>
      <c r="E32" s="125">
        <v>1190</v>
      </c>
      <c r="F32" s="126">
        <v>15.83652</v>
      </c>
      <c r="G32" s="127">
        <v>1.169979E-2</v>
      </c>
      <c r="H32" s="122" t="s">
        <v>153</v>
      </c>
      <c r="J32" s="2"/>
    </row>
    <row r="33" spans="1:10" x14ac:dyDescent="0.2">
      <c r="A33" s="123">
        <v>27</v>
      </c>
      <c r="B33" s="124" t="s">
        <v>93</v>
      </c>
      <c r="C33" s="124" t="s">
        <v>94</v>
      </c>
      <c r="D33" s="124" t="s">
        <v>86</v>
      </c>
      <c r="E33" s="125">
        <v>1497</v>
      </c>
      <c r="F33" s="126">
        <v>14.447547</v>
      </c>
      <c r="G33" s="127">
        <v>1.067364E-2</v>
      </c>
      <c r="H33" s="122" t="s">
        <v>153</v>
      </c>
      <c r="J33" s="2"/>
    </row>
    <row r="34" spans="1:10" x14ac:dyDescent="0.2">
      <c r="A34" s="123">
        <v>28</v>
      </c>
      <c r="B34" s="124" t="s">
        <v>377</v>
      </c>
      <c r="C34" s="124" t="s">
        <v>378</v>
      </c>
      <c r="D34" s="124" t="s">
        <v>374</v>
      </c>
      <c r="E34" s="125">
        <v>517</v>
      </c>
      <c r="F34" s="126">
        <v>14.362259999999999</v>
      </c>
      <c r="G34" s="127">
        <v>1.0610629999999999E-2</v>
      </c>
      <c r="H34" s="122" t="s">
        <v>153</v>
      </c>
      <c r="J34" s="2"/>
    </row>
    <row r="35" spans="1:10" x14ac:dyDescent="0.2">
      <c r="A35" s="123">
        <v>29</v>
      </c>
      <c r="B35" s="124" t="s">
        <v>477</v>
      </c>
      <c r="C35" s="124" t="s">
        <v>478</v>
      </c>
      <c r="D35" s="124" t="s">
        <v>48</v>
      </c>
      <c r="E35" s="125">
        <v>989</v>
      </c>
      <c r="F35" s="126">
        <v>14.095722500000001</v>
      </c>
      <c r="G35" s="127">
        <v>1.041372E-2</v>
      </c>
      <c r="H35" s="122" t="s">
        <v>153</v>
      </c>
      <c r="J35" s="2"/>
    </row>
    <row r="36" spans="1:10" x14ac:dyDescent="0.2">
      <c r="A36" s="123">
        <v>30</v>
      </c>
      <c r="B36" s="124" t="s">
        <v>356</v>
      </c>
      <c r="C36" s="124" t="s">
        <v>357</v>
      </c>
      <c r="D36" s="124" t="s">
        <v>48</v>
      </c>
      <c r="E36" s="125">
        <v>731</v>
      </c>
      <c r="F36" s="126">
        <v>13.017647999999999</v>
      </c>
      <c r="G36" s="127">
        <v>9.6172500000000008E-3</v>
      </c>
      <c r="H36" s="122" t="s">
        <v>153</v>
      </c>
      <c r="J36" s="2"/>
    </row>
    <row r="37" spans="1:10" x14ac:dyDescent="0.2">
      <c r="A37" s="123">
        <v>31</v>
      </c>
      <c r="B37" s="124" t="s">
        <v>481</v>
      </c>
      <c r="C37" s="124" t="s">
        <v>482</v>
      </c>
      <c r="D37" s="124" t="s">
        <v>211</v>
      </c>
      <c r="E37" s="125">
        <v>1558</v>
      </c>
      <c r="F37" s="126">
        <v>8.3882720000000006</v>
      </c>
      <c r="G37" s="127">
        <v>6.1971300000000003E-3</v>
      </c>
      <c r="H37" s="122" t="s">
        <v>153</v>
      </c>
      <c r="J37" s="2"/>
    </row>
    <row r="38" spans="1:10" ht="25.5" x14ac:dyDescent="0.2">
      <c r="A38" s="123">
        <v>32</v>
      </c>
      <c r="B38" s="124" t="s">
        <v>479</v>
      </c>
      <c r="C38" s="124" t="s">
        <v>924</v>
      </c>
      <c r="D38" s="124" t="s">
        <v>16</v>
      </c>
      <c r="E38" s="125">
        <v>327</v>
      </c>
      <c r="F38" s="126">
        <v>3.9019275000000002</v>
      </c>
      <c r="G38" s="127">
        <v>2.8826899999999998E-3</v>
      </c>
      <c r="H38" s="122" t="s">
        <v>153</v>
      </c>
      <c r="J38" s="2"/>
    </row>
    <row r="39" spans="1:10" x14ac:dyDescent="0.2">
      <c r="A39" s="120"/>
      <c r="B39" s="120"/>
      <c r="C39" s="121" t="s">
        <v>152</v>
      </c>
      <c r="D39" s="120"/>
      <c r="E39" s="120" t="s">
        <v>153</v>
      </c>
      <c r="F39" s="128">
        <f>SUM(F7:F38)</f>
        <v>1301.3338870000002</v>
      </c>
      <c r="G39" s="129">
        <f>SUM(G7:G38)</f>
        <v>0.96140666000000008</v>
      </c>
      <c r="H39" s="122" t="s">
        <v>153</v>
      </c>
      <c r="J39" s="2"/>
    </row>
    <row r="40" spans="1:10" x14ac:dyDescent="0.2">
      <c r="A40" s="120"/>
      <c r="B40" s="120"/>
      <c r="C40" s="130"/>
      <c r="D40" s="120"/>
      <c r="E40" s="120"/>
      <c r="F40" s="131"/>
      <c r="G40" s="131"/>
      <c r="H40" s="122" t="s">
        <v>153</v>
      </c>
      <c r="J40" s="2"/>
    </row>
    <row r="41" spans="1:10" x14ac:dyDescent="0.2">
      <c r="A41" s="120"/>
      <c r="B41" s="120"/>
      <c r="C41" s="121" t="s">
        <v>154</v>
      </c>
      <c r="D41" s="120"/>
      <c r="E41" s="120"/>
      <c r="F41" s="120"/>
      <c r="G41" s="120"/>
      <c r="H41" s="122" t="s">
        <v>153</v>
      </c>
      <c r="J41" s="2"/>
    </row>
    <row r="42" spans="1:10" x14ac:dyDescent="0.2">
      <c r="A42" s="120"/>
      <c r="B42" s="120"/>
      <c r="C42" s="121" t="s">
        <v>152</v>
      </c>
      <c r="D42" s="120"/>
      <c r="E42" s="120" t="s">
        <v>153</v>
      </c>
      <c r="F42" s="132" t="s">
        <v>155</v>
      </c>
      <c r="G42" s="129">
        <v>0</v>
      </c>
      <c r="H42" s="122" t="s">
        <v>153</v>
      </c>
      <c r="J42" s="2"/>
    </row>
    <row r="43" spans="1:10" x14ac:dyDescent="0.2">
      <c r="A43" s="120"/>
      <c r="B43" s="120"/>
      <c r="C43" s="130"/>
      <c r="D43" s="120"/>
      <c r="E43" s="120"/>
      <c r="F43" s="131"/>
      <c r="G43" s="131"/>
      <c r="H43" s="122" t="s">
        <v>153</v>
      </c>
      <c r="J43" s="2"/>
    </row>
    <row r="44" spans="1:10" x14ac:dyDescent="0.2">
      <c r="A44" s="120"/>
      <c r="B44" s="120"/>
      <c r="C44" s="121" t="s">
        <v>156</v>
      </c>
      <c r="D44" s="120"/>
      <c r="E44" s="120"/>
      <c r="F44" s="120"/>
      <c r="G44" s="120"/>
      <c r="H44" s="122" t="s">
        <v>153</v>
      </c>
      <c r="J44" s="2"/>
    </row>
    <row r="45" spans="1:10" x14ac:dyDescent="0.2">
      <c r="A45" s="120"/>
      <c r="B45" s="120"/>
      <c r="C45" s="121" t="s">
        <v>152</v>
      </c>
      <c r="D45" s="120"/>
      <c r="E45" s="120" t="s">
        <v>153</v>
      </c>
      <c r="F45" s="132" t="s">
        <v>155</v>
      </c>
      <c r="G45" s="129">
        <v>0</v>
      </c>
      <c r="H45" s="122" t="s">
        <v>153</v>
      </c>
      <c r="J45" s="2"/>
    </row>
    <row r="46" spans="1:10" x14ac:dyDescent="0.2">
      <c r="A46" s="120"/>
      <c r="B46" s="120"/>
      <c r="C46" s="130"/>
      <c r="D46" s="120"/>
      <c r="E46" s="120"/>
      <c r="F46" s="131"/>
      <c r="G46" s="131"/>
      <c r="H46" s="122" t="s">
        <v>153</v>
      </c>
      <c r="J46" s="2"/>
    </row>
    <row r="47" spans="1:10" x14ac:dyDescent="0.2">
      <c r="A47" s="120"/>
      <c r="B47" s="120"/>
      <c r="C47" s="121" t="s">
        <v>157</v>
      </c>
      <c r="D47" s="120"/>
      <c r="E47" s="120"/>
      <c r="F47" s="120"/>
      <c r="G47" s="120"/>
      <c r="H47" s="122" t="s">
        <v>153</v>
      </c>
      <c r="J47" s="2"/>
    </row>
    <row r="48" spans="1:10" x14ac:dyDescent="0.2">
      <c r="A48" s="120"/>
      <c r="B48" s="120"/>
      <c r="C48" s="121" t="s">
        <v>152</v>
      </c>
      <c r="D48" s="120"/>
      <c r="E48" s="120" t="s">
        <v>153</v>
      </c>
      <c r="F48" s="128">
        <v>3.9019275000000002</v>
      </c>
      <c r="G48" s="129">
        <v>2.8826899999999998E-3</v>
      </c>
      <c r="H48" s="122" t="s">
        <v>153</v>
      </c>
      <c r="J48" s="2"/>
    </row>
    <row r="49" spans="1:10" x14ac:dyDescent="0.2">
      <c r="A49" s="120"/>
      <c r="B49" s="120"/>
      <c r="C49" s="130"/>
      <c r="D49" s="120"/>
      <c r="E49" s="120"/>
      <c r="F49" s="131"/>
      <c r="G49" s="131"/>
      <c r="H49" s="122" t="s">
        <v>153</v>
      </c>
      <c r="J49" s="2"/>
    </row>
    <row r="50" spans="1:10" x14ac:dyDescent="0.2">
      <c r="A50" s="120"/>
      <c r="B50" s="120"/>
      <c r="C50" s="121" t="s">
        <v>158</v>
      </c>
      <c r="D50" s="120"/>
      <c r="E50" s="120"/>
      <c r="F50" s="131"/>
      <c r="G50" s="131"/>
      <c r="H50" s="122" t="s">
        <v>153</v>
      </c>
      <c r="J50" s="2"/>
    </row>
    <row r="51" spans="1:10" x14ac:dyDescent="0.2">
      <c r="A51" s="120"/>
      <c r="B51" s="120"/>
      <c r="C51" s="121" t="s">
        <v>152</v>
      </c>
      <c r="D51" s="120"/>
      <c r="E51" s="120" t="s">
        <v>153</v>
      </c>
      <c r="F51" s="132" t="s">
        <v>155</v>
      </c>
      <c r="G51" s="129">
        <v>0</v>
      </c>
      <c r="H51" s="122" t="s">
        <v>153</v>
      </c>
      <c r="J51" s="2"/>
    </row>
    <row r="52" spans="1:10" x14ac:dyDescent="0.2">
      <c r="A52" s="120"/>
      <c r="B52" s="120"/>
      <c r="C52" s="130"/>
      <c r="D52" s="120"/>
      <c r="E52" s="120"/>
      <c r="F52" s="131"/>
      <c r="G52" s="131"/>
      <c r="H52" s="122" t="s">
        <v>153</v>
      </c>
      <c r="J52" s="2"/>
    </row>
    <row r="53" spans="1:10" x14ac:dyDescent="0.2">
      <c r="A53" s="120"/>
      <c r="B53" s="120"/>
      <c r="C53" s="121" t="s">
        <v>159</v>
      </c>
      <c r="D53" s="120"/>
      <c r="E53" s="120"/>
      <c r="F53" s="131"/>
      <c r="G53" s="131"/>
      <c r="H53" s="122" t="s">
        <v>153</v>
      </c>
      <c r="J53" s="2"/>
    </row>
    <row r="54" spans="1:10" x14ac:dyDescent="0.2">
      <c r="A54" s="120"/>
      <c r="B54" s="120"/>
      <c r="C54" s="121" t="s">
        <v>152</v>
      </c>
      <c r="D54" s="120"/>
      <c r="E54" s="120" t="s">
        <v>153</v>
      </c>
      <c r="F54" s="132" t="s">
        <v>155</v>
      </c>
      <c r="G54" s="129">
        <v>0</v>
      </c>
      <c r="H54" s="122" t="s">
        <v>153</v>
      </c>
      <c r="J54" s="2"/>
    </row>
    <row r="55" spans="1:10" x14ac:dyDescent="0.2">
      <c r="A55" s="120"/>
      <c r="B55" s="120"/>
      <c r="C55" s="130"/>
      <c r="D55" s="120"/>
      <c r="E55" s="120"/>
      <c r="F55" s="131"/>
      <c r="G55" s="131"/>
      <c r="H55" s="122" t="s">
        <v>153</v>
      </c>
      <c r="J55" s="2"/>
    </row>
    <row r="56" spans="1:10" x14ac:dyDescent="0.2">
      <c r="A56" s="120"/>
      <c r="B56" s="120"/>
      <c r="C56" s="121" t="s">
        <v>160</v>
      </c>
      <c r="D56" s="120"/>
      <c r="E56" s="120"/>
      <c r="F56" s="128">
        <v>1301.333887</v>
      </c>
      <c r="G56" s="129">
        <v>0.96140665999999997</v>
      </c>
      <c r="H56" s="122" t="s">
        <v>153</v>
      </c>
      <c r="J56" s="2"/>
    </row>
    <row r="57" spans="1:10" x14ac:dyDescent="0.2">
      <c r="A57" s="120"/>
      <c r="B57" s="120"/>
      <c r="C57" s="130"/>
      <c r="D57" s="120"/>
      <c r="E57" s="120"/>
      <c r="F57" s="131"/>
      <c r="G57" s="131"/>
      <c r="H57" s="122" t="s">
        <v>153</v>
      </c>
      <c r="J57" s="2"/>
    </row>
    <row r="58" spans="1:10" x14ac:dyDescent="0.2">
      <c r="A58" s="120"/>
      <c r="B58" s="120"/>
      <c r="C58" s="121" t="s">
        <v>161</v>
      </c>
      <c r="D58" s="120"/>
      <c r="E58" s="120"/>
      <c r="F58" s="131"/>
      <c r="G58" s="131"/>
      <c r="H58" s="122" t="s">
        <v>153</v>
      </c>
      <c r="J58" s="2"/>
    </row>
    <row r="59" spans="1:10" ht="25.5" x14ac:dyDescent="0.2">
      <c r="A59" s="120"/>
      <c r="B59" s="120"/>
      <c r="C59" s="121" t="s">
        <v>10</v>
      </c>
      <c r="D59" s="120"/>
      <c r="E59" s="120"/>
      <c r="F59" s="131"/>
      <c r="G59" s="131"/>
      <c r="H59" s="122" t="s">
        <v>153</v>
      </c>
      <c r="J59" s="2"/>
    </row>
    <row r="60" spans="1:10" x14ac:dyDescent="0.2">
      <c r="A60" s="120"/>
      <c r="B60" s="120"/>
      <c r="C60" s="121" t="s">
        <v>152</v>
      </c>
      <c r="D60" s="120"/>
      <c r="E60" s="120" t="s">
        <v>153</v>
      </c>
      <c r="F60" s="132" t="s">
        <v>155</v>
      </c>
      <c r="G60" s="129">
        <v>0</v>
      </c>
      <c r="H60" s="122" t="s">
        <v>153</v>
      </c>
      <c r="J60" s="2"/>
    </row>
    <row r="61" spans="1:10" x14ac:dyDescent="0.2">
      <c r="A61" s="120"/>
      <c r="B61" s="120"/>
      <c r="C61" s="130"/>
      <c r="D61" s="120"/>
      <c r="E61" s="120"/>
      <c r="F61" s="131"/>
      <c r="G61" s="131"/>
      <c r="H61" s="122" t="s">
        <v>153</v>
      </c>
      <c r="J61" s="2"/>
    </row>
    <row r="62" spans="1:10" x14ac:dyDescent="0.2">
      <c r="A62" s="120"/>
      <c r="B62" s="120"/>
      <c r="C62" s="121" t="s">
        <v>162</v>
      </c>
      <c r="D62" s="120"/>
      <c r="E62" s="120"/>
      <c r="F62" s="120"/>
      <c r="G62" s="120"/>
      <c r="H62" s="122" t="s">
        <v>153</v>
      </c>
      <c r="J62" s="2"/>
    </row>
    <row r="63" spans="1:10" x14ac:dyDescent="0.2">
      <c r="A63" s="120"/>
      <c r="B63" s="120"/>
      <c r="C63" s="121" t="s">
        <v>152</v>
      </c>
      <c r="D63" s="120"/>
      <c r="E63" s="120" t="s">
        <v>153</v>
      </c>
      <c r="F63" s="132" t="s">
        <v>155</v>
      </c>
      <c r="G63" s="129">
        <v>0</v>
      </c>
      <c r="H63" s="122" t="s">
        <v>153</v>
      </c>
      <c r="J63" s="2"/>
    </row>
    <row r="64" spans="1:10" x14ac:dyDescent="0.2">
      <c r="A64" s="120"/>
      <c r="B64" s="120"/>
      <c r="C64" s="130"/>
      <c r="D64" s="120"/>
      <c r="E64" s="120"/>
      <c r="F64" s="131"/>
      <c r="G64" s="131"/>
      <c r="H64" s="122" t="s">
        <v>153</v>
      </c>
      <c r="J64" s="2"/>
    </row>
    <row r="65" spans="1:10" x14ac:dyDescent="0.2">
      <c r="A65" s="120"/>
      <c r="B65" s="120"/>
      <c r="C65" s="121" t="s">
        <v>163</v>
      </c>
      <c r="D65" s="120"/>
      <c r="E65" s="120"/>
      <c r="F65" s="120"/>
      <c r="G65" s="120"/>
      <c r="H65" s="122" t="s">
        <v>153</v>
      </c>
      <c r="J65" s="2"/>
    </row>
    <row r="66" spans="1:10" x14ac:dyDescent="0.2">
      <c r="A66" s="120"/>
      <c r="B66" s="120"/>
      <c r="C66" s="121" t="s">
        <v>152</v>
      </c>
      <c r="D66" s="120"/>
      <c r="E66" s="120" t="s">
        <v>153</v>
      </c>
      <c r="F66" s="132" t="s">
        <v>155</v>
      </c>
      <c r="G66" s="129">
        <v>0</v>
      </c>
      <c r="H66" s="122" t="s">
        <v>153</v>
      </c>
      <c r="J66" s="2"/>
    </row>
    <row r="67" spans="1:10" x14ac:dyDescent="0.2">
      <c r="A67" s="120"/>
      <c r="B67" s="120"/>
      <c r="C67" s="130"/>
      <c r="D67" s="120"/>
      <c r="E67" s="120"/>
      <c r="F67" s="131"/>
      <c r="G67" s="131"/>
      <c r="H67" s="122" t="s">
        <v>153</v>
      </c>
      <c r="J67" s="2"/>
    </row>
    <row r="68" spans="1:10" x14ac:dyDescent="0.2">
      <c r="A68" s="120"/>
      <c r="B68" s="120"/>
      <c r="C68" s="121" t="s">
        <v>164</v>
      </c>
      <c r="D68" s="120"/>
      <c r="E68" s="120"/>
      <c r="F68" s="131"/>
      <c r="G68" s="131"/>
      <c r="H68" s="122" t="s">
        <v>153</v>
      </c>
      <c r="J68" s="2"/>
    </row>
    <row r="69" spans="1:10" x14ac:dyDescent="0.2">
      <c r="A69" s="120"/>
      <c r="B69" s="120"/>
      <c r="C69" s="121" t="s">
        <v>152</v>
      </c>
      <c r="D69" s="120"/>
      <c r="E69" s="120" t="s">
        <v>153</v>
      </c>
      <c r="F69" s="132" t="s">
        <v>155</v>
      </c>
      <c r="G69" s="129">
        <v>0</v>
      </c>
      <c r="H69" s="122" t="s">
        <v>153</v>
      </c>
      <c r="J69" s="2"/>
    </row>
    <row r="70" spans="1:10" x14ac:dyDescent="0.2">
      <c r="A70" s="120"/>
      <c r="B70" s="120"/>
      <c r="C70" s="130"/>
      <c r="D70" s="120"/>
      <c r="E70" s="120"/>
      <c r="F70" s="131"/>
      <c r="G70" s="131"/>
      <c r="H70" s="122" t="s">
        <v>153</v>
      </c>
      <c r="J70" s="2"/>
    </row>
    <row r="71" spans="1:10" x14ac:dyDescent="0.2">
      <c r="A71" s="120"/>
      <c r="B71" s="120"/>
      <c r="C71" s="121" t="s">
        <v>165</v>
      </c>
      <c r="D71" s="120"/>
      <c r="E71" s="120"/>
      <c r="F71" s="128">
        <v>0</v>
      </c>
      <c r="G71" s="129">
        <v>0</v>
      </c>
      <c r="H71" s="122" t="s">
        <v>153</v>
      </c>
      <c r="J71" s="2"/>
    </row>
    <row r="72" spans="1:10" x14ac:dyDescent="0.2">
      <c r="A72" s="120"/>
      <c r="B72" s="120"/>
      <c r="C72" s="130"/>
      <c r="D72" s="120"/>
      <c r="E72" s="120"/>
      <c r="F72" s="131"/>
      <c r="G72" s="131"/>
      <c r="H72" s="122" t="s">
        <v>153</v>
      </c>
      <c r="J72" s="2"/>
    </row>
    <row r="73" spans="1:10" x14ac:dyDescent="0.2">
      <c r="A73" s="120"/>
      <c r="B73" s="120"/>
      <c r="C73" s="121" t="s">
        <v>166</v>
      </c>
      <c r="D73" s="120"/>
      <c r="E73" s="120"/>
      <c r="F73" s="131"/>
      <c r="G73" s="131"/>
      <c r="H73" s="122" t="s">
        <v>153</v>
      </c>
      <c r="J73" s="2"/>
    </row>
    <row r="74" spans="1:10" x14ac:dyDescent="0.2">
      <c r="A74" s="120"/>
      <c r="B74" s="120"/>
      <c r="C74" s="121" t="s">
        <v>167</v>
      </c>
      <c r="D74" s="120"/>
      <c r="E74" s="120"/>
      <c r="F74" s="131"/>
      <c r="G74" s="131"/>
      <c r="H74" s="122" t="s">
        <v>153</v>
      </c>
      <c r="J74" s="2"/>
    </row>
    <row r="75" spans="1:10" x14ac:dyDescent="0.2">
      <c r="A75" s="120"/>
      <c r="B75" s="120"/>
      <c r="C75" s="121" t="s">
        <v>152</v>
      </c>
      <c r="D75" s="120"/>
      <c r="E75" s="120" t="s">
        <v>153</v>
      </c>
      <c r="F75" s="132" t="s">
        <v>155</v>
      </c>
      <c r="G75" s="129">
        <v>0</v>
      </c>
      <c r="H75" s="122" t="s">
        <v>153</v>
      </c>
      <c r="J75" s="2"/>
    </row>
    <row r="76" spans="1:10" x14ac:dyDescent="0.2">
      <c r="A76" s="120"/>
      <c r="B76" s="120"/>
      <c r="C76" s="130"/>
      <c r="D76" s="120"/>
      <c r="E76" s="120"/>
      <c r="F76" s="131"/>
      <c r="G76" s="131"/>
      <c r="H76" s="122" t="s">
        <v>153</v>
      </c>
      <c r="J76" s="2"/>
    </row>
    <row r="77" spans="1:10" x14ac:dyDescent="0.2">
      <c r="A77" s="120"/>
      <c r="B77" s="120"/>
      <c r="C77" s="121" t="s">
        <v>168</v>
      </c>
      <c r="D77" s="120"/>
      <c r="E77" s="120"/>
      <c r="F77" s="131"/>
      <c r="G77" s="131"/>
      <c r="H77" s="122" t="s">
        <v>153</v>
      </c>
      <c r="J77" s="2"/>
    </row>
    <row r="78" spans="1:10" x14ac:dyDescent="0.2">
      <c r="A78" s="120"/>
      <c r="B78" s="120"/>
      <c r="C78" s="121" t="s">
        <v>152</v>
      </c>
      <c r="D78" s="120"/>
      <c r="E78" s="120" t="s">
        <v>153</v>
      </c>
      <c r="F78" s="132" t="s">
        <v>155</v>
      </c>
      <c r="G78" s="129">
        <v>0</v>
      </c>
      <c r="H78" s="122" t="s">
        <v>153</v>
      </c>
      <c r="J78" s="2"/>
    </row>
    <row r="79" spans="1:10" x14ac:dyDescent="0.2">
      <c r="A79" s="120"/>
      <c r="B79" s="120"/>
      <c r="C79" s="130"/>
      <c r="D79" s="120"/>
      <c r="E79" s="120"/>
      <c r="F79" s="131"/>
      <c r="G79" s="131"/>
      <c r="H79" s="122" t="s">
        <v>153</v>
      </c>
      <c r="J79" s="2"/>
    </row>
    <row r="80" spans="1:10" x14ac:dyDescent="0.2">
      <c r="A80" s="120"/>
      <c r="B80" s="120"/>
      <c r="C80" s="121" t="s">
        <v>169</v>
      </c>
      <c r="D80" s="120"/>
      <c r="E80" s="120"/>
      <c r="F80" s="131"/>
      <c r="G80" s="131"/>
      <c r="H80" s="122" t="s">
        <v>153</v>
      </c>
      <c r="J80" s="2"/>
    </row>
    <row r="81" spans="1:10" x14ac:dyDescent="0.2">
      <c r="A81" s="120"/>
      <c r="B81" s="120"/>
      <c r="C81" s="121" t="s">
        <v>152</v>
      </c>
      <c r="D81" s="120"/>
      <c r="E81" s="120" t="s">
        <v>153</v>
      </c>
      <c r="F81" s="132" t="s">
        <v>155</v>
      </c>
      <c r="G81" s="129">
        <v>0</v>
      </c>
      <c r="H81" s="122" t="s">
        <v>153</v>
      </c>
      <c r="J81" s="2"/>
    </row>
    <row r="82" spans="1:10" x14ac:dyDescent="0.2">
      <c r="A82" s="120"/>
      <c r="B82" s="120"/>
      <c r="C82" s="130"/>
      <c r="D82" s="120"/>
      <c r="E82" s="120"/>
      <c r="F82" s="131"/>
      <c r="G82" s="131"/>
      <c r="H82" s="122" t="s">
        <v>153</v>
      </c>
      <c r="J82" s="2"/>
    </row>
    <row r="83" spans="1:10" x14ac:dyDescent="0.2">
      <c r="A83" s="120"/>
      <c r="B83" s="120"/>
      <c r="C83" s="121" t="s">
        <v>170</v>
      </c>
      <c r="D83" s="120"/>
      <c r="E83" s="120"/>
      <c r="F83" s="131"/>
      <c r="G83" s="131"/>
      <c r="H83" s="122" t="s">
        <v>153</v>
      </c>
      <c r="J83" s="2"/>
    </row>
    <row r="84" spans="1:10" x14ac:dyDescent="0.2">
      <c r="A84" s="123">
        <v>1</v>
      </c>
      <c r="B84" s="124"/>
      <c r="C84" s="124" t="s">
        <v>171</v>
      </c>
      <c r="D84" s="124"/>
      <c r="E84" s="133"/>
      <c r="F84" s="126">
        <v>49.629222200000001</v>
      </c>
      <c r="G84" s="127">
        <v>3.6665349999999999E-2</v>
      </c>
      <c r="H84" s="122">
        <v>6.62</v>
      </c>
      <c r="J84" s="2"/>
    </row>
    <row r="85" spans="1:10" x14ac:dyDescent="0.2">
      <c r="A85" s="120"/>
      <c r="B85" s="120"/>
      <c r="C85" s="121" t="s">
        <v>152</v>
      </c>
      <c r="D85" s="120"/>
      <c r="E85" s="120" t="s">
        <v>153</v>
      </c>
      <c r="F85" s="128">
        <v>49.629222200000001</v>
      </c>
      <c r="G85" s="129">
        <v>3.6665349999999999E-2</v>
      </c>
      <c r="H85" s="122" t="s">
        <v>153</v>
      </c>
      <c r="J85" s="2"/>
    </row>
    <row r="86" spans="1:10" x14ac:dyDescent="0.2">
      <c r="A86" s="120"/>
      <c r="B86" s="120"/>
      <c r="C86" s="130"/>
      <c r="D86" s="120"/>
      <c r="E86" s="120"/>
      <c r="F86" s="131"/>
      <c r="G86" s="131"/>
      <c r="H86" s="122" t="s">
        <v>153</v>
      </c>
      <c r="J86" s="2"/>
    </row>
    <row r="87" spans="1:10" x14ac:dyDescent="0.2">
      <c r="A87" s="120"/>
      <c r="B87" s="120"/>
      <c r="C87" s="121" t="s">
        <v>172</v>
      </c>
      <c r="D87" s="120"/>
      <c r="E87" s="120"/>
      <c r="F87" s="128">
        <v>49.629222200000001</v>
      </c>
      <c r="G87" s="129">
        <v>3.6665349999999999E-2</v>
      </c>
      <c r="H87" s="122" t="s">
        <v>153</v>
      </c>
      <c r="J87" s="2"/>
    </row>
    <row r="88" spans="1:10" x14ac:dyDescent="0.2">
      <c r="A88" s="120"/>
      <c r="B88" s="120"/>
      <c r="C88" s="131"/>
      <c r="D88" s="120"/>
      <c r="E88" s="120"/>
      <c r="F88" s="120"/>
      <c r="G88" s="120"/>
      <c r="H88" s="122" t="s">
        <v>153</v>
      </c>
      <c r="J88" s="2"/>
    </row>
    <row r="89" spans="1:10" x14ac:dyDescent="0.2">
      <c r="A89" s="120"/>
      <c r="B89" s="120"/>
      <c r="C89" s="121" t="s">
        <v>173</v>
      </c>
      <c r="D89" s="120"/>
      <c r="E89" s="120"/>
      <c r="F89" s="120"/>
      <c r="G89" s="120"/>
      <c r="H89" s="122" t="s">
        <v>153</v>
      </c>
      <c r="J89" s="2"/>
    </row>
    <row r="90" spans="1:10" x14ac:dyDescent="0.2">
      <c r="A90" s="120"/>
      <c r="B90" s="120"/>
      <c r="C90" s="121" t="s">
        <v>174</v>
      </c>
      <c r="D90" s="120"/>
      <c r="E90" s="120"/>
      <c r="F90" s="120"/>
      <c r="G90" s="120"/>
      <c r="H90" s="122" t="s">
        <v>153</v>
      </c>
      <c r="J90" s="2"/>
    </row>
    <row r="91" spans="1:10" x14ac:dyDescent="0.2">
      <c r="A91" s="120"/>
      <c r="B91" s="120"/>
      <c r="C91" s="121" t="s">
        <v>152</v>
      </c>
      <c r="D91" s="120"/>
      <c r="E91" s="120" t="s">
        <v>153</v>
      </c>
      <c r="F91" s="132" t="s">
        <v>155</v>
      </c>
      <c r="G91" s="129">
        <v>0</v>
      </c>
      <c r="H91" s="122" t="s">
        <v>153</v>
      </c>
      <c r="J91" s="2"/>
    </row>
    <row r="92" spans="1:10" x14ac:dyDescent="0.2">
      <c r="A92" s="120"/>
      <c r="B92" s="120"/>
      <c r="C92" s="130"/>
      <c r="D92" s="120"/>
      <c r="E92" s="120"/>
      <c r="F92" s="131"/>
      <c r="G92" s="131"/>
      <c r="H92" s="122" t="s">
        <v>153</v>
      </c>
      <c r="J92" s="2"/>
    </row>
    <row r="93" spans="1:10" x14ac:dyDescent="0.2">
      <c r="A93" s="120"/>
      <c r="B93" s="120"/>
      <c r="C93" s="121" t="s">
        <v>175</v>
      </c>
      <c r="D93" s="120"/>
      <c r="E93" s="120"/>
      <c r="F93" s="120"/>
      <c r="G93" s="120"/>
      <c r="H93" s="122" t="s">
        <v>153</v>
      </c>
      <c r="J93" s="2"/>
    </row>
    <row r="94" spans="1:10" x14ac:dyDescent="0.2">
      <c r="A94" s="120"/>
      <c r="B94" s="120"/>
      <c r="C94" s="121" t="s">
        <v>176</v>
      </c>
      <c r="D94" s="120"/>
      <c r="E94" s="120"/>
      <c r="F94" s="120"/>
      <c r="G94" s="120"/>
      <c r="H94" s="122" t="s">
        <v>153</v>
      </c>
      <c r="J94" s="2"/>
    </row>
    <row r="95" spans="1:10" x14ac:dyDescent="0.2">
      <c r="A95" s="120"/>
      <c r="B95" s="120"/>
      <c r="C95" s="121" t="s">
        <v>152</v>
      </c>
      <c r="D95" s="120"/>
      <c r="E95" s="120" t="s">
        <v>153</v>
      </c>
      <c r="F95" s="132" t="s">
        <v>155</v>
      </c>
      <c r="G95" s="129">
        <v>0</v>
      </c>
      <c r="H95" s="122" t="s">
        <v>153</v>
      </c>
      <c r="J95" s="2"/>
    </row>
    <row r="96" spans="1:10" x14ac:dyDescent="0.2">
      <c r="A96" s="120"/>
      <c r="B96" s="120"/>
      <c r="C96" s="130"/>
      <c r="D96" s="120"/>
      <c r="E96" s="120"/>
      <c r="F96" s="131"/>
      <c r="G96" s="131"/>
      <c r="H96" s="122" t="s">
        <v>153</v>
      </c>
      <c r="J96" s="2"/>
    </row>
    <row r="97" spans="1:17" ht="25.5" x14ac:dyDescent="0.2">
      <c r="A97" s="120"/>
      <c r="B97" s="120"/>
      <c r="C97" s="121" t="s">
        <v>177</v>
      </c>
      <c r="D97" s="120"/>
      <c r="E97" s="120"/>
      <c r="F97" s="131"/>
      <c r="G97" s="131"/>
      <c r="H97" s="122" t="s">
        <v>153</v>
      </c>
      <c r="J97" s="2"/>
    </row>
    <row r="98" spans="1:17" x14ac:dyDescent="0.2">
      <c r="A98" s="120"/>
      <c r="B98" s="120"/>
      <c r="C98" s="121" t="s">
        <v>152</v>
      </c>
      <c r="D98" s="120"/>
      <c r="E98" s="120" t="s">
        <v>153</v>
      </c>
      <c r="F98" s="132" t="s">
        <v>155</v>
      </c>
      <c r="G98" s="129">
        <v>0</v>
      </c>
      <c r="H98" s="122" t="s">
        <v>153</v>
      </c>
      <c r="J98" s="2"/>
    </row>
    <row r="99" spans="1:17" x14ac:dyDescent="0.2">
      <c r="A99" s="120"/>
      <c r="B99" s="120"/>
      <c r="C99" s="130"/>
      <c r="D99" s="120"/>
      <c r="E99" s="120"/>
      <c r="F99" s="131"/>
      <c r="G99" s="131"/>
      <c r="H99" s="122" t="s">
        <v>153</v>
      </c>
      <c r="J99" s="2"/>
    </row>
    <row r="100" spans="1:17" x14ac:dyDescent="0.2">
      <c r="A100" s="133"/>
      <c r="B100" s="124"/>
      <c r="C100" s="124" t="s">
        <v>178</v>
      </c>
      <c r="D100" s="124"/>
      <c r="E100" s="133"/>
      <c r="F100" s="126">
        <v>2.6096827899999999</v>
      </c>
      <c r="G100" s="127">
        <v>1.928E-3</v>
      </c>
      <c r="H100" s="122" t="s">
        <v>153</v>
      </c>
      <c r="J100" s="2"/>
    </row>
    <row r="101" spans="1:17" x14ac:dyDescent="0.2">
      <c r="A101" s="130"/>
      <c r="B101" s="130"/>
      <c r="C101" s="121" t="s">
        <v>179</v>
      </c>
      <c r="D101" s="131"/>
      <c r="E101" s="131"/>
      <c r="F101" s="128">
        <v>1353.57279199</v>
      </c>
      <c r="G101" s="134">
        <v>1.0000000099999999</v>
      </c>
      <c r="H101" s="122" t="s">
        <v>153</v>
      </c>
      <c r="J101" s="2"/>
    </row>
    <row r="102" spans="1:17" x14ac:dyDescent="0.2">
      <c r="A102" s="135"/>
      <c r="B102" s="135"/>
      <c r="C102" s="135"/>
      <c r="D102" s="136"/>
      <c r="E102" s="136"/>
      <c r="F102" s="136"/>
      <c r="G102" s="136"/>
      <c r="J102" s="2"/>
    </row>
    <row r="103" spans="1:17" x14ac:dyDescent="0.2">
      <c r="A103" s="137"/>
      <c r="B103" s="226" t="s">
        <v>863</v>
      </c>
      <c r="C103" s="226"/>
      <c r="D103" s="226"/>
      <c r="E103" s="226"/>
      <c r="F103" s="226"/>
      <c r="G103" s="226"/>
      <c r="H103" s="226"/>
      <c r="J103" s="2"/>
    </row>
    <row r="104" spans="1:17" x14ac:dyDescent="0.2">
      <c r="A104" s="137"/>
      <c r="B104" s="226" t="s">
        <v>864</v>
      </c>
      <c r="C104" s="226"/>
      <c r="D104" s="226"/>
      <c r="E104" s="226"/>
      <c r="F104" s="226"/>
      <c r="G104" s="226"/>
      <c r="H104" s="226"/>
      <c r="J104" s="2"/>
    </row>
    <row r="105" spans="1:17" x14ac:dyDescent="0.2">
      <c r="A105" s="137"/>
      <c r="B105" s="226" t="s">
        <v>865</v>
      </c>
      <c r="C105" s="226"/>
      <c r="D105" s="226"/>
      <c r="E105" s="226"/>
      <c r="F105" s="226"/>
      <c r="G105" s="226"/>
      <c r="H105" s="226"/>
      <c r="J105" s="2"/>
    </row>
    <row r="106" spans="1:17" s="5" customFormat="1" ht="15" x14ac:dyDescent="0.25">
      <c r="A106" s="139"/>
      <c r="B106" s="227" t="s">
        <v>866</v>
      </c>
      <c r="C106" s="227"/>
      <c r="D106" s="227"/>
      <c r="E106" s="227"/>
      <c r="F106" s="227"/>
      <c r="G106" s="227"/>
      <c r="H106" s="227"/>
      <c r="I106"/>
      <c r="J106" s="2"/>
      <c r="K106"/>
      <c r="L106"/>
      <c r="M106"/>
      <c r="N106"/>
      <c r="O106"/>
      <c r="P106"/>
      <c r="Q106"/>
    </row>
    <row r="107" spans="1:17" x14ac:dyDescent="0.2">
      <c r="A107" s="137"/>
      <c r="B107" s="226" t="s">
        <v>867</v>
      </c>
      <c r="C107" s="226"/>
      <c r="D107" s="226"/>
      <c r="E107" s="226"/>
      <c r="F107" s="226"/>
      <c r="G107" s="226"/>
      <c r="H107" s="226"/>
      <c r="J107" s="2"/>
    </row>
    <row r="108" spans="1:17" x14ac:dyDescent="0.2">
      <c r="A108" s="140"/>
      <c r="B108" s="233" t="s">
        <v>153</v>
      </c>
      <c r="C108" s="233"/>
      <c r="D108" s="233"/>
      <c r="E108" s="233"/>
      <c r="F108" s="233"/>
      <c r="G108" s="141"/>
      <c r="J108" s="2"/>
    </row>
    <row r="109" spans="1:17" x14ac:dyDescent="0.2">
      <c r="A109" s="140"/>
      <c r="B109" s="228" t="s">
        <v>180</v>
      </c>
      <c r="C109" s="229"/>
      <c r="D109" s="230"/>
      <c r="E109" s="142"/>
      <c r="F109" s="141"/>
      <c r="G109" s="141"/>
      <c r="J109" s="2"/>
    </row>
    <row r="110" spans="1:17" x14ac:dyDescent="0.2">
      <c r="A110" s="140"/>
      <c r="B110" s="223" t="s">
        <v>181</v>
      </c>
      <c r="C110" s="224"/>
      <c r="D110" s="121" t="s">
        <v>182</v>
      </c>
      <c r="E110" s="142"/>
      <c r="F110" s="141"/>
      <c r="G110" s="141"/>
      <c r="J110" s="2"/>
    </row>
    <row r="111" spans="1:17" x14ac:dyDescent="0.2">
      <c r="A111" s="140"/>
      <c r="B111" s="223" t="s">
        <v>183</v>
      </c>
      <c r="C111" s="224"/>
      <c r="D111" s="121" t="s">
        <v>182</v>
      </c>
      <c r="E111" s="142"/>
      <c r="F111" s="141"/>
      <c r="G111" s="141"/>
      <c r="J111" s="2"/>
    </row>
    <row r="112" spans="1:17" x14ac:dyDescent="0.2">
      <c r="A112" s="140"/>
      <c r="B112" s="223" t="s">
        <v>184</v>
      </c>
      <c r="C112" s="224"/>
      <c r="D112" s="131" t="s">
        <v>153</v>
      </c>
      <c r="E112" s="142"/>
      <c r="F112" s="141"/>
      <c r="G112" s="141"/>
      <c r="J112" s="2"/>
    </row>
    <row r="113" spans="1:10" x14ac:dyDescent="0.2">
      <c r="A113" s="144"/>
      <c r="B113" s="145" t="s">
        <v>153</v>
      </c>
      <c r="C113" s="145" t="s">
        <v>870</v>
      </c>
      <c r="D113" s="145" t="s">
        <v>185</v>
      </c>
      <c r="E113" s="144"/>
      <c r="F113" s="144"/>
      <c r="G113" s="144"/>
      <c r="H113" s="144"/>
      <c r="J113" s="2"/>
    </row>
    <row r="114" spans="1:10" x14ac:dyDescent="0.2">
      <c r="A114" s="146"/>
      <c r="B114" s="147" t="s">
        <v>186</v>
      </c>
      <c r="C114" s="148">
        <v>45504</v>
      </c>
      <c r="D114" s="149">
        <v>45535</v>
      </c>
      <c r="E114" s="146"/>
      <c r="F114" s="146"/>
      <c r="G114" s="146"/>
      <c r="J114" s="2"/>
    </row>
    <row r="115" spans="1:10" x14ac:dyDescent="0.2">
      <c r="A115" s="146"/>
      <c r="B115" s="124" t="s">
        <v>187</v>
      </c>
      <c r="C115" s="150">
        <v>36.956899999999997</v>
      </c>
      <c r="D115" s="150">
        <v>37.140900000000002</v>
      </c>
      <c r="E115" s="146"/>
      <c r="F115" s="151"/>
      <c r="G115" s="152"/>
      <c r="J115" s="2"/>
    </row>
    <row r="116" spans="1:10" x14ac:dyDescent="0.2">
      <c r="A116" s="146"/>
      <c r="B116" s="124" t="s">
        <v>926</v>
      </c>
      <c r="C116" s="150">
        <v>28.552499999999998</v>
      </c>
      <c r="D116" s="150">
        <v>28.694600000000001</v>
      </c>
      <c r="E116" s="146"/>
      <c r="F116" s="151"/>
      <c r="G116" s="152"/>
      <c r="J116" s="2"/>
    </row>
    <row r="117" spans="1:10" x14ac:dyDescent="0.2">
      <c r="A117" s="146"/>
      <c r="B117" s="124" t="s">
        <v>188</v>
      </c>
      <c r="C117" s="150">
        <v>35.919800000000002</v>
      </c>
      <c r="D117" s="150">
        <v>36.092199999999998</v>
      </c>
      <c r="E117" s="146"/>
      <c r="F117" s="151"/>
      <c r="G117" s="152"/>
      <c r="J117" s="2"/>
    </row>
    <row r="118" spans="1:10" x14ac:dyDescent="0.2">
      <c r="A118" s="146"/>
      <c r="B118" s="124" t="s">
        <v>927</v>
      </c>
      <c r="C118" s="150">
        <v>27.602399999999999</v>
      </c>
      <c r="D118" s="150">
        <v>27.7348</v>
      </c>
      <c r="E118" s="146"/>
      <c r="F118" s="151"/>
      <c r="G118" s="152"/>
      <c r="J118" s="2"/>
    </row>
    <row r="119" spans="1:10" x14ac:dyDescent="0.2">
      <c r="A119" s="146"/>
      <c r="B119" s="146"/>
      <c r="C119" s="146"/>
      <c r="D119" s="146"/>
      <c r="E119" s="146"/>
      <c r="F119" s="146"/>
      <c r="G119" s="146"/>
      <c r="J119" s="2"/>
    </row>
    <row r="120" spans="1:10" x14ac:dyDescent="0.2">
      <c r="A120" s="144"/>
      <c r="B120" s="221" t="s">
        <v>869</v>
      </c>
      <c r="C120" s="222"/>
      <c r="D120" s="143" t="s">
        <v>182</v>
      </c>
      <c r="E120" s="144"/>
      <c r="F120" s="144"/>
      <c r="G120" s="144"/>
      <c r="J120" s="2"/>
    </row>
    <row r="121" spans="1:10" x14ac:dyDescent="0.2">
      <c r="A121" s="144"/>
      <c r="B121" s="163"/>
      <c r="C121" s="163"/>
      <c r="D121" s="163"/>
      <c r="E121" s="144"/>
      <c r="F121" s="144"/>
      <c r="G121" s="144"/>
      <c r="J121" s="2"/>
    </row>
    <row r="122" spans="1:10" x14ac:dyDescent="0.2">
      <c r="A122" s="144"/>
      <c r="B122" s="221" t="s">
        <v>189</v>
      </c>
      <c r="C122" s="222"/>
      <c r="D122" s="143" t="s">
        <v>182</v>
      </c>
      <c r="E122" s="153"/>
      <c r="F122" s="144"/>
      <c r="G122" s="144"/>
      <c r="J122" s="2"/>
    </row>
    <row r="123" spans="1:10" x14ac:dyDescent="0.2">
      <c r="A123" s="144"/>
      <c r="B123" s="221" t="s">
        <v>190</v>
      </c>
      <c r="C123" s="222"/>
      <c r="D123" s="143" t="s">
        <v>182</v>
      </c>
      <c r="E123" s="153"/>
      <c r="F123" s="144"/>
      <c r="G123" s="144"/>
      <c r="J123" s="2"/>
    </row>
    <row r="124" spans="1:10" x14ac:dyDescent="0.2">
      <c r="A124" s="144"/>
      <c r="B124" s="221" t="s">
        <v>191</v>
      </c>
      <c r="C124" s="222"/>
      <c r="D124" s="143" t="s">
        <v>182</v>
      </c>
      <c r="E124" s="153"/>
      <c r="F124" s="144"/>
      <c r="G124" s="144"/>
      <c r="J124" s="2"/>
    </row>
    <row r="125" spans="1:10" x14ac:dyDescent="0.2">
      <c r="A125" s="144"/>
      <c r="B125" s="221" t="s">
        <v>192</v>
      </c>
      <c r="C125" s="222"/>
      <c r="D125" s="154">
        <v>4.0707192224802471E-2</v>
      </c>
      <c r="E125" s="144"/>
      <c r="F125" s="138"/>
      <c r="G125" s="155"/>
    </row>
  </sheetData>
  <mergeCells count="18">
    <mergeCell ref="B110:C110"/>
    <mergeCell ref="A1:H1"/>
    <mergeCell ref="A2:H2"/>
    <mergeCell ref="A3:H3"/>
    <mergeCell ref="B103:H103"/>
    <mergeCell ref="B104:H104"/>
    <mergeCell ref="B105:H105"/>
    <mergeCell ref="B106:H106"/>
    <mergeCell ref="B107:H107"/>
    <mergeCell ref="B108:F108"/>
    <mergeCell ref="B109:D109"/>
    <mergeCell ref="B111:C111"/>
    <mergeCell ref="B112:C112"/>
    <mergeCell ref="B120:C120"/>
    <mergeCell ref="B124:C124"/>
    <mergeCell ref="B125:C125"/>
    <mergeCell ref="B122:C122"/>
    <mergeCell ref="B123:C123"/>
  </mergeCells>
  <hyperlinks>
    <hyperlink ref="I1" location="Index!B9" display="Index" xr:uid="{3135E62F-C4C5-4348-8DA4-E8CBBC379F4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A158D-F785-43C7-B72B-C3E0D5ADD3D5}">
  <sheetPr>
    <outlinePr summaryBelow="0" summaryRight="0"/>
  </sheetPr>
  <dimension ref="A1:Q137"/>
  <sheetViews>
    <sheetView showGridLines="0" workbookViewId="0">
      <selection sqref="A1:H1"/>
    </sheetView>
  </sheetViews>
  <sheetFormatPr defaultRowHeight="12.75" x14ac:dyDescent="0.2"/>
  <cols>
    <col min="1" max="1" width="6.85546875" customWidth="1"/>
    <col min="2" max="2" width="20.5703125" customWidth="1"/>
    <col min="3" max="3" width="40.710937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483</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x14ac:dyDescent="0.2">
      <c r="A6" s="120"/>
      <c r="B6" s="120"/>
      <c r="C6" s="121" t="s">
        <v>10</v>
      </c>
      <c r="D6" s="120"/>
      <c r="E6" s="120"/>
      <c r="F6" s="120"/>
      <c r="G6" s="120"/>
      <c r="H6" s="122" t="s">
        <v>153</v>
      </c>
      <c r="J6" s="2"/>
    </row>
    <row r="7" spans="1:10" x14ac:dyDescent="0.2">
      <c r="A7" s="123">
        <v>1</v>
      </c>
      <c r="B7" s="124" t="s">
        <v>363</v>
      </c>
      <c r="C7" s="124" t="s">
        <v>364</v>
      </c>
      <c r="D7" s="124" t="s">
        <v>239</v>
      </c>
      <c r="E7" s="125">
        <v>9524</v>
      </c>
      <c r="F7" s="126">
        <v>493.609872</v>
      </c>
      <c r="G7" s="127">
        <v>5.6943309999999997E-2</v>
      </c>
      <c r="H7" s="122" t="s">
        <v>153</v>
      </c>
      <c r="J7" s="2"/>
    </row>
    <row r="8" spans="1:10" x14ac:dyDescent="0.2">
      <c r="A8" s="123">
        <v>2</v>
      </c>
      <c r="B8" s="124" t="s">
        <v>409</v>
      </c>
      <c r="C8" s="124" t="s">
        <v>410</v>
      </c>
      <c r="D8" s="124" t="s">
        <v>45</v>
      </c>
      <c r="E8" s="125">
        <v>19836</v>
      </c>
      <c r="F8" s="126">
        <v>491.17903200000001</v>
      </c>
      <c r="G8" s="127">
        <v>5.6662879999999999E-2</v>
      </c>
      <c r="H8" s="122" t="s">
        <v>153</v>
      </c>
      <c r="J8" s="2"/>
    </row>
    <row r="9" spans="1:10" x14ac:dyDescent="0.2">
      <c r="A9" s="123">
        <v>3</v>
      </c>
      <c r="B9" s="124" t="s">
        <v>77</v>
      </c>
      <c r="C9" s="124" t="s">
        <v>78</v>
      </c>
      <c r="D9" s="124" t="s">
        <v>35</v>
      </c>
      <c r="E9" s="125">
        <v>9356</v>
      </c>
      <c r="F9" s="126">
        <v>431.292888</v>
      </c>
      <c r="G9" s="127">
        <v>4.9754359999999997E-2</v>
      </c>
      <c r="H9" s="122" t="s">
        <v>153</v>
      </c>
      <c r="J9" s="2"/>
    </row>
    <row r="10" spans="1:10" x14ac:dyDescent="0.2">
      <c r="A10" s="123">
        <v>4</v>
      </c>
      <c r="B10" s="124" t="s">
        <v>69</v>
      </c>
      <c r="C10" s="124" t="s">
        <v>70</v>
      </c>
      <c r="D10" s="124" t="s">
        <v>71</v>
      </c>
      <c r="E10" s="125">
        <v>34821</v>
      </c>
      <c r="F10" s="126">
        <v>419.43635549999999</v>
      </c>
      <c r="G10" s="127">
        <v>4.8386579999999998E-2</v>
      </c>
      <c r="H10" s="122" t="s">
        <v>153</v>
      </c>
      <c r="J10" s="2"/>
    </row>
    <row r="11" spans="1:10" x14ac:dyDescent="0.2">
      <c r="A11" s="123">
        <v>5</v>
      </c>
      <c r="B11" s="124" t="s">
        <v>145</v>
      </c>
      <c r="C11" s="124" t="s">
        <v>146</v>
      </c>
      <c r="D11" s="124" t="s">
        <v>45</v>
      </c>
      <c r="E11" s="125">
        <v>96717</v>
      </c>
      <c r="F11" s="126">
        <v>382.41901799999999</v>
      </c>
      <c r="G11" s="127">
        <v>4.4116219999999998E-2</v>
      </c>
      <c r="H11" s="122" t="s">
        <v>153</v>
      </c>
      <c r="J11" s="2"/>
    </row>
    <row r="12" spans="1:10" ht="15" x14ac:dyDescent="0.2">
      <c r="A12" s="123">
        <v>6</v>
      </c>
      <c r="B12" s="124" t="s">
        <v>33</v>
      </c>
      <c r="C12" s="124" t="s">
        <v>34</v>
      </c>
      <c r="D12" s="124" t="s">
        <v>35</v>
      </c>
      <c r="E12" s="125">
        <v>38992</v>
      </c>
      <c r="F12" s="126">
        <v>362.04072000000002</v>
      </c>
      <c r="G12" s="127">
        <v>4.1765360000000001E-2</v>
      </c>
      <c r="H12" s="122" t="s">
        <v>153</v>
      </c>
      <c r="J12" s="7"/>
    </row>
    <row r="13" spans="1:10" x14ac:dyDescent="0.2">
      <c r="A13" s="123">
        <v>7</v>
      </c>
      <c r="B13" s="124" t="s">
        <v>411</v>
      </c>
      <c r="C13" s="124" t="s">
        <v>412</v>
      </c>
      <c r="D13" s="124" t="s">
        <v>236</v>
      </c>
      <c r="E13" s="125">
        <v>21269</v>
      </c>
      <c r="F13" s="126">
        <v>354.69247849999999</v>
      </c>
      <c r="G13" s="127">
        <v>4.0917660000000002E-2</v>
      </c>
      <c r="H13" s="122" t="s">
        <v>153</v>
      </c>
      <c r="J13" s="2"/>
    </row>
    <row r="14" spans="1:10" x14ac:dyDescent="0.2">
      <c r="A14" s="123">
        <v>8</v>
      </c>
      <c r="B14" s="124" t="s">
        <v>401</v>
      </c>
      <c r="C14" s="124" t="s">
        <v>402</v>
      </c>
      <c r="D14" s="124" t="s">
        <v>403</v>
      </c>
      <c r="E14" s="125">
        <v>21388</v>
      </c>
      <c r="F14" s="126">
        <v>348.96660800000001</v>
      </c>
      <c r="G14" s="127">
        <v>4.025712E-2</v>
      </c>
      <c r="H14" s="122" t="s">
        <v>153</v>
      </c>
      <c r="J14" s="2"/>
    </row>
    <row r="15" spans="1:10" x14ac:dyDescent="0.2">
      <c r="A15" s="123">
        <v>9</v>
      </c>
      <c r="B15" s="124" t="s">
        <v>432</v>
      </c>
      <c r="C15" s="124" t="s">
        <v>433</v>
      </c>
      <c r="D15" s="124" t="s">
        <v>239</v>
      </c>
      <c r="E15" s="125">
        <v>13073</v>
      </c>
      <c r="F15" s="126">
        <v>338.11353550000001</v>
      </c>
      <c r="G15" s="127">
        <v>3.9005100000000001E-2</v>
      </c>
      <c r="H15" s="122" t="s">
        <v>153</v>
      </c>
      <c r="J15" s="2" t="s">
        <v>925</v>
      </c>
    </row>
    <row r="16" spans="1:10" x14ac:dyDescent="0.2">
      <c r="A16" s="123">
        <v>10</v>
      </c>
      <c r="B16" s="124" t="s">
        <v>415</v>
      </c>
      <c r="C16" s="124" t="s">
        <v>416</v>
      </c>
      <c r="D16" s="124" t="s">
        <v>48</v>
      </c>
      <c r="E16" s="125">
        <v>382570</v>
      </c>
      <c r="F16" s="126">
        <v>311.06766699999997</v>
      </c>
      <c r="G16" s="127">
        <v>3.5885060000000003E-2</v>
      </c>
      <c r="H16" s="122" t="s">
        <v>153</v>
      </c>
      <c r="J16" s="2"/>
    </row>
    <row r="17" spans="1:10" x14ac:dyDescent="0.2">
      <c r="A17" s="123">
        <v>11</v>
      </c>
      <c r="B17" s="124" t="s">
        <v>413</v>
      </c>
      <c r="C17" s="124" t="s">
        <v>414</v>
      </c>
      <c r="D17" s="124" t="s">
        <v>216</v>
      </c>
      <c r="E17" s="125">
        <v>71973</v>
      </c>
      <c r="F17" s="126">
        <v>292.71419100000003</v>
      </c>
      <c r="G17" s="127">
        <v>3.3767789999999999E-2</v>
      </c>
      <c r="H17" s="122" t="s">
        <v>153</v>
      </c>
      <c r="J17" s="2"/>
    </row>
    <row r="18" spans="1:10" x14ac:dyDescent="0.2">
      <c r="A18" s="123">
        <v>12</v>
      </c>
      <c r="B18" s="124" t="s">
        <v>417</v>
      </c>
      <c r="C18" s="124" t="s">
        <v>418</v>
      </c>
      <c r="D18" s="124" t="s">
        <v>48</v>
      </c>
      <c r="E18" s="125">
        <v>604881</v>
      </c>
      <c r="F18" s="126">
        <v>265.60324709999998</v>
      </c>
      <c r="G18" s="127">
        <v>3.0640250000000001E-2</v>
      </c>
      <c r="H18" s="122" t="s">
        <v>153</v>
      </c>
      <c r="J18" s="2"/>
    </row>
    <row r="19" spans="1:10" x14ac:dyDescent="0.2">
      <c r="A19" s="123">
        <v>13</v>
      </c>
      <c r="B19" s="124" t="s">
        <v>441</v>
      </c>
      <c r="C19" s="124" t="s">
        <v>442</v>
      </c>
      <c r="D19" s="124" t="s">
        <v>211</v>
      </c>
      <c r="E19" s="125">
        <v>38673</v>
      </c>
      <c r="F19" s="126">
        <v>259.32180149999999</v>
      </c>
      <c r="G19" s="127">
        <v>2.9915609999999999E-2</v>
      </c>
      <c r="H19" s="122" t="s">
        <v>153</v>
      </c>
      <c r="J19" s="2"/>
    </row>
    <row r="20" spans="1:10" x14ac:dyDescent="0.2">
      <c r="A20" s="123">
        <v>14</v>
      </c>
      <c r="B20" s="124" t="s">
        <v>106</v>
      </c>
      <c r="C20" s="124" t="s">
        <v>107</v>
      </c>
      <c r="D20" s="124" t="s">
        <v>35</v>
      </c>
      <c r="E20" s="125">
        <v>10116</v>
      </c>
      <c r="F20" s="126">
        <v>246.88097999999999</v>
      </c>
      <c r="G20" s="127">
        <v>2.8480430000000001E-2</v>
      </c>
      <c r="H20" s="122" t="s">
        <v>153</v>
      </c>
      <c r="J20" s="2"/>
    </row>
    <row r="21" spans="1:10" x14ac:dyDescent="0.2">
      <c r="A21" s="123">
        <v>15</v>
      </c>
      <c r="B21" s="124" t="s">
        <v>421</v>
      </c>
      <c r="C21" s="124" t="s">
        <v>422</v>
      </c>
      <c r="D21" s="124" t="s">
        <v>48</v>
      </c>
      <c r="E21" s="125">
        <v>76163</v>
      </c>
      <c r="F21" s="126">
        <v>246.50154950000001</v>
      </c>
      <c r="G21" s="127">
        <v>2.8436659999999999E-2</v>
      </c>
      <c r="H21" s="122" t="s">
        <v>153</v>
      </c>
      <c r="J21" s="2"/>
    </row>
    <row r="22" spans="1:10" ht="25.5" x14ac:dyDescent="0.2">
      <c r="A22" s="123">
        <v>16</v>
      </c>
      <c r="B22" s="124" t="s">
        <v>324</v>
      </c>
      <c r="C22" s="124" t="s">
        <v>325</v>
      </c>
      <c r="D22" s="124" t="s">
        <v>250</v>
      </c>
      <c r="E22" s="125">
        <v>7415</v>
      </c>
      <c r="F22" s="126">
        <v>244.57635999999999</v>
      </c>
      <c r="G22" s="127">
        <v>2.821456E-2</v>
      </c>
      <c r="H22" s="122" t="s">
        <v>153</v>
      </c>
      <c r="J22" s="7"/>
    </row>
    <row r="23" spans="1:10" x14ac:dyDescent="0.2">
      <c r="A23" s="123">
        <v>17</v>
      </c>
      <c r="B23" s="124" t="s">
        <v>419</v>
      </c>
      <c r="C23" s="124" t="s">
        <v>420</v>
      </c>
      <c r="D23" s="124" t="s">
        <v>211</v>
      </c>
      <c r="E23" s="125">
        <v>33039</v>
      </c>
      <c r="F23" s="126">
        <v>243.71218350000001</v>
      </c>
      <c r="G23" s="127">
        <v>2.811487E-2</v>
      </c>
      <c r="H23" s="122" t="s">
        <v>153</v>
      </c>
      <c r="J23" s="2"/>
    </row>
    <row r="24" spans="1:10" x14ac:dyDescent="0.2">
      <c r="A24" s="123">
        <v>18</v>
      </c>
      <c r="B24" s="124" t="s">
        <v>430</v>
      </c>
      <c r="C24" s="124" t="s">
        <v>431</v>
      </c>
      <c r="D24" s="124" t="s">
        <v>89</v>
      </c>
      <c r="E24" s="125">
        <v>26340</v>
      </c>
      <c r="F24" s="126">
        <v>227.45907</v>
      </c>
      <c r="G24" s="127">
        <v>2.62399E-2</v>
      </c>
      <c r="H24" s="122" t="s">
        <v>153</v>
      </c>
      <c r="J24" s="2"/>
    </row>
    <row r="25" spans="1:10" ht="25.5" x14ac:dyDescent="0.2">
      <c r="A25" s="123">
        <v>19</v>
      </c>
      <c r="B25" s="124" t="s">
        <v>436</v>
      </c>
      <c r="C25" s="124" t="s">
        <v>437</v>
      </c>
      <c r="D25" s="124" t="s">
        <v>438</v>
      </c>
      <c r="E25" s="125">
        <v>54534</v>
      </c>
      <c r="F25" s="126">
        <v>220.83543299999999</v>
      </c>
      <c r="G25" s="127">
        <v>2.5475790000000002E-2</v>
      </c>
      <c r="H25" s="122" t="s">
        <v>153</v>
      </c>
      <c r="J25" s="2"/>
    </row>
    <row r="26" spans="1:10" x14ac:dyDescent="0.2">
      <c r="A26" s="123">
        <v>20</v>
      </c>
      <c r="B26" s="124" t="s">
        <v>62</v>
      </c>
      <c r="C26" s="124" t="s">
        <v>63</v>
      </c>
      <c r="D26" s="124" t="s">
        <v>13</v>
      </c>
      <c r="E26" s="125">
        <v>15091</v>
      </c>
      <c r="F26" s="126">
        <v>203.35877049999999</v>
      </c>
      <c r="G26" s="127">
        <v>2.345966E-2</v>
      </c>
      <c r="H26" s="122" t="s">
        <v>153</v>
      </c>
      <c r="J26" s="2"/>
    </row>
    <row r="27" spans="1:10" x14ac:dyDescent="0.2">
      <c r="A27" s="123">
        <v>21</v>
      </c>
      <c r="B27" s="124" t="s">
        <v>223</v>
      </c>
      <c r="C27" s="124" t="s">
        <v>224</v>
      </c>
      <c r="D27" s="124" t="s">
        <v>89</v>
      </c>
      <c r="E27" s="125">
        <v>1412</v>
      </c>
      <c r="F27" s="126">
        <v>196.95988</v>
      </c>
      <c r="G27" s="127">
        <v>2.2721479999999999E-2</v>
      </c>
      <c r="H27" s="122" t="s">
        <v>153</v>
      </c>
      <c r="J27" s="2"/>
    </row>
    <row r="28" spans="1:10" x14ac:dyDescent="0.2">
      <c r="A28" s="123">
        <v>22</v>
      </c>
      <c r="B28" s="124" t="s">
        <v>427</v>
      </c>
      <c r="C28" s="124" t="s">
        <v>428</v>
      </c>
      <c r="D28" s="124" t="s">
        <v>429</v>
      </c>
      <c r="E28" s="125">
        <v>12930</v>
      </c>
      <c r="F28" s="126">
        <v>195.83131499999999</v>
      </c>
      <c r="G28" s="127">
        <v>2.259129E-2</v>
      </c>
      <c r="H28" s="122" t="s">
        <v>153</v>
      </c>
      <c r="J28" s="2"/>
    </row>
    <row r="29" spans="1:10" ht="25.5" x14ac:dyDescent="0.2">
      <c r="A29" s="123">
        <v>23</v>
      </c>
      <c r="B29" s="124" t="s">
        <v>79</v>
      </c>
      <c r="C29" s="124" t="s">
        <v>80</v>
      </c>
      <c r="D29" s="124" t="s">
        <v>25</v>
      </c>
      <c r="E29" s="125">
        <v>4362</v>
      </c>
      <c r="F29" s="126">
        <v>194.27911800000001</v>
      </c>
      <c r="G29" s="127">
        <v>2.2412230000000002E-2</v>
      </c>
      <c r="H29" s="122" t="s">
        <v>153</v>
      </c>
      <c r="J29" s="2"/>
    </row>
    <row r="30" spans="1:10" ht="25.5" x14ac:dyDescent="0.2">
      <c r="A30" s="123">
        <v>24</v>
      </c>
      <c r="B30" s="124" t="s">
        <v>434</v>
      </c>
      <c r="C30" s="124" t="s">
        <v>435</v>
      </c>
      <c r="D30" s="124" t="s">
        <v>208</v>
      </c>
      <c r="E30" s="125">
        <v>3653</v>
      </c>
      <c r="F30" s="126">
        <v>190.60258099999999</v>
      </c>
      <c r="G30" s="127">
        <v>2.19881E-2</v>
      </c>
      <c r="H30" s="122" t="s">
        <v>153</v>
      </c>
      <c r="J30" s="2"/>
    </row>
    <row r="31" spans="1:10" x14ac:dyDescent="0.2">
      <c r="A31" s="123">
        <v>25</v>
      </c>
      <c r="B31" s="124" t="s">
        <v>39</v>
      </c>
      <c r="C31" s="124" t="s">
        <v>40</v>
      </c>
      <c r="D31" s="124" t="s">
        <v>35</v>
      </c>
      <c r="E31" s="125">
        <v>3065</v>
      </c>
      <c r="F31" s="126">
        <v>185.08922000000001</v>
      </c>
      <c r="G31" s="127">
        <v>2.1352070000000001E-2</v>
      </c>
      <c r="H31" s="122" t="s">
        <v>153</v>
      </c>
      <c r="J31" s="2"/>
    </row>
    <row r="32" spans="1:10" x14ac:dyDescent="0.2">
      <c r="A32" s="123">
        <v>26</v>
      </c>
      <c r="B32" s="124" t="s">
        <v>445</v>
      </c>
      <c r="C32" s="124" t="s">
        <v>446</v>
      </c>
      <c r="D32" s="124" t="s">
        <v>45</v>
      </c>
      <c r="E32" s="125">
        <v>22755</v>
      </c>
      <c r="F32" s="126">
        <v>179.02496249999999</v>
      </c>
      <c r="G32" s="127">
        <v>2.0652489999999999E-2</v>
      </c>
      <c r="H32" s="122" t="s">
        <v>153</v>
      </c>
      <c r="J32" s="2"/>
    </row>
    <row r="33" spans="1:10" x14ac:dyDescent="0.2">
      <c r="A33" s="123">
        <v>27</v>
      </c>
      <c r="B33" s="124" t="s">
        <v>451</v>
      </c>
      <c r="C33" s="124" t="s">
        <v>452</v>
      </c>
      <c r="D33" s="124" t="s">
        <v>89</v>
      </c>
      <c r="E33" s="125">
        <v>15340</v>
      </c>
      <c r="F33" s="126">
        <v>176.87020000000001</v>
      </c>
      <c r="G33" s="127">
        <v>2.0403919999999999E-2</v>
      </c>
      <c r="H33" s="122" t="s">
        <v>153</v>
      </c>
      <c r="J33" s="2"/>
    </row>
    <row r="34" spans="1:10" x14ac:dyDescent="0.2">
      <c r="A34" s="123">
        <v>28</v>
      </c>
      <c r="B34" s="124" t="s">
        <v>439</v>
      </c>
      <c r="C34" s="124" t="s">
        <v>440</v>
      </c>
      <c r="D34" s="124" t="s">
        <v>35</v>
      </c>
      <c r="E34" s="125">
        <v>28519</v>
      </c>
      <c r="F34" s="126">
        <v>174.93554599999999</v>
      </c>
      <c r="G34" s="127">
        <v>2.0180730000000001E-2</v>
      </c>
      <c r="H34" s="122" t="s">
        <v>153</v>
      </c>
      <c r="J34" s="2"/>
    </row>
    <row r="35" spans="1:10" x14ac:dyDescent="0.2">
      <c r="A35" s="123">
        <v>29</v>
      </c>
      <c r="B35" s="124" t="s">
        <v>443</v>
      </c>
      <c r="C35" s="124" t="s">
        <v>444</v>
      </c>
      <c r="D35" s="124" t="s">
        <v>236</v>
      </c>
      <c r="E35" s="125">
        <v>18794</v>
      </c>
      <c r="F35" s="126">
        <v>154.61823799999999</v>
      </c>
      <c r="G35" s="127">
        <v>1.7836910000000001E-2</v>
      </c>
      <c r="H35" s="122" t="s">
        <v>153</v>
      </c>
      <c r="J35" s="2"/>
    </row>
    <row r="36" spans="1:10" x14ac:dyDescent="0.2">
      <c r="A36" s="123">
        <v>30</v>
      </c>
      <c r="B36" s="124" t="s">
        <v>256</v>
      </c>
      <c r="C36" s="124" t="s">
        <v>257</v>
      </c>
      <c r="D36" s="124" t="s">
        <v>89</v>
      </c>
      <c r="E36" s="125">
        <v>8289</v>
      </c>
      <c r="F36" s="126">
        <v>132.78978000000001</v>
      </c>
      <c r="G36" s="127">
        <v>1.5318760000000001E-2</v>
      </c>
      <c r="H36" s="122" t="s">
        <v>153</v>
      </c>
      <c r="J36" s="2"/>
    </row>
    <row r="37" spans="1:10" x14ac:dyDescent="0.2">
      <c r="A37" s="123">
        <v>31</v>
      </c>
      <c r="B37" s="124" t="s">
        <v>447</v>
      </c>
      <c r="C37" s="124" t="s">
        <v>448</v>
      </c>
      <c r="D37" s="124" t="s">
        <v>45</v>
      </c>
      <c r="E37" s="125">
        <v>11192</v>
      </c>
      <c r="F37" s="126">
        <v>107.95243600000001</v>
      </c>
      <c r="G37" s="127">
        <v>1.2453499999999999E-2</v>
      </c>
      <c r="H37" s="122" t="s">
        <v>153</v>
      </c>
      <c r="J37" s="2"/>
    </row>
    <row r="38" spans="1:10" ht="25.5" x14ac:dyDescent="0.2">
      <c r="A38" s="123">
        <v>32</v>
      </c>
      <c r="B38" s="124" t="s">
        <v>484</v>
      </c>
      <c r="C38" s="124" t="s">
        <v>485</v>
      </c>
      <c r="D38" s="124" t="s">
        <v>45</v>
      </c>
      <c r="E38" s="125">
        <v>5046</v>
      </c>
      <c r="F38" s="126">
        <v>97.178391000000005</v>
      </c>
      <c r="G38" s="127">
        <v>1.1210589999999999E-2</v>
      </c>
      <c r="H38" s="122" t="s">
        <v>153</v>
      </c>
      <c r="J38" s="2"/>
    </row>
    <row r="39" spans="1:10" x14ac:dyDescent="0.2">
      <c r="A39" s="123">
        <v>33</v>
      </c>
      <c r="B39" s="124" t="s">
        <v>383</v>
      </c>
      <c r="C39" s="124" t="s">
        <v>384</v>
      </c>
      <c r="D39" s="124" t="s">
        <v>136</v>
      </c>
      <c r="E39" s="125">
        <v>56603</v>
      </c>
      <c r="F39" s="126">
        <v>86.466742800000006</v>
      </c>
      <c r="G39" s="127">
        <v>9.9748900000000001E-3</v>
      </c>
      <c r="H39" s="122" t="s">
        <v>153</v>
      </c>
      <c r="J39" s="2"/>
    </row>
    <row r="40" spans="1:10" x14ac:dyDescent="0.2">
      <c r="A40" s="123">
        <v>34</v>
      </c>
      <c r="B40" s="124" t="s">
        <v>423</v>
      </c>
      <c r="C40" s="124" t="s">
        <v>424</v>
      </c>
      <c r="D40" s="124" t="s">
        <v>35</v>
      </c>
      <c r="E40" s="125">
        <v>5901</v>
      </c>
      <c r="F40" s="126">
        <v>77.536189500000006</v>
      </c>
      <c r="G40" s="127">
        <v>8.9446500000000002E-3</v>
      </c>
      <c r="H40" s="122" t="s">
        <v>153</v>
      </c>
      <c r="J40" s="2"/>
    </row>
    <row r="41" spans="1:10" x14ac:dyDescent="0.2">
      <c r="A41" s="123">
        <v>35</v>
      </c>
      <c r="B41" s="124" t="s">
        <v>461</v>
      </c>
      <c r="C41" s="124" t="s">
        <v>462</v>
      </c>
      <c r="D41" s="124" t="s">
        <v>74</v>
      </c>
      <c r="E41" s="125">
        <v>8886</v>
      </c>
      <c r="F41" s="126">
        <v>53.009433000000001</v>
      </c>
      <c r="G41" s="127">
        <v>6.1152200000000002E-3</v>
      </c>
      <c r="H41" s="122" t="s">
        <v>153</v>
      </c>
      <c r="J41" s="2"/>
    </row>
    <row r="42" spans="1:10" x14ac:dyDescent="0.2">
      <c r="A42" s="120"/>
      <c r="B42" s="120"/>
      <c r="C42" s="121" t="s">
        <v>152</v>
      </c>
      <c r="D42" s="120"/>
      <c r="E42" s="120" t="s">
        <v>153</v>
      </c>
      <c r="F42" s="128">
        <v>8586.9257933999997</v>
      </c>
      <c r="G42" s="129">
        <v>0.99059600000000003</v>
      </c>
      <c r="H42" s="122" t="s">
        <v>153</v>
      </c>
      <c r="J42" s="2"/>
    </row>
    <row r="43" spans="1:10" x14ac:dyDescent="0.2">
      <c r="A43" s="120"/>
      <c r="B43" s="120"/>
      <c r="C43" s="130"/>
      <c r="D43" s="120"/>
      <c r="E43" s="120"/>
      <c r="F43" s="131"/>
      <c r="G43" s="131"/>
      <c r="H43" s="122" t="s">
        <v>153</v>
      </c>
      <c r="J43" s="2"/>
    </row>
    <row r="44" spans="1:10" x14ac:dyDescent="0.2">
      <c r="A44" s="120"/>
      <c r="B44" s="120"/>
      <c r="C44" s="121" t="s">
        <v>154</v>
      </c>
      <c r="D44" s="120"/>
      <c r="E44" s="120"/>
      <c r="F44" s="120"/>
      <c r="G44" s="120"/>
      <c r="H44" s="122" t="s">
        <v>153</v>
      </c>
      <c r="J44" s="2"/>
    </row>
    <row r="45" spans="1:10" x14ac:dyDescent="0.2">
      <c r="A45" s="120"/>
      <c r="B45" s="120"/>
      <c r="C45" s="121" t="s">
        <v>152</v>
      </c>
      <c r="D45" s="120"/>
      <c r="E45" s="120" t="s">
        <v>153</v>
      </c>
      <c r="F45" s="132" t="s">
        <v>155</v>
      </c>
      <c r="G45" s="129">
        <v>0</v>
      </c>
      <c r="H45" s="122" t="s">
        <v>153</v>
      </c>
      <c r="J45" s="2"/>
    </row>
    <row r="46" spans="1:10" x14ac:dyDescent="0.2">
      <c r="A46" s="120"/>
      <c r="B46" s="120"/>
      <c r="C46" s="130"/>
      <c r="D46" s="120"/>
      <c r="E46" s="120"/>
      <c r="F46" s="131"/>
      <c r="G46" s="131"/>
      <c r="H46" s="122" t="s">
        <v>153</v>
      </c>
      <c r="J46" s="2"/>
    </row>
    <row r="47" spans="1:10" x14ac:dyDescent="0.2">
      <c r="A47" s="120"/>
      <c r="B47" s="120"/>
      <c r="C47" s="121" t="s">
        <v>156</v>
      </c>
      <c r="D47" s="120"/>
      <c r="E47" s="120"/>
      <c r="F47" s="120"/>
      <c r="G47" s="120"/>
      <c r="H47" s="122" t="s">
        <v>153</v>
      </c>
      <c r="J47" s="2"/>
    </row>
    <row r="48" spans="1:10" x14ac:dyDescent="0.2">
      <c r="A48" s="120"/>
      <c r="B48" s="120"/>
      <c r="C48" s="121" t="s">
        <v>152</v>
      </c>
      <c r="D48" s="120"/>
      <c r="E48" s="120" t="s">
        <v>153</v>
      </c>
      <c r="F48" s="132" t="s">
        <v>155</v>
      </c>
      <c r="G48" s="129">
        <v>0</v>
      </c>
      <c r="H48" s="122" t="s">
        <v>153</v>
      </c>
      <c r="J48" s="2"/>
    </row>
    <row r="49" spans="1:10" x14ac:dyDescent="0.2">
      <c r="A49" s="120"/>
      <c r="B49" s="120"/>
      <c r="C49" s="130"/>
      <c r="D49" s="120"/>
      <c r="E49" s="120"/>
      <c r="F49" s="131"/>
      <c r="G49" s="131"/>
      <c r="H49" s="122" t="s">
        <v>153</v>
      </c>
      <c r="J49" s="2"/>
    </row>
    <row r="50" spans="1:10" x14ac:dyDescent="0.2">
      <c r="A50" s="120"/>
      <c r="B50" s="120"/>
      <c r="C50" s="121" t="s">
        <v>157</v>
      </c>
      <c r="D50" s="120"/>
      <c r="E50" s="120"/>
      <c r="F50" s="120"/>
      <c r="G50" s="120"/>
      <c r="H50" s="122" t="s">
        <v>153</v>
      </c>
      <c r="J50" s="2"/>
    </row>
    <row r="51" spans="1:10" x14ac:dyDescent="0.2">
      <c r="A51" s="120"/>
      <c r="B51" s="120"/>
      <c r="C51" s="121" t="s">
        <v>152</v>
      </c>
      <c r="D51" s="120"/>
      <c r="E51" s="120" t="s">
        <v>153</v>
      </c>
      <c r="F51" s="132" t="s">
        <v>155</v>
      </c>
      <c r="G51" s="129">
        <v>0</v>
      </c>
      <c r="H51" s="122" t="s">
        <v>153</v>
      </c>
      <c r="J51" s="2"/>
    </row>
    <row r="52" spans="1:10" x14ac:dyDescent="0.2">
      <c r="A52" s="120"/>
      <c r="B52" s="120"/>
      <c r="C52" s="130"/>
      <c r="D52" s="120"/>
      <c r="E52" s="120"/>
      <c r="F52" s="131"/>
      <c r="G52" s="131"/>
      <c r="H52" s="122" t="s">
        <v>153</v>
      </c>
      <c r="J52" s="2"/>
    </row>
    <row r="53" spans="1:10" x14ac:dyDescent="0.2">
      <c r="A53" s="120"/>
      <c r="B53" s="120"/>
      <c r="C53" s="121" t="s">
        <v>158</v>
      </c>
      <c r="D53" s="120"/>
      <c r="E53" s="120"/>
      <c r="F53" s="131"/>
      <c r="G53" s="131"/>
      <c r="H53" s="122" t="s">
        <v>153</v>
      </c>
      <c r="J53" s="2"/>
    </row>
    <row r="54" spans="1:10" x14ac:dyDescent="0.2">
      <c r="A54" s="120"/>
      <c r="B54" s="120"/>
      <c r="C54" s="121" t="s">
        <v>152</v>
      </c>
      <c r="D54" s="120"/>
      <c r="E54" s="120" t="s">
        <v>153</v>
      </c>
      <c r="F54" s="132" t="s">
        <v>155</v>
      </c>
      <c r="G54" s="129">
        <v>0</v>
      </c>
      <c r="H54" s="122" t="s">
        <v>153</v>
      </c>
      <c r="J54" s="2"/>
    </row>
    <row r="55" spans="1:10" x14ac:dyDescent="0.2">
      <c r="A55" s="120"/>
      <c r="B55" s="120"/>
      <c r="C55" s="130"/>
      <c r="D55" s="120"/>
      <c r="E55" s="120"/>
      <c r="F55" s="131"/>
      <c r="G55" s="131"/>
      <c r="H55" s="122" t="s">
        <v>153</v>
      </c>
      <c r="J55" s="2"/>
    </row>
    <row r="56" spans="1:10" x14ac:dyDescent="0.2">
      <c r="A56" s="120"/>
      <c r="B56" s="120"/>
      <c r="C56" s="121" t="s">
        <v>159</v>
      </c>
      <c r="D56" s="120"/>
      <c r="E56" s="120"/>
      <c r="F56" s="131"/>
      <c r="G56" s="131"/>
      <c r="H56" s="122" t="s">
        <v>153</v>
      </c>
      <c r="J56" s="2"/>
    </row>
    <row r="57" spans="1:10" x14ac:dyDescent="0.2">
      <c r="A57" s="120"/>
      <c r="B57" s="120"/>
      <c r="C57" s="121" t="s">
        <v>152</v>
      </c>
      <c r="D57" s="120"/>
      <c r="E57" s="120" t="s">
        <v>153</v>
      </c>
      <c r="F57" s="132" t="s">
        <v>155</v>
      </c>
      <c r="G57" s="129">
        <v>0</v>
      </c>
      <c r="H57" s="122" t="s">
        <v>153</v>
      </c>
      <c r="J57" s="2"/>
    </row>
    <row r="58" spans="1:10" x14ac:dyDescent="0.2">
      <c r="A58" s="120"/>
      <c r="B58" s="120"/>
      <c r="C58" s="130"/>
      <c r="D58" s="120"/>
      <c r="E58" s="120"/>
      <c r="F58" s="131"/>
      <c r="G58" s="131"/>
      <c r="H58" s="122" t="s">
        <v>153</v>
      </c>
      <c r="J58" s="2"/>
    </row>
    <row r="59" spans="1:10" x14ac:dyDescent="0.2">
      <c r="A59" s="120"/>
      <c r="B59" s="120"/>
      <c r="C59" s="121" t="s">
        <v>160</v>
      </c>
      <c r="D59" s="120"/>
      <c r="E59" s="120"/>
      <c r="F59" s="128">
        <v>8586.9257933999997</v>
      </c>
      <c r="G59" s="129">
        <v>0.99059600000000003</v>
      </c>
      <c r="H59" s="122" t="s">
        <v>153</v>
      </c>
      <c r="J59" s="2"/>
    </row>
    <row r="60" spans="1:10" x14ac:dyDescent="0.2">
      <c r="A60" s="120"/>
      <c r="B60" s="120"/>
      <c r="C60" s="130"/>
      <c r="D60" s="120"/>
      <c r="E60" s="120"/>
      <c r="F60" s="131"/>
      <c r="G60" s="131"/>
      <c r="H60" s="122" t="s">
        <v>153</v>
      </c>
      <c r="J60" s="2"/>
    </row>
    <row r="61" spans="1:10" x14ac:dyDescent="0.2">
      <c r="A61" s="120"/>
      <c r="B61" s="120"/>
      <c r="C61" s="121" t="s">
        <v>161</v>
      </c>
      <c r="D61" s="120"/>
      <c r="E61" s="120"/>
      <c r="F61" s="131"/>
      <c r="G61" s="131"/>
      <c r="H61" s="122" t="s">
        <v>153</v>
      </c>
      <c r="J61" s="2"/>
    </row>
    <row r="62" spans="1:10" x14ac:dyDescent="0.2">
      <c r="A62" s="120"/>
      <c r="B62" s="120"/>
      <c r="C62" s="121" t="s">
        <v>10</v>
      </c>
      <c r="D62" s="120"/>
      <c r="E62" s="120"/>
      <c r="F62" s="131"/>
      <c r="G62" s="131"/>
      <c r="H62" s="122" t="s">
        <v>153</v>
      </c>
      <c r="J62" s="2"/>
    </row>
    <row r="63" spans="1:10" x14ac:dyDescent="0.2">
      <c r="A63" s="120"/>
      <c r="B63" s="120"/>
      <c r="C63" s="121" t="s">
        <v>152</v>
      </c>
      <c r="D63" s="120"/>
      <c r="E63" s="120" t="s">
        <v>153</v>
      </c>
      <c r="F63" s="132" t="s">
        <v>155</v>
      </c>
      <c r="G63" s="129">
        <v>0</v>
      </c>
      <c r="H63" s="122" t="s">
        <v>153</v>
      </c>
      <c r="J63" s="2"/>
    </row>
    <row r="64" spans="1:10" x14ac:dyDescent="0.2">
      <c r="A64" s="120"/>
      <c r="B64" s="120"/>
      <c r="C64" s="130"/>
      <c r="D64" s="120"/>
      <c r="E64" s="120"/>
      <c r="F64" s="131"/>
      <c r="G64" s="131"/>
      <c r="H64" s="122" t="s">
        <v>153</v>
      </c>
      <c r="J64" s="2"/>
    </row>
    <row r="65" spans="1:10" x14ac:dyDescent="0.2">
      <c r="A65" s="120"/>
      <c r="B65" s="120"/>
      <c r="C65" s="121" t="s">
        <v>162</v>
      </c>
      <c r="D65" s="120"/>
      <c r="E65" s="120"/>
      <c r="F65" s="120"/>
      <c r="G65" s="120"/>
      <c r="H65" s="122" t="s">
        <v>153</v>
      </c>
      <c r="J65" s="2"/>
    </row>
    <row r="66" spans="1:10" x14ac:dyDescent="0.2">
      <c r="A66" s="120"/>
      <c r="B66" s="120"/>
      <c r="C66" s="121" t="s">
        <v>152</v>
      </c>
      <c r="D66" s="120"/>
      <c r="E66" s="120" t="s">
        <v>153</v>
      </c>
      <c r="F66" s="132" t="s">
        <v>155</v>
      </c>
      <c r="G66" s="129">
        <v>0</v>
      </c>
      <c r="H66" s="122" t="s">
        <v>153</v>
      </c>
      <c r="J66" s="2"/>
    </row>
    <row r="67" spans="1:10" x14ac:dyDescent="0.2">
      <c r="A67" s="120"/>
      <c r="B67" s="120"/>
      <c r="C67" s="130"/>
      <c r="D67" s="120"/>
      <c r="E67" s="120"/>
      <c r="F67" s="131"/>
      <c r="G67" s="131"/>
      <c r="H67" s="122" t="s">
        <v>153</v>
      </c>
      <c r="J67" s="2"/>
    </row>
    <row r="68" spans="1:10" x14ac:dyDescent="0.2">
      <c r="A68" s="120"/>
      <c r="B68" s="120"/>
      <c r="C68" s="121" t="s">
        <v>163</v>
      </c>
      <c r="D68" s="120"/>
      <c r="E68" s="120"/>
      <c r="F68" s="120"/>
      <c r="G68" s="120"/>
      <c r="H68" s="122" t="s">
        <v>153</v>
      </c>
      <c r="J68" s="2"/>
    </row>
    <row r="69" spans="1:10" x14ac:dyDescent="0.2">
      <c r="A69" s="120"/>
      <c r="B69" s="120"/>
      <c r="C69" s="121" t="s">
        <v>152</v>
      </c>
      <c r="D69" s="120"/>
      <c r="E69" s="120" t="s">
        <v>153</v>
      </c>
      <c r="F69" s="132" t="s">
        <v>155</v>
      </c>
      <c r="G69" s="129">
        <v>0</v>
      </c>
      <c r="H69" s="122" t="s">
        <v>153</v>
      </c>
      <c r="J69" s="2"/>
    </row>
    <row r="70" spans="1:10" x14ac:dyDescent="0.2">
      <c r="A70" s="120"/>
      <c r="B70" s="120"/>
      <c r="C70" s="130"/>
      <c r="D70" s="120"/>
      <c r="E70" s="120"/>
      <c r="F70" s="131"/>
      <c r="G70" s="131"/>
      <c r="H70" s="122" t="s">
        <v>153</v>
      </c>
      <c r="J70" s="2"/>
    </row>
    <row r="71" spans="1:10" x14ac:dyDescent="0.2">
      <c r="A71" s="120"/>
      <c r="B71" s="120"/>
      <c r="C71" s="121" t="s">
        <v>164</v>
      </c>
      <c r="D71" s="120"/>
      <c r="E71" s="120"/>
      <c r="F71" s="131"/>
      <c r="G71" s="131"/>
      <c r="H71" s="122" t="s">
        <v>153</v>
      </c>
      <c r="J71" s="2"/>
    </row>
    <row r="72" spans="1:10" x14ac:dyDescent="0.2">
      <c r="A72" s="120"/>
      <c r="B72" s="120"/>
      <c r="C72" s="121" t="s">
        <v>152</v>
      </c>
      <c r="D72" s="120"/>
      <c r="E72" s="120" t="s">
        <v>153</v>
      </c>
      <c r="F72" s="132" t="s">
        <v>155</v>
      </c>
      <c r="G72" s="129">
        <v>0</v>
      </c>
      <c r="H72" s="122" t="s">
        <v>153</v>
      </c>
      <c r="J72" s="2"/>
    </row>
    <row r="73" spans="1:10" x14ac:dyDescent="0.2">
      <c r="A73" s="120"/>
      <c r="B73" s="120"/>
      <c r="C73" s="130"/>
      <c r="D73" s="120"/>
      <c r="E73" s="120"/>
      <c r="F73" s="131"/>
      <c r="G73" s="131"/>
      <c r="H73" s="122" t="s">
        <v>153</v>
      </c>
      <c r="J73" s="2"/>
    </row>
    <row r="74" spans="1:10" x14ac:dyDescent="0.2">
      <c r="A74" s="120"/>
      <c r="B74" s="120"/>
      <c r="C74" s="121" t="s">
        <v>165</v>
      </c>
      <c r="D74" s="120"/>
      <c r="E74" s="120"/>
      <c r="F74" s="128">
        <v>0</v>
      </c>
      <c r="G74" s="129">
        <v>0</v>
      </c>
      <c r="H74" s="122" t="s">
        <v>153</v>
      </c>
      <c r="J74" s="2"/>
    </row>
    <row r="75" spans="1:10" x14ac:dyDescent="0.2">
      <c r="A75" s="120"/>
      <c r="B75" s="120"/>
      <c r="C75" s="130"/>
      <c r="D75" s="120"/>
      <c r="E75" s="120"/>
      <c r="F75" s="131"/>
      <c r="G75" s="131"/>
      <c r="H75" s="122" t="s">
        <v>153</v>
      </c>
      <c r="J75" s="2"/>
    </row>
    <row r="76" spans="1:10" x14ac:dyDescent="0.2">
      <c r="A76" s="120"/>
      <c r="B76" s="120"/>
      <c r="C76" s="121" t="s">
        <v>166</v>
      </c>
      <c r="D76" s="120"/>
      <c r="E76" s="120"/>
      <c r="F76" s="131"/>
      <c r="G76" s="131"/>
      <c r="H76" s="122" t="s">
        <v>153</v>
      </c>
      <c r="J76" s="2"/>
    </row>
    <row r="77" spans="1:10" x14ac:dyDescent="0.2">
      <c r="A77" s="120"/>
      <c r="B77" s="120"/>
      <c r="C77" s="121" t="s">
        <v>167</v>
      </c>
      <c r="D77" s="120"/>
      <c r="E77" s="120"/>
      <c r="F77" s="131"/>
      <c r="G77" s="131"/>
      <c r="H77" s="122" t="s">
        <v>153</v>
      </c>
      <c r="J77" s="2"/>
    </row>
    <row r="78" spans="1:10" x14ac:dyDescent="0.2">
      <c r="A78" s="120"/>
      <c r="B78" s="120"/>
      <c r="C78" s="121" t="s">
        <v>152</v>
      </c>
      <c r="D78" s="120"/>
      <c r="E78" s="120" t="s">
        <v>153</v>
      </c>
      <c r="F78" s="132" t="s">
        <v>155</v>
      </c>
      <c r="G78" s="129">
        <v>0</v>
      </c>
      <c r="H78" s="122" t="s">
        <v>153</v>
      </c>
      <c r="J78" s="2"/>
    </row>
    <row r="79" spans="1:10" x14ac:dyDescent="0.2">
      <c r="A79" s="120"/>
      <c r="B79" s="120"/>
      <c r="C79" s="130"/>
      <c r="D79" s="120"/>
      <c r="E79" s="120"/>
      <c r="F79" s="131"/>
      <c r="G79" s="131"/>
      <c r="H79" s="122" t="s">
        <v>153</v>
      </c>
      <c r="J79" s="2"/>
    </row>
    <row r="80" spans="1:10" x14ac:dyDescent="0.2">
      <c r="A80" s="120"/>
      <c r="B80" s="120"/>
      <c r="C80" s="121" t="s">
        <v>168</v>
      </c>
      <c r="D80" s="120"/>
      <c r="E80" s="120"/>
      <c r="F80" s="131"/>
      <c r="G80" s="131"/>
      <c r="H80" s="122" t="s">
        <v>153</v>
      </c>
      <c r="J80" s="2"/>
    </row>
    <row r="81" spans="1:10" x14ac:dyDescent="0.2">
      <c r="A81" s="120"/>
      <c r="B81" s="120"/>
      <c r="C81" s="121" t="s">
        <v>152</v>
      </c>
      <c r="D81" s="120"/>
      <c r="E81" s="120" t="s">
        <v>153</v>
      </c>
      <c r="F81" s="132" t="s">
        <v>155</v>
      </c>
      <c r="G81" s="129">
        <v>0</v>
      </c>
      <c r="H81" s="122" t="s">
        <v>153</v>
      </c>
      <c r="J81" s="2"/>
    </row>
    <row r="82" spans="1:10" x14ac:dyDescent="0.2">
      <c r="A82" s="120"/>
      <c r="B82" s="120"/>
      <c r="C82" s="130"/>
      <c r="D82" s="120"/>
      <c r="E82" s="120"/>
      <c r="F82" s="131"/>
      <c r="G82" s="131"/>
      <c r="H82" s="122" t="s">
        <v>153</v>
      </c>
      <c r="J82" s="2"/>
    </row>
    <row r="83" spans="1:10" x14ac:dyDescent="0.2">
      <c r="A83" s="120"/>
      <c r="B83" s="120"/>
      <c r="C83" s="121" t="s">
        <v>169</v>
      </c>
      <c r="D83" s="120"/>
      <c r="E83" s="120"/>
      <c r="F83" s="131"/>
      <c r="G83" s="131"/>
      <c r="H83" s="122" t="s">
        <v>153</v>
      </c>
      <c r="J83" s="2"/>
    </row>
    <row r="84" spans="1:10" x14ac:dyDescent="0.2">
      <c r="A84" s="120"/>
      <c r="B84" s="120"/>
      <c r="C84" s="121" t="s">
        <v>152</v>
      </c>
      <c r="D84" s="120"/>
      <c r="E84" s="120" t="s">
        <v>153</v>
      </c>
      <c r="F84" s="132" t="s">
        <v>155</v>
      </c>
      <c r="G84" s="129">
        <v>0</v>
      </c>
      <c r="H84" s="122" t="s">
        <v>153</v>
      </c>
      <c r="J84" s="2"/>
    </row>
    <row r="85" spans="1:10" x14ac:dyDescent="0.2">
      <c r="A85" s="120"/>
      <c r="B85" s="120"/>
      <c r="C85" s="130"/>
      <c r="D85" s="120"/>
      <c r="E85" s="120"/>
      <c r="F85" s="131"/>
      <c r="G85" s="131"/>
      <c r="H85" s="122" t="s">
        <v>153</v>
      </c>
      <c r="J85" s="2"/>
    </row>
    <row r="86" spans="1:10" x14ac:dyDescent="0.2">
      <c r="A86" s="120"/>
      <c r="B86" s="120"/>
      <c r="C86" s="121" t="s">
        <v>170</v>
      </c>
      <c r="D86" s="120"/>
      <c r="E86" s="120"/>
      <c r="F86" s="131"/>
      <c r="G86" s="131"/>
      <c r="H86" s="122" t="s">
        <v>153</v>
      </c>
      <c r="J86" s="2"/>
    </row>
    <row r="87" spans="1:10" x14ac:dyDescent="0.2">
      <c r="A87" s="123">
        <v>1</v>
      </c>
      <c r="B87" s="124"/>
      <c r="C87" s="124" t="s">
        <v>171</v>
      </c>
      <c r="D87" s="124"/>
      <c r="E87" s="133"/>
      <c r="F87" s="126">
        <v>119.929542699</v>
      </c>
      <c r="G87" s="127">
        <v>1.3835190000000001E-2</v>
      </c>
      <c r="H87" s="122">
        <v>6.62</v>
      </c>
      <c r="J87" s="2"/>
    </row>
    <row r="88" spans="1:10" x14ac:dyDescent="0.2">
      <c r="A88" s="120"/>
      <c r="B88" s="120"/>
      <c r="C88" s="121" t="s">
        <v>152</v>
      </c>
      <c r="D88" s="120"/>
      <c r="E88" s="120" t="s">
        <v>153</v>
      </c>
      <c r="F88" s="128">
        <v>119.929542699</v>
      </c>
      <c r="G88" s="129">
        <v>1.3835190000000001E-2</v>
      </c>
      <c r="H88" s="122" t="s">
        <v>153</v>
      </c>
      <c r="J88" s="2"/>
    </row>
    <row r="89" spans="1:10" x14ac:dyDescent="0.2">
      <c r="A89" s="120"/>
      <c r="B89" s="120"/>
      <c r="C89" s="130"/>
      <c r="D89" s="120"/>
      <c r="E89" s="120"/>
      <c r="F89" s="131"/>
      <c r="G89" s="131"/>
      <c r="H89" s="122" t="s">
        <v>153</v>
      </c>
      <c r="J89" s="2"/>
    </row>
    <row r="90" spans="1:10" x14ac:dyDescent="0.2">
      <c r="A90" s="120"/>
      <c r="B90" s="120"/>
      <c r="C90" s="121" t="s">
        <v>172</v>
      </c>
      <c r="D90" s="120"/>
      <c r="E90" s="120"/>
      <c r="F90" s="128">
        <v>119.929542699</v>
      </c>
      <c r="G90" s="129">
        <v>1.3835190000000001E-2</v>
      </c>
      <c r="H90" s="122" t="s">
        <v>153</v>
      </c>
      <c r="J90" s="2"/>
    </row>
    <row r="91" spans="1:10" x14ac:dyDescent="0.2">
      <c r="A91" s="120"/>
      <c r="B91" s="120"/>
      <c r="C91" s="131"/>
      <c r="D91" s="120"/>
      <c r="E91" s="120"/>
      <c r="F91" s="120"/>
      <c r="G91" s="120"/>
      <c r="H91" s="122" t="s">
        <v>153</v>
      </c>
      <c r="J91" s="2"/>
    </row>
    <row r="92" spans="1:10" x14ac:dyDescent="0.2">
      <c r="A92" s="120"/>
      <c r="B92" s="120"/>
      <c r="C92" s="121" t="s">
        <v>173</v>
      </c>
      <c r="D92" s="120"/>
      <c r="E92" s="120"/>
      <c r="F92" s="120"/>
      <c r="G92" s="120"/>
      <c r="H92" s="122" t="s">
        <v>153</v>
      </c>
      <c r="J92" s="2"/>
    </row>
    <row r="93" spans="1:10" x14ac:dyDescent="0.2">
      <c r="A93" s="120"/>
      <c r="B93" s="120"/>
      <c r="C93" s="121" t="s">
        <v>174</v>
      </c>
      <c r="D93" s="120"/>
      <c r="E93" s="120"/>
      <c r="F93" s="120"/>
      <c r="G93" s="120"/>
      <c r="H93" s="122" t="s">
        <v>153</v>
      </c>
      <c r="J93" s="2"/>
    </row>
    <row r="94" spans="1:10" x14ac:dyDescent="0.2">
      <c r="A94" s="120"/>
      <c r="B94" s="120"/>
      <c r="C94" s="121" t="s">
        <v>152</v>
      </c>
      <c r="D94" s="120"/>
      <c r="E94" s="120" t="s">
        <v>153</v>
      </c>
      <c r="F94" s="132" t="s">
        <v>155</v>
      </c>
      <c r="G94" s="129">
        <v>0</v>
      </c>
      <c r="H94" s="122" t="s">
        <v>153</v>
      </c>
      <c r="J94" s="2"/>
    </row>
    <row r="95" spans="1:10" x14ac:dyDescent="0.2">
      <c r="A95" s="120"/>
      <c r="B95" s="120"/>
      <c r="C95" s="130"/>
      <c r="D95" s="120"/>
      <c r="E95" s="120"/>
      <c r="F95" s="131"/>
      <c r="G95" s="131"/>
      <c r="H95" s="122" t="s">
        <v>153</v>
      </c>
      <c r="J95" s="2"/>
    </row>
    <row r="96" spans="1:10" x14ac:dyDescent="0.2">
      <c r="A96" s="120"/>
      <c r="B96" s="120"/>
      <c r="C96" s="121" t="s">
        <v>175</v>
      </c>
      <c r="D96" s="120"/>
      <c r="E96" s="120"/>
      <c r="F96" s="120"/>
      <c r="G96" s="120"/>
      <c r="H96" s="122" t="s">
        <v>153</v>
      </c>
      <c r="J96" s="2"/>
    </row>
    <row r="97" spans="1:17" x14ac:dyDescent="0.2">
      <c r="A97" s="120"/>
      <c r="B97" s="120"/>
      <c r="C97" s="121" t="s">
        <v>176</v>
      </c>
      <c r="D97" s="120"/>
      <c r="E97" s="120"/>
      <c r="F97" s="120"/>
      <c r="G97" s="120"/>
      <c r="H97" s="122" t="s">
        <v>153</v>
      </c>
      <c r="J97" s="2"/>
    </row>
    <row r="98" spans="1:17" x14ac:dyDescent="0.2">
      <c r="A98" s="120"/>
      <c r="B98" s="120"/>
      <c r="C98" s="121" t="s">
        <v>152</v>
      </c>
      <c r="D98" s="120"/>
      <c r="E98" s="120" t="s">
        <v>153</v>
      </c>
      <c r="F98" s="132" t="s">
        <v>155</v>
      </c>
      <c r="G98" s="129">
        <v>0</v>
      </c>
      <c r="H98" s="122" t="s">
        <v>153</v>
      </c>
      <c r="J98" s="2"/>
    </row>
    <row r="99" spans="1:17" x14ac:dyDescent="0.2">
      <c r="A99" s="120"/>
      <c r="B99" s="120"/>
      <c r="C99" s="130"/>
      <c r="D99" s="120"/>
      <c r="E99" s="120"/>
      <c r="F99" s="131"/>
      <c r="G99" s="131"/>
      <c r="H99" s="122" t="s">
        <v>153</v>
      </c>
      <c r="J99" s="2"/>
    </row>
    <row r="100" spans="1:17" x14ac:dyDescent="0.2">
      <c r="A100" s="120"/>
      <c r="B100" s="120"/>
      <c r="C100" s="121" t="s">
        <v>177</v>
      </c>
      <c r="D100" s="120"/>
      <c r="E100" s="120"/>
      <c r="F100" s="131"/>
      <c r="G100" s="131"/>
      <c r="H100" s="122" t="s">
        <v>153</v>
      </c>
      <c r="J100" s="2"/>
    </row>
    <row r="101" spans="1:17" x14ac:dyDescent="0.2">
      <c r="A101" s="120"/>
      <c r="B101" s="120"/>
      <c r="C101" s="121" t="s">
        <v>152</v>
      </c>
      <c r="D101" s="120"/>
      <c r="E101" s="120" t="s">
        <v>153</v>
      </c>
      <c r="F101" s="132" t="s">
        <v>155</v>
      </c>
      <c r="G101" s="129">
        <v>0</v>
      </c>
      <c r="H101" s="122" t="s">
        <v>153</v>
      </c>
      <c r="J101" s="2"/>
    </row>
    <row r="102" spans="1:17" x14ac:dyDescent="0.2">
      <c r="A102" s="120"/>
      <c r="B102" s="120"/>
      <c r="C102" s="130"/>
      <c r="D102" s="120"/>
      <c r="E102" s="120"/>
      <c r="F102" s="131"/>
      <c r="G102" s="131"/>
      <c r="H102" s="122" t="s">
        <v>153</v>
      </c>
      <c r="J102" s="2"/>
    </row>
    <row r="103" spans="1:17" x14ac:dyDescent="0.2">
      <c r="A103" s="133"/>
      <c r="B103" s="124"/>
      <c r="C103" s="124" t="s">
        <v>178</v>
      </c>
      <c r="D103" s="124"/>
      <c r="E103" s="133"/>
      <c r="F103" s="126">
        <v>-38.4113416</v>
      </c>
      <c r="G103" s="127">
        <v>-4.4311699999999999E-3</v>
      </c>
      <c r="H103" s="122" t="s">
        <v>153</v>
      </c>
      <c r="J103" s="2"/>
    </row>
    <row r="104" spans="1:17" x14ac:dyDescent="0.2">
      <c r="A104" s="130"/>
      <c r="B104" s="130"/>
      <c r="C104" s="121" t="s">
        <v>179</v>
      </c>
      <c r="D104" s="131"/>
      <c r="E104" s="131"/>
      <c r="F104" s="128">
        <v>8668.4439944990008</v>
      </c>
      <c r="G104" s="134">
        <v>1.0000000200000001</v>
      </c>
      <c r="H104" s="122" t="s">
        <v>153</v>
      </c>
      <c r="J104" s="2"/>
    </row>
    <row r="105" spans="1:17" x14ac:dyDescent="0.2">
      <c r="A105" s="135"/>
      <c r="B105" s="135"/>
      <c r="C105" s="135"/>
      <c r="D105" s="136"/>
      <c r="E105" s="136"/>
      <c r="F105" s="136"/>
      <c r="G105" s="136"/>
      <c r="J105" s="2"/>
    </row>
    <row r="106" spans="1:17" x14ac:dyDescent="0.2">
      <c r="A106" s="137"/>
      <c r="B106" s="226" t="s">
        <v>863</v>
      </c>
      <c r="C106" s="226"/>
      <c r="D106" s="226"/>
      <c r="E106" s="226"/>
      <c r="F106" s="226"/>
      <c r="G106" s="226"/>
      <c r="H106" s="226"/>
      <c r="J106" s="2"/>
    </row>
    <row r="107" spans="1:17" x14ac:dyDescent="0.2">
      <c r="A107" s="137"/>
      <c r="B107" s="226" t="s">
        <v>864</v>
      </c>
      <c r="C107" s="226"/>
      <c r="D107" s="226"/>
      <c r="E107" s="226"/>
      <c r="F107" s="226"/>
      <c r="G107" s="226"/>
      <c r="H107" s="226"/>
      <c r="J107" s="2"/>
    </row>
    <row r="108" spans="1:17" x14ac:dyDescent="0.2">
      <c r="A108" s="137"/>
      <c r="B108" s="226" t="s">
        <v>865</v>
      </c>
      <c r="C108" s="226"/>
      <c r="D108" s="226"/>
      <c r="E108" s="226"/>
      <c r="F108" s="226"/>
      <c r="G108" s="226"/>
      <c r="H108" s="226"/>
      <c r="J108" s="2"/>
    </row>
    <row r="109" spans="1:17" s="5" customFormat="1" ht="15" x14ac:dyDescent="0.25">
      <c r="A109" s="139"/>
      <c r="B109" s="227" t="s">
        <v>866</v>
      </c>
      <c r="C109" s="227"/>
      <c r="D109" s="227"/>
      <c r="E109" s="227"/>
      <c r="F109" s="227"/>
      <c r="G109" s="227"/>
      <c r="H109" s="227"/>
      <c r="I109"/>
      <c r="J109" s="2"/>
      <c r="K109"/>
      <c r="L109"/>
      <c r="M109"/>
      <c r="N109"/>
      <c r="O109"/>
      <c r="P109"/>
      <c r="Q109"/>
    </row>
    <row r="110" spans="1:17" x14ac:dyDescent="0.2">
      <c r="A110" s="137"/>
      <c r="B110" s="226" t="s">
        <v>867</v>
      </c>
      <c r="C110" s="226"/>
      <c r="D110" s="226"/>
      <c r="E110" s="226"/>
      <c r="F110" s="226"/>
      <c r="G110" s="226"/>
      <c r="H110" s="226"/>
      <c r="J110" s="2"/>
    </row>
    <row r="111" spans="1:17" x14ac:dyDescent="0.2">
      <c r="A111" s="140"/>
      <c r="B111" s="140"/>
      <c r="C111" s="140"/>
      <c r="D111" s="141"/>
      <c r="E111" s="141"/>
      <c r="F111" s="141"/>
      <c r="G111" s="141"/>
      <c r="J111" s="2"/>
    </row>
    <row r="112" spans="1:17" x14ac:dyDescent="0.2">
      <c r="A112" s="140"/>
      <c r="B112" s="228" t="s">
        <v>180</v>
      </c>
      <c r="C112" s="229"/>
      <c r="D112" s="230"/>
      <c r="E112" s="142"/>
      <c r="F112" s="141"/>
      <c r="G112" s="141"/>
      <c r="J112" s="2"/>
    </row>
    <row r="113" spans="1:10" x14ac:dyDescent="0.2">
      <c r="A113" s="140"/>
      <c r="B113" s="223" t="s">
        <v>181</v>
      </c>
      <c r="C113" s="224"/>
      <c r="D113" s="121" t="s">
        <v>182</v>
      </c>
      <c r="E113" s="142"/>
      <c r="F113" s="141"/>
      <c r="G113" s="141"/>
      <c r="J113" s="2"/>
    </row>
    <row r="114" spans="1:10" x14ac:dyDescent="0.2">
      <c r="A114" s="140"/>
      <c r="B114" s="221" t="s">
        <v>868</v>
      </c>
      <c r="C114" s="222"/>
      <c r="D114" s="143" t="s">
        <v>182</v>
      </c>
      <c r="E114" s="142"/>
      <c r="F114" s="141"/>
      <c r="G114" s="141"/>
      <c r="J114" s="2"/>
    </row>
    <row r="115" spans="1:10" x14ac:dyDescent="0.2">
      <c r="A115" s="140"/>
      <c r="B115" s="223" t="s">
        <v>184</v>
      </c>
      <c r="C115" s="224"/>
      <c r="D115" s="131" t="s">
        <v>153</v>
      </c>
      <c r="E115" s="142"/>
      <c r="F115" s="141"/>
      <c r="G115" s="141"/>
      <c r="J115" s="2"/>
    </row>
    <row r="116" spans="1:10" x14ac:dyDescent="0.2">
      <c r="A116" s="144"/>
      <c r="B116" s="145" t="s">
        <v>153</v>
      </c>
      <c r="C116" s="145" t="s">
        <v>870</v>
      </c>
      <c r="D116" s="145" t="s">
        <v>185</v>
      </c>
      <c r="E116" s="144"/>
      <c r="F116" s="144"/>
      <c r="G116" s="144"/>
      <c r="H116" s="144"/>
      <c r="J116" s="2"/>
    </row>
    <row r="117" spans="1:10" x14ac:dyDescent="0.2">
      <c r="A117" s="146"/>
      <c r="B117" s="147" t="s">
        <v>186</v>
      </c>
      <c r="C117" s="148">
        <v>45504</v>
      </c>
      <c r="D117" s="149">
        <v>45535</v>
      </c>
      <c r="E117" s="146"/>
      <c r="F117" s="146"/>
      <c r="G117" s="146"/>
      <c r="J117" s="2"/>
    </row>
    <row r="118" spans="1:10" x14ac:dyDescent="0.2">
      <c r="A118" s="146"/>
      <c r="B118" s="124" t="s">
        <v>187</v>
      </c>
      <c r="C118" s="150">
        <v>33.9011</v>
      </c>
      <c r="D118" s="150">
        <v>34.916800000000002</v>
      </c>
      <c r="E118" s="146"/>
      <c r="F118" s="151"/>
      <c r="G118" s="152"/>
      <c r="J118" s="2"/>
    </row>
    <row r="119" spans="1:10" x14ac:dyDescent="0.2">
      <c r="A119" s="146"/>
      <c r="B119" s="124" t="s">
        <v>926</v>
      </c>
      <c r="C119" s="150">
        <v>29.73</v>
      </c>
      <c r="D119" s="150">
        <v>30.620799999999999</v>
      </c>
      <c r="E119" s="146"/>
      <c r="F119" s="151"/>
      <c r="G119" s="152"/>
      <c r="J119" s="2"/>
    </row>
    <row r="120" spans="1:10" x14ac:dyDescent="0.2">
      <c r="A120" s="146"/>
      <c r="B120" s="124" t="s">
        <v>188</v>
      </c>
      <c r="C120" s="150">
        <v>32.978400000000001</v>
      </c>
      <c r="D120" s="150">
        <v>33.961300000000001</v>
      </c>
      <c r="E120" s="146"/>
      <c r="F120" s="151"/>
      <c r="G120" s="152"/>
      <c r="J120" s="2"/>
    </row>
    <row r="121" spans="1:10" x14ac:dyDescent="0.2">
      <c r="A121" s="146"/>
      <c r="B121" s="124" t="s">
        <v>927</v>
      </c>
      <c r="C121" s="150">
        <v>28.8536</v>
      </c>
      <c r="D121" s="150">
        <v>29.7136</v>
      </c>
      <c r="E121" s="146"/>
      <c r="F121" s="151"/>
      <c r="G121" s="152"/>
      <c r="J121" s="2"/>
    </row>
    <row r="122" spans="1:10" x14ac:dyDescent="0.2">
      <c r="A122" s="146"/>
      <c r="B122" s="146"/>
      <c r="C122" s="146"/>
      <c r="D122" s="146"/>
      <c r="E122" s="146"/>
      <c r="F122" s="146"/>
      <c r="G122" s="146"/>
      <c r="J122" s="2"/>
    </row>
    <row r="123" spans="1:10" x14ac:dyDescent="0.2">
      <c r="A123" s="144"/>
      <c r="B123" s="221" t="s">
        <v>869</v>
      </c>
      <c r="C123" s="222"/>
      <c r="D123" s="143" t="s">
        <v>182</v>
      </c>
      <c r="E123" s="144"/>
      <c r="F123" s="144"/>
      <c r="G123" s="144"/>
      <c r="J123" s="2"/>
    </row>
    <row r="124" spans="1:10" x14ac:dyDescent="0.2">
      <c r="A124" s="144"/>
      <c r="B124" s="163"/>
      <c r="C124" s="163"/>
      <c r="D124" s="163"/>
      <c r="E124" s="144"/>
      <c r="F124" s="144"/>
      <c r="G124" s="144"/>
      <c r="J124" s="2"/>
    </row>
    <row r="125" spans="1:10" x14ac:dyDescent="0.2">
      <c r="A125" s="144"/>
      <c r="B125" s="221" t="s">
        <v>189</v>
      </c>
      <c r="C125" s="222"/>
      <c r="D125" s="143" t="s">
        <v>182</v>
      </c>
      <c r="E125" s="153"/>
      <c r="F125" s="144"/>
      <c r="G125" s="144"/>
      <c r="J125" s="2"/>
    </row>
    <row r="126" spans="1:10" x14ac:dyDescent="0.2">
      <c r="A126" s="144"/>
      <c r="B126" s="221" t="s">
        <v>190</v>
      </c>
      <c r="C126" s="222"/>
      <c r="D126" s="143" t="s">
        <v>182</v>
      </c>
      <c r="E126" s="153"/>
      <c r="F126" s="144"/>
      <c r="G126" s="144"/>
      <c r="J126" s="2"/>
    </row>
    <row r="127" spans="1:10" x14ac:dyDescent="0.2">
      <c r="A127" s="144"/>
      <c r="B127" s="221" t="s">
        <v>191</v>
      </c>
      <c r="C127" s="222"/>
      <c r="D127" s="143" t="s">
        <v>182</v>
      </c>
      <c r="E127" s="153"/>
      <c r="F127" s="144"/>
      <c r="G127" s="144"/>
      <c r="J127" s="2"/>
    </row>
    <row r="128" spans="1:10" x14ac:dyDescent="0.2">
      <c r="A128" s="144"/>
      <c r="B128" s="221" t="s">
        <v>192</v>
      </c>
      <c r="C128" s="222"/>
      <c r="D128" s="154">
        <v>0.31661913723898033</v>
      </c>
      <c r="E128" s="144"/>
      <c r="F128" s="138"/>
      <c r="G128" s="155"/>
      <c r="J128" s="2"/>
    </row>
    <row r="129" spans="10:10" x14ac:dyDescent="0.2">
      <c r="J129" s="2"/>
    </row>
    <row r="130" spans="10:10" x14ac:dyDescent="0.2">
      <c r="J130" s="2"/>
    </row>
    <row r="131" spans="10:10" x14ac:dyDescent="0.2">
      <c r="J131" s="2"/>
    </row>
    <row r="132" spans="10:10" x14ac:dyDescent="0.2">
      <c r="J132" s="2"/>
    </row>
    <row r="133" spans="10:10" x14ac:dyDescent="0.2">
      <c r="J133" s="2"/>
    </row>
    <row r="134" spans="10:10" x14ac:dyDescent="0.2">
      <c r="J134" s="2"/>
    </row>
    <row r="135" spans="10:10" x14ac:dyDescent="0.2">
      <c r="J135" s="2"/>
    </row>
    <row r="136" spans="10:10" x14ac:dyDescent="0.2">
      <c r="J136" s="2"/>
    </row>
    <row r="137" spans="10:10" x14ac:dyDescent="0.2">
      <c r="J137" s="2"/>
    </row>
  </sheetData>
  <mergeCells count="17">
    <mergeCell ref="B113:C113"/>
    <mergeCell ref="A1:H1"/>
    <mergeCell ref="A2:H2"/>
    <mergeCell ref="A3:H3"/>
    <mergeCell ref="B106:H106"/>
    <mergeCell ref="B107:H107"/>
    <mergeCell ref="B108:H108"/>
    <mergeCell ref="B109:H109"/>
    <mergeCell ref="B110:H110"/>
    <mergeCell ref="B112:D112"/>
    <mergeCell ref="B114:C114"/>
    <mergeCell ref="B115:C115"/>
    <mergeCell ref="B123:C123"/>
    <mergeCell ref="B127:C127"/>
    <mergeCell ref="B128:C128"/>
    <mergeCell ref="B125:C125"/>
    <mergeCell ref="B126:C126"/>
  </mergeCells>
  <hyperlinks>
    <hyperlink ref="I1" location="Index!B10" display="Index" xr:uid="{6906EE5C-08CB-480A-91E9-D008970AC42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B5757-8C0B-45FB-A63A-E1BB55DE7A2E}">
  <sheetPr>
    <outlinePr summaryBelow="0" summaryRight="0"/>
  </sheetPr>
  <dimension ref="A1:Q134"/>
  <sheetViews>
    <sheetView showGridLines="0" workbookViewId="0">
      <selection sqref="A1:H1"/>
    </sheetView>
  </sheetViews>
  <sheetFormatPr defaultRowHeight="12.75" x14ac:dyDescent="0.2"/>
  <cols>
    <col min="1" max="1" width="6.85546875" customWidth="1"/>
    <col min="2" max="2" width="20.5703125" customWidth="1"/>
    <col min="3" max="3" width="43.4257812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486</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x14ac:dyDescent="0.2">
      <c r="A6" s="120"/>
      <c r="B6" s="120"/>
      <c r="C6" s="121" t="s">
        <v>10</v>
      </c>
      <c r="D6" s="120"/>
      <c r="E6" s="120"/>
      <c r="F6" s="120"/>
      <c r="G6" s="120"/>
      <c r="H6" s="122" t="s">
        <v>153</v>
      </c>
      <c r="J6" s="2"/>
    </row>
    <row r="7" spans="1:10" x14ac:dyDescent="0.2">
      <c r="A7" s="123">
        <v>1</v>
      </c>
      <c r="B7" s="124" t="s">
        <v>409</v>
      </c>
      <c r="C7" s="124" t="s">
        <v>410</v>
      </c>
      <c r="D7" s="124" t="s">
        <v>45</v>
      </c>
      <c r="E7" s="125">
        <v>9824</v>
      </c>
      <c r="F7" s="126">
        <v>243.261888</v>
      </c>
      <c r="G7" s="127">
        <v>6.0472999999999999E-2</v>
      </c>
      <c r="H7" s="122" t="s">
        <v>153</v>
      </c>
      <c r="J7" s="2"/>
    </row>
    <row r="8" spans="1:10" x14ac:dyDescent="0.2">
      <c r="A8" s="123">
        <v>2</v>
      </c>
      <c r="B8" s="124" t="s">
        <v>363</v>
      </c>
      <c r="C8" s="124" t="s">
        <v>364</v>
      </c>
      <c r="D8" s="124" t="s">
        <v>239</v>
      </c>
      <c r="E8" s="125">
        <v>4337</v>
      </c>
      <c r="F8" s="126">
        <v>224.77803599999999</v>
      </c>
      <c r="G8" s="127">
        <v>5.587806E-2</v>
      </c>
      <c r="H8" s="122" t="s">
        <v>153</v>
      </c>
      <c r="J8" s="2"/>
    </row>
    <row r="9" spans="1:10" x14ac:dyDescent="0.2">
      <c r="A9" s="123">
        <v>3</v>
      </c>
      <c r="B9" s="124" t="s">
        <v>69</v>
      </c>
      <c r="C9" s="124" t="s">
        <v>70</v>
      </c>
      <c r="D9" s="124" t="s">
        <v>71</v>
      </c>
      <c r="E9" s="125">
        <v>15508</v>
      </c>
      <c r="F9" s="126">
        <v>186.801614</v>
      </c>
      <c r="G9" s="127">
        <v>4.643742E-2</v>
      </c>
      <c r="H9" s="122" t="s">
        <v>153</v>
      </c>
      <c r="J9" s="2"/>
    </row>
    <row r="10" spans="1:10" x14ac:dyDescent="0.2">
      <c r="A10" s="123">
        <v>4</v>
      </c>
      <c r="B10" s="124" t="s">
        <v>145</v>
      </c>
      <c r="C10" s="124" t="s">
        <v>146</v>
      </c>
      <c r="D10" s="124" t="s">
        <v>45</v>
      </c>
      <c r="E10" s="125">
        <v>47004</v>
      </c>
      <c r="F10" s="126">
        <v>185.85381599999999</v>
      </c>
      <c r="G10" s="127">
        <v>4.6201800000000001E-2</v>
      </c>
      <c r="H10" s="122" t="s">
        <v>153</v>
      </c>
      <c r="J10" s="2"/>
    </row>
    <row r="11" spans="1:10" x14ac:dyDescent="0.2">
      <c r="A11" s="123">
        <v>5</v>
      </c>
      <c r="B11" s="124" t="s">
        <v>432</v>
      </c>
      <c r="C11" s="124" t="s">
        <v>433</v>
      </c>
      <c r="D11" s="124" t="s">
        <v>239</v>
      </c>
      <c r="E11" s="125">
        <v>6306</v>
      </c>
      <c r="F11" s="126">
        <v>163.09523100000001</v>
      </c>
      <c r="G11" s="127">
        <v>4.0544200000000002E-2</v>
      </c>
      <c r="H11" s="122" t="s">
        <v>153</v>
      </c>
      <c r="J11" s="2"/>
    </row>
    <row r="12" spans="1:10" ht="15" x14ac:dyDescent="0.2">
      <c r="A12" s="123">
        <v>6</v>
      </c>
      <c r="B12" s="124" t="s">
        <v>411</v>
      </c>
      <c r="C12" s="124" t="s">
        <v>412</v>
      </c>
      <c r="D12" s="124" t="s">
        <v>236</v>
      </c>
      <c r="E12" s="125">
        <v>9717</v>
      </c>
      <c r="F12" s="126">
        <v>162.04555049999999</v>
      </c>
      <c r="G12" s="127">
        <v>4.028325E-2</v>
      </c>
      <c r="H12" s="122" t="s">
        <v>153</v>
      </c>
      <c r="J12" s="7"/>
    </row>
    <row r="13" spans="1:10" x14ac:dyDescent="0.2">
      <c r="A13" s="123">
        <v>7</v>
      </c>
      <c r="B13" s="124" t="s">
        <v>415</v>
      </c>
      <c r="C13" s="124" t="s">
        <v>416</v>
      </c>
      <c r="D13" s="124" t="s">
        <v>48</v>
      </c>
      <c r="E13" s="125">
        <v>187038</v>
      </c>
      <c r="F13" s="126">
        <v>152.08059779999999</v>
      </c>
      <c r="G13" s="127">
        <v>3.7806039999999999E-2</v>
      </c>
      <c r="H13" s="122" t="s">
        <v>153</v>
      </c>
      <c r="J13" s="2"/>
    </row>
    <row r="14" spans="1:10" x14ac:dyDescent="0.2">
      <c r="A14" s="123">
        <v>8</v>
      </c>
      <c r="B14" s="124" t="s">
        <v>33</v>
      </c>
      <c r="C14" s="124" t="s">
        <v>34</v>
      </c>
      <c r="D14" s="124" t="s">
        <v>35</v>
      </c>
      <c r="E14" s="125">
        <v>16174</v>
      </c>
      <c r="F14" s="126">
        <v>150.17559</v>
      </c>
      <c r="G14" s="127">
        <v>3.733247E-2</v>
      </c>
      <c r="H14" s="122" t="s">
        <v>153</v>
      </c>
      <c r="J14" s="2" t="s">
        <v>925</v>
      </c>
    </row>
    <row r="15" spans="1:10" x14ac:dyDescent="0.2">
      <c r="A15" s="123">
        <v>9</v>
      </c>
      <c r="B15" s="124" t="s">
        <v>401</v>
      </c>
      <c r="C15" s="124" t="s">
        <v>402</v>
      </c>
      <c r="D15" s="124" t="s">
        <v>403</v>
      </c>
      <c r="E15" s="125">
        <v>9043</v>
      </c>
      <c r="F15" s="126">
        <v>147.54558800000001</v>
      </c>
      <c r="G15" s="127">
        <v>3.6678679999999998E-2</v>
      </c>
      <c r="H15" s="122" t="s">
        <v>153</v>
      </c>
      <c r="J15" s="2"/>
    </row>
    <row r="16" spans="1:10" x14ac:dyDescent="0.2">
      <c r="A16" s="123">
        <v>10</v>
      </c>
      <c r="B16" s="124" t="s">
        <v>413</v>
      </c>
      <c r="C16" s="124" t="s">
        <v>414</v>
      </c>
      <c r="D16" s="124" t="s">
        <v>216</v>
      </c>
      <c r="E16" s="125">
        <v>33900</v>
      </c>
      <c r="F16" s="126">
        <v>137.87129999999999</v>
      </c>
      <c r="G16" s="127">
        <v>3.4273720000000001E-2</v>
      </c>
      <c r="H16" s="122" t="s">
        <v>153</v>
      </c>
      <c r="J16" s="2"/>
    </row>
    <row r="17" spans="1:10" x14ac:dyDescent="0.2">
      <c r="A17" s="123">
        <v>11</v>
      </c>
      <c r="B17" s="124" t="s">
        <v>77</v>
      </c>
      <c r="C17" s="124" t="s">
        <v>78</v>
      </c>
      <c r="D17" s="124" t="s">
        <v>35</v>
      </c>
      <c r="E17" s="125">
        <v>2964</v>
      </c>
      <c r="F17" s="126">
        <v>136.63447199999999</v>
      </c>
      <c r="G17" s="127">
        <v>3.3966259999999998E-2</v>
      </c>
      <c r="H17" s="122" t="s">
        <v>153</v>
      </c>
      <c r="J17" s="2"/>
    </row>
    <row r="18" spans="1:10" x14ac:dyDescent="0.2">
      <c r="A18" s="123">
        <v>12</v>
      </c>
      <c r="B18" s="124" t="s">
        <v>417</v>
      </c>
      <c r="C18" s="124" t="s">
        <v>418</v>
      </c>
      <c r="D18" s="124" t="s">
        <v>48</v>
      </c>
      <c r="E18" s="125">
        <v>290098</v>
      </c>
      <c r="F18" s="126">
        <v>127.38203179999999</v>
      </c>
      <c r="G18" s="127">
        <v>3.166617E-2</v>
      </c>
      <c r="H18" s="122" t="s">
        <v>153</v>
      </c>
      <c r="J18" s="2"/>
    </row>
    <row r="19" spans="1:10" x14ac:dyDescent="0.2">
      <c r="A19" s="123">
        <v>13</v>
      </c>
      <c r="B19" s="124" t="s">
        <v>441</v>
      </c>
      <c r="C19" s="124" t="s">
        <v>442</v>
      </c>
      <c r="D19" s="124" t="s">
        <v>211</v>
      </c>
      <c r="E19" s="125">
        <v>18242</v>
      </c>
      <c r="F19" s="126">
        <v>122.321731</v>
      </c>
      <c r="G19" s="127">
        <v>3.040822E-2</v>
      </c>
      <c r="H19" s="122" t="s">
        <v>153</v>
      </c>
      <c r="J19" s="2"/>
    </row>
    <row r="20" spans="1:10" x14ac:dyDescent="0.2">
      <c r="A20" s="123">
        <v>14</v>
      </c>
      <c r="B20" s="124" t="s">
        <v>421</v>
      </c>
      <c r="C20" s="124" t="s">
        <v>422</v>
      </c>
      <c r="D20" s="124" t="s">
        <v>48</v>
      </c>
      <c r="E20" s="125">
        <v>36437</v>
      </c>
      <c r="F20" s="126">
        <v>117.92835049999999</v>
      </c>
      <c r="G20" s="127">
        <v>2.9316060000000001E-2</v>
      </c>
      <c r="H20" s="122" t="s">
        <v>153</v>
      </c>
      <c r="J20" s="2"/>
    </row>
    <row r="21" spans="1:10" ht="25.5" x14ac:dyDescent="0.2">
      <c r="A21" s="123">
        <v>15</v>
      </c>
      <c r="B21" s="124" t="s">
        <v>324</v>
      </c>
      <c r="C21" s="124" t="s">
        <v>325</v>
      </c>
      <c r="D21" s="124" t="s">
        <v>250</v>
      </c>
      <c r="E21" s="125">
        <v>3525</v>
      </c>
      <c r="F21" s="126">
        <v>116.26860000000001</v>
      </c>
      <c r="G21" s="127">
        <v>2.8903459999999999E-2</v>
      </c>
      <c r="H21" s="122" t="s">
        <v>153</v>
      </c>
      <c r="J21" s="2"/>
    </row>
    <row r="22" spans="1:10" ht="15" x14ac:dyDescent="0.2">
      <c r="A22" s="123">
        <v>16</v>
      </c>
      <c r="B22" s="124" t="s">
        <v>419</v>
      </c>
      <c r="C22" s="124" t="s">
        <v>420</v>
      </c>
      <c r="D22" s="124" t="s">
        <v>211</v>
      </c>
      <c r="E22" s="125">
        <v>15581</v>
      </c>
      <c r="F22" s="126">
        <v>114.9332465</v>
      </c>
      <c r="G22" s="127">
        <v>2.85715E-2</v>
      </c>
      <c r="H22" s="122" t="s">
        <v>153</v>
      </c>
      <c r="J22" s="7"/>
    </row>
    <row r="23" spans="1:10" ht="25.5" x14ac:dyDescent="0.2">
      <c r="A23" s="123">
        <v>17</v>
      </c>
      <c r="B23" s="124" t="s">
        <v>79</v>
      </c>
      <c r="C23" s="124" t="s">
        <v>80</v>
      </c>
      <c r="D23" s="124" t="s">
        <v>25</v>
      </c>
      <c r="E23" s="125">
        <v>2480</v>
      </c>
      <c r="F23" s="126">
        <v>110.45672</v>
      </c>
      <c r="G23" s="127">
        <v>2.7458670000000001E-2</v>
      </c>
      <c r="H23" s="122" t="s">
        <v>153</v>
      </c>
      <c r="J23" s="2"/>
    </row>
    <row r="24" spans="1:10" x14ac:dyDescent="0.2">
      <c r="A24" s="123">
        <v>18</v>
      </c>
      <c r="B24" s="124" t="s">
        <v>106</v>
      </c>
      <c r="C24" s="124" t="s">
        <v>107</v>
      </c>
      <c r="D24" s="124" t="s">
        <v>35</v>
      </c>
      <c r="E24" s="125">
        <v>4465</v>
      </c>
      <c r="F24" s="126">
        <v>108.96832499999999</v>
      </c>
      <c r="G24" s="127">
        <v>2.7088669999999999E-2</v>
      </c>
      <c r="H24" s="122" t="s">
        <v>153</v>
      </c>
      <c r="J24" s="2"/>
    </row>
    <row r="25" spans="1:10" x14ac:dyDescent="0.2">
      <c r="A25" s="123">
        <v>19</v>
      </c>
      <c r="B25" s="124" t="s">
        <v>430</v>
      </c>
      <c r="C25" s="124" t="s">
        <v>431</v>
      </c>
      <c r="D25" s="124" t="s">
        <v>89</v>
      </c>
      <c r="E25" s="125">
        <v>12457</v>
      </c>
      <c r="F25" s="126">
        <v>107.5724235</v>
      </c>
      <c r="G25" s="127">
        <v>2.674166E-2</v>
      </c>
      <c r="H25" s="122" t="s">
        <v>153</v>
      </c>
      <c r="J25" s="2"/>
    </row>
    <row r="26" spans="1:10" ht="25.5" x14ac:dyDescent="0.2">
      <c r="A26" s="123">
        <v>20</v>
      </c>
      <c r="B26" s="124" t="s">
        <v>436</v>
      </c>
      <c r="C26" s="124" t="s">
        <v>437</v>
      </c>
      <c r="D26" s="124" t="s">
        <v>438</v>
      </c>
      <c r="E26" s="125">
        <v>25470</v>
      </c>
      <c r="F26" s="126">
        <v>103.140765</v>
      </c>
      <c r="G26" s="127">
        <v>2.5639990000000001E-2</v>
      </c>
      <c r="H26" s="122" t="s">
        <v>153</v>
      </c>
      <c r="J26" s="2"/>
    </row>
    <row r="27" spans="1:10" x14ac:dyDescent="0.2">
      <c r="A27" s="123">
        <v>21</v>
      </c>
      <c r="B27" s="124" t="s">
        <v>223</v>
      </c>
      <c r="C27" s="124" t="s">
        <v>224</v>
      </c>
      <c r="D27" s="124" t="s">
        <v>89</v>
      </c>
      <c r="E27" s="125">
        <v>692</v>
      </c>
      <c r="F27" s="126">
        <v>96.527079999999998</v>
      </c>
      <c r="G27" s="127">
        <v>2.3995880000000001E-2</v>
      </c>
      <c r="H27" s="122" t="s">
        <v>153</v>
      </c>
      <c r="J27" s="2"/>
    </row>
    <row r="28" spans="1:10" x14ac:dyDescent="0.2">
      <c r="A28" s="123">
        <v>22</v>
      </c>
      <c r="B28" s="124" t="s">
        <v>62</v>
      </c>
      <c r="C28" s="124" t="s">
        <v>63</v>
      </c>
      <c r="D28" s="124" t="s">
        <v>13</v>
      </c>
      <c r="E28" s="125">
        <v>7151</v>
      </c>
      <c r="F28" s="126">
        <v>96.363300499999994</v>
      </c>
      <c r="G28" s="127">
        <v>2.395516E-2</v>
      </c>
      <c r="H28" s="122" t="s">
        <v>153</v>
      </c>
      <c r="J28" s="2"/>
    </row>
    <row r="29" spans="1:10" x14ac:dyDescent="0.2">
      <c r="A29" s="123">
        <v>23</v>
      </c>
      <c r="B29" s="124" t="s">
        <v>427</v>
      </c>
      <c r="C29" s="124" t="s">
        <v>428</v>
      </c>
      <c r="D29" s="124" t="s">
        <v>429</v>
      </c>
      <c r="E29" s="125">
        <v>6011</v>
      </c>
      <c r="F29" s="126">
        <v>91.039600500000006</v>
      </c>
      <c r="G29" s="127">
        <v>2.2631729999999999E-2</v>
      </c>
      <c r="H29" s="122" t="s">
        <v>153</v>
      </c>
      <c r="J29" s="2"/>
    </row>
    <row r="30" spans="1:10" ht="25.5" x14ac:dyDescent="0.2">
      <c r="A30" s="123">
        <v>24</v>
      </c>
      <c r="B30" s="124" t="s">
        <v>434</v>
      </c>
      <c r="C30" s="124" t="s">
        <v>435</v>
      </c>
      <c r="D30" s="124" t="s">
        <v>208</v>
      </c>
      <c r="E30" s="125">
        <v>1708</v>
      </c>
      <c r="F30" s="126">
        <v>89.118315999999993</v>
      </c>
      <c r="G30" s="127">
        <v>2.2154110000000001E-2</v>
      </c>
      <c r="H30" s="122" t="s">
        <v>153</v>
      </c>
      <c r="J30" s="2"/>
    </row>
    <row r="31" spans="1:10" x14ac:dyDescent="0.2">
      <c r="A31" s="123">
        <v>25</v>
      </c>
      <c r="B31" s="124" t="s">
        <v>39</v>
      </c>
      <c r="C31" s="124" t="s">
        <v>40</v>
      </c>
      <c r="D31" s="124" t="s">
        <v>35</v>
      </c>
      <c r="E31" s="125">
        <v>1446</v>
      </c>
      <c r="F31" s="126">
        <v>87.321048000000005</v>
      </c>
      <c r="G31" s="127">
        <v>2.170733E-2</v>
      </c>
      <c r="H31" s="122" t="s">
        <v>153</v>
      </c>
      <c r="J31" s="2"/>
    </row>
    <row r="32" spans="1:10" x14ac:dyDescent="0.2">
      <c r="A32" s="123">
        <v>26</v>
      </c>
      <c r="B32" s="124" t="s">
        <v>445</v>
      </c>
      <c r="C32" s="124" t="s">
        <v>446</v>
      </c>
      <c r="D32" s="124" t="s">
        <v>45</v>
      </c>
      <c r="E32" s="125">
        <v>10630</v>
      </c>
      <c r="F32" s="126">
        <v>83.631524999999996</v>
      </c>
      <c r="G32" s="127">
        <v>2.0790139999999999E-2</v>
      </c>
      <c r="H32" s="122" t="s">
        <v>153</v>
      </c>
      <c r="J32" s="2"/>
    </row>
    <row r="33" spans="1:10" x14ac:dyDescent="0.2">
      <c r="A33" s="123">
        <v>27</v>
      </c>
      <c r="B33" s="124" t="s">
        <v>439</v>
      </c>
      <c r="C33" s="124" t="s">
        <v>440</v>
      </c>
      <c r="D33" s="124" t="s">
        <v>35</v>
      </c>
      <c r="E33" s="125">
        <v>13623</v>
      </c>
      <c r="F33" s="126">
        <v>83.563481999999993</v>
      </c>
      <c r="G33" s="127">
        <v>2.077323E-2</v>
      </c>
      <c r="H33" s="122" t="s">
        <v>153</v>
      </c>
      <c r="J33" s="2"/>
    </row>
    <row r="34" spans="1:10" x14ac:dyDescent="0.2">
      <c r="A34" s="123">
        <v>28</v>
      </c>
      <c r="B34" s="124" t="s">
        <v>451</v>
      </c>
      <c r="C34" s="124" t="s">
        <v>452</v>
      </c>
      <c r="D34" s="124" t="s">
        <v>89</v>
      </c>
      <c r="E34" s="125">
        <v>7127</v>
      </c>
      <c r="F34" s="126">
        <v>82.174310000000006</v>
      </c>
      <c r="G34" s="127">
        <v>2.0427890000000001E-2</v>
      </c>
      <c r="H34" s="122" t="s">
        <v>153</v>
      </c>
      <c r="J34" s="2"/>
    </row>
    <row r="35" spans="1:10" x14ac:dyDescent="0.2">
      <c r="A35" s="123">
        <v>29</v>
      </c>
      <c r="B35" s="124" t="s">
        <v>443</v>
      </c>
      <c r="C35" s="124" t="s">
        <v>444</v>
      </c>
      <c r="D35" s="124" t="s">
        <v>236</v>
      </c>
      <c r="E35" s="125">
        <v>9165</v>
      </c>
      <c r="F35" s="126">
        <v>75.400454999999994</v>
      </c>
      <c r="G35" s="127">
        <v>1.874396E-2</v>
      </c>
      <c r="H35" s="122" t="s">
        <v>153</v>
      </c>
      <c r="J35" s="2"/>
    </row>
    <row r="36" spans="1:10" x14ac:dyDescent="0.2">
      <c r="A36" s="123">
        <v>30</v>
      </c>
      <c r="B36" s="124" t="s">
        <v>256</v>
      </c>
      <c r="C36" s="124" t="s">
        <v>257</v>
      </c>
      <c r="D36" s="124" t="s">
        <v>89</v>
      </c>
      <c r="E36" s="125">
        <v>4021</v>
      </c>
      <c r="F36" s="126">
        <v>64.416420000000002</v>
      </c>
      <c r="G36" s="127">
        <v>1.601342E-2</v>
      </c>
      <c r="H36" s="122" t="s">
        <v>153</v>
      </c>
      <c r="J36" s="2"/>
    </row>
    <row r="37" spans="1:10" x14ac:dyDescent="0.2">
      <c r="A37" s="123">
        <v>31</v>
      </c>
      <c r="B37" s="124" t="s">
        <v>447</v>
      </c>
      <c r="C37" s="124" t="s">
        <v>448</v>
      </c>
      <c r="D37" s="124" t="s">
        <v>45</v>
      </c>
      <c r="E37" s="125">
        <v>5528</v>
      </c>
      <c r="F37" s="126">
        <v>53.320323999999999</v>
      </c>
      <c r="G37" s="127">
        <v>1.3255009999999999E-2</v>
      </c>
      <c r="H37" s="122" t="s">
        <v>153</v>
      </c>
      <c r="J37" s="2"/>
    </row>
    <row r="38" spans="1:10" x14ac:dyDescent="0.2">
      <c r="A38" s="123">
        <v>32</v>
      </c>
      <c r="B38" s="124" t="s">
        <v>484</v>
      </c>
      <c r="C38" s="124" t="s">
        <v>485</v>
      </c>
      <c r="D38" s="124" t="s">
        <v>45</v>
      </c>
      <c r="E38" s="125">
        <v>2514</v>
      </c>
      <c r="F38" s="126">
        <v>48.415869000000001</v>
      </c>
      <c r="G38" s="127">
        <v>1.2035809999999999E-2</v>
      </c>
      <c r="H38" s="122" t="s">
        <v>153</v>
      </c>
      <c r="J38" s="2"/>
    </row>
    <row r="39" spans="1:10" x14ac:dyDescent="0.2">
      <c r="A39" s="123">
        <v>33</v>
      </c>
      <c r="B39" s="124" t="s">
        <v>383</v>
      </c>
      <c r="C39" s="124" t="s">
        <v>384</v>
      </c>
      <c r="D39" s="124" t="s">
        <v>136</v>
      </c>
      <c r="E39" s="125">
        <v>25659</v>
      </c>
      <c r="F39" s="126">
        <v>39.196688399999999</v>
      </c>
      <c r="G39" s="127">
        <v>9.7439899999999992E-3</v>
      </c>
      <c r="H39" s="122" t="s">
        <v>153</v>
      </c>
      <c r="J39" s="2"/>
    </row>
    <row r="40" spans="1:10" x14ac:dyDescent="0.2">
      <c r="A40" s="123">
        <v>34</v>
      </c>
      <c r="B40" s="124" t="s">
        <v>423</v>
      </c>
      <c r="C40" s="124" t="s">
        <v>424</v>
      </c>
      <c r="D40" s="124" t="s">
        <v>35</v>
      </c>
      <c r="E40" s="125">
        <v>2772</v>
      </c>
      <c r="F40" s="126">
        <v>36.422694</v>
      </c>
      <c r="G40" s="127">
        <v>9.0544000000000006E-3</v>
      </c>
      <c r="H40" s="122" t="s">
        <v>153</v>
      </c>
      <c r="J40" s="2"/>
    </row>
    <row r="41" spans="1:10" x14ac:dyDescent="0.2">
      <c r="A41" s="123">
        <v>35</v>
      </c>
      <c r="B41" s="124" t="s">
        <v>461</v>
      </c>
      <c r="C41" s="124" t="s">
        <v>462</v>
      </c>
      <c r="D41" s="124" t="s">
        <v>74</v>
      </c>
      <c r="E41" s="125">
        <v>4314</v>
      </c>
      <c r="F41" s="126">
        <v>25.735167000000001</v>
      </c>
      <c r="G41" s="127">
        <v>6.3975600000000001E-3</v>
      </c>
      <c r="H41" s="122" t="s">
        <v>153</v>
      </c>
      <c r="J41" s="2"/>
    </row>
    <row r="42" spans="1:10" x14ac:dyDescent="0.2">
      <c r="A42" s="120"/>
      <c r="B42" s="120"/>
      <c r="C42" s="121" t="s">
        <v>152</v>
      </c>
      <c r="D42" s="120"/>
      <c r="E42" s="120" t="s">
        <v>153</v>
      </c>
      <c r="F42" s="128">
        <v>3971.7621559999998</v>
      </c>
      <c r="G42" s="129">
        <v>0.98734891999999996</v>
      </c>
      <c r="H42" s="122" t="s">
        <v>153</v>
      </c>
      <c r="J42" s="2"/>
    </row>
    <row r="43" spans="1:10" x14ac:dyDescent="0.2">
      <c r="A43" s="120"/>
      <c r="B43" s="120"/>
      <c r="C43" s="130"/>
      <c r="D43" s="120"/>
      <c r="E43" s="120"/>
      <c r="F43" s="131"/>
      <c r="G43" s="131"/>
      <c r="H43" s="122" t="s">
        <v>153</v>
      </c>
      <c r="J43" s="2"/>
    </row>
    <row r="44" spans="1:10" x14ac:dyDescent="0.2">
      <c r="A44" s="120"/>
      <c r="B44" s="120"/>
      <c r="C44" s="121" t="s">
        <v>154</v>
      </c>
      <c r="D44" s="120"/>
      <c r="E44" s="120"/>
      <c r="F44" s="120"/>
      <c r="G44" s="120"/>
      <c r="H44" s="122" t="s">
        <v>153</v>
      </c>
      <c r="J44" s="2"/>
    </row>
    <row r="45" spans="1:10" x14ac:dyDescent="0.2">
      <c r="A45" s="120"/>
      <c r="B45" s="120"/>
      <c r="C45" s="121" t="s">
        <v>152</v>
      </c>
      <c r="D45" s="120"/>
      <c r="E45" s="120" t="s">
        <v>153</v>
      </c>
      <c r="F45" s="132" t="s">
        <v>155</v>
      </c>
      <c r="G45" s="129">
        <v>0</v>
      </c>
      <c r="H45" s="122" t="s">
        <v>153</v>
      </c>
      <c r="J45" s="2"/>
    </row>
    <row r="46" spans="1:10" x14ac:dyDescent="0.2">
      <c r="A46" s="120"/>
      <c r="B46" s="120"/>
      <c r="C46" s="130"/>
      <c r="D46" s="120"/>
      <c r="E46" s="120"/>
      <c r="F46" s="131"/>
      <c r="G46" s="131"/>
      <c r="H46" s="122" t="s">
        <v>153</v>
      </c>
      <c r="J46" s="2"/>
    </row>
    <row r="47" spans="1:10" x14ac:dyDescent="0.2">
      <c r="A47" s="120"/>
      <c r="B47" s="120"/>
      <c r="C47" s="121" t="s">
        <v>156</v>
      </c>
      <c r="D47" s="120"/>
      <c r="E47" s="120"/>
      <c r="F47" s="120"/>
      <c r="G47" s="120"/>
      <c r="H47" s="122" t="s">
        <v>153</v>
      </c>
      <c r="J47" s="2"/>
    </row>
    <row r="48" spans="1:10" x14ac:dyDescent="0.2">
      <c r="A48" s="120"/>
      <c r="B48" s="120"/>
      <c r="C48" s="121" t="s">
        <v>152</v>
      </c>
      <c r="D48" s="120"/>
      <c r="E48" s="120" t="s">
        <v>153</v>
      </c>
      <c r="F48" s="132" t="s">
        <v>155</v>
      </c>
      <c r="G48" s="129">
        <v>0</v>
      </c>
      <c r="H48" s="122" t="s">
        <v>153</v>
      </c>
      <c r="J48" s="2"/>
    </row>
    <row r="49" spans="1:10" x14ac:dyDescent="0.2">
      <c r="A49" s="120"/>
      <c r="B49" s="120"/>
      <c r="C49" s="130"/>
      <c r="D49" s="120"/>
      <c r="E49" s="120"/>
      <c r="F49" s="131"/>
      <c r="G49" s="131"/>
      <c r="H49" s="122" t="s">
        <v>153</v>
      </c>
      <c r="J49" s="2"/>
    </row>
    <row r="50" spans="1:10" x14ac:dyDescent="0.2">
      <c r="A50" s="120"/>
      <c r="B50" s="120"/>
      <c r="C50" s="121" t="s">
        <v>157</v>
      </c>
      <c r="D50" s="120"/>
      <c r="E50" s="120"/>
      <c r="F50" s="120"/>
      <c r="G50" s="120"/>
      <c r="H50" s="122" t="s">
        <v>153</v>
      </c>
      <c r="J50" s="2"/>
    </row>
    <row r="51" spans="1:10" x14ac:dyDescent="0.2">
      <c r="A51" s="120"/>
      <c r="B51" s="120"/>
      <c r="C51" s="121" t="s">
        <v>152</v>
      </c>
      <c r="D51" s="120"/>
      <c r="E51" s="120" t="s">
        <v>153</v>
      </c>
      <c r="F51" s="132" t="s">
        <v>155</v>
      </c>
      <c r="G51" s="129">
        <v>0</v>
      </c>
      <c r="H51" s="122" t="s">
        <v>153</v>
      </c>
      <c r="J51" s="2"/>
    </row>
    <row r="52" spans="1:10" x14ac:dyDescent="0.2">
      <c r="A52" s="120"/>
      <c r="B52" s="120"/>
      <c r="C52" s="130"/>
      <c r="D52" s="120"/>
      <c r="E52" s="120"/>
      <c r="F52" s="131"/>
      <c r="G52" s="131"/>
      <c r="H52" s="122" t="s">
        <v>153</v>
      </c>
      <c r="J52" s="2"/>
    </row>
    <row r="53" spans="1:10" x14ac:dyDescent="0.2">
      <c r="A53" s="120"/>
      <c r="B53" s="120"/>
      <c r="C53" s="121" t="s">
        <v>158</v>
      </c>
      <c r="D53" s="120"/>
      <c r="E53" s="120"/>
      <c r="F53" s="131"/>
      <c r="G53" s="131"/>
      <c r="H53" s="122" t="s">
        <v>153</v>
      </c>
      <c r="J53" s="2"/>
    </row>
    <row r="54" spans="1:10" x14ac:dyDescent="0.2">
      <c r="A54" s="120"/>
      <c r="B54" s="120"/>
      <c r="C54" s="121" t="s">
        <v>152</v>
      </c>
      <c r="D54" s="120"/>
      <c r="E54" s="120" t="s">
        <v>153</v>
      </c>
      <c r="F54" s="132" t="s">
        <v>155</v>
      </c>
      <c r="G54" s="129">
        <v>0</v>
      </c>
      <c r="H54" s="122" t="s">
        <v>153</v>
      </c>
      <c r="J54" s="2"/>
    </row>
    <row r="55" spans="1:10" x14ac:dyDescent="0.2">
      <c r="A55" s="120"/>
      <c r="B55" s="120"/>
      <c r="C55" s="130"/>
      <c r="D55" s="120"/>
      <c r="E55" s="120"/>
      <c r="F55" s="131"/>
      <c r="G55" s="131"/>
      <c r="H55" s="122" t="s">
        <v>153</v>
      </c>
      <c r="J55" s="2"/>
    </row>
    <row r="56" spans="1:10" x14ac:dyDescent="0.2">
      <c r="A56" s="120"/>
      <c r="B56" s="120"/>
      <c r="C56" s="121" t="s">
        <v>159</v>
      </c>
      <c r="D56" s="120"/>
      <c r="E56" s="120"/>
      <c r="F56" s="131"/>
      <c r="G56" s="131"/>
      <c r="H56" s="122" t="s">
        <v>153</v>
      </c>
      <c r="J56" s="2"/>
    </row>
    <row r="57" spans="1:10" x14ac:dyDescent="0.2">
      <c r="A57" s="120"/>
      <c r="B57" s="120"/>
      <c r="C57" s="121" t="s">
        <v>152</v>
      </c>
      <c r="D57" s="120"/>
      <c r="E57" s="120" t="s">
        <v>153</v>
      </c>
      <c r="F57" s="132" t="s">
        <v>155</v>
      </c>
      <c r="G57" s="129">
        <v>0</v>
      </c>
      <c r="H57" s="122" t="s">
        <v>153</v>
      </c>
      <c r="J57" s="2"/>
    </row>
    <row r="58" spans="1:10" x14ac:dyDescent="0.2">
      <c r="A58" s="120"/>
      <c r="B58" s="120"/>
      <c r="C58" s="130"/>
      <c r="D58" s="120"/>
      <c r="E58" s="120"/>
      <c r="F58" s="131"/>
      <c r="G58" s="131"/>
      <c r="H58" s="122" t="s">
        <v>153</v>
      </c>
      <c r="J58" s="2"/>
    </row>
    <row r="59" spans="1:10" x14ac:dyDescent="0.2">
      <c r="A59" s="120"/>
      <c r="B59" s="120"/>
      <c r="C59" s="121" t="s">
        <v>160</v>
      </c>
      <c r="D59" s="120"/>
      <c r="E59" s="120"/>
      <c r="F59" s="128">
        <v>3971.7621559999998</v>
      </c>
      <c r="G59" s="129">
        <v>0.98734891999999996</v>
      </c>
      <c r="H59" s="122" t="s">
        <v>153</v>
      </c>
      <c r="J59" s="2"/>
    </row>
    <row r="60" spans="1:10" x14ac:dyDescent="0.2">
      <c r="A60" s="120"/>
      <c r="B60" s="120"/>
      <c r="C60" s="130"/>
      <c r="D60" s="120"/>
      <c r="E60" s="120"/>
      <c r="F60" s="131"/>
      <c r="G60" s="131"/>
      <c r="H60" s="122" t="s">
        <v>153</v>
      </c>
      <c r="J60" s="2"/>
    </row>
    <row r="61" spans="1:10" x14ac:dyDescent="0.2">
      <c r="A61" s="120"/>
      <c r="B61" s="120"/>
      <c r="C61" s="121" t="s">
        <v>161</v>
      </c>
      <c r="D61" s="120"/>
      <c r="E61" s="120"/>
      <c r="F61" s="131"/>
      <c r="G61" s="131"/>
      <c r="H61" s="122" t="s">
        <v>153</v>
      </c>
      <c r="J61" s="2"/>
    </row>
    <row r="62" spans="1:10" x14ac:dyDescent="0.2">
      <c r="A62" s="120"/>
      <c r="B62" s="120"/>
      <c r="C62" s="121" t="s">
        <v>10</v>
      </c>
      <c r="D62" s="120"/>
      <c r="E62" s="120"/>
      <c r="F62" s="131"/>
      <c r="G62" s="131"/>
      <c r="H62" s="122" t="s">
        <v>153</v>
      </c>
      <c r="J62" s="2"/>
    </row>
    <row r="63" spans="1:10" x14ac:dyDescent="0.2">
      <c r="A63" s="120"/>
      <c r="B63" s="120"/>
      <c r="C63" s="121" t="s">
        <v>152</v>
      </c>
      <c r="D63" s="120"/>
      <c r="E63" s="120" t="s">
        <v>153</v>
      </c>
      <c r="F63" s="132" t="s">
        <v>155</v>
      </c>
      <c r="G63" s="129">
        <v>0</v>
      </c>
      <c r="H63" s="122" t="s">
        <v>153</v>
      </c>
      <c r="J63" s="2"/>
    </row>
    <row r="64" spans="1:10" x14ac:dyDescent="0.2">
      <c r="A64" s="120"/>
      <c r="B64" s="120"/>
      <c r="C64" s="130"/>
      <c r="D64" s="120"/>
      <c r="E64" s="120"/>
      <c r="F64" s="131"/>
      <c r="G64" s="131"/>
      <c r="H64" s="122" t="s">
        <v>153</v>
      </c>
      <c r="J64" s="2"/>
    </row>
    <row r="65" spans="1:10" x14ac:dyDescent="0.2">
      <c r="A65" s="120"/>
      <c r="B65" s="120"/>
      <c r="C65" s="121" t="s">
        <v>162</v>
      </c>
      <c r="D65" s="120"/>
      <c r="E65" s="120"/>
      <c r="F65" s="120"/>
      <c r="G65" s="120"/>
      <c r="H65" s="122" t="s">
        <v>153</v>
      </c>
      <c r="J65" s="2"/>
    </row>
    <row r="66" spans="1:10" x14ac:dyDescent="0.2">
      <c r="A66" s="120"/>
      <c r="B66" s="120"/>
      <c r="C66" s="121" t="s">
        <v>152</v>
      </c>
      <c r="D66" s="120"/>
      <c r="E66" s="120" t="s">
        <v>153</v>
      </c>
      <c r="F66" s="132" t="s">
        <v>155</v>
      </c>
      <c r="G66" s="129">
        <v>0</v>
      </c>
      <c r="H66" s="122" t="s">
        <v>153</v>
      </c>
      <c r="J66" s="2"/>
    </row>
    <row r="67" spans="1:10" x14ac:dyDescent="0.2">
      <c r="A67" s="120"/>
      <c r="B67" s="120"/>
      <c r="C67" s="130"/>
      <c r="D67" s="120"/>
      <c r="E67" s="120"/>
      <c r="F67" s="131"/>
      <c r="G67" s="131"/>
      <c r="H67" s="122" t="s">
        <v>153</v>
      </c>
      <c r="J67" s="2"/>
    </row>
    <row r="68" spans="1:10" x14ac:dyDescent="0.2">
      <c r="A68" s="120"/>
      <c r="B68" s="120"/>
      <c r="C68" s="121" t="s">
        <v>163</v>
      </c>
      <c r="D68" s="120"/>
      <c r="E68" s="120"/>
      <c r="F68" s="120"/>
      <c r="G68" s="120"/>
      <c r="H68" s="122" t="s">
        <v>153</v>
      </c>
      <c r="J68" s="2"/>
    </row>
    <row r="69" spans="1:10" x14ac:dyDescent="0.2">
      <c r="A69" s="120"/>
      <c r="B69" s="120"/>
      <c r="C69" s="121" t="s">
        <v>152</v>
      </c>
      <c r="D69" s="120"/>
      <c r="E69" s="120" t="s">
        <v>153</v>
      </c>
      <c r="F69" s="132" t="s">
        <v>155</v>
      </c>
      <c r="G69" s="129">
        <v>0</v>
      </c>
      <c r="H69" s="122" t="s">
        <v>153</v>
      </c>
      <c r="J69" s="2"/>
    </row>
    <row r="70" spans="1:10" x14ac:dyDescent="0.2">
      <c r="A70" s="120"/>
      <c r="B70" s="120"/>
      <c r="C70" s="130"/>
      <c r="D70" s="120"/>
      <c r="E70" s="120"/>
      <c r="F70" s="131"/>
      <c r="G70" s="131"/>
      <c r="H70" s="122" t="s">
        <v>153</v>
      </c>
      <c r="J70" s="2"/>
    </row>
    <row r="71" spans="1:10" x14ac:dyDescent="0.2">
      <c r="A71" s="120"/>
      <c r="B71" s="120"/>
      <c r="C71" s="121" t="s">
        <v>164</v>
      </c>
      <c r="D71" s="120"/>
      <c r="E71" s="120"/>
      <c r="F71" s="131"/>
      <c r="G71" s="131"/>
      <c r="H71" s="122" t="s">
        <v>153</v>
      </c>
      <c r="J71" s="2"/>
    </row>
    <row r="72" spans="1:10" x14ac:dyDescent="0.2">
      <c r="A72" s="120"/>
      <c r="B72" s="120"/>
      <c r="C72" s="121" t="s">
        <v>152</v>
      </c>
      <c r="D72" s="120"/>
      <c r="E72" s="120" t="s">
        <v>153</v>
      </c>
      <c r="F72" s="132" t="s">
        <v>155</v>
      </c>
      <c r="G72" s="129">
        <v>0</v>
      </c>
      <c r="H72" s="122" t="s">
        <v>153</v>
      </c>
      <c r="J72" s="2"/>
    </row>
    <row r="73" spans="1:10" x14ac:dyDescent="0.2">
      <c r="A73" s="120"/>
      <c r="B73" s="120"/>
      <c r="C73" s="130"/>
      <c r="D73" s="120"/>
      <c r="E73" s="120"/>
      <c r="F73" s="131"/>
      <c r="G73" s="131"/>
      <c r="H73" s="122" t="s">
        <v>153</v>
      </c>
      <c r="J73" s="2"/>
    </row>
    <row r="74" spans="1:10" x14ac:dyDescent="0.2">
      <c r="A74" s="120"/>
      <c r="B74" s="120"/>
      <c r="C74" s="121" t="s">
        <v>165</v>
      </c>
      <c r="D74" s="120"/>
      <c r="E74" s="120"/>
      <c r="F74" s="128">
        <v>0</v>
      </c>
      <c r="G74" s="129">
        <v>0</v>
      </c>
      <c r="H74" s="122" t="s">
        <v>153</v>
      </c>
      <c r="J74" s="2"/>
    </row>
    <row r="75" spans="1:10" x14ac:dyDescent="0.2">
      <c r="A75" s="120"/>
      <c r="B75" s="120"/>
      <c r="C75" s="130"/>
      <c r="D75" s="120"/>
      <c r="E75" s="120"/>
      <c r="F75" s="131"/>
      <c r="G75" s="131"/>
      <c r="H75" s="122" t="s">
        <v>153</v>
      </c>
      <c r="J75" s="2"/>
    </row>
    <row r="76" spans="1:10" x14ac:dyDescent="0.2">
      <c r="A76" s="120"/>
      <c r="B76" s="120"/>
      <c r="C76" s="121" t="s">
        <v>166</v>
      </c>
      <c r="D76" s="120"/>
      <c r="E76" s="120"/>
      <c r="F76" s="131"/>
      <c r="G76" s="131"/>
      <c r="H76" s="122" t="s">
        <v>153</v>
      </c>
      <c r="J76" s="2"/>
    </row>
    <row r="77" spans="1:10" x14ac:dyDescent="0.2">
      <c r="A77" s="120"/>
      <c r="B77" s="120"/>
      <c r="C77" s="121" t="s">
        <v>167</v>
      </c>
      <c r="D77" s="120"/>
      <c r="E77" s="120"/>
      <c r="F77" s="131"/>
      <c r="G77" s="131"/>
      <c r="H77" s="122" t="s">
        <v>153</v>
      </c>
      <c r="J77" s="2"/>
    </row>
    <row r="78" spans="1:10" x14ac:dyDescent="0.2">
      <c r="A78" s="120"/>
      <c r="B78" s="120"/>
      <c r="C78" s="121" t="s">
        <v>152</v>
      </c>
      <c r="D78" s="120"/>
      <c r="E78" s="120" t="s">
        <v>153</v>
      </c>
      <c r="F78" s="132" t="s">
        <v>155</v>
      </c>
      <c r="G78" s="129">
        <v>0</v>
      </c>
      <c r="H78" s="122" t="s">
        <v>153</v>
      </c>
      <c r="J78" s="2"/>
    </row>
    <row r="79" spans="1:10" x14ac:dyDescent="0.2">
      <c r="A79" s="120"/>
      <c r="B79" s="120"/>
      <c r="C79" s="130"/>
      <c r="D79" s="120"/>
      <c r="E79" s="120"/>
      <c r="F79" s="131"/>
      <c r="G79" s="131"/>
      <c r="H79" s="122" t="s">
        <v>153</v>
      </c>
      <c r="J79" s="2"/>
    </row>
    <row r="80" spans="1:10" x14ac:dyDescent="0.2">
      <c r="A80" s="120"/>
      <c r="B80" s="120"/>
      <c r="C80" s="121" t="s">
        <v>168</v>
      </c>
      <c r="D80" s="120"/>
      <c r="E80" s="120"/>
      <c r="F80" s="131"/>
      <c r="G80" s="131"/>
      <c r="H80" s="122" t="s">
        <v>153</v>
      </c>
      <c r="J80" s="2"/>
    </row>
    <row r="81" spans="1:10" x14ac:dyDescent="0.2">
      <c r="A81" s="120"/>
      <c r="B81" s="120"/>
      <c r="C81" s="121" t="s">
        <v>152</v>
      </c>
      <c r="D81" s="120"/>
      <c r="E81" s="120" t="s">
        <v>153</v>
      </c>
      <c r="F81" s="132" t="s">
        <v>155</v>
      </c>
      <c r="G81" s="129">
        <v>0</v>
      </c>
      <c r="H81" s="122" t="s">
        <v>153</v>
      </c>
      <c r="J81" s="2"/>
    </row>
    <row r="82" spans="1:10" x14ac:dyDescent="0.2">
      <c r="A82" s="120"/>
      <c r="B82" s="120"/>
      <c r="C82" s="130"/>
      <c r="D82" s="120"/>
      <c r="E82" s="120"/>
      <c r="F82" s="131"/>
      <c r="G82" s="131"/>
      <c r="H82" s="122" t="s">
        <v>153</v>
      </c>
      <c r="J82" s="2"/>
    </row>
    <row r="83" spans="1:10" x14ac:dyDescent="0.2">
      <c r="A83" s="120"/>
      <c r="B83" s="120"/>
      <c r="C83" s="121" t="s">
        <v>169</v>
      </c>
      <c r="D83" s="120"/>
      <c r="E83" s="120"/>
      <c r="F83" s="131"/>
      <c r="G83" s="131"/>
      <c r="H83" s="122" t="s">
        <v>153</v>
      </c>
      <c r="J83" s="2"/>
    </row>
    <row r="84" spans="1:10" x14ac:dyDescent="0.2">
      <c r="A84" s="120"/>
      <c r="B84" s="120"/>
      <c r="C84" s="121" t="s">
        <v>152</v>
      </c>
      <c r="D84" s="120"/>
      <c r="E84" s="120" t="s">
        <v>153</v>
      </c>
      <c r="F84" s="132" t="s">
        <v>155</v>
      </c>
      <c r="G84" s="129">
        <v>0</v>
      </c>
      <c r="H84" s="122" t="s">
        <v>153</v>
      </c>
      <c r="J84" s="2"/>
    </row>
    <row r="85" spans="1:10" x14ac:dyDescent="0.2">
      <c r="A85" s="120"/>
      <c r="B85" s="120"/>
      <c r="C85" s="130"/>
      <c r="D85" s="120"/>
      <c r="E85" s="120"/>
      <c r="F85" s="131"/>
      <c r="G85" s="131"/>
      <c r="H85" s="122" t="s">
        <v>153</v>
      </c>
      <c r="J85" s="2"/>
    </row>
    <row r="86" spans="1:10" x14ac:dyDescent="0.2">
      <c r="A86" s="120"/>
      <c r="B86" s="120"/>
      <c r="C86" s="121" t="s">
        <v>170</v>
      </c>
      <c r="D86" s="120"/>
      <c r="E86" s="120"/>
      <c r="F86" s="131"/>
      <c r="G86" s="131"/>
      <c r="H86" s="122" t="s">
        <v>153</v>
      </c>
      <c r="J86" s="2"/>
    </row>
    <row r="87" spans="1:10" x14ac:dyDescent="0.2">
      <c r="A87" s="123">
        <v>1</v>
      </c>
      <c r="B87" s="124"/>
      <c r="C87" s="124" t="s">
        <v>171</v>
      </c>
      <c r="D87" s="124"/>
      <c r="E87" s="133"/>
      <c r="F87" s="126">
        <v>55.127825999999999</v>
      </c>
      <c r="G87" s="127">
        <v>1.3704350000000001E-2</v>
      </c>
      <c r="H87" s="122">
        <v>6.62</v>
      </c>
      <c r="J87" s="2"/>
    </row>
    <row r="88" spans="1:10" x14ac:dyDescent="0.2">
      <c r="A88" s="120"/>
      <c r="B88" s="120"/>
      <c r="C88" s="121" t="s">
        <v>152</v>
      </c>
      <c r="D88" s="120"/>
      <c r="E88" s="120" t="s">
        <v>153</v>
      </c>
      <c r="F88" s="128">
        <v>55.127825999999999</v>
      </c>
      <c r="G88" s="129">
        <v>1.3704350000000001E-2</v>
      </c>
      <c r="H88" s="122" t="s">
        <v>153</v>
      </c>
      <c r="J88" s="2"/>
    </row>
    <row r="89" spans="1:10" x14ac:dyDescent="0.2">
      <c r="A89" s="120"/>
      <c r="B89" s="120"/>
      <c r="C89" s="130"/>
      <c r="D89" s="120"/>
      <c r="E89" s="120"/>
      <c r="F89" s="131"/>
      <c r="G89" s="131"/>
      <c r="H89" s="122" t="s">
        <v>153</v>
      </c>
      <c r="J89" s="2"/>
    </row>
    <row r="90" spans="1:10" x14ac:dyDescent="0.2">
      <c r="A90" s="120"/>
      <c r="B90" s="120"/>
      <c r="C90" s="121" t="s">
        <v>172</v>
      </c>
      <c r="D90" s="120"/>
      <c r="E90" s="120"/>
      <c r="F90" s="128">
        <v>55.127825999999999</v>
      </c>
      <c r="G90" s="129">
        <v>1.3704350000000001E-2</v>
      </c>
      <c r="H90" s="122" t="s">
        <v>153</v>
      </c>
      <c r="J90" s="2"/>
    </row>
    <row r="91" spans="1:10" x14ac:dyDescent="0.2">
      <c r="A91" s="120"/>
      <c r="B91" s="120"/>
      <c r="C91" s="131"/>
      <c r="D91" s="120"/>
      <c r="E91" s="120"/>
      <c r="F91" s="120"/>
      <c r="G91" s="120"/>
      <c r="H91" s="122" t="s">
        <v>153</v>
      </c>
      <c r="J91" s="2"/>
    </row>
    <row r="92" spans="1:10" x14ac:dyDescent="0.2">
      <c r="A92" s="120"/>
      <c r="B92" s="120"/>
      <c r="C92" s="121" t="s">
        <v>173</v>
      </c>
      <c r="D92" s="120"/>
      <c r="E92" s="120"/>
      <c r="F92" s="120"/>
      <c r="G92" s="120"/>
      <c r="H92" s="122" t="s">
        <v>153</v>
      </c>
      <c r="J92" s="2"/>
    </row>
    <row r="93" spans="1:10" x14ac:dyDescent="0.2">
      <c r="A93" s="120"/>
      <c r="B93" s="120"/>
      <c r="C93" s="121" t="s">
        <v>174</v>
      </c>
      <c r="D93" s="120"/>
      <c r="E93" s="120"/>
      <c r="F93" s="120"/>
      <c r="G93" s="120"/>
      <c r="H93" s="122" t="s">
        <v>153</v>
      </c>
      <c r="J93" s="2"/>
    </row>
    <row r="94" spans="1:10" x14ac:dyDescent="0.2">
      <c r="A94" s="120"/>
      <c r="B94" s="120"/>
      <c r="C94" s="121" t="s">
        <v>152</v>
      </c>
      <c r="D94" s="120"/>
      <c r="E94" s="120" t="s">
        <v>153</v>
      </c>
      <c r="F94" s="132" t="s">
        <v>155</v>
      </c>
      <c r="G94" s="129">
        <v>0</v>
      </c>
      <c r="H94" s="122" t="s">
        <v>153</v>
      </c>
      <c r="J94" s="2"/>
    </row>
    <row r="95" spans="1:10" x14ac:dyDescent="0.2">
      <c r="A95" s="120"/>
      <c r="B95" s="120"/>
      <c r="C95" s="130"/>
      <c r="D95" s="120"/>
      <c r="E95" s="120"/>
      <c r="F95" s="131"/>
      <c r="G95" s="131"/>
      <c r="H95" s="122" t="s">
        <v>153</v>
      </c>
      <c r="J95" s="2"/>
    </row>
    <row r="96" spans="1:10" x14ac:dyDescent="0.2">
      <c r="A96" s="120"/>
      <c r="B96" s="120"/>
      <c r="C96" s="121" t="s">
        <v>175</v>
      </c>
      <c r="D96" s="120"/>
      <c r="E96" s="120"/>
      <c r="F96" s="120"/>
      <c r="G96" s="120"/>
      <c r="H96" s="122" t="s">
        <v>153</v>
      </c>
      <c r="J96" s="2"/>
    </row>
    <row r="97" spans="1:17" x14ac:dyDescent="0.2">
      <c r="A97" s="120"/>
      <c r="B97" s="120"/>
      <c r="C97" s="121" t="s">
        <v>176</v>
      </c>
      <c r="D97" s="120"/>
      <c r="E97" s="120"/>
      <c r="F97" s="120"/>
      <c r="G97" s="120"/>
      <c r="H97" s="122" t="s">
        <v>153</v>
      </c>
      <c r="J97" s="2"/>
    </row>
    <row r="98" spans="1:17" x14ac:dyDescent="0.2">
      <c r="A98" s="120"/>
      <c r="B98" s="120"/>
      <c r="C98" s="121" t="s">
        <v>152</v>
      </c>
      <c r="D98" s="120"/>
      <c r="E98" s="120" t="s">
        <v>153</v>
      </c>
      <c r="F98" s="132" t="s">
        <v>155</v>
      </c>
      <c r="G98" s="129">
        <v>0</v>
      </c>
      <c r="H98" s="122" t="s">
        <v>153</v>
      </c>
      <c r="J98" s="2"/>
    </row>
    <row r="99" spans="1:17" x14ac:dyDescent="0.2">
      <c r="A99" s="120"/>
      <c r="B99" s="120"/>
      <c r="C99" s="130"/>
      <c r="D99" s="120"/>
      <c r="E99" s="120"/>
      <c r="F99" s="131"/>
      <c r="G99" s="131"/>
      <c r="H99" s="122" t="s">
        <v>153</v>
      </c>
      <c r="J99" s="2"/>
    </row>
    <row r="100" spans="1:17" x14ac:dyDescent="0.2">
      <c r="A100" s="120"/>
      <c r="B100" s="120"/>
      <c r="C100" s="121" t="s">
        <v>177</v>
      </c>
      <c r="D100" s="120"/>
      <c r="E100" s="120"/>
      <c r="F100" s="131"/>
      <c r="G100" s="131"/>
      <c r="H100" s="122" t="s">
        <v>153</v>
      </c>
      <c r="J100" s="2"/>
    </row>
    <row r="101" spans="1:17" x14ac:dyDescent="0.2">
      <c r="A101" s="120"/>
      <c r="B101" s="120"/>
      <c r="C101" s="121" t="s">
        <v>152</v>
      </c>
      <c r="D101" s="120"/>
      <c r="E101" s="120" t="s">
        <v>153</v>
      </c>
      <c r="F101" s="132" t="s">
        <v>155</v>
      </c>
      <c r="G101" s="129">
        <v>0</v>
      </c>
      <c r="H101" s="122" t="s">
        <v>153</v>
      </c>
      <c r="J101" s="2"/>
    </row>
    <row r="102" spans="1:17" x14ac:dyDescent="0.2">
      <c r="A102" s="120"/>
      <c r="B102" s="120"/>
      <c r="C102" s="130"/>
      <c r="D102" s="120"/>
      <c r="E102" s="120"/>
      <c r="F102" s="131"/>
      <c r="G102" s="131"/>
      <c r="H102" s="122" t="s">
        <v>153</v>
      </c>
      <c r="J102" s="2"/>
    </row>
    <row r="103" spans="1:17" x14ac:dyDescent="0.2">
      <c r="A103" s="133"/>
      <c r="B103" s="124"/>
      <c r="C103" s="124" t="s">
        <v>178</v>
      </c>
      <c r="D103" s="124"/>
      <c r="E103" s="133"/>
      <c r="F103" s="126">
        <v>-4.2368623799999998</v>
      </c>
      <c r="G103" s="127">
        <v>-1.0532499999999999E-3</v>
      </c>
      <c r="H103" s="122" t="s">
        <v>153</v>
      </c>
      <c r="J103" s="2"/>
    </row>
    <row r="104" spans="1:17" x14ac:dyDescent="0.2">
      <c r="A104" s="130"/>
      <c r="B104" s="130"/>
      <c r="C104" s="121" t="s">
        <v>179</v>
      </c>
      <c r="D104" s="131"/>
      <c r="E104" s="131"/>
      <c r="F104" s="128">
        <v>4022.6531196199999</v>
      </c>
      <c r="G104" s="134">
        <v>1.0000000200000001</v>
      </c>
      <c r="H104" s="122" t="s">
        <v>153</v>
      </c>
      <c r="J104" s="2"/>
    </row>
    <row r="105" spans="1:17" x14ac:dyDescent="0.2">
      <c r="A105" s="135"/>
      <c r="B105" s="135"/>
      <c r="C105" s="135"/>
      <c r="D105" s="136"/>
      <c r="E105" s="136"/>
      <c r="F105" s="136"/>
      <c r="G105" s="136"/>
      <c r="J105" s="2"/>
    </row>
    <row r="106" spans="1:17" x14ac:dyDescent="0.2">
      <c r="A106" s="137"/>
      <c r="B106" s="226" t="s">
        <v>863</v>
      </c>
      <c r="C106" s="226"/>
      <c r="D106" s="226"/>
      <c r="E106" s="226"/>
      <c r="F106" s="226"/>
      <c r="G106" s="226"/>
      <c r="H106" s="226"/>
      <c r="J106" s="2"/>
    </row>
    <row r="107" spans="1:17" x14ac:dyDescent="0.2">
      <c r="A107" s="137"/>
      <c r="B107" s="226" t="s">
        <v>864</v>
      </c>
      <c r="C107" s="226"/>
      <c r="D107" s="226"/>
      <c r="E107" s="226"/>
      <c r="F107" s="226"/>
      <c r="G107" s="226"/>
      <c r="H107" s="226"/>
      <c r="J107" s="2"/>
    </row>
    <row r="108" spans="1:17" x14ac:dyDescent="0.2">
      <c r="A108" s="137"/>
      <c r="B108" s="226" t="s">
        <v>865</v>
      </c>
      <c r="C108" s="226"/>
      <c r="D108" s="226"/>
      <c r="E108" s="226"/>
      <c r="F108" s="226"/>
      <c r="G108" s="226"/>
      <c r="H108" s="226"/>
      <c r="J108" s="2"/>
    </row>
    <row r="109" spans="1:17" s="5" customFormat="1" ht="15" x14ac:dyDescent="0.25">
      <c r="A109" s="139"/>
      <c r="B109" s="227" t="s">
        <v>866</v>
      </c>
      <c r="C109" s="227"/>
      <c r="D109" s="227"/>
      <c r="E109" s="227"/>
      <c r="F109" s="227"/>
      <c r="G109" s="227"/>
      <c r="H109" s="227"/>
      <c r="I109"/>
      <c r="J109" s="2"/>
      <c r="K109"/>
      <c r="L109"/>
      <c r="M109"/>
      <c r="N109"/>
      <c r="O109"/>
      <c r="P109"/>
      <c r="Q109"/>
    </row>
    <row r="110" spans="1:17" x14ac:dyDescent="0.2">
      <c r="A110" s="137"/>
      <c r="B110" s="226" t="s">
        <v>867</v>
      </c>
      <c r="C110" s="226"/>
      <c r="D110" s="226"/>
      <c r="E110" s="226"/>
      <c r="F110" s="226"/>
      <c r="G110" s="226"/>
      <c r="H110" s="226"/>
      <c r="J110" s="2"/>
    </row>
    <row r="111" spans="1:17" x14ac:dyDescent="0.2">
      <c r="A111" s="140"/>
      <c r="B111" s="140"/>
      <c r="C111" s="140"/>
      <c r="D111" s="141"/>
      <c r="E111" s="141"/>
      <c r="F111" s="141"/>
      <c r="G111" s="141"/>
      <c r="J111" s="2"/>
    </row>
    <row r="112" spans="1:17" x14ac:dyDescent="0.2">
      <c r="A112" s="140"/>
      <c r="B112" s="228" t="s">
        <v>180</v>
      </c>
      <c r="C112" s="229"/>
      <c r="D112" s="230"/>
      <c r="E112" s="142"/>
      <c r="F112" s="141"/>
      <c r="G112" s="141"/>
      <c r="J112" s="2"/>
    </row>
    <row r="113" spans="1:10" x14ac:dyDescent="0.2">
      <c r="A113" s="140"/>
      <c r="B113" s="223" t="s">
        <v>181</v>
      </c>
      <c r="C113" s="224"/>
      <c r="D113" s="121" t="s">
        <v>182</v>
      </c>
      <c r="E113" s="142"/>
      <c r="F113" s="141"/>
      <c r="G113" s="141"/>
      <c r="J113" s="2"/>
    </row>
    <row r="114" spans="1:10" x14ac:dyDescent="0.2">
      <c r="A114" s="137"/>
      <c r="B114" s="221" t="s">
        <v>868</v>
      </c>
      <c r="C114" s="222"/>
      <c r="D114" s="143" t="s">
        <v>182</v>
      </c>
      <c r="E114" s="161"/>
      <c r="F114" s="162"/>
      <c r="G114" s="162"/>
      <c r="J114" s="2"/>
    </row>
    <row r="115" spans="1:10" x14ac:dyDescent="0.2">
      <c r="A115" s="140"/>
      <c r="B115" s="223" t="s">
        <v>184</v>
      </c>
      <c r="C115" s="224"/>
      <c r="D115" s="131" t="s">
        <v>153</v>
      </c>
      <c r="E115" s="142"/>
      <c r="F115" s="141"/>
      <c r="G115" s="141"/>
      <c r="J115" s="2"/>
    </row>
    <row r="116" spans="1:10" x14ac:dyDescent="0.2">
      <c r="A116" s="144"/>
      <c r="B116" s="145" t="s">
        <v>153</v>
      </c>
      <c r="C116" s="145" t="s">
        <v>870</v>
      </c>
      <c r="D116" s="145" t="s">
        <v>185</v>
      </c>
      <c r="E116" s="144"/>
      <c r="F116" s="144"/>
      <c r="G116" s="144"/>
      <c r="H116" s="144"/>
      <c r="J116" s="2"/>
    </row>
    <row r="117" spans="1:10" x14ac:dyDescent="0.2">
      <c r="A117" s="146"/>
      <c r="B117" s="147" t="s">
        <v>186</v>
      </c>
      <c r="C117" s="148">
        <v>45504</v>
      </c>
      <c r="D117" s="149">
        <v>45535</v>
      </c>
      <c r="E117" s="146"/>
      <c r="F117" s="146"/>
      <c r="G117" s="146"/>
      <c r="J117" s="2"/>
    </row>
    <row r="118" spans="1:10" x14ac:dyDescent="0.2">
      <c r="A118" s="146"/>
      <c r="B118" s="124" t="s">
        <v>187</v>
      </c>
      <c r="C118" s="150">
        <v>29.1754</v>
      </c>
      <c r="D118" s="150">
        <v>30.065799999999999</v>
      </c>
      <c r="E118" s="146"/>
      <c r="F118" s="151"/>
      <c r="G118" s="152"/>
      <c r="J118" s="2"/>
    </row>
    <row r="119" spans="1:10" x14ac:dyDescent="0.2">
      <c r="A119" s="146"/>
      <c r="B119" s="124" t="s">
        <v>926</v>
      </c>
      <c r="C119" s="150">
        <v>27.768999999999998</v>
      </c>
      <c r="D119" s="150">
        <v>28.616499999999998</v>
      </c>
      <c r="E119" s="146"/>
      <c r="F119" s="151"/>
      <c r="G119" s="152"/>
      <c r="J119" s="2"/>
    </row>
    <row r="120" spans="1:10" x14ac:dyDescent="0.2">
      <c r="A120" s="146"/>
      <c r="B120" s="124" t="s">
        <v>188</v>
      </c>
      <c r="C120" s="150">
        <v>28.563800000000001</v>
      </c>
      <c r="D120" s="150">
        <v>29.4328</v>
      </c>
      <c r="E120" s="146"/>
      <c r="F120" s="151"/>
      <c r="G120" s="152"/>
      <c r="J120" s="2"/>
    </row>
    <row r="121" spans="1:10" x14ac:dyDescent="0.2">
      <c r="A121" s="146"/>
      <c r="B121" s="124" t="s">
        <v>927</v>
      </c>
      <c r="C121" s="150">
        <v>27.158100000000001</v>
      </c>
      <c r="D121" s="150">
        <v>27.984400000000001</v>
      </c>
      <c r="E121" s="146"/>
      <c r="F121" s="151"/>
      <c r="G121" s="152"/>
      <c r="J121" s="2"/>
    </row>
    <row r="122" spans="1:10" x14ac:dyDescent="0.2">
      <c r="A122" s="146"/>
      <c r="B122" s="146"/>
      <c r="C122" s="146"/>
      <c r="D122" s="146"/>
      <c r="E122" s="146"/>
      <c r="F122" s="146"/>
      <c r="G122" s="146"/>
      <c r="J122" s="2"/>
    </row>
    <row r="123" spans="1:10" x14ac:dyDescent="0.2">
      <c r="A123" s="144"/>
      <c r="B123" s="221" t="s">
        <v>869</v>
      </c>
      <c r="C123" s="222"/>
      <c r="D123" s="143" t="s">
        <v>182</v>
      </c>
      <c r="E123" s="144"/>
      <c r="F123" s="144"/>
      <c r="G123" s="144"/>
      <c r="J123" s="2"/>
    </row>
    <row r="124" spans="1:10" x14ac:dyDescent="0.2">
      <c r="A124" s="144"/>
      <c r="B124" s="163"/>
      <c r="C124" s="163"/>
      <c r="D124" s="163"/>
      <c r="E124" s="144"/>
      <c r="F124" s="144"/>
      <c r="G124" s="144"/>
      <c r="J124" s="2"/>
    </row>
    <row r="125" spans="1:10" x14ac:dyDescent="0.2">
      <c r="A125" s="144"/>
      <c r="B125" s="221" t="s">
        <v>189</v>
      </c>
      <c r="C125" s="222"/>
      <c r="D125" s="143" t="s">
        <v>182</v>
      </c>
      <c r="E125" s="153"/>
      <c r="F125" s="144"/>
      <c r="G125" s="144"/>
      <c r="J125" s="2"/>
    </row>
    <row r="126" spans="1:10" x14ac:dyDescent="0.2">
      <c r="A126" s="144"/>
      <c r="B126" s="221" t="s">
        <v>190</v>
      </c>
      <c r="C126" s="222"/>
      <c r="D126" s="143" t="s">
        <v>182</v>
      </c>
      <c r="E126" s="153"/>
      <c r="F126" s="144"/>
      <c r="G126" s="144"/>
      <c r="J126" s="2"/>
    </row>
    <row r="127" spans="1:10" x14ac:dyDescent="0.2">
      <c r="A127" s="144"/>
      <c r="B127" s="221" t="s">
        <v>191</v>
      </c>
      <c r="C127" s="222"/>
      <c r="D127" s="143" t="s">
        <v>182</v>
      </c>
      <c r="E127" s="153"/>
      <c r="F127" s="144"/>
      <c r="G127" s="144"/>
      <c r="J127" s="2"/>
    </row>
    <row r="128" spans="1:10" x14ac:dyDescent="0.2">
      <c r="A128" s="144"/>
      <c r="B128" s="221" t="s">
        <v>192</v>
      </c>
      <c r="C128" s="222"/>
      <c r="D128" s="154">
        <v>0.31070737098303802</v>
      </c>
      <c r="E128" s="144"/>
      <c r="F128" s="138"/>
      <c r="G128" s="155"/>
      <c r="J128" s="2"/>
    </row>
    <row r="129" spans="10:10" x14ac:dyDescent="0.2">
      <c r="J129" s="2"/>
    </row>
    <row r="130" spans="10:10" x14ac:dyDescent="0.2">
      <c r="J130" s="2"/>
    </row>
    <row r="131" spans="10:10" x14ac:dyDescent="0.2">
      <c r="J131" s="2"/>
    </row>
    <row r="132" spans="10:10" x14ac:dyDescent="0.2">
      <c r="J132" s="2"/>
    </row>
    <row r="133" spans="10:10" x14ac:dyDescent="0.2">
      <c r="J133" s="2"/>
    </row>
    <row r="134" spans="10:10" x14ac:dyDescent="0.2">
      <c r="J134" s="2"/>
    </row>
  </sheetData>
  <mergeCells count="17">
    <mergeCell ref="B113:C113"/>
    <mergeCell ref="A1:H1"/>
    <mergeCell ref="A2:H2"/>
    <mergeCell ref="A3:H3"/>
    <mergeCell ref="B106:H106"/>
    <mergeCell ref="B107:H107"/>
    <mergeCell ref="B108:H108"/>
    <mergeCell ref="B109:H109"/>
    <mergeCell ref="B110:H110"/>
    <mergeCell ref="B112:D112"/>
    <mergeCell ref="B114:C114"/>
    <mergeCell ref="B115:C115"/>
    <mergeCell ref="B123:C123"/>
    <mergeCell ref="B127:C127"/>
    <mergeCell ref="B128:C128"/>
    <mergeCell ref="B125:C125"/>
    <mergeCell ref="B126:C126"/>
  </mergeCells>
  <hyperlinks>
    <hyperlink ref="I1" location="Index!B11" display="Index" xr:uid="{E9DFFE69-8A20-46AB-AB38-13790ADFE20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BE0D-83B4-4584-A847-9E3BBF123812}">
  <sheetPr>
    <outlinePr summaryBelow="0" summaryRight="0"/>
  </sheetPr>
  <dimension ref="A1:Q139"/>
  <sheetViews>
    <sheetView showGridLines="0" workbookViewId="0">
      <selection sqref="A1:H1"/>
    </sheetView>
  </sheetViews>
  <sheetFormatPr defaultRowHeight="12.75" x14ac:dyDescent="0.2"/>
  <cols>
    <col min="1" max="1" width="6.85546875" customWidth="1"/>
    <col min="2" max="2" width="20.5703125" customWidth="1"/>
    <col min="3" max="3" width="36.2851562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487</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ht="25.5" x14ac:dyDescent="0.2">
      <c r="A6" s="120"/>
      <c r="B6" s="120"/>
      <c r="C6" s="121" t="s">
        <v>10</v>
      </c>
      <c r="D6" s="120"/>
      <c r="E6" s="120"/>
      <c r="F6" s="120"/>
      <c r="G6" s="120"/>
      <c r="H6" s="122" t="s">
        <v>153</v>
      </c>
      <c r="J6" s="2"/>
    </row>
    <row r="7" spans="1:10" x14ac:dyDescent="0.2">
      <c r="A7" s="123">
        <v>1</v>
      </c>
      <c r="B7" s="124" t="s">
        <v>363</v>
      </c>
      <c r="C7" s="124" t="s">
        <v>364</v>
      </c>
      <c r="D7" s="124" t="s">
        <v>239</v>
      </c>
      <c r="E7" s="125">
        <v>3743</v>
      </c>
      <c r="F7" s="126">
        <v>193.99220399999999</v>
      </c>
      <c r="G7" s="127">
        <v>5.6086499999999997E-2</v>
      </c>
      <c r="H7" s="122" t="s">
        <v>153</v>
      </c>
      <c r="J7" s="2"/>
    </row>
    <row r="8" spans="1:10" x14ac:dyDescent="0.2">
      <c r="A8" s="123">
        <v>2</v>
      </c>
      <c r="B8" s="124" t="s">
        <v>409</v>
      </c>
      <c r="C8" s="124" t="s">
        <v>410</v>
      </c>
      <c r="D8" s="124" t="s">
        <v>45</v>
      </c>
      <c r="E8" s="125">
        <v>6658</v>
      </c>
      <c r="F8" s="126">
        <v>164.865396</v>
      </c>
      <c r="G8" s="127">
        <v>4.7665430000000002E-2</v>
      </c>
      <c r="H8" s="122" t="s">
        <v>153</v>
      </c>
      <c r="J8" s="2"/>
    </row>
    <row r="9" spans="1:10" x14ac:dyDescent="0.2">
      <c r="A9" s="123">
        <v>3</v>
      </c>
      <c r="B9" s="124" t="s">
        <v>69</v>
      </c>
      <c r="C9" s="124" t="s">
        <v>70</v>
      </c>
      <c r="D9" s="124" t="s">
        <v>71</v>
      </c>
      <c r="E9" s="125">
        <v>13587</v>
      </c>
      <c r="F9" s="126">
        <v>163.66220849999999</v>
      </c>
      <c r="G9" s="127">
        <v>4.7317570000000003E-2</v>
      </c>
      <c r="H9" s="122" t="s">
        <v>153</v>
      </c>
      <c r="J9" s="2"/>
    </row>
    <row r="10" spans="1:10" x14ac:dyDescent="0.2">
      <c r="A10" s="123">
        <v>4</v>
      </c>
      <c r="B10" s="124" t="s">
        <v>145</v>
      </c>
      <c r="C10" s="124" t="s">
        <v>146</v>
      </c>
      <c r="D10" s="124" t="s">
        <v>45</v>
      </c>
      <c r="E10" s="125">
        <v>39512</v>
      </c>
      <c r="F10" s="126">
        <v>156.230448</v>
      </c>
      <c r="G10" s="127">
        <v>4.5168920000000001E-2</v>
      </c>
      <c r="H10" s="122" t="s">
        <v>153</v>
      </c>
      <c r="J10" s="2"/>
    </row>
    <row r="11" spans="1:10" x14ac:dyDescent="0.2">
      <c r="A11" s="123">
        <v>5</v>
      </c>
      <c r="B11" s="124" t="s">
        <v>411</v>
      </c>
      <c r="C11" s="124" t="s">
        <v>412</v>
      </c>
      <c r="D11" s="124" t="s">
        <v>236</v>
      </c>
      <c r="E11" s="125">
        <v>8607</v>
      </c>
      <c r="F11" s="126">
        <v>143.53463550000001</v>
      </c>
      <c r="G11" s="127">
        <v>4.1498340000000002E-2</v>
      </c>
      <c r="H11" s="122" t="s">
        <v>153</v>
      </c>
      <c r="J11" s="2"/>
    </row>
    <row r="12" spans="1:10" ht="15" x14ac:dyDescent="0.2">
      <c r="A12" s="123">
        <v>6</v>
      </c>
      <c r="B12" s="124" t="s">
        <v>401</v>
      </c>
      <c r="C12" s="124" t="s">
        <v>402</v>
      </c>
      <c r="D12" s="124" t="s">
        <v>403</v>
      </c>
      <c r="E12" s="125">
        <v>8793</v>
      </c>
      <c r="F12" s="126">
        <v>143.466588</v>
      </c>
      <c r="G12" s="127">
        <v>4.1478670000000002E-2</v>
      </c>
      <c r="H12" s="122" t="s">
        <v>153</v>
      </c>
      <c r="J12" s="7"/>
    </row>
    <row r="13" spans="1:10" x14ac:dyDescent="0.2">
      <c r="A13" s="123">
        <v>7</v>
      </c>
      <c r="B13" s="124" t="s">
        <v>33</v>
      </c>
      <c r="C13" s="124" t="s">
        <v>34</v>
      </c>
      <c r="D13" s="124" t="s">
        <v>35</v>
      </c>
      <c r="E13" s="125">
        <v>15343</v>
      </c>
      <c r="F13" s="126">
        <v>142.459755</v>
      </c>
      <c r="G13" s="127">
        <v>4.118757E-2</v>
      </c>
      <c r="H13" s="122" t="s">
        <v>153</v>
      </c>
      <c r="J13" s="2"/>
    </row>
    <row r="14" spans="1:10" x14ac:dyDescent="0.2">
      <c r="A14" s="123">
        <v>8</v>
      </c>
      <c r="B14" s="124" t="s">
        <v>77</v>
      </c>
      <c r="C14" s="124" t="s">
        <v>78</v>
      </c>
      <c r="D14" s="124" t="s">
        <v>35</v>
      </c>
      <c r="E14" s="125">
        <v>2963</v>
      </c>
      <c r="F14" s="126">
        <v>136.58837399999999</v>
      </c>
      <c r="G14" s="127">
        <v>3.949006E-2</v>
      </c>
      <c r="H14" s="122" t="s">
        <v>153</v>
      </c>
      <c r="J14" s="2"/>
    </row>
    <row r="15" spans="1:10" x14ac:dyDescent="0.2">
      <c r="A15" s="123">
        <v>9</v>
      </c>
      <c r="B15" s="124" t="s">
        <v>413</v>
      </c>
      <c r="C15" s="124" t="s">
        <v>414</v>
      </c>
      <c r="D15" s="124" t="s">
        <v>216</v>
      </c>
      <c r="E15" s="125">
        <v>28701</v>
      </c>
      <c r="F15" s="126">
        <v>116.726967</v>
      </c>
      <c r="G15" s="127">
        <v>3.3747779999999998E-2</v>
      </c>
      <c r="H15" s="122" t="s">
        <v>153</v>
      </c>
      <c r="J15" s="2"/>
    </row>
    <row r="16" spans="1:10" x14ac:dyDescent="0.2">
      <c r="A16" s="123">
        <v>10</v>
      </c>
      <c r="B16" s="124" t="s">
        <v>415</v>
      </c>
      <c r="C16" s="124" t="s">
        <v>416</v>
      </c>
      <c r="D16" s="124" t="s">
        <v>48</v>
      </c>
      <c r="E16" s="125">
        <v>141618</v>
      </c>
      <c r="F16" s="126">
        <v>115.1495958</v>
      </c>
      <c r="G16" s="127">
        <v>3.329174E-2</v>
      </c>
      <c r="H16" s="122" t="s">
        <v>153</v>
      </c>
      <c r="J16" s="2" t="s">
        <v>925</v>
      </c>
    </row>
    <row r="17" spans="1:10" x14ac:dyDescent="0.2">
      <c r="A17" s="123">
        <v>11</v>
      </c>
      <c r="B17" s="124" t="s">
        <v>432</v>
      </c>
      <c r="C17" s="124" t="s">
        <v>433</v>
      </c>
      <c r="D17" s="124" t="s">
        <v>239</v>
      </c>
      <c r="E17" s="125">
        <v>4435</v>
      </c>
      <c r="F17" s="126">
        <v>114.7046225</v>
      </c>
      <c r="G17" s="127">
        <v>3.3163089999999999E-2</v>
      </c>
      <c r="H17" s="122" t="s">
        <v>153</v>
      </c>
      <c r="J17" s="2"/>
    </row>
    <row r="18" spans="1:10" x14ac:dyDescent="0.2">
      <c r="A18" s="123">
        <v>12</v>
      </c>
      <c r="B18" s="124" t="s">
        <v>417</v>
      </c>
      <c r="C18" s="124" t="s">
        <v>418</v>
      </c>
      <c r="D18" s="124" t="s">
        <v>48</v>
      </c>
      <c r="E18" s="125">
        <v>241296</v>
      </c>
      <c r="F18" s="126">
        <v>105.9530736</v>
      </c>
      <c r="G18" s="127">
        <v>3.0632860000000001E-2</v>
      </c>
      <c r="H18" s="122" t="s">
        <v>153</v>
      </c>
      <c r="J18" s="2"/>
    </row>
    <row r="19" spans="1:10" x14ac:dyDescent="0.2">
      <c r="A19" s="123">
        <v>13</v>
      </c>
      <c r="B19" s="124" t="s">
        <v>430</v>
      </c>
      <c r="C19" s="124" t="s">
        <v>431</v>
      </c>
      <c r="D19" s="124" t="s">
        <v>89</v>
      </c>
      <c r="E19" s="125">
        <v>12229</v>
      </c>
      <c r="F19" s="126">
        <v>105.60352949999999</v>
      </c>
      <c r="G19" s="127">
        <v>3.0531800000000001E-2</v>
      </c>
      <c r="H19" s="122" t="s">
        <v>153</v>
      </c>
      <c r="J19" s="2"/>
    </row>
    <row r="20" spans="1:10" x14ac:dyDescent="0.2">
      <c r="A20" s="123">
        <v>14</v>
      </c>
      <c r="B20" s="124" t="s">
        <v>441</v>
      </c>
      <c r="C20" s="124" t="s">
        <v>442</v>
      </c>
      <c r="D20" s="124" t="s">
        <v>211</v>
      </c>
      <c r="E20" s="125">
        <v>15429</v>
      </c>
      <c r="F20" s="126">
        <v>103.4591595</v>
      </c>
      <c r="G20" s="127">
        <v>2.991183E-2</v>
      </c>
      <c r="H20" s="122" t="s">
        <v>153</v>
      </c>
      <c r="J20" s="2"/>
    </row>
    <row r="21" spans="1:10" x14ac:dyDescent="0.2">
      <c r="A21" s="123">
        <v>15</v>
      </c>
      <c r="B21" s="124" t="s">
        <v>421</v>
      </c>
      <c r="C21" s="124" t="s">
        <v>422</v>
      </c>
      <c r="D21" s="124" t="s">
        <v>48</v>
      </c>
      <c r="E21" s="125">
        <v>31040</v>
      </c>
      <c r="F21" s="126">
        <v>100.46096</v>
      </c>
      <c r="G21" s="127">
        <v>2.9045000000000001E-2</v>
      </c>
      <c r="H21" s="122" t="s">
        <v>153</v>
      </c>
      <c r="J21" s="2"/>
    </row>
    <row r="22" spans="1:10" ht="15" x14ac:dyDescent="0.2">
      <c r="A22" s="123">
        <v>16</v>
      </c>
      <c r="B22" s="124" t="s">
        <v>419</v>
      </c>
      <c r="C22" s="124" t="s">
        <v>420</v>
      </c>
      <c r="D22" s="124" t="s">
        <v>211</v>
      </c>
      <c r="E22" s="125">
        <v>13180</v>
      </c>
      <c r="F22" s="126">
        <v>97.222269999999995</v>
      </c>
      <c r="G22" s="127">
        <v>2.8108640000000001E-2</v>
      </c>
      <c r="H22" s="122" t="s">
        <v>153</v>
      </c>
      <c r="J22" s="7"/>
    </row>
    <row r="23" spans="1:10" ht="25.5" x14ac:dyDescent="0.2">
      <c r="A23" s="123">
        <v>17</v>
      </c>
      <c r="B23" s="124" t="s">
        <v>324</v>
      </c>
      <c r="C23" s="124" t="s">
        <v>325</v>
      </c>
      <c r="D23" s="124" t="s">
        <v>250</v>
      </c>
      <c r="E23" s="125">
        <v>2841</v>
      </c>
      <c r="F23" s="126">
        <v>93.707543999999999</v>
      </c>
      <c r="G23" s="127">
        <v>2.709247E-2</v>
      </c>
      <c r="H23" s="122" t="s">
        <v>153</v>
      </c>
      <c r="J23" s="2"/>
    </row>
    <row r="24" spans="1:10" x14ac:dyDescent="0.2">
      <c r="A24" s="123">
        <v>18</v>
      </c>
      <c r="B24" s="124" t="s">
        <v>427</v>
      </c>
      <c r="C24" s="124" t="s">
        <v>428</v>
      </c>
      <c r="D24" s="124" t="s">
        <v>429</v>
      </c>
      <c r="E24" s="125">
        <v>5857</v>
      </c>
      <c r="F24" s="126">
        <v>88.707193500000002</v>
      </c>
      <c r="G24" s="127">
        <v>2.5646780000000001E-2</v>
      </c>
      <c r="H24" s="122" t="s">
        <v>153</v>
      </c>
      <c r="J24" s="2"/>
    </row>
    <row r="25" spans="1:10" ht="25.5" x14ac:dyDescent="0.2">
      <c r="A25" s="123">
        <v>19</v>
      </c>
      <c r="B25" s="124" t="s">
        <v>436</v>
      </c>
      <c r="C25" s="124" t="s">
        <v>437</v>
      </c>
      <c r="D25" s="124" t="s">
        <v>438</v>
      </c>
      <c r="E25" s="125">
        <v>21854</v>
      </c>
      <c r="F25" s="126">
        <v>88.497772999999995</v>
      </c>
      <c r="G25" s="127">
        <v>2.5586230000000001E-2</v>
      </c>
      <c r="H25" s="122" t="s">
        <v>153</v>
      </c>
      <c r="J25" s="2"/>
    </row>
    <row r="26" spans="1:10" x14ac:dyDescent="0.2">
      <c r="A26" s="123">
        <v>20</v>
      </c>
      <c r="B26" s="124" t="s">
        <v>223</v>
      </c>
      <c r="C26" s="124" t="s">
        <v>224</v>
      </c>
      <c r="D26" s="124" t="s">
        <v>89</v>
      </c>
      <c r="E26" s="125">
        <v>601</v>
      </c>
      <c r="F26" s="126">
        <v>83.833489999999998</v>
      </c>
      <c r="G26" s="127">
        <v>2.4237709999999999E-2</v>
      </c>
      <c r="H26" s="122" t="s">
        <v>153</v>
      </c>
      <c r="J26" s="2"/>
    </row>
    <row r="27" spans="1:10" ht="25.5" x14ac:dyDescent="0.2">
      <c r="A27" s="123">
        <v>21</v>
      </c>
      <c r="B27" s="124" t="s">
        <v>434</v>
      </c>
      <c r="C27" s="124" t="s">
        <v>435</v>
      </c>
      <c r="D27" s="124" t="s">
        <v>208</v>
      </c>
      <c r="E27" s="125">
        <v>1573</v>
      </c>
      <c r="F27" s="126">
        <v>82.074421000000001</v>
      </c>
      <c r="G27" s="127">
        <v>2.3729130000000001E-2</v>
      </c>
      <c r="H27" s="122" t="s">
        <v>153</v>
      </c>
      <c r="J27" s="2"/>
    </row>
    <row r="28" spans="1:10" x14ac:dyDescent="0.2">
      <c r="A28" s="123">
        <v>22</v>
      </c>
      <c r="B28" s="124" t="s">
        <v>62</v>
      </c>
      <c r="C28" s="124" t="s">
        <v>63</v>
      </c>
      <c r="D28" s="124" t="s">
        <v>13</v>
      </c>
      <c r="E28" s="125">
        <v>6049</v>
      </c>
      <c r="F28" s="126">
        <v>81.513299500000002</v>
      </c>
      <c r="G28" s="127">
        <v>2.3566899999999998E-2</v>
      </c>
      <c r="H28" s="122" t="s">
        <v>153</v>
      </c>
      <c r="J28" s="2"/>
    </row>
    <row r="29" spans="1:10" x14ac:dyDescent="0.2">
      <c r="A29" s="123">
        <v>23</v>
      </c>
      <c r="B29" s="124" t="s">
        <v>106</v>
      </c>
      <c r="C29" s="124" t="s">
        <v>107</v>
      </c>
      <c r="D29" s="124" t="s">
        <v>35</v>
      </c>
      <c r="E29" s="125">
        <v>3026</v>
      </c>
      <c r="F29" s="126">
        <v>73.849530000000001</v>
      </c>
      <c r="G29" s="127">
        <v>2.1351169999999999E-2</v>
      </c>
      <c r="H29" s="122" t="s">
        <v>153</v>
      </c>
      <c r="J29" s="2"/>
    </row>
    <row r="30" spans="1:10" x14ac:dyDescent="0.2">
      <c r="A30" s="123">
        <v>24</v>
      </c>
      <c r="B30" s="124" t="s">
        <v>39</v>
      </c>
      <c r="C30" s="124" t="s">
        <v>40</v>
      </c>
      <c r="D30" s="124" t="s">
        <v>35</v>
      </c>
      <c r="E30" s="125">
        <v>1222</v>
      </c>
      <c r="F30" s="126">
        <v>73.794135999999995</v>
      </c>
      <c r="G30" s="127">
        <v>2.1335159999999999E-2</v>
      </c>
      <c r="H30" s="122" t="s">
        <v>153</v>
      </c>
      <c r="J30" s="2"/>
    </row>
    <row r="31" spans="1:10" x14ac:dyDescent="0.2">
      <c r="A31" s="123">
        <v>25</v>
      </c>
      <c r="B31" s="124" t="s">
        <v>445</v>
      </c>
      <c r="C31" s="124" t="s">
        <v>446</v>
      </c>
      <c r="D31" s="124" t="s">
        <v>45</v>
      </c>
      <c r="E31" s="125">
        <v>9198</v>
      </c>
      <c r="F31" s="126">
        <v>72.365264999999994</v>
      </c>
      <c r="G31" s="127">
        <v>2.0922050000000001E-2</v>
      </c>
      <c r="H31" s="122" t="s">
        <v>153</v>
      </c>
      <c r="J31" s="2"/>
    </row>
    <row r="32" spans="1:10" x14ac:dyDescent="0.2">
      <c r="A32" s="123">
        <v>26</v>
      </c>
      <c r="B32" s="124" t="s">
        <v>439</v>
      </c>
      <c r="C32" s="124" t="s">
        <v>440</v>
      </c>
      <c r="D32" s="124" t="s">
        <v>35</v>
      </c>
      <c r="E32" s="125">
        <v>11627</v>
      </c>
      <c r="F32" s="126">
        <v>71.320018000000005</v>
      </c>
      <c r="G32" s="127">
        <v>2.0619849999999999E-2</v>
      </c>
      <c r="H32" s="122" t="s">
        <v>153</v>
      </c>
      <c r="J32" s="2"/>
    </row>
    <row r="33" spans="1:10" ht="25.5" x14ac:dyDescent="0.2">
      <c r="A33" s="123">
        <v>27</v>
      </c>
      <c r="B33" s="124" t="s">
        <v>295</v>
      </c>
      <c r="C33" s="124" t="s">
        <v>296</v>
      </c>
      <c r="D33" s="124" t="s">
        <v>208</v>
      </c>
      <c r="E33" s="125">
        <v>15078</v>
      </c>
      <c r="F33" s="126">
        <v>70.889217000000002</v>
      </c>
      <c r="G33" s="127">
        <v>2.0495300000000001E-2</v>
      </c>
      <c r="H33" s="122" t="s">
        <v>153</v>
      </c>
      <c r="J33" s="2"/>
    </row>
    <row r="34" spans="1:10" x14ac:dyDescent="0.2">
      <c r="A34" s="123">
        <v>28</v>
      </c>
      <c r="B34" s="124" t="s">
        <v>451</v>
      </c>
      <c r="C34" s="124" t="s">
        <v>452</v>
      </c>
      <c r="D34" s="124" t="s">
        <v>89</v>
      </c>
      <c r="E34" s="125">
        <v>6095</v>
      </c>
      <c r="F34" s="126">
        <v>70.275350000000003</v>
      </c>
      <c r="G34" s="127">
        <v>2.031782E-2</v>
      </c>
      <c r="H34" s="122" t="s">
        <v>153</v>
      </c>
      <c r="J34" s="2"/>
    </row>
    <row r="35" spans="1:10" x14ac:dyDescent="0.2">
      <c r="A35" s="123">
        <v>29</v>
      </c>
      <c r="B35" s="124" t="s">
        <v>443</v>
      </c>
      <c r="C35" s="124" t="s">
        <v>444</v>
      </c>
      <c r="D35" s="124" t="s">
        <v>236</v>
      </c>
      <c r="E35" s="125">
        <v>8090</v>
      </c>
      <c r="F35" s="126">
        <v>66.556430000000006</v>
      </c>
      <c r="G35" s="127">
        <v>1.924261E-2</v>
      </c>
      <c r="H35" s="122" t="s">
        <v>153</v>
      </c>
      <c r="J35" s="2"/>
    </row>
    <row r="36" spans="1:10" ht="25.5" x14ac:dyDescent="0.2">
      <c r="A36" s="123">
        <v>30</v>
      </c>
      <c r="B36" s="124" t="s">
        <v>79</v>
      </c>
      <c r="C36" s="124" t="s">
        <v>80</v>
      </c>
      <c r="D36" s="124" t="s">
        <v>25</v>
      </c>
      <c r="E36" s="125">
        <v>1255</v>
      </c>
      <c r="F36" s="126">
        <v>55.896445</v>
      </c>
      <c r="G36" s="127">
        <v>1.6160629999999999E-2</v>
      </c>
      <c r="H36" s="122" t="s">
        <v>153</v>
      </c>
      <c r="J36" s="2"/>
    </row>
    <row r="37" spans="1:10" x14ac:dyDescent="0.2">
      <c r="A37" s="123">
        <v>31</v>
      </c>
      <c r="B37" s="124" t="s">
        <v>256</v>
      </c>
      <c r="C37" s="124" t="s">
        <v>257</v>
      </c>
      <c r="D37" s="124" t="s">
        <v>89</v>
      </c>
      <c r="E37" s="125">
        <v>3287</v>
      </c>
      <c r="F37" s="126">
        <v>52.657739999999997</v>
      </c>
      <c r="G37" s="127">
        <v>1.522426E-2</v>
      </c>
      <c r="H37" s="122" t="s">
        <v>153</v>
      </c>
      <c r="J37" s="2"/>
    </row>
    <row r="38" spans="1:10" x14ac:dyDescent="0.2">
      <c r="A38" s="123">
        <v>32</v>
      </c>
      <c r="B38" s="124" t="s">
        <v>447</v>
      </c>
      <c r="C38" s="124" t="s">
        <v>448</v>
      </c>
      <c r="D38" s="124" t="s">
        <v>45</v>
      </c>
      <c r="E38" s="125">
        <v>4636</v>
      </c>
      <c r="F38" s="126">
        <v>44.716538</v>
      </c>
      <c r="G38" s="127">
        <v>1.292832E-2</v>
      </c>
      <c r="H38" s="122" t="s">
        <v>153</v>
      </c>
      <c r="J38" s="2"/>
    </row>
    <row r="39" spans="1:10" ht="25.5" x14ac:dyDescent="0.2">
      <c r="A39" s="123">
        <v>33</v>
      </c>
      <c r="B39" s="124" t="s">
        <v>484</v>
      </c>
      <c r="C39" s="124" t="s">
        <v>485</v>
      </c>
      <c r="D39" s="124" t="s">
        <v>45</v>
      </c>
      <c r="E39" s="125">
        <v>2262</v>
      </c>
      <c r="F39" s="126">
        <v>43.562727000000002</v>
      </c>
      <c r="G39" s="127">
        <v>1.259474E-2</v>
      </c>
      <c r="H39" s="122" t="s">
        <v>153</v>
      </c>
      <c r="J39" s="2"/>
    </row>
    <row r="40" spans="1:10" x14ac:dyDescent="0.2">
      <c r="A40" s="123">
        <v>34</v>
      </c>
      <c r="B40" s="124" t="s">
        <v>423</v>
      </c>
      <c r="C40" s="124" t="s">
        <v>424</v>
      </c>
      <c r="D40" s="124" t="s">
        <v>35</v>
      </c>
      <c r="E40" s="125">
        <v>2350</v>
      </c>
      <c r="F40" s="126">
        <v>30.877825000000001</v>
      </c>
      <c r="G40" s="127">
        <v>8.9273100000000008E-3</v>
      </c>
      <c r="H40" s="122" t="s">
        <v>153</v>
      </c>
      <c r="J40" s="2"/>
    </row>
    <row r="41" spans="1:10" x14ac:dyDescent="0.2">
      <c r="A41" s="123">
        <v>35</v>
      </c>
      <c r="B41" s="124" t="s">
        <v>383</v>
      </c>
      <c r="C41" s="124" t="s">
        <v>384</v>
      </c>
      <c r="D41" s="124" t="s">
        <v>136</v>
      </c>
      <c r="E41" s="125">
        <v>19513</v>
      </c>
      <c r="F41" s="126">
        <v>29.808058800000001</v>
      </c>
      <c r="G41" s="127">
        <v>8.6180200000000005E-3</v>
      </c>
      <c r="H41" s="122" t="s">
        <v>153</v>
      </c>
      <c r="J41" s="2"/>
    </row>
    <row r="42" spans="1:10" x14ac:dyDescent="0.2">
      <c r="A42" s="123">
        <v>36</v>
      </c>
      <c r="B42" s="124" t="s">
        <v>459</v>
      </c>
      <c r="C42" s="124" t="s">
        <v>460</v>
      </c>
      <c r="D42" s="124" t="s">
        <v>45</v>
      </c>
      <c r="E42" s="125">
        <v>6110</v>
      </c>
      <c r="F42" s="126">
        <v>29.147755</v>
      </c>
      <c r="G42" s="127">
        <v>8.4271199999999997E-3</v>
      </c>
      <c r="H42" s="122" t="s">
        <v>153</v>
      </c>
      <c r="J42" s="2"/>
    </row>
    <row r="43" spans="1:10" x14ac:dyDescent="0.2">
      <c r="A43" s="123">
        <v>37</v>
      </c>
      <c r="B43" s="124" t="s">
        <v>461</v>
      </c>
      <c r="C43" s="124" t="s">
        <v>462</v>
      </c>
      <c r="D43" s="124" t="s">
        <v>74</v>
      </c>
      <c r="E43" s="125">
        <v>4242</v>
      </c>
      <c r="F43" s="126">
        <v>25.305651000000001</v>
      </c>
      <c r="G43" s="127">
        <v>7.3163000000000004E-3</v>
      </c>
      <c r="H43" s="122" t="s">
        <v>153</v>
      </c>
      <c r="J43" s="2"/>
    </row>
    <row r="44" spans="1:10" x14ac:dyDescent="0.2">
      <c r="A44" s="120"/>
      <c r="B44" s="120"/>
      <c r="C44" s="121" t="s">
        <v>152</v>
      </c>
      <c r="D44" s="120"/>
      <c r="E44" s="120" t="s">
        <v>153</v>
      </c>
      <c r="F44" s="128">
        <v>3433.4361936999999</v>
      </c>
      <c r="G44" s="129">
        <v>0.99266567999999999</v>
      </c>
      <c r="H44" s="122" t="s">
        <v>153</v>
      </c>
      <c r="J44" s="2"/>
    </row>
    <row r="45" spans="1:10" x14ac:dyDescent="0.2">
      <c r="A45" s="120"/>
      <c r="B45" s="120"/>
      <c r="C45" s="130"/>
      <c r="D45" s="120"/>
      <c r="E45" s="120"/>
      <c r="F45" s="131"/>
      <c r="G45" s="131"/>
      <c r="H45" s="122" t="s">
        <v>153</v>
      </c>
      <c r="J45" s="2"/>
    </row>
    <row r="46" spans="1:10" x14ac:dyDescent="0.2">
      <c r="A46" s="120"/>
      <c r="B46" s="120"/>
      <c r="C46" s="121" t="s">
        <v>154</v>
      </c>
      <c r="D46" s="120"/>
      <c r="E46" s="120"/>
      <c r="F46" s="120"/>
      <c r="G46" s="120"/>
      <c r="H46" s="122" t="s">
        <v>153</v>
      </c>
      <c r="J46" s="2"/>
    </row>
    <row r="47" spans="1:10" x14ac:dyDescent="0.2">
      <c r="A47" s="120"/>
      <c r="B47" s="120"/>
      <c r="C47" s="121" t="s">
        <v>152</v>
      </c>
      <c r="D47" s="120"/>
      <c r="E47" s="120" t="s">
        <v>153</v>
      </c>
      <c r="F47" s="132" t="s">
        <v>155</v>
      </c>
      <c r="G47" s="129">
        <v>0</v>
      </c>
      <c r="H47" s="122" t="s">
        <v>153</v>
      </c>
      <c r="J47" s="2"/>
    </row>
    <row r="48" spans="1:10" x14ac:dyDescent="0.2">
      <c r="A48" s="120"/>
      <c r="B48" s="120"/>
      <c r="C48" s="130"/>
      <c r="D48" s="120"/>
      <c r="E48" s="120"/>
      <c r="F48" s="131"/>
      <c r="G48" s="131"/>
      <c r="H48" s="122" t="s">
        <v>153</v>
      </c>
      <c r="J48" s="2"/>
    </row>
    <row r="49" spans="1:10" x14ac:dyDescent="0.2">
      <c r="A49" s="120"/>
      <c r="B49" s="120"/>
      <c r="C49" s="121" t="s">
        <v>156</v>
      </c>
      <c r="D49" s="120"/>
      <c r="E49" s="120"/>
      <c r="F49" s="120"/>
      <c r="G49" s="120"/>
      <c r="H49" s="122" t="s">
        <v>153</v>
      </c>
      <c r="J49" s="2"/>
    </row>
    <row r="50" spans="1:10" x14ac:dyDescent="0.2">
      <c r="A50" s="120"/>
      <c r="B50" s="120"/>
      <c r="C50" s="121" t="s">
        <v>152</v>
      </c>
      <c r="D50" s="120"/>
      <c r="E50" s="120" t="s">
        <v>153</v>
      </c>
      <c r="F50" s="132" t="s">
        <v>155</v>
      </c>
      <c r="G50" s="129">
        <v>0</v>
      </c>
      <c r="H50" s="122" t="s">
        <v>153</v>
      </c>
      <c r="J50" s="2"/>
    </row>
    <row r="51" spans="1:10" x14ac:dyDescent="0.2">
      <c r="A51" s="120"/>
      <c r="B51" s="120"/>
      <c r="C51" s="130"/>
      <c r="D51" s="120"/>
      <c r="E51" s="120"/>
      <c r="F51" s="131"/>
      <c r="G51" s="131"/>
      <c r="H51" s="122" t="s">
        <v>153</v>
      </c>
      <c r="J51" s="2"/>
    </row>
    <row r="52" spans="1:10" x14ac:dyDescent="0.2">
      <c r="A52" s="120"/>
      <c r="B52" s="120"/>
      <c r="C52" s="121" t="s">
        <v>157</v>
      </c>
      <c r="D52" s="120"/>
      <c r="E52" s="120"/>
      <c r="F52" s="120"/>
      <c r="G52" s="120"/>
      <c r="H52" s="122" t="s">
        <v>153</v>
      </c>
      <c r="J52" s="2"/>
    </row>
    <row r="53" spans="1:10" x14ac:dyDescent="0.2">
      <c r="A53" s="120"/>
      <c r="B53" s="120"/>
      <c r="C53" s="121" t="s">
        <v>152</v>
      </c>
      <c r="D53" s="120"/>
      <c r="E53" s="120" t="s">
        <v>153</v>
      </c>
      <c r="F53" s="132" t="s">
        <v>155</v>
      </c>
      <c r="G53" s="129">
        <v>0</v>
      </c>
      <c r="H53" s="122" t="s">
        <v>153</v>
      </c>
      <c r="J53" s="2"/>
    </row>
    <row r="54" spans="1:10" x14ac:dyDescent="0.2">
      <c r="A54" s="120"/>
      <c r="B54" s="120"/>
      <c r="C54" s="130"/>
      <c r="D54" s="120"/>
      <c r="E54" s="120"/>
      <c r="F54" s="131"/>
      <c r="G54" s="131"/>
      <c r="H54" s="122" t="s">
        <v>153</v>
      </c>
      <c r="J54" s="2"/>
    </row>
    <row r="55" spans="1:10" x14ac:dyDescent="0.2">
      <c r="A55" s="120"/>
      <c r="B55" s="120"/>
      <c r="C55" s="121" t="s">
        <v>158</v>
      </c>
      <c r="D55" s="120"/>
      <c r="E55" s="120"/>
      <c r="F55" s="131"/>
      <c r="G55" s="131"/>
      <c r="H55" s="122" t="s">
        <v>153</v>
      </c>
      <c r="J55" s="2"/>
    </row>
    <row r="56" spans="1:10" x14ac:dyDescent="0.2">
      <c r="A56" s="120"/>
      <c r="B56" s="120"/>
      <c r="C56" s="121" t="s">
        <v>152</v>
      </c>
      <c r="D56" s="120"/>
      <c r="E56" s="120" t="s">
        <v>153</v>
      </c>
      <c r="F56" s="132" t="s">
        <v>155</v>
      </c>
      <c r="G56" s="129">
        <v>0</v>
      </c>
      <c r="H56" s="122" t="s">
        <v>153</v>
      </c>
      <c r="J56" s="2"/>
    </row>
    <row r="57" spans="1:10" x14ac:dyDescent="0.2">
      <c r="A57" s="120"/>
      <c r="B57" s="120"/>
      <c r="C57" s="130"/>
      <c r="D57" s="120"/>
      <c r="E57" s="120"/>
      <c r="F57" s="131"/>
      <c r="G57" s="131"/>
      <c r="H57" s="122" t="s">
        <v>153</v>
      </c>
      <c r="J57" s="2"/>
    </row>
    <row r="58" spans="1:10" x14ac:dyDescent="0.2">
      <c r="A58" s="120"/>
      <c r="B58" s="120"/>
      <c r="C58" s="121" t="s">
        <v>159</v>
      </c>
      <c r="D58" s="120"/>
      <c r="E58" s="120"/>
      <c r="F58" s="131"/>
      <c r="G58" s="131"/>
      <c r="H58" s="122" t="s">
        <v>153</v>
      </c>
      <c r="J58" s="2"/>
    </row>
    <row r="59" spans="1:10" x14ac:dyDescent="0.2">
      <c r="A59" s="120"/>
      <c r="B59" s="120"/>
      <c r="C59" s="121" t="s">
        <v>152</v>
      </c>
      <c r="D59" s="120"/>
      <c r="E59" s="120" t="s">
        <v>153</v>
      </c>
      <c r="F59" s="132" t="s">
        <v>155</v>
      </c>
      <c r="G59" s="129">
        <v>0</v>
      </c>
      <c r="H59" s="122" t="s">
        <v>153</v>
      </c>
      <c r="J59" s="2"/>
    </row>
    <row r="60" spans="1:10" x14ac:dyDescent="0.2">
      <c r="A60" s="120"/>
      <c r="B60" s="120"/>
      <c r="C60" s="130"/>
      <c r="D60" s="120"/>
      <c r="E60" s="120"/>
      <c r="F60" s="131"/>
      <c r="G60" s="131"/>
      <c r="H60" s="122" t="s">
        <v>153</v>
      </c>
      <c r="J60" s="2"/>
    </row>
    <row r="61" spans="1:10" x14ac:dyDescent="0.2">
      <c r="A61" s="120"/>
      <c r="B61" s="120"/>
      <c r="C61" s="121" t="s">
        <v>160</v>
      </c>
      <c r="D61" s="120"/>
      <c r="E61" s="120"/>
      <c r="F61" s="128">
        <v>3433.4361936999999</v>
      </c>
      <c r="G61" s="129">
        <v>0.99266567999999999</v>
      </c>
      <c r="H61" s="122" t="s">
        <v>153</v>
      </c>
      <c r="J61" s="2"/>
    </row>
    <row r="62" spans="1:10" x14ac:dyDescent="0.2">
      <c r="A62" s="120"/>
      <c r="B62" s="120"/>
      <c r="C62" s="130"/>
      <c r="D62" s="120"/>
      <c r="E62" s="120"/>
      <c r="F62" s="131"/>
      <c r="G62" s="131"/>
      <c r="H62" s="122" t="s">
        <v>153</v>
      </c>
      <c r="J62" s="2"/>
    </row>
    <row r="63" spans="1:10" x14ac:dyDescent="0.2">
      <c r="A63" s="120"/>
      <c r="B63" s="120"/>
      <c r="C63" s="121" t="s">
        <v>161</v>
      </c>
      <c r="D63" s="120"/>
      <c r="E63" s="120"/>
      <c r="F63" s="131"/>
      <c r="G63" s="131"/>
      <c r="H63" s="122" t="s">
        <v>153</v>
      </c>
      <c r="J63" s="2"/>
    </row>
    <row r="64" spans="1:10" ht="25.5" x14ac:dyDescent="0.2">
      <c r="A64" s="120"/>
      <c r="B64" s="120"/>
      <c r="C64" s="121" t="s">
        <v>10</v>
      </c>
      <c r="D64" s="120"/>
      <c r="E64" s="120"/>
      <c r="F64" s="131"/>
      <c r="G64" s="131"/>
      <c r="H64" s="122" t="s">
        <v>153</v>
      </c>
      <c r="J64" s="2"/>
    </row>
    <row r="65" spans="1:10" x14ac:dyDescent="0.2">
      <c r="A65" s="120"/>
      <c r="B65" s="120"/>
      <c r="C65" s="121" t="s">
        <v>152</v>
      </c>
      <c r="D65" s="120"/>
      <c r="E65" s="120" t="s">
        <v>153</v>
      </c>
      <c r="F65" s="132" t="s">
        <v>155</v>
      </c>
      <c r="G65" s="129">
        <v>0</v>
      </c>
      <c r="H65" s="122" t="s">
        <v>153</v>
      </c>
      <c r="J65" s="2"/>
    </row>
    <row r="66" spans="1:10" x14ac:dyDescent="0.2">
      <c r="A66" s="120"/>
      <c r="B66" s="120"/>
      <c r="C66" s="130"/>
      <c r="D66" s="120"/>
      <c r="E66" s="120"/>
      <c r="F66" s="131"/>
      <c r="G66" s="131"/>
      <c r="H66" s="122" t="s">
        <v>153</v>
      </c>
      <c r="J66" s="2"/>
    </row>
    <row r="67" spans="1:10" x14ac:dyDescent="0.2">
      <c r="A67" s="120"/>
      <c r="B67" s="120"/>
      <c r="C67" s="121" t="s">
        <v>162</v>
      </c>
      <c r="D67" s="120"/>
      <c r="E67" s="120"/>
      <c r="F67" s="120"/>
      <c r="G67" s="120"/>
      <c r="H67" s="122" t="s">
        <v>153</v>
      </c>
      <c r="J67" s="2"/>
    </row>
    <row r="68" spans="1:10" x14ac:dyDescent="0.2">
      <c r="A68" s="120"/>
      <c r="B68" s="120"/>
      <c r="C68" s="121" t="s">
        <v>152</v>
      </c>
      <c r="D68" s="120"/>
      <c r="E68" s="120" t="s">
        <v>153</v>
      </c>
      <c r="F68" s="132" t="s">
        <v>155</v>
      </c>
      <c r="G68" s="129">
        <v>0</v>
      </c>
      <c r="H68" s="122" t="s">
        <v>153</v>
      </c>
      <c r="J68" s="2"/>
    </row>
    <row r="69" spans="1:10" x14ac:dyDescent="0.2">
      <c r="A69" s="120"/>
      <c r="B69" s="120"/>
      <c r="C69" s="130"/>
      <c r="D69" s="120"/>
      <c r="E69" s="120"/>
      <c r="F69" s="131"/>
      <c r="G69" s="131"/>
      <c r="H69" s="122" t="s">
        <v>153</v>
      </c>
      <c r="J69" s="2"/>
    </row>
    <row r="70" spans="1:10" x14ac:dyDescent="0.2">
      <c r="A70" s="120"/>
      <c r="B70" s="120"/>
      <c r="C70" s="121" t="s">
        <v>163</v>
      </c>
      <c r="D70" s="120"/>
      <c r="E70" s="120"/>
      <c r="F70" s="120"/>
      <c r="G70" s="120"/>
      <c r="H70" s="122" t="s">
        <v>153</v>
      </c>
      <c r="J70" s="2"/>
    </row>
    <row r="71" spans="1:10" x14ac:dyDescent="0.2">
      <c r="A71" s="120"/>
      <c r="B71" s="120"/>
      <c r="C71" s="121" t="s">
        <v>152</v>
      </c>
      <c r="D71" s="120"/>
      <c r="E71" s="120" t="s">
        <v>153</v>
      </c>
      <c r="F71" s="132" t="s">
        <v>155</v>
      </c>
      <c r="G71" s="129">
        <v>0</v>
      </c>
      <c r="H71" s="122" t="s">
        <v>153</v>
      </c>
      <c r="J71" s="2"/>
    </row>
    <row r="72" spans="1:10" x14ac:dyDescent="0.2">
      <c r="A72" s="120"/>
      <c r="B72" s="120"/>
      <c r="C72" s="130"/>
      <c r="D72" s="120"/>
      <c r="E72" s="120"/>
      <c r="F72" s="131"/>
      <c r="G72" s="131"/>
      <c r="H72" s="122" t="s">
        <v>153</v>
      </c>
      <c r="J72" s="2"/>
    </row>
    <row r="73" spans="1:10" x14ac:dyDescent="0.2">
      <c r="A73" s="120"/>
      <c r="B73" s="120"/>
      <c r="C73" s="121" t="s">
        <v>164</v>
      </c>
      <c r="D73" s="120"/>
      <c r="E73" s="120"/>
      <c r="F73" s="131"/>
      <c r="G73" s="131"/>
      <c r="H73" s="122" t="s">
        <v>153</v>
      </c>
      <c r="J73" s="2"/>
    </row>
    <row r="74" spans="1:10" x14ac:dyDescent="0.2">
      <c r="A74" s="120"/>
      <c r="B74" s="120"/>
      <c r="C74" s="121" t="s">
        <v>152</v>
      </c>
      <c r="D74" s="120"/>
      <c r="E74" s="120" t="s">
        <v>153</v>
      </c>
      <c r="F74" s="132" t="s">
        <v>155</v>
      </c>
      <c r="G74" s="129">
        <v>0</v>
      </c>
      <c r="H74" s="122" t="s">
        <v>153</v>
      </c>
      <c r="J74" s="2"/>
    </row>
    <row r="75" spans="1:10" x14ac:dyDescent="0.2">
      <c r="A75" s="120"/>
      <c r="B75" s="120"/>
      <c r="C75" s="130"/>
      <c r="D75" s="120"/>
      <c r="E75" s="120"/>
      <c r="F75" s="131"/>
      <c r="G75" s="131"/>
      <c r="H75" s="122" t="s">
        <v>153</v>
      </c>
      <c r="J75" s="2"/>
    </row>
    <row r="76" spans="1:10" x14ac:dyDescent="0.2">
      <c r="A76" s="120"/>
      <c r="B76" s="120"/>
      <c r="C76" s="121" t="s">
        <v>165</v>
      </c>
      <c r="D76" s="120"/>
      <c r="E76" s="120"/>
      <c r="F76" s="128">
        <v>0</v>
      </c>
      <c r="G76" s="129">
        <v>0</v>
      </c>
      <c r="H76" s="122" t="s">
        <v>153</v>
      </c>
      <c r="J76" s="2"/>
    </row>
    <row r="77" spans="1:10" x14ac:dyDescent="0.2">
      <c r="A77" s="120"/>
      <c r="B77" s="120"/>
      <c r="C77" s="130"/>
      <c r="D77" s="120"/>
      <c r="E77" s="120"/>
      <c r="F77" s="131"/>
      <c r="G77" s="131"/>
      <c r="H77" s="122" t="s">
        <v>153</v>
      </c>
      <c r="J77" s="2"/>
    </row>
    <row r="78" spans="1:10" x14ac:dyDescent="0.2">
      <c r="A78" s="120"/>
      <c r="B78" s="120"/>
      <c r="C78" s="121" t="s">
        <v>166</v>
      </c>
      <c r="D78" s="120"/>
      <c r="E78" s="120"/>
      <c r="F78" s="131"/>
      <c r="G78" s="131"/>
      <c r="H78" s="122" t="s">
        <v>153</v>
      </c>
      <c r="J78" s="2"/>
    </row>
    <row r="79" spans="1:10" x14ac:dyDescent="0.2">
      <c r="A79" s="120"/>
      <c r="B79" s="120"/>
      <c r="C79" s="121" t="s">
        <v>167</v>
      </c>
      <c r="D79" s="120"/>
      <c r="E79" s="120"/>
      <c r="F79" s="131"/>
      <c r="G79" s="131"/>
      <c r="H79" s="122" t="s">
        <v>153</v>
      </c>
      <c r="J79" s="2"/>
    </row>
    <row r="80" spans="1:10" x14ac:dyDescent="0.2">
      <c r="A80" s="120"/>
      <c r="B80" s="120"/>
      <c r="C80" s="121" t="s">
        <v>152</v>
      </c>
      <c r="D80" s="120"/>
      <c r="E80" s="120" t="s">
        <v>153</v>
      </c>
      <c r="F80" s="132" t="s">
        <v>155</v>
      </c>
      <c r="G80" s="129">
        <v>0</v>
      </c>
      <c r="H80" s="122" t="s">
        <v>153</v>
      </c>
      <c r="J80" s="2"/>
    </row>
    <row r="81" spans="1:10" x14ac:dyDescent="0.2">
      <c r="A81" s="120"/>
      <c r="B81" s="120"/>
      <c r="C81" s="130"/>
      <c r="D81" s="120"/>
      <c r="E81" s="120"/>
      <c r="F81" s="131"/>
      <c r="G81" s="131"/>
      <c r="H81" s="122" t="s">
        <v>153</v>
      </c>
      <c r="J81" s="2"/>
    </row>
    <row r="82" spans="1:10" x14ac:dyDescent="0.2">
      <c r="A82" s="120"/>
      <c r="B82" s="120"/>
      <c r="C82" s="121" t="s">
        <v>168</v>
      </c>
      <c r="D82" s="120"/>
      <c r="E82" s="120"/>
      <c r="F82" s="131"/>
      <c r="G82" s="131"/>
      <c r="H82" s="122" t="s">
        <v>153</v>
      </c>
      <c r="J82" s="2"/>
    </row>
    <row r="83" spans="1:10" x14ac:dyDescent="0.2">
      <c r="A83" s="120"/>
      <c r="B83" s="120"/>
      <c r="C83" s="121" t="s">
        <v>152</v>
      </c>
      <c r="D83" s="120"/>
      <c r="E83" s="120" t="s">
        <v>153</v>
      </c>
      <c r="F83" s="132" t="s">
        <v>155</v>
      </c>
      <c r="G83" s="129">
        <v>0</v>
      </c>
      <c r="H83" s="122" t="s">
        <v>153</v>
      </c>
      <c r="J83" s="2"/>
    </row>
    <row r="84" spans="1:10" x14ac:dyDescent="0.2">
      <c r="A84" s="120"/>
      <c r="B84" s="120"/>
      <c r="C84" s="130"/>
      <c r="D84" s="120"/>
      <c r="E84" s="120"/>
      <c r="F84" s="131"/>
      <c r="G84" s="131"/>
      <c r="H84" s="122" t="s">
        <v>153</v>
      </c>
      <c r="J84" s="2"/>
    </row>
    <row r="85" spans="1:10" x14ac:dyDescent="0.2">
      <c r="A85" s="120"/>
      <c r="B85" s="120"/>
      <c r="C85" s="121" t="s">
        <v>169</v>
      </c>
      <c r="D85" s="120"/>
      <c r="E85" s="120"/>
      <c r="F85" s="131"/>
      <c r="G85" s="131"/>
      <c r="H85" s="122" t="s">
        <v>153</v>
      </c>
      <c r="J85" s="2"/>
    </row>
    <row r="86" spans="1:10" x14ac:dyDescent="0.2">
      <c r="A86" s="120"/>
      <c r="B86" s="120"/>
      <c r="C86" s="121" t="s">
        <v>152</v>
      </c>
      <c r="D86" s="120"/>
      <c r="E86" s="120" t="s">
        <v>153</v>
      </c>
      <c r="F86" s="132" t="s">
        <v>155</v>
      </c>
      <c r="G86" s="129">
        <v>0</v>
      </c>
      <c r="H86" s="122" t="s">
        <v>153</v>
      </c>
      <c r="J86" s="2"/>
    </row>
    <row r="87" spans="1:10" x14ac:dyDescent="0.2">
      <c r="A87" s="120"/>
      <c r="B87" s="120"/>
      <c r="C87" s="130"/>
      <c r="D87" s="120"/>
      <c r="E87" s="120"/>
      <c r="F87" s="131"/>
      <c r="G87" s="131"/>
      <c r="H87" s="122" t="s">
        <v>153</v>
      </c>
      <c r="J87" s="2"/>
    </row>
    <row r="88" spans="1:10" x14ac:dyDescent="0.2">
      <c r="A88" s="120"/>
      <c r="B88" s="120"/>
      <c r="C88" s="121" t="s">
        <v>170</v>
      </c>
      <c r="D88" s="120"/>
      <c r="E88" s="120"/>
      <c r="F88" s="131"/>
      <c r="G88" s="131"/>
      <c r="H88" s="122" t="s">
        <v>153</v>
      </c>
      <c r="J88" s="2"/>
    </row>
    <row r="89" spans="1:10" x14ac:dyDescent="0.2">
      <c r="A89" s="123">
        <v>1</v>
      </c>
      <c r="B89" s="124"/>
      <c r="C89" s="124" t="s">
        <v>171</v>
      </c>
      <c r="D89" s="124"/>
      <c r="E89" s="133"/>
      <c r="F89" s="126">
        <v>61.136699299999997</v>
      </c>
      <c r="G89" s="127">
        <v>1.7675679999999999E-2</v>
      </c>
      <c r="H89" s="122">
        <v>6.62</v>
      </c>
      <c r="J89" s="2"/>
    </row>
    <row r="90" spans="1:10" x14ac:dyDescent="0.2">
      <c r="A90" s="120"/>
      <c r="B90" s="120"/>
      <c r="C90" s="121" t="s">
        <v>152</v>
      </c>
      <c r="D90" s="120"/>
      <c r="E90" s="120" t="s">
        <v>153</v>
      </c>
      <c r="F90" s="128">
        <v>61.136699299999997</v>
      </c>
      <c r="G90" s="129">
        <v>1.7675679999999999E-2</v>
      </c>
      <c r="H90" s="122" t="s">
        <v>153</v>
      </c>
      <c r="J90" s="2"/>
    </row>
    <row r="91" spans="1:10" x14ac:dyDescent="0.2">
      <c r="A91" s="120"/>
      <c r="B91" s="120"/>
      <c r="C91" s="130"/>
      <c r="D91" s="120"/>
      <c r="E91" s="120"/>
      <c r="F91" s="131"/>
      <c r="G91" s="131"/>
      <c r="H91" s="122" t="s">
        <v>153</v>
      </c>
      <c r="J91" s="2"/>
    </row>
    <row r="92" spans="1:10" x14ac:dyDescent="0.2">
      <c r="A92" s="120"/>
      <c r="B92" s="120"/>
      <c r="C92" s="121" t="s">
        <v>172</v>
      </c>
      <c r="D92" s="120"/>
      <c r="E92" s="120"/>
      <c r="F92" s="128">
        <v>61.136699299999997</v>
      </c>
      <c r="G92" s="129">
        <v>1.7675679999999999E-2</v>
      </c>
      <c r="H92" s="122" t="s">
        <v>153</v>
      </c>
      <c r="J92" s="2"/>
    </row>
    <row r="93" spans="1:10" x14ac:dyDescent="0.2">
      <c r="A93" s="120"/>
      <c r="B93" s="120"/>
      <c r="C93" s="131"/>
      <c r="D93" s="120"/>
      <c r="E93" s="120"/>
      <c r="F93" s="120"/>
      <c r="G93" s="120"/>
      <c r="H93" s="122" t="s">
        <v>153</v>
      </c>
      <c r="J93" s="2"/>
    </row>
    <row r="94" spans="1:10" x14ac:dyDescent="0.2">
      <c r="A94" s="120"/>
      <c r="B94" s="120"/>
      <c r="C94" s="121" t="s">
        <v>173</v>
      </c>
      <c r="D94" s="120"/>
      <c r="E94" s="120"/>
      <c r="F94" s="120"/>
      <c r="G94" s="120"/>
      <c r="H94" s="122" t="s">
        <v>153</v>
      </c>
      <c r="J94" s="2"/>
    </row>
    <row r="95" spans="1:10" x14ac:dyDescent="0.2">
      <c r="A95" s="120"/>
      <c r="B95" s="120"/>
      <c r="C95" s="121" t="s">
        <v>174</v>
      </c>
      <c r="D95" s="120"/>
      <c r="E95" s="120"/>
      <c r="F95" s="120"/>
      <c r="G95" s="120"/>
      <c r="H95" s="122" t="s">
        <v>153</v>
      </c>
      <c r="J95" s="2"/>
    </row>
    <row r="96" spans="1:10" x14ac:dyDescent="0.2">
      <c r="A96" s="120"/>
      <c r="B96" s="120"/>
      <c r="C96" s="121" t="s">
        <v>152</v>
      </c>
      <c r="D96" s="120"/>
      <c r="E96" s="120" t="s">
        <v>153</v>
      </c>
      <c r="F96" s="132" t="s">
        <v>155</v>
      </c>
      <c r="G96" s="129">
        <v>0</v>
      </c>
      <c r="H96" s="122" t="s">
        <v>153</v>
      </c>
      <c r="J96" s="2"/>
    </row>
    <row r="97" spans="1:17" x14ac:dyDescent="0.2">
      <c r="A97" s="120"/>
      <c r="B97" s="120"/>
      <c r="C97" s="130"/>
      <c r="D97" s="120"/>
      <c r="E97" s="120"/>
      <c r="F97" s="131"/>
      <c r="G97" s="131"/>
      <c r="H97" s="122" t="s">
        <v>153</v>
      </c>
      <c r="J97" s="2"/>
    </row>
    <row r="98" spans="1:17" x14ac:dyDescent="0.2">
      <c r="A98" s="120"/>
      <c r="B98" s="120"/>
      <c r="C98" s="121" t="s">
        <v>175</v>
      </c>
      <c r="D98" s="120"/>
      <c r="E98" s="120"/>
      <c r="F98" s="120"/>
      <c r="G98" s="120"/>
      <c r="H98" s="122" t="s">
        <v>153</v>
      </c>
      <c r="J98" s="2"/>
    </row>
    <row r="99" spans="1:17" x14ac:dyDescent="0.2">
      <c r="A99" s="120"/>
      <c r="B99" s="120"/>
      <c r="C99" s="121" t="s">
        <v>176</v>
      </c>
      <c r="D99" s="120"/>
      <c r="E99" s="120"/>
      <c r="F99" s="120"/>
      <c r="G99" s="120"/>
      <c r="H99" s="122" t="s">
        <v>153</v>
      </c>
      <c r="J99" s="2"/>
    </row>
    <row r="100" spans="1:17" x14ac:dyDescent="0.2">
      <c r="A100" s="120"/>
      <c r="B100" s="120"/>
      <c r="C100" s="121" t="s">
        <v>152</v>
      </c>
      <c r="D100" s="120"/>
      <c r="E100" s="120" t="s">
        <v>153</v>
      </c>
      <c r="F100" s="132" t="s">
        <v>155</v>
      </c>
      <c r="G100" s="129">
        <v>0</v>
      </c>
      <c r="H100" s="122" t="s">
        <v>153</v>
      </c>
      <c r="J100" s="2"/>
    </row>
    <row r="101" spans="1:17" x14ac:dyDescent="0.2">
      <c r="A101" s="120"/>
      <c r="B101" s="120"/>
      <c r="C101" s="130"/>
      <c r="D101" s="120"/>
      <c r="E101" s="120"/>
      <c r="F101" s="131"/>
      <c r="G101" s="131"/>
      <c r="H101" s="122" t="s">
        <v>153</v>
      </c>
      <c r="J101" s="2"/>
    </row>
    <row r="102" spans="1:17" ht="25.5" x14ac:dyDescent="0.2">
      <c r="A102" s="120"/>
      <c r="B102" s="120"/>
      <c r="C102" s="121" t="s">
        <v>177</v>
      </c>
      <c r="D102" s="120"/>
      <c r="E102" s="120"/>
      <c r="F102" s="131"/>
      <c r="G102" s="131"/>
      <c r="H102" s="122" t="s">
        <v>153</v>
      </c>
      <c r="J102" s="2"/>
    </row>
    <row r="103" spans="1:17" x14ac:dyDescent="0.2">
      <c r="A103" s="120"/>
      <c r="B103" s="120"/>
      <c r="C103" s="121" t="s">
        <v>152</v>
      </c>
      <c r="D103" s="120"/>
      <c r="E103" s="120" t="s">
        <v>153</v>
      </c>
      <c r="F103" s="132" t="s">
        <v>155</v>
      </c>
      <c r="G103" s="129">
        <v>0</v>
      </c>
      <c r="H103" s="122" t="s">
        <v>153</v>
      </c>
      <c r="J103" s="2"/>
    </row>
    <row r="104" spans="1:17" x14ac:dyDescent="0.2">
      <c r="A104" s="120"/>
      <c r="B104" s="124"/>
      <c r="C104" s="124"/>
      <c r="D104" s="121"/>
      <c r="E104" s="120"/>
      <c r="F104" s="124"/>
      <c r="G104" s="133"/>
      <c r="H104" s="122" t="s">
        <v>153</v>
      </c>
      <c r="J104" s="2"/>
    </row>
    <row r="105" spans="1:17" x14ac:dyDescent="0.2">
      <c r="A105" s="133"/>
      <c r="B105" s="124"/>
      <c r="C105" s="124" t="s">
        <v>178</v>
      </c>
      <c r="D105" s="124"/>
      <c r="E105" s="133"/>
      <c r="F105" s="126">
        <v>-35.76867112</v>
      </c>
      <c r="G105" s="127">
        <v>-1.0341339999999999E-2</v>
      </c>
      <c r="H105" s="122" t="s">
        <v>153</v>
      </c>
      <c r="J105" s="2"/>
    </row>
    <row r="106" spans="1:17" x14ac:dyDescent="0.2">
      <c r="A106" s="130"/>
      <c r="B106" s="130"/>
      <c r="C106" s="121" t="s">
        <v>179</v>
      </c>
      <c r="D106" s="131"/>
      <c r="E106" s="131"/>
      <c r="F106" s="128">
        <v>3458.8042218800001</v>
      </c>
      <c r="G106" s="134">
        <v>1.0000000200000001</v>
      </c>
      <c r="H106" s="122" t="s">
        <v>153</v>
      </c>
      <c r="J106" s="2"/>
    </row>
    <row r="107" spans="1:17" x14ac:dyDescent="0.2">
      <c r="A107" s="135"/>
      <c r="B107" s="135"/>
      <c r="C107" s="135"/>
      <c r="D107" s="136"/>
      <c r="E107" s="136"/>
      <c r="F107" s="136"/>
      <c r="G107" s="136"/>
      <c r="J107" s="2"/>
    </row>
    <row r="108" spans="1:17" x14ac:dyDescent="0.2">
      <c r="A108" s="137"/>
      <c r="B108" s="226" t="s">
        <v>863</v>
      </c>
      <c r="C108" s="226"/>
      <c r="D108" s="226"/>
      <c r="E108" s="226"/>
      <c r="F108" s="226"/>
      <c r="G108" s="226"/>
      <c r="H108" s="226"/>
      <c r="J108" s="2"/>
    </row>
    <row r="109" spans="1:17" x14ac:dyDescent="0.2">
      <c r="A109" s="137"/>
      <c r="B109" s="226" t="s">
        <v>864</v>
      </c>
      <c r="C109" s="226"/>
      <c r="D109" s="226"/>
      <c r="E109" s="226"/>
      <c r="F109" s="226"/>
      <c r="G109" s="226"/>
      <c r="H109" s="226"/>
      <c r="J109" s="2"/>
    </row>
    <row r="110" spans="1:17" x14ac:dyDescent="0.2">
      <c r="A110" s="137"/>
      <c r="B110" s="226" t="s">
        <v>865</v>
      </c>
      <c r="C110" s="226"/>
      <c r="D110" s="226"/>
      <c r="E110" s="226"/>
      <c r="F110" s="226"/>
      <c r="G110" s="226"/>
      <c r="H110" s="226"/>
      <c r="J110" s="2"/>
    </row>
    <row r="111" spans="1:17" s="5" customFormat="1" ht="15" x14ac:dyDescent="0.25">
      <c r="A111" s="139"/>
      <c r="B111" s="227" t="s">
        <v>866</v>
      </c>
      <c r="C111" s="227"/>
      <c r="D111" s="227"/>
      <c r="E111" s="227"/>
      <c r="F111" s="227"/>
      <c r="G111" s="227"/>
      <c r="H111" s="227"/>
      <c r="I111"/>
      <c r="J111" s="2"/>
      <c r="K111"/>
      <c r="L111"/>
      <c r="M111"/>
      <c r="N111"/>
      <c r="O111"/>
      <c r="P111"/>
      <c r="Q111"/>
    </row>
    <row r="112" spans="1:17" x14ac:dyDescent="0.2">
      <c r="A112" s="137"/>
      <c r="B112" s="226" t="s">
        <v>867</v>
      </c>
      <c r="C112" s="226"/>
      <c r="D112" s="226"/>
      <c r="E112" s="226"/>
      <c r="F112" s="226"/>
      <c r="G112" s="226"/>
      <c r="H112" s="226"/>
      <c r="J112" s="2"/>
    </row>
    <row r="113" spans="1:10" x14ac:dyDescent="0.2">
      <c r="A113" s="140"/>
      <c r="B113" s="140"/>
      <c r="C113" s="140"/>
      <c r="D113" s="141"/>
      <c r="E113" s="141"/>
      <c r="F113" s="141"/>
      <c r="G113" s="141"/>
      <c r="J113" s="2"/>
    </row>
    <row r="114" spans="1:10" x14ac:dyDescent="0.2">
      <c r="A114" s="140"/>
      <c r="B114" s="228" t="s">
        <v>180</v>
      </c>
      <c r="C114" s="229"/>
      <c r="D114" s="230"/>
      <c r="E114" s="142"/>
      <c r="F114" s="141"/>
      <c r="G114" s="141"/>
      <c r="J114" s="2"/>
    </row>
    <row r="115" spans="1:10" x14ac:dyDescent="0.2">
      <c r="A115" s="140"/>
      <c r="B115" s="223" t="s">
        <v>181</v>
      </c>
      <c r="C115" s="224"/>
      <c r="D115" s="121" t="s">
        <v>182</v>
      </c>
      <c r="E115" s="142"/>
      <c r="F115" s="141"/>
      <c r="G115" s="141"/>
      <c r="J115" s="2"/>
    </row>
    <row r="116" spans="1:10" ht="12.75" customHeight="1" x14ac:dyDescent="0.2">
      <c r="A116" s="137"/>
      <c r="B116" s="221" t="s">
        <v>868</v>
      </c>
      <c r="C116" s="222"/>
      <c r="D116" s="143" t="s">
        <v>182</v>
      </c>
      <c r="E116" s="161"/>
      <c r="F116" s="162"/>
      <c r="G116" s="162"/>
      <c r="J116" s="2"/>
    </row>
    <row r="117" spans="1:10" x14ac:dyDescent="0.2">
      <c r="A117" s="140"/>
      <c r="B117" s="223" t="s">
        <v>184</v>
      </c>
      <c r="C117" s="224"/>
      <c r="D117" s="131" t="s">
        <v>153</v>
      </c>
      <c r="E117" s="142"/>
      <c r="F117" s="141"/>
      <c r="G117" s="141"/>
      <c r="J117" s="2"/>
    </row>
    <row r="118" spans="1:10" x14ac:dyDescent="0.2">
      <c r="A118" s="144"/>
      <c r="B118" s="145" t="s">
        <v>153</v>
      </c>
      <c r="C118" s="145" t="s">
        <v>870</v>
      </c>
      <c r="D118" s="145" t="s">
        <v>185</v>
      </c>
      <c r="E118" s="144"/>
      <c r="F118" s="144"/>
      <c r="G118" s="144"/>
      <c r="H118" s="144"/>
      <c r="J118" s="2"/>
    </row>
    <row r="119" spans="1:10" x14ac:dyDescent="0.2">
      <c r="A119" s="146"/>
      <c r="B119" s="147" t="s">
        <v>186</v>
      </c>
      <c r="C119" s="148">
        <v>45504</v>
      </c>
      <c r="D119" s="149">
        <v>45535</v>
      </c>
      <c r="E119" s="146"/>
      <c r="F119" s="146"/>
      <c r="G119" s="146"/>
      <c r="J119" s="2"/>
    </row>
    <row r="120" spans="1:10" x14ac:dyDescent="0.2">
      <c r="A120" s="146"/>
      <c r="B120" s="124" t="s">
        <v>187</v>
      </c>
      <c r="C120" s="150">
        <v>28.313199999999998</v>
      </c>
      <c r="D120" s="150">
        <v>29.122499999999999</v>
      </c>
      <c r="E120" s="146"/>
      <c r="F120" s="151"/>
      <c r="G120" s="152"/>
      <c r="J120" s="2"/>
    </row>
    <row r="121" spans="1:10" x14ac:dyDescent="0.2">
      <c r="A121" s="146"/>
      <c r="B121" s="124" t="s">
        <v>926</v>
      </c>
      <c r="C121" s="150">
        <v>26.9556</v>
      </c>
      <c r="D121" s="150">
        <v>27.726099999999999</v>
      </c>
      <c r="E121" s="146"/>
      <c r="F121" s="151"/>
      <c r="G121" s="152"/>
      <c r="J121" s="2"/>
    </row>
    <row r="122" spans="1:10" x14ac:dyDescent="0.2">
      <c r="A122" s="146"/>
      <c r="B122" s="124" t="s">
        <v>188</v>
      </c>
      <c r="C122" s="150">
        <v>27.587299999999999</v>
      </c>
      <c r="D122" s="150">
        <v>28.3706</v>
      </c>
      <c r="E122" s="146"/>
      <c r="F122" s="151"/>
      <c r="G122" s="152"/>
      <c r="J122" s="2"/>
    </row>
    <row r="123" spans="1:10" x14ac:dyDescent="0.2">
      <c r="A123" s="146"/>
      <c r="B123" s="124" t="s">
        <v>927</v>
      </c>
      <c r="C123" s="150">
        <v>26.2317</v>
      </c>
      <c r="D123" s="150">
        <v>26.976500000000001</v>
      </c>
      <c r="E123" s="146"/>
      <c r="F123" s="151"/>
      <c r="G123" s="152"/>
      <c r="J123" s="2"/>
    </row>
    <row r="124" spans="1:10" x14ac:dyDescent="0.2">
      <c r="A124" s="146"/>
      <c r="B124" s="146"/>
      <c r="C124" s="146"/>
      <c r="D124" s="146"/>
      <c r="E124" s="146"/>
      <c r="F124" s="146"/>
      <c r="G124" s="146"/>
      <c r="J124" s="2"/>
    </row>
    <row r="125" spans="1:10" x14ac:dyDescent="0.2">
      <c r="A125" s="144"/>
      <c r="B125" s="221" t="s">
        <v>869</v>
      </c>
      <c r="C125" s="222"/>
      <c r="D125" s="143" t="s">
        <v>182</v>
      </c>
      <c r="E125" s="144"/>
      <c r="F125" s="144"/>
      <c r="G125" s="144"/>
      <c r="J125" s="2"/>
    </row>
    <row r="126" spans="1:10" x14ac:dyDescent="0.2">
      <c r="A126" s="144"/>
      <c r="B126" s="163"/>
      <c r="C126" s="163"/>
      <c r="D126" s="163"/>
      <c r="E126" s="144"/>
      <c r="F126" s="144"/>
      <c r="G126" s="144"/>
      <c r="J126" s="2"/>
    </row>
    <row r="127" spans="1:10" x14ac:dyDescent="0.2">
      <c r="A127" s="144"/>
      <c r="B127" s="221" t="s">
        <v>189</v>
      </c>
      <c r="C127" s="222"/>
      <c r="D127" s="143" t="s">
        <v>182</v>
      </c>
      <c r="E127" s="153"/>
      <c r="F127" s="144"/>
      <c r="G127" s="144"/>
      <c r="J127" s="2"/>
    </row>
    <row r="128" spans="1:10" x14ac:dyDescent="0.2">
      <c r="A128" s="144"/>
      <c r="B128" s="221" t="s">
        <v>190</v>
      </c>
      <c r="C128" s="222"/>
      <c r="D128" s="143" t="s">
        <v>182</v>
      </c>
      <c r="E128" s="153"/>
      <c r="F128" s="144"/>
      <c r="G128" s="144"/>
      <c r="J128" s="2"/>
    </row>
    <row r="129" spans="1:10" x14ac:dyDescent="0.2">
      <c r="A129" s="144"/>
      <c r="B129" s="221" t="s">
        <v>191</v>
      </c>
      <c r="C129" s="222"/>
      <c r="D129" s="143" t="s">
        <v>182</v>
      </c>
      <c r="E129" s="153"/>
      <c r="F129" s="144"/>
      <c r="G129" s="144"/>
      <c r="J129" s="2"/>
    </row>
    <row r="130" spans="1:10" x14ac:dyDescent="0.2">
      <c r="A130" s="144"/>
      <c r="B130" s="221" t="s">
        <v>192</v>
      </c>
      <c r="C130" s="222"/>
      <c r="D130" s="154">
        <v>0.30686330945235096</v>
      </c>
      <c r="E130" s="144"/>
      <c r="F130" s="138"/>
      <c r="G130" s="155"/>
      <c r="J130" s="2"/>
    </row>
    <row r="131" spans="1:10" x14ac:dyDescent="0.2">
      <c r="J131" s="2"/>
    </row>
    <row r="132" spans="1:10" x14ac:dyDescent="0.2">
      <c r="J132" s="2"/>
    </row>
    <row r="133" spans="1:10" x14ac:dyDescent="0.2">
      <c r="J133" s="2"/>
    </row>
    <row r="134" spans="1:10" x14ac:dyDescent="0.2">
      <c r="J134" s="2"/>
    </row>
    <row r="135" spans="1:10" x14ac:dyDescent="0.2">
      <c r="J135" s="2"/>
    </row>
    <row r="136" spans="1:10" x14ac:dyDescent="0.2">
      <c r="J136" s="2"/>
    </row>
    <row r="139" spans="1:10" x14ac:dyDescent="0.2">
      <c r="J139" s="2"/>
    </row>
  </sheetData>
  <mergeCells count="17">
    <mergeCell ref="B115:C115"/>
    <mergeCell ref="A1:H1"/>
    <mergeCell ref="A2:H2"/>
    <mergeCell ref="A3:H3"/>
    <mergeCell ref="B108:H108"/>
    <mergeCell ref="B109:H109"/>
    <mergeCell ref="B110:H110"/>
    <mergeCell ref="B111:H111"/>
    <mergeCell ref="B112:H112"/>
    <mergeCell ref="B114:D114"/>
    <mergeCell ref="B116:C116"/>
    <mergeCell ref="B117:C117"/>
    <mergeCell ref="B125:C125"/>
    <mergeCell ref="B129:C129"/>
    <mergeCell ref="B130:C130"/>
    <mergeCell ref="B127:C127"/>
    <mergeCell ref="B128:C128"/>
  </mergeCells>
  <hyperlinks>
    <hyperlink ref="I1" location="Index!B12" display="Index" xr:uid="{21C40FF2-B307-4213-8785-D0056026665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1D128-B430-4099-8DE2-5895B2BFB733}">
  <sheetPr>
    <outlinePr summaryBelow="0" summaryRight="0"/>
  </sheetPr>
  <dimension ref="A1:Q129"/>
  <sheetViews>
    <sheetView showGridLines="0" workbookViewId="0">
      <selection sqref="A1:H1"/>
    </sheetView>
  </sheetViews>
  <sheetFormatPr defaultRowHeight="12.75" x14ac:dyDescent="0.2"/>
  <cols>
    <col min="1" max="1" width="6.85546875" customWidth="1"/>
    <col min="2" max="2" width="20.5703125" customWidth="1"/>
    <col min="3" max="3" width="37.8554687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488</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x14ac:dyDescent="0.2">
      <c r="A6" s="120"/>
      <c r="B6" s="120"/>
      <c r="C6" s="121" t="s">
        <v>10</v>
      </c>
      <c r="D6" s="120"/>
      <c r="E6" s="120"/>
      <c r="F6" s="120"/>
      <c r="G6" s="120"/>
      <c r="H6" s="122" t="s">
        <v>153</v>
      </c>
      <c r="J6" s="2"/>
    </row>
    <row r="7" spans="1:10" x14ac:dyDescent="0.2">
      <c r="A7" s="123">
        <v>1</v>
      </c>
      <c r="B7" s="124" t="s">
        <v>409</v>
      </c>
      <c r="C7" s="124" t="s">
        <v>410</v>
      </c>
      <c r="D7" s="124" t="s">
        <v>45</v>
      </c>
      <c r="E7" s="125">
        <v>10034</v>
      </c>
      <c r="F7" s="126">
        <v>248.46190799999999</v>
      </c>
      <c r="G7" s="127">
        <v>5.9350409999999999E-2</v>
      </c>
      <c r="H7" s="122" t="s">
        <v>153</v>
      </c>
      <c r="J7" s="2"/>
    </row>
    <row r="8" spans="1:10" x14ac:dyDescent="0.2">
      <c r="A8" s="123">
        <v>2</v>
      </c>
      <c r="B8" s="124" t="s">
        <v>363</v>
      </c>
      <c r="C8" s="124" t="s">
        <v>364</v>
      </c>
      <c r="D8" s="124" t="s">
        <v>239</v>
      </c>
      <c r="E8" s="125">
        <v>4545</v>
      </c>
      <c r="F8" s="126">
        <v>235.55825999999999</v>
      </c>
      <c r="G8" s="127">
        <v>5.6268100000000001E-2</v>
      </c>
      <c r="H8" s="122" t="s">
        <v>153</v>
      </c>
      <c r="J8" s="2"/>
    </row>
    <row r="9" spans="1:10" x14ac:dyDescent="0.2">
      <c r="A9" s="123">
        <v>3</v>
      </c>
      <c r="B9" s="124" t="s">
        <v>33</v>
      </c>
      <c r="C9" s="124" t="s">
        <v>34</v>
      </c>
      <c r="D9" s="124" t="s">
        <v>35</v>
      </c>
      <c r="E9" s="125">
        <v>22800</v>
      </c>
      <c r="F9" s="126">
        <v>211.69800000000001</v>
      </c>
      <c r="G9" s="127">
        <v>5.056857E-2</v>
      </c>
      <c r="H9" s="122" t="s">
        <v>153</v>
      </c>
      <c r="J9" s="2"/>
    </row>
    <row r="10" spans="1:10" x14ac:dyDescent="0.2">
      <c r="A10" s="123">
        <v>4</v>
      </c>
      <c r="B10" s="124" t="s">
        <v>69</v>
      </c>
      <c r="C10" s="124" t="s">
        <v>70</v>
      </c>
      <c r="D10" s="124" t="s">
        <v>71</v>
      </c>
      <c r="E10" s="125">
        <v>15970</v>
      </c>
      <c r="F10" s="126">
        <v>192.366635</v>
      </c>
      <c r="G10" s="127">
        <v>4.5950860000000003E-2</v>
      </c>
      <c r="H10" s="122" t="s">
        <v>153</v>
      </c>
      <c r="J10" s="2"/>
    </row>
    <row r="11" spans="1:10" x14ac:dyDescent="0.2">
      <c r="A11" s="123">
        <v>5</v>
      </c>
      <c r="B11" s="124" t="s">
        <v>145</v>
      </c>
      <c r="C11" s="124" t="s">
        <v>146</v>
      </c>
      <c r="D11" s="124" t="s">
        <v>45</v>
      </c>
      <c r="E11" s="125">
        <v>46205</v>
      </c>
      <c r="F11" s="126">
        <v>182.69457</v>
      </c>
      <c r="G11" s="127">
        <v>4.3640480000000002E-2</v>
      </c>
      <c r="H11" s="122" t="s">
        <v>153</v>
      </c>
      <c r="J11" s="2"/>
    </row>
    <row r="12" spans="1:10" ht="15" x14ac:dyDescent="0.2">
      <c r="A12" s="123">
        <v>6</v>
      </c>
      <c r="B12" s="124" t="s">
        <v>411</v>
      </c>
      <c r="C12" s="124" t="s">
        <v>412</v>
      </c>
      <c r="D12" s="124" t="s">
        <v>236</v>
      </c>
      <c r="E12" s="125">
        <v>10676</v>
      </c>
      <c r="F12" s="126">
        <v>178.03831400000001</v>
      </c>
      <c r="G12" s="127">
        <v>4.2528240000000002E-2</v>
      </c>
      <c r="H12" s="122" t="s">
        <v>153</v>
      </c>
      <c r="J12" s="7"/>
    </row>
    <row r="13" spans="1:10" x14ac:dyDescent="0.2">
      <c r="A13" s="123">
        <v>7</v>
      </c>
      <c r="B13" s="124" t="s">
        <v>401</v>
      </c>
      <c r="C13" s="124" t="s">
        <v>402</v>
      </c>
      <c r="D13" s="124" t="s">
        <v>403</v>
      </c>
      <c r="E13" s="125">
        <v>10679</v>
      </c>
      <c r="F13" s="126">
        <v>174.238564</v>
      </c>
      <c r="G13" s="127">
        <v>4.1620579999999997E-2</v>
      </c>
      <c r="H13" s="122" t="s">
        <v>153</v>
      </c>
      <c r="J13" s="2"/>
    </row>
    <row r="14" spans="1:10" x14ac:dyDescent="0.2">
      <c r="A14" s="123">
        <v>8</v>
      </c>
      <c r="B14" s="124" t="s">
        <v>77</v>
      </c>
      <c r="C14" s="124" t="s">
        <v>78</v>
      </c>
      <c r="D14" s="124" t="s">
        <v>35</v>
      </c>
      <c r="E14" s="125">
        <v>3360</v>
      </c>
      <c r="F14" s="126">
        <v>154.88928000000001</v>
      </c>
      <c r="G14" s="127">
        <v>3.69986E-2</v>
      </c>
      <c r="H14" s="122" t="s">
        <v>153</v>
      </c>
      <c r="J14" s="2" t="s">
        <v>925</v>
      </c>
    </row>
    <row r="15" spans="1:10" x14ac:dyDescent="0.2">
      <c r="A15" s="123">
        <v>9</v>
      </c>
      <c r="B15" s="124" t="s">
        <v>432</v>
      </c>
      <c r="C15" s="124" t="s">
        <v>433</v>
      </c>
      <c r="D15" s="124" t="s">
        <v>239</v>
      </c>
      <c r="E15" s="125">
        <v>5956</v>
      </c>
      <c r="F15" s="126">
        <v>154.04300599999999</v>
      </c>
      <c r="G15" s="127">
        <v>3.6796450000000001E-2</v>
      </c>
      <c r="H15" s="122" t="s">
        <v>153</v>
      </c>
      <c r="J15" s="2"/>
    </row>
    <row r="16" spans="1:10" x14ac:dyDescent="0.2">
      <c r="A16" s="123">
        <v>10</v>
      </c>
      <c r="B16" s="124" t="s">
        <v>415</v>
      </c>
      <c r="C16" s="124" t="s">
        <v>416</v>
      </c>
      <c r="D16" s="124" t="s">
        <v>48</v>
      </c>
      <c r="E16" s="125">
        <v>180840</v>
      </c>
      <c r="F16" s="126">
        <v>147.04100399999999</v>
      </c>
      <c r="G16" s="127">
        <v>3.5123870000000001E-2</v>
      </c>
      <c r="H16" s="122" t="s">
        <v>153</v>
      </c>
      <c r="J16" s="2"/>
    </row>
    <row r="17" spans="1:10" x14ac:dyDescent="0.2">
      <c r="A17" s="123">
        <v>11</v>
      </c>
      <c r="B17" s="124" t="s">
        <v>413</v>
      </c>
      <c r="C17" s="124" t="s">
        <v>414</v>
      </c>
      <c r="D17" s="124" t="s">
        <v>216</v>
      </c>
      <c r="E17" s="125">
        <v>35553</v>
      </c>
      <c r="F17" s="126">
        <v>144.59405100000001</v>
      </c>
      <c r="G17" s="127">
        <v>3.4539359999999998E-2</v>
      </c>
      <c r="H17" s="122" t="s">
        <v>153</v>
      </c>
      <c r="J17" s="2"/>
    </row>
    <row r="18" spans="1:10" x14ac:dyDescent="0.2">
      <c r="A18" s="123">
        <v>12</v>
      </c>
      <c r="B18" s="124" t="s">
        <v>417</v>
      </c>
      <c r="C18" s="124" t="s">
        <v>418</v>
      </c>
      <c r="D18" s="124" t="s">
        <v>48</v>
      </c>
      <c r="E18" s="125">
        <v>298383</v>
      </c>
      <c r="F18" s="126">
        <v>131.0199753</v>
      </c>
      <c r="G18" s="127">
        <v>3.1296909999999997E-2</v>
      </c>
      <c r="H18" s="122" t="s">
        <v>153</v>
      </c>
      <c r="J18" s="2"/>
    </row>
    <row r="19" spans="1:10" x14ac:dyDescent="0.2">
      <c r="A19" s="123">
        <v>13</v>
      </c>
      <c r="B19" s="124" t="s">
        <v>441</v>
      </c>
      <c r="C19" s="124" t="s">
        <v>442</v>
      </c>
      <c r="D19" s="124" t="s">
        <v>211</v>
      </c>
      <c r="E19" s="125">
        <v>19125</v>
      </c>
      <c r="F19" s="126">
        <v>128.24268749999999</v>
      </c>
      <c r="G19" s="127">
        <v>3.0633489999999999E-2</v>
      </c>
      <c r="H19" s="122" t="s">
        <v>153</v>
      </c>
      <c r="J19" s="2"/>
    </row>
    <row r="20" spans="1:10" x14ac:dyDescent="0.2">
      <c r="A20" s="123">
        <v>14</v>
      </c>
      <c r="B20" s="124" t="s">
        <v>421</v>
      </c>
      <c r="C20" s="124" t="s">
        <v>422</v>
      </c>
      <c r="D20" s="124" t="s">
        <v>48</v>
      </c>
      <c r="E20" s="125">
        <v>37549</v>
      </c>
      <c r="F20" s="126">
        <v>121.5273385</v>
      </c>
      <c r="G20" s="127">
        <v>2.9029389999999999E-2</v>
      </c>
      <c r="H20" s="122" t="s">
        <v>153</v>
      </c>
      <c r="J20" s="2"/>
    </row>
    <row r="21" spans="1:10" x14ac:dyDescent="0.2">
      <c r="A21" s="123">
        <v>15</v>
      </c>
      <c r="B21" s="124" t="s">
        <v>419</v>
      </c>
      <c r="C21" s="124" t="s">
        <v>420</v>
      </c>
      <c r="D21" s="124" t="s">
        <v>211</v>
      </c>
      <c r="E21" s="125">
        <v>16328</v>
      </c>
      <c r="F21" s="126">
        <v>120.44349200000001</v>
      </c>
      <c r="G21" s="127">
        <v>2.8770489999999999E-2</v>
      </c>
      <c r="H21" s="122" t="s">
        <v>153</v>
      </c>
      <c r="J21" s="2"/>
    </row>
    <row r="22" spans="1:10" ht="15" x14ac:dyDescent="0.2">
      <c r="A22" s="123">
        <v>16</v>
      </c>
      <c r="B22" s="124" t="s">
        <v>423</v>
      </c>
      <c r="C22" s="124" t="s">
        <v>424</v>
      </c>
      <c r="D22" s="124" t="s">
        <v>35</v>
      </c>
      <c r="E22" s="125">
        <v>8741</v>
      </c>
      <c r="F22" s="126">
        <v>114.85236949999999</v>
      </c>
      <c r="G22" s="127">
        <v>2.743493E-2</v>
      </c>
      <c r="H22" s="122" t="s">
        <v>153</v>
      </c>
      <c r="J22" s="7"/>
    </row>
    <row r="23" spans="1:10" x14ac:dyDescent="0.2">
      <c r="A23" s="123">
        <v>17</v>
      </c>
      <c r="B23" s="124" t="s">
        <v>427</v>
      </c>
      <c r="C23" s="124" t="s">
        <v>428</v>
      </c>
      <c r="D23" s="124" t="s">
        <v>429</v>
      </c>
      <c r="E23" s="125">
        <v>7495</v>
      </c>
      <c r="F23" s="126">
        <v>113.5155225</v>
      </c>
      <c r="G23" s="127">
        <v>2.71156E-2</v>
      </c>
      <c r="H23" s="122" t="s">
        <v>153</v>
      </c>
      <c r="J23" s="2"/>
    </row>
    <row r="24" spans="1:10" ht="25.5" x14ac:dyDescent="0.2">
      <c r="A24" s="123">
        <v>18</v>
      </c>
      <c r="B24" s="124" t="s">
        <v>324</v>
      </c>
      <c r="C24" s="124" t="s">
        <v>325</v>
      </c>
      <c r="D24" s="124" t="s">
        <v>250</v>
      </c>
      <c r="E24" s="125">
        <v>3361</v>
      </c>
      <c r="F24" s="126">
        <v>110.859224</v>
      </c>
      <c r="G24" s="127">
        <v>2.6481080000000001E-2</v>
      </c>
      <c r="H24" s="122" t="s">
        <v>153</v>
      </c>
      <c r="J24" s="2"/>
    </row>
    <row r="25" spans="1:10" ht="25.5" x14ac:dyDescent="0.2">
      <c r="A25" s="123">
        <v>19</v>
      </c>
      <c r="B25" s="124" t="s">
        <v>436</v>
      </c>
      <c r="C25" s="124" t="s">
        <v>437</v>
      </c>
      <c r="D25" s="124" t="s">
        <v>438</v>
      </c>
      <c r="E25" s="125">
        <v>26872</v>
      </c>
      <c r="F25" s="126">
        <v>108.818164</v>
      </c>
      <c r="G25" s="127">
        <v>2.5993530000000001E-2</v>
      </c>
      <c r="H25" s="122" t="s">
        <v>153</v>
      </c>
      <c r="J25" s="2"/>
    </row>
    <row r="26" spans="1:10" ht="25.5" x14ac:dyDescent="0.2">
      <c r="A26" s="123">
        <v>20</v>
      </c>
      <c r="B26" s="124" t="s">
        <v>79</v>
      </c>
      <c r="C26" s="124" t="s">
        <v>80</v>
      </c>
      <c r="D26" s="124" t="s">
        <v>25</v>
      </c>
      <c r="E26" s="125">
        <v>2267</v>
      </c>
      <c r="F26" s="126">
        <v>100.96991300000001</v>
      </c>
      <c r="G26" s="127">
        <v>2.4118810000000001E-2</v>
      </c>
      <c r="H26" s="122" t="s">
        <v>153</v>
      </c>
      <c r="J26" s="2"/>
    </row>
    <row r="27" spans="1:10" x14ac:dyDescent="0.2">
      <c r="A27" s="123">
        <v>21</v>
      </c>
      <c r="B27" s="124" t="s">
        <v>62</v>
      </c>
      <c r="C27" s="124" t="s">
        <v>63</v>
      </c>
      <c r="D27" s="124" t="s">
        <v>13</v>
      </c>
      <c r="E27" s="125">
        <v>7465</v>
      </c>
      <c r="F27" s="126">
        <v>100.5946075</v>
      </c>
      <c r="G27" s="127">
        <v>2.4029160000000001E-2</v>
      </c>
      <c r="H27" s="122" t="s">
        <v>153</v>
      </c>
      <c r="J27" s="2"/>
    </row>
    <row r="28" spans="1:10" x14ac:dyDescent="0.2">
      <c r="A28" s="123">
        <v>22</v>
      </c>
      <c r="B28" s="124" t="s">
        <v>223</v>
      </c>
      <c r="C28" s="124" t="s">
        <v>224</v>
      </c>
      <c r="D28" s="124" t="s">
        <v>89</v>
      </c>
      <c r="E28" s="125">
        <v>707</v>
      </c>
      <c r="F28" s="126">
        <v>98.619429999999994</v>
      </c>
      <c r="G28" s="127">
        <v>2.3557350000000001E-2</v>
      </c>
      <c r="H28" s="122" t="s">
        <v>153</v>
      </c>
      <c r="J28" s="2"/>
    </row>
    <row r="29" spans="1:10" ht="25.5" x14ac:dyDescent="0.2">
      <c r="A29" s="123">
        <v>23</v>
      </c>
      <c r="B29" s="124" t="s">
        <v>434</v>
      </c>
      <c r="C29" s="124" t="s">
        <v>435</v>
      </c>
      <c r="D29" s="124" t="s">
        <v>208</v>
      </c>
      <c r="E29" s="125">
        <v>1831</v>
      </c>
      <c r="F29" s="126">
        <v>95.536086999999995</v>
      </c>
      <c r="G29" s="127">
        <v>2.282083E-2</v>
      </c>
      <c r="H29" s="122" t="s">
        <v>153</v>
      </c>
      <c r="J29" s="2"/>
    </row>
    <row r="30" spans="1:10" x14ac:dyDescent="0.2">
      <c r="A30" s="123">
        <v>24</v>
      </c>
      <c r="B30" s="124" t="s">
        <v>430</v>
      </c>
      <c r="C30" s="124" t="s">
        <v>431</v>
      </c>
      <c r="D30" s="124" t="s">
        <v>89</v>
      </c>
      <c r="E30" s="125">
        <v>11039</v>
      </c>
      <c r="F30" s="126">
        <v>95.327284500000005</v>
      </c>
      <c r="G30" s="127">
        <v>2.2770950000000002E-2</v>
      </c>
      <c r="H30" s="122" t="s">
        <v>153</v>
      </c>
      <c r="J30" s="2"/>
    </row>
    <row r="31" spans="1:10" x14ac:dyDescent="0.2">
      <c r="A31" s="123">
        <v>25</v>
      </c>
      <c r="B31" s="124" t="s">
        <v>39</v>
      </c>
      <c r="C31" s="124" t="s">
        <v>40</v>
      </c>
      <c r="D31" s="124" t="s">
        <v>35</v>
      </c>
      <c r="E31" s="125">
        <v>1517</v>
      </c>
      <c r="F31" s="126">
        <v>91.608596000000006</v>
      </c>
      <c r="G31" s="127">
        <v>2.1882660000000002E-2</v>
      </c>
      <c r="H31" s="122" t="s">
        <v>153</v>
      </c>
      <c r="J31" s="2"/>
    </row>
    <row r="32" spans="1:10" x14ac:dyDescent="0.2">
      <c r="A32" s="123">
        <v>26</v>
      </c>
      <c r="B32" s="124" t="s">
        <v>439</v>
      </c>
      <c r="C32" s="124" t="s">
        <v>440</v>
      </c>
      <c r="D32" s="124" t="s">
        <v>35</v>
      </c>
      <c r="E32" s="125">
        <v>14157</v>
      </c>
      <c r="F32" s="126">
        <v>86.839038000000002</v>
      </c>
      <c r="G32" s="127">
        <v>2.0743350000000001E-2</v>
      </c>
      <c r="H32" s="122" t="s">
        <v>153</v>
      </c>
      <c r="J32" s="2"/>
    </row>
    <row r="33" spans="1:10" x14ac:dyDescent="0.2">
      <c r="A33" s="123">
        <v>27</v>
      </c>
      <c r="B33" s="124" t="s">
        <v>445</v>
      </c>
      <c r="C33" s="124" t="s">
        <v>446</v>
      </c>
      <c r="D33" s="124" t="s">
        <v>45</v>
      </c>
      <c r="E33" s="125">
        <v>10705</v>
      </c>
      <c r="F33" s="126">
        <v>84.221587499999998</v>
      </c>
      <c r="G33" s="127">
        <v>2.011812E-2</v>
      </c>
      <c r="H33" s="122" t="s">
        <v>153</v>
      </c>
      <c r="J33" s="2"/>
    </row>
    <row r="34" spans="1:10" x14ac:dyDescent="0.2">
      <c r="A34" s="123">
        <v>28</v>
      </c>
      <c r="B34" s="124" t="s">
        <v>443</v>
      </c>
      <c r="C34" s="124" t="s">
        <v>444</v>
      </c>
      <c r="D34" s="124" t="s">
        <v>236</v>
      </c>
      <c r="E34" s="125">
        <v>9506</v>
      </c>
      <c r="F34" s="126">
        <v>78.205861999999996</v>
      </c>
      <c r="G34" s="127">
        <v>1.8681130000000001E-2</v>
      </c>
      <c r="H34" s="122" t="s">
        <v>153</v>
      </c>
      <c r="J34" s="2"/>
    </row>
    <row r="35" spans="1:10" x14ac:dyDescent="0.2">
      <c r="A35" s="123">
        <v>29</v>
      </c>
      <c r="B35" s="124" t="s">
        <v>451</v>
      </c>
      <c r="C35" s="124" t="s">
        <v>452</v>
      </c>
      <c r="D35" s="124" t="s">
        <v>89</v>
      </c>
      <c r="E35" s="125">
        <v>6413</v>
      </c>
      <c r="F35" s="126">
        <v>73.941890000000001</v>
      </c>
      <c r="G35" s="127">
        <v>1.7662589999999999E-2</v>
      </c>
      <c r="H35" s="122" t="s">
        <v>153</v>
      </c>
      <c r="J35" s="2"/>
    </row>
    <row r="36" spans="1:10" ht="25.5" x14ac:dyDescent="0.2">
      <c r="A36" s="123">
        <v>30</v>
      </c>
      <c r="B36" s="124" t="s">
        <v>295</v>
      </c>
      <c r="C36" s="124" t="s">
        <v>296</v>
      </c>
      <c r="D36" s="124" t="s">
        <v>208</v>
      </c>
      <c r="E36" s="125">
        <v>14944</v>
      </c>
      <c r="F36" s="126">
        <v>70.259215999999995</v>
      </c>
      <c r="G36" s="127">
        <v>1.6782910000000002E-2</v>
      </c>
      <c r="H36" s="122" t="s">
        <v>153</v>
      </c>
      <c r="J36" s="2"/>
    </row>
    <row r="37" spans="1:10" x14ac:dyDescent="0.2">
      <c r="A37" s="123">
        <v>31</v>
      </c>
      <c r="B37" s="124" t="s">
        <v>256</v>
      </c>
      <c r="C37" s="124" t="s">
        <v>257</v>
      </c>
      <c r="D37" s="124" t="s">
        <v>89</v>
      </c>
      <c r="E37" s="125">
        <v>4105</v>
      </c>
      <c r="F37" s="126">
        <v>65.762100000000004</v>
      </c>
      <c r="G37" s="127">
        <v>1.5708679999999999E-2</v>
      </c>
      <c r="H37" s="122" t="s">
        <v>153</v>
      </c>
      <c r="J37" s="2"/>
    </row>
    <row r="38" spans="1:10" x14ac:dyDescent="0.2">
      <c r="A38" s="123">
        <v>32</v>
      </c>
      <c r="B38" s="124" t="s">
        <v>447</v>
      </c>
      <c r="C38" s="124" t="s">
        <v>448</v>
      </c>
      <c r="D38" s="124" t="s">
        <v>45</v>
      </c>
      <c r="E38" s="125">
        <v>5457</v>
      </c>
      <c r="F38" s="126">
        <v>52.635493500000003</v>
      </c>
      <c r="G38" s="127">
        <v>1.257311E-2</v>
      </c>
      <c r="H38" s="122" t="s">
        <v>153</v>
      </c>
      <c r="J38" s="2"/>
    </row>
    <row r="39" spans="1:10" ht="25.5" x14ac:dyDescent="0.2">
      <c r="A39" s="123">
        <v>33</v>
      </c>
      <c r="B39" s="124" t="s">
        <v>484</v>
      </c>
      <c r="C39" s="124" t="s">
        <v>485</v>
      </c>
      <c r="D39" s="124" t="s">
        <v>45</v>
      </c>
      <c r="E39" s="125">
        <v>2285</v>
      </c>
      <c r="F39" s="126">
        <v>44.005672500000003</v>
      </c>
      <c r="G39" s="127">
        <v>1.0511690000000001E-2</v>
      </c>
      <c r="H39" s="122" t="s">
        <v>153</v>
      </c>
      <c r="J39" s="2"/>
    </row>
    <row r="40" spans="1:10" x14ac:dyDescent="0.2">
      <c r="A40" s="123">
        <v>34</v>
      </c>
      <c r="B40" s="124" t="s">
        <v>461</v>
      </c>
      <c r="C40" s="124" t="s">
        <v>462</v>
      </c>
      <c r="D40" s="124" t="s">
        <v>74</v>
      </c>
      <c r="E40" s="125">
        <v>4604</v>
      </c>
      <c r="F40" s="126">
        <v>27.465161999999999</v>
      </c>
      <c r="G40" s="127">
        <v>6.5606400000000004E-3</v>
      </c>
      <c r="H40" s="122" t="s">
        <v>153</v>
      </c>
      <c r="J40" s="2"/>
    </row>
    <row r="41" spans="1:10" x14ac:dyDescent="0.2">
      <c r="A41" s="120"/>
      <c r="B41" s="120"/>
      <c r="C41" s="121" t="s">
        <v>152</v>
      </c>
      <c r="D41" s="120"/>
      <c r="E41" s="120" t="s">
        <v>153</v>
      </c>
      <c r="F41" s="128">
        <v>4138.8943048000001</v>
      </c>
      <c r="G41" s="129">
        <v>0.98866292</v>
      </c>
      <c r="H41" s="122" t="s">
        <v>153</v>
      </c>
      <c r="J41" s="2"/>
    </row>
    <row r="42" spans="1:10" x14ac:dyDescent="0.2">
      <c r="A42" s="120"/>
      <c r="B42" s="120"/>
      <c r="C42" s="130"/>
      <c r="D42" s="120"/>
      <c r="E42" s="120"/>
      <c r="F42" s="131"/>
      <c r="G42" s="131"/>
      <c r="H42" s="122" t="s">
        <v>153</v>
      </c>
      <c r="J42" s="2"/>
    </row>
    <row r="43" spans="1:10" x14ac:dyDescent="0.2">
      <c r="A43" s="120"/>
      <c r="B43" s="120"/>
      <c r="C43" s="121" t="s">
        <v>154</v>
      </c>
      <c r="D43" s="120"/>
      <c r="E43" s="120"/>
      <c r="F43" s="120"/>
      <c r="G43" s="120"/>
      <c r="H43" s="122" t="s">
        <v>153</v>
      </c>
      <c r="J43" s="2"/>
    </row>
    <row r="44" spans="1:10" x14ac:dyDescent="0.2">
      <c r="A44" s="120"/>
      <c r="B44" s="120"/>
      <c r="C44" s="121" t="s">
        <v>152</v>
      </c>
      <c r="D44" s="120"/>
      <c r="E44" s="120" t="s">
        <v>153</v>
      </c>
      <c r="F44" s="132" t="s">
        <v>155</v>
      </c>
      <c r="G44" s="129">
        <v>0</v>
      </c>
      <c r="H44" s="122" t="s">
        <v>153</v>
      </c>
      <c r="J44" s="2"/>
    </row>
    <row r="45" spans="1:10" x14ac:dyDescent="0.2">
      <c r="A45" s="120"/>
      <c r="B45" s="120"/>
      <c r="C45" s="130"/>
      <c r="D45" s="120"/>
      <c r="E45" s="120"/>
      <c r="F45" s="131"/>
      <c r="G45" s="131"/>
      <c r="H45" s="122" t="s">
        <v>153</v>
      </c>
      <c r="J45" s="2"/>
    </row>
    <row r="46" spans="1:10" x14ac:dyDescent="0.2">
      <c r="A46" s="120"/>
      <c r="B46" s="120"/>
      <c r="C46" s="121" t="s">
        <v>156</v>
      </c>
      <c r="D46" s="120"/>
      <c r="E46" s="120"/>
      <c r="F46" s="120"/>
      <c r="G46" s="120"/>
      <c r="H46" s="122" t="s">
        <v>153</v>
      </c>
      <c r="J46" s="2"/>
    </row>
    <row r="47" spans="1:10" x14ac:dyDescent="0.2">
      <c r="A47" s="120"/>
      <c r="B47" s="120"/>
      <c r="C47" s="121" t="s">
        <v>152</v>
      </c>
      <c r="D47" s="120"/>
      <c r="E47" s="120" t="s">
        <v>153</v>
      </c>
      <c r="F47" s="132" t="s">
        <v>155</v>
      </c>
      <c r="G47" s="129">
        <v>0</v>
      </c>
      <c r="H47" s="122" t="s">
        <v>153</v>
      </c>
      <c r="J47" s="2"/>
    </row>
    <row r="48" spans="1:10" x14ac:dyDescent="0.2">
      <c r="A48" s="120"/>
      <c r="B48" s="120"/>
      <c r="C48" s="130"/>
      <c r="D48" s="120"/>
      <c r="E48" s="120"/>
      <c r="F48" s="131"/>
      <c r="G48" s="131"/>
      <c r="H48" s="122" t="s">
        <v>153</v>
      </c>
      <c r="J48" s="2"/>
    </row>
    <row r="49" spans="1:10" x14ac:dyDescent="0.2">
      <c r="A49" s="120"/>
      <c r="B49" s="120"/>
      <c r="C49" s="121" t="s">
        <v>157</v>
      </c>
      <c r="D49" s="120"/>
      <c r="E49" s="120"/>
      <c r="F49" s="120"/>
      <c r="G49" s="120"/>
      <c r="H49" s="122" t="s">
        <v>153</v>
      </c>
      <c r="J49" s="2"/>
    </row>
    <row r="50" spans="1:10" x14ac:dyDescent="0.2">
      <c r="A50" s="120"/>
      <c r="B50" s="120"/>
      <c r="C50" s="121" t="s">
        <v>152</v>
      </c>
      <c r="D50" s="120"/>
      <c r="E50" s="120" t="s">
        <v>153</v>
      </c>
      <c r="F50" s="132" t="s">
        <v>155</v>
      </c>
      <c r="G50" s="129">
        <v>0</v>
      </c>
      <c r="H50" s="122" t="s">
        <v>153</v>
      </c>
      <c r="J50" s="2"/>
    </row>
    <row r="51" spans="1:10" x14ac:dyDescent="0.2">
      <c r="A51" s="120"/>
      <c r="B51" s="120"/>
      <c r="C51" s="130"/>
      <c r="D51" s="120"/>
      <c r="E51" s="120"/>
      <c r="F51" s="131"/>
      <c r="G51" s="131"/>
      <c r="H51" s="122" t="s">
        <v>153</v>
      </c>
      <c r="J51" s="2"/>
    </row>
    <row r="52" spans="1:10" x14ac:dyDescent="0.2">
      <c r="A52" s="120"/>
      <c r="B52" s="120"/>
      <c r="C52" s="121" t="s">
        <v>158</v>
      </c>
      <c r="D52" s="120"/>
      <c r="E52" s="120"/>
      <c r="F52" s="131"/>
      <c r="G52" s="131"/>
      <c r="H52" s="122" t="s">
        <v>153</v>
      </c>
      <c r="J52" s="2"/>
    </row>
    <row r="53" spans="1:10" x14ac:dyDescent="0.2">
      <c r="A53" s="120"/>
      <c r="B53" s="120"/>
      <c r="C53" s="121" t="s">
        <v>152</v>
      </c>
      <c r="D53" s="120"/>
      <c r="E53" s="120" t="s">
        <v>153</v>
      </c>
      <c r="F53" s="132" t="s">
        <v>155</v>
      </c>
      <c r="G53" s="129">
        <v>0</v>
      </c>
      <c r="H53" s="122" t="s">
        <v>153</v>
      </c>
      <c r="J53" s="2"/>
    </row>
    <row r="54" spans="1:10" x14ac:dyDescent="0.2">
      <c r="A54" s="120"/>
      <c r="B54" s="120"/>
      <c r="C54" s="130"/>
      <c r="D54" s="120"/>
      <c r="E54" s="120"/>
      <c r="F54" s="131"/>
      <c r="G54" s="131"/>
      <c r="H54" s="122" t="s">
        <v>153</v>
      </c>
      <c r="J54" s="2"/>
    </row>
    <row r="55" spans="1:10" x14ac:dyDescent="0.2">
      <c r="A55" s="120"/>
      <c r="B55" s="120"/>
      <c r="C55" s="121" t="s">
        <v>159</v>
      </c>
      <c r="D55" s="120"/>
      <c r="E55" s="120"/>
      <c r="F55" s="131"/>
      <c r="G55" s="131"/>
      <c r="H55" s="122" t="s">
        <v>153</v>
      </c>
      <c r="J55" s="2"/>
    </row>
    <row r="56" spans="1:10" x14ac:dyDescent="0.2">
      <c r="A56" s="120"/>
      <c r="B56" s="120"/>
      <c r="C56" s="121" t="s">
        <v>152</v>
      </c>
      <c r="D56" s="120"/>
      <c r="E56" s="120" t="s">
        <v>153</v>
      </c>
      <c r="F56" s="132" t="s">
        <v>155</v>
      </c>
      <c r="G56" s="129">
        <v>0</v>
      </c>
      <c r="H56" s="122" t="s">
        <v>153</v>
      </c>
      <c r="J56" s="2"/>
    </row>
    <row r="57" spans="1:10" x14ac:dyDescent="0.2">
      <c r="A57" s="120"/>
      <c r="B57" s="120"/>
      <c r="C57" s="130"/>
      <c r="D57" s="120"/>
      <c r="E57" s="120"/>
      <c r="F57" s="131"/>
      <c r="G57" s="131"/>
      <c r="H57" s="122" t="s">
        <v>153</v>
      </c>
      <c r="J57" s="2"/>
    </row>
    <row r="58" spans="1:10" x14ac:dyDescent="0.2">
      <c r="A58" s="120"/>
      <c r="B58" s="120"/>
      <c r="C58" s="121" t="s">
        <v>160</v>
      </c>
      <c r="D58" s="120"/>
      <c r="E58" s="120"/>
      <c r="F58" s="128">
        <v>4138.8943048000001</v>
      </c>
      <c r="G58" s="129">
        <v>0.98866292</v>
      </c>
      <c r="H58" s="122" t="s">
        <v>153</v>
      </c>
      <c r="J58" s="2"/>
    </row>
    <row r="59" spans="1:10" x14ac:dyDescent="0.2">
      <c r="A59" s="120"/>
      <c r="B59" s="120"/>
      <c r="C59" s="130"/>
      <c r="D59" s="120"/>
      <c r="E59" s="120"/>
      <c r="F59" s="131"/>
      <c r="G59" s="131"/>
      <c r="H59" s="122" t="s">
        <v>153</v>
      </c>
      <c r="J59" s="2"/>
    </row>
    <row r="60" spans="1:10" x14ac:dyDescent="0.2">
      <c r="A60" s="120"/>
      <c r="B60" s="120"/>
      <c r="C60" s="121" t="s">
        <v>161</v>
      </c>
      <c r="D60" s="120"/>
      <c r="E60" s="120"/>
      <c r="F60" s="131"/>
      <c r="G60" s="131"/>
      <c r="H60" s="122" t="s">
        <v>153</v>
      </c>
      <c r="J60" s="2"/>
    </row>
    <row r="61" spans="1:10" x14ac:dyDescent="0.2">
      <c r="A61" s="120"/>
      <c r="B61" s="120"/>
      <c r="C61" s="121" t="s">
        <v>10</v>
      </c>
      <c r="D61" s="120"/>
      <c r="E61" s="120"/>
      <c r="F61" s="131"/>
      <c r="G61" s="131"/>
      <c r="H61" s="122" t="s">
        <v>153</v>
      </c>
      <c r="J61" s="2"/>
    </row>
    <row r="62" spans="1:10" x14ac:dyDescent="0.2">
      <c r="A62" s="120"/>
      <c r="B62" s="120"/>
      <c r="C62" s="121" t="s">
        <v>152</v>
      </c>
      <c r="D62" s="120"/>
      <c r="E62" s="120" t="s">
        <v>153</v>
      </c>
      <c r="F62" s="132" t="s">
        <v>155</v>
      </c>
      <c r="G62" s="129">
        <v>0</v>
      </c>
      <c r="H62" s="122" t="s">
        <v>153</v>
      </c>
      <c r="J62" s="2"/>
    </row>
    <row r="63" spans="1:10" x14ac:dyDescent="0.2">
      <c r="A63" s="120"/>
      <c r="B63" s="120"/>
      <c r="C63" s="130"/>
      <c r="D63" s="120"/>
      <c r="E63" s="120"/>
      <c r="F63" s="131"/>
      <c r="G63" s="131"/>
      <c r="H63" s="122" t="s">
        <v>153</v>
      </c>
      <c r="J63" s="2"/>
    </row>
    <row r="64" spans="1:10" x14ac:dyDescent="0.2">
      <c r="A64" s="120"/>
      <c r="B64" s="120"/>
      <c r="C64" s="121" t="s">
        <v>162</v>
      </c>
      <c r="D64" s="120"/>
      <c r="E64" s="120"/>
      <c r="F64" s="120"/>
      <c r="G64" s="120"/>
      <c r="H64" s="122" t="s">
        <v>153</v>
      </c>
      <c r="J64" s="2"/>
    </row>
    <row r="65" spans="1:10" x14ac:dyDescent="0.2">
      <c r="A65" s="120"/>
      <c r="B65" s="120"/>
      <c r="C65" s="121" t="s">
        <v>152</v>
      </c>
      <c r="D65" s="120"/>
      <c r="E65" s="120" t="s">
        <v>153</v>
      </c>
      <c r="F65" s="132" t="s">
        <v>155</v>
      </c>
      <c r="G65" s="129">
        <v>0</v>
      </c>
      <c r="H65" s="122" t="s">
        <v>153</v>
      </c>
      <c r="J65" s="2"/>
    </row>
    <row r="66" spans="1:10" x14ac:dyDescent="0.2">
      <c r="A66" s="120"/>
      <c r="B66" s="120"/>
      <c r="C66" s="130"/>
      <c r="D66" s="120"/>
      <c r="E66" s="120"/>
      <c r="F66" s="131"/>
      <c r="G66" s="131"/>
      <c r="H66" s="122" t="s">
        <v>153</v>
      </c>
      <c r="J66" s="2"/>
    </row>
    <row r="67" spans="1:10" x14ac:dyDescent="0.2">
      <c r="A67" s="120"/>
      <c r="B67" s="120"/>
      <c r="C67" s="121" t="s">
        <v>163</v>
      </c>
      <c r="D67" s="120"/>
      <c r="E67" s="120"/>
      <c r="F67" s="120"/>
      <c r="G67" s="120"/>
      <c r="H67" s="122" t="s">
        <v>153</v>
      </c>
      <c r="J67" s="2"/>
    </row>
    <row r="68" spans="1:10" x14ac:dyDescent="0.2">
      <c r="A68" s="120"/>
      <c r="B68" s="120"/>
      <c r="C68" s="121" t="s">
        <v>152</v>
      </c>
      <c r="D68" s="120"/>
      <c r="E68" s="120" t="s">
        <v>153</v>
      </c>
      <c r="F68" s="132" t="s">
        <v>155</v>
      </c>
      <c r="G68" s="129">
        <v>0</v>
      </c>
      <c r="H68" s="122" t="s">
        <v>153</v>
      </c>
      <c r="J68" s="2"/>
    </row>
    <row r="69" spans="1:10" x14ac:dyDescent="0.2">
      <c r="A69" s="120"/>
      <c r="B69" s="120"/>
      <c r="C69" s="130"/>
      <c r="D69" s="120"/>
      <c r="E69" s="120"/>
      <c r="F69" s="131"/>
      <c r="G69" s="131"/>
      <c r="H69" s="122" t="s">
        <v>153</v>
      </c>
      <c r="J69" s="2"/>
    </row>
    <row r="70" spans="1:10" x14ac:dyDescent="0.2">
      <c r="A70" s="120"/>
      <c r="B70" s="120"/>
      <c r="C70" s="121" t="s">
        <v>164</v>
      </c>
      <c r="D70" s="120"/>
      <c r="E70" s="120"/>
      <c r="F70" s="131"/>
      <c r="G70" s="131"/>
      <c r="H70" s="122" t="s">
        <v>153</v>
      </c>
      <c r="J70" s="2"/>
    </row>
    <row r="71" spans="1:10" x14ac:dyDescent="0.2">
      <c r="A71" s="120"/>
      <c r="B71" s="120"/>
      <c r="C71" s="121" t="s">
        <v>152</v>
      </c>
      <c r="D71" s="120"/>
      <c r="E71" s="120" t="s">
        <v>153</v>
      </c>
      <c r="F71" s="132" t="s">
        <v>155</v>
      </c>
      <c r="G71" s="129">
        <v>0</v>
      </c>
      <c r="H71" s="122" t="s">
        <v>153</v>
      </c>
      <c r="J71" s="2"/>
    </row>
    <row r="72" spans="1:10" x14ac:dyDescent="0.2">
      <c r="A72" s="120"/>
      <c r="B72" s="120"/>
      <c r="C72" s="130"/>
      <c r="D72" s="120"/>
      <c r="E72" s="120"/>
      <c r="F72" s="131"/>
      <c r="G72" s="131"/>
      <c r="H72" s="122" t="s">
        <v>153</v>
      </c>
      <c r="J72" s="2"/>
    </row>
    <row r="73" spans="1:10" x14ac:dyDescent="0.2">
      <c r="A73" s="120"/>
      <c r="B73" s="120"/>
      <c r="C73" s="121" t="s">
        <v>165</v>
      </c>
      <c r="D73" s="120"/>
      <c r="E73" s="120"/>
      <c r="F73" s="128">
        <v>0</v>
      </c>
      <c r="G73" s="129">
        <v>0</v>
      </c>
      <c r="H73" s="122" t="s">
        <v>153</v>
      </c>
      <c r="J73" s="2"/>
    </row>
    <row r="74" spans="1:10" x14ac:dyDescent="0.2">
      <c r="A74" s="120"/>
      <c r="B74" s="120"/>
      <c r="C74" s="130"/>
      <c r="D74" s="120"/>
      <c r="E74" s="120"/>
      <c r="F74" s="131"/>
      <c r="G74" s="131"/>
      <c r="H74" s="122" t="s">
        <v>153</v>
      </c>
      <c r="J74" s="2"/>
    </row>
    <row r="75" spans="1:10" x14ac:dyDescent="0.2">
      <c r="A75" s="120"/>
      <c r="B75" s="120"/>
      <c r="C75" s="121" t="s">
        <v>166</v>
      </c>
      <c r="D75" s="120"/>
      <c r="E75" s="120"/>
      <c r="F75" s="131"/>
      <c r="G75" s="131"/>
      <c r="H75" s="122" t="s">
        <v>153</v>
      </c>
      <c r="J75" s="2"/>
    </row>
    <row r="76" spans="1:10" x14ac:dyDescent="0.2">
      <c r="A76" s="120"/>
      <c r="B76" s="120"/>
      <c r="C76" s="121" t="s">
        <v>167</v>
      </c>
      <c r="D76" s="120"/>
      <c r="E76" s="120"/>
      <c r="F76" s="131"/>
      <c r="G76" s="131"/>
      <c r="H76" s="122" t="s">
        <v>153</v>
      </c>
      <c r="J76" s="2"/>
    </row>
    <row r="77" spans="1:10" x14ac:dyDescent="0.2">
      <c r="A77" s="120"/>
      <c r="B77" s="120"/>
      <c r="C77" s="121" t="s">
        <v>152</v>
      </c>
      <c r="D77" s="120"/>
      <c r="E77" s="120" t="s">
        <v>153</v>
      </c>
      <c r="F77" s="132" t="s">
        <v>155</v>
      </c>
      <c r="G77" s="129">
        <v>0</v>
      </c>
      <c r="H77" s="122" t="s">
        <v>153</v>
      </c>
      <c r="J77" s="2"/>
    </row>
    <row r="78" spans="1:10" x14ac:dyDescent="0.2">
      <c r="A78" s="120"/>
      <c r="B78" s="120"/>
      <c r="C78" s="130"/>
      <c r="D78" s="120"/>
      <c r="E78" s="120"/>
      <c r="F78" s="131"/>
      <c r="G78" s="131"/>
      <c r="H78" s="122" t="s">
        <v>153</v>
      </c>
      <c r="J78" s="2"/>
    </row>
    <row r="79" spans="1:10" x14ac:dyDescent="0.2">
      <c r="A79" s="120"/>
      <c r="B79" s="120"/>
      <c r="C79" s="121" t="s">
        <v>168</v>
      </c>
      <c r="D79" s="120"/>
      <c r="E79" s="120"/>
      <c r="F79" s="131"/>
      <c r="G79" s="131"/>
      <c r="H79" s="122" t="s">
        <v>153</v>
      </c>
      <c r="J79" s="2"/>
    </row>
    <row r="80" spans="1:10" x14ac:dyDescent="0.2">
      <c r="A80" s="120"/>
      <c r="B80" s="120"/>
      <c r="C80" s="121" t="s">
        <v>152</v>
      </c>
      <c r="D80" s="120"/>
      <c r="E80" s="120" t="s">
        <v>153</v>
      </c>
      <c r="F80" s="132" t="s">
        <v>155</v>
      </c>
      <c r="G80" s="129">
        <v>0</v>
      </c>
      <c r="H80" s="122" t="s">
        <v>153</v>
      </c>
      <c r="J80" s="2"/>
    </row>
    <row r="81" spans="1:10" x14ac:dyDescent="0.2">
      <c r="A81" s="120"/>
      <c r="B81" s="120"/>
      <c r="C81" s="130"/>
      <c r="D81" s="120"/>
      <c r="E81" s="120"/>
      <c r="F81" s="131"/>
      <c r="G81" s="131"/>
      <c r="H81" s="122" t="s">
        <v>153</v>
      </c>
      <c r="J81" s="2"/>
    </row>
    <row r="82" spans="1:10" x14ac:dyDescent="0.2">
      <c r="A82" s="120"/>
      <c r="B82" s="120"/>
      <c r="C82" s="121" t="s">
        <v>169</v>
      </c>
      <c r="D82" s="120"/>
      <c r="E82" s="120"/>
      <c r="F82" s="131"/>
      <c r="G82" s="131"/>
      <c r="H82" s="122" t="s">
        <v>153</v>
      </c>
      <c r="J82" s="2"/>
    </row>
    <row r="83" spans="1:10" x14ac:dyDescent="0.2">
      <c r="A83" s="120"/>
      <c r="B83" s="120"/>
      <c r="C83" s="121" t="s">
        <v>152</v>
      </c>
      <c r="D83" s="120"/>
      <c r="E83" s="120" t="s">
        <v>153</v>
      </c>
      <c r="F83" s="132" t="s">
        <v>155</v>
      </c>
      <c r="G83" s="129">
        <v>0</v>
      </c>
      <c r="H83" s="122" t="s">
        <v>153</v>
      </c>
      <c r="J83" s="2"/>
    </row>
    <row r="84" spans="1:10" x14ac:dyDescent="0.2">
      <c r="A84" s="120"/>
      <c r="B84" s="120"/>
      <c r="C84" s="130"/>
      <c r="D84" s="120"/>
      <c r="E84" s="120"/>
      <c r="F84" s="131"/>
      <c r="G84" s="131"/>
      <c r="H84" s="122" t="s">
        <v>153</v>
      </c>
      <c r="J84" s="2"/>
    </row>
    <row r="85" spans="1:10" x14ac:dyDescent="0.2">
      <c r="A85" s="120"/>
      <c r="B85" s="120"/>
      <c r="C85" s="121" t="s">
        <v>170</v>
      </c>
      <c r="D85" s="120"/>
      <c r="E85" s="120"/>
      <c r="F85" s="131"/>
      <c r="G85" s="131"/>
      <c r="H85" s="122" t="s">
        <v>153</v>
      </c>
      <c r="J85" s="2"/>
    </row>
    <row r="86" spans="1:10" x14ac:dyDescent="0.2">
      <c r="A86" s="123">
        <v>1</v>
      </c>
      <c r="B86" s="124"/>
      <c r="C86" s="124" t="s">
        <v>171</v>
      </c>
      <c r="D86" s="124"/>
      <c r="E86" s="133"/>
      <c r="F86" s="126">
        <v>53.597335600000001</v>
      </c>
      <c r="G86" s="127">
        <v>1.2802859999999999E-2</v>
      </c>
      <c r="H86" s="122">
        <v>6.62</v>
      </c>
      <c r="J86" s="2"/>
    </row>
    <row r="87" spans="1:10" x14ac:dyDescent="0.2">
      <c r="A87" s="120"/>
      <c r="B87" s="120"/>
      <c r="C87" s="121" t="s">
        <v>152</v>
      </c>
      <c r="D87" s="120"/>
      <c r="E87" s="120" t="s">
        <v>153</v>
      </c>
      <c r="F87" s="128">
        <v>53.597335600000001</v>
      </c>
      <c r="G87" s="129">
        <v>1.2802859999999999E-2</v>
      </c>
      <c r="H87" s="122" t="s">
        <v>153</v>
      </c>
      <c r="J87" s="2"/>
    </row>
    <row r="88" spans="1:10" x14ac:dyDescent="0.2">
      <c r="A88" s="120"/>
      <c r="B88" s="120"/>
      <c r="C88" s="130"/>
      <c r="D88" s="120"/>
      <c r="E88" s="120"/>
      <c r="F88" s="131"/>
      <c r="G88" s="131"/>
      <c r="H88" s="122" t="s">
        <v>153</v>
      </c>
      <c r="J88" s="2"/>
    </row>
    <row r="89" spans="1:10" x14ac:dyDescent="0.2">
      <c r="A89" s="120"/>
      <c r="B89" s="120"/>
      <c r="C89" s="121" t="s">
        <v>172</v>
      </c>
      <c r="D89" s="120"/>
      <c r="E89" s="120"/>
      <c r="F89" s="128">
        <v>53.597335600000001</v>
      </c>
      <c r="G89" s="129">
        <v>1.2802859999999999E-2</v>
      </c>
      <c r="H89" s="122" t="s">
        <v>153</v>
      </c>
      <c r="J89" s="2"/>
    </row>
    <row r="90" spans="1:10" x14ac:dyDescent="0.2">
      <c r="A90" s="120"/>
      <c r="B90" s="120"/>
      <c r="C90" s="131"/>
      <c r="D90" s="120"/>
      <c r="E90" s="120"/>
      <c r="F90" s="120"/>
      <c r="G90" s="120"/>
      <c r="H90" s="122" t="s">
        <v>153</v>
      </c>
      <c r="J90" s="2"/>
    </row>
    <row r="91" spans="1:10" x14ac:dyDescent="0.2">
      <c r="A91" s="120"/>
      <c r="B91" s="120"/>
      <c r="C91" s="121" t="s">
        <v>173</v>
      </c>
      <c r="D91" s="120"/>
      <c r="E91" s="120"/>
      <c r="F91" s="120"/>
      <c r="G91" s="120"/>
      <c r="H91" s="122" t="s">
        <v>153</v>
      </c>
      <c r="J91" s="2"/>
    </row>
    <row r="92" spans="1:10" x14ac:dyDescent="0.2">
      <c r="A92" s="120"/>
      <c r="B92" s="120"/>
      <c r="C92" s="121" t="s">
        <v>174</v>
      </c>
      <c r="D92" s="120"/>
      <c r="E92" s="120"/>
      <c r="F92" s="120"/>
      <c r="G92" s="120"/>
      <c r="H92" s="122" t="s">
        <v>153</v>
      </c>
      <c r="J92" s="2"/>
    </row>
    <row r="93" spans="1:10" x14ac:dyDescent="0.2">
      <c r="A93" s="120"/>
      <c r="B93" s="120"/>
      <c r="C93" s="121" t="s">
        <v>152</v>
      </c>
      <c r="D93" s="120"/>
      <c r="E93" s="120" t="s">
        <v>153</v>
      </c>
      <c r="F93" s="132" t="s">
        <v>155</v>
      </c>
      <c r="G93" s="129">
        <v>0</v>
      </c>
      <c r="H93" s="122" t="s">
        <v>153</v>
      </c>
      <c r="J93" s="2"/>
    </row>
    <row r="94" spans="1:10" x14ac:dyDescent="0.2">
      <c r="A94" s="120"/>
      <c r="B94" s="120"/>
      <c r="C94" s="130"/>
      <c r="D94" s="120"/>
      <c r="E94" s="120"/>
      <c r="F94" s="131"/>
      <c r="G94" s="131"/>
      <c r="H94" s="122" t="s">
        <v>153</v>
      </c>
      <c r="J94" s="2"/>
    </row>
    <row r="95" spans="1:10" x14ac:dyDescent="0.2">
      <c r="A95" s="120"/>
      <c r="B95" s="120"/>
      <c r="C95" s="121" t="s">
        <v>175</v>
      </c>
      <c r="D95" s="120"/>
      <c r="E95" s="120"/>
      <c r="F95" s="120"/>
      <c r="G95" s="120"/>
      <c r="H95" s="122" t="s">
        <v>153</v>
      </c>
      <c r="J95" s="2"/>
    </row>
    <row r="96" spans="1:10" x14ac:dyDescent="0.2">
      <c r="A96" s="120"/>
      <c r="B96" s="120"/>
      <c r="C96" s="121" t="s">
        <v>176</v>
      </c>
      <c r="D96" s="120"/>
      <c r="E96" s="120"/>
      <c r="F96" s="120"/>
      <c r="G96" s="120"/>
      <c r="H96" s="122" t="s">
        <v>153</v>
      </c>
      <c r="J96" s="2"/>
    </row>
    <row r="97" spans="1:17" x14ac:dyDescent="0.2">
      <c r="A97" s="120"/>
      <c r="B97" s="120"/>
      <c r="C97" s="121" t="s">
        <v>152</v>
      </c>
      <c r="D97" s="120"/>
      <c r="E97" s="120" t="s">
        <v>153</v>
      </c>
      <c r="F97" s="132" t="s">
        <v>155</v>
      </c>
      <c r="G97" s="129">
        <v>0</v>
      </c>
      <c r="H97" s="122" t="s">
        <v>153</v>
      </c>
      <c r="J97" s="2"/>
    </row>
    <row r="98" spans="1:17" x14ac:dyDescent="0.2">
      <c r="A98" s="120"/>
      <c r="B98" s="120"/>
      <c r="C98" s="130"/>
      <c r="D98" s="120"/>
      <c r="E98" s="120"/>
      <c r="F98" s="131"/>
      <c r="G98" s="131"/>
      <c r="H98" s="122" t="s">
        <v>153</v>
      </c>
      <c r="J98" s="2"/>
    </row>
    <row r="99" spans="1:17" ht="25.5" x14ac:dyDescent="0.2">
      <c r="A99" s="120"/>
      <c r="B99" s="120"/>
      <c r="C99" s="121" t="s">
        <v>177</v>
      </c>
      <c r="D99" s="120"/>
      <c r="E99" s="120"/>
      <c r="F99" s="131"/>
      <c r="G99" s="131"/>
      <c r="H99" s="122" t="s">
        <v>153</v>
      </c>
      <c r="J99" s="2"/>
    </row>
    <row r="100" spans="1:17" x14ac:dyDescent="0.2">
      <c r="A100" s="120"/>
      <c r="B100" s="120"/>
      <c r="C100" s="121" t="s">
        <v>152</v>
      </c>
      <c r="D100" s="120"/>
      <c r="E100" s="120" t="s">
        <v>153</v>
      </c>
      <c r="F100" s="132" t="s">
        <v>155</v>
      </c>
      <c r="G100" s="129">
        <v>0</v>
      </c>
      <c r="H100" s="122" t="s">
        <v>153</v>
      </c>
      <c r="J100" s="2"/>
    </row>
    <row r="101" spans="1:17" x14ac:dyDescent="0.2">
      <c r="A101" s="120"/>
      <c r="B101" s="120"/>
      <c r="C101" s="130"/>
      <c r="D101" s="120"/>
      <c r="E101" s="120"/>
      <c r="F101" s="131"/>
      <c r="G101" s="131"/>
      <c r="H101" s="122" t="s">
        <v>153</v>
      </c>
      <c r="J101" s="2"/>
    </row>
    <row r="102" spans="1:17" x14ac:dyDescent="0.2">
      <c r="A102" s="133"/>
      <c r="B102" s="124"/>
      <c r="C102" s="124" t="s">
        <v>178</v>
      </c>
      <c r="D102" s="124"/>
      <c r="E102" s="133"/>
      <c r="F102" s="126">
        <v>-6.1360837000000004</v>
      </c>
      <c r="G102" s="127">
        <v>-1.4657299999999999E-3</v>
      </c>
      <c r="H102" s="122" t="s">
        <v>153</v>
      </c>
      <c r="J102" s="2"/>
    </row>
    <row r="103" spans="1:17" x14ac:dyDescent="0.2">
      <c r="A103" s="130"/>
      <c r="B103" s="130"/>
      <c r="C103" s="121" t="s">
        <v>179</v>
      </c>
      <c r="D103" s="131"/>
      <c r="E103" s="131"/>
      <c r="F103" s="128">
        <v>4186.3555567000003</v>
      </c>
      <c r="G103" s="134">
        <v>1.0000000499999999</v>
      </c>
      <c r="H103" s="122" t="s">
        <v>153</v>
      </c>
      <c r="J103" s="2"/>
    </row>
    <row r="104" spans="1:17" x14ac:dyDescent="0.2">
      <c r="A104" s="135"/>
      <c r="B104" s="135"/>
      <c r="C104" s="135"/>
      <c r="D104" s="136"/>
      <c r="E104" s="136"/>
      <c r="F104" s="136"/>
      <c r="G104" s="136"/>
      <c r="J104" s="2"/>
    </row>
    <row r="105" spans="1:17" x14ac:dyDescent="0.2">
      <c r="A105" s="137"/>
      <c r="B105" s="226" t="s">
        <v>863</v>
      </c>
      <c r="C105" s="226"/>
      <c r="D105" s="226"/>
      <c r="E105" s="226"/>
      <c r="F105" s="226"/>
      <c r="G105" s="226"/>
      <c r="H105" s="226"/>
      <c r="J105" s="2"/>
    </row>
    <row r="106" spans="1:17" x14ac:dyDescent="0.2">
      <c r="A106" s="137"/>
      <c r="B106" s="226" t="s">
        <v>864</v>
      </c>
      <c r="C106" s="226"/>
      <c r="D106" s="226"/>
      <c r="E106" s="226"/>
      <c r="F106" s="226"/>
      <c r="G106" s="226"/>
      <c r="H106" s="226"/>
      <c r="J106" s="2"/>
    </row>
    <row r="107" spans="1:17" x14ac:dyDescent="0.2">
      <c r="A107" s="137"/>
      <c r="B107" s="226" t="s">
        <v>865</v>
      </c>
      <c r="C107" s="226"/>
      <c r="D107" s="226"/>
      <c r="E107" s="226"/>
      <c r="F107" s="226"/>
      <c r="G107" s="226"/>
      <c r="H107" s="226"/>
      <c r="J107" s="2"/>
    </row>
    <row r="108" spans="1:17" s="5" customFormat="1" ht="15" x14ac:dyDescent="0.25">
      <c r="A108" s="139"/>
      <c r="B108" s="227" t="s">
        <v>866</v>
      </c>
      <c r="C108" s="227"/>
      <c r="D108" s="227"/>
      <c r="E108" s="227"/>
      <c r="F108" s="227"/>
      <c r="G108" s="227"/>
      <c r="H108" s="227"/>
      <c r="I108"/>
      <c r="J108" s="2"/>
      <c r="K108"/>
      <c r="L108"/>
      <c r="M108"/>
      <c r="N108"/>
      <c r="O108"/>
      <c r="P108"/>
      <c r="Q108"/>
    </row>
    <row r="109" spans="1:17" x14ac:dyDescent="0.2">
      <c r="A109" s="137"/>
      <c r="B109" s="226" t="s">
        <v>867</v>
      </c>
      <c r="C109" s="226"/>
      <c r="D109" s="226"/>
      <c r="E109" s="226"/>
      <c r="F109" s="226"/>
      <c r="G109" s="226"/>
      <c r="H109" s="226"/>
      <c r="J109" s="2"/>
    </row>
    <row r="110" spans="1:17" x14ac:dyDescent="0.2">
      <c r="A110" s="140"/>
      <c r="B110" s="140"/>
      <c r="C110" s="140"/>
      <c r="D110" s="141"/>
      <c r="E110" s="141"/>
      <c r="F110" s="141"/>
      <c r="G110" s="141"/>
      <c r="J110" s="2"/>
    </row>
    <row r="111" spans="1:17" x14ac:dyDescent="0.2">
      <c r="A111" s="140"/>
      <c r="B111" s="228" t="s">
        <v>180</v>
      </c>
      <c r="C111" s="229"/>
      <c r="D111" s="230"/>
      <c r="E111" s="142"/>
      <c r="F111" s="141"/>
      <c r="G111" s="141"/>
      <c r="J111" s="2"/>
    </row>
    <row r="112" spans="1:17" x14ac:dyDescent="0.2">
      <c r="A112" s="140"/>
      <c r="B112" s="223" t="s">
        <v>181</v>
      </c>
      <c r="C112" s="224"/>
      <c r="D112" s="121" t="s">
        <v>182</v>
      </c>
      <c r="E112" s="142"/>
      <c r="F112" s="141"/>
      <c r="G112" s="141"/>
      <c r="J112" s="2"/>
    </row>
    <row r="113" spans="1:10" x14ac:dyDescent="0.2">
      <c r="A113" s="137"/>
      <c r="B113" s="221" t="s">
        <v>868</v>
      </c>
      <c r="C113" s="222"/>
      <c r="D113" s="143" t="s">
        <v>182</v>
      </c>
      <c r="E113" s="161"/>
      <c r="F113" s="162"/>
      <c r="G113" s="162"/>
      <c r="J113" s="2"/>
    </row>
    <row r="114" spans="1:10" x14ac:dyDescent="0.2">
      <c r="A114" s="140"/>
      <c r="B114" s="223" t="s">
        <v>184</v>
      </c>
      <c r="C114" s="224"/>
      <c r="D114" s="131" t="s">
        <v>153</v>
      </c>
      <c r="E114" s="142"/>
      <c r="F114" s="141"/>
      <c r="G114" s="141"/>
      <c r="J114" s="2"/>
    </row>
    <row r="115" spans="1:10" x14ac:dyDescent="0.2">
      <c r="A115" s="144"/>
      <c r="B115" s="145" t="s">
        <v>153</v>
      </c>
      <c r="C115" s="145" t="s">
        <v>870</v>
      </c>
      <c r="D115" s="145" t="s">
        <v>185</v>
      </c>
      <c r="E115" s="144"/>
      <c r="F115" s="144"/>
      <c r="G115" s="144"/>
      <c r="H115" s="144"/>
      <c r="J115" s="2"/>
    </row>
    <row r="116" spans="1:10" x14ac:dyDescent="0.2">
      <c r="A116" s="146"/>
      <c r="B116" s="147" t="s">
        <v>186</v>
      </c>
      <c r="C116" s="148">
        <v>45504</v>
      </c>
      <c r="D116" s="149">
        <v>45535</v>
      </c>
      <c r="E116" s="146"/>
      <c r="F116" s="146"/>
      <c r="G116" s="146"/>
      <c r="J116" s="2"/>
    </row>
    <row r="117" spans="1:10" x14ac:dyDescent="0.2">
      <c r="A117" s="146"/>
      <c r="B117" s="124" t="s">
        <v>187</v>
      </c>
      <c r="C117" s="150">
        <v>27.543900000000001</v>
      </c>
      <c r="D117" s="150">
        <v>28.389500000000002</v>
      </c>
      <c r="E117" s="146"/>
      <c r="F117" s="151"/>
      <c r="G117" s="152"/>
      <c r="J117" s="2"/>
    </row>
    <row r="118" spans="1:10" x14ac:dyDescent="0.2">
      <c r="A118" s="146"/>
      <c r="B118" s="124" t="s">
        <v>926</v>
      </c>
      <c r="C118" s="150">
        <v>26.6585</v>
      </c>
      <c r="D118" s="150">
        <v>27.477</v>
      </c>
      <c r="E118" s="146"/>
      <c r="F118" s="151"/>
      <c r="G118" s="152"/>
      <c r="J118" s="2"/>
    </row>
    <row r="119" spans="1:10" x14ac:dyDescent="0.2">
      <c r="A119" s="146"/>
      <c r="B119" s="124" t="s">
        <v>188</v>
      </c>
      <c r="C119" s="150">
        <v>26.337</v>
      </c>
      <c r="D119" s="150">
        <v>27.14</v>
      </c>
      <c r="E119" s="146"/>
      <c r="F119" s="151"/>
      <c r="G119" s="152"/>
      <c r="J119" s="2"/>
    </row>
    <row r="120" spans="1:10" x14ac:dyDescent="0.2">
      <c r="A120" s="146"/>
      <c r="B120" s="124" t="s">
        <v>927</v>
      </c>
      <c r="C120" s="150">
        <v>25.452999999999999</v>
      </c>
      <c r="D120" s="150">
        <v>26.229099999999999</v>
      </c>
      <c r="E120" s="146"/>
      <c r="F120" s="151"/>
      <c r="G120" s="152"/>
      <c r="J120" s="2"/>
    </row>
    <row r="121" spans="1:10" x14ac:dyDescent="0.2">
      <c r="A121" s="146"/>
      <c r="B121" s="146"/>
      <c r="C121" s="146"/>
      <c r="D121" s="146"/>
      <c r="E121" s="146"/>
      <c r="F121" s="146"/>
      <c r="G121" s="146"/>
      <c r="J121" s="2"/>
    </row>
    <row r="122" spans="1:10" x14ac:dyDescent="0.2">
      <c r="A122" s="144"/>
      <c r="B122" s="221" t="s">
        <v>869</v>
      </c>
      <c r="C122" s="222"/>
      <c r="D122" s="143" t="s">
        <v>182</v>
      </c>
      <c r="E122" s="144"/>
      <c r="F122" s="144"/>
      <c r="G122" s="144"/>
      <c r="J122" s="2"/>
    </row>
    <row r="123" spans="1:10" x14ac:dyDescent="0.2">
      <c r="A123" s="144"/>
      <c r="B123" s="163"/>
      <c r="C123" s="163"/>
      <c r="D123" s="163"/>
      <c r="E123" s="144"/>
      <c r="F123" s="144"/>
      <c r="G123" s="144"/>
      <c r="J123" s="2"/>
    </row>
    <row r="124" spans="1:10" x14ac:dyDescent="0.2">
      <c r="A124" s="144"/>
      <c r="B124" s="221" t="s">
        <v>189</v>
      </c>
      <c r="C124" s="222"/>
      <c r="D124" s="143" t="s">
        <v>182</v>
      </c>
      <c r="E124" s="153"/>
      <c r="F124" s="144"/>
      <c r="G124" s="144"/>
      <c r="J124" s="2"/>
    </row>
    <row r="125" spans="1:10" x14ac:dyDescent="0.2">
      <c r="A125" s="144"/>
      <c r="B125" s="221" t="s">
        <v>190</v>
      </c>
      <c r="C125" s="222"/>
      <c r="D125" s="143" t="s">
        <v>182</v>
      </c>
      <c r="E125" s="153"/>
      <c r="F125" s="144"/>
      <c r="G125" s="144"/>
      <c r="J125" s="2"/>
    </row>
    <row r="126" spans="1:10" x14ac:dyDescent="0.2">
      <c r="A126" s="144"/>
      <c r="B126" s="221" t="s">
        <v>191</v>
      </c>
      <c r="C126" s="222"/>
      <c r="D126" s="143" t="s">
        <v>182</v>
      </c>
      <c r="E126" s="153"/>
      <c r="F126" s="144"/>
      <c r="G126" s="144"/>
      <c r="J126" s="2"/>
    </row>
    <row r="127" spans="1:10" x14ac:dyDescent="0.2">
      <c r="A127" s="144"/>
      <c r="B127" s="221" t="s">
        <v>192</v>
      </c>
      <c r="C127" s="222"/>
      <c r="D127" s="154">
        <v>0.30981805955359154</v>
      </c>
      <c r="E127" s="144"/>
      <c r="F127" s="138"/>
      <c r="G127" s="155"/>
      <c r="J127" s="2"/>
    </row>
    <row r="128" spans="1:10" x14ac:dyDescent="0.2">
      <c r="J128" s="2"/>
    </row>
    <row r="129" spans="10:10" x14ac:dyDescent="0.2">
      <c r="J129" s="2"/>
    </row>
  </sheetData>
  <mergeCells count="17">
    <mergeCell ref="B112:C112"/>
    <mergeCell ref="A1:H1"/>
    <mergeCell ref="A2:H2"/>
    <mergeCell ref="A3:H3"/>
    <mergeCell ref="B105:H105"/>
    <mergeCell ref="B106:H106"/>
    <mergeCell ref="B107:H107"/>
    <mergeCell ref="B108:H108"/>
    <mergeCell ref="B109:H109"/>
    <mergeCell ref="B111:D111"/>
    <mergeCell ref="B113:C113"/>
    <mergeCell ref="B114:C114"/>
    <mergeCell ref="B122:C122"/>
    <mergeCell ref="B126:C126"/>
    <mergeCell ref="B127:C127"/>
    <mergeCell ref="B124:C124"/>
    <mergeCell ref="B125:C125"/>
  </mergeCells>
  <hyperlinks>
    <hyperlink ref="I1" location="Index!B13" display="Index" xr:uid="{9FA7B351-5766-4A61-B7A3-A57BBB602D7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09E6-7ECC-4AA8-836D-F534460DB2FD}">
  <sheetPr>
    <outlinePr summaryBelow="0" summaryRight="0"/>
  </sheetPr>
  <dimension ref="A1:Q17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489</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tr">
        <f>IFERROR(VLOOKUP(B5,'[1]Debt Holding Consolidated'!$C$1:$N$65536,12,FALSE),"")</f>
        <v/>
      </c>
      <c r="J5" s="2"/>
    </row>
    <row r="6" spans="1:10" ht="25.5" x14ac:dyDescent="0.2">
      <c r="A6" s="120"/>
      <c r="B6" s="120"/>
      <c r="C6" s="121" t="s">
        <v>10</v>
      </c>
      <c r="D6" s="120"/>
      <c r="E6" s="120"/>
      <c r="F6" s="120"/>
      <c r="G6" s="120"/>
      <c r="H6" s="122" t="str">
        <f>IFERROR(VLOOKUP(B6,'[1]Debt Holding Consolidated'!$C$1:$N$65536,12,FALSE),"")</f>
        <v/>
      </c>
      <c r="J6" s="2"/>
    </row>
    <row r="7" spans="1:10" x14ac:dyDescent="0.2">
      <c r="A7" s="123">
        <v>1</v>
      </c>
      <c r="B7" s="124" t="s">
        <v>256</v>
      </c>
      <c r="C7" s="124" t="s">
        <v>257</v>
      </c>
      <c r="D7" s="124" t="s">
        <v>89</v>
      </c>
      <c r="E7" s="125">
        <v>635275</v>
      </c>
      <c r="F7" s="126">
        <v>10177.1055</v>
      </c>
      <c r="G7" s="127">
        <v>2.9054050000000001E-2</v>
      </c>
      <c r="H7" s="122" t="str">
        <f>IFERROR(VLOOKUP(B7,'[1]Debt Holding Consolidated'!$C$1:$N$65536,12,FALSE),"")</f>
        <v/>
      </c>
      <c r="J7" s="2"/>
    </row>
    <row r="8" spans="1:10" x14ac:dyDescent="0.2">
      <c r="A8" s="123">
        <v>2</v>
      </c>
      <c r="B8" s="124" t="s">
        <v>409</v>
      </c>
      <c r="C8" s="124" t="s">
        <v>410</v>
      </c>
      <c r="D8" s="124" t="s">
        <v>45</v>
      </c>
      <c r="E8" s="125">
        <v>387840</v>
      </c>
      <c r="F8" s="126">
        <v>9603.6940799999993</v>
      </c>
      <c r="G8" s="127">
        <v>2.7417049999999998E-2</v>
      </c>
      <c r="H8" s="122" t="str">
        <f>IFERROR(VLOOKUP(B8,'[1]Debt Holding Consolidated'!$C$1:$N$65536,12,FALSE),"")</f>
        <v/>
      </c>
      <c r="J8" s="2"/>
    </row>
    <row r="9" spans="1:10" x14ac:dyDescent="0.2">
      <c r="A9" s="123">
        <v>3</v>
      </c>
      <c r="B9" s="124" t="s">
        <v>363</v>
      </c>
      <c r="C9" s="124" t="s">
        <v>364</v>
      </c>
      <c r="D9" s="124" t="s">
        <v>239</v>
      </c>
      <c r="E9" s="125">
        <v>180746</v>
      </c>
      <c r="F9" s="126">
        <v>9367.7036879999996</v>
      </c>
      <c r="G9" s="127">
        <v>2.6743340000000001E-2</v>
      </c>
      <c r="H9" s="122" t="str">
        <f>IFERROR(VLOOKUP(B9,'[1]Debt Holding Consolidated'!$C$1:$N$65536,12,FALSE),"")</f>
        <v/>
      </c>
      <c r="J9" s="2"/>
    </row>
    <row r="10" spans="1:10" x14ac:dyDescent="0.2">
      <c r="A10" s="123">
        <v>4</v>
      </c>
      <c r="B10" s="124" t="s">
        <v>33</v>
      </c>
      <c r="C10" s="124" t="s">
        <v>34</v>
      </c>
      <c r="D10" s="124" t="s">
        <v>35</v>
      </c>
      <c r="E10" s="125">
        <v>936780</v>
      </c>
      <c r="F10" s="126">
        <v>8698.0023000000001</v>
      </c>
      <c r="G10" s="127">
        <v>2.4831450000000001E-2</v>
      </c>
      <c r="H10" s="122" t="str">
        <f>IFERROR(VLOOKUP(B10,'[1]Debt Holding Consolidated'!$C$1:$N$65536,12,FALSE),"")</f>
        <v/>
      </c>
      <c r="J10" s="2"/>
    </row>
    <row r="11" spans="1:10" x14ac:dyDescent="0.2">
      <c r="A11" s="123">
        <v>5</v>
      </c>
      <c r="B11" s="124" t="s">
        <v>145</v>
      </c>
      <c r="C11" s="124" t="s">
        <v>146</v>
      </c>
      <c r="D11" s="124" t="s">
        <v>45</v>
      </c>
      <c r="E11" s="125">
        <v>2132517</v>
      </c>
      <c r="F11" s="126">
        <v>8431.9722180000008</v>
      </c>
      <c r="G11" s="127">
        <v>2.4071970000000002E-2</v>
      </c>
      <c r="H11" s="122" t="str">
        <f>IFERROR(VLOOKUP(B11,'[1]Debt Holding Consolidated'!$C$1:$N$65536,12,FALSE),"")</f>
        <v/>
      </c>
      <c r="J11" s="2"/>
    </row>
    <row r="12" spans="1:10" ht="15" x14ac:dyDescent="0.2">
      <c r="A12" s="123">
        <v>6</v>
      </c>
      <c r="B12" s="124" t="s">
        <v>417</v>
      </c>
      <c r="C12" s="124" t="s">
        <v>418</v>
      </c>
      <c r="D12" s="124" t="s">
        <v>48</v>
      </c>
      <c r="E12" s="125">
        <v>18825767</v>
      </c>
      <c r="F12" s="126">
        <v>8266.3942896999997</v>
      </c>
      <c r="G12" s="127">
        <v>2.3599269999999999E-2</v>
      </c>
      <c r="H12" s="122" t="str">
        <f>IFERROR(VLOOKUP(B12,'[1]Debt Holding Consolidated'!$C$1:$N$65536,12,FALSE),"")</f>
        <v/>
      </c>
      <c r="J12" s="7"/>
    </row>
    <row r="13" spans="1:10" x14ac:dyDescent="0.2">
      <c r="A13" s="123">
        <v>7</v>
      </c>
      <c r="B13" s="124" t="s">
        <v>490</v>
      </c>
      <c r="C13" s="124" t="s">
        <v>491</v>
      </c>
      <c r="D13" s="124" t="s">
        <v>264</v>
      </c>
      <c r="E13" s="125">
        <v>410580</v>
      </c>
      <c r="F13" s="126">
        <v>7973.6688899999999</v>
      </c>
      <c r="G13" s="127">
        <v>2.276359E-2</v>
      </c>
      <c r="H13" s="122" t="str">
        <f>IFERROR(VLOOKUP(B13,'[1]Debt Holding Consolidated'!$C$1:$N$65536,12,FALSE),"")</f>
        <v/>
      </c>
      <c r="J13" s="2"/>
    </row>
    <row r="14" spans="1:10" x14ac:dyDescent="0.2">
      <c r="A14" s="123">
        <v>8</v>
      </c>
      <c r="B14" s="124" t="s">
        <v>401</v>
      </c>
      <c r="C14" s="124" t="s">
        <v>402</v>
      </c>
      <c r="D14" s="124" t="s">
        <v>403</v>
      </c>
      <c r="E14" s="125">
        <v>467145</v>
      </c>
      <c r="F14" s="126">
        <v>7621.9378200000001</v>
      </c>
      <c r="G14" s="127">
        <v>2.175945E-2</v>
      </c>
      <c r="H14" s="122" t="str">
        <f>IFERROR(VLOOKUP(B14,'[1]Debt Holding Consolidated'!$C$1:$N$65536,12,FALSE),"")</f>
        <v/>
      </c>
      <c r="J14" s="2"/>
    </row>
    <row r="15" spans="1:10" x14ac:dyDescent="0.2">
      <c r="A15" s="123">
        <v>9</v>
      </c>
      <c r="B15" s="124" t="s">
        <v>415</v>
      </c>
      <c r="C15" s="124" t="s">
        <v>416</v>
      </c>
      <c r="D15" s="124" t="s">
        <v>48</v>
      </c>
      <c r="E15" s="125">
        <v>8886124</v>
      </c>
      <c r="F15" s="126">
        <v>7225.3074243999999</v>
      </c>
      <c r="G15" s="127">
        <v>2.062713E-2</v>
      </c>
      <c r="H15" s="122" t="str">
        <f>IFERROR(VLOOKUP(B15,'[1]Debt Holding Consolidated'!$C$1:$N$65536,12,FALSE),"")</f>
        <v/>
      </c>
      <c r="J15" s="2"/>
    </row>
    <row r="16" spans="1:10" x14ac:dyDescent="0.2">
      <c r="A16" s="123">
        <v>10</v>
      </c>
      <c r="B16" s="124" t="s">
        <v>419</v>
      </c>
      <c r="C16" s="124" t="s">
        <v>420</v>
      </c>
      <c r="D16" s="124" t="s">
        <v>211</v>
      </c>
      <c r="E16" s="125">
        <v>934565</v>
      </c>
      <c r="F16" s="126">
        <v>6893.8187225000001</v>
      </c>
      <c r="G16" s="127">
        <v>1.9680779999999998E-2</v>
      </c>
      <c r="H16" s="122" t="str">
        <f>IFERROR(VLOOKUP(B16,'[1]Debt Holding Consolidated'!$C$1:$N$65536,12,FALSE),"")</f>
        <v/>
      </c>
      <c r="J16" s="2"/>
    </row>
    <row r="17" spans="1:10" ht="25.5" x14ac:dyDescent="0.2">
      <c r="A17" s="123">
        <v>11</v>
      </c>
      <c r="B17" s="124" t="s">
        <v>413</v>
      </c>
      <c r="C17" s="124" t="s">
        <v>414</v>
      </c>
      <c r="D17" s="124" t="s">
        <v>216</v>
      </c>
      <c r="E17" s="125">
        <v>1690672</v>
      </c>
      <c r="F17" s="126">
        <v>6875.9630239999997</v>
      </c>
      <c r="G17" s="127">
        <v>1.9629810000000001E-2</v>
      </c>
      <c r="H17" s="122" t="str">
        <f>IFERROR(VLOOKUP(B17,'[1]Debt Holding Consolidated'!$C$1:$N$65536,12,FALSE),"")</f>
        <v/>
      </c>
      <c r="J17" s="2" t="s">
        <v>935</v>
      </c>
    </row>
    <row r="18" spans="1:10" x14ac:dyDescent="0.2">
      <c r="A18" s="123">
        <v>12</v>
      </c>
      <c r="B18" s="124" t="s">
        <v>69</v>
      </c>
      <c r="C18" s="124" t="s">
        <v>70</v>
      </c>
      <c r="D18" s="124" t="s">
        <v>71</v>
      </c>
      <c r="E18" s="125">
        <v>570602</v>
      </c>
      <c r="F18" s="126">
        <v>6873.1863910000002</v>
      </c>
      <c r="G18" s="127">
        <v>1.9621880000000001E-2</v>
      </c>
      <c r="H18" s="122" t="str">
        <f>IFERROR(VLOOKUP(B18,'[1]Debt Holding Consolidated'!$C$1:$N$65536,12,FALSE),"")</f>
        <v/>
      </c>
      <c r="J18" s="2"/>
    </row>
    <row r="19" spans="1:10" x14ac:dyDescent="0.2">
      <c r="A19" s="123">
        <v>13</v>
      </c>
      <c r="B19" s="124" t="s">
        <v>443</v>
      </c>
      <c r="C19" s="124" t="s">
        <v>444</v>
      </c>
      <c r="D19" s="124" t="s">
        <v>236</v>
      </c>
      <c r="E19" s="125">
        <v>762252</v>
      </c>
      <c r="F19" s="126">
        <v>6271.0472040000004</v>
      </c>
      <c r="G19" s="127">
        <v>1.7902870000000001E-2</v>
      </c>
      <c r="H19" s="122" t="str">
        <f>IFERROR(VLOOKUP(B19,'[1]Debt Holding Consolidated'!$C$1:$N$65536,12,FALSE),"")</f>
        <v/>
      </c>
      <c r="J19" s="2"/>
    </row>
    <row r="20" spans="1:10" x14ac:dyDescent="0.2">
      <c r="A20" s="123">
        <v>14</v>
      </c>
      <c r="B20" s="124" t="s">
        <v>77</v>
      </c>
      <c r="C20" s="124" t="s">
        <v>78</v>
      </c>
      <c r="D20" s="124" t="s">
        <v>35</v>
      </c>
      <c r="E20" s="125">
        <v>126168</v>
      </c>
      <c r="F20" s="126">
        <v>5816.0924640000003</v>
      </c>
      <c r="G20" s="127">
        <v>1.660404E-2</v>
      </c>
      <c r="H20" s="122" t="str">
        <f>IFERROR(VLOOKUP(B20,'[1]Debt Holding Consolidated'!$C$1:$N$65536,12,FALSE),"")</f>
        <v/>
      </c>
      <c r="J20" s="2"/>
    </row>
    <row r="21" spans="1:10" x14ac:dyDescent="0.2">
      <c r="A21" s="123">
        <v>15</v>
      </c>
      <c r="B21" s="124" t="s">
        <v>289</v>
      </c>
      <c r="C21" s="124" t="s">
        <v>290</v>
      </c>
      <c r="D21" s="124" t="s">
        <v>66</v>
      </c>
      <c r="E21" s="125">
        <v>1291266</v>
      </c>
      <c r="F21" s="126">
        <v>5715.1433159999997</v>
      </c>
      <c r="G21" s="127">
        <v>1.631585E-2</v>
      </c>
      <c r="H21" s="122" t="str">
        <f>IFERROR(VLOOKUP(B21,'[1]Debt Holding Consolidated'!$C$1:$N$65536,12,FALSE),"")</f>
        <v/>
      </c>
      <c r="J21" s="2"/>
    </row>
    <row r="22" spans="1:10" ht="15" x14ac:dyDescent="0.2">
      <c r="A22" s="123">
        <v>16</v>
      </c>
      <c r="B22" s="124" t="s">
        <v>492</v>
      </c>
      <c r="C22" s="124" t="s">
        <v>493</v>
      </c>
      <c r="D22" s="124" t="s">
        <v>403</v>
      </c>
      <c r="E22" s="125">
        <v>287733</v>
      </c>
      <c r="F22" s="126">
        <v>5689.2007425000002</v>
      </c>
      <c r="G22" s="127">
        <v>1.6241780000000001E-2</v>
      </c>
      <c r="H22" s="122" t="str">
        <f>IFERROR(VLOOKUP(B22,'[1]Debt Holding Consolidated'!$C$1:$N$65536,12,FALSE),"")</f>
        <v/>
      </c>
      <c r="J22" s="7"/>
    </row>
    <row r="23" spans="1:10" x14ac:dyDescent="0.2">
      <c r="A23" s="123">
        <v>17</v>
      </c>
      <c r="B23" s="124" t="s">
        <v>251</v>
      </c>
      <c r="C23" s="124" t="s">
        <v>252</v>
      </c>
      <c r="D23" s="124" t="s">
        <v>236</v>
      </c>
      <c r="E23" s="125">
        <v>669376</v>
      </c>
      <c r="F23" s="126">
        <v>5590.2936639999998</v>
      </c>
      <c r="G23" s="127">
        <v>1.5959419999999998E-2</v>
      </c>
      <c r="H23" s="122" t="str">
        <f>IFERROR(VLOOKUP(B23,'[1]Debt Holding Consolidated'!$C$1:$N$65536,12,FALSE),"")</f>
        <v/>
      </c>
      <c r="J23" s="2"/>
    </row>
    <row r="24" spans="1:10" x14ac:dyDescent="0.2">
      <c r="A24" s="123">
        <v>18</v>
      </c>
      <c r="B24" s="124" t="s">
        <v>432</v>
      </c>
      <c r="C24" s="124" t="s">
        <v>433</v>
      </c>
      <c r="D24" s="124" t="s">
        <v>239</v>
      </c>
      <c r="E24" s="125">
        <v>206106</v>
      </c>
      <c r="F24" s="126">
        <v>5330.622531</v>
      </c>
      <c r="G24" s="127">
        <v>1.52181E-2</v>
      </c>
      <c r="H24" s="122" t="str">
        <f>IFERROR(VLOOKUP(B24,'[1]Debt Holding Consolidated'!$C$1:$N$65536,12,FALSE),"")</f>
        <v/>
      </c>
      <c r="J24" s="2"/>
    </row>
    <row r="25" spans="1:10" x14ac:dyDescent="0.2">
      <c r="A25" s="123">
        <v>19</v>
      </c>
      <c r="B25" s="124" t="s">
        <v>439</v>
      </c>
      <c r="C25" s="124" t="s">
        <v>440</v>
      </c>
      <c r="D25" s="124" t="s">
        <v>35</v>
      </c>
      <c r="E25" s="125">
        <v>864969</v>
      </c>
      <c r="F25" s="126">
        <v>5305.719846</v>
      </c>
      <c r="G25" s="127">
        <v>1.5147010000000001E-2</v>
      </c>
      <c r="H25" s="122" t="str">
        <f>IFERROR(VLOOKUP(B25,'[1]Debt Holding Consolidated'!$C$1:$N$65536,12,FALSE),"")</f>
        <v/>
      </c>
      <c r="J25" s="2"/>
    </row>
    <row r="26" spans="1:10" x14ac:dyDescent="0.2">
      <c r="A26" s="123">
        <v>20</v>
      </c>
      <c r="B26" s="124" t="s">
        <v>99</v>
      </c>
      <c r="C26" s="124" t="s">
        <v>100</v>
      </c>
      <c r="D26" s="124" t="s">
        <v>71</v>
      </c>
      <c r="E26" s="125">
        <v>312382</v>
      </c>
      <c r="F26" s="126">
        <v>5278.4748449999997</v>
      </c>
      <c r="G26" s="127">
        <v>1.5069229999999999E-2</v>
      </c>
      <c r="H26" s="122" t="str">
        <f>IFERROR(VLOOKUP(B26,'[1]Debt Holding Consolidated'!$C$1:$N$65536,12,FALSE),"")</f>
        <v/>
      </c>
      <c r="J26" s="2"/>
    </row>
    <row r="27" spans="1:10" ht="25.5" x14ac:dyDescent="0.2">
      <c r="A27" s="123">
        <v>21</v>
      </c>
      <c r="B27" s="124" t="s">
        <v>112</v>
      </c>
      <c r="C27" s="124" t="s">
        <v>113</v>
      </c>
      <c r="D27" s="124" t="s">
        <v>13</v>
      </c>
      <c r="E27" s="125">
        <v>774293</v>
      </c>
      <c r="F27" s="126">
        <v>5212.5404760000001</v>
      </c>
      <c r="G27" s="127">
        <v>1.488099E-2</v>
      </c>
      <c r="H27" s="122" t="str">
        <f>IFERROR(VLOOKUP(B27,'[1]Debt Holding Consolidated'!$C$1:$N$65536,12,FALSE),"")</f>
        <v/>
      </c>
      <c r="J27" s="2"/>
    </row>
    <row r="28" spans="1:10" x14ac:dyDescent="0.2">
      <c r="A28" s="123">
        <v>22</v>
      </c>
      <c r="B28" s="124" t="s">
        <v>494</v>
      </c>
      <c r="C28" s="124" t="s">
        <v>495</v>
      </c>
      <c r="D28" s="124" t="s">
        <v>74</v>
      </c>
      <c r="E28" s="125">
        <v>185687</v>
      </c>
      <c r="F28" s="126">
        <v>5118.0907809999999</v>
      </c>
      <c r="G28" s="127">
        <v>1.461135E-2</v>
      </c>
      <c r="H28" s="122" t="str">
        <f>IFERROR(VLOOKUP(B28,'[1]Debt Holding Consolidated'!$C$1:$N$65536,12,FALSE),"")</f>
        <v/>
      </c>
      <c r="J28" s="2"/>
    </row>
    <row r="29" spans="1:10" ht="25.5" x14ac:dyDescent="0.2">
      <c r="A29" s="123">
        <v>23</v>
      </c>
      <c r="B29" s="124" t="s">
        <v>324</v>
      </c>
      <c r="C29" s="124" t="s">
        <v>325</v>
      </c>
      <c r="D29" s="124" t="s">
        <v>250</v>
      </c>
      <c r="E29" s="125">
        <v>150600</v>
      </c>
      <c r="F29" s="126">
        <v>4967.3904000000002</v>
      </c>
      <c r="G29" s="127">
        <v>1.418113E-2</v>
      </c>
      <c r="H29" s="122" t="str">
        <f>IFERROR(VLOOKUP(B29,'[1]Debt Holding Consolidated'!$C$1:$N$65536,12,FALSE),"")</f>
        <v/>
      </c>
      <c r="J29" s="2"/>
    </row>
    <row r="30" spans="1:10" ht="25.5" x14ac:dyDescent="0.2">
      <c r="A30" s="123">
        <v>24</v>
      </c>
      <c r="B30" s="124" t="s">
        <v>287</v>
      </c>
      <c r="C30" s="124" t="s">
        <v>288</v>
      </c>
      <c r="D30" s="124" t="s">
        <v>211</v>
      </c>
      <c r="E30" s="125">
        <v>77065</v>
      </c>
      <c r="F30" s="126">
        <v>4889.0421324999998</v>
      </c>
      <c r="G30" s="127">
        <v>1.395746E-2</v>
      </c>
      <c r="H30" s="122" t="str">
        <f>IFERROR(VLOOKUP(B30,'[1]Debt Holding Consolidated'!$C$1:$N$65536,12,FALSE),"")</f>
        <v/>
      </c>
      <c r="J30" s="2" t="s">
        <v>936</v>
      </c>
    </row>
    <row r="31" spans="1:10" x14ac:dyDescent="0.2">
      <c r="A31" s="123">
        <v>25</v>
      </c>
      <c r="B31" s="124" t="s">
        <v>87</v>
      </c>
      <c r="C31" s="124" t="s">
        <v>88</v>
      </c>
      <c r="D31" s="124" t="s">
        <v>89</v>
      </c>
      <c r="E31" s="125">
        <v>872038</v>
      </c>
      <c r="F31" s="126">
        <v>4792.2848290000002</v>
      </c>
      <c r="G31" s="127">
        <v>1.3681230000000001E-2</v>
      </c>
      <c r="H31" s="122" t="str">
        <f>IFERROR(VLOOKUP(B31,'[1]Debt Holding Consolidated'!$C$1:$N$65536,12,FALSE),"")</f>
        <v/>
      </c>
      <c r="J31" s="2"/>
    </row>
    <row r="32" spans="1:10" x14ac:dyDescent="0.2">
      <c r="A32" s="123">
        <v>26</v>
      </c>
      <c r="B32" s="124" t="s">
        <v>421</v>
      </c>
      <c r="C32" s="124" t="s">
        <v>422</v>
      </c>
      <c r="D32" s="124" t="s">
        <v>48</v>
      </c>
      <c r="E32" s="125">
        <v>1475316</v>
      </c>
      <c r="F32" s="126">
        <v>4774.8602339999998</v>
      </c>
      <c r="G32" s="127">
        <v>1.363148E-2</v>
      </c>
      <c r="H32" s="122" t="str">
        <f>IFERROR(VLOOKUP(B32,'[1]Debt Holding Consolidated'!$C$1:$N$65536,12,FALSE),"")</f>
        <v/>
      </c>
      <c r="J32" s="2"/>
    </row>
    <row r="33" spans="1:10" x14ac:dyDescent="0.2">
      <c r="A33" s="123">
        <v>27</v>
      </c>
      <c r="B33" s="124" t="s">
        <v>51</v>
      </c>
      <c r="C33" s="124" t="s">
        <v>52</v>
      </c>
      <c r="D33" s="124" t="s">
        <v>53</v>
      </c>
      <c r="E33" s="125">
        <v>1099317</v>
      </c>
      <c r="F33" s="126">
        <v>4690.7856389999997</v>
      </c>
      <c r="G33" s="127">
        <v>1.3391460000000001E-2</v>
      </c>
      <c r="H33" s="122" t="str">
        <f>IFERROR(VLOOKUP(B33,'[1]Debt Holding Consolidated'!$C$1:$N$65536,12,FALSE),"")</f>
        <v/>
      </c>
      <c r="J33" s="2"/>
    </row>
    <row r="34" spans="1:10" x14ac:dyDescent="0.2">
      <c r="A34" s="123">
        <v>28</v>
      </c>
      <c r="B34" s="124" t="s">
        <v>496</v>
      </c>
      <c r="C34" s="124" t="s">
        <v>497</v>
      </c>
      <c r="D34" s="124" t="s">
        <v>89</v>
      </c>
      <c r="E34" s="125">
        <v>478945</v>
      </c>
      <c r="F34" s="126">
        <v>4681.4479025000001</v>
      </c>
      <c r="G34" s="127">
        <v>1.336481E-2</v>
      </c>
      <c r="H34" s="122" t="str">
        <f>IFERROR(VLOOKUP(B34,'[1]Debt Holding Consolidated'!$C$1:$N$65536,12,FALSE),"")</f>
        <v/>
      </c>
      <c r="J34" s="2"/>
    </row>
    <row r="35" spans="1:10" x14ac:dyDescent="0.2">
      <c r="A35" s="123">
        <v>29</v>
      </c>
      <c r="B35" s="124" t="s">
        <v>427</v>
      </c>
      <c r="C35" s="124" t="s">
        <v>428</v>
      </c>
      <c r="D35" s="124" t="s">
        <v>429</v>
      </c>
      <c r="E35" s="125">
        <v>308127</v>
      </c>
      <c r="F35" s="126">
        <v>4666.7374785000002</v>
      </c>
      <c r="G35" s="127">
        <v>1.3322809999999999E-2</v>
      </c>
      <c r="H35" s="122" t="str">
        <f>IFERROR(VLOOKUP(B35,'[1]Debt Holding Consolidated'!$C$1:$N$65536,12,FALSE),"")</f>
        <v/>
      </c>
      <c r="J35" s="2"/>
    </row>
    <row r="36" spans="1:10" x14ac:dyDescent="0.2">
      <c r="A36" s="123">
        <v>30</v>
      </c>
      <c r="B36" s="124" t="s">
        <v>498</v>
      </c>
      <c r="C36" s="124" t="s">
        <v>499</v>
      </c>
      <c r="D36" s="124" t="s">
        <v>216</v>
      </c>
      <c r="E36" s="125">
        <v>85682</v>
      </c>
      <c r="F36" s="126">
        <v>4622.6295819999996</v>
      </c>
      <c r="G36" s="127">
        <v>1.3196889999999999E-2</v>
      </c>
      <c r="H36" s="122" t="str">
        <f>IFERROR(VLOOKUP(B36,'[1]Debt Holding Consolidated'!$C$1:$N$65536,12,FALSE),"")</f>
        <v/>
      </c>
      <c r="J36" s="2"/>
    </row>
    <row r="37" spans="1:10" x14ac:dyDescent="0.2">
      <c r="A37" s="123">
        <v>31</v>
      </c>
      <c r="B37" s="124" t="s">
        <v>62</v>
      </c>
      <c r="C37" s="124" t="s">
        <v>63</v>
      </c>
      <c r="D37" s="124" t="s">
        <v>13</v>
      </c>
      <c r="E37" s="125">
        <v>337012</v>
      </c>
      <c r="F37" s="126">
        <v>4541.4052060000004</v>
      </c>
      <c r="G37" s="127">
        <v>1.2965010000000001E-2</v>
      </c>
      <c r="H37" s="122" t="str">
        <f>IFERROR(VLOOKUP(B37,'[1]Debt Holding Consolidated'!$C$1:$N$65536,12,FALSE),"")</f>
        <v/>
      </c>
      <c r="J37" s="2"/>
    </row>
    <row r="38" spans="1:10" x14ac:dyDescent="0.2">
      <c r="A38" s="123">
        <v>32</v>
      </c>
      <c r="B38" s="124" t="s">
        <v>293</v>
      </c>
      <c r="C38" s="124" t="s">
        <v>294</v>
      </c>
      <c r="D38" s="124" t="s">
        <v>239</v>
      </c>
      <c r="E38" s="125">
        <v>156338</v>
      </c>
      <c r="F38" s="126">
        <v>4428.5083569999997</v>
      </c>
      <c r="G38" s="127">
        <v>1.26427E-2</v>
      </c>
      <c r="H38" s="122" t="str">
        <f>IFERROR(VLOOKUP(B38,'[1]Debt Holding Consolidated'!$C$1:$N$65536,12,FALSE),"")</f>
        <v/>
      </c>
      <c r="J38" s="2"/>
    </row>
    <row r="39" spans="1:10" x14ac:dyDescent="0.2">
      <c r="A39" s="123">
        <v>33</v>
      </c>
      <c r="B39" s="124" t="s">
        <v>11</v>
      </c>
      <c r="C39" s="124" t="s">
        <v>12</v>
      </c>
      <c r="D39" s="124" t="s">
        <v>13</v>
      </c>
      <c r="E39" s="125">
        <v>119155</v>
      </c>
      <c r="F39" s="126">
        <v>4414.2757075</v>
      </c>
      <c r="G39" s="127">
        <v>1.260207E-2</v>
      </c>
      <c r="H39" s="122" t="str">
        <f>IFERROR(VLOOKUP(B39,'[1]Debt Holding Consolidated'!$C$1:$N$65536,12,FALSE),"")</f>
        <v/>
      </c>
      <c r="J39" s="2"/>
    </row>
    <row r="40" spans="1:10" x14ac:dyDescent="0.2">
      <c r="A40" s="123">
        <v>34</v>
      </c>
      <c r="B40" s="124" t="s">
        <v>122</v>
      </c>
      <c r="C40" s="124" t="s">
        <v>123</v>
      </c>
      <c r="D40" s="124" t="s">
        <v>74</v>
      </c>
      <c r="E40" s="125">
        <v>449718</v>
      </c>
      <c r="F40" s="126">
        <v>4396.2183089999999</v>
      </c>
      <c r="G40" s="127">
        <v>1.2550520000000001E-2</v>
      </c>
      <c r="H40" s="122" t="str">
        <f>IFERROR(VLOOKUP(B40,'[1]Debt Holding Consolidated'!$C$1:$N$65536,12,FALSE),"")</f>
        <v/>
      </c>
      <c r="J40" s="2"/>
    </row>
    <row r="41" spans="1:10" ht="25.5" x14ac:dyDescent="0.2">
      <c r="A41" s="123">
        <v>35</v>
      </c>
      <c r="B41" s="124" t="s">
        <v>425</v>
      </c>
      <c r="C41" s="124" t="s">
        <v>426</v>
      </c>
      <c r="D41" s="124" t="s">
        <v>208</v>
      </c>
      <c r="E41" s="125">
        <v>220527</v>
      </c>
      <c r="F41" s="126">
        <v>4308.6565259999998</v>
      </c>
      <c r="G41" s="127">
        <v>1.230055E-2</v>
      </c>
      <c r="H41" s="122" t="str">
        <f>IFERROR(VLOOKUP(B41,'[1]Debt Holding Consolidated'!$C$1:$N$65536,12,FALSE),"")</f>
        <v/>
      </c>
      <c r="J41" s="2"/>
    </row>
    <row r="42" spans="1:10" x14ac:dyDescent="0.2">
      <c r="A42" s="123">
        <v>36</v>
      </c>
      <c r="B42" s="124" t="s">
        <v>449</v>
      </c>
      <c r="C42" s="124" t="s">
        <v>450</v>
      </c>
      <c r="D42" s="124" t="s">
        <v>89</v>
      </c>
      <c r="E42" s="125">
        <v>348279</v>
      </c>
      <c r="F42" s="126">
        <v>4252.6607295000003</v>
      </c>
      <c r="G42" s="127">
        <v>1.2140690000000001E-2</v>
      </c>
      <c r="H42" s="122" t="str">
        <f>IFERROR(VLOOKUP(B42,'[1]Debt Holding Consolidated'!$C$1:$N$65536,12,FALSE),"")</f>
        <v/>
      </c>
      <c r="J42" s="2"/>
    </row>
    <row r="43" spans="1:10" x14ac:dyDescent="0.2">
      <c r="A43" s="123">
        <v>37</v>
      </c>
      <c r="B43" s="124" t="s">
        <v>457</v>
      </c>
      <c r="C43" s="124" t="s">
        <v>458</v>
      </c>
      <c r="D43" s="124" t="s">
        <v>35</v>
      </c>
      <c r="E43" s="125">
        <v>275772</v>
      </c>
      <c r="F43" s="126">
        <v>4204.9714560000002</v>
      </c>
      <c r="G43" s="127">
        <v>1.2004539999999999E-2</v>
      </c>
      <c r="H43" s="122" t="str">
        <f>IFERROR(VLOOKUP(B43,'[1]Debt Holding Consolidated'!$C$1:$N$65536,12,FALSE),"")</f>
        <v/>
      </c>
      <c r="J43" s="2"/>
    </row>
    <row r="44" spans="1:10" x14ac:dyDescent="0.2">
      <c r="A44" s="123">
        <v>38</v>
      </c>
      <c r="B44" s="124" t="s">
        <v>500</v>
      </c>
      <c r="C44" s="124" t="s">
        <v>501</v>
      </c>
      <c r="D44" s="124" t="s">
        <v>45</v>
      </c>
      <c r="E44" s="125">
        <v>369948</v>
      </c>
      <c r="F44" s="126">
        <v>4029.1036680000002</v>
      </c>
      <c r="G44" s="127">
        <v>1.1502470000000001E-2</v>
      </c>
      <c r="H44" s="122" t="str">
        <f>IFERROR(VLOOKUP(B44,'[1]Debt Holding Consolidated'!$C$1:$N$65536,12,FALSE),"")</f>
        <v/>
      </c>
      <c r="J44" s="2"/>
    </row>
    <row r="45" spans="1:10" x14ac:dyDescent="0.2">
      <c r="A45" s="123">
        <v>39</v>
      </c>
      <c r="B45" s="124" t="s">
        <v>502</v>
      </c>
      <c r="C45" s="124" t="s">
        <v>503</v>
      </c>
      <c r="D45" s="124" t="s">
        <v>504</v>
      </c>
      <c r="E45" s="125">
        <v>495271</v>
      </c>
      <c r="F45" s="126">
        <v>4027.543772</v>
      </c>
      <c r="G45" s="127">
        <v>1.1498009999999999E-2</v>
      </c>
      <c r="H45" s="122" t="str">
        <f>IFERROR(VLOOKUP(B45,'[1]Debt Holding Consolidated'!$C$1:$N$65536,12,FALSE),"")</f>
        <v/>
      </c>
      <c r="J45" s="2"/>
    </row>
    <row r="46" spans="1:10" ht="25.5" x14ac:dyDescent="0.2">
      <c r="A46" s="123">
        <v>40</v>
      </c>
      <c r="B46" s="124" t="s">
        <v>505</v>
      </c>
      <c r="C46" s="124" t="s">
        <v>506</v>
      </c>
      <c r="D46" s="124" t="s">
        <v>208</v>
      </c>
      <c r="E46" s="125">
        <v>484538</v>
      </c>
      <c r="F46" s="126">
        <v>3967.8816820000002</v>
      </c>
      <c r="G46" s="127">
        <v>1.132769E-2</v>
      </c>
      <c r="H46" s="122" t="str">
        <f>IFERROR(VLOOKUP(B46,'[1]Debt Holding Consolidated'!$C$1:$N$65536,12,FALSE),"")</f>
        <v/>
      </c>
      <c r="J46" s="2"/>
    </row>
    <row r="47" spans="1:10" ht="25.5" x14ac:dyDescent="0.2">
      <c r="A47" s="123">
        <v>41</v>
      </c>
      <c r="B47" s="124" t="s">
        <v>507</v>
      </c>
      <c r="C47" s="124" t="s">
        <v>508</v>
      </c>
      <c r="D47" s="124" t="s">
        <v>250</v>
      </c>
      <c r="E47" s="125">
        <v>265529</v>
      </c>
      <c r="F47" s="126">
        <v>3951.07152</v>
      </c>
      <c r="G47" s="127">
        <v>1.12797E-2</v>
      </c>
      <c r="H47" s="122" t="str">
        <f>IFERROR(VLOOKUP(B47,'[1]Debt Holding Consolidated'!$C$1:$N$65536,12,FALSE),"")</f>
        <v/>
      </c>
      <c r="J47" s="2"/>
    </row>
    <row r="48" spans="1:10" x14ac:dyDescent="0.2">
      <c r="A48" s="123">
        <v>42</v>
      </c>
      <c r="B48" s="124" t="s">
        <v>509</v>
      </c>
      <c r="C48" s="124" t="s">
        <v>510</v>
      </c>
      <c r="D48" s="124" t="s">
        <v>45</v>
      </c>
      <c r="E48" s="125">
        <v>1467882</v>
      </c>
      <c r="F48" s="126">
        <v>3938.3274059999999</v>
      </c>
      <c r="G48" s="127">
        <v>1.1243309999999999E-2</v>
      </c>
      <c r="H48" s="122" t="str">
        <f>IFERROR(VLOOKUP(B48,'[1]Debt Holding Consolidated'!$C$1:$N$65536,12,FALSE),"")</f>
        <v/>
      </c>
      <c r="J48" s="2"/>
    </row>
    <row r="49" spans="1:10" ht="25.5" x14ac:dyDescent="0.2">
      <c r="A49" s="123">
        <v>43</v>
      </c>
      <c r="B49" s="124" t="s">
        <v>434</v>
      </c>
      <c r="C49" s="124" t="s">
        <v>435</v>
      </c>
      <c r="D49" s="124" t="s">
        <v>208</v>
      </c>
      <c r="E49" s="125">
        <v>74554</v>
      </c>
      <c r="F49" s="126">
        <v>3890.004058</v>
      </c>
      <c r="G49" s="127">
        <v>1.110536E-2</v>
      </c>
      <c r="H49" s="122" t="str">
        <f>IFERROR(VLOOKUP(B49,'[1]Debt Holding Consolidated'!$C$1:$N$65536,12,FALSE),"")</f>
        <v/>
      </c>
      <c r="J49" s="2"/>
    </row>
    <row r="50" spans="1:10" x14ac:dyDescent="0.2">
      <c r="A50" s="123">
        <v>44</v>
      </c>
      <c r="B50" s="124" t="s">
        <v>361</v>
      </c>
      <c r="C50" s="124" t="s">
        <v>362</v>
      </c>
      <c r="D50" s="124" t="s">
        <v>273</v>
      </c>
      <c r="E50" s="125">
        <v>345178</v>
      </c>
      <c r="F50" s="126">
        <v>3836.1357029999999</v>
      </c>
      <c r="G50" s="127">
        <v>1.0951570000000001E-2</v>
      </c>
      <c r="H50" s="122" t="str">
        <f>IFERROR(VLOOKUP(B50,'[1]Debt Holding Consolidated'!$C$1:$N$65536,12,FALSE),"")</f>
        <v/>
      </c>
      <c r="J50" s="2"/>
    </row>
    <row r="51" spans="1:10" x14ac:dyDescent="0.2">
      <c r="A51" s="123">
        <v>45</v>
      </c>
      <c r="B51" s="124" t="s">
        <v>511</v>
      </c>
      <c r="C51" s="124" t="s">
        <v>512</v>
      </c>
      <c r="D51" s="124" t="s">
        <v>48</v>
      </c>
      <c r="E51" s="125">
        <v>3237028</v>
      </c>
      <c r="F51" s="126">
        <v>3811.2767672</v>
      </c>
      <c r="G51" s="127">
        <v>1.0880600000000001E-2</v>
      </c>
      <c r="H51" s="122" t="str">
        <f>IFERROR(VLOOKUP(B51,'[1]Debt Holding Consolidated'!$C$1:$N$65536,12,FALSE),"")</f>
        <v/>
      </c>
      <c r="J51" s="2"/>
    </row>
    <row r="52" spans="1:10" ht="25.5" x14ac:dyDescent="0.2">
      <c r="A52" s="123">
        <v>46</v>
      </c>
      <c r="B52" s="124" t="s">
        <v>513</v>
      </c>
      <c r="C52" s="124" t="s">
        <v>514</v>
      </c>
      <c r="D52" s="124" t="s">
        <v>205</v>
      </c>
      <c r="E52" s="125">
        <v>458346</v>
      </c>
      <c r="F52" s="126">
        <v>3801.5217240000002</v>
      </c>
      <c r="G52" s="127">
        <v>1.085275E-2</v>
      </c>
      <c r="H52" s="122" t="str">
        <f>IFERROR(VLOOKUP(B52,'[1]Debt Holding Consolidated'!$C$1:$N$65536,12,FALSE),"")</f>
        <v/>
      </c>
      <c r="J52" s="2"/>
    </row>
    <row r="53" spans="1:10" x14ac:dyDescent="0.2">
      <c r="A53" s="123">
        <v>47</v>
      </c>
      <c r="B53" s="124" t="s">
        <v>39</v>
      </c>
      <c r="C53" s="124" t="s">
        <v>40</v>
      </c>
      <c r="D53" s="124" t="s">
        <v>35</v>
      </c>
      <c r="E53" s="125">
        <v>62008</v>
      </c>
      <c r="F53" s="126">
        <v>3744.539104</v>
      </c>
      <c r="G53" s="127">
        <v>1.0690079999999999E-2</v>
      </c>
      <c r="H53" s="122" t="str">
        <f>IFERROR(VLOOKUP(B53,'[1]Debt Holding Consolidated'!$C$1:$N$65536,12,FALSE),"")</f>
        <v/>
      </c>
      <c r="J53" s="2"/>
    </row>
    <row r="54" spans="1:10" x14ac:dyDescent="0.2">
      <c r="A54" s="123">
        <v>48</v>
      </c>
      <c r="B54" s="124" t="s">
        <v>515</v>
      </c>
      <c r="C54" s="124" t="s">
        <v>516</v>
      </c>
      <c r="D54" s="124" t="s">
        <v>48</v>
      </c>
      <c r="E54" s="125">
        <v>1634498</v>
      </c>
      <c r="F54" s="126">
        <v>3717.6657009999999</v>
      </c>
      <c r="G54" s="127">
        <v>1.0613360000000001E-2</v>
      </c>
      <c r="H54" s="122" t="str">
        <f>IFERROR(VLOOKUP(B54,'[1]Debt Holding Consolidated'!$C$1:$N$65536,12,FALSE),"")</f>
        <v/>
      </c>
      <c r="J54" s="2"/>
    </row>
    <row r="55" spans="1:10" x14ac:dyDescent="0.2">
      <c r="A55" s="123">
        <v>49</v>
      </c>
      <c r="B55" s="124" t="s">
        <v>517</v>
      </c>
      <c r="C55" s="124" t="s">
        <v>518</v>
      </c>
      <c r="D55" s="124" t="s">
        <v>504</v>
      </c>
      <c r="E55" s="125">
        <v>41146</v>
      </c>
      <c r="F55" s="126">
        <v>3656.02783</v>
      </c>
      <c r="G55" s="127">
        <v>1.043739E-2</v>
      </c>
      <c r="H55" s="122" t="str">
        <f>IFERROR(VLOOKUP(B55,'[1]Debt Holding Consolidated'!$C$1:$N$65536,12,FALSE),"")</f>
        <v/>
      </c>
      <c r="J55" s="2"/>
    </row>
    <row r="56" spans="1:10" ht="25.5" x14ac:dyDescent="0.2">
      <c r="A56" s="123">
        <v>50</v>
      </c>
      <c r="B56" s="124" t="s">
        <v>295</v>
      </c>
      <c r="C56" s="124" t="s">
        <v>296</v>
      </c>
      <c r="D56" s="124" t="s">
        <v>208</v>
      </c>
      <c r="E56" s="125">
        <v>776219</v>
      </c>
      <c r="F56" s="126">
        <v>3649.3936285</v>
      </c>
      <c r="G56" s="127">
        <v>1.0418449999999999E-2</v>
      </c>
      <c r="H56" s="122" t="str">
        <f>IFERROR(VLOOKUP(B56,'[1]Debt Holding Consolidated'!$C$1:$N$65536,12,FALSE),"")</f>
        <v/>
      </c>
      <c r="J56" s="2"/>
    </row>
    <row r="57" spans="1:10" ht="25.5" x14ac:dyDescent="0.2">
      <c r="A57" s="123">
        <v>51</v>
      </c>
      <c r="B57" s="124" t="s">
        <v>475</v>
      </c>
      <c r="C57" s="124" t="s">
        <v>476</v>
      </c>
      <c r="D57" s="124" t="s">
        <v>25</v>
      </c>
      <c r="E57" s="125">
        <v>270744</v>
      </c>
      <c r="F57" s="126">
        <v>3603.0611520000002</v>
      </c>
      <c r="G57" s="127">
        <v>1.0286180000000001E-2</v>
      </c>
      <c r="H57" s="122" t="str">
        <f>IFERROR(VLOOKUP(B57,'[1]Debt Holding Consolidated'!$C$1:$N$65536,12,FALSE),"")</f>
        <v/>
      </c>
      <c r="J57" s="2"/>
    </row>
    <row r="58" spans="1:10" x14ac:dyDescent="0.2">
      <c r="A58" s="123">
        <v>52</v>
      </c>
      <c r="B58" s="124" t="s">
        <v>199</v>
      </c>
      <c r="C58" s="124" t="s">
        <v>200</v>
      </c>
      <c r="D58" s="124" t="s">
        <v>74</v>
      </c>
      <c r="E58" s="125">
        <v>86208</v>
      </c>
      <c r="F58" s="126">
        <v>3474.8720640000001</v>
      </c>
      <c r="G58" s="127">
        <v>9.9202200000000004E-3</v>
      </c>
      <c r="H58" s="122" t="str">
        <f>IFERROR(VLOOKUP(B58,'[1]Debt Holding Consolidated'!$C$1:$N$65536,12,FALSE),"")</f>
        <v/>
      </c>
      <c r="J58" s="2"/>
    </row>
    <row r="59" spans="1:10" x14ac:dyDescent="0.2">
      <c r="A59" s="123">
        <v>53</v>
      </c>
      <c r="B59" s="124" t="s">
        <v>342</v>
      </c>
      <c r="C59" s="124" t="s">
        <v>343</v>
      </c>
      <c r="D59" s="124" t="s">
        <v>48</v>
      </c>
      <c r="E59" s="125">
        <v>211043</v>
      </c>
      <c r="F59" s="126">
        <v>3454.5628670000001</v>
      </c>
      <c r="G59" s="127">
        <v>9.8622399999999995E-3</v>
      </c>
      <c r="H59" s="122" t="str">
        <f>IFERROR(VLOOKUP(B59,'[1]Debt Holding Consolidated'!$C$1:$N$65536,12,FALSE),"")</f>
        <v/>
      </c>
      <c r="J59" s="2"/>
    </row>
    <row r="60" spans="1:10" ht="25.5" x14ac:dyDescent="0.2">
      <c r="A60" s="123">
        <v>54</v>
      </c>
      <c r="B60" s="124" t="s">
        <v>519</v>
      </c>
      <c r="C60" s="124" t="s">
        <v>520</v>
      </c>
      <c r="D60" s="124" t="s">
        <v>521</v>
      </c>
      <c r="E60" s="125">
        <v>695189</v>
      </c>
      <c r="F60" s="126">
        <v>3436.6668215</v>
      </c>
      <c r="G60" s="127">
        <v>9.8111499999999994E-3</v>
      </c>
      <c r="H60" s="122" t="str">
        <f>IFERROR(VLOOKUP(B60,'[1]Debt Holding Consolidated'!$C$1:$N$65536,12,FALSE),"")</f>
        <v/>
      </c>
      <c r="J60" s="2"/>
    </row>
    <row r="61" spans="1:10" x14ac:dyDescent="0.2">
      <c r="A61" s="123">
        <v>55</v>
      </c>
      <c r="B61" s="124" t="s">
        <v>441</v>
      </c>
      <c r="C61" s="124" t="s">
        <v>442</v>
      </c>
      <c r="D61" s="124" t="s">
        <v>211</v>
      </c>
      <c r="E61" s="125">
        <v>498569</v>
      </c>
      <c r="F61" s="126">
        <v>3343.1544294999999</v>
      </c>
      <c r="G61" s="127">
        <v>9.5441899999999993E-3</v>
      </c>
      <c r="H61" s="122" t="str">
        <f>IFERROR(VLOOKUP(B61,'[1]Debt Holding Consolidated'!$C$1:$N$65536,12,FALSE),"")</f>
        <v/>
      </c>
      <c r="J61" s="2"/>
    </row>
    <row r="62" spans="1:10" x14ac:dyDescent="0.2">
      <c r="A62" s="123">
        <v>56</v>
      </c>
      <c r="B62" s="124" t="s">
        <v>522</v>
      </c>
      <c r="C62" s="124" t="s">
        <v>523</v>
      </c>
      <c r="D62" s="124" t="s">
        <v>239</v>
      </c>
      <c r="E62" s="125">
        <v>278168</v>
      </c>
      <c r="F62" s="126">
        <v>3190.1697079999999</v>
      </c>
      <c r="G62" s="127">
        <v>9.1074399999999996E-3</v>
      </c>
      <c r="H62" s="122" t="str">
        <f>IFERROR(VLOOKUP(B62,'[1]Debt Holding Consolidated'!$C$1:$N$65536,12,FALSE),"")</f>
        <v/>
      </c>
      <c r="J62" s="2"/>
    </row>
    <row r="63" spans="1:10" x14ac:dyDescent="0.2">
      <c r="A63" s="123">
        <v>57</v>
      </c>
      <c r="B63" s="124" t="s">
        <v>43</v>
      </c>
      <c r="C63" s="124" t="s">
        <v>44</v>
      </c>
      <c r="D63" s="124" t="s">
        <v>45</v>
      </c>
      <c r="E63" s="125">
        <v>69500</v>
      </c>
      <c r="F63" s="126">
        <v>3104.7734999999998</v>
      </c>
      <c r="G63" s="127">
        <v>8.8636500000000007E-3</v>
      </c>
      <c r="H63" s="122" t="str">
        <f>IFERROR(VLOOKUP(B63,'[1]Debt Holding Consolidated'!$C$1:$N$65536,12,FALSE),"")</f>
        <v/>
      </c>
      <c r="J63" s="2"/>
    </row>
    <row r="64" spans="1:10" x14ac:dyDescent="0.2">
      <c r="A64" s="123">
        <v>58</v>
      </c>
      <c r="B64" s="124" t="s">
        <v>524</v>
      </c>
      <c r="C64" s="124" t="s">
        <v>525</v>
      </c>
      <c r="D64" s="124" t="s">
        <v>239</v>
      </c>
      <c r="E64" s="125">
        <v>127388</v>
      </c>
      <c r="F64" s="126">
        <v>3102.7258219999999</v>
      </c>
      <c r="G64" s="127">
        <v>8.8578000000000007E-3</v>
      </c>
      <c r="H64" s="122" t="str">
        <f>IFERROR(VLOOKUP(B64,'[1]Debt Holding Consolidated'!$C$1:$N$65536,12,FALSE),"")</f>
        <v/>
      </c>
      <c r="J64" s="2"/>
    </row>
    <row r="65" spans="1:10" x14ac:dyDescent="0.2">
      <c r="A65" s="123">
        <v>59</v>
      </c>
      <c r="B65" s="124" t="s">
        <v>97</v>
      </c>
      <c r="C65" s="124" t="s">
        <v>98</v>
      </c>
      <c r="D65" s="124" t="s">
        <v>53</v>
      </c>
      <c r="E65" s="125">
        <v>385350</v>
      </c>
      <c r="F65" s="126">
        <v>2775.0980249999998</v>
      </c>
      <c r="G65" s="127">
        <v>7.9224699999999992E-3</v>
      </c>
      <c r="H65" s="122" t="str">
        <f>IFERROR(VLOOKUP(B65,'[1]Debt Holding Consolidated'!$C$1:$N$65536,12,FALSE),"")</f>
        <v/>
      </c>
      <c r="J65" s="2"/>
    </row>
    <row r="66" spans="1:10" x14ac:dyDescent="0.2">
      <c r="A66" s="123">
        <v>60</v>
      </c>
      <c r="B66" s="124" t="s">
        <v>526</v>
      </c>
      <c r="C66" s="124" t="s">
        <v>527</v>
      </c>
      <c r="D66" s="124" t="s">
        <v>398</v>
      </c>
      <c r="E66" s="125">
        <v>313643</v>
      </c>
      <c r="F66" s="126">
        <v>2655.9289239999998</v>
      </c>
      <c r="G66" s="127">
        <v>7.5822600000000004E-3</v>
      </c>
      <c r="H66" s="122" t="str">
        <f>IFERROR(VLOOKUP(B66,'[1]Debt Holding Consolidated'!$C$1:$N$65536,12,FALSE),"")</f>
        <v/>
      </c>
      <c r="J66" s="2"/>
    </row>
    <row r="67" spans="1:10" x14ac:dyDescent="0.2">
      <c r="A67" s="123">
        <v>61</v>
      </c>
      <c r="B67" s="124" t="s">
        <v>209</v>
      </c>
      <c r="C67" s="124" t="s">
        <v>210</v>
      </c>
      <c r="D67" s="124" t="s">
        <v>211</v>
      </c>
      <c r="E67" s="125">
        <v>48973</v>
      </c>
      <c r="F67" s="126">
        <v>2532.3203705000001</v>
      </c>
      <c r="G67" s="127">
        <v>7.2293799999999997E-3</v>
      </c>
      <c r="H67" s="122" t="str">
        <f>IFERROR(VLOOKUP(B67,'[1]Debt Holding Consolidated'!$C$1:$N$65536,12,FALSE),"")</f>
        <v/>
      </c>
      <c r="J67" s="2"/>
    </row>
    <row r="68" spans="1:10" x14ac:dyDescent="0.2">
      <c r="A68" s="123">
        <v>62</v>
      </c>
      <c r="B68" s="124" t="s">
        <v>430</v>
      </c>
      <c r="C68" s="124" t="s">
        <v>431</v>
      </c>
      <c r="D68" s="124" t="s">
        <v>89</v>
      </c>
      <c r="E68" s="125">
        <v>276635</v>
      </c>
      <c r="F68" s="126">
        <v>2388.8815424999998</v>
      </c>
      <c r="G68" s="127">
        <v>6.8198900000000003E-3</v>
      </c>
      <c r="H68" s="122" t="str">
        <f>IFERROR(VLOOKUP(B68,'[1]Debt Holding Consolidated'!$C$1:$N$65536,12,FALSE),"")</f>
        <v/>
      </c>
      <c r="J68" s="2"/>
    </row>
    <row r="69" spans="1:10" x14ac:dyDescent="0.2">
      <c r="A69" s="123">
        <v>63</v>
      </c>
      <c r="B69" s="124" t="s">
        <v>387</v>
      </c>
      <c r="C69" s="124" t="s">
        <v>388</v>
      </c>
      <c r="D69" s="124" t="s">
        <v>35</v>
      </c>
      <c r="E69" s="125">
        <v>298151</v>
      </c>
      <c r="F69" s="126">
        <v>2331.9880465000001</v>
      </c>
      <c r="G69" s="127">
        <v>6.6574599999999996E-3</v>
      </c>
      <c r="H69" s="122" t="str">
        <f>IFERROR(VLOOKUP(B69,'[1]Debt Holding Consolidated'!$C$1:$N$65536,12,FALSE),"")</f>
        <v/>
      </c>
      <c r="J69" s="2"/>
    </row>
    <row r="70" spans="1:10" x14ac:dyDescent="0.2">
      <c r="A70" s="123">
        <v>64</v>
      </c>
      <c r="B70" s="124" t="s">
        <v>108</v>
      </c>
      <c r="C70" s="124" t="s">
        <v>109</v>
      </c>
      <c r="D70" s="124" t="s">
        <v>13</v>
      </c>
      <c r="E70" s="125">
        <v>500873</v>
      </c>
      <c r="F70" s="126">
        <v>2252.1754445000001</v>
      </c>
      <c r="G70" s="127">
        <v>6.4296099999999997E-3</v>
      </c>
      <c r="H70" s="122" t="str">
        <f>IFERROR(VLOOKUP(B70,'[1]Debt Holding Consolidated'!$C$1:$N$65536,12,FALSE),"")</f>
        <v/>
      </c>
      <c r="J70" s="2"/>
    </row>
    <row r="71" spans="1:10" ht="25.5" x14ac:dyDescent="0.2">
      <c r="A71" s="123">
        <v>65</v>
      </c>
      <c r="B71" s="124" t="s">
        <v>528</v>
      </c>
      <c r="C71" s="124" t="s">
        <v>529</v>
      </c>
      <c r="D71" s="124" t="s">
        <v>315</v>
      </c>
      <c r="E71" s="125">
        <v>350254</v>
      </c>
      <c r="F71" s="126">
        <v>2096.7955710000001</v>
      </c>
      <c r="G71" s="127">
        <v>5.9860299999999998E-3</v>
      </c>
      <c r="H71" s="122" t="str">
        <f>IFERROR(VLOOKUP(B71,'[1]Debt Holding Consolidated'!$C$1:$N$65536,12,FALSE),"")</f>
        <v/>
      </c>
      <c r="J71" s="2"/>
    </row>
    <row r="72" spans="1:10" x14ac:dyDescent="0.2">
      <c r="A72" s="123">
        <v>66</v>
      </c>
      <c r="B72" s="124" t="s">
        <v>72</v>
      </c>
      <c r="C72" s="124" t="s">
        <v>73</v>
      </c>
      <c r="D72" s="124" t="s">
        <v>74</v>
      </c>
      <c r="E72" s="125">
        <v>33962</v>
      </c>
      <c r="F72" s="126">
        <v>2050.9312180000002</v>
      </c>
      <c r="G72" s="127">
        <v>5.8550900000000003E-3</v>
      </c>
      <c r="H72" s="122" t="str">
        <f>IFERROR(VLOOKUP(B72,'[1]Debt Holding Consolidated'!$C$1:$N$65536,12,FALSE),"")</f>
        <v/>
      </c>
      <c r="J72" s="2"/>
    </row>
    <row r="73" spans="1:10" ht="25.5" x14ac:dyDescent="0.2">
      <c r="A73" s="123">
        <v>67</v>
      </c>
      <c r="B73" s="124" t="s">
        <v>248</v>
      </c>
      <c r="C73" s="124" t="s">
        <v>249</v>
      </c>
      <c r="D73" s="124" t="s">
        <v>250</v>
      </c>
      <c r="E73" s="125">
        <v>65271</v>
      </c>
      <c r="F73" s="126">
        <v>1900.0714455</v>
      </c>
      <c r="G73" s="127">
        <v>5.4244100000000002E-3</v>
      </c>
      <c r="H73" s="122" t="str">
        <f>IFERROR(VLOOKUP(B73,'[1]Debt Holding Consolidated'!$C$1:$N$65536,12,FALSE),"")</f>
        <v/>
      </c>
      <c r="J73" s="2"/>
    </row>
    <row r="74" spans="1:10" x14ac:dyDescent="0.2">
      <c r="A74" s="123">
        <v>68</v>
      </c>
      <c r="B74" s="124" t="s">
        <v>530</v>
      </c>
      <c r="C74" s="124" t="s">
        <v>531</v>
      </c>
      <c r="D74" s="124" t="s">
        <v>45</v>
      </c>
      <c r="E74" s="125">
        <v>199530</v>
      </c>
      <c r="F74" s="126">
        <v>1802.254725</v>
      </c>
      <c r="G74" s="127">
        <v>5.1451600000000002E-3</v>
      </c>
      <c r="H74" s="122" t="str">
        <f>IFERROR(VLOOKUP(B74,'[1]Debt Holding Consolidated'!$C$1:$N$65536,12,FALSE),"")</f>
        <v/>
      </c>
      <c r="J74" s="2"/>
    </row>
    <row r="75" spans="1:10" x14ac:dyDescent="0.2">
      <c r="A75" s="123">
        <v>69</v>
      </c>
      <c r="B75" s="124" t="s">
        <v>461</v>
      </c>
      <c r="C75" s="124" t="s">
        <v>462</v>
      </c>
      <c r="D75" s="124" t="s">
        <v>74</v>
      </c>
      <c r="E75" s="125">
        <v>286238</v>
      </c>
      <c r="F75" s="126">
        <v>1707.5527890000001</v>
      </c>
      <c r="G75" s="127">
        <v>4.8748000000000003E-3</v>
      </c>
      <c r="H75" s="122" t="str">
        <f>IFERROR(VLOOKUP(B75,'[1]Debt Holding Consolidated'!$C$1:$N$65536,12,FALSE),"")</f>
        <v/>
      </c>
      <c r="J75" s="2"/>
    </row>
    <row r="76" spans="1:10" x14ac:dyDescent="0.2">
      <c r="A76" s="123">
        <v>70</v>
      </c>
      <c r="B76" s="124" t="s">
        <v>532</v>
      </c>
      <c r="C76" s="124" t="s">
        <v>533</v>
      </c>
      <c r="D76" s="124" t="s">
        <v>45</v>
      </c>
      <c r="E76" s="125">
        <v>12268</v>
      </c>
      <c r="F76" s="126">
        <v>1615.812146</v>
      </c>
      <c r="G76" s="127">
        <v>4.6128899999999997E-3</v>
      </c>
      <c r="H76" s="122" t="str">
        <f>IFERROR(VLOOKUP(B76,'[1]Debt Holding Consolidated'!$C$1:$N$65536,12,FALSE),"")</f>
        <v/>
      </c>
      <c r="J76" s="2"/>
    </row>
    <row r="77" spans="1:10" x14ac:dyDescent="0.2">
      <c r="A77" s="123">
        <v>71</v>
      </c>
      <c r="B77" s="124" t="s">
        <v>237</v>
      </c>
      <c r="C77" s="124" t="s">
        <v>238</v>
      </c>
      <c r="D77" s="124" t="s">
        <v>239</v>
      </c>
      <c r="E77" s="125">
        <v>37713</v>
      </c>
      <c r="F77" s="126">
        <v>1607.0452124999999</v>
      </c>
      <c r="G77" s="127">
        <v>4.58786E-3</v>
      </c>
      <c r="H77" s="122" t="str">
        <f>IFERROR(VLOOKUP(B77,'[1]Debt Holding Consolidated'!$C$1:$N$65536,12,FALSE),"")</f>
        <v/>
      </c>
      <c r="J77" s="2"/>
    </row>
    <row r="78" spans="1:10" x14ac:dyDescent="0.2">
      <c r="A78" s="123">
        <v>72</v>
      </c>
      <c r="B78" s="124" t="s">
        <v>447</v>
      </c>
      <c r="C78" s="124" t="s">
        <v>448</v>
      </c>
      <c r="D78" s="124" t="s">
        <v>45</v>
      </c>
      <c r="E78" s="125">
        <v>143771</v>
      </c>
      <c r="F78" s="126">
        <v>1386.7431805000001</v>
      </c>
      <c r="G78" s="127">
        <v>3.9589400000000002E-3</v>
      </c>
      <c r="H78" s="122" t="str">
        <f>IFERROR(VLOOKUP(B78,'[1]Debt Holding Consolidated'!$C$1:$N$65536,12,FALSE),"")</f>
        <v/>
      </c>
      <c r="J78" s="2"/>
    </row>
    <row r="79" spans="1:10" x14ac:dyDescent="0.2">
      <c r="A79" s="123">
        <v>73</v>
      </c>
      <c r="B79" s="124" t="s">
        <v>534</v>
      </c>
      <c r="C79" s="124" t="s">
        <v>535</v>
      </c>
      <c r="D79" s="124" t="s">
        <v>255</v>
      </c>
      <c r="E79" s="125">
        <v>219379</v>
      </c>
      <c r="F79" s="126">
        <v>1294.4457895</v>
      </c>
      <c r="G79" s="127">
        <v>3.6954399999999999E-3</v>
      </c>
      <c r="H79" s="122" t="str">
        <f>IFERROR(VLOOKUP(B79,'[1]Debt Holding Consolidated'!$C$1:$N$65536,12,FALSE),"")</f>
        <v/>
      </c>
      <c r="J79" s="2"/>
    </row>
    <row r="80" spans="1:10" x14ac:dyDescent="0.2">
      <c r="A80" s="123">
        <v>74</v>
      </c>
      <c r="B80" s="124" t="s">
        <v>536</v>
      </c>
      <c r="C80" s="124" t="s">
        <v>537</v>
      </c>
      <c r="D80" s="124" t="s">
        <v>86</v>
      </c>
      <c r="E80" s="125">
        <v>98055</v>
      </c>
      <c r="F80" s="126">
        <v>1107.727335</v>
      </c>
      <c r="G80" s="127">
        <v>3.1623900000000002E-3</v>
      </c>
      <c r="H80" s="122" t="str">
        <f>IFERROR(VLOOKUP(B80,'[1]Debt Holding Consolidated'!$C$1:$N$65536,12,FALSE),"")</f>
        <v/>
      </c>
      <c r="J80" s="2"/>
    </row>
    <row r="81" spans="1:10" x14ac:dyDescent="0.2">
      <c r="A81" s="123">
        <v>75</v>
      </c>
      <c r="B81" s="124" t="s">
        <v>143</v>
      </c>
      <c r="C81" s="124" t="s">
        <v>144</v>
      </c>
      <c r="D81" s="124" t="s">
        <v>35</v>
      </c>
      <c r="E81" s="125">
        <v>90412</v>
      </c>
      <c r="F81" s="126">
        <v>1063.3807380000001</v>
      </c>
      <c r="G81" s="127">
        <v>3.03579E-3</v>
      </c>
      <c r="H81" s="122" t="str">
        <f>IFERROR(VLOOKUP(B81,'[1]Debt Holding Consolidated'!$C$1:$N$65536,12,FALSE),"")</f>
        <v/>
      </c>
      <c r="J81" s="2"/>
    </row>
    <row r="82" spans="1:10" x14ac:dyDescent="0.2">
      <c r="A82" s="123">
        <v>76</v>
      </c>
      <c r="B82" s="124" t="s">
        <v>538</v>
      </c>
      <c r="C82" s="124" t="s">
        <v>100</v>
      </c>
      <c r="D82" s="124" t="s">
        <v>71</v>
      </c>
      <c r="E82" s="125">
        <v>75733</v>
      </c>
      <c r="F82" s="126">
        <v>653.38645750000001</v>
      </c>
      <c r="G82" s="127">
        <v>1.86532E-3</v>
      </c>
      <c r="H82" s="122" t="str">
        <f>IFERROR(VLOOKUP(B82,'[1]Debt Holding Consolidated'!$C$1:$N$65536,12,FALSE),"")</f>
        <v/>
      </c>
      <c r="J82" s="2"/>
    </row>
    <row r="83" spans="1:10" ht="25.5" x14ac:dyDescent="0.2">
      <c r="A83" s="123">
        <v>77</v>
      </c>
      <c r="B83" s="124" t="s">
        <v>79</v>
      </c>
      <c r="C83" s="124" t="s">
        <v>80</v>
      </c>
      <c r="D83" s="124" t="s">
        <v>25</v>
      </c>
      <c r="E83" s="125">
        <v>104</v>
      </c>
      <c r="F83" s="126">
        <v>4.6320560000000004</v>
      </c>
      <c r="G83" s="127">
        <v>1.322E-5</v>
      </c>
      <c r="H83" s="122" t="str">
        <f>IFERROR(VLOOKUP(B83,'[1]Debt Holding Consolidated'!$C$1:$N$65536,12,FALSE),"")</f>
        <v/>
      </c>
      <c r="J83" s="2"/>
    </row>
    <row r="84" spans="1:10" x14ac:dyDescent="0.2">
      <c r="A84" s="120"/>
      <c r="B84" s="120"/>
      <c r="C84" s="121" t="s">
        <v>152</v>
      </c>
      <c r="D84" s="120"/>
      <c r="E84" s="120" t="s">
        <v>153</v>
      </c>
      <c r="F84" s="128">
        <v>331925.50465731899</v>
      </c>
      <c r="G84" s="129">
        <v>0.94759578</v>
      </c>
      <c r="H84" s="122" t="str">
        <f>IFERROR(VLOOKUP(B84,'[1]Debt Holding Consolidated'!$C$1:$N$65536,12,FALSE),"")</f>
        <v/>
      </c>
      <c r="J84" s="2"/>
    </row>
    <row r="85" spans="1:10" x14ac:dyDescent="0.2">
      <c r="A85" s="120"/>
      <c r="B85" s="120"/>
      <c r="C85" s="130"/>
      <c r="D85" s="120"/>
      <c r="E85" s="120"/>
      <c r="F85" s="131"/>
      <c r="G85" s="131"/>
      <c r="H85" s="122" t="str">
        <f>IFERROR(VLOOKUP(B85,'[1]Debt Holding Consolidated'!$C$1:$N$65536,12,FALSE),"")</f>
        <v/>
      </c>
      <c r="J85" s="2"/>
    </row>
    <row r="86" spans="1:10" x14ac:dyDescent="0.2">
      <c r="A86" s="120"/>
      <c r="B86" s="120"/>
      <c r="C86" s="121" t="s">
        <v>154</v>
      </c>
      <c r="D86" s="120"/>
      <c r="E86" s="120"/>
      <c r="F86" s="120"/>
      <c r="G86" s="120"/>
      <c r="H86" s="122" t="str">
        <f>IFERROR(VLOOKUP(B86,'[1]Debt Holding Consolidated'!$C$1:$N$65536,12,FALSE),"")</f>
        <v/>
      </c>
      <c r="J86" s="2"/>
    </row>
    <row r="87" spans="1:10" x14ac:dyDescent="0.2">
      <c r="A87" s="120"/>
      <c r="B87" s="120"/>
      <c r="C87" s="121" t="s">
        <v>152</v>
      </c>
      <c r="D87" s="120"/>
      <c r="E87" s="120" t="s">
        <v>153</v>
      </c>
      <c r="F87" s="132" t="s">
        <v>155</v>
      </c>
      <c r="G87" s="129">
        <v>0</v>
      </c>
      <c r="H87" s="122" t="str">
        <f>IFERROR(VLOOKUP(B87,'[1]Debt Holding Consolidated'!$C$1:$N$65536,12,FALSE),"")</f>
        <v/>
      </c>
      <c r="J87" s="2"/>
    </row>
    <row r="88" spans="1:10" x14ac:dyDescent="0.2">
      <c r="A88" s="120"/>
      <c r="B88" s="120"/>
      <c r="C88" s="130"/>
      <c r="D88" s="120"/>
      <c r="E88" s="120"/>
      <c r="F88" s="131"/>
      <c r="G88" s="131"/>
      <c r="H88" s="122" t="str">
        <f>IFERROR(VLOOKUP(B88,'[1]Debt Holding Consolidated'!$C$1:$N$65536,12,FALSE),"")</f>
        <v/>
      </c>
      <c r="J88" s="2"/>
    </row>
    <row r="89" spans="1:10" x14ac:dyDescent="0.2">
      <c r="A89" s="120"/>
      <c r="B89" s="120"/>
      <c r="C89" s="121" t="s">
        <v>156</v>
      </c>
      <c r="D89" s="120"/>
      <c r="E89" s="120"/>
      <c r="F89" s="120"/>
      <c r="G89" s="120"/>
      <c r="H89" s="122" t="str">
        <f>IFERROR(VLOOKUP(B89,'[1]Debt Holding Consolidated'!$C$1:$N$65536,12,FALSE),"")</f>
        <v/>
      </c>
      <c r="J89" s="2"/>
    </row>
    <row r="90" spans="1:10" x14ac:dyDescent="0.2">
      <c r="A90" s="123">
        <v>1</v>
      </c>
      <c r="B90" s="124" t="s">
        <v>149</v>
      </c>
      <c r="C90" s="166" t="s">
        <v>937</v>
      </c>
      <c r="D90" s="124" t="s">
        <v>150</v>
      </c>
      <c r="E90" s="125">
        <v>375961</v>
      </c>
      <c r="F90" s="126">
        <v>7.5190000000000003E-6</v>
      </c>
      <c r="G90" s="133" t="s">
        <v>151</v>
      </c>
      <c r="H90" s="122" t="str">
        <f>IFERROR(VLOOKUP(B90,'[1]Debt Holding Consolidated'!$C$1:$N$65536,12,FALSE),"")</f>
        <v/>
      </c>
      <c r="J90" s="2"/>
    </row>
    <row r="91" spans="1:10" x14ac:dyDescent="0.2">
      <c r="A91" s="120"/>
      <c r="B91" s="120"/>
      <c r="C91" s="121" t="s">
        <v>152</v>
      </c>
      <c r="D91" s="120"/>
      <c r="E91" s="120" t="s">
        <v>153</v>
      </c>
      <c r="F91" s="132" t="s">
        <v>155</v>
      </c>
      <c r="G91" s="129">
        <v>0</v>
      </c>
      <c r="H91" s="122" t="str">
        <f>IFERROR(VLOOKUP(B91,'[1]Debt Holding Consolidated'!$C$1:$N$65536,12,FALSE),"")</f>
        <v/>
      </c>
      <c r="J91" s="2"/>
    </row>
    <row r="92" spans="1:10" x14ac:dyDescent="0.2">
      <c r="A92" s="120"/>
      <c r="B92" s="120"/>
      <c r="C92" s="130"/>
      <c r="D92" s="120"/>
      <c r="E92" s="120"/>
      <c r="F92" s="131"/>
      <c r="G92" s="131"/>
      <c r="H92" s="122" t="str">
        <f>IFERROR(VLOOKUP(B92,'[1]Debt Holding Consolidated'!$C$1:$N$65536,12,FALSE),"")</f>
        <v/>
      </c>
      <c r="J92" s="2"/>
    </row>
    <row r="93" spans="1:10" x14ac:dyDescent="0.2">
      <c r="A93" s="120"/>
      <c r="B93" s="120"/>
      <c r="C93" s="121" t="s">
        <v>157</v>
      </c>
      <c r="D93" s="120"/>
      <c r="E93" s="120"/>
      <c r="F93" s="120"/>
      <c r="G93" s="120"/>
      <c r="H93" s="122" t="str">
        <f>IFERROR(VLOOKUP(B93,'[1]Debt Holding Consolidated'!$C$1:$N$65536,12,FALSE),"")</f>
        <v/>
      </c>
      <c r="J93" s="2"/>
    </row>
    <row r="94" spans="1:10" x14ac:dyDescent="0.2">
      <c r="A94" s="120"/>
      <c r="B94" s="120"/>
      <c r="C94" s="121" t="s">
        <v>152</v>
      </c>
      <c r="D94" s="120"/>
      <c r="E94" s="120" t="s">
        <v>153</v>
      </c>
      <c r="F94" s="132" t="s">
        <v>155</v>
      </c>
      <c r="G94" s="129">
        <v>0</v>
      </c>
      <c r="H94" s="122" t="str">
        <f>IFERROR(VLOOKUP(B94,'[1]Debt Holding Consolidated'!$C$1:$N$65536,12,FALSE),"")</f>
        <v/>
      </c>
      <c r="J94" s="2"/>
    </row>
    <row r="95" spans="1:10" x14ac:dyDescent="0.2">
      <c r="A95" s="120"/>
      <c r="B95" s="120"/>
      <c r="C95" s="130"/>
      <c r="D95" s="120"/>
      <c r="E95" s="120"/>
      <c r="F95" s="131"/>
      <c r="G95" s="131"/>
      <c r="H95" s="122" t="str">
        <f>IFERROR(VLOOKUP(B95,'[1]Debt Holding Consolidated'!$C$1:$N$65536,12,FALSE),"")</f>
        <v/>
      </c>
      <c r="J95" s="2"/>
    </row>
    <row r="96" spans="1:10" x14ac:dyDescent="0.2">
      <c r="A96" s="120"/>
      <c r="B96" s="120"/>
      <c r="C96" s="121" t="s">
        <v>158</v>
      </c>
      <c r="D96" s="120"/>
      <c r="E96" s="120"/>
      <c r="F96" s="131"/>
      <c r="G96" s="131"/>
      <c r="H96" s="122" t="str">
        <f>IFERROR(VLOOKUP(B96,'[1]Debt Holding Consolidated'!$C$1:$N$65536,12,FALSE),"")</f>
        <v/>
      </c>
      <c r="J96" s="2"/>
    </row>
    <row r="97" spans="1:10" x14ac:dyDescent="0.2">
      <c r="A97" s="120"/>
      <c r="B97" s="120"/>
      <c r="C97" s="121" t="s">
        <v>152</v>
      </c>
      <c r="D97" s="120"/>
      <c r="E97" s="120" t="s">
        <v>153</v>
      </c>
      <c r="F97" s="132" t="s">
        <v>155</v>
      </c>
      <c r="G97" s="129">
        <v>0</v>
      </c>
      <c r="H97" s="122" t="str">
        <f>IFERROR(VLOOKUP(B97,'[1]Debt Holding Consolidated'!$C$1:$N$65536,12,FALSE),"")</f>
        <v/>
      </c>
      <c r="J97" s="2"/>
    </row>
    <row r="98" spans="1:10" x14ac:dyDescent="0.2">
      <c r="A98" s="120"/>
      <c r="B98" s="120"/>
      <c r="C98" s="130"/>
      <c r="D98" s="120"/>
      <c r="E98" s="120"/>
      <c r="F98" s="131"/>
      <c r="G98" s="131"/>
      <c r="H98" s="122" t="str">
        <f>IFERROR(VLOOKUP(B98,'[1]Debt Holding Consolidated'!$C$1:$N$65536,12,FALSE),"")</f>
        <v/>
      </c>
      <c r="J98" s="2"/>
    </row>
    <row r="99" spans="1:10" x14ac:dyDescent="0.2">
      <c r="A99" s="120"/>
      <c r="B99" s="120"/>
      <c r="C99" s="121" t="s">
        <v>159</v>
      </c>
      <c r="D99" s="120"/>
      <c r="E99" s="120"/>
      <c r="F99" s="131"/>
      <c r="G99" s="131"/>
      <c r="H99" s="122" t="str">
        <f>IFERROR(VLOOKUP(B99,'[1]Debt Holding Consolidated'!$C$1:$N$65536,12,FALSE),"")</f>
        <v/>
      </c>
      <c r="J99" s="2"/>
    </row>
    <row r="100" spans="1:10" x14ac:dyDescent="0.2">
      <c r="A100" s="123">
        <v>1</v>
      </c>
      <c r="B100" s="124"/>
      <c r="C100" s="124" t="s">
        <v>938</v>
      </c>
      <c r="D100" s="124" t="s">
        <v>539</v>
      </c>
      <c r="E100" s="125">
        <v>52750</v>
      </c>
      <c r="F100" s="126">
        <v>2329.9938750000001</v>
      </c>
      <c r="G100" s="127">
        <v>6.6517700000000004E-3</v>
      </c>
      <c r="H100" s="122" t="str">
        <f>IFERROR(VLOOKUP(B100,'[1]Debt Holding Consolidated'!$C$1:$N$65536,12,FALSE),"")</f>
        <v/>
      </c>
      <c r="J100" s="2"/>
    </row>
    <row r="101" spans="1:10" x14ac:dyDescent="0.2">
      <c r="A101" s="120"/>
      <c r="B101" s="120"/>
      <c r="C101" s="121" t="s">
        <v>152</v>
      </c>
      <c r="D101" s="120"/>
      <c r="E101" s="120" t="s">
        <v>153</v>
      </c>
      <c r="F101" s="128">
        <v>2329.9938750000001</v>
      </c>
      <c r="G101" s="129">
        <v>6.6517700000000004E-3</v>
      </c>
      <c r="H101" s="122" t="str">
        <f>IFERROR(VLOOKUP(B101,'[1]Debt Holding Consolidated'!$C$1:$N$65536,12,FALSE),"")</f>
        <v/>
      </c>
      <c r="J101" s="2"/>
    </row>
    <row r="102" spans="1:10" x14ac:dyDescent="0.2">
      <c r="A102" s="120"/>
      <c r="B102" s="120"/>
      <c r="C102" s="130"/>
      <c r="D102" s="120"/>
      <c r="E102" s="120"/>
      <c r="F102" s="131"/>
      <c r="G102" s="131"/>
      <c r="H102" s="122" t="str">
        <f>IFERROR(VLOOKUP(B102,'[1]Debt Holding Consolidated'!$C$1:$N$65536,12,FALSE),"")</f>
        <v/>
      </c>
      <c r="J102" s="2"/>
    </row>
    <row r="103" spans="1:10" x14ac:dyDescent="0.2">
      <c r="A103" s="120"/>
      <c r="B103" s="120"/>
      <c r="C103" s="121" t="s">
        <v>160</v>
      </c>
      <c r="D103" s="120"/>
      <c r="E103" s="120"/>
      <c r="F103" s="128">
        <v>334255.49853231898</v>
      </c>
      <c r="G103" s="129">
        <v>0.95424755000000006</v>
      </c>
      <c r="H103" s="122" t="str">
        <f>IFERROR(VLOOKUP(B103,'[1]Debt Holding Consolidated'!$C$1:$N$65536,12,FALSE),"")</f>
        <v/>
      </c>
      <c r="J103" s="2"/>
    </row>
    <row r="104" spans="1:10" x14ac:dyDescent="0.2">
      <c r="A104" s="120"/>
      <c r="B104" s="120"/>
      <c r="C104" s="130"/>
      <c r="D104" s="120"/>
      <c r="E104" s="120"/>
      <c r="F104" s="131"/>
      <c r="G104" s="131"/>
      <c r="H104" s="122" t="str">
        <f>IFERROR(VLOOKUP(B104,'[1]Debt Holding Consolidated'!$C$1:$N$65536,12,FALSE),"")</f>
        <v/>
      </c>
      <c r="J104" s="2"/>
    </row>
    <row r="105" spans="1:10" x14ac:dyDescent="0.2">
      <c r="A105" s="120"/>
      <c r="B105" s="120"/>
      <c r="C105" s="121" t="s">
        <v>161</v>
      </c>
      <c r="D105" s="120"/>
      <c r="E105" s="120"/>
      <c r="F105" s="131"/>
      <c r="G105" s="131"/>
      <c r="H105" s="122" t="str">
        <f>IFERROR(VLOOKUP(B105,'[1]Debt Holding Consolidated'!$C$1:$N$65536,12,FALSE),"")</f>
        <v/>
      </c>
      <c r="J105" s="2"/>
    </row>
    <row r="106" spans="1:10" ht="25.5" x14ac:dyDescent="0.2">
      <c r="A106" s="120"/>
      <c r="B106" s="120"/>
      <c r="C106" s="121" t="s">
        <v>10</v>
      </c>
      <c r="D106" s="120"/>
      <c r="E106" s="120"/>
      <c r="F106" s="131"/>
      <c r="G106" s="131"/>
      <c r="H106" s="122" t="str">
        <f>IFERROR(VLOOKUP(B106,'[1]Debt Holding Consolidated'!$C$1:$N$65536,12,FALSE),"")</f>
        <v/>
      </c>
      <c r="J106" s="2"/>
    </row>
    <row r="107" spans="1:10" x14ac:dyDescent="0.2">
      <c r="A107" s="120"/>
      <c r="B107" s="120"/>
      <c r="C107" s="121" t="s">
        <v>152</v>
      </c>
      <c r="D107" s="120"/>
      <c r="E107" s="120" t="s">
        <v>153</v>
      </c>
      <c r="F107" s="132" t="s">
        <v>155</v>
      </c>
      <c r="G107" s="129">
        <v>0</v>
      </c>
      <c r="H107" s="122" t="str">
        <f>IFERROR(VLOOKUP(B107,'[1]Debt Holding Consolidated'!$C$1:$N$65536,12,FALSE),"")</f>
        <v/>
      </c>
      <c r="J107" s="2"/>
    </row>
    <row r="108" spans="1:10" x14ac:dyDescent="0.2">
      <c r="A108" s="120"/>
      <c r="B108" s="120"/>
      <c r="C108" s="130"/>
      <c r="D108" s="120"/>
      <c r="E108" s="120"/>
      <c r="F108" s="131"/>
      <c r="G108" s="131"/>
      <c r="H108" s="122" t="str">
        <f>IFERROR(VLOOKUP(B108,'[1]Debt Holding Consolidated'!$C$1:$N$65536,12,FALSE),"")</f>
        <v/>
      </c>
      <c r="J108" s="2"/>
    </row>
    <row r="109" spans="1:10" x14ac:dyDescent="0.2">
      <c r="A109" s="120"/>
      <c r="B109" s="120"/>
      <c r="C109" s="121" t="s">
        <v>162</v>
      </c>
      <c r="D109" s="120"/>
      <c r="E109" s="120"/>
      <c r="F109" s="120"/>
      <c r="G109" s="120"/>
      <c r="H109" s="122" t="str">
        <f>IFERROR(VLOOKUP(B109,'[1]Debt Holding Consolidated'!$C$1:$N$65536,12,FALSE),"")</f>
        <v/>
      </c>
      <c r="J109" s="2"/>
    </row>
    <row r="110" spans="1:10" x14ac:dyDescent="0.2">
      <c r="A110" s="120"/>
      <c r="B110" s="120"/>
      <c r="C110" s="121" t="s">
        <v>152</v>
      </c>
      <c r="D110" s="120"/>
      <c r="E110" s="120" t="s">
        <v>153</v>
      </c>
      <c r="F110" s="132" t="s">
        <v>155</v>
      </c>
      <c r="G110" s="129">
        <v>0</v>
      </c>
      <c r="H110" s="122" t="str">
        <f>IFERROR(VLOOKUP(B110,'[1]Debt Holding Consolidated'!$C$1:$N$65536,12,FALSE),"")</f>
        <v/>
      </c>
      <c r="J110" s="2"/>
    </row>
    <row r="111" spans="1:10" x14ac:dyDescent="0.2">
      <c r="A111" s="120"/>
      <c r="B111" s="120"/>
      <c r="C111" s="130"/>
      <c r="D111" s="120"/>
      <c r="E111" s="120"/>
      <c r="F111" s="131"/>
      <c r="G111" s="131"/>
      <c r="H111" s="122" t="str">
        <f>IFERROR(VLOOKUP(B111,'[1]Debt Holding Consolidated'!$C$1:$N$65536,12,FALSE),"")</f>
        <v/>
      </c>
      <c r="J111" s="2"/>
    </row>
    <row r="112" spans="1:10" x14ac:dyDescent="0.2">
      <c r="A112" s="120"/>
      <c r="B112" s="120"/>
      <c r="C112" s="121" t="s">
        <v>163</v>
      </c>
      <c r="D112" s="120"/>
      <c r="E112" s="120"/>
      <c r="F112" s="120"/>
      <c r="G112" s="120"/>
      <c r="H112" s="122" t="str">
        <f>IFERROR(VLOOKUP(B112,'[1]Debt Holding Consolidated'!$C$1:$N$65536,12,FALSE),"")</f>
        <v/>
      </c>
      <c r="J112" s="2"/>
    </row>
    <row r="113" spans="1:10" x14ac:dyDescent="0.2">
      <c r="A113" s="120"/>
      <c r="B113" s="120"/>
      <c r="C113" s="121" t="s">
        <v>152</v>
      </c>
      <c r="D113" s="120"/>
      <c r="E113" s="120" t="s">
        <v>153</v>
      </c>
      <c r="F113" s="132" t="s">
        <v>155</v>
      </c>
      <c r="G113" s="129">
        <v>0</v>
      </c>
      <c r="H113" s="122" t="str">
        <f>IFERROR(VLOOKUP(B113,'[1]Debt Holding Consolidated'!$C$1:$N$65536,12,FALSE),"")</f>
        <v/>
      </c>
      <c r="J113" s="2"/>
    </row>
    <row r="114" spans="1:10" x14ac:dyDescent="0.2">
      <c r="A114" s="120"/>
      <c r="B114" s="120"/>
      <c r="C114" s="130"/>
      <c r="D114" s="120"/>
      <c r="E114" s="120"/>
      <c r="F114" s="131"/>
      <c r="G114" s="131"/>
      <c r="H114" s="122" t="str">
        <f>IFERROR(VLOOKUP(B114,'[1]Debt Holding Consolidated'!$C$1:$N$65536,12,FALSE),"")</f>
        <v/>
      </c>
      <c r="J114" s="2"/>
    </row>
    <row r="115" spans="1:10" x14ac:dyDescent="0.2">
      <c r="A115" s="120"/>
      <c r="B115" s="120"/>
      <c r="C115" s="121" t="s">
        <v>164</v>
      </c>
      <c r="D115" s="120"/>
      <c r="E115" s="120"/>
      <c r="F115" s="131"/>
      <c r="G115" s="131"/>
      <c r="H115" s="122" t="str">
        <f>IFERROR(VLOOKUP(B115,'[1]Debt Holding Consolidated'!$C$1:$N$65536,12,FALSE),"")</f>
        <v/>
      </c>
      <c r="J115" s="2"/>
    </row>
    <row r="116" spans="1:10" x14ac:dyDescent="0.2">
      <c r="A116" s="120"/>
      <c r="B116" s="120"/>
      <c r="C116" s="121" t="s">
        <v>152</v>
      </c>
      <c r="D116" s="120"/>
      <c r="E116" s="120" t="s">
        <v>153</v>
      </c>
      <c r="F116" s="132" t="s">
        <v>155</v>
      </c>
      <c r="G116" s="129">
        <v>0</v>
      </c>
      <c r="H116" s="122" t="str">
        <f>IFERROR(VLOOKUP(B116,'[1]Debt Holding Consolidated'!$C$1:$N$65536,12,FALSE),"")</f>
        <v/>
      </c>
      <c r="J116" s="2"/>
    </row>
    <row r="117" spans="1:10" x14ac:dyDescent="0.2">
      <c r="A117" s="120"/>
      <c r="B117" s="120"/>
      <c r="C117" s="130"/>
      <c r="D117" s="120"/>
      <c r="E117" s="120"/>
      <c r="F117" s="131"/>
      <c r="G117" s="131"/>
      <c r="H117" s="122" t="str">
        <f>IFERROR(VLOOKUP(B117,'[1]Debt Holding Consolidated'!$C$1:$N$65536,12,FALSE),"")</f>
        <v/>
      </c>
      <c r="J117" s="2"/>
    </row>
    <row r="118" spans="1:10" x14ac:dyDescent="0.2">
      <c r="A118" s="120"/>
      <c r="B118" s="120"/>
      <c r="C118" s="121" t="s">
        <v>165</v>
      </c>
      <c r="D118" s="120"/>
      <c r="E118" s="120"/>
      <c r="F118" s="128">
        <v>0</v>
      </c>
      <c r="G118" s="129">
        <v>0</v>
      </c>
      <c r="H118" s="122" t="str">
        <f>IFERROR(VLOOKUP(B118,'[1]Debt Holding Consolidated'!$C$1:$N$65536,12,FALSE),"")</f>
        <v/>
      </c>
      <c r="J118" s="2"/>
    </row>
    <row r="119" spans="1:10" x14ac:dyDescent="0.2">
      <c r="A119" s="120"/>
      <c r="B119" s="120"/>
      <c r="C119" s="130"/>
      <c r="D119" s="120"/>
      <c r="E119" s="120"/>
      <c r="F119" s="131"/>
      <c r="G119" s="131"/>
      <c r="H119" s="122" t="str">
        <f>IFERROR(VLOOKUP(B119,'[1]Debt Holding Consolidated'!$C$1:$N$65536,12,FALSE),"")</f>
        <v/>
      </c>
      <c r="J119" s="2"/>
    </row>
    <row r="120" spans="1:10" x14ac:dyDescent="0.2">
      <c r="A120" s="120"/>
      <c r="B120" s="120"/>
      <c r="C120" s="121" t="s">
        <v>166</v>
      </c>
      <c r="D120" s="120"/>
      <c r="E120" s="120"/>
      <c r="F120" s="131"/>
      <c r="G120" s="131"/>
      <c r="H120" s="122" t="str">
        <f>IFERROR(VLOOKUP(B120,'[1]Debt Holding Consolidated'!$C$1:$N$65536,12,FALSE),"")</f>
        <v/>
      </c>
      <c r="J120" s="2"/>
    </row>
    <row r="121" spans="1:10" x14ac:dyDescent="0.2">
      <c r="A121" s="120"/>
      <c r="B121" s="120"/>
      <c r="C121" s="121" t="s">
        <v>167</v>
      </c>
      <c r="D121" s="120"/>
      <c r="E121" s="120"/>
      <c r="F121" s="131"/>
      <c r="G121" s="131"/>
      <c r="H121" s="122" t="str">
        <f>IFERROR(VLOOKUP(B121,'[1]Debt Holding Consolidated'!$C$1:$N$65536,12,FALSE),"")</f>
        <v/>
      </c>
      <c r="J121" s="2"/>
    </row>
    <row r="122" spans="1:10" x14ac:dyDescent="0.2">
      <c r="A122" s="120"/>
      <c r="B122" s="120"/>
      <c r="C122" s="121" t="s">
        <v>152</v>
      </c>
      <c r="D122" s="120"/>
      <c r="E122" s="120" t="s">
        <v>153</v>
      </c>
      <c r="F122" s="132" t="s">
        <v>155</v>
      </c>
      <c r="G122" s="129">
        <v>0</v>
      </c>
      <c r="H122" s="122" t="str">
        <f>IFERROR(VLOOKUP(B122,'[1]Debt Holding Consolidated'!$C$1:$N$65536,12,FALSE),"")</f>
        <v/>
      </c>
      <c r="J122" s="2"/>
    </row>
    <row r="123" spans="1:10" x14ac:dyDescent="0.2">
      <c r="A123" s="120"/>
      <c r="B123" s="120"/>
      <c r="C123" s="130"/>
      <c r="D123" s="120"/>
      <c r="E123" s="120"/>
      <c r="F123" s="131"/>
      <c r="G123" s="131"/>
      <c r="H123" s="122" t="str">
        <f>IFERROR(VLOOKUP(B123,'[1]Debt Holding Consolidated'!$C$1:$N$65536,12,FALSE),"")</f>
        <v/>
      </c>
      <c r="J123" s="2"/>
    </row>
    <row r="124" spans="1:10" x14ac:dyDescent="0.2">
      <c r="A124" s="120"/>
      <c r="B124" s="120"/>
      <c r="C124" s="121" t="s">
        <v>168</v>
      </c>
      <c r="D124" s="120"/>
      <c r="E124" s="120"/>
      <c r="F124" s="131"/>
      <c r="G124" s="131"/>
      <c r="H124" s="122" t="str">
        <f>IFERROR(VLOOKUP(B124,'[1]Debt Holding Consolidated'!$C$1:$N$65536,12,FALSE),"")</f>
        <v/>
      </c>
      <c r="J124" s="2"/>
    </row>
    <row r="125" spans="1:10" x14ac:dyDescent="0.2">
      <c r="A125" s="120"/>
      <c r="B125" s="120"/>
      <c r="C125" s="121" t="s">
        <v>152</v>
      </c>
      <c r="D125" s="120"/>
      <c r="E125" s="120" t="s">
        <v>153</v>
      </c>
      <c r="F125" s="132" t="s">
        <v>155</v>
      </c>
      <c r="G125" s="129">
        <v>0</v>
      </c>
      <c r="H125" s="122" t="str">
        <f>IFERROR(VLOOKUP(B125,'[1]Debt Holding Consolidated'!$C$1:$N$65536,12,FALSE),"")</f>
        <v/>
      </c>
      <c r="J125" s="2"/>
    </row>
    <row r="126" spans="1:10" x14ac:dyDescent="0.2">
      <c r="A126" s="120"/>
      <c r="B126" s="120"/>
      <c r="C126" s="130"/>
      <c r="D126" s="120"/>
      <c r="E126" s="120"/>
      <c r="F126" s="131"/>
      <c r="G126" s="131"/>
      <c r="H126" s="122" t="str">
        <f>IFERROR(VLOOKUP(B126,'[1]Debt Holding Consolidated'!$C$1:$N$65536,12,FALSE),"")</f>
        <v/>
      </c>
      <c r="J126" s="2"/>
    </row>
    <row r="127" spans="1:10" x14ac:dyDescent="0.2">
      <c r="A127" s="120"/>
      <c r="B127" s="120"/>
      <c r="C127" s="121" t="s">
        <v>169</v>
      </c>
      <c r="D127" s="120"/>
      <c r="E127" s="120"/>
      <c r="F127" s="131"/>
      <c r="G127" s="131"/>
      <c r="H127" s="122" t="str">
        <f>IFERROR(VLOOKUP(B127,'[1]Debt Holding Consolidated'!$C$1:$N$65536,12,FALSE),"")</f>
        <v/>
      </c>
      <c r="J127" s="2"/>
    </row>
    <row r="128" spans="1:10" x14ac:dyDescent="0.2">
      <c r="A128" s="123">
        <v>1</v>
      </c>
      <c r="B128" s="124" t="s">
        <v>540</v>
      </c>
      <c r="C128" s="124" t="s">
        <v>1049</v>
      </c>
      <c r="D128" s="124" t="s">
        <v>541</v>
      </c>
      <c r="E128" s="125">
        <v>2000000</v>
      </c>
      <c r="F128" s="126">
        <v>1914.538</v>
      </c>
      <c r="G128" s="127">
        <v>5.4657100000000004E-3</v>
      </c>
      <c r="H128" s="122">
        <f>IFERROR(VLOOKUP(B128,'[1]Debt Holding Consolidated'!$C$1:$N$65536,12,FALSE),"")</f>
        <v>6.7050000000000001</v>
      </c>
      <c r="J128" s="2"/>
    </row>
    <row r="129" spans="1:10" x14ac:dyDescent="0.2">
      <c r="A129" s="120"/>
      <c r="B129" s="120"/>
      <c r="C129" s="121" t="s">
        <v>152</v>
      </c>
      <c r="D129" s="120"/>
      <c r="E129" s="120" t="s">
        <v>153</v>
      </c>
      <c r="F129" s="128">
        <v>1914.538</v>
      </c>
      <c r="G129" s="129">
        <v>5.4657100000000004E-3</v>
      </c>
      <c r="H129" s="122" t="str">
        <f>IFERROR(VLOOKUP(B129,'[1]Debt Holding Consolidated'!$C$1:$N$65536,12,FALSE),"")</f>
        <v/>
      </c>
      <c r="J129" s="2"/>
    </row>
    <row r="130" spans="1:10" x14ac:dyDescent="0.2">
      <c r="A130" s="120"/>
      <c r="B130" s="120"/>
      <c r="C130" s="130"/>
      <c r="D130" s="120"/>
      <c r="E130" s="120"/>
      <c r="F130" s="131"/>
      <c r="G130" s="131"/>
      <c r="H130" s="122" t="str">
        <f>IFERROR(VLOOKUP(B130,'[1]Debt Holding Consolidated'!$C$1:$N$65536,12,FALSE),"")</f>
        <v/>
      </c>
      <c r="J130" s="2"/>
    </row>
    <row r="131" spans="1:10" x14ac:dyDescent="0.2">
      <c r="A131" s="120"/>
      <c r="B131" s="120"/>
      <c r="C131" s="121" t="s">
        <v>170</v>
      </c>
      <c r="D131" s="120"/>
      <c r="E131" s="120"/>
      <c r="F131" s="131"/>
      <c r="G131" s="131"/>
      <c r="H131" s="122" t="str">
        <f>IFERROR(VLOOKUP(B131,'[1]Debt Holding Consolidated'!$C$1:$N$65536,12,FALSE),"")</f>
        <v/>
      </c>
      <c r="J131" s="2"/>
    </row>
    <row r="132" spans="1:10" x14ac:dyDescent="0.2">
      <c r="A132" s="123">
        <v>1</v>
      </c>
      <c r="B132" s="124"/>
      <c r="C132" s="124" t="s">
        <v>171</v>
      </c>
      <c r="D132" s="124"/>
      <c r="E132" s="133"/>
      <c r="F132" s="126">
        <v>4925.2983212830004</v>
      </c>
      <c r="G132" s="127">
        <v>1.4060960000000001E-2</v>
      </c>
      <c r="H132" s="122">
        <v>6.62</v>
      </c>
      <c r="J132" s="2"/>
    </row>
    <row r="133" spans="1:10" x14ac:dyDescent="0.2">
      <c r="A133" s="120"/>
      <c r="B133" s="120"/>
      <c r="C133" s="121" t="s">
        <v>152</v>
      </c>
      <c r="D133" s="120"/>
      <c r="E133" s="120" t="s">
        <v>153</v>
      </c>
      <c r="F133" s="128">
        <v>4925.2983212830004</v>
      </c>
      <c r="G133" s="129">
        <v>1.4060960000000001E-2</v>
      </c>
      <c r="H133" s="122" t="str">
        <f>IFERROR(VLOOKUP(B133,'[1]Debt Holding Consolidated'!$C$1:$N$65536,12,FALSE),"")</f>
        <v/>
      </c>
      <c r="J133" s="2"/>
    </row>
    <row r="134" spans="1:10" x14ac:dyDescent="0.2">
      <c r="A134" s="120"/>
      <c r="B134" s="120"/>
      <c r="C134" s="130"/>
      <c r="D134" s="120"/>
      <c r="E134" s="120"/>
      <c r="F134" s="131"/>
      <c r="G134" s="131"/>
      <c r="H134" s="122" t="str">
        <f>IFERROR(VLOOKUP(B134,'[1]Debt Holding Consolidated'!$C$1:$N$65536,12,FALSE),"")</f>
        <v/>
      </c>
      <c r="J134" s="2"/>
    </row>
    <row r="135" spans="1:10" x14ac:dyDescent="0.2">
      <c r="A135" s="120"/>
      <c r="B135" s="120"/>
      <c r="C135" s="121" t="s">
        <v>172</v>
      </c>
      <c r="D135" s="120"/>
      <c r="E135" s="120"/>
      <c r="F135" s="128">
        <v>6839.836321283</v>
      </c>
      <c r="G135" s="129">
        <v>1.9526669999999999E-2</v>
      </c>
      <c r="H135" s="122" t="str">
        <f>IFERROR(VLOOKUP(B135,'[1]Debt Holding Consolidated'!$C$1:$N$65536,12,FALSE),"")</f>
        <v/>
      </c>
      <c r="J135" s="2"/>
    </row>
    <row r="136" spans="1:10" x14ac:dyDescent="0.2">
      <c r="A136" s="120"/>
      <c r="B136" s="120"/>
      <c r="C136" s="131"/>
      <c r="D136" s="120"/>
      <c r="E136" s="120"/>
      <c r="F136" s="120"/>
      <c r="G136" s="120"/>
      <c r="H136" s="122" t="str">
        <f>IFERROR(VLOOKUP(B136,'[1]Debt Holding Consolidated'!$C$1:$N$65536,12,FALSE),"")</f>
        <v/>
      </c>
      <c r="J136" s="2"/>
    </row>
    <row r="137" spans="1:10" x14ac:dyDescent="0.2">
      <c r="A137" s="120"/>
      <c r="B137" s="120"/>
      <c r="C137" s="121" t="s">
        <v>173</v>
      </c>
      <c r="D137" s="120"/>
      <c r="E137" s="120"/>
      <c r="F137" s="120"/>
      <c r="G137" s="120"/>
      <c r="H137" s="122" t="str">
        <f>IFERROR(VLOOKUP(B137,'[1]Debt Holding Consolidated'!$C$1:$N$65536,12,FALSE),"")</f>
        <v/>
      </c>
      <c r="J137" s="2"/>
    </row>
    <row r="138" spans="1:10" x14ac:dyDescent="0.2">
      <c r="A138" s="120"/>
      <c r="B138" s="120"/>
      <c r="C138" s="121" t="s">
        <v>174</v>
      </c>
      <c r="D138" s="120"/>
      <c r="E138" s="120"/>
      <c r="F138" s="120"/>
      <c r="G138" s="120"/>
      <c r="H138" s="122" t="str">
        <f>IFERROR(VLOOKUP(B138,'[1]Debt Holding Consolidated'!$C$1:$N$65536,12,FALSE),"")</f>
        <v/>
      </c>
      <c r="J138" s="2"/>
    </row>
    <row r="139" spans="1:10" x14ac:dyDescent="0.2">
      <c r="A139" s="120"/>
      <c r="B139" s="120"/>
      <c r="C139" s="121" t="s">
        <v>152</v>
      </c>
      <c r="D139" s="120"/>
      <c r="E139" s="120" t="s">
        <v>153</v>
      </c>
      <c r="F139" s="132" t="s">
        <v>155</v>
      </c>
      <c r="G139" s="129">
        <v>0</v>
      </c>
      <c r="H139" s="122" t="str">
        <f>IFERROR(VLOOKUP(B139,'[1]Debt Holding Consolidated'!$C$1:$N$65536,12,FALSE),"")</f>
        <v/>
      </c>
      <c r="J139" s="2"/>
    </row>
    <row r="140" spans="1:10" x14ac:dyDescent="0.2">
      <c r="A140" s="120"/>
      <c r="B140" s="120"/>
      <c r="C140" s="130"/>
      <c r="D140" s="120"/>
      <c r="E140" s="120"/>
      <c r="F140" s="131"/>
      <c r="G140" s="131"/>
      <c r="H140" s="122" t="str">
        <f>IFERROR(VLOOKUP(B140,'[1]Debt Holding Consolidated'!$C$1:$N$65536,12,FALSE),"")</f>
        <v/>
      </c>
      <c r="J140" s="2"/>
    </row>
    <row r="141" spans="1:10" x14ac:dyDescent="0.2">
      <c r="A141" s="120"/>
      <c r="B141" s="120"/>
      <c r="C141" s="121" t="s">
        <v>175</v>
      </c>
      <c r="D141" s="120"/>
      <c r="E141" s="120"/>
      <c r="F141" s="120"/>
      <c r="G141" s="120"/>
      <c r="H141" s="122" t="str">
        <f>IFERROR(VLOOKUP(B141,'[1]Debt Holding Consolidated'!$C$1:$N$65536,12,FALSE),"")</f>
        <v/>
      </c>
      <c r="J141" s="2"/>
    </row>
    <row r="142" spans="1:10" x14ac:dyDescent="0.2">
      <c r="A142" s="120"/>
      <c r="B142" s="120"/>
      <c r="C142" s="121" t="s">
        <v>176</v>
      </c>
      <c r="D142" s="120"/>
      <c r="E142" s="120"/>
      <c r="F142" s="120"/>
      <c r="G142" s="120"/>
      <c r="H142" s="122" t="str">
        <f>IFERROR(VLOOKUP(B142,'[1]Debt Holding Consolidated'!$C$1:$N$65536,12,FALSE),"")</f>
        <v/>
      </c>
      <c r="J142" s="2"/>
    </row>
    <row r="143" spans="1:10" x14ac:dyDescent="0.2">
      <c r="A143" s="120"/>
      <c r="B143" s="120"/>
      <c r="C143" s="121" t="s">
        <v>152</v>
      </c>
      <c r="D143" s="120"/>
      <c r="E143" s="120" t="s">
        <v>153</v>
      </c>
      <c r="F143" s="132" t="s">
        <v>155</v>
      </c>
      <c r="G143" s="129">
        <v>0</v>
      </c>
      <c r="H143" s="122" t="str">
        <f>IFERROR(VLOOKUP(B143,'[1]Debt Holding Consolidated'!$C$1:$N$65536,12,FALSE),"")</f>
        <v/>
      </c>
      <c r="J143" s="2"/>
    </row>
    <row r="144" spans="1:10" x14ac:dyDescent="0.2">
      <c r="A144" s="120"/>
      <c r="B144" s="120"/>
      <c r="C144" s="130"/>
      <c r="D144" s="120"/>
      <c r="E144" s="120"/>
      <c r="F144" s="131"/>
      <c r="G144" s="131"/>
      <c r="H144" s="122" t="str">
        <f>IFERROR(VLOOKUP(B144,'[1]Debt Holding Consolidated'!$C$1:$N$65536,12,FALSE),"")</f>
        <v/>
      </c>
      <c r="J144" s="2"/>
    </row>
    <row r="145" spans="1:17" ht="25.5" x14ac:dyDescent="0.2">
      <c r="A145" s="120"/>
      <c r="B145" s="120"/>
      <c r="C145" s="121" t="s">
        <v>177</v>
      </c>
      <c r="D145" s="120"/>
      <c r="E145" s="120"/>
      <c r="F145" s="131"/>
      <c r="G145" s="131"/>
      <c r="H145" s="122" t="str">
        <f>IFERROR(VLOOKUP(B145,'[1]Debt Holding Consolidated'!$C$1:$N$65536,12,FALSE),"")</f>
        <v/>
      </c>
      <c r="J145" s="2"/>
    </row>
    <row r="146" spans="1:17" x14ac:dyDescent="0.2">
      <c r="A146" s="120"/>
      <c r="B146" s="120"/>
      <c r="C146" s="121" t="s">
        <v>152</v>
      </c>
      <c r="D146" s="120"/>
      <c r="E146" s="120" t="s">
        <v>153</v>
      </c>
      <c r="F146" s="132" t="s">
        <v>155</v>
      </c>
      <c r="G146" s="129">
        <v>0</v>
      </c>
      <c r="H146" s="122" t="str">
        <f>IFERROR(VLOOKUP(B146,'[1]Debt Holding Consolidated'!$C$1:$N$65536,12,FALSE),"")</f>
        <v/>
      </c>
      <c r="J146" s="2"/>
    </row>
    <row r="147" spans="1:17" x14ac:dyDescent="0.2">
      <c r="A147" s="120"/>
      <c r="B147" s="120"/>
      <c r="C147" s="130"/>
      <c r="D147" s="120"/>
      <c r="E147" s="120"/>
      <c r="F147" s="131"/>
      <c r="G147" s="131"/>
      <c r="H147" s="122" t="str">
        <f>IFERROR(VLOOKUP(B147,'[1]Debt Holding Consolidated'!$C$1:$N$65536,12,FALSE),"")</f>
        <v/>
      </c>
      <c r="J147" s="2"/>
    </row>
    <row r="148" spans="1:17" x14ac:dyDescent="0.2">
      <c r="A148" s="133"/>
      <c r="B148" s="124"/>
      <c r="C148" s="124" t="s">
        <v>542</v>
      </c>
      <c r="D148" s="124"/>
      <c r="E148" s="133"/>
      <c r="F148" s="126">
        <v>133.86573870000001</v>
      </c>
      <c r="G148" s="127">
        <v>3.8216999999999998E-4</v>
      </c>
      <c r="H148" s="122" t="str">
        <f>IFERROR(VLOOKUP(B148,'[1]Debt Holding Consolidated'!$C$1:$N$65536,12,FALSE),"")</f>
        <v/>
      </c>
      <c r="J148" s="2"/>
    </row>
    <row r="149" spans="1:17" x14ac:dyDescent="0.2">
      <c r="A149" s="133"/>
      <c r="B149" s="124"/>
      <c r="C149" s="124" t="s">
        <v>942</v>
      </c>
      <c r="D149" s="124"/>
      <c r="E149" s="133"/>
      <c r="F149" s="126">
        <f>9052.56546077+0.00271595802307129</f>
        <v>9052.5681767280221</v>
      </c>
      <c r="G149" s="127">
        <v>2.5843669999999999E-2</v>
      </c>
      <c r="H149" s="122" t="str">
        <f>IFERROR(VLOOKUP(B149,'[1]Debt Holding Consolidated'!$C$1:$N$65536,12,FALSE),"")</f>
        <v/>
      </c>
      <c r="J149" s="2"/>
    </row>
    <row r="150" spans="1:17" x14ac:dyDescent="0.2">
      <c r="A150" s="130"/>
      <c r="B150" s="130"/>
      <c r="C150" s="121" t="s">
        <v>179</v>
      </c>
      <c r="D150" s="131"/>
      <c r="E150" s="131"/>
      <c r="F150" s="128">
        <f>350281.766053072+0.00271595802307129</f>
        <v>350281.76876903005</v>
      </c>
      <c r="G150" s="134">
        <v>1.0000000600000001</v>
      </c>
      <c r="H150" s="122" t="str">
        <f>IFERROR(VLOOKUP(B150,'[1]Debt Holding Consolidated'!$C$1:$N$65536,12,FALSE),"")</f>
        <v/>
      </c>
      <c r="J150" s="2"/>
    </row>
    <row r="151" spans="1:17" x14ac:dyDescent="0.2">
      <c r="A151" s="135"/>
      <c r="B151" s="135"/>
      <c r="C151" s="135"/>
      <c r="D151" s="136"/>
      <c r="E151" s="136"/>
      <c r="F151" s="136"/>
      <c r="G151" s="136"/>
      <c r="J151" s="2"/>
    </row>
    <row r="152" spans="1:17" x14ac:dyDescent="0.2">
      <c r="A152" s="137"/>
      <c r="B152" s="226" t="s">
        <v>863</v>
      </c>
      <c r="C152" s="226"/>
      <c r="D152" s="226"/>
      <c r="E152" s="226"/>
      <c r="F152" s="226"/>
      <c r="G152" s="226"/>
      <c r="H152" s="226"/>
      <c r="J152" s="2"/>
    </row>
    <row r="153" spans="1:17" x14ac:dyDescent="0.2">
      <c r="A153" s="137"/>
      <c r="B153" s="226" t="s">
        <v>864</v>
      </c>
      <c r="C153" s="226"/>
      <c r="D153" s="226"/>
      <c r="E153" s="226"/>
      <c r="F153" s="226"/>
      <c r="G153" s="226"/>
      <c r="H153" s="226"/>
      <c r="J153" s="2"/>
    </row>
    <row r="154" spans="1:17" x14ac:dyDescent="0.2">
      <c r="A154" s="137"/>
      <c r="B154" s="226" t="s">
        <v>865</v>
      </c>
      <c r="C154" s="226"/>
      <c r="D154" s="226"/>
      <c r="E154" s="226"/>
      <c r="F154" s="226"/>
      <c r="G154" s="226"/>
      <c r="H154" s="226"/>
      <c r="J154" s="2"/>
    </row>
    <row r="155" spans="1:17" s="5" customFormat="1" ht="66.75" customHeight="1" x14ac:dyDescent="0.25">
      <c r="A155" s="139"/>
      <c r="B155" s="227" t="s">
        <v>866</v>
      </c>
      <c r="C155" s="227"/>
      <c r="D155" s="227"/>
      <c r="E155" s="227"/>
      <c r="F155" s="227"/>
      <c r="G155" s="227"/>
      <c r="H155" s="227"/>
      <c r="I155"/>
      <c r="J155" s="2"/>
      <c r="K155"/>
      <c r="L155"/>
      <c r="M155"/>
      <c r="N155"/>
      <c r="O155"/>
      <c r="P155"/>
      <c r="Q155"/>
    </row>
    <row r="156" spans="1:17" x14ac:dyDescent="0.2">
      <c r="A156" s="137"/>
      <c r="B156" s="226" t="s">
        <v>867</v>
      </c>
      <c r="C156" s="226"/>
      <c r="D156" s="226"/>
      <c r="E156" s="226"/>
      <c r="F156" s="226"/>
      <c r="G156" s="226"/>
      <c r="H156" s="226"/>
      <c r="J156" s="2"/>
    </row>
    <row r="157" spans="1:17" x14ac:dyDescent="0.2">
      <c r="A157" s="140"/>
      <c r="B157" s="140"/>
      <c r="C157" s="140"/>
      <c r="D157" s="141"/>
      <c r="E157" s="141"/>
      <c r="F157" s="141"/>
      <c r="G157" s="141"/>
      <c r="J157" s="2"/>
    </row>
    <row r="158" spans="1:17" x14ac:dyDescent="0.2">
      <c r="A158" s="140"/>
      <c r="B158" s="228" t="s">
        <v>180</v>
      </c>
      <c r="C158" s="229"/>
      <c r="D158" s="230"/>
      <c r="E158" s="142"/>
      <c r="F158" s="141"/>
      <c r="G158" s="141"/>
      <c r="J158" s="2"/>
    </row>
    <row r="159" spans="1:17" x14ac:dyDescent="0.2">
      <c r="A159" s="140"/>
      <c r="B159" s="223" t="s">
        <v>181</v>
      </c>
      <c r="C159" s="224"/>
      <c r="D159" s="121" t="s">
        <v>182</v>
      </c>
      <c r="E159" s="142"/>
      <c r="F159" s="141"/>
      <c r="G159" s="141"/>
      <c r="J159" s="2"/>
    </row>
    <row r="160" spans="1:17" ht="12.75" customHeight="1" x14ac:dyDescent="0.2">
      <c r="A160" s="137"/>
      <c r="B160" s="221" t="s">
        <v>939</v>
      </c>
      <c r="C160" s="222"/>
      <c r="D160" s="143" t="str">
        <f>"Rs. "&amp;TEXT(F91,"0.00")&amp;" lacs/ #"</f>
        <v>Rs. 0.00 lacs/ #</v>
      </c>
      <c r="E160" s="161"/>
      <c r="F160" s="162"/>
      <c r="G160" s="162"/>
      <c r="J160" s="2"/>
    </row>
    <row r="161" spans="1:10" x14ac:dyDescent="0.2">
      <c r="A161" s="140"/>
      <c r="B161" s="223" t="s">
        <v>184</v>
      </c>
      <c r="C161" s="224"/>
      <c r="D161" s="131" t="s">
        <v>153</v>
      </c>
      <c r="E161" s="142"/>
      <c r="F161" s="141"/>
      <c r="G161" s="141"/>
      <c r="J161" s="2"/>
    </row>
    <row r="162" spans="1:10" x14ac:dyDescent="0.2">
      <c r="A162" s="144"/>
      <c r="B162" s="145" t="s">
        <v>153</v>
      </c>
      <c r="C162" s="145" t="s">
        <v>870</v>
      </c>
      <c r="D162" s="145" t="s">
        <v>185</v>
      </c>
      <c r="E162" s="144"/>
      <c r="F162" s="144"/>
      <c r="G162" s="144"/>
      <c r="H162" s="144"/>
      <c r="J162" s="2"/>
    </row>
    <row r="163" spans="1:10" x14ac:dyDescent="0.2">
      <c r="A163" s="146"/>
      <c r="B163" s="147" t="s">
        <v>186</v>
      </c>
      <c r="C163" s="148">
        <v>45504</v>
      </c>
      <c r="D163" s="149">
        <v>45535</v>
      </c>
      <c r="E163" s="146"/>
      <c r="F163" s="146"/>
      <c r="G163" s="146"/>
      <c r="J163" s="2"/>
    </row>
    <row r="164" spans="1:10" x14ac:dyDescent="0.2">
      <c r="A164" s="146"/>
      <c r="B164" s="124" t="s">
        <v>187</v>
      </c>
      <c r="C164" s="150">
        <v>280.63200000000001</v>
      </c>
      <c r="D164" s="150">
        <v>289.32639999999998</v>
      </c>
      <c r="E164" s="146"/>
      <c r="F164" s="151"/>
      <c r="G164" s="152"/>
      <c r="J164" s="2"/>
    </row>
    <row r="165" spans="1:10" x14ac:dyDescent="0.2">
      <c r="A165" s="146"/>
      <c r="B165" s="124" t="s">
        <v>926</v>
      </c>
      <c r="C165" s="150">
        <v>42.478099999999998</v>
      </c>
      <c r="D165" s="150">
        <v>43.7941</v>
      </c>
      <c r="E165" s="146"/>
      <c r="F165" s="151"/>
      <c r="G165" s="152"/>
      <c r="J165" s="2"/>
    </row>
    <row r="166" spans="1:10" x14ac:dyDescent="0.2">
      <c r="A166" s="146"/>
      <c r="B166" s="124" t="s">
        <v>188</v>
      </c>
      <c r="C166" s="150">
        <v>256.16550000000001</v>
      </c>
      <c r="D166" s="150">
        <v>263.85300000000001</v>
      </c>
      <c r="E166" s="146"/>
      <c r="F166" s="151"/>
      <c r="G166" s="152"/>
      <c r="J166" s="2"/>
    </row>
    <row r="167" spans="1:10" x14ac:dyDescent="0.2">
      <c r="A167" s="146"/>
      <c r="B167" s="124" t="s">
        <v>927</v>
      </c>
      <c r="C167" s="150">
        <v>37.733499999999999</v>
      </c>
      <c r="D167" s="150">
        <v>38.865900000000003</v>
      </c>
      <c r="E167" s="146"/>
      <c r="F167" s="151"/>
      <c r="G167" s="152"/>
      <c r="J167" s="2"/>
    </row>
    <row r="168" spans="1:10" x14ac:dyDescent="0.2">
      <c r="A168" s="146"/>
      <c r="B168" s="146"/>
      <c r="C168" s="146"/>
      <c r="D168" s="146"/>
      <c r="E168" s="146"/>
      <c r="F168" s="146"/>
      <c r="G168" s="146"/>
      <c r="J168" s="2"/>
    </row>
    <row r="169" spans="1:10" x14ac:dyDescent="0.2">
      <c r="A169" s="144"/>
      <c r="B169" s="221" t="s">
        <v>869</v>
      </c>
      <c r="C169" s="222"/>
      <c r="D169" s="143" t="s">
        <v>182</v>
      </c>
      <c r="E169" s="144"/>
      <c r="F169" s="144"/>
      <c r="G169" s="144"/>
    </row>
    <row r="170" spans="1:10" x14ac:dyDescent="0.2">
      <c r="A170" s="144"/>
      <c r="B170" s="163"/>
      <c r="C170" s="163"/>
      <c r="D170" s="163"/>
      <c r="E170" s="144"/>
      <c r="F170" s="144"/>
      <c r="G170" s="144"/>
    </row>
    <row r="171" spans="1:10" x14ac:dyDescent="0.2">
      <c r="A171" s="144"/>
      <c r="B171" s="221" t="s">
        <v>189</v>
      </c>
      <c r="C171" s="222"/>
      <c r="D171" s="167" t="s">
        <v>1000</v>
      </c>
      <c r="E171" s="153"/>
      <c r="F171" s="144"/>
      <c r="G171" s="144"/>
    </row>
    <row r="172" spans="1:10" x14ac:dyDescent="0.2">
      <c r="A172" s="144"/>
      <c r="B172" s="221" t="s">
        <v>190</v>
      </c>
      <c r="C172" s="222"/>
      <c r="D172" s="143" t="s">
        <v>182</v>
      </c>
      <c r="E172" s="153"/>
      <c r="F172" s="144"/>
      <c r="G172" s="144"/>
    </row>
    <row r="173" spans="1:10" x14ac:dyDescent="0.2">
      <c r="A173" s="144"/>
      <c r="B173" s="221" t="s">
        <v>191</v>
      </c>
      <c r="C173" s="222"/>
      <c r="D173" s="143" t="s">
        <v>182</v>
      </c>
      <c r="E173" s="153"/>
      <c r="F173" s="144"/>
      <c r="G173" s="144"/>
    </row>
    <row r="174" spans="1:10" x14ac:dyDescent="0.2">
      <c r="A174" s="144"/>
      <c r="B174" s="221" t="s">
        <v>192</v>
      </c>
      <c r="C174" s="222"/>
      <c r="D174" s="154">
        <v>0.58873823330763952</v>
      </c>
      <c r="E174" s="144"/>
      <c r="F174" s="138"/>
      <c r="G174" s="155"/>
    </row>
  </sheetData>
  <mergeCells count="17">
    <mergeCell ref="B159:C159"/>
    <mergeCell ref="A1:H1"/>
    <mergeCell ref="A2:H2"/>
    <mergeCell ref="A3:H3"/>
    <mergeCell ref="B152:H152"/>
    <mergeCell ref="B153:H153"/>
    <mergeCell ref="B154:H154"/>
    <mergeCell ref="B155:H155"/>
    <mergeCell ref="B156:H156"/>
    <mergeCell ref="B158:D158"/>
    <mergeCell ref="B160:C160"/>
    <mergeCell ref="B161:C161"/>
    <mergeCell ref="B169:C169"/>
    <mergeCell ref="B173:C173"/>
    <mergeCell ref="B174:C174"/>
    <mergeCell ref="B171:C171"/>
    <mergeCell ref="B172:C172"/>
  </mergeCells>
  <hyperlinks>
    <hyperlink ref="I1" location="Index!B14" display="Index" xr:uid="{B97DD42B-6EFD-4F45-876C-B3D7270CC8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BF43-9DD4-47B1-BAEB-DB36EF83E9F6}">
  <sheetPr>
    <outlinePr summaryBelow="0" summaryRight="0"/>
  </sheetPr>
  <dimension ref="A1:Q243"/>
  <sheetViews>
    <sheetView showGridLines="0" workbookViewId="0">
      <selection sqref="A1:H1"/>
    </sheetView>
  </sheetViews>
  <sheetFormatPr defaultRowHeight="12.75" x14ac:dyDescent="0.2"/>
  <cols>
    <col min="1" max="1" width="6.85546875" customWidth="1"/>
    <col min="2" max="2" width="20.5703125" customWidth="1"/>
    <col min="3" max="3" width="39.28515625" customWidth="1"/>
    <col min="4" max="4" width="17.85546875" customWidth="1"/>
    <col min="5" max="6" width="19.140625" customWidth="1"/>
    <col min="7" max="7" width="16.42578125" customWidth="1"/>
    <col min="9" max="9" width="8"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543</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851</v>
      </c>
      <c r="J4" s="2"/>
    </row>
    <row r="5" spans="1:10" x14ac:dyDescent="0.2">
      <c r="A5" s="120"/>
      <c r="B5" s="120"/>
      <c r="C5" s="121" t="s">
        <v>9</v>
      </c>
      <c r="D5" s="120"/>
      <c r="E5" s="120"/>
      <c r="F5" s="120"/>
      <c r="G5" s="120"/>
      <c r="H5" s="122" t="str">
        <f>IFERROR(VLOOKUP(B5,'[1]Debt Holding Consolidated'!$C$1:$N$65536,12,FALSE),"")</f>
        <v/>
      </c>
      <c r="J5" s="2"/>
    </row>
    <row r="6" spans="1:10" x14ac:dyDescent="0.2">
      <c r="A6" s="120"/>
      <c r="B6" s="120"/>
      <c r="C6" s="121" t="s">
        <v>10</v>
      </c>
      <c r="D6" s="120"/>
      <c r="E6" s="120"/>
      <c r="F6" s="120"/>
      <c r="G6" s="120"/>
      <c r="H6" s="122" t="str">
        <f>IFERROR(VLOOKUP(B6,'[1]Debt Holding Consolidated'!$C$1:$N$65536,12,FALSE),"")</f>
        <v/>
      </c>
      <c r="J6" s="2"/>
    </row>
    <row r="7" spans="1:10" x14ac:dyDescent="0.2">
      <c r="A7" s="123">
        <v>1</v>
      </c>
      <c r="B7" s="124" t="s">
        <v>20</v>
      </c>
      <c r="C7" s="124" t="s">
        <v>21</v>
      </c>
      <c r="D7" s="124" t="s">
        <v>22</v>
      </c>
      <c r="E7" s="125">
        <v>807500</v>
      </c>
      <c r="F7" s="126">
        <v>24380.443749999999</v>
      </c>
      <c r="G7" s="127">
        <v>4.575738E-2</v>
      </c>
      <c r="H7" s="122" t="str">
        <f>IFERROR(VLOOKUP(B7,'[1]Debt Holding Consolidated'!$C$1:$N$65536,12,FALSE),"")</f>
        <v/>
      </c>
      <c r="J7" s="2"/>
    </row>
    <row r="8" spans="1:10" x14ac:dyDescent="0.2">
      <c r="A8" s="123">
        <v>2</v>
      </c>
      <c r="B8" s="124" t="s">
        <v>342</v>
      </c>
      <c r="C8" s="124" t="s">
        <v>343</v>
      </c>
      <c r="D8" s="124" t="s">
        <v>48</v>
      </c>
      <c r="E8" s="125">
        <v>1300750</v>
      </c>
      <c r="F8" s="126">
        <v>21291.976750000002</v>
      </c>
      <c r="G8" s="127">
        <v>3.9960919999999997E-2</v>
      </c>
      <c r="H8" s="122" t="str">
        <f>IFERROR(VLOOKUP(B8,'[1]Debt Holding Consolidated'!$C$1:$N$65536,12,FALSE),"")</f>
        <v/>
      </c>
      <c r="J8" s="2"/>
    </row>
    <row r="9" spans="1:10" x14ac:dyDescent="0.2">
      <c r="A9" s="123">
        <v>3</v>
      </c>
      <c r="B9" s="124" t="s">
        <v>46</v>
      </c>
      <c r="C9" s="124" t="s">
        <v>47</v>
      </c>
      <c r="D9" s="124" t="s">
        <v>48</v>
      </c>
      <c r="E9" s="125">
        <v>1700000</v>
      </c>
      <c r="F9" s="126">
        <v>20896.400000000001</v>
      </c>
      <c r="G9" s="127">
        <v>3.9218500000000003E-2</v>
      </c>
      <c r="H9" s="122" t="str">
        <f>IFERROR(VLOOKUP(B9,'[1]Debt Holding Consolidated'!$C$1:$N$65536,12,FALSE),"")</f>
        <v/>
      </c>
      <c r="J9" s="2"/>
    </row>
    <row r="10" spans="1:10" x14ac:dyDescent="0.2">
      <c r="A10" s="123">
        <v>4</v>
      </c>
      <c r="B10" s="124" t="s">
        <v>344</v>
      </c>
      <c r="C10" s="124" t="s">
        <v>345</v>
      </c>
      <c r="D10" s="124" t="s">
        <v>211</v>
      </c>
      <c r="E10" s="125">
        <v>820000</v>
      </c>
      <c r="F10" s="126">
        <v>15938.34</v>
      </c>
      <c r="G10" s="127">
        <v>2.9913180000000001E-2</v>
      </c>
      <c r="H10" s="122" t="str">
        <f>IFERROR(VLOOKUP(B10,'[1]Debt Holding Consolidated'!$C$1:$N$65536,12,FALSE),"")</f>
        <v/>
      </c>
      <c r="J10" s="2"/>
    </row>
    <row r="11" spans="1:10" x14ac:dyDescent="0.2">
      <c r="A11" s="123">
        <v>5</v>
      </c>
      <c r="B11" s="124" t="s">
        <v>14</v>
      </c>
      <c r="C11" s="124" t="s">
        <v>15</v>
      </c>
      <c r="D11" s="124" t="s">
        <v>16</v>
      </c>
      <c r="E11" s="125">
        <v>1000000</v>
      </c>
      <c r="F11" s="126">
        <v>15890.5</v>
      </c>
      <c r="G11" s="127">
        <v>2.9823390000000002E-2</v>
      </c>
      <c r="H11" s="122" t="str">
        <f>IFERROR(VLOOKUP(B11,'[1]Debt Holding Consolidated'!$C$1:$N$65536,12,FALSE),"")</f>
        <v/>
      </c>
      <c r="J11" s="2"/>
    </row>
    <row r="12" spans="1:10" ht="15" x14ac:dyDescent="0.2">
      <c r="A12" s="123">
        <v>6</v>
      </c>
      <c r="B12" s="124" t="s">
        <v>194</v>
      </c>
      <c r="C12" s="124" t="s">
        <v>195</v>
      </c>
      <c r="D12" s="124" t="s">
        <v>45</v>
      </c>
      <c r="E12" s="125">
        <v>2460000</v>
      </c>
      <c r="F12" s="126">
        <v>15133.92</v>
      </c>
      <c r="G12" s="127">
        <v>2.8403439999999999E-2</v>
      </c>
      <c r="H12" s="122" t="str">
        <f>IFERROR(VLOOKUP(B12,'[1]Debt Holding Consolidated'!$C$1:$N$65536,12,FALSE),"")</f>
        <v/>
      </c>
      <c r="J12" s="7"/>
    </row>
    <row r="13" spans="1:10" x14ac:dyDescent="0.2">
      <c r="A13" s="123">
        <v>7</v>
      </c>
      <c r="B13" s="124" t="s">
        <v>11</v>
      </c>
      <c r="C13" s="124" t="s">
        <v>12</v>
      </c>
      <c r="D13" s="124" t="s">
        <v>13</v>
      </c>
      <c r="E13" s="125">
        <v>317779</v>
      </c>
      <c r="F13" s="126">
        <v>11772.5997235</v>
      </c>
      <c r="G13" s="127">
        <v>2.2094889999999999E-2</v>
      </c>
      <c r="H13" s="122" t="str">
        <f>IFERROR(VLOOKUP(B13,'[1]Debt Holding Consolidated'!$C$1:$N$65536,12,FALSE),"")</f>
        <v/>
      </c>
      <c r="J13" s="2"/>
    </row>
    <row r="14" spans="1:10" ht="25.5" x14ac:dyDescent="0.2">
      <c r="A14" s="123">
        <v>8</v>
      </c>
      <c r="B14" s="124" t="s">
        <v>352</v>
      </c>
      <c r="C14" s="124" t="s">
        <v>353</v>
      </c>
      <c r="D14" s="124" t="s">
        <v>208</v>
      </c>
      <c r="E14" s="125">
        <v>525000</v>
      </c>
      <c r="F14" s="126">
        <v>9563.6625000000004</v>
      </c>
      <c r="G14" s="127">
        <v>1.7949139999999999E-2</v>
      </c>
      <c r="H14" s="122" t="str">
        <f>IFERROR(VLOOKUP(B14,'[1]Debt Holding Consolidated'!$C$1:$N$65536,12,FALSE),"")</f>
        <v/>
      </c>
      <c r="J14" s="2"/>
    </row>
    <row r="15" spans="1:10" x14ac:dyDescent="0.2">
      <c r="A15" s="123">
        <v>9</v>
      </c>
      <c r="B15" s="124" t="s">
        <v>28</v>
      </c>
      <c r="C15" s="124" t="s">
        <v>29</v>
      </c>
      <c r="D15" s="124" t="s">
        <v>22</v>
      </c>
      <c r="E15" s="125">
        <v>2400000</v>
      </c>
      <c r="F15" s="126">
        <v>8583.6</v>
      </c>
      <c r="G15" s="127">
        <v>1.6109760000000001E-2</v>
      </c>
      <c r="H15" s="122" t="str">
        <f>IFERROR(VLOOKUP(B15,'[1]Debt Holding Consolidated'!$C$1:$N$65536,12,FALSE),"")</f>
        <v/>
      </c>
      <c r="J15" s="2"/>
    </row>
    <row r="16" spans="1:10" ht="25.5" x14ac:dyDescent="0.2">
      <c r="A16" s="123">
        <v>10</v>
      </c>
      <c r="B16" s="124" t="s">
        <v>242</v>
      </c>
      <c r="C16" s="124" t="s">
        <v>243</v>
      </c>
      <c r="D16" s="124" t="s">
        <v>89</v>
      </c>
      <c r="E16" s="125">
        <v>260000</v>
      </c>
      <c r="F16" s="126">
        <v>8331.7000000000007</v>
      </c>
      <c r="G16" s="127">
        <v>1.563699E-2</v>
      </c>
      <c r="H16" s="122" t="str">
        <f>IFERROR(VLOOKUP(B16,'[1]Debt Holding Consolidated'!$C$1:$N$65536,12,FALSE),"")</f>
        <v/>
      </c>
      <c r="J16" s="2" t="s">
        <v>940</v>
      </c>
    </row>
    <row r="17" spans="1:10" x14ac:dyDescent="0.2">
      <c r="A17" s="123">
        <v>11</v>
      </c>
      <c r="B17" s="124" t="s">
        <v>469</v>
      </c>
      <c r="C17" s="124" t="s">
        <v>470</v>
      </c>
      <c r="D17" s="124" t="s">
        <v>211</v>
      </c>
      <c r="E17" s="125">
        <v>466000</v>
      </c>
      <c r="F17" s="126">
        <v>8170.1450000000004</v>
      </c>
      <c r="G17" s="127">
        <v>1.533378E-2</v>
      </c>
      <c r="H17" s="122" t="str">
        <f>IFERROR(VLOOKUP(B17,'[1]Debt Holding Consolidated'!$C$1:$N$65536,12,FALSE),"")</f>
        <v/>
      </c>
      <c r="J17" s="2"/>
    </row>
    <row r="18" spans="1:10" x14ac:dyDescent="0.2">
      <c r="A18" s="123">
        <v>12</v>
      </c>
      <c r="B18" s="124" t="s">
        <v>350</v>
      </c>
      <c r="C18" s="124" t="s">
        <v>351</v>
      </c>
      <c r="D18" s="124" t="s">
        <v>48</v>
      </c>
      <c r="E18" s="125">
        <v>675000</v>
      </c>
      <c r="F18" s="126">
        <v>7932.9375</v>
      </c>
      <c r="G18" s="127">
        <v>1.488859E-2</v>
      </c>
      <c r="H18" s="122" t="str">
        <f>IFERROR(VLOOKUP(B18,'[1]Debt Holding Consolidated'!$C$1:$N$65536,12,FALSE),"")</f>
        <v/>
      </c>
      <c r="J18" s="2"/>
    </row>
    <row r="19" spans="1:10" x14ac:dyDescent="0.2">
      <c r="A19" s="123">
        <v>13</v>
      </c>
      <c r="B19" s="124" t="s">
        <v>17</v>
      </c>
      <c r="C19" s="124" t="s">
        <v>18</v>
      </c>
      <c r="D19" s="124" t="s">
        <v>19</v>
      </c>
      <c r="E19" s="125">
        <v>1855000</v>
      </c>
      <c r="F19" s="126">
        <v>7720.51</v>
      </c>
      <c r="G19" s="127">
        <v>1.44899E-2</v>
      </c>
      <c r="H19" s="122" t="str">
        <f>IFERROR(VLOOKUP(B19,'[1]Debt Holding Consolidated'!$C$1:$N$65536,12,FALSE),"")</f>
        <v/>
      </c>
      <c r="J19" s="2"/>
    </row>
    <row r="20" spans="1:10" x14ac:dyDescent="0.2">
      <c r="A20" s="123">
        <v>14</v>
      </c>
      <c r="B20" s="124" t="s">
        <v>54</v>
      </c>
      <c r="C20" s="124" t="s">
        <v>55</v>
      </c>
      <c r="D20" s="124" t="s">
        <v>48</v>
      </c>
      <c r="E20" s="125">
        <v>925000</v>
      </c>
      <c r="F20" s="126">
        <v>7544.3</v>
      </c>
      <c r="G20" s="127">
        <v>1.415919E-2</v>
      </c>
      <c r="H20" s="122" t="str">
        <f>IFERROR(VLOOKUP(B20,'[1]Debt Holding Consolidated'!$C$1:$N$65536,12,FALSE),"")</f>
        <v/>
      </c>
      <c r="J20" s="2"/>
    </row>
    <row r="21" spans="1:10" x14ac:dyDescent="0.2">
      <c r="A21" s="123">
        <v>15</v>
      </c>
      <c r="B21" s="124" t="s">
        <v>544</v>
      </c>
      <c r="C21" s="124" t="s">
        <v>545</v>
      </c>
      <c r="D21" s="124" t="s">
        <v>264</v>
      </c>
      <c r="E21" s="125">
        <v>500000</v>
      </c>
      <c r="F21" s="126">
        <v>7371.75</v>
      </c>
      <c r="G21" s="127">
        <v>1.383535E-2</v>
      </c>
      <c r="H21" s="122" t="str">
        <f>IFERROR(VLOOKUP(B21,'[1]Debt Holding Consolidated'!$C$1:$N$65536,12,FALSE),"")</f>
        <v/>
      </c>
      <c r="J21" s="2"/>
    </row>
    <row r="22" spans="1:10" ht="15" x14ac:dyDescent="0.2">
      <c r="A22" s="123">
        <v>16</v>
      </c>
      <c r="B22" s="124" t="s">
        <v>199</v>
      </c>
      <c r="C22" s="124" t="s">
        <v>200</v>
      </c>
      <c r="D22" s="124" t="s">
        <v>74</v>
      </c>
      <c r="E22" s="125">
        <v>180000</v>
      </c>
      <c r="F22" s="126">
        <v>7255.44</v>
      </c>
      <c r="G22" s="127">
        <v>1.361706E-2</v>
      </c>
      <c r="H22" s="122" t="str">
        <f>IFERROR(VLOOKUP(B22,'[1]Debt Holding Consolidated'!$C$1:$N$65536,12,FALSE),"")</f>
        <v/>
      </c>
      <c r="J22" s="7"/>
    </row>
    <row r="23" spans="1:10" x14ac:dyDescent="0.2">
      <c r="A23" s="123">
        <v>17</v>
      </c>
      <c r="B23" s="124" t="s">
        <v>274</v>
      </c>
      <c r="C23" s="124" t="s">
        <v>275</v>
      </c>
      <c r="D23" s="124" t="s">
        <v>74</v>
      </c>
      <c r="E23" s="125">
        <v>600000</v>
      </c>
      <c r="F23" s="126">
        <v>7043.4</v>
      </c>
      <c r="G23" s="127">
        <v>1.3219099999999999E-2</v>
      </c>
      <c r="H23" s="122" t="str">
        <f>IFERROR(VLOOKUP(B23,'[1]Debt Holding Consolidated'!$C$1:$N$65536,12,FALSE),"")</f>
        <v/>
      </c>
      <c r="J23" s="2"/>
    </row>
    <row r="24" spans="1:10" x14ac:dyDescent="0.2">
      <c r="A24" s="123">
        <v>18</v>
      </c>
      <c r="B24" s="124" t="s">
        <v>354</v>
      </c>
      <c r="C24" s="124" t="s">
        <v>355</v>
      </c>
      <c r="D24" s="124" t="s">
        <v>264</v>
      </c>
      <c r="E24" s="125">
        <v>450000</v>
      </c>
      <c r="F24" s="126">
        <v>6754.05</v>
      </c>
      <c r="G24" s="127">
        <v>1.2676049999999999E-2</v>
      </c>
      <c r="H24" s="122" t="str">
        <f>IFERROR(VLOOKUP(B24,'[1]Debt Holding Consolidated'!$C$1:$N$65536,12,FALSE),"")</f>
        <v/>
      </c>
      <c r="J24" s="2"/>
    </row>
    <row r="25" spans="1:10" x14ac:dyDescent="0.2">
      <c r="A25" s="123">
        <v>19</v>
      </c>
      <c r="B25" s="124" t="s">
        <v>546</v>
      </c>
      <c r="C25" s="124" t="s">
        <v>547</v>
      </c>
      <c r="D25" s="124" t="s">
        <v>273</v>
      </c>
      <c r="E25" s="125">
        <v>61538</v>
      </c>
      <c r="F25" s="126">
        <v>6702.4420389999996</v>
      </c>
      <c r="G25" s="127">
        <v>1.2579190000000001E-2</v>
      </c>
      <c r="H25" s="122" t="str">
        <f>IFERROR(VLOOKUP(B25,'[1]Debt Holding Consolidated'!$C$1:$N$65536,12,FALSE),"")</f>
        <v/>
      </c>
      <c r="J25" s="2"/>
    </row>
    <row r="26" spans="1:10" ht="25.5" x14ac:dyDescent="0.2">
      <c r="A26" s="123">
        <v>20</v>
      </c>
      <c r="B26" s="124" t="s">
        <v>203</v>
      </c>
      <c r="C26" s="124" t="s">
        <v>204</v>
      </c>
      <c r="D26" s="124" t="s">
        <v>205</v>
      </c>
      <c r="E26" s="125">
        <v>360000</v>
      </c>
      <c r="F26" s="126">
        <v>6329.7</v>
      </c>
      <c r="G26" s="127">
        <v>1.187962E-2</v>
      </c>
      <c r="H26" s="122" t="str">
        <f>IFERROR(VLOOKUP(B26,'[1]Debt Holding Consolidated'!$C$1:$N$65536,12,FALSE),"")</f>
        <v/>
      </c>
      <c r="J26" s="2"/>
    </row>
    <row r="27" spans="1:10" x14ac:dyDescent="0.2">
      <c r="A27" s="123">
        <v>21</v>
      </c>
      <c r="B27" s="124" t="s">
        <v>338</v>
      </c>
      <c r="C27" s="124" t="s">
        <v>339</v>
      </c>
      <c r="D27" s="124" t="s">
        <v>273</v>
      </c>
      <c r="E27" s="125">
        <v>51000</v>
      </c>
      <c r="F27" s="126">
        <v>6325.53</v>
      </c>
      <c r="G27" s="127">
        <v>1.18718E-2</v>
      </c>
      <c r="H27" s="122" t="str">
        <f>IFERROR(VLOOKUP(B27,'[1]Debt Holding Consolidated'!$C$1:$N$65536,12,FALSE),"")</f>
        <v/>
      </c>
      <c r="J27" s="2"/>
    </row>
    <row r="28" spans="1:10" x14ac:dyDescent="0.2">
      <c r="A28" s="123">
        <v>22</v>
      </c>
      <c r="B28" s="124" t="s">
        <v>356</v>
      </c>
      <c r="C28" s="124" t="s">
        <v>357</v>
      </c>
      <c r="D28" s="124" t="s">
        <v>48</v>
      </c>
      <c r="E28" s="125">
        <v>344000</v>
      </c>
      <c r="F28" s="126">
        <v>6125.9520000000002</v>
      </c>
      <c r="G28" s="127">
        <v>1.1497230000000001E-2</v>
      </c>
      <c r="H28" s="122" t="str">
        <f>IFERROR(VLOOKUP(B28,'[1]Debt Holding Consolidated'!$C$1:$N$65536,12,FALSE),"")</f>
        <v/>
      </c>
      <c r="J28" s="2"/>
    </row>
    <row r="29" spans="1:10" x14ac:dyDescent="0.2">
      <c r="A29" s="123">
        <v>23</v>
      </c>
      <c r="B29" s="124" t="s">
        <v>494</v>
      </c>
      <c r="C29" s="124" t="s">
        <v>495</v>
      </c>
      <c r="D29" s="124" t="s">
        <v>74</v>
      </c>
      <c r="E29" s="125">
        <v>198000</v>
      </c>
      <c r="F29" s="126">
        <v>5457.4740000000002</v>
      </c>
      <c r="G29" s="127">
        <v>1.0242619999999999E-2</v>
      </c>
      <c r="H29" s="122" t="str">
        <f>IFERROR(VLOOKUP(B29,'[1]Debt Holding Consolidated'!$C$1:$N$65536,12,FALSE),"")</f>
        <v/>
      </c>
      <c r="J29" s="2"/>
    </row>
    <row r="30" spans="1:10" ht="25.5" x14ac:dyDescent="0.2">
      <c r="A30" s="123">
        <v>24</v>
      </c>
      <c r="B30" s="124" t="s">
        <v>228</v>
      </c>
      <c r="C30" s="124" t="s">
        <v>229</v>
      </c>
      <c r="D30" s="124" t="s">
        <v>208</v>
      </c>
      <c r="E30" s="125">
        <v>480000</v>
      </c>
      <c r="F30" s="126">
        <v>5413.92</v>
      </c>
      <c r="G30" s="127">
        <v>1.0160880000000001E-2</v>
      </c>
      <c r="H30" s="122" t="str">
        <f>IFERROR(VLOOKUP(B30,'[1]Debt Holding Consolidated'!$C$1:$N$65536,12,FALSE),"")</f>
        <v/>
      </c>
      <c r="J30" s="2"/>
    </row>
    <row r="31" spans="1:10" x14ac:dyDescent="0.2">
      <c r="A31" s="123">
        <v>25</v>
      </c>
      <c r="B31" s="124" t="s">
        <v>348</v>
      </c>
      <c r="C31" s="124" t="s">
        <v>349</v>
      </c>
      <c r="D31" s="124" t="s">
        <v>211</v>
      </c>
      <c r="E31" s="125">
        <v>118812</v>
      </c>
      <c r="F31" s="126">
        <v>5410.4014500000003</v>
      </c>
      <c r="G31" s="127">
        <v>1.015428E-2</v>
      </c>
      <c r="H31" s="122" t="str">
        <f>IFERROR(VLOOKUP(B31,'[1]Debt Holding Consolidated'!$C$1:$N$65536,12,FALSE),"")</f>
        <v/>
      </c>
      <c r="J31" s="2"/>
    </row>
    <row r="32" spans="1:10" x14ac:dyDescent="0.2">
      <c r="A32" s="123">
        <v>26</v>
      </c>
      <c r="B32" s="124" t="s">
        <v>237</v>
      </c>
      <c r="C32" s="124" t="s">
        <v>238</v>
      </c>
      <c r="D32" s="124" t="s">
        <v>239</v>
      </c>
      <c r="E32" s="125">
        <v>125000</v>
      </c>
      <c r="F32" s="126">
        <v>5326.5625</v>
      </c>
      <c r="G32" s="127">
        <v>9.9969299999999994E-3</v>
      </c>
      <c r="H32" s="122" t="str">
        <f>IFERROR(VLOOKUP(B32,'[1]Debt Holding Consolidated'!$C$1:$N$65536,12,FALSE),"")</f>
        <v/>
      </c>
      <c r="J32" s="2"/>
    </row>
    <row r="33" spans="1:10" ht="25.5" x14ac:dyDescent="0.2">
      <c r="A33" s="123">
        <v>27</v>
      </c>
      <c r="B33" s="124" t="s">
        <v>368</v>
      </c>
      <c r="C33" s="124" t="s">
        <v>369</v>
      </c>
      <c r="D33" s="124" t="s">
        <v>208</v>
      </c>
      <c r="E33" s="125">
        <v>73000</v>
      </c>
      <c r="F33" s="126">
        <v>5132.8855000000003</v>
      </c>
      <c r="G33" s="127">
        <v>9.6334300000000001E-3</v>
      </c>
      <c r="H33" s="122" t="str">
        <f>IFERROR(VLOOKUP(B33,'[1]Debt Holding Consolidated'!$C$1:$N$65536,12,FALSE),"")</f>
        <v/>
      </c>
      <c r="J33" s="2"/>
    </row>
    <row r="34" spans="1:10" x14ac:dyDescent="0.2">
      <c r="A34" s="123">
        <v>28</v>
      </c>
      <c r="B34" s="124" t="s">
        <v>43</v>
      </c>
      <c r="C34" s="124" t="s">
        <v>44</v>
      </c>
      <c r="D34" s="124" t="s">
        <v>45</v>
      </c>
      <c r="E34" s="125">
        <v>113905</v>
      </c>
      <c r="F34" s="126">
        <v>5088.4780650000002</v>
      </c>
      <c r="G34" s="127">
        <v>9.5500900000000007E-3</v>
      </c>
      <c r="H34" s="122" t="str">
        <f>IFERROR(VLOOKUP(B34,'[1]Debt Holding Consolidated'!$C$1:$N$65536,12,FALSE),"")</f>
        <v/>
      </c>
      <c r="J34" s="2"/>
    </row>
    <row r="35" spans="1:10" x14ac:dyDescent="0.2">
      <c r="A35" s="123">
        <v>29</v>
      </c>
      <c r="B35" s="124" t="s">
        <v>361</v>
      </c>
      <c r="C35" s="124" t="s">
        <v>362</v>
      </c>
      <c r="D35" s="124" t="s">
        <v>273</v>
      </c>
      <c r="E35" s="125">
        <v>455000</v>
      </c>
      <c r="F35" s="126">
        <v>5056.6424999999999</v>
      </c>
      <c r="G35" s="127">
        <v>9.4903399999999999E-3</v>
      </c>
      <c r="H35" s="122" t="str">
        <f>IFERROR(VLOOKUP(B35,'[1]Debt Holding Consolidated'!$C$1:$N$65536,12,FALSE),"")</f>
        <v/>
      </c>
      <c r="J35" s="2"/>
    </row>
    <row r="36" spans="1:10" ht="25.5" x14ac:dyDescent="0.2">
      <c r="A36" s="123">
        <v>30</v>
      </c>
      <c r="B36" s="124" t="s">
        <v>230</v>
      </c>
      <c r="C36" s="124" t="s">
        <v>231</v>
      </c>
      <c r="D36" s="124" t="s">
        <v>208</v>
      </c>
      <c r="E36" s="125">
        <v>78872</v>
      </c>
      <c r="F36" s="126">
        <v>4866.6784520000001</v>
      </c>
      <c r="G36" s="127">
        <v>9.1338099999999992E-3</v>
      </c>
      <c r="H36" s="122" t="str">
        <f>IFERROR(VLOOKUP(B36,'[1]Debt Holding Consolidated'!$C$1:$N$65536,12,FALSE),"")</f>
        <v/>
      </c>
      <c r="J36" s="2"/>
    </row>
    <row r="37" spans="1:10" x14ac:dyDescent="0.2">
      <c r="A37" s="123">
        <v>31</v>
      </c>
      <c r="B37" s="124" t="s">
        <v>64</v>
      </c>
      <c r="C37" s="124" t="s">
        <v>65</v>
      </c>
      <c r="D37" s="124" t="s">
        <v>66</v>
      </c>
      <c r="E37" s="125">
        <v>2000000</v>
      </c>
      <c r="F37" s="126">
        <v>4753.8</v>
      </c>
      <c r="G37" s="127">
        <v>8.9219599999999996E-3</v>
      </c>
      <c r="H37" s="122" t="str">
        <f>IFERROR(VLOOKUP(B37,'[1]Debt Holding Consolidated'!$C$1:$N$65536,12,FALSE),"")</f>
        <v/>
      </c>
      <c r="J37" s="2"/>
    </row>
    <row r="38" spans="1:10" x14ac:dyDescent="0.2">
      <c r="A38" s="123">
        <v>32</v>
      </c>
      <c r="B38" s="124" t="s">
        <v>110</v>
      </c>
      <c r="C38" s="124" t="s">
        <v>111</v>
      </c>
      <c r="D38" s="124" t="s">
        <v>35</v>
      </c>
      <c r="E38" s="125">
        <v>125000</v>
      </c>
      <c r="F38" s="126">
        <v>4680.875</v>
      </c>
      <c r="G38" s="127">
        <v>8.7851000000000005E-3</v>
      </c>
      <c r="H38" s="122" t="str">
        <f>IFERROR(VLOOKUP(B38,'[1]Debt Holding Consolidated'!$C$1:$N$65536,12,FALSE),"")</f>
        <v/>
      </c>
      <c r="J38" s="2"/>
    </row>
    <row r="39" spans="1:10" ht="25.5" x14ac:dyDescent="0.2">
      <c r="A39" s="123">
        <v>33</v>
      </c>
      <c r="B39" s="124" t="s">
        <v>473</v>
      </c>
      <c r="C39" s="124" t="s">
        <v>474</v>
      </c>
      <c r="D39" s="124" t="s">
        <v>315</v>
      </c>
      <c r="E39" s="125">
        <v>388185</v>
      </c>
      <c r="F39" s="126">
        <v>4658.8022774999999</v>
      </c>
      <c r="G39" s="127">
        <v>8.7436700000000003E-3</v>
      </c>
      <c r="H39" s="122" t="str">
        <f>IFERROR(VLOOKUP(B39,'[1]Debt Holding Consolidated'!$C$1:$N$65536,12,FALSE),"")</f>
        <v/>
      </c>
      <c r="J39" s="2"/>
    </row>
    <row r="40" spans="1:10" ht="25.5" x14ac:dyDescent="0.2">
      <c r="A40" s="123">
        <v>34</v>
      </c>
      <c r="B40" s="124" t="s">
        <v>23</v>
      </c>
      <c r="C40" s="124" t="s">
        <v>24</v>
      </c>
      <c r="D40" s="124" t="s">
        <v>25</v>
      </c>
      <c r="E40" s="125">
        <v>40000</v>
      </c>
      <c r="F40" s="126">
        <v>4520.76</v>
      </c>
      <c r="G40" s="127">
        <v>8.4845900000000002E-3</v>
      </c>
      <c r="H40" s="122" t="str">
        <f>IFERROR(VLOOKUP(B40,'[1]Debt Holding Consolidated'!$C$1:$N$65536,12,FALSE),"")</f>
        <v/>
      </c>
      <c r="J40" s="2"/>
    </row>
    <row r="41" spans="1:10" x14ac:dyDescent="0.2">
      <c r="A41" s="123">
        <v>35</v>
      </c>
      <c r="B41" s="124" t="s">
        <v>330</v>
      </c>
      <c r="C41" s="124" t="s">
        <v>331</v>
      </c>
      <c r="D41" s="124" t="s">
        <v>255</v>
      </c>
      <c r="E41" s="125">
        <v>600000</v>
      </c>
      <c r="F41" s="126">
        <v>4518.8999999999996</v>
      </c>
      <c r="G41" s="127">
        <v>8.4811000000000001E-3</v>
      </c>
      <c r="H41" s="122" t="str">
        <f>IFERROR(VLOOKUP(B41,'[1]Debt Holding Consolidated'!$C$1:$N$65536,12,FALSE),"")</f>
        <v/>
      </c>
      <c r="J41" s="2"/>
    </row>
    <row r="42" spans="1:10" x14ac:dyDescent="0.2">
      <c r="A42" s="123">
        <v>36</v>
      </c>
      <c r="B42" s="124" t="s">
        <v>217</v>
      </c>
      <c r="C42" s="124" t="s">
        <v>218</v>
      </c>
      <c r="D42" s="124" t="s">
        <v>48</v>
      </c>
      <c r="E42" s="125">
        <v>790000</v>
      </c>
      <c r="F42" s="126">
        <v>4481.67</v>
      </c>
      <c r="G42" s="127">
        <v>8.4112300000000004E-3</v>
      </c>
      <c r="H42" s="122" t="str">
        <f>IFERROR(VLOOKUP(B42,'[1]Debt Holding Consolidated'!$C$1:$N$65536,12,FALSE),"")</f>
        <v/>
      </c>
      <c r="J42" s="2"/>
    </row>
    <row r="43" spans="1:10" x14ac:dyDescent="0.2">
      <c r="A43" s="123">
        <v>37</v>
      </c>
      <c r="B43" s="124" t="s">
        <v>240</v>
      </c>
      <c r="C43" s="124" t="s">
        <v>241</v>
      </c>
      <c r="D43" s="124" t="s">
        <v>45</v>
      </c>
      <c r="E43" s="125">
        <v>251000</v>
      </c>
      <c r="F43" s="126">
        <v>4376.5614999999998</v>
      </c>
      <c r="G43" s="127">
        <v>8.2139599999999993E-3</v>
      </c>
      <c r="H43" s="122" t="str">
        <f>IFERROR(VLOOKUP(B43,'[1]Debt Holding Consolidated'!$C$1:$N$65536,12,FALSE),"")</f>
        <v/>
      </c>
      <c r="J43" s="2"/>
    </row>
    <row r="44" spans="1:10" ht="25.5" x14ac:dyDescent="0.2">
      <c r="A44" s="123">
        <v>38</v>
      </c>
      <c r="B44" s="124" t="s">
        <v>206</v>
      </c>
      <c r="C44" s="124" t="s">
        <v>207</v>
      </c>
      <c r="D44" s="124" t="s">
        <v>208</v>
      </c>
      <c r="E44" s="125">
        <v>195000</v>
      </c>
      <c r="F44" s="126">
        <v>4368.3900000000003</v>
      </c>
      <c r="G44" s="127">
        <v>8.1986200000000002E-3</v>
      </c>
      <c r="H44" s="122" t="str">
        <f>IFERROR(VLOOKUP(B44,'[1]Debt Holding Consolidated'!$C$1:$N$65536,12,FALSE),"")</f>
        <v/>
      </c>
      <c r="J44" s="2"/>
    </row>
    <row r="45" spans="1:10" ht="25.5" x14ac:dyDescent="0.2">
      <c r="A45" s="123">
        <v>39</v>
      </c>
      <c r="B45" s="124" t="s">
        <v>404</v>
      </c>
      <c r="C45" s="124" t="s">
        <v>405</v>
      </c>
      <c r="D45" s="124" t="s">
        <v>25</v>
      </c>
      <c r="E45" s="125">
        <v>156191</v>
      </c>
      <c r="F45" s="126">
        <v>4215.3608034999997</v>
      </c>
      <c r="G45" s="127">
        <v>7.9114200000000006E-3</v>
      </c>
      <c r="H45" s="122" t="str">
        <f>IFERROR(VLOOKUP(B45,'[1]Debt Holding Consolidated'!$C$1:$N$65536,12,FALSE),"")</f>
        <v/>
      </c>
      <c r="J45" s="2"/>
    </row>
    <row r="46" spans="1:10" x14ac:dyDescent="0.2">
      <c r="A46" s="123">
        <v>40</v>
      </c>
      <c r="B46" s="124" t="s">
        <v>465</v>
      </c>
      <c r="C46" s="124" t="s">
        <v>466</v>
      </c>
      <c r="D46" s="124" t="s">
        <v>255</v>
      </c>
      <c r="E46" s="125">
        <v>225000</v>
      </c>
      <c r="F46" s="126">
        <v>4163.1750000000002</v>
      </c>
      <c r="G46" s="127">
        <v>7.8134699999999994E-3</v>
      </c>
      <c r="H46" s="122" t="str">
        <f>IFERROR(VLOOKUP(B46,'[1]Debt Holding Consolidated'!$C$1:$N$65536,12,FALSE),"")</f>
        <v/>
      </c>
      <c r="J46" s="2"/>
    </row>
    <row r="47" spans="1:10" x14ac:dyDescent="0.2">
      <c r="A47" s="123">
        <v>41</v>
      </c>
      <c r="B47" s="124" t="s">
        <v>548</v>
      </c>
      <c r="C47" s="124" t="s">
        <v>549</v>
      </c>
      <c r="D47" s="124" t="s">
        <v>273</v>
      </c>
      <c r="E47" s="125">
        <v>135000</v>
      </c>
      <c r="F47" s="126">
        <v>3787.29</v>
      </c>
      <c r="G47" s="127">
        <v>7.1080099999999997E-3</v>
      </c>
      <c r="H47" s="122" t="str">
        <f>IFERROR(VLOOKUP(B47,'[1]Debt Holding Consolidated'!$C$1:$N$65536,12,FALSE),"")</f>
        <v/>
      </c>
      <c r="J47" s="2"/>
    </row>
    <row r="48" spans="1:10" x14ac:dyDescent="0.2">
      <c r="A48" s="123">
        <v>42</v>
      </c>
      <c r="B48" s="124" t="s">
        <v>72</v>
      </c>
      <c r="C48" s="124" t="s">
        <v>73</v>
      </c>
      <c r="D48" s="124" t="s">
        <v>74</v>
      </c>
      <c r="E48" s="125">
        <v>62642</v>
      </c>
      <c r="F48" s="126">
        <v>3782.8877379999999</v>
      </c>
      <c r="G48" s="127">
        <v>7.0997500000000002E-3</v>
      </c>
      <c r="H48" s="122" t="str">
        <f>IFERROR(VLOOKUP(B48,'[1]Debt Holding Consolidated'!$C$1:$N$65536,12,FALSE),"")</f>
        <v/>
      </c>
      <c r="J48" s="2"/>
    </row>
    <row r="49" spans="1:10" x14ac:dyDescent="0.2">
      <c r="A49" s="123">
        <v>43</v>
      </c>
      <c r="B49" s="124" t="s">
        <v>443</v>
      </c>
      <c r="C49" s="124" t="s">
        <v>444</v>
      </c>
      <c r="D49" s="124" t="s">
        <v>236</v>
      </c>
      <c r="E49" s="125">
        <v>450000</v>
      </c>
      <c r="F49" s="126">
        <v>3702.15</v>
      </c>
      <c r="G49" s="127">
        <v>6.9482199999999997E-3</v>
      </c>
      <c r="H49" s="122" t="str">
        <f>IFERROR(VLOOKUP(B49,'[1]Debt Holding Consolidated'!$C$1:$N$65536,12,FALSE),"")</f>
        <v/>
      </c>
      <c r="J49" s="2"/>
    </row>
    <row r="50" spans="1:10" x14ac:dyDescent="0.2">
      <c r="A50" s="123">
        <v>44</v>
      </c>
      <c r="B50" s="124" t="s">
        <v>372</v>
      </c>
      <c r="C50" s="124" t="s">
        <v>373</v>
      </c>
      <c r="D50" s="124" t="s">
        <v>374</v>
      </c>
      <c r="E50" s="125">
        <v>720000</v>
      </c>
      <c r="F50" s="126">
        <v>3613.68</v>
      </c>
      <c r="G50" s="127">
        <v>6.7821799999999996E-3</v>
      </c>
      <c r="H50" s="122" t="str">
        <f>IFERROR(VLOOKUP(B50,'[1]Debt Holding Consolidated'!$C$1:$N$65536,12,FALSE),"")</f>
        <v/>
      </c>
      <c r="J50" s="2"/>
    </row>
    <row r="51" spans="1:10" x14ac:dyDescent="0.2">
      <c r="A51" s="123">
        <v>45</v>
      </c>
      <c r="B51" s="124" t="s">
        <v>451</v>
      </c>
      <c r="C51" s="124" t="s">
        <v>452</v>
      </c>
      <c r="D51" s="124" t="s">
        <v>89</v>
      </c>
      <c r="E51" s="125">
        <v>300000</v>
      </c>
      <c r="F51" s="126">
        <v>3459</v>
      </c>
      <c r="G51" s="127">
        <v>6.4918700000000003E-3</v>
      </c>
      <c r="H51" s="122" t="str">
        <f>IFERROR(VLOOKUP(B51,'[1]Debt Holding Consolidated'!$C$1:$N$65536,12,FALSE),"")</f>
        <v/>
      </c>
      <c r="J51" s="2"/>
    </row>
    <row r="52" spans="1:10" x14ac:dyDescent="0.2">
      <c r="A52" s="123">
        <v>46</v>
      </c>
      <c r="B52" s="124" t="s">
        <v>126</v>
      </c>
      <c r="C52" s="124" t="s">
        <v>127</v>
      </c>
      <c r="D52" s="124" t="s">
        <v>74</v>
      </c>
      <c r="E52" s="125">
        <v>85500</v>
      </c>
      <c r="F52" s="126">
        <v>3370.1107499999998</v>
      </c>
      <c r="G52" s="127">
        <v>6.3250499999999996E-3</v>
      </c>
      <c r="H52" s="122" t="str">
        <f>IFERROR(VLOOKUP(B52,'[1]Debt Holding Consolidated'!$C$1:$N$65536,12,FALSE),"")</f>
        <v/>
      </c>
      <c r="J52" s="2"/>
    </row>
    <row r="53" spans="1:10" x14ac:dyDescent="0.2">
      <c r="A53" s="123">
        <v>47</v>
      </c>
      <c r="B53" s="124" t="s">
        <v>550</v>
      </c>
      <c r="C53" s="124" t="s">
        <v>551</v>
      </c>
      <c r="D53" s="124" t="s">
        <v>211</v>
      </c>
      <c r="E53" s="125">
        <v>204000</v>
      </c>
      <c r="F53" s="126">
        <v>3338.46</v>
      </c>
      <c r="G53" s="127">
        <v>6.2656400000000003E-3</v>
      </c>
      <c r="H53" s="122" t="str">
        <f>IFERROR(VLOOKUP(B53,'[1]Debt Holding Consolidated'!$C$1:$N$65536,12,FALSE),"")</f>
        <v/>
      </c>
      <c r="J53" s="2"/>
    </row>
    <row r="54" spans="1:10" x14ac:dyDescent="0.2">
      <c r="A54" s="123">
        <v>48</v>
      </c>
      <c r="B54" s="124" t="s">
        <v>346</v>
      </c>
      <c r="C54" s="124" t="s">
        <v>347</v>
      </c>
      <c r="D54" s="124" t="s">
        <v>198</v>
      </c>
      <c r="E54" s="125">
        <v>1330000</v>
      </c>
      <c r="F54" s="126">
        <v>3332.049</v>
      </c>
      <c r="G54" s="127">
        <v>6.2536099999999997E-3</v>
      </c>
      <c r="H54" s="122" t="str">
        <f>IFERROR(VLOOKUP(B54,'[1]Debt Holding Consolidated'!$C$1:$N$65536,12,FALSE),"")</f>
        <v/>
      </c>
      <c r="J54" s="2"/>
    </row>
    <row r="55" spans="1:10" x14ac:dyDescent="0.2">
      <c r="A55" s="123">
        <v>49</v>
      </c>
      <c r="B55" s="124" t="s">
        <v>552</v>
      </c>
      <c r="C55" s="124" t="s">
        <v>553</v>
      </c>
      <c r="D55" s="124" t="s">
        <v>35</v>
      </c>
      <c r="E55" s="125">
        <v>1000000</v>
      </c>
      <c r="F55" s="126">
        <v>3118.5</v>
      </c>
      <c r="G55" s="127">
        <v>5.8528199999999999E-3</v>
      </c>
      <c r="H55" s="122" t="str">
        <f>IFERROR(VLOOKUP(B55,'[1]Debt Holding Consolidated'!$C$1:$N$65536,12,FALSE),"")</f>
        <v/>
      </c>
      <c r="J55" s="2"/>
    </row>
    <row r="56" spans="1:10" x14ac:dyDescent="0.2">
      <c r="A56" s="123">
        <v>50</v>
      </c>
      <c r="B56" s="124" t="s">
        <v>279</v>
      </c>
      <c r="C56" s="124" t="s">
        <v>280</v>
      </c>
      <c r="D56" s="124" t="s">
        <v>48</v>
      </c>
      <c r="E56" s="125">
        <v>2450000</v>
      </c>
      <c r="F56" s="126">
        <v>2977.73</v>
      </c>
      <c r="G56" s="127">
        <v>5.5886199999999999E-3</v>
      </c>
      <c r="H56" s="122" t="str">
        <f>IFERROR(VLOOKUP(B56,'[1]Debt Holding Consolidated'!$C$1:$N$65536,12,FALSE),"")</f>
        <v/>
      </c>
      <c r="J56" s="2"/>
    </row>
    <row r="57" spans="1:10" ht="25.5" x14ac:dyDescent="0.2">
      <c r="A57" s="123">
        <v>51</v>
      </c>
      <c r="B57" s="124" t="s">
        <v>313</v>
      </c>
      <c r="C57" s="124" t="s">
        <v>314</v>
      </c>
      <c r="D57" s="124" t="s">
        <v>315</v>
      </c>
      <c r="E57" s="125">
        <v>448000</v>
      </c>
      <c r="F57" s="126">
        <v>2899.232</v>
      </c>
      <c r="G57" s="127">
        <v>5.4412999999999996E-3</v>
      </c>
      <c r="H57" s="122" t="str">
        <f>IFERROR(VLOOKUP(B57,'[1]Debt Holding Consolidated'!$C$1:$N$65536,12,FALSE),"")</f>
        <v/>
      </c>
      <c r="J57" s="2"/>
    </row>
    <row r="58" spans="1:10" x14ac:dyDescent="0.2">
      <c r="A58" s="123">
        <v>52</v>
      </c>
      <c r="B58" s="124" t="s">
        <v>214</v>
      </c>
      <c r="C58" s="124" t="s">
        <v>215</v>
      </c>
      <c r="D58" s="124" t="s">
        <v>216</v>
      </c>
      <c r="E58" s="125">
        <v>525000</v>
      </c>
      <c r="F58" s="126">
        <v>2896.95</v>
      </c>
      <c r="G58" s="127">
        <v>5.4370199999999999E-3</v>
      </c>
      <c r="H58" s="122" t="str">
        <f>IFERROR(VLOOKUP(B58,'[1]Debt Holding Consolidated'!$C$1:$N$65536,12,FALSE),"")</f>
        <v/>
      </c>
      <c r="J58" s="2"/>
    </row>
    <row r="59" spans="1:10" x14ac:dyDescent="0.2">
      <c r="A59" s="123">
        <v>53</v>
      </c>
      <c r="B59" s="124" t="s">
        <v>128</v>
      </c>
      <c r="C59" s="124" t="s">
        <v>129</v>
      </c>
      <c r="D59" s="124" t="s">
        <v>86</v>
      </c>
      <c r="E59" s="125">
        <v>675000</v>
      </c>
      <c r="F59" s="126">
        <v>2830.2750000000001</v>
      </c>
      <c r="G59" s="127">
        <v>5.3118799999999997E-3</v>
      </c>
      <c r="H59" s="122" t="str">
        <f>IFERROR(VLOOKUP(B59,'[1]Debt Holding Consolidated'!$C$1:$N$65536,12,FALSE),"")</f>
        <v/>
      </c>
      <c r="J59" s="2"/>
    </row>
    <row r="60" spans="1:10" x14ac:dyDescent="0.2">
      <c r="A60" s="123">
        <v>54</v>
      </c>
      <c r="B60" s="124" t="s">
        <v>276</v>
      </c>
      <c r="C60" s="124" t="s">
        <v>277</v>
      </c>
      <c r="D60" s="124" t="s">
        <v>278</v>
      </c>
      <c r="E60" s="125">
        <v>215000</v>
      </c>
      <c r="F60" s="126">
        <v>2819.94</v>
      </c>
      <c r="G60" s="127">
        <v>5.2924799999999996E-3</v>
      </c>
      <c r="H60" s="122" t="str">
        <f>IFERROR(VLOOKUP(B60,'[1]Debt Holding Consolidated'!$C$1:$N$65536,12,FALSE),"")</f>
        <v/>
      </c>
      <c r="J60" s="2"/>
    </row>
    <row r="61" spans="1:10" x14ac:dyDescent="0.2">
      <c r="A61" s="123">
        <v>55</v>
      </c>
      <c r="B61" s="124" t="s">
        <v>106</v>
      </c>
      <c r="C61" s="124" t="s">
        <v>107</v>
      </c>
      <c r="D61" s="124" t="s">
        <v>35</v>
      </c>
      <c r="E61" s="125">
        <v>105000</v>
      </c>
      <c r="F61" s="126">
        <v>2562.5250000000001</v>
      </c>
      <c r="G61" s="127">
        <v>4.8093600000000004E-3</v>
      </c>
      <c r="H61" s="122" t="str">
        <f>IFERROR(VLOOKUP(B61,'[1]Debt Holding Consolidated'!$C$1:$N$65536,12,FALSE),"")</f>
        <v/>
      </c>
      <c r="J61" s="2"/>
    </row>
    <row r="62" spans="1:10" x14ac:dyDescent="0.2">
      <c r="A62" s="123">
        <v>56</v>
      </c>
      <c r="B62" s="124" t="s">
        <v>267</v>
      </c>
      <c r="C62" s="124" t="s">
        <v>268</v>
      </c>
      <c r="D62" s="124" t="s">
        <v>35</v>
      </c>
      <c r="E62" s="125">
        <v>37500</v>
      </c>
      <c r="F62" s="126">
        <v>2555.0250000000001</v>
      </c>
      <c r="G62" s="127">
        <v>4.7952899999999998E-3</v>
      </c>
      <c r="H62" s="122" t="str">
        <f>IFERROR(VLOOKUP(B62,'[1]Debt Holding Consolidated'!$C$1:$N$65536,12,FALSE),"")</f>
        <v/>
      </c>
      <c r="J62" s="2"/>
    </row>
    <row r="63" spans="1:10" x14ac:dyDescent="0.2">
      <c r="A63" s="123">
        <v>57</v>
      </c>
      <c r="B63" s="124" t="s">
        <v>383</v>
      </c>
      <c r="C63" s="124" t="s">
        <v>384</v>
      </c>
      <c r="D63" s="124" t="s">
        <v>136</v>
      </c>
      <c r="E63" s="125">
        <v>1575000</v>
      </c>
      <c r="F63" s="126">
        <v>2405.9699999999998</v>
      </c>
      <c r="G63" s="127">
        <v>4.5155400000000002E-3</v>
      </c>
      <c r="H63" s="122" t="str">
        <f>IFERROR(VLOOKUP(B63,'[1]Debt Holding Consolidated'!$C$1:$N$65536,12,FALSE),"")</f>
        <v/>
      </c>
      <c r="J63" s="2"/>
    </row>
    <row r="64" spans="1:10" x14ac:dyDescent="0.2">
      <c r="A64" s="123">
        <v>58</v>
      </c>
      <c r="B64" s="124" t="s">
        <v>301</v>
      </c>
      <c r="C64" s="124" t="s">
        <v>302</v>
      </c>
      <c r="D64" s="124" t="s">
        <v>236</v>
      </c>
      <c r="E64" s="125">
        <v>1250000</v>
      </c>
      <c r="F64" s="126">
        <v>2198.875</v>
      </c>
      <c r="G64" s="127">
        <v>4.1268600000000004E-3</v>
      </c>
      <c r="H64" s="122" t="str">
        <f>IFERROR(VLOOKUP(B64,'[1]Debt Holding Consolidated'!$C$1:$N$65536,12,FALSE),"")</f>
        <v/>
      </c>
      <c r="J64" s="2"/>
    </row>
    <row r="65" spans="1:10" x14ac:dyDescent="0.2">
      <c r="A65" s="123">
        <v>59</v>
      </c>
      <c r="B65" s="124" t="s">
        <v>256</v>
      </c>
      <c r="C65" s="124" t="s">
        <v>257</v>
      </c>
      <c r="D65" s="124" t="s">
        <v>89</v>
      </c>
      <c r="E65" s="125">
        <v>135000</v>
      </c>
      <c r="F65" s="126">
        <v>2162.6999999999998</v>
      </c>
      <c r="G65" s="127">
        <v>4.0589700000000003E-3</v>
      </c>
      <c r="H65" s="122" t="str">
        <f>IFERROR(VLOOKUP(B65,'[1]Debt Holding Consolidated'!$C$1:$N$65536,12,FALSE),"")</f>
        <v/>
      </c>
      <c r="J65" s="2"/>
    </row>
    <row r="66" spans="1:10" x14ac:dyDescent="0.2">
      <c r="A66" s="123">
        <v>60</v>
      </c>
      <c r="B66" s="124" t="s">
        <v>58</v>
      </c>
      <c r="C66" s="124" t="s">
        <v>59</v>
      </c>
      <c r="D66" s="124" t="s">
        <v>35</v>
      </c>
      <c r="E66" s="125">
        <v>160000</v>
      </c>
      <c r="F66" s="126">
        <v>2134.96</v>
      </c>
      <c r="G66" s="127">
        <v>4.0069099999999998E-3</v>
      </c>
      <c r="H66" s="122" t="str">
        <f>IFERROR(VLOOKUP(B66,'[1]Debt Holding Consolidated'!$C$1:$N$65536,12,FALSE),"")</f>
        <v/>
      </c>
      <c r="J66" s="2"/>
    </row>
    <row r="67" spans="1:10" x14ac:dyDescent="0.2">
      <c r="A67" s="123">
        <v>61</v>
      </c>
      <c r="B67" s="124" t="s">
        <v>406</v>
      </c>
      <c r="C67" s="124" t="s">
        <v>407</v>
      </c>
      <c r="D67" s="124" t="s">
        <v>48</v>
      </c>
      <c r="E67" s="125">
        <v>1800000</v>
      </c>
      <c r="F67" s="126">
        <v>2007.54</v>
      </c>
      <c r="G67" s="127">
        <v>3.7677600000000002E-3</v>
      </c>
      <c r="H67" s="122" t="str">
        <f>IFERROR(VLOOKUP(B67,'[1]Debt Holding Consolidated'!$C$1:$N$65536,12,FALSE),"")</f>
        <v/>
      </c>
      <c r="J67" s="2"/>
    </row>
    <row r="68" spans="1:10" x14ac:dyDescent="0.2">
      <c r="A68" s="123">
        <v>62</v>
      </c>
      <c r="B68" s="124" t="s">
        <v>269</v>
      </c>
      <c r="C68" s="124" t="s">
        <v>270</v>
      </c>
      <c r="D68" s="124" t="s">
        <v>74</v>
      </c>
      <c r="E68" s="125">
        <v>400000</v>
      </c>
      <c r="F68" s="126">
        <v>1971.6</v>
      </c>
      <c r="G68" s="127">
        <v>3.7003100000000001E-3</v>
      </c>
      <c r="H68" s="122" t="str">
        <f>IFERROR(VLOOKUP(B68,'[1]Debt Holding Consolidated'!$C$1:$N$65536,12,FALSE),"")</f>
        <v/>
      </c>
      <c r="J68" s="2"/>
    </row>
    <row r="69" spans="1:10" x14ac:dyDescent="0.2">
      <c r="A69" s="123">
        <v>63</v>
      </c>
      <c r="B69" s="124" t="s">
        <v>328</v>
      </c>
      <c r="C69" s="124" t="s">
        <v>329</v>
      </c>
      <c r="D69" s="124" t="s">
        <v>236</v>
      </c>
      <c r="E69" s="125">
        <v>300000</v>
      </c>
      <c r="F69" s="126">
        <v>1942.5</v>
      </c>
      <c r="G69" s="127">
        <v>3.6457E-3</v>
      </c>
      <c r="H69" s="122" t="str">
        <f>IFERROR(VLOOKUP(B69,'[1]Debt Holding Consolidated'!$C$1:$N$65536,12,FALSE),"")</f>
        <v/>
      </c>
      <c r="J69" s="2"/>
    </row>
    <row r="70" spans="1:10" x14ac:dyDescent="0.2">
      <c r="A70" s="123">
        <v>64</v>
      </c>
      <c r="B70" s="124" t="s">
        <v>309</v>
      </c>
      <c r="C70" s="124" t="s">
        <v>310</v>
      </c>
      <c r="D70" s="124" t="s">
        <v>45</v>
      </c>
      <c r="E70" s="125">
        <v>105000</v>
      </c>
      <c r="F70" s="126">
        <v>1418.3924999999999</v>
      </c>
      <c r="G70" s="127">
        <v>2.66205E-3</v>
      </c>
      <c r="H70" s="122" t="str">
        <f>IFERROR(VLOOKUP(B70,'[1]Debt Holding Consolidated'!$C$1:$N$65536,12,FALSE),"")</f>
        <v/>
      </c>
      <c r="J70" s="2"/>
    </row>
    <row r="71" spans="1:10" ht="25.5" x14ac:dyDescent="0.2">
      <c r="A71" s="123">
        <v>65</v>
      </c>
      <c r="B71" s="124" t="s">
        <v>79</v>
      </c>
      <c r="C71" s="124" t="s">
        <v>80</v>
      </c>
      <c r="D71" s="124" t="s">
        <v>25</v>
      </c>
      <c r="E71" s="125">
        <v>28000</v>
      </c>
      <c r="F71" s="126">
        <v>1247.0920000000001</v>
      </c>
      <c r="G71" s="127">
        <v>2.3405499999999998E-3</v>
      </c>
      <c r="H71" s="122" t="str">
        <f>IFERROR(VLOOKUP(B71,'[1]Debt Holding Consolidated'!$C$1:$N$65536,12,FALSE),"")</f>
        <v/>
      </c>
      <c r="J71" s="2"/>
    </row>
    <row r="72" spans="1:10" x14ac:dyDescent="0.2">
      <c r="A72" s="123">
        <v>66</v>
      </c>
      <c r="B72" s="124" t="s">
        <v>101</v>
      </c>
      <c r="C72" s="124" t="s">
        <v>102</v>
      </c>
      <c r="D72" s="124" t="s">
        <v>103</v>
      </c>
      <c r="E72" s="125">
        <v>230000</v>
      </c>
      <c r="F72" s="126">
        <v>1207.385</v>
      </c>
      <c r="G72" s="127">
        <v>2.26603E-3</v>
      </c>
      <c r="H72" s="122" t="str">
        <f>IFERROR(VLOOKUP(B72,'[1]Debt Holding Consolidated'!$C$1:$N$65536,12,FALSE),"")</f>
        <v/>
      </c>
      <c r="J72" s="2"/>
    </row>
    <row r="73" spans="1:10" x14ac:dyDescent="0.2">
      <c r="A73" s="120"/>
      <c r="B73" s="120"/>
      <c r="C73" s="121" t="s">
        <v>152</v>
      </c>
      <c r="D73" s="120"/>
      <c r="E73" s="120" t="s">
        <v>153</v>
      </c>
      <c r="F73" s="128">
        <f>SUM(F7:F72)</f>
        <v>393293.45529850008</v>
      </c>
      <c r="G73" s="129">
        <v>0.73813819000000003</v>
      </c>
      <c r="H73" s="122" t="str">
        <f>IFERROR(VLOOKUP(B73,'[1]Debt Holding Consolidated'!$C$1:$N$65536,12,FALSE),"")</f>
        <v/>
      </c>
      <c r="J73" s="2"/>
    </row>
    <row r="74" spans="1:10" x14ac:dyDescent="0.2">
      <c r="A74" s="120"/>
      <c r="B74" s="120"/>
      <c r="C74" s="130"/>
      <c r="D74" s="120"/>
      <c r="E74" s="120"/>
      <c r="F74" s="131"/>
      <c r="G74" s="131"/>
      <c r="H74" s="122" t="str">
        <f>IFERROR(VLOOKUP(B74,'[1]Debt Holding Consolidated'!$C$1:$N$65536,12,FALSE),"")</f>
        <v/>
      </c>
      <c r="J74" s="2"/>
    </row>
    <row r="75" spans="1:10" x14ac:dyDescent="0.2">
      <c r="A75" s="120"/>
      <c r="B75" s="120"/>
      <c r="C75" s="121" t="s">
        <v>154</v>
      </c>
      <c r="D75" s="120"/>
      <c r="E75" s="120"/>
      <c r="F75" s="120"/>
      <c r="G75" s="120"/>
      <c r="H75" s="122" t="str">
        <f>IFERROR(VLOOKUP(B75,'[1]Debt Holding Consolidated'!$C$1:$N$65536,12,FALSE),"")</f>
        <v/>
      </c>
      <c r="J75" s="2"/>
    </row>
    <row r="76" spans="1:10" x14ac:dyDescent="0.2">
      <c r="A76" s="120"/>
      <c r="B76" s="120"/>
      <c r="C76" s="121" t="s">
        <v>152</v>
      </c>
      <c r="D76" s="120"/>
      <c r="E76" s="120" t="s">
        <v>153</v>
      </c>
      <c r="F76" s="132" t="s">
        <v>155</v>
      </c>
      <c r="G76" s="129">
        <v>0</v>
      </c>
      <c r="H76" s="122" t="str">
        <f>IFERROR(VLOOKUP(B76,'[1]Debt Holding Consolidated'!$C$1:$N$65536,12,FALSE),"")</f>
        <v/>
      </c>
      <c r="J76" s="2"/>
    </row>
    <row r="77" spans="1:10" x14ac:dyDescent="0.2">
      <c r="A77" s="120"/>
      <c r="B77" s="120"/>
      <c r="C77" s="130"/>
      <c r="D77" s="120"/>
      <c r="E77" s="120"/>
      <c r="F77" s="131"/>
      <c r="G77" s="131"/>
      <c r="H77" s="122" t="str">
        <f>IFERROR(VLOOKUP(B77,'[1]Debt Holding Consolidated'!$C$1:$N$65536,12,FALSE),"")</f>
        <v/>
      </c>
      <c r="J77" s="2"/>
    </row>
    <row r="78" spans="1:10" x14ac:dyDescent="0.2">
      <c r="A78" s="120"/>
      <c r="B78" s="120"/>
      <c r="C78" s="121" t="s">
        <v>156</v>
      </c>
      <c r="D78" s="120"/>
      <c r="E78" s="120"/>
      <c r="F78" s="120"/>
      <c r="G78" s="120"/>
      <c r="H78" s="122" t="str">
        <f>IFERROR(VLOOKUP(B78,'[1]Debt Holding Consolidated'!$C$1:$N$65536,12,FALSE),"")</f>
        <v/>
      </c>
      <c r="J78" s="2"/>
    </row>
    <row r="79" spans="1:10" x14ac:dyDescent="0.2">
      <c r="A79" s="123">
        <v>1</v>
      </c>
      <c r="B79" s="124" t="s">
        <v>554</v>
      </c>
      <c r="C79" s="124" t="s">
        <v>1066</v>
      </c>
      <c r="D79" s="124" t="s">
        <v>236</v>
      </c>
      <c r="E79" s="125">
        <v>30579</v>
      </c>
      <c r="F79" s="126">
        <v>1.3118391</v>
      </c>
      <c r="G79" s="168" t="s">
        <v>151</v>
      </c>
      <c r="H79" s="122" t="str">
        <f>IFERROR(VLOOKUP(B79,'[1]Debt Holding Consolidated'!$C$1:$N$65536,12,FALSE),"")</f>
        <v/>
      </c>
      <c r="J79" s="2"/>
    </row>
    <row r="80" spans="1:10" x14ac:dyDescent="0.2">
      <c r="A80" s="120"/>
      <c r="B80" s="120"/>
      <c r="C80" s="121" t="s">
        <v>152</v>
      </c>
      <c r="D80" s="120"/>
      <c r="E80" s="120" t="s">
        <v>153</v>
      </c>
      <c r="F80" s="128">
        <f>SUM(F79)</f>
        <v>1.3118391</v>
      </c>
      <c r="G80" s="129">
        <v>0</v>
      </c>
      <c r="H80" s="122" t="str">
        <f>IFERROR(VLOOKUP(B80,'[1]Debt Holding Consolidated'!$C$1:$N$65536,12,FALSE),"")</f>
        <v/>
      </c>
      <c r="J80" s="2"/>
    </row>
    <row r="81" spans="1:10" x14ac:dyDescent="0.2">
      <c r="A81" s="120"/>
      <c r="B81" s="120"/>
      <c r="C81" s="130"/>
      <c r="D81" s="120"/>
      <c r="E81" s="120"/>
      <c r="F81" s="131"/>
      <c r="G81" s="131"/>
      <c r="H81" s="122" t="str">
        <f>IFERROR(VLOOKUP(B81,'[1]Debt Holding Consolidated'!$C$1:$N$65536,12,FALSE),"")</f>
        <v/>
      </c>
      <c r="J81" s="2"/>
    </row>
    <row r="82" spans="1:10" x14ac:dyDescent="0.2">
      <c r="A82" s="120"/>
      <c r="B82" s="120"/>
      <c r="C82" s="121" t="s">
        <v>157</v>
      </c>
      <c r="D82" s="120"/>
      <c r="E82" s="120"/>
      <c r="F82" s="120"/>
      <c r="G82" s="120"/>
      <c r="H82" s="122" t="str">
        <f>IFERROR(VLOOKUP(B82,'[1]Debt Holding Consolidated'!$C$1:$N$65536,12,FALSE),"")</f>
        <v/>
      </c>
      <c r="J82" s="2"/>
    </row>
    <row r="83" spans="1:10" x14ac:dyDescent="0.2">
      <c r="A83" s="120"/>
      <c r="B83" s="120"/>
      <c r="C83" s="121" t="s">
        <v>152</v>
      </c>
      <c r="D83" s="120"/>
      <c r="E83" s="120" t="s">
        <v>153</v>
      </c>
      <c r="F83" s="132" t="s">
        <v>155</v>
      </c>
      <c r="G83" s="129">
        <v>0</v>
      </c>
      <c r="H83" s="122" t="str">
        <f>IFERROR(VLOOKUP(B83,'[1]Debt Holding Consolidated'!$C$1:$N$65536,12,FALSE),"")</f>
        <v/>
      </c>
      <c r="J83" s="2"/>
    </row>
    <row r="84" spans="1:10" x14ac:dyDescent="0.2">
      <c r="A84" s="120"/>
      <c r="B84" s="120"/>
      <c r="C84" s="130"/>
      <c r="D84" s="120"/>
      <c r="E84" s="120"/>
      <c r="F84" s="131"/>
      <c r="G84" s="131"/>
      <c r="H84" s="122" t="str">
        <f>IFERROR(VLOOKUP(B84,'[1]Debt Holding Consolidated'!$C$1:$N$65536,12,FALSE),"")</f>
        <v/>
      </c>
      <c r="J84" s="2"/>
    </row>
    <row r="85" spans="1:10" x14ac:dyDescent="0.2">
      <c r="A85" s="120"/>
      <c r="B85" s="120"/>
      <c r="C85" s="121" t="s">
        <v>158</v>
      </c>
      <c r="D85" s="120"/>
      <c r="E85" s="120"/>
      <c r="F85" s="131"/>
      <c r="G85" s="131"/>
      <c r="H85" s="122" t="str">
        <f>IFERROR(VLOOKUP(B85,'[1]Debt Holding Consolidated'!$C$1:$N$65536,12,FALSE),"")</f>
        <v/>
      </c>
      <c r="J85" s="2"/>
    </row>
    <row r="86" spans="1:10" x14ac:dyDescent="0.2">
      <c r="A86" s="120"/>
      <c r="B86" s="120"/>
      <c r="C86" s="121" t="s">
        <v>152</v>
      </c>
      <c r="D86" s="120"/>
      <c r="E86" s="120" t="s">
        <v>153</v>
      </c>
      <c r="F86" s="132" t="s">
        <v>155</v>
      </c>
      <c r="G86" s="129">
        <v>0</v>
      </c>
      <c r="H86" s="122" t="str">
        <f>IFERROR(VLOOKUP(B86,'[1]Debt Holding Consolidated'!$C$1:$N$65536,12,FALSE),"")</f>
        <v/>
      </c>
      <c r="J86" s="2"/>
    </row>
    <row r="87" spans="1:10" x14ac:dyDescent="0.2">
      <c r="A87" s="120"/>
      <c r="B87" s="120"/>
      <c r="C87" s="121"/>
      <c r="D87" s="120"/>
      <c r="E87" s="120"/>
      <c r="F87" s="132"/>
      <c r="G87" s="129"/>
      <c r="H87" s="122" t="s">
        <v>153</v>
      </c>
      <c r="J87" s="2"/>
    </row>
    <row r="88" spans="1:10" x14ac:dyDescent="0.2">
      <c r="A88" s="120"/>
      <c r="B88" s="120"/>
      <c r="C88" s="121" t="s">
        <v>854</v>
      </c>
      <c r="D88" s="120"/>
      <c r="E88" s="120"/>
      <c r="F88" s="120"/>
      <c r="G88" s="120"/>
      <c r="H88" s="122"/>
      <c r="J88" s="2"/>
    </row>
    <row r="89" spans="1:10" ht="25.5" x14ac:dyDescent="0.2">
      <c r="A89" s="123">
        <v>1</v>
      </c>
      <c r="B89" s="124" t="s">
        <v>855</v>
      </c>
      <c r="C89" s="124" t="s">
        <v>856</v>
      </c>
      <c r="D89" s="124" t="s">
        <v>857</v>
      </c>
      <c r="E89" s="125">
        <v>1750</v>
      </c>
      <c r="F89" s="126">
        <f>193453958.6/10^5</f>
        <v>1934.5395859999999</v>
      </c>
      <c r="G89" s="127">
        <f>F89/F184</f>
        <v>3.630756567092672E-3</v>
      </c>
      <c r="H89" s="122">
        <v>8.3450000000000006</v>
      </c>
      <c r="J89" s="2"/>
    </row>
    <row r="90" spans="1:10" x14ac:dyDescent="0.2">
      <c r="A90" s="120"/>
      <c r="B90" s="120"/>
      <c r="C90" s="121" t="s">
        <v>152</v>
      </c>
      <c r="D90" s="120"/>
      <c r="E90" s="120" t="s">
        <v>153</v>
      </c>
      <c r="F90" s="128">
        <f>SUM(F89)</f>
        <v>1934.5395859999999</v>
      </c>
      <c r="G90" s="129">
        <f>SUM(G89)</f>
        <v>3.630756567092672E-3</v>
      </c>
      <c r="H90" s="122"/>
      <c r="J90" s="2"/>
    </row>
    <row r="91" spans="1:10" x14ac:dyDescent="0.2">
      <c r="A91" s="120"/>
      <c r="B91" s="120"/>
      <c r="C91" s="130"/>
      <c r="D91" s="120"/>
      <c r="E91" s="120"/>
      <c r="F91" s="131"/>
      <c r="G91" s="131"/>
      <c r="H91" s="122" t="str">
        <f>IFERROR(VLOOKUP(B91,'[1]Debt Holding Consolidated'!$C$1:$N$65536,12,FALSE),"")</f>
        <v/>
      </c>
      <c r="J91" s="2"/>
    </row>
    <row r="92" spans="1:10" x14ac:dyDescent="0.2">
      <c r="A92" s="120"/>
      <c r="B92" s="120"/>
      <c r="C92" s="143" t="s">
        <v>858</v>
      </c>
      <c r="D92" s="120"/>
      <c r="E92" s="120"/>
      <c r="F92" s="131"/>
      <c r="G92" s="131"/>
      <c r="H92" s="122" t="str">
        <f>IFERROR(VLOOKUP(B92,'[1]Debt Holding Consolidated'!$C$1:$N$65536,12,FALSE),"")</f>
        <v/>
      </c>
      <c r="J92" s="2"/>
    </row>
    <row r="93" spans="1:10" x14ac:dyDescent="0.2">
      <c r="A93" s="120"/>
      <c r="B93" s="120"/>
      <c r="C93" s="121" t="s">
        <v>152</v>
      </c>
      <c r="D93" s="120"/>
      <c r="E93" s="120" t="s">
        <v>153</v>
      </c>
      <c r="F93" s="132" t="s">
        <v>155</v>
      </c>
      <c r="G93" s="129">
        <v>0</v>
      </c>
      <c r="H93" s="122" t="str">
        <f>IFERROR(VLOOKUP(B93,'[1]Debt Holding Consolidated'!$C$1:$N$65536,12,FALSE),"")</f>
        <v/>
      </c>
      <c r="J93" s="2"/>
    </row>
    <row r="94" spans="1:10" x14ac:dyDescent="0.2">
      <c r="A94" s="120"/>
      <c r="B94" s="120"/>
      <c r="C94" s="130"/>
      <c r="D94" s="120"/>
      <c r="E94" s="120"/>
      <c r="F94" s="131"/>
      <c r="G94" s="131"/>
      <c r="H94" s="122" t="str">
        <f>IFERROR(VLOOKUP(B94,'[1]Debt Holding Consolidated'!$C$1:$N$65536,12,FALSE),"")</f>
        <v/>
      </c>
      <c r="J94" s="2"/>
    </row>
    <row r="95" spans="1:10" x14ac:dyDescent="0.2">
      <c r="A95" s="120"/>
      <c r="B95" s="120"/>
      <c r="C95" s="121" t="s">
        <v>160</v>
      </c>
      <c r="D95" s="120"/>
      <c r="E95" s="120"/>
      <c r="F95" s="128">
        <f>F73+F90+F80</f>
        <v>395229.30672360008</v>
      </c>
      <c r="G95" s="129">
        <f>G73+G90+G80</f>
        <v>0.74176894656709269</v>
      </c>
      <c r="H95" s="122" t="str">
        <f>IFERROR(VLOOKUP(B95,'[1]Debt Holding Consolidated'!$C$1:$N$65536,12,FALSE),"")</f>
        <v/>
      </c>
      <c r="J95" s="2"/>
    </row>
    <row r="96" spans="1:10" x14ac:dyDescent="0.2">
      <c r="A96" s="120"/>
      <c r="B96" s="120"/>
      <c r="C96" s="130"/>
      <c r="D96" s="120"/>
      <c r="E96" s="120"/>
      <c r="F96" s="131"/>
      <c r="G96" s="131"/>
      <c r="H96" s="122" t="str">
        <f>IFERROR(VLOOKUP(B96,'[1]Debt Holding Consolidated'!$C$1:$N$65536,12,FALSE),"")</f>
        <v/>
      </c>
      <c r="J96" s="2"/>
    </row>
    <row r="97" spans="1:10" x14ac:dyDescent="0.2">
      <c r="A97" s="120"/>
      <c r="B97" s="120"/>
      <c r="C97" s="121" t="s">
        <v>161</v>
      </c>
      <c r="D97" s="120"/>
      <c r="E97" s="120"/>
      <c r="F97" s="131"/>
      <c r="G97" s="131"/>
      <c r="H97" s="122" t="str">
        <f>IFERROR(VLOOKUP(B97,'[1]Debt Holding Consolidated'!$C$1:$N$65536,12,FALSE),"")</f>
        <v/>
      </c>
      <c r="J97" s="2"/>
    </row>
    <row r="98" spans="1:10" x14ac:dyDescent="0.2">
      <c r="A98" s="120"/>
      <c r="B98" s="120"/>
      <c r="C98" s="121" t="s">
        <v>10</v>
      </c>
      <c r="D98" s="120"/>
      <c r="E98" s="120"/>
      <c r="F98" s="131"/>
      <c r="G98" s="131"/>
      <c r="H98" s="122" t="str">
        <f>IFERROR(VLOOKUP(B98,'[1]Debt Holding Consolidated'!$C$1:$N$65536,12,FALSE),"")</f>
        <v/>
      </c>
      <c r="J98" s="2"/>
    </row>
    <row r="99" spans="1:10" ht="25.5" x14ac:dyDescent="0.2">
      <c r="A99" s="123">
        <v>1</v>
      </c>
      <c r="B99" s="124" t="s">
        <v>555</v>
      </c>
      <c r="C99" s="124" t="s">
        <v>556</v>
      </c>
      <c r="D99" s="124" t="s">
        <v>557</v>
      </c>
      <c r="E99" s="125">
        <v>3500</v>
      </c>
      <c r="F99" s="126">
        <v>3493.21</v>
      </c>
      <c r="G99" s="127">
        <v>6.5560799999999997E-3</v>
      </c>
      <c r="H99" s="122">
        <f>IFERROR(VLOOKUP(B99,'[1]Debt Holding Consolidated'!$C$1:$N$65536,12,FALSE),"")</f>
        <v>7.68</v>
      </c>
      <c r="J99" s="2"/>
    </row>
    <row r="100" spans="1:10" x14ac:dyDescent="0.2">
      <c r="A100" s="123">
        <v>2</v>
      </c>
      <c r="B100" s="124" t="s">
        <v>558</v>
      </c>
      <c r="C100" s="124" t="s">
        <v>559</v>
      </c>
      <c r="D100" s="124" t="s">
        <v>557</v>
      </c>
      <c r="E100" s="125">
        <v>3000</v>
      </c>
      <c r="F100" s="126">
        <v>2997.8609999999999</v>
      </c>
      <c r="G100" s="127">
        <v>5.6264100000000001E-3</v>
      </c>
      <c r="H100" s="122">
        <f>IFERROR(VLOOKUP(B100,'[1]Debt Holding Consolidated'!$C$1:$N$65536,12,FALSE),"")</f>
        <v>7.79</v>
      </c>
      <c r="J100" s="2"/>
    </row>
    <row r="101" spans="1:10" ht="25.5" x14ac:dyDescent="0.2">
      <c r="A101" s="123">
        <v>3</v>
      </c>
      <c r="B101" s="124" t="s">
        <v>560</v>
      </c>
      <c r="C101" s="124" t="s">
        <v>561</v>
      </c>
      <c r="D101" s="124" t="s">
        <v>557</v>
      </c>
      <c r="E101" s="125">
        <v>2500</v>
      </c>
      <c r="F101" s="126">
        <v>2600.7175000000002</v>
      </c>
      <c r="G101" s="127">
        <v>4.8810399999999997E-3</v>
      </c>
      <c r="H101" s="122">
        <f>IFERROR(VLOOKUP(B101,'[1]Debt Holding Consolidated'!$C$1:$N$65536,12,FALSE),"")</f>
        <v>7.3319000000000001</v>
      </c>
      <c r="J101" s="2"/>
    </row>
    <row r="102" spans="1:10" ht="25.5" x14ac:dyDescent="0.2">
      <c r="A102" s="123">
        <v>4</v>
      </c>
      <c r="B102" s="124" t="s">
        <v>562</v>
      </c>
      <c r="C102" s="124" t="s">
        <v>563</v>
      </c>
      <c r="D102" s="124" t="s">
        <v>557</v>
      </c>
      <c r="E102" s="125">
        <v>2500</v>
      </c>
      <c r="F102" s="126">
        <v>2567.59</v>
      </c>
      <c r="G102" s="127">
        <v>4.8188700000000003E-3</v>
      </c>
      <c r="H102" s="122">
        <f>IFERROR(VLOOKUP(B102,'[1]Debt Holding Consolidated'!$C$1:$N$65536,12,FALSE),"")</f>
        <v>7.3319999999999999</v>
      </c>
      <c r="J102" s="2"/>
    </row>
    <row r="103" spans="1:10" ht="25.5" x14ac:dyDescent="0.2">
      <c r="A103" s="123">
        <v>5</v>
      </c>
      <c r="B103" s="124" t="s">
        <v>564</v>
      </c>
      <c r="C103" s="124" t="s">
        <v>565</v>
      </c>
      <c r="D103" s="124" t="s">
        <v>557</v>
      </c>
      <c r="E103" s="125">
        <v>250</v>
      </c>
      <c r="F103" s="126">
        <v>2557.4524999999999</v>
      </c>
      <c r="G103" s="127">
        <v>4.7998399999999997E-3</v>
      </c>
      <c r="H103" s="122">
        <f>IFERROR(VLOOKUP(B103,'[1]Debt Holding Consolidated'!$C$1:$N$65536,12,FALSE),"")</f>
        <v>7.6375000000000002</v>
      </c>
      <c r="J103" s="2"/>
    </row>
    <row r="104" spans="1:10" ht="25.5" x14ac:dyDescent="0.2">
      <c r="A104" s="123">
        <v>6</v>
      </c>
      <c r="B104" s="124" t="s">
        <v>566</v>
      </c>
      <c r="C104" s="124" t="s">
        <v>567</v>
      </c>
      <c r="D104" s="124" t="s">
        <v>557</v>
      </c>
      <c r="E104" s="125">
        <v>2500</v>
      </c>
      <c r="F104" s="126">
        <v>2518.0549999999998</v>
      </c>
      <c r="G104" s="127">
        <v>4.7258999999999999E-3</v>
      </c>
      <c r="H104" s="122">
        <f>IFERROR(VLOOKUP(B104,'[1]Debt Holding Consolidated'!$C$1:$N$65536,12,FALSE),"")</f>
        <v>7.3977000000000004</v>
      </c>
      <c r="J104" s="2"/>
    </row>
    <row r="105" spans="1:10" ht="25.5" x14ac:dyDescent="0.2">
      <c r="A105" s="123">
        <v>7</v>
      </c>
      <c r="B105" s="124" t="s">
        <v>568</v>
      </c>
      <c r="C105" s="124" t="s">
        <v>569</v>
      </c>
      <c r="D105" s="124" t="s">
        <v>557</v>
      </c>
      <c r="E105" s="125">
        <v>2500</v>
      </c>
      <c r="F105" s="126">
        <v>2511.0774999999999</v>
      </c>
      <c r="G105" s="127">
        <v>4.7128099999999996E-3</v>
      </c>
      <c r="H105" s="122">
        <f>IFERROR(VLOOKUP(B105,'[1]Debt Holding Consolidated'!$C$1:$N$65536,12,FALSE),"")</f>
        <v>7.6</v>
      </c>
      <c r="J105" s="2"/>
    </row>
    <row r="106" spans="1:10" ht="25.5" x14ac:dyDescent="0.2">
      <c r="A106" s="123">
        <v>8</v>
      </c>
      <c r="B106" s="124" t="s">
        <v>570</v>
      </c>
      <c r="C106" s="124" t="s">
        <v>571</v>
      </c>
      <c r="D106" s="124" t="s">
        <v>572</v>
      </c>
      <c r="E106" s="125">
        <v>2500</v>
      </c>
      <c r="F106" s="126">
        <v>2508.2474999999999</v>
      </c>
      <c r="G106" s="127">
        <v>4.7074999999999999E-3</v>
      </c>
      <c r="H106" s="122">
        <f>IFERROR(VLOOKUP(B106,'[1]Debt Holding Consolidated'!$C$1:$N$65536,12,FALSE),"")</f>
        <v>7.62</v>
      </c>
      <c r="J106" s="2"/>
    </row>
    <row r="107" spans="1:10" ht="25.5" x14ac:dyDescent="0.2">
      <c r="A107" s="123">
        <v>9</v>
      </c>
      <c r="B107" s="124" t="s">
        <v>573</v>
      </c>
      <c r="C107" s="124" t="s">
        <v>574</v>
      </c>
      <c r="D107" s="124" t="s">
        <v>572</v>
      </c>
      <c r="E107" s="125">
        <v>2500</v>
      </c>
      <c r="F107" s="126">
        <v>2503.2399999999998</v>
      </c>
      <c r="G107" s="127">
        <v>4.6981000000000002E-3</v>
      </c>
      <c r="H107" s="122">
        <f>IFERROR(VLOOKUP(B107,'[1]Debt Holding Consolidated'!$C$1:$N$65536,12,FALSE),"")</f>
        <v>7.55</v>
      </c>
      <c r="J107" s="2"/>
    </row>
    <row r="108" spans="1:10" ht="25.5" x14ac:dyDescent="0.2">
      <c r="A108" s="123">
        <v>10</v>
      </c>
      <c r="B108" s="124" t="s">
        <v>575</v>
      </c>
      <c r="C108" s="124" t="s">
        <v>576</v>
      </c>
      <c r="D108" s="124" t="s">
        <v>557</v>
      </c>
      <c r="E108" s="125">
        <v>2500</v>
      </c>
      <c r="F108" s="126">
        <v>2501.8425000000002</v>
      </c>
      <c r="G108" s="127">
        <v>4.6954700000000002E-3</v>
      </c>
      <c r="H108" s="122">
        <f>IFERROR(VLOOKUP(B108,'[1]Debt Holding Consolidated'!$C$1:$N$65536,12,FALSE),"")</f>
        <v>7.3118999999999996</v>
      </c>
      <c r="J108" s="2"/>
    </row>
    <row r="109" spans="1:10" ht="25.5" x14ac:dyDescent="0.2">
      <c r="A109" s="123">
        <v>11</v>
      </c>
      <c r="B109" s="124" t="s">
        <v>577</v>
      </c>
      <c r="C109" s="124" t="s">
        <v>578</v>
      </c>
      <c r="D109" s="124" t="s">
        <v>557</v>
      </c>
      <c r="E109" s="125">
        <v>2500</v>
      </c>
      <c r="F109" s="126">
        <v>2488.4675000000002</v>
      </c>
      <c r="G109" s="127">
        <v>4.6703700000000001E-3</v>
      </c>
      <c r="H109" s="122">
        <f>IFERROR(VLOOKUP(B109,'[1]Debt Holding Consolidated'!$C$1:$N$65536,12,FALSE),"")</f>
        <v>7.6875</v>
      </c>
      <c r="J109" s="2"/>
    </row>
    <row r="110" spans="1:10" ht="25.5" x14ac:dyDescent="0.2">
      <c r="A110" s="123">
        <v>12</v>
      </c>
      <c r="B110" s="124" t="s">
        <v>579</v>
      </c>
      <c r="C110" s="124" t="s">
        <v>580</v>
      </c>
      <c r="D110" s="124" t="s">
        <v>572</v>
      </c>
      <c r="E110" s="125">
        <v>250</v>
      </c>
      <c r="F110" s="126">
        <v>2488.38</v>
      </c>
      <c r="G110" s="127">
        <v>4.6702100000000002E-3</v>
      </c>
      <c r="H110" s="122">
        <f>IFERROR(VLOOKUP(B110,'[1]Debt Holding Consolidated'!$C$1:$N$65536,12,FALSE),"")</f>
        <v>7.91</v>
      </c>
      <c r="J110" s="2"/>
    </row>
    <row r="111" spans="1:10" ht="25.5" x14ac:dyDescent="0.2">
      <c r="A111" s="123">
        <v>13</v>
      </c>
      <c r="B111" s="124" t="s">
        <v>581</v>
      </c>
      <c r="C111" s="124" t="s">
        <v>582</v>
      </c>
      <c r="D111" s="124" t="s">
        <v>557</v>
      </c>
      <c r="E111" s="125">
        <v>2000</v>
      </c>
      <c r="F111" s="126">
        <v>2015.308</v>
      </c>
      <c r="G111" s="127">
        <v>3.7823399999999999E-3</v>
      </c>
      <c r="H111" s="122">
        <f>IFERROR(VLOOKUP(B111,'[1]Debt Holding Consolidated'!$C$1:$N$65536,12,FALSE),"")</f>
        <v>7.3131000000000004</v>
      </c>
      <c r="J111" s="2"/>
    </row>
    <row r="112" spans="1:10" ht="25.5" x14ac:dyDescent="0.2">
      <c r="A112" s="123">
        <v>14</v>
      </c>
      <c r="B112" s="124" t="s">
        <v>583</v>
      </c>
      <c r="C112" s="124" t="s">
        <v>584</v>
      </c>
      <c r="D112" s="124" t="s">
        <v>557</v>
      </c>
      <c r="E112" s="125">
        <v>2000</v>
      </c>
      <c r="F112" s="126">
        <v>2007.954</v>
      </c>
      <c r="G112" s="127">
        <v>3.7685399999999999E-3</v>
      </c>
      <c r="H112" s="122">
        <f>IFERROR(VLOOKUP(B112,'[1]Debt Holding Consolidated'!$C$1:$N$65536,12,FALSE),"")</f>
        <v>7.48</v>
      </c>
      <c r="J112" s="2"/>
    </row>
    <row r="113" spans="1:10" x14ac:dyDescent="0.2">
      <c r="A113" s="123">
        <v>15</v>
      </c>
      <c r="B113" s="124" t="s">
        <v>585</v>
      </c>
      <c r="C113" s="124" t="s">
        <v>586</v>
      </c>
      <c r="D113" s="124" t="s">
        <v>572</v>
      </c>
      <c r="E113" s="125">
        <v>2000</v>
      </c>
      <c r="F113" s="126">
        <v>2003.4939999999999</v>
      </c>
      <c r="G113" s="127">
        <v>3.7601700000000002E-3</v>
      </c>
      <c r="H113" s="122">
        <f>IFERROR(VLOOKUP(B113,'[1]Debt Holding Consolidated'!$C$1:$N$65536,12,FALSE),"")</f>
        <v>7.4924999999999997</v>
      </c>
      <c r="J113" s="2"/>
    </row>
    <row r="114" spans="1:10" ht="25.5" x14ac:dyDescent="0.2">
      <c r="A114" s="123">
        <v>16</v>
      </c>
      <c r="B114" s="124" t="s">
        <v>587</v>
      </c>
      <c r="C114" s="124" t="s">
        <v>588</v>
      </c>
      <c r="D114" s="124" t="s">
        <v>557</v>
      </c>
      <c r="E114" s="125">
        <v>1500</v>
      </c>
      <c r="F114" s="126">
        <v>1552.491</v>
      </c>
      <c r="G114" s="127">
        <v>2.9137299999999998E-3</v>
      </c>
      <c r="H114" s="122">
        <f>IFERROR(VLOOKUP(B114,'[1]Debt Holding Consolidated'!$C$1:$N$65536,12,FALSE),"")</f>
        <v>7.3250000000000002</v>
      </c>
      <c r="J114" s="2"/>
    </row>
    <row r="115" spans="1:10" ht="25.5" x14ac:dyDescent="0.2">
      <c r="A115" s="123">
        <v>17</v>
      </c>
      <c r="B115" s="124" t="s">
        <v>589</v>
      </c>
      <c r="C115" s="124" t="s">
        <v>590</v>
      </c>
      <c r="D115" s="124" t="s">
        <v>557</v>
      </c>
      <c r="E115" s="125">
        <v>1500</v>
      </c>
      <c r="F115" s="126">
        <v>1517.646</v>
      </c>
      <c r="G115" s="127">
        <v>2.84833E-3</v>
      </c>
      <c r="H115" s="122">
        <f>IFERROR(VLOOKUP(B115,'[1]Debt Holding Consolidated'!$C$1:$N$65536,12,FALSE),"")</f>
        <v>7.5995999999999997</v>
      </c>
      <c r="J115" s="2"/>
    </row>
    <row r="116" spans="1:10" ht="25.5" x14ac:dyDescent="0.2">
      <c r="A116" s="123">
        <v>18</v>
      </c>
      <c r="B116" s="124" t="s">
        <v>591</v>
      </c>
      <c r="C116" s="124" t="s">
        <v>592</v>
      </c>
      <c r="D116" s="124" t="s">
        <v>557</v>
      </c>
      <c r="E116" s="125">
        <v>1500</v>
      </c>
      <c r="F116" s="126">
        <v>1512.7560000000001</v>
      </c>
      <c r="G116" s="127">
        <v>2.8391499999999999E-3</v>
      </c>
      <c r="H116" s="122">
        <f>IFERROR(VLOOKUP(B116,'[1]Debt Holding Consolidated'!$C$1:$N$65536,12,FALSE),"")</f>
        <v>7.4737999999999998</v>
      </c>
      <c r="J116" s="2"/>
    </row>
    <row r="117" spans="1:10" ht="25.5" x14ac:dyDescent="0.2">
      <c r="A117" s="123">
        <v>19</v>
      </c>
      <c r="B117" s="124" t="s">
        <v>593</v>
      </c>
      <c r="C117" s="124" t="s">
        <v>594</v>
      </c>
      <c r="D117" s="124" t="s">
        <v>557</v>
      </c>
      <c r="E117" s="125">
        <v>1500</v>
      </c>
      <c r="F117" s="126">
        <v>1504.2629999999999</v>
      </c>
      <c r="G117" s="127">
        <v>2.82321E-3</v>
      </c>
      <c r="H117" s="122">
        <f>IFERROR(VLOOKUP(B117,'[1]Debt Holding Consolidated'!$C$1:$N$65536,12,FALSE),"")</f>
        <v>7.5919999999999996</v>
      </c>
      <c r="J117" s="2"/>
    </row>
    <row r="118" spans="1:10" ht="25.5" x14ac:dyDescent="0.2">
      <c r="A118" s="123">
        <v>20</v>
      </c>
      <c r="B118" s="124" t="s">
        <v>595</v>
      </c>
      <c r="C118" s="124" t="s">
        <v>596</v>
      </c>
      <c r="D118" s="124" t="s">
        <v>557</v>
      </c>
      <c r="E118" s="125">
        <v>1500</v>
      </c>
      <c r="F118" s="126">
        <v>1503.366</v>
      </c>
      <c r="G118" s="127">
        <v>2.82153E-3</v>
      </c>
      <c r="H118" s="122">
        <f>IFERROR(VLOOKUP(B118,'[1]Debt Holding Consolidated'!$C$1:$N$65536,12,FALSE),"")</f>
        <v>7.31</v>
      </c>
      <c r="J118" s="2"/>
    </row>
    <row r="119" spans="1:10" x14ac:dyDescent="0.2">
      <c r="A119" s="123">
        <v>21</v>
      </c>
      <c r="B119" s="124" t="s">
        <v>597</v>
      </c>
      <c r="C119" s="124" t="s">
        <v>598</v>
      </c>
      <c r="D119" s="124" t="s">
        <v>557</v>
      </c>
      <c r="E119" s="125">
        <v>150</v>
      </c>
      <c r="F119" s="126">
        <v>1498.587</v>
      </c>
      <c r="G119" s="127">
        <v>2.81256E-3</v>
      </c>
      <c r="H119" s="122">
        <f>IFERROR(VLOOKUP(B119,'[1]Debt Holding Consolidated'!$C$1:$N$65536,12,FALSE),"")</f>
        <v>7.8550000000000004</v>
      </c>
      <c r="J119" s="2"/>
    </row>
    <row r="120" spans="1:10" ht="25.5" x14ac:dyDescent="0.2">
      <c r="A120" s="123">
        <v>22</v>
      </c>
      <c r="B120" s="124" t="s">
        <v>599</v>
      </c>
      <c r="C120" s="124" t="s">
        <v>600</v>
      </c>
      <c r="D120" s="124" t="s">
        <v>557</v>
      </c>
      <c r="E120" s="125">
        <v>1500</v>
      </c>
      <c r="F120" s="126">
        <v>1498.08</v>
      </c>
      <c r="G120" s="127">
        <v>2.81161E-3</v>
      </c>
      <c r="H120" s="122">
        <f>IFERROR(VLOOKUP(B120,'[1]Debt Holding Consolidated'!$C$1:$N$65536,12,FALSE),"")</f>
        <v>8.1850000000000005</v>
      </c>
      <c r="J120" s="2"/>
    </row>
    <row r="121" spans="1:10" ht="25.5" x14ac:dyDescent="0.2">
      <c r="A121" s="123">
        <v>23</v>
      </c>
      <c r="B121" s="124" t="s">
        <v>601</v>
      </c>
      <c r="C121" s="124" t="s">
        <v>602</v>
      </c>
      <c r="D121" s="124" t="s">
        <v>572</v>
      </c>
      <c r="E121" s="125">
        <v>150</v>
      </c>
      <c r="F121" s="126">
        <v>1494.729</v>
      </c>
      <c r="G121" s="127">
        <v>2.80532E-3</v>
      </c>
      <c r="H121" s="122">
        <f>IFERROR(VLOOKUP(B121,'[1]Debt Holding Consolidated'!$C$1:$N$65536,12,FALSE),"")</f>
        <v>7.85</v>
      </c>
      <c r="J121" s="2"/>
    </row>
    <row r="122" spans="1:10" ht="25.5" x14ac:dyDescent="0.2">
      <c r="A122" s="123">
        <v>24</v>
      </c>
      <c r="B122" s="124" t="s">
        <v>603</v>
      </c>
      <c r="C122" s="124" t="s">
        <v>604</v>
      </c>
      <c r="D122" s="124" t="s">
        <v>557</v>
      </c>
      <c r="E122" s="125">
        <v>150</v>
      </c>
      <c r="F122" s="126">
        <v>1494.1455000000001</v>
      </c>
      <c r="G122" s="127">
        <v>2.8042200000000001E-3</v>
      </c>
      <c r="H122" s="122">
        <f>IFERROR(VLOOKUP(B122,'[1]Debt Holding Consolidated'!$C$1:$N$65536,12,FALSE),"")</f>
        <v>7.74</v>
      </c>
      <c r="J122" s="2"/>
    </row>
    <row r="123" spans="1:10" x14ac:dyDescent="0.2">
      <c r="A123" s="123">
        <v>25</v>
      </c>
      <c r="B123" s="124" t="s">
        <v>605</v>
      </c>
      <c r="C123" s="124" t="s">
        <v>606</v>
      </c>
      <c r="D123" s="124" t="s">
        <v>557</v>
      </c>
      <c r="E123" s="125">
        <v>150</v>
      </c>
      <c r="F123" s="126">
        <v>1454.8364999999999</v>
      </c>
      <c r="G123" s="127">
        <v>2.7304500000000002E-3</v>
      </c>
      <c r="H123" s="122">
        <f>IFERROR(VLOOKUP(B123,'[1]Debt Holding Consolidated'!$C$1:$N$65536,12,FALSE),"")</f>
        <v>7.85</v>
      </c>
      <c r="J123" s="2"/>
    </row>
    <row r="124" spans="1:10" x14ac:dyDescent="0.2">
      <c r="A124" s="123">
        <v>26</v>
      </c>
      <c r="B124" s="124" t="s">
        <v>607</v>
      </c>
      <c r="C124" s="124" t="s">
        <v>608</v>
      </c>
      <c r="D124" s="124" t="s">
        <v>557</v>
      </c>
      <c r="E124" s="125">
        <v>100</v>
      </c>
      <c r="F124" s="126">
        <v>999.39599999999996</v>
      </c>
      <c r="G124" s="127">
        <v>1.8756700000000001E-3</v>
      </c>
      <c r="H124" s="122">
        <f>IFERROR(VLOOKUP(B124,'[1]Debt Holding Consolidated'!$C$1:$N$65536,12,FALSE),"")</f>
        <v>7.5949999999999998</v>
      </c>
      <c r="J124" s="2"/>
    </row>
    <row r="125" spans="1:10" x14ac:dyDescent="0.2">
      <c r="A125" s="123">
        <v>27</v>
      </c>
      <c r="B125" s="124" t="s">
        <v>609</v>
      </c>
      <c r="C125" s="124" t="s">
        <v>610</v>
      </c>
      <c r="D125" s="124" t="s">
        <v>557</v>
      </c>
      <c r="E125" s="125">
        <v>1000</v>
      </c>
      <c r="F125" s="126">
        <v>998.32</v>
      </c>
      <c r="G125" s="127">
        <v>1.8736499999999999E-3</v>
      </c>
      <c r="H125" s="122">
        <f>IFERROR(VLOOKUP(B125,'[1]Debt Holding Consolidated'!$C$1:$N$65536,12,FALSE),"")</f>
        <v>7.5949999999999998</v>
      </c>
      <c r="J125" s="2"/>
    </row>
    <row r="126" spans="1:10" x14ac:dyDescent="0.2">
      <c r="A126" s="123">
        <v>28</v>
      </c>
      <c r="B126" s="124" t="s">
        <v>611</v>
      </c>
      <c r="C126" s="124" t="s">
        <v>612</v>
      </c>
      <c r="D126" s="124" t="s">
        <v>557</v>
      </c>
      <c r="E126" s="125">
        <v>1000</v>
      </c>
      <c r="F126" s="126">
        <v>997.69200000000001</v>
      </c>
      <c r="G126" s="127">
        <v>1.8724799999999999E-3</v>
      </c>
      <c r="H126" s="122">
        <f>IFERROR(VLOOKUP(B126,'[1]Debt Holding Consolidated'!$C$1:$N$65536,12,FALSE),"")</f>
        <v>7.59</v>
      </c>
      <c r="J126" s="2"/>
    </row>
    <row r="127" spans="1:10" x14ac:dyDescent="0.2">
      <c r="A127" s="123">
        <v>29</v>
      </c>
      <c r="B127" s="124" t="s">
        <v>613</v>
      </c>
      <c r="C127" s="124" t="s">
        <v>614</v>
      </c>
      <c r="D127" s="124" t="s">
        <v>557</v>
      </c>
      <c r="E127" s="125">
        <v>1000</v>
      </c>
      <c r="F127" s="126">
        <v>997.52800000000002</v>
      </c>
      <c r="G127" s="127">
        <v>1.87217E-3</v>
      </c>
      <c r="H127" s="122">
        <f>IFERROR(VLOOKUP(B127,'[1]Debt Holding Consolidated'!$C$1:$N$65536,12,FALSE),"")</f>
        <v>7.53</v>
      </c>
      <c r="J127" s="2"/>
    </row>
    <row r="128" spans="1:10" ht="25.5" x14ac:dyDescent="0.2">
      <c r="A128" s="123">
        <v>30</v>
      </c>
      <c r="B128" s="124" t="s">
        <v>615</v>
      </c>
      <c r="C128" s="124" t="s">
        <v>616</v>
      </c>
      <c r="D128" s="124" t="s">
        <v>572</v>
      </c>
      <c r="E128" s="125">
        <v>100</v>
      </c>
      <c r="F128" s="126">
        <v>995.55499999999995</v>
      </c>
      <c r="G128" s="127">
        <v>1.86846E-3</v>
      </c>
      <c r="H128" s="122">
        <f>IFERROR(VLOOKUP(B128,'[1]Debt Holding Consolidated'!$C$1:$N$65536,12,FALSE),"")</f>
        <v>7.8274999999999997</v>
      </c>
      <c r="J128" s="2"/>
    </row>
    <row r="129" spans="1:10" x14ac:dyDescent="0.2">
      <c r="A129" s="120"/>
      <c r="B129" s="120"/>
      <c r="C129" s="121" t="s">
        <v>152</v>
      </c>
      <c r="D129" s="120"/>
      <c r="E129" s="120" t="s">
        <v>153</v>
      </c>
      <c r="F129" s="128">
        <v>57782.288</v>
      </c>
      <c r="G129" s="129">
        <v>0.10844619</v>
      </c>
      <c r="H129" s="122" t="str">
        <f>IFERROR(VLOOKUP(B129,'[1]Debt Holding Consolidated'!$C$1:$N$65536,12,FALSE),"")</f>
        <v/>
      </c>
      <c r="J129" s="2"/>
    </row>
    <row r="130" spans="1:10" x14ac:dyDescent="0.2">
      <c r="A130" s="120"/>
      <c r="B130" s="120"/>
      <c r="C130" s="130"/>
      <c r="D130" s="120"/>
      <c r="E130" s="120"/>
      <c r="F130" s="131"/>
      <c r="G130" s="131"/>
      <c r="H130" s="122" t="str">
        <f>IFERROR(VLOOKUP(B130,'[1]Debt Holding Consolidated'!$C$1:$N$65536,12,FALSE),"")</f>
        <v/>
      </c>
      <c r="J130" s="2"/>
    </row>
    <row r="131" spans="1:10" x14ac:dyDescent="0.2">
      <c r="A131" s="120"/>
      <c r="B131" s="120"/>
      <c r="C131" s="121" t="s">
        <v>162</v>
      </c>
      <c r="D131" s="120"/>
      <c r="E131" s="120"/>
      <c r="F131" s="120"/>
      <c r="G131" s="120"/>
      <c r="H131" s="122" t="str">
        <f>IFERROR(VLOOKUP(B131,'[1]Debt Holding Consolidated'!$C$1:$N$65536,12,FALSE),"")</f>
        <v/>
      </c>
      <c r="J131" s="2"/>
    </row>
    <row r="132" spans="1:10" x14ac:dyDescent="0.2">
      <c r="A132" s="120"/>
      <c r="B132" s="120"/>
      <c r="C132" s="121" t="s">
        <v>152</v>
      </c>
      <c r="D132" s="120"/>
      <c r="E132" s="120" t="s">
        <v>153</v>
      </c>
      <c r="F132" s="132" t="s">
        <v>155</v>
      </c>
      <c r="G132" s="129">
        <v>0</v>
      </c>
      <c r="H132" s="122" t="str">
        <f>IFERROR(VLOOKUP(B132,'[1]Debt Holding Consolidated'!$C$1:$N$65536,12,FALSE),"")</f>
        <v/>
      </c>
      <c r="J132" s="2"/>
    </row>
    <row r="133" spans="1:10" x14ac:dyDescent="0.2">
      <c r="A133" s="120"/>
      <c r="B133" s="120"/>
      <c r="C133" s="130"/>
      <c r="D133" s="120"/>
      <c r="E133" s="120"/>
      <c r="F133" s="131"/>
      <c r="G133" s="131"/>
      <c r="H133" s="122" t="str">
        <f>IFERROR(VLOOKUP(B133,'[1]Debt Holding Consolidated'!$C$1:$N$65536,12,FALSE),"")</f>
        <v/>
      </c>
      <c r="J133" s="2"/>
    </row>
    <row r="134" spans="1:10" x14ac:dyDescent="0.2">
      <c r="A134" s="120"/>
      <c r="B134" s="120"/>
      <c r="C134" s="121" t="s">
        <v>163</v>
      </c>
      <c r="D134" s="120"/>
      <c r="E134" s="120"/>
      <c r="F134" s="120"/>
      <c r="G134" s="120"/>
      <c r="H134" s="122" t="str">
        <f>IFERROR(VLOOKUP(B134,'[1]Debt Holding Consolidated'!$C$1:$N$65536,12,FALSE),"")</f>
        <v/>
      </c>
      <c r="J134" s="2"/>
    </row>
    <row r="135" spans="1:10" x14ac:dyDescent="0.2">
      <c r="A135" s="123">
        <v>1</v>
      </c>
      <c r="B135" s="124" t="s">
        <v>617</v>
      </c>
      <c r="C135" s="124" t="s">
        <v>618</v>
      </c>
      <c r="D135" s="124" t="s">
        <v>541</v>
      </c>
      <c r="E135" s="125">
        <v>20000000</v>
      </c>
      <c r="F135" s="126">
        <v>20376.8</v>
      </c>
      <c r="G135" s="127">
        <v>3.8243310000000003E-2</v>
      </c>
      <c r="H135" s="122">
        <f>IFERROR(VLOOKUP(B135,'[1]Debt Holding Consolidated'!$C$1:$N$65536,12,FALSE),"")</f>
        <v>7.0125000000000002</v>
      </c>
      <c r="J135" s="2"/>
    </row>
    <row r="136" spans="1:10" ht="25.5" x14ac:dyDescent="0.2">
      <c r="A136" s="123">
        <v>2</v>
      </c>
      <c r="B136" s="124" t="s">
        <v>619</v>
      </c>
      <c r="C136" s="124" t="s">
        <v>1051</v>
      </c>
      <c r="D136" s="124" t="s">
        <v>541</v>
      </c>
      <c r="E136" s="125">
        <v>10000000</v>
      </c>
      <c r="F136" s="126">
        <v>10285.44</v>
      </c>
      <c r="G136" s="127">
        <v>1.930378E-2</v>
      </c>
      <c r="H136" s="122">
        <f>IFERROR(VLOOKUP(B136,'[1]Debt Holding Consolidated'!$C$1:$N$65536,12,FALSE),"")</f>
        <v>7.0350000000000001</v>
      </c>
      <c r="J136" s="2"/>
    </row>
    <row r="137" spans="1:10" ht="25.5" x14ac:dyDescent="0.2">
      <c r="A137" s="123">
        <v>3</v>
      </c>
      <c r="B137" s="124" t="s">
        <v>620</v>
      </c>
      <c r="C137" s="124" t="s">
        <v>621</v>
      </c>
      <c r="D137" s="124" t="s">
        <v>541</v>
      </c>
      <c r="E137" s="125">
        <v>10000000</v>
      </c>
      <c r="F137" s="126">
        <v>10163.64</v>
      </c>
      <c r="G137" s="127">
        <v>1.9075189999999999E-2</v>
      </c>
      <c r="H137" s="122">
        <f>IFERROR(VLOOKUP(B137,'[1]Debt Holding Consolidated'!$C$1:$N$65536,12,FALSE),"")</f>
        <v>6.9809000000000001</v>
      </c>
      <c r="J137" s="2"/>
    </row>
    <row r="138" spans="1:10" ht="25.5" x14ac:dyDescent="0.2">
      <c r="A138" s="123">
        <v>4</v>
      </c>
      <c r="B138" s="124" t="s">
        <v>622</v>
      </c>
      <c r="C138" s="124" t="s">
        <v>623</v>
      </c>
      <c r="D138" s="124" t="s">
        <v>541</v>
      </c>
      <c r="E138" s="125">
        <v>4000000</v>
      </c>
      <c r="F138" s="126">
        <v>4062.82</v>
      </c>
      <c r="G138" s="127">
        <v>7.6251299999999999E-3</v>
      </c>
      <c r="H138" s="122">
        <f>IFERROR(VLOOKUP(B138,'[1]Debt Holding Consolidated'!$C$1:$N$65536,12,FALSE),"")</f>
        <v>6.8636999999999997</v>
      </c>
      <c r="J138" s="2"/>
    </row>
    <row r="139" spans="1:10" x14ac:dyDescent="0.2">
      <c r="A139" s="123">
        <v>5</v>
      </c>
      <c r="B139" s="124" t="s">
        <v>624</v>
      </c>
      <c r="C139" s="124" t="s">
        <v>625</v>
      </c>
      <c r="D139" s="124" t="s">
        <v>541</v>
      </c>
      <c r="E139" s="125">
        <v>3000000</v>
      </c>
      <c r="F139" s="126">
        <v>3068.1660000000002</v>
      </c>
      <c r="G139" s="127">
        <v>5.7583499999999998E-3</v>
      </c>
      <c r="H139" s="122">
        <f>IFERROR(VLOOKUP(B139,'[1]Debt Holding Consolidated'!$C$1:$N$65536,12,FALSE),"")</f>
        <v>7.0292000000000003</v>
      </c>
      <c r="J139" s="2"/>
    </row>
    <row r="140" spans="1:10" x14ac:dyDescent="0.2">
      <c r="A140" s="123">
        <v>6</v>
      </c>
      <c r="B140" s="124" t="s">
        <v>626</v>
      </c>
      <c r="C140" s="124" t="s">
        <v>627</v>
      </c>
      <c r="D140" s="124" t="s">
        <v>541</v>
      </c>
      <c r="E140" s="125">
        <v>2500000</v>
      </c>
      <c r="F140" s="126">
        <v>2592.2175000000002</v>
      </c>
      <c r="G140" s="127">
        <v>4.8650899999999999E-3</v>
      </c>
      <c r="H140" s="122">
        <f>IFERROR(VLOOKUP(B140,'[1]Debt Holding Consolidated'!$C$1:$N$65536,12,FALSE),"")</f>
        <v>7.1218000000000004</v>
      </c>
      <c r="J140" s="2"/>
    </row>
    <row r="141" spans="1:10" ht="25.5" x14ac:dyDescent="0.2">
      <c r="A141" s="123">
        <v>7</v>
      </c>
      <c r="B141" s="124" t="s">
        <v>628</v>
      </c>
      <c r="C141" s="124" t="s">
        <v>1050</v>
      </c>
      <c r="D141" s="124" t="s">
        <v>541</v>
      </c>
      <c r="E141" s="125">
        <v>2500000</v>
      </c>
      <c r="F141" s="126">
        <v>2530.2275</v>
      </c>
      <c r="G141" s="127">
        <v>4.7487500000000004E-3</v>
      </c>
      <c r="H141" s="122">
        <f>IFERROR(VLOOKUP(B141,'[1]Debt Holding Consolidated'!$C$1:$N$65536,12,FALSE),"")</f>
        <v>6.9036</v>
      </c>
      <c r="J141" s="2"/>
    </row>
    <row r="142" spans="1:10" ht="25.5" x14ac:dyDescent="0.2">
      <c r="A142" s="123">
        <v>8</v>
      </c>
      <c r="B142" s="124" t="s">
        <v>629</v>
      </c>
      <c r="C142" s="160" t="s">
        <v>941</v>
      </c>
      <c r="D142" s="124" t="s">
        <v>541</v>
      </c>
      <c r="E142" s="125">
        <v>1500000</v>
      </c>
      <c r="F142" s="126">
        <v>1509.0195000000001</v>
      </c>
      <c r="G142" s="127">
        <v>2.8321399999999999E-3</v>
      </c>
      <c r="H142" s="122">
        <f>IFERROR(VLOOKUP(B142,'[1]Debt Holding Consolidated'!$C$1:$N$65536,12,FALSE),"")</f>
        <v>7.440703281395125</v>
      </c>
      <c r="J142" s="2"/>
    </row>
    <row r="143" spans="1:10" ht="25.5" x14ac:dyDescent="0.2">
      <c r="A143" s="123">
        <v>9</v>
      </c>
      <c r="B143" s="124" t="s">
        <v>630</v>
      </c>
      <c r="C143" s="124" t="s">
        <v>631</v>
      </c>
      <c r="D143" s="124" t="s">
        <v>541</v>
      </c>
      <c r="E143" s="125">
        <v>1270000</v>
      </c>
      <c r="F143" s="126">
        <v>1289.58213</v>
      </c>
      <c r="G143" s="127">
        <v>2.4202999999999998E-3</v>
      </c>
      <c r="H143" s="122">
        <f>IFERROR(VLOOKUP(B143,'[1]Debt Holding Consolidated'!$C$1:$N$65536,12,FALSE),"")</f>
        <v>7.3430999999999997</v>
      </c>
      <c r="J143" s="2"/>
    </row>
    <row r="144" spans="1:10" ht="25.5" x14ac:dyDescent="0.2">
      <c r="A144" s="123">
        <v>10</v>
      </c>
      <c r="B144" s="124" t="s">
        <v>632</v>
      </c>
      <c r="C144" s="124" t="s">
        <v>633</v>
      </c>
      <c r="D144" s="124" t="s">
        <v>541</v>
      </c>
      <c r="E144" s="125">
        <v>500000</v>
      </c>
      <c r="F144" s="126">
        <v>520.40700000000004</v>
      </c>
      <c r="G144" s="127">
        <v>9.7670000000000005E-4</v>
      </c>
      <c r="H144" s="122">
        <f>IFERROR(VLOOKUP(B144,'[1]Debt Holding Consolidated'!$C$1:$N$65536,12,FALSE),"")</f>
        <v>7.1558000000000002</v>
      </c>
      <c r="J144" s="2"/>
    </row>
    <row r="145" spans="1:10" x14ac:dyDescent="0.2">
      <c r="A145" s="123">
        <v>11</v>
      </c>
      <c r="B145" s="124" t="s">
        <v>634</v>
      </c>
      <c r="C145" s="124" t="s">
        <v>635</v>
      </c>
      <c r="D145" s="124" t="s">
        <v>541</v>
      </c>
      <c r="E145" s="125">
        <v>500000</v>
      </c>
      <c r="F145" s="126">
        <v>510.40249999999997</v>
      </c>
      <c r="G145" s="127">
        <v>9.5792999999999996E-4</v>
      </c>
      <c r="H145" s="122">
        <f>IFERROR(VLOOKUP(B145,'[1]Debt Holding Consolidated'!$C$1:$N$65536,12,FALSE),"")</f>
        <v>6.8971999999999998</v>
      </c>
      <c r="J145" s="2"/>
    </row>
    <row r="146" spans="1:10" x14ac:dyDescent="0.2">
      <c r="A146" s="120"/>
      <c r="B146" s="120"/>
      <c r="C146" s="121" t="s">
        <v>152</v>
      </c>
      <c r="D146" s="120"/>
      <c r="E146" s="120" t="s">
        <v>153</v>
      </c>
      <c r="F146" s="128">
        <v>56908.722130000002</v>
      </c>
      <c r="G146" s="129">
        <v>0.10680667000000001</v>
      </c>
      <c r="H146" s="122" t="str">
        <f>IFERROR(VLOOKUP(B146,'[1]Debt Holding Consolidated'!$C$1:$N$65536,12,FALSE),"")</f>
        <v/>
      </c>
      <c r="J146" s="2"/>
    </row>
    <row r="147" spans="1:10" x14ac:dyDescent="0.2">
      <c r="A147" s="120"/>
      <c r="B147" s="120"/>
      <c r="C147" s="130"/>
      <c r="D147" s="120"/>
      <c r="E147" s="120"/>
      <c r="F147" s="131"/>
      <c r="G147" s="131"/>
      <c r="H147" s="122" t="str">
        <f>IFERROR(VLOOKUP(B147,'[1]Debt Holding Consolidated'!$C$1:$N$65536,12,FALSE),"")</f>
        <v/>
      </c>
      <c r="J147" s="2"/>
    </row>
    <row r="148" spans="1:10" x14ac:dyDescent="0.2">
      <c r="A148" s="120"/>
      <c r="B148" s="120"/>
      <c r="C148" s="121" t="s">
        <v>164</v>
      </c>
      <c r="D148" s="120"/>
      <c r="E148" s="120"/>
      <c r="F148" s="131"/>
      <c r="G148" s="131"/>
      <c r="H148" s="122" t="str">
        <f>IFERROR(VLOOKUP(B148,'[1]Debt Holding Consolidated'!$C$1:$N$65536,12,FALSE),"")</f>
        <v/>
      </c>
      <c r="J148" s="2"/>
    </row>
    <row r="149" spans="1:10" x14ac:dyDescent="0.2">
      <c r="A149" s="120"/>
      <c r="B149" s="120"/>
      <c r="C149" s="121" t="s">
        <v>152</v>
      </c>
      <c r="D149" s="120"/>
      <c r="E149" s="120" t="s">
        <v>153</v>
      </c>
      <c r="F149" s="132" t="s">
        <v>155</v>
      </c>
      <c r="G149" s="129">
        <v>0</v>
      </c>
      <c r="H149" s="122" t="str">
        <f>IFERROR(VLOOKUP(B149,'[1]Debt Holding Consolidated'!$C$1:$N$65536,12,FALSE),"")</f>
        <v/>
      </c>
      <c r="J149" s="2"/>
    </row>
    <row r="150" spans="1:10" x14ac:dyDescent="0.2">
      <c r="A150" s="120"/>
      <c r="B150" s="120"/>
      <c r="C150" s="130"/>
      <c r="D150" s="120"/>
      <c r="E150" s="120"/>
      <c r="F150" s="131"/>
      <c r="G150" s="131"/>
      <c r="H150" s="122" t="str">
        <f>IFERROR(VLOOKUP(B150,'[1]Debt Holding Consolidated'!$C$1:$N$65536,12,FALSE),"")</f>
        <v/>
      </c>
      <c r="J150" s="2"/>
    </row>
    <row r="151" spans="1:10" x14ac:dyDescent="0.2">
      <c r="A151" s="120"/>
      <c r="B151" s="120"/>
      <c r="C151" s="121" t="s">
        <v>165</v>
      </c>
      <c r="D151" s="120"/>
      <c r="E151" s="120"/>
      <c r="F151" s="128">
        <v>114691.01013</v>
      </c>
      <c r="G151" s="129">
        <v>0.21525285999999999</v>
      </c>
      <c r="H151" s="122" t="str">
        <f>IFERROR(VLOOKUP(B151,'[1]Debt Holding Consolidated'!$C$1:$N$65536,12,FALSE),"")</f>
        <v/>
      </c>
      <c r="J151" s="2"/>
    </row>
    <row r="152" spans="1:10" x14ac:dyDescent="0.2">
      <c r="A152" s="120"/>
      <c r="B152" s="120"/>
      <c r="C152" s="130"/>
      <c r="D152" s="120"/>
      <c r="E152" s="120"/>
      <c r="F152" s="131"/>
      <c r="G152" s="131"/>
      <c r="H152" s="122" t="str">
        <f>IFERROR(VLOOKUP(B152,'[1]Debt Holding Consolidated'!$C$1:$N$65536,12,FALSE),"")</f>
        <v/>
      </c>
      <c r="J152" s="2"/>
    </row>
    <row r="153" spans="1:10" x14ac:dyDescent="0.2">
      <c r="A153" s="120"/>
      <c r="B153" s="120"/>
      <c r="C153" s="121" t="s">
        <v>166</v>
      </c>
      <c r="D153" s="120"/>
      <c r="E153" s="120"/>
      <c r="F153" s="131"/>
      <c r="G153" s="131"/>
      <c r="H153" s="122" t="str">
        <f>IFERROR(VLOOKUP(B153,'[1]Debt Holding Consolidated'!$C$1:$N$65536,12,FALSE),"")</f>
        <v/>
      </c>
      <c r="J153" s="2"/>
    </row>
    <row r="154" spans="1:10" x14ac:dyDescent="0.2">
      <c r="A154" s="120"/>
      <c r="B154" s="120"/>
      <c r="C154" s="121" t="s">
        <v>167</v>
      </c>
      <c r="D154" s="120"/>
      <c r="E154" s="120"/>
      <c r="F154" s="131"/>
      <c r="G154" s="131"/>
      <c r="H154" s="122" t="str">
        <f>IFERROR(VLOOKUP(B154,'[1]Debt Holding Consolidated'!$C$1:$N$65536,12,FALSE),"")</f>
        <v/>
      </c>
      <c r="J154" s="2"/>
    </row>
    <row r="155" spans="1:10" x14ac:dyDescent="0.2">
      <c r="A155" s="123">
        <v>1</v>
      </c>
      <c r="B155" s="124" t="s">
        <v>636</v>
      </c>
      <c r="C155" s="124" t="s">
        <v>637</v>
      </c>
      <c r="D155" s="124" t="s">
        <v>638</v>
      </c>
      <c r="E155" s="125">
        <v>400</v>
      </c>
      <c r="F155" s="126">
        <v>1884.1420000000001</v>
      </c>
      <c r="G155" s="127">
        <v>3.5361699999999999E-3</v>
      </c>
      <c r="H155" s="122">
        <f>IFERROR(VLOOKUP(B155,'[1]Debt Holding Consolidated'!$C$1:$N$65536,12,FALSE),"")</f>
        <v>7.5824999999999996</v>
      </c>
      <c r="J155" s="2"/>
    </row>
    <row r="156" spans="1:10" x14ac:dyDescent="0.2">
      <c r="A156" s="123">
        <v>2</v>
      </c>
      <c r="B156" s="124" t="s">
        <v>639</v>
      </c>
      <c r="C156" s="124" t="s">
        <v>640</v>
      </c>
      <c r="D156" s="124" t="s">
        <v>638</v>
      </c>
      <c r="E156" s="125">
        <v>200</v>
      </c>
      <c r="F156" s="126">
        <v>981.03499999999997</v>
      </c>
      <c r="G156" s="127">
        <v>1.84121E-3</v>
      </c>
      <c r="H156" s="122">
        <f>IFERROR(VLOOKUP(B156,'[1]Debt Holding Consolidated'!$C$1:$N$65536,12,FALSE),"")</f>
        <v>7.35</v>
      </c>
      <c r="J156" s="2"/>
    </row>
    <row r="157" spans="1:10" x14ac:dyDescent="0.2">
      <c r="A157" s="120"/>
      <c r="B157" s="120"/>
      <c r="C157" s="121" t="s">
        <v>152</v>
      </c>
      <c r="D157" s="120"/>
      <c r="E157" s="120" t="s">
        <v>153</v>
      </c>
      <c r="F157" s="128">
        <v>2865.1770000000001</v>
      </c>
      <c r="G157" s="129">
        <v>5.3773800000000002E-3</v>
      </c>
      <c r="H157" s="122" t="str">
        <f>IFERROR(VLOOKUP(B157,'[1]Debt Holding Consolidated'!$C$1:$N$65536,12,FALSE),"")</f>
        <v/>
      </c>
      <c r="J157" s="2"/>
    </row>
    <row r="158" spans="1:10" x14ac:dyDescent="0.2">
      <c r="A158" s="120"/>
      <c r="B158" s="120"/>
      <c r="C158" s="130"/>
      <c r="D158" s="120"/>
      <c r="E158" s="120"/>
      <c r="F158" s="131"/>
      <c r="G158" s="131"/>
      <c r="H158" s="122" t="str">
        <f>IFERROR(VLOOKUP(B158,'[1]Debt Holding Consolidated'!$C$1:$N$65536,12,FALSE),"")</f>
        <v/>
      </c>
      <c r="J158" s="2"/>
    </row>
    <row r="159" spans="1:10" x14ac:dyDescent="0.2">
      <c r="A159" s="120"/>
      <c r="B159" s="120"/>
      <c r="C159" s="121" t="s">
        <v>168</v>
      </c>
      <c r="D159" s="120"/>
      <c r="E159" s="120"/>
      <c r="F159" s="131"/>
      <c r="G159" s="131"/>
      <c r="H159" s="122" t="str">
        <f>IFERROR(VLOOKUP(B159,'[1]Debt Holding Consolidated'!$C$1:$N$65536,12,FALSE),"")</f>
        <v/>
      </c>
      <c r="J159" s="2"/>
    </row>
    <row r="160" spans="1:10" x14ac:dyDescent="0.2">
      <c r="A160" s="123">
        <v>1</v>
      </c>
      <c r="B160" s="124" t="s">
        <v>641</v>
      </c>
      <c r="C160" s="124" t="s">
        <v>642</v>
      </c>
      <c r="D160" s="124" t="s">
        <v>638</v>
      </c>
      <c r="E160" s="125">
        <v>300</v>
      </c>
      <c r="F160" s="126">
        <v>1440.3525</v>
      </c>
      <c r="G160" s="127">
        <v>2.7032599999999999E-3</v>
      </c>
      <c r="H160" s="122">
        <f>IFERROR(VLOOKUP(B160,'[1]Debt Holding Consolidated'!$C$1:$N$65536,12,FALSE),"")</f>
        <v>7.52</v>
      </c>
      <c r="J160" s="2"/>
    </row>
    <row r="161" spans="1:10" x14ac:dyDescent="0.2">
      <c r="A161" s="120"/>
      <c r="B161" s="120"/>
      <c r="C161" s="121" t="s">
        <v>152</v>
      </c>
      <c r="D161" s="120"/>
      <c r="E161" s="120" t="s">
        <v>153</v>
      </c>
      <c r="F161" s="128">
        <v>1440.3525</v>
      </c>
      <c r="G161" s="129">
        <v>2.7032599999999999E-3</v>
      </c>
      <c r="H161" s="122" t="str">
        <f>IFERROR(VLOOKUP(B161,'[1]Debt Holding Consolidated'!$C$1:$N$65536,12,FALSE),"")</f>
        <v/>
      </c>
      <c r="J161" s="2"/>
    </row>
    <row r="162" spans="1:10" x14ac:dyDescent="0.2">
      <c r="A162" s="120"/>
      <c r="B162" s="120"/>
      <c r="C162" s="130"/>
      <c r="D162" s="120"/>
      <c r="E162" s="120"/>
      <c r="F162" s="131"/>
      <c r="G162" s="131"/>
      <c r="H162" s="122" t="str">
        <f>IFERROR(VLOOKUP(B162,'[1]Debt Holding Consolidated'!$C$1:$N$65536,12,FALSE),"")</f>
        <v/>
      </c>
      <c r="J162" s="2"/>
    </row>
    <row r="163" spans="1:10" x14ac:dyDescent="0.2">
      <c r="A163" s="120"/>
      <c r="B163" s="120"/>
      <c r="C163" s="121" t="s">
        <v>169</v>
      </c>
      <c r="D163" s="120"/>
      <c r="E163" s="120"/>
      <c r="F163" s="131"/>
      <c r="G163" s="131"/>
      <c r="H163" s="122" t="str">
        <f>IFERROR(VLOOKUP(B163,'[1]Debt Holding Consolidated'!$C$1:$N$65536,12,FALSE),"")</f>
        <v/>
      </c>
      <c r="J163" s="2"/>
    </row>
    <row r="164" spans="1:10" x14ac:dyDescent="0.2">
      <c r="A164" s="120"/>
      <c r="B164" s="120"/>
      <c r="C164" s="121" t="s">
        <v>152</v>
      </c>
      <c r="D164" s="120"/>
      <c r="E164" s="120" t="s">
        <v>153</v>
      </c>
      <c r="F164" s="132" t="s">
        <v>155</v>
      </c>
      <c r="G164" s="129">
        <v>0</v>
      </c>
      <c r="H164" s="122" t="str">
        <f>IFERROR(VLOOKUP(B164,'[1]Debt Holding Consolidated'!$C$1:$N$65536,12,FALSE),"")</f>
        <v/>
      </c>
      <c r="J164" s="2"/>
    </row>
    <row r="165" spans="1:10" x14ac:dyDescent="0.2">
      <c r="A165" s="120"/>
      <c r="B165" s="120"/>
      <c r="C165" s="130"/>
      <c r="D165" s="120"/>
      <c r="E165" s="120"/>
      <c r="F165" s="131"/>
      <c r="G165" s="131"/>
      <c r="H165" s="122" t="str">
        <f>IFERROR(VLOOKUP(B165,'[1]Debt Holding Consolidated'!$C$1:$N$65536,12,FALSE),"")</f>
        <v/>
      </c>
      <c r="J165" s="2"/>
    </row>
    <row r="166" spans="1:10" x14ac:dyDescent="0.2">
      <c r="A166" s="120"/>
      <c r="B166" s="120"/>
      <c r="C166" s="121" t="s">
        <v>170</v>
      </c>
      <c r="D166" s="120"/>
      <c r="E166" s="120"/>
      <c r="F166" s="131"/>
      <c r="G166" s="131"/>
      <c r="H166" s="122" t="str">
        <f>IFERROR(VLOOKUP(B166,'[1]Debt Holding Consolidated'!$C$1:$N$65536,12,FALSE),"")</f>
        <v/>
      </c>
      <c r="J166" s="2"/>
    </row>
    <row r="167" spans="1:10" x14ac:dyDescent="0.2">
      <c r="A167" s="123">
        <v>1</v>
      </c>
      <c r="B167" s="124"/>
      <c r="C167" s="124" t="s">
        <v>171</v>
      </c>
      <c r="D167" s="124"/>
      <c r="E167" s="133"/>
      <c r="F167" s="126">
        <v>16212.573579499</v>
      </c>
      <c r="G167" s="127">
        <v>3.0427860000000001E-2</v>
      </c>
      <c r="H167" s="122">
        <v>6.62</v>
      </c>
      <c r="J167" s="2"/>
    </row>
    <row r="168" spans="1:10" x14ac:dyDescent="0.2">
      <c r="A168" s="120"/>
      <c r="B168" s="120"/>
      <c r="C168" s="121" t="s">
        <v>152</v>
      </c>
      <c r="D168" s="120"/>
      <c r="E168" s="120" t="s">
        <v>153</v>
      </c>
      <c r="F168" s="128">
        <v>16212.573579499</v>
      </c>
      <c r="G168" s="129">
        <v>3.0427860000000001E-2</v>
      </c>
      <c r="H168" s="122" t="str">
        <f>IFERROR(VLOOKUP(B168,'[1]Debt Holding Consolidated'!$C$1:$N$65536,12,FALSE),"")</f>
        <v/>
      </c>
      <c r="J168" s="2"/>
    </row>
    <row r="169" spans="1:10" x14ac:dyDescent="0.2">
      <c r="A169" s="120"/>
      <c r="B169" s="120"/>
      <c r="C169" s="130"/>
      <c r="D169" s="120"/>
      <c r="E169" s="120"/>
      <c r="F169" s="131"/>
      <c r="G169" s="131"/>
      <c r="H169" s="122" t="str">
        <f>IFERROR(VLOOKUP(B169,'[1]Debt Holding Consolidated'!$C$1:$N$65536,12,FALSE),"")</f>
        <v/>
      </c>
      <c r="J169" s="2"/>
    </row>
    <row r="170" spans="1:10" x14ac:dyDescent="0.2">
      <c r="A170" s="120"/>
      <c r="B170" s="120"/>
      <c r="C170" s="121" t="s">
        <v>172</v>
      </c>
      <c r="D170" s="120"/>
      <c r="E170" s="120"/>
      <c r="F170" s="128">
        <v>20518.103079499</v>
      </c>
      <c r="G170" s="129">
        <v>3.8508500000000001E-2</v>
      </c>
      <c r="H170" s="122" t="str">
        <f>IFERROR(VLOOKUP(B170,'[1]Debt Holding Consolidated'!$C$1:$N$65536,12,FALSE),"")</f>
        <v/>
      </c>
      <c r="J170" s="2"/>
    </row>
    <row r="171" spans="1:10" x14ac:dyDescent="0.2">
      <c r="A171" s="120"/>
      <c r="B171" s="120"/>
      <c r="C171" s="131"/>
      <c r="D171" s="120"/>
      <c r="E171" s="120"/>
      <c r="F171" s="120"/>
      <c r="G171" s="120"/>
      <c r="H171" s="122" t="str">
        <f>IFERROR(VLOOKUP(B171,'[1]Debt Holding Consolidated'!$C$1:$N$65536,12,FALSE),"")</f>
        <v/>
      </c>
      <c r="J171" s="2"/>
    </row>
    <row r="172" spans="1:10" x14ac:dyDescent="0.2">
      <c r="A172" s="120"/>
      <c r="B172" s="120"/>
      <c r="C172" s="121" t="s">
        <v>173</v>
      </c>
      <c r="D172" s="120"/>
      <c r="E172" s="120"/>
      <c r="F172" s="120"/>
      <c r="G172" s="120"/>
      <c r="H172" s="122" t="str">
        <f>IFERROR(VLOOKUP(B172,'[1]Debt Holding Consolidated'!$C$1:$N$65536,12,FALSE),"")</f>
        <v/>
      </c>
      <c r="J172" s="2"/>
    </row>
    <row r="173" spans="1:10" x14ac:dyDescent="0.2">
      <c r="A173" s="120"/>
      <c r="B173" s="120"/>
      <c r="C173" s="121" t="s">
        <v>174</v>
      </c>
      <c r="D173" s="120"/>
      <c r="E173" s="120"/>
      <c r="F173" s="120"/>
      <c r="G173" s="120"/>
      <c r="H173" s="122" t="str">
        <f>IFERROR(VLOOKUP(B173,'[1]Debt Holding Consolidated'!$C$1:$N$65536,12,FALSE),"")</f>
        <v/>
      </c>
      <c r="J173" s="2"/>
    </row>
    <row r="174" spans="1:10" x14ac:dyDescent="0.2">
      <c r="A174" s="120"/>
      <c r="B174" s="120"/>
      <c r="C174" s="121" t="s">
        <v>152</v>
      </c>
      <c r="D174" s="120"/>
      <c r="E174" s="120" t="s">
        <v>153</v>
      </c>
      <c r="F174" s="132" t="s">
        <v>155</v>
      </c>
      <c r="G174" s="129">
        <v>0</v>
      </c>
      <c r="H174" s="122" t="str">
        <f>IFERROR(VLOOKUP(B174,'[1]Debt Holding Consolidated'!$C$1:$N$65536,12,FALSE),"")</f>
        <v/>
      </c>
      <c r="J174" s="2"/>
    </row>
    <row r="175" spans="1:10" x14ac:dyDescent="0.2">
      <c r="A175" s="120"/>
      <c r="B175" s="120"/>
      <c r="C175" s="130"/>
      <c r="D175" s="120"/>
      <c r="E175" s="120"/>
      <c r="F175" s="131"/>
      <c r="G175" s="131"/>
      <c r="H175" s="122" t="str">
        <f>IFERROR(VLOOKUP(B175,'[1]Debt Holding Consolidated'!$C$1:$N$65536,12,FALSE),"")</f>
        <v/>
      </c>
      <c r="J175" s="2"/>
    </row>
    <row r="176" spans="1:10" x14ac:dyDescent="0.2">
      <c r="A176" s="120"/>
      <c r="B176" s="120"/>
      <c r="C176" s="121" t="s">
        <v>175</v>
      </c>
      <c r="D176" s="120"/>
      <c r="E176" s="120"/>
      <c r="F176" s="120"/>
      <c r="G176" s="120"/>
      <c r="H176" s="122" t="str">
        <f>IFERROR(VLOOKUP(B176,'[1]Debt Holding Consolidated'!$C$1:$N$65536,12,FALSE),"")</f>
        <v/>
      </c>
      <c r="J176" s="2"/>
    </row>
    <row r="177" spans="1:17" x14ac:dyDescent="0.2">
      <c r="A177" s="120"/>
      <c r="B177" s="120"/>
      <c r="C177" s="121" t="s">
        <v>176</v>
      </c>
      <c r="D177" s="120"/>
      <c r="E177" s="120"/>
      <c r="F177" s="120"/>
      <c r="G177" s="120"/>
      <c r="H177" s="122" t="str">
        <f>IFERROR(VLOOKUP(B177,'[1]Debt Holding Consolidated'!$C$1:$N$65536,12,FALSE),"")</f>
        <v/>
      </c>
      <c r="J177" s="2"/>
    </row>
    <row r="178" spans="1:17" x14ac:dyDescent="0.2">
      <c r="A178" s="120"/>
      <c r="B178" s="120"/>
      <c r="C178" s="121" t="s">
        <v>152</v>
      </c>
      <c r="D178" s="120"/>
      <c r="E178" s="120" t="s">
        <v>153</v>
      </c>
      <c r="F178" s="132" t="s">
        <v>155</v>
      </c>
      <c r="G178" s="129">
        <v>0</v>
      </c>
      <c r="H178" s="122" t="str">
        <f>IFERROR(VLOOKUP(B178,'[1]Debt Holding Consolidated'!$C$1:$N$65536,12,FALSE),"")</f>
        <v/>
      </c>
      <c r="J178" s="2"/>
    </row>
    <row r="179" spans="1:17" x14ac:dyDescent="0.2">
      <c r="A179" s="120"/>
      <c r="B179" s="120"/>
      <c r="C179" s="130"/>
      <c r="D179" s="120"/>
      <c r="E179" s="120"/>
      <c r="F179" s="131"/>
      <c r="G179" s="131"/>
      <c r="H179" s="122" t="str">
        <f>IFERROR(VLOOKUP(B179,'[1]Debt Holding Consolidated'!$C$1:$N$65536,12,FALSE),"")</f>
        <v/>
      </c>
      <c r="J179" s="2"/>
    </row>
    <row r="180" spans="1:17" x14ac:dyDescent="0.2">
      <c r="A180" s="120"/>
      <c r="B180" s="120"/>
      <c r="C180" s="121" t="s">
        <v>177</v>
      </c>
      <c r="D180" s="120"/>
      <c r="E180" s="120"/>
      <c r="F180" s="131"/>
      <c r="G180" s="131"/>
      <c r="H180" s="122" t="str">
        <f>IFERROR(VLOOKUP(B180,'[1]Debt Holding Consolidated'!$C$1:$N$65536,12,FALSE),"")</f>
        <v/>
      </c>
      <c r="J180" s="2"/>
    </row>
    <row r="181" spans="1:17" x14ac:dyDescent="0.2">
      <c r="A181" s="120"/>
      <c r="B181" s="120"/>
      <c r="C181" s="121" t="s">
        <v>152</v>
      </c>
      <c r="D181" s="120"/>
      <c r="E181" s="120" t="s">
        <v>153</v>
      </c>
      <c r="F181" s="132" t="s">
        <v>155</v>
      </c>
      <c r="G181" s="129">
        <v>0</v>
      </c>
      <c r="H181" s="122" t="str">
        <f>IFERROR(VLOOKUP(B181,'[1]Debt Holding Consolidated'!$C$1:$N$65536,12,FALSE),"")</f>
        <v/>
      </c>
      <c r="J181" s="2"/>
    </row>
    <row r="182" spans="1:17" x14ac:dyDescent="0.2">
      <c r="A182" s="120"/>
      <c r="B182" s="120"/>
      <c r="C182" s="130"/>
      <c r="D182" s="120"/>
      <c r="E182" s="120"/>
      <c r="F182" s="131"/>
      <c r="G182" s="131"/>
      <c r="H182" s="122" t="str">
        <f>IFERROR(VLOOKUP(B182,'[1]Debt Holding Consolidated'!$C$1:$N$65536,12,FALSE),"")</f>
        <v/>
      </c>
      <c r="J182" s="2"/>
    </row>
    <row r="183" spans="1:17" x14ac:dyDescent="0.2">
      <c r="A183" s="133"/>
      <c r="B183" s="124"/>
      <c r="C183" s="160" t="s">
        <v>942</v>
      </c>
      <c r="D183" s="124"/>
      <c r="E183" s="133"/>
      <c r="F183" s="126">
        <v>2381.5447909700001</v>
      </c>
      <c r="G183" s="127">
        <v>4.4697000000000001E-3</v>
      </c>
      <c r="H183" s="122" t="str">
        <f>IFERROR(VLOOKUP(B183,'[1]Debt Holding Consolidated'!$C$1:$N$65536,12,FALSE),"")</f>
        <v/>
      </c>
      <c r="J183" s="2"/>
    </row>
    <row r="184" spans="1:17" x14ac:dyDescent="0.2">
      <c r="A184" s="130"/>
      <c r="B184" s="130"/>
      <c r="C184" s="121" t="s">
        <v>179</v>
      </c>
      <c r="D184" s="131"/>
      <c r="E184" s="131"/>
      <c r="F184" s="128">
        <f>F183+F170+F151+F95</f>
        <v>532819.96472406911</v>
      </c>
      <c r="G184" s="134">
        <f>G183+G170+G151+G95</f>
        <v>1.0000000065670926</v>
      </c>
      <c r="H184" s="122" t="str">
        <f>IFERROR(VLOOKUP(B184,'[1]Debt Holding Consolidated'!$C$1:$N$65536,12,FALSE),"")</f>
        <v/>
      </c>
      <c r="J184" s="2"/>
    </row>
    <row r="185" spans="1:17" x14ac:dyDescent="0.2">
      <c r="A185" s="135"/>
      <c r="B185" s="135"/>
      <c r="C185" s="135"/>
      <c r="D185" s="136"/>
      <c r="E185" s="136"/>
      <c r="F185" s="136"/>
      <c r="G185" s="136"/>
      <c r="J185" s="2"/>
    </row>
    <row r="186" spans="1:17" x14ac:dyDescent="0.2">
      <c r="A186" s="137"/>
      <c r="B186" s="226" t="s">
        <v>863</v>
      </c>
      <c r="C186" s="226"/>
      <c r="D186" s="226"/>
      <c r="E186" s="226"/>
      <c r="F186" s="226"/>
      <c r="G186" s="226"/>
      <c r="H186" s="226"/>
      <c r="J186" s="2"/>
    </row>
    <row r="187" spans="1:17" x14ac:dyDescent="0.2">
      <c r="A187" s="137"/>
      <c r="B187" s="226" t="s">
        <v>864</v>
      </c>
      <c r="C187" s="226"/>
      <c r="D187" s="226"/>
      <c r="E187" s="226"/>
      <c r="F187" s="226"/>
      <c r="G187" s="226"/>
      <c r="H187" s="226"/>
      <c r="J187" s="2"/>
    </row>
    <row r="188" spans="1:17" x14ac:dyDescent="0.2">
      <c r="A188" s="137"/>
      <c r="B188" s="226" t="s">
        <v>865</v>
      </c>
      <c r="C188" s="226"/>
      <c r="D188" s="226"/>
      <c r="E188" s="226"/>
      <c r="F188" s="226"/>
      <c r="G188" s="226"/>
      <c r="H188" s="226"/>
      <c r="J188" s="2"/>
    </row>
    <row r="189" spans="1:17" s="5" customFormat="1" ht="15" x14ac:dyDescent="0.25">
      <c r="A189" s="139"/>
      <c r="B189" s="227" t="s">
        <v>866</v>
      </c>
      <c r="C189" s="227"/>
      <c r="D189" s="227"/>
      <c r="E189" s="227"/>
      <c r="F189" s="227"/>
      <c r="G189" s="227"/>
      <c r="H189" s="227"/>
      <c r="I189"/>
      <c r="J189" s="2"/>
      <c r="K189"/>
      <c r="L189"/>
      <c r="M189"/>
      <c r="N189"/>
      <c r="O189"/>
      <c r="P189"/>
      <c r="Q189"/>
    </row>
    <row r="190" spans="1:17" x14ac:dyDescent="0.2">
      <c r="A190" s="137"/>
      <c r="B190" s="226" t="s">
        <v>867</v>
      </c>
      <c r="C190" s="226"/>
      <c r="D190" s="226"/>
      <c r="E190" s="226"/>
      <c r="F190" s="226"/>
      <c r="G190" s="226"/>
      <c r="H190" s="226"/>
      <c r="J190" s="2"/>
    </row>
    <row r="191" spans="1:17" x14ac:dyDescent="0.2">
      <c r="A191" s="140"/>
      <c r="B191" s="140"/>
      <c r="C191" s="140"/>
      <c r="D191" s="141"/>
      <c r="E191" s="141"/>
      <c r="F191" s="141"/>
      <c r="G191" s="141"/>
      <c r="J191" s="2"/>
    </row>
    <row r="192" spans="1:17" x14ac:dyDescent="0.2">
      <c r="A192" s="140"/>
      <c r="B192" s="228" t="s">
        <v>180</v>
      </c>
      <c r="C192" s="229"/>
      <c r="D192" s="230"/>
      <c r="E192" s="142"/>
      <c r="F192" s="141"/>
      <c r="G192" s="141"/>
      <c r="J192" s="2"/>
    </row>
    <row r="193" spans="1:11" x14ac:dyDescent="0.2">
      <c r="A193" s="140"/>
      <c r="B193" s="223" t="s">
        <v>181</v>
      </c>
      <c r="C193" s="224"/>
      <c r="D193" s="143" t="s">
        <v>943</v>
      </c>
      <c r="E193" s="142"/>
      <c r="F193" s="141"/>
      <c r="G193" s="141"/>
      <c r="J193" s="2"/>
    </row>
    <row r="194" spans="1:11" ht="12.75" customHeight="1" x14ac:dyDescent="0.2">
      <c r="A194" s="137"/>
      <c r="B194" s="221" t="s">
        <v>868</v>
      </c>
      <c r="C194" s="222"/>
      <c r="D194" s="143" t="str">
        <f>"Rs. "&amp;TEXT(F78+F80,"0.00")&amp;" lacs/ #"</f>
        <v>Rs. 1.31 lacs/ #</v>
      </c>
      <c r="E194" s="161"/>
      <c r="F194" s="162"/>
      <c r="G194" s="162"/>
      <c r="J194" s="2"/>
      <c r="K194" s="2"/>
    </row>
    <row r="195" spans="1:11" x14ac:dyDescent="0.2">
      <c r="A195" s="140"/>
      <c r="B195" s="223" t="s">
        <v>184</v>
      </c>
      <c r="C195" s="224"/>
      <c r="D195" s="131" t="s">
        <v>153</v>
      </c>
      <c r="E195" s="142"/>
      <c r="F195" s="141"/>
      <c r="G195" s="141"/>
      <c r="J195" s="2"/>
    </row>
    <row r="196" spans="1:11" x14ac:dyDescent="0.2">
      <c r="A196" s="144"/>
      <c r="B196" s="145" t="s">
        <v>153</v>
      </c>
      <c r="C196" s="145" t="s">
        <v>870</v>
      </c>
      <c r="D196" s="145" t="s">
        <v>185</v>
      </c>
      <c r="E196" s="144"/>
      <c r="F196" s="144"/>
      <c r="G196" s="144"/>
      <c r="H196" s="144"/>
      <c r="J196" s="2"/>
    </row>
    <row r="197" spans="1:11" x14ac:dyDescent="0.2">
      <c r="A197" s="146"/>
      <c r="B197" s="147" t="s">
        <v>186</v>
      </c>
      <c r="C197" s="148">
        <v>45504</v>
      </c>
      <c r="D197" s="149">
        <v>45535</v>
      </c>
      <c r="E197" s="146"/>
      <c r="F197" s="146"/>
      <c r="G197" s="146"/>
      <c r="J197" s="2"/>
    </row>
    <row r="198" spans="1:11" x14ac:dyDescent="0.2">
      <c r="A198" s="146"/>
      <c r="B198" s="124" t="s">
        <v>187</v>
      </c>
      <c r="C198" s="150">
        <v>180.13399999999999</v>
      </c>
      <c r="D198" s="150">
        <v>182.77199999999999</v>
      </c>
      <c r="E198" s="146"/>
      <c r="F198" s="151"/>
      <c r="G198" s="152"/>
      <c r="J198" s="2"/>
    </row>
    <row r="199" spans="1:11" ht="25.5" x14ac:dyDescent="0.2">
      <c r="A199" s="146"/>
      <c r="B199" s="160" t="s">
        <v>930</v>
      </c>
      <c r="C199" s="150">
        <v>46.046700000000001</v>
      </c>
      <c r="D199" s="150">
        <v>46.362099999999998</v>
      </c>
      <c r="E199" s="146"/>
      <c r="F199" s="151"/>
      <c r="G199" s="152"/>
      <c r="J199" s="2"/>
    </row>
    <row r="200" spans="1:11" x14ac:dyDescent="0.2">
      <c r="A200" s="146"/>
      <c r="B200" s="124" t="s">
        <v>188</v>
      </c>
      <c r="C200" s="150">
        <v>158.8458</v>
      </c>
      <c r="D200" s="150">
        <v>161.01599999999999</v>
      </c>
      <c r="E200" s="146"/>
      <c r="F200" s="151"/>
      <c r="G200" s="152"/>
      <c r="J200" s="2"/>
    </row>
    <row r="201" spans="1:11" ht="25.5" x14ac:dyDescent="0.2">
      <c r="A201" s="146"/>
      <c r="B201" s="160" t="s">
        <v>932</v>
      </c>
      <c r="C201" s="150">
        <v>30.507000000000001</v>
      </c>
      <c r="D201" s="150">
        <v>30.667400000000001</v>
      </c>
      <c r="E201" s="146"/>
      <c r="F201" s="151"/>
      <c r="G201" s="152"/>
      <c r="J201" s="2"/>
    </row>
    <row r="202" spans="1:11" x14ac:dyDescent="0.2">
      <c r="A202" s="146"/>
      <c r="B202" s="146"/>
      <c r="C202" s="146"/>
      <c r="D202" s="146"/>
      <c r="E202" s="146"/>
      <c r="F202" s="146"/>
      <c r="G202" s="146"/>
      <c r="J202" s="2"/>
    </row>
    <row r="203" spans="1:11" x14ac:dyDescent="0.2">
      <c r="A203" s="146"/>
      <c r="B203" s="223" t="s">
        <v>869</v>
      </c>
      <c r="C203" s="224"/>
      <c r="D203" s="121" t="s">
        <v>153</v>
      </c>
      <c r="E203" s="146"/>
      <c r="F203" s="146"/>
      <c r="G203" s="146"/>
      <c r="J203" s="2"/>
    </row>
    <row r="204" spans="1:11" x14ac:dyDescent="0.2">
      <c r="A204" s="146"/>
      <c r="B204" s="169" t="s">
        <v>186</v>
      </c>
      <c r="C204" s="170" t="s">
        <v>643</v>
      </c>
      <c r="D204" s="170" t="s">
        <v>644</v>
      </c>
      <c r="E204" s="146"/>
      <c r="F204" s="146"/>
      <c r="G204" s="146"/>
      <c r="J204" s="2"/>
    </row>
    <row r="205" spans="1:11" ht="25.5" x14ac:dyDescent="0.2">
      <c r="A205" s="146"/>
      <c r="B205" s="160" t="s">
        <v>930</v>
      </c>
      <c r="C205" s="171">
        <v>0.35</v>
      </c>
      <c r="D205" s="171">
        <v>0.35</v>
      </c>
      <c r="E205" s="146"/>
      <c r="F205" s="151"/>
      <c r="G205" s="152"/>
      <c r="J205" s="2"/>
    </row>
    <row r="206" spans="1:11" ht="25.5" x14ac:dyDescent="0.2">
      <c r="A206" s="146"/>
      <c r="B206" s="160" t="s">
        <v>932</v>
      </c>
      <c r="C206" s="171">
        <v>0.25</v>
      </c>
      <c r="D206" s="171">
        <v>0.25</v>
      </c>
      <c r="E206" s="146"/>
      <c r="F206" s="151"/>
      <c r="G206" s="152"/>
      <c r="J206" s="2"/>
    </row>
    <row r="207" spans="1:11" x14ac:dyDescent="0.2">
      <c r="A207" s="146"/>
      <c r="B207" s="172"/>
      <c r="C207" s="172"/>
      <c r="D207" s="173"/>
      <c r="E207" s="146"/>
      <c r="F207" s="151"/>
      <c r="G207" s="152"/>
      <c r="J207" s="2"/>
    </row>
    <row r="208" spans="1:11" ht="24.75" customHeight="1" x14ac:dyDescent="0.2">
      <c r="A208" s="144"/>
      <c r="B208" s="221" t="s">
        <v>189</v>
      </c>
      <c r="C208" s="222"/>
      <c r="D208" s="143" t="s">
        <v>182</v>
      </c>
      <c r="E208" s="153"/>
      <c r="F208" s="144"/>
      <c r="G208" s="144"/>
      <c r="J208" s="2"/>
      <c r="K208" s="2"/>
    </row>
    <row r="209" spans="1:16" ht="24" customHeight="1" x14ac:dyDescent="0.2">
      <c r="A209" s="144"/>
      <c r="B209" s="221" t="s">
        <v>190</v>
      </c>
      <c r="C209" s="222"/>
      <c r="D209" s="143" t="s">
        <v>182</v>
      </c>
      <c r="E209" s="153"/>
      <c r="F209" s="144"/>
      <c r="G209" s="144"/>
      <c r="J209" s="2"/>
      <c r="K209" s="2"/>
    </row>
    <row r="210" spans="1:16" x14ac:dyDescent="0.2">
      <c r="A210" s="144"/>
      <c r="B210" s="221" t="s">
        <v>191</v>
      </c>
      <c r="C210" s="222"/>
      <c r="D210" s="143" t="s">
        <v>182</v>
      </c>
      <c r="E210" s="153"/>
      <c r="F210" s="144"/>
      <c r="G210" s="144"/>
      <c r="J210" s="2"/>
      <c r="K210" s="2"/>
    </row>
    <row r="211" spans="1:16" x14ac:dyDescent="0.2">
      <c r="A211" s="144"/>
      <c r="B211" s="221" t="s">
        <v>192</v>
      </c>
      <c r="C211" s="222"/>
      <c r="D211" s="154">
        <v>0.74001326815853563</v>
      </c>
      <c r="E211" s="144"/>
      <c r="F211" s="138"/>
      <c r="G211" s="155"/>
      <c r="J211" s="2"/>
      <c r="K211" s="2"/>
    </row>
    <row r="212" spans="1:16" x14ac:dyDescent="0.2">
      <c r="J212" s="2"/>
      <c r="K212" s="2"/>
    </row>
    <row r="213" spans="1:16" s="18" customFormat="1" x14ac:dyDescent="0.2">
      <c r="B213" s="174" t="s">
        <v>1062</v>
      </c>
      <c r="C213" s="19"/>
      <c r="D213" s="19"/>
      <c r="E213" s="19"/>
      <c r="F213" s="19"/>
      <c r="G213" s="19"/>
      <c r="I213"/>
      <c r="J213" s="2"/>
      <c r="K213" s="2"/>
      <c r="L213"/>
      <c r="M213"/>
      <c r="N213"/>
      <c r="O213"/>
      <c r="P213"/>
    </row>
    <row r="214" spans="1:16" s="18" customFormat="1" ht="38.25" x14ac:dyDescent="0.2">
      <c r="B214" s="175" t="s">
        <v>944</v>
      </c>
      <c r="C214" s="175" t="s">
        <v>945</v>
      </c>
      <c r="D214" s="175" t="s">
        <v>946</v>
      </c>
      <c r="E214" s="175" t="s">
        <v>947</v>
      </c>
      <c r="F214" s="175" t="s">
        <v>948</v>
      </c>
      <c r="G214" s="19"/>
      <c r="I214"/>
      <c r="J214" s="2"/>
      <c r="K214" s="2"/>
      <c r="L214"/>
      <c r="M214"/>
      <c r="N214"/>
      <c r="O214"/>
      <c r="P214"/>
    </row>
    <row r="215" spans="1:16" s="18" customFormat="1" ht="25.5" x14ac:dyDescent="0.2">
      <c r="B215" s="176" t="s">
        <v>949</v>
      </c>
      <c r="C215" s="177" t="s">
        <v>950</v>
      </c>
      <c r="D215" s="178">
        <v>0</v>
      </c>
      <c r="E215" s="20">
        <v>0</v>
      </c>
      <c r="F215" s="179">
        <v>1000</v>
      </c>
      <c r="G215" s="19"/>
      <c r="I215"/>
      <c r="J215" s="2"/>
      <c r="K215" s="2"/>
      <c r="L215"/>
      <c r="M215"/>
      <c r="N215"/>
      <c r="O215"/>
      <c r="P215"/>
    </row>
    <row r="216" spans="1:16" s="18" customFormat="1" x14ac:dyDescent="0.2">
      <c r="B216" s="174"/>
      <c r="C216" s="19"/>
      <c r="D216" s="19"/>
      <c r="E216" s="19"/>
      <c r="F216" s="19"/>
      <c r="G216" s="19"/>
      <c r="I216"/>
      <c r="J216" s="2"/>
      <c r="K216" s="2"/>
      <c r="L216"/>
      <c r="M216"/>
      <c r="N216"/>
      <c r="O216"/>
      <c r="P216"/>
    </row>
    <row r="217" spans="1:16" s="18" customFormat="1" x14ac:dyDescent="0.2">
      <c r="B217" s="180" t="s">
        <v>951</v>
      </c>
      <c r="C217" s="180" t="s">
        <v>952</v>
      </c>
      <c r="D217" s="234" t="s">
        <v>953</v>
      </c>
      <c r="E217" s="235"/>
      <c r="F217" s="236" t="s">
        <v>954</v>
      </c>
      <c r="G217" s="236"/>
      <c r="I217"/>
      <c r="J217" s="2"/>
      <c r="K217" s="2"/>
      <c r="L217"/>
      <c r="M217"/>
      <c r="N217"/>
      <c r="O217"/>
      <c r="P217"/>
    </row>
    <row r="218" spans="1:16" s="18" customFormat="1" ht="25.5" x14ac:dyDescent="0.2">
      <c r="B218" s="181" t="s">
        <v>955</v>
      </c>
      <c r="C218" s="182" t="s">
        <v>956</v>
      </c>
      <c r="D218" s="237">
        <v>0</v>
      </c>
      <c r="E218" s="238"/>
      <c r="F218" s="237">
        <v>0</v>
      </c>
      <c r="G218" s="238"/>
      <c r="I218"/>
      <c r="J218" s="2"/>
      <c r="K218" s="2"/>
      <c r="L218"/>
      <c r="M218"/>
      <c r="N218"/>
      <c r="O218"/>
      <c r="P218"/>
    </row>
    <row r="219" spans="1:16" s="18" customFormat="1" x14ac:dyDescent="0.2">
      <c r="B219" s="239" t="s">
        <v>957</v>
      </c>
      <c r="C219" s="240"/>
      <c r="D219" s="240"/>
      <c r="E219" s="240"/>
      <c r="F219" s="240"/>
      <c r="G219" s="241"/>
      <c r="I219"/>
      <c r="J219" s="2"/>
      <c r="K219" s="2"/>
      <c r="L219"/>
      <c r="M219"/>
      <c r="N219"/>
      <c r="O219"/>
      <c r="P219"/>
    </row>
    <row r="220" spans="1:16" s="18" customFormat="1" x14ac:dyDescent="0.2">
      <c r="B220" s="236" t="s">
        <v>951</v>
      </c>
      <c r="C220" s="236" t="s">
        <v>952</v>
      </c>
      <c r="D220" s="239" t="s">
        <v>958</v>
      </c>
      <c r="E220" s="240"/>
      <c r="F220" s="241"/>
      <c r="G220" s="181"/>
      <c r="I220"/>
      <c r="J220" s="2"/>
      <c r="K220" s="2"/>
      <c r="L220"/>
      <c r="M220"/>
      <c r="N220"/>
      <c r="O220"/>
      <c r="P220"/>
    </row>
    <row r="221" spans="1:16" s="18" customFormat="1" ht="38.25" x14ac:dyDescent="0.2">
      <c r="B221" s="236"/>
      <c r="C221" s="236"/>
      <c r="D221" s="183" t="s">
        <v>959</v>
      </c>
      <c r="E221" s="183" t="s">
        <v>960</v>
      </c>
      <c r="F221" s="183" t="s">
        <v>961</v>
      </c>
      <c r="G221" s="183" t="s">
        <v>1063</v>
      </c>
      <c r="H221" s="184"/>
      <c r="I221"/>
      <c r="J221" s="2"/>
      <c r="K221" s="2"/>
      <c r="L221"/>
      <c r="M221"/>
      <c r="N221"/>
      <c r="O221"/>
      <c r="P221"/>
    </row>
    <row r="222" spans="1:16" s="18" customFormat="1" ht="25.5" x14ac:dyDescent="0.2">
      <c r="B222" s="185" t="s">
        <v>955</v>
      </c>
      <c r="C222" s="182" t="s">
        <v>956</v>
      </c>
      <c r="D222" s="186">
        <v>700</v>
      </c>
      <c r="E222" s="186">
        <v>24.098357999999998</v>
      </c>
      <c r="F222" s="187">
        <v>724.09835799999996</v>
      </c>
      <c r="G222" s="188">
        <f>F222/F184</f>
        <v>1.3589925414581414E-3</v>
      </c>
      <c r="H222" s="189"/>
      <c r="I222"/>
      <c r="J222" s="2"/>
      <c r="K222" s="2"/>
      <c r="L222"/>
      <c r="M222"/>
      <c r="N222"/>
      <c r="O222"/>
      <c r="P222"/>
    </row>
    <row r="223" spans="1:16" s="18" customFormat="1" ht="29.25" customHeight="1" x14ac:dyDescent="0.2">
      <c r="B223" s="242" t="s">
        <v>962</v>
      </c>
      <c r="C223" s="243"/>
      <c r="D223" s="243"/>
      <c r="E223" s="243"/>
      <c r="F223" s="243"/>
      <c r="G223" s="244"/>
      <c r="I223"/>
      <c r="J223" s="2"/>
      <c r="K223" s="2"/>
      <c r="L223"/>
      <c r="M223"/>
      <c r="N223"/>
      <c r="O223"/>
      <c r="P223"/>
    </row>
    <row r="224" spans="1:16" s="18" customFormat="1" x14ac:dyDescent="0.2">
      <c r="I224"/>
      <c r="J224" s="2"/>
      <c r="K224" s="2"/>
      <c r="L224"/>
      <c r="M224"/>
      <c r="N224"/>
      <c r="O224"/>
      <c r="P224"/>
    </row>
    <row r="225" spans="2:16" s="18" customFormat="1" x14ac:dyDescent="0.2">
      <c r="B225" s="245" t="s">
        <v>963</v>
      </c>
      <c r="C225" s="246"/>
      <c r="D225" s="247"/>
      <c r="I225"/>
      <c r="J225" s="2"/>
      <c r="K225" s="2"/>
      <c r="L225"/>
      <c r="M225"/>
      <c r="N225"/>
      <c r="O225"/>
      <c r="P225"/>
    </row>
    <row r="226" spans="2:16" s="18" customFormat="1" ht="38.25" x14ac:dyDescent="0.2">
      <c r="B226" s="248" t="s">
        <v>964</v>
      </c>
      <c r="C226" s="248"/>
      <c r="D226" s="190" t="s">
        <v>543</v>
      </c>
      <c r="I226"/>
      <c r="J226" s="2"/>
      <c r="K226" s="2"/>
      <c r="L226"/>
      <c r="M226"/>
      <c r="N226"/>
      <c r="O226"/>
      <c r="P226"/>
    </row>
    <row r="227" spans="2:16" s="18" customFormat="1" x14ac:dyDescent="0.2">
      <c r="B227" s="248" t="s">
        <v>965</v>
      </c>
      <c r="C227" s="248"/>
      <c r="D227" s="190"/>
      <c r="I227"/>
      <c r="J227" s="2"/>
      <c r="K227" s="2"/>
      <c r="L227"/>
      <c r="M227"/>
      <c r="N227"/>
      <c r="O227"/>
      <c r="P227"/>
    </row>
    <row r="228" spans="2:16" s="18" customFormat="1" x14ac:dyDescent="0.2">
      <c r="B228" s="249"/>
      <c r="C228" s="250"/>
      <c r="D228" s="191"/>
      <c r="I228"/>
      <c r="J228" s="2"/>
      <c r="K228" s="2"/>
      <c r="L228"/>
      <c r="M228"/>
      <c r="N228"/>
      <c r="O228"/>
      <c r="P228"/>
    </row>
    <row r="229" spans="2:16" s="18" customFormat="1" x14ac:dyDescent="0.2">
      <c r="B229" s="248" t="s">
        <v>966</v>
      </c>
      <c r="C229" s="248"/>
      <c r="D229" s="192">
        <v>7.2557091568975487</v>
      </c>
      <c r="I229"/>
      <c r="J229" s="2"/>
      <c r="K229" s="2"/>
      <c r="L229"/>
      <c r="M229"/>
      <c r="N229"/>
      <c r="O229"/>
      <c r="P229"/>
    </row>
    <row r="230" spans="2:16" s="18" customFormat="1" x14ac:dyDescent="0.2">
      <c r="B230" s="249"/>
      <c r="C230" s="250"/>
      <c r="D230" s="193"/>
      <c r="I230"/>
      <c r="J230" s="2"/>
      <c r="K230" s="2"/>
      <c r="L230"/>
      <c r="M230"/>
      <c r="N230"/>
      <c r="O230"/>
      <c r="P230"/>
    </row>
    <row r="231" spans="2:16" s="18" customFormat="1" x14ac:dyDescent="0.2">
      <c r="B231" s="248" t="s">
        <v>967</v>
      </c>
      <c r="C231" s="248"/>
      <c r="D231" s="192">
        <v>4.5800101944645277</v>
      </c>
      <c r="I231"/>
      <c r="J231" s="2"/>
      <c r="K231" s="2"/>
      <c r="L231"/>
      <c r="M231"/>
      <c r="N231"/>
      <c r="O231"/>
      <c r="P231"/>
    </row>
    <row r="232" spans="2:16" s="18" customFormat="1" x14ac:dyDescent="0.2">
      <c r="B232" s="248" t="s">
        <v>968</v>
      </c>
      <c r="C232" s="248"/>
      <c r="D232" s="192">
        <v>6.7758275309618101</v>
      </c>
      <c r="I232"/>
      <c r="J232" s="2"/>
      <c r="K232" s="2"/>
      <c r="L232"/>
      <c r="M232"/>
      <c r="N232"/>
      <c r="O232"/>
      <c r="P232"/>
    </row>
    <row r="233" spans="2:16" s="18" customFormat="1" x14ac:dyDescent="0.2">
      <c r="B233" s="249"/>
      <c r="C233" s="250"/>
      <c r="D233" s="191"/>
      <c r="I233"/>
      <c r="J233" s="2"/>
      <c r="K233" s="2"/>
      <c r="L233"/>
      <c r="M233"/>
      <c r="N233"/>
      <c r="O233"/>
      <c r="P233"/>
    </row>
    <row r="234" spans="2:16" s="18" customFormat="1" x14ac:dyDescent="0.2">
      <c r="B234" s="248" t="s">
        <v>969</v>
      </c>
      <c r="C234" s="248"/>
      <c r="D234" s="194" t="s">
        <v>1064</v>
      </c>
      <c r="I234"/>
      <c r="J234" s="2"/>
      <c r="K234" s="2"/>
      <c r="L234"/>
      <c r="M234"/>
      <c r="N234"/>
      <c r="O234"/>
      <c r="P234"/>
    </row>
    <row r="235" spans="2:16" s="18" customFormat="1" x14ac:dyDescent="0.2">
      <c r="B235" s="249" t="s">
        <v>970</v>
      </c>
      <c r="C235" s="251"/>
      <c r="D235" s="250"/>
      <c r="I235"/>
      <c r="J235" s="2"/>
      <c r="K235" s="2"/>
      <c r="L235"/>
      <c r="M235"/>
      <c r="N235"/>
      <c r="O235"/>
      <c r="P235"/>
    </row>
    <row r="236" spans="2:16" x14ac:dyDescent="0.2">
      <c r="J236" s="2"/>
      <c r="K236" s="2"/>
    </row>
    <row r="237" spans="2:16" x14ac:dyDescent="0.2">
      <c r="J237" s="2"/>
      <c r="K237" s="8"/>
    </row>
    <row r="238" spans="2:16" x14ac:dyDescent="0.2">
      <c r="J238" s="2"/>
      <c r="K238" s="8"/>
    </row>
    <row r="239" spans="2:16" x14ac:dyDescent="0.2">
      <c r="J239" s="2"/>
    </row>
    <row r="240" spans="2:16" x14ac:dyDescent="0.2">
      <c r="J240" s="2"/>
    </row>
    <row r="241" spans="10:10" x14ac:dyDescent="0.2">
      <c r="J241" s="2"/>
    </row>
    <row r="242" spans="10:10" x14ac:dyDescent="0.2">
      <c r="J242" s="2"/>
    </row>
    <row r="243" spans="10:10" x14ac:dyDescent="0.2">
      <c r="J243" s="2"/>
    </row>
  </sheetData>
  <mergeCells count="37">
    <mergeCell ref="B231:C231"/>
    <mergeCell ref="B232:C232"/>
    <mergeCell ref="B233:C233"/>
    <mergeCell ref="B234:C234"/>
    <mergeCell ref="B235:D235"/>
    <mergeCell ref="B226:C226"/>
    <mergeCell ref="B227:C227"/>
    <mergeCell ref="B228:C228"/>
    <mergeCell ref="B229:C229"/>
    <mergeCell ref="B230:C230"/>
    <mergeCell ref="B220:B221"/>
    <mergeCell ref="C220:C221"/>
    <mergeCell ref="D220:F220"/>
    <mergeCell ref="B223:G223"/>
    <mergeCell ref="B225:D225"/>
    <mergeCell ref="D217:E217"/>
    <mergeCell ref="F217:G217"/>
    <mergeCell ref="D218:E218"/>
    <mergeCell ref="F218:G218"/>
    <mergeCell ref="B219:G219"/>
    <mergeCell ref="B193:C193"/>
    <mergeCell ref="A1:H1"/>
    <mergeCell ref="A2:H2"/>
    <mergeCell ref="A3:H3"/>
    <mergeCell ref="B186:H186"/>
    <mergeCell ref="B187:H187"/>
    <mergeCell ref="B188:H188"/>
    <mergeCell ref="B189:H189"/>
    <mergeCell ref="B190:H190"/>
    <mergeCell ref="B192:D192"/>
    <mergeCell ref="B211:C211"/>
    <mergeCell ref="B208:C208"/>
    <mergeCell ref="B194:C194"/>
    <mergeCell ref="B195:C195"/>
    <mergeCell ref="B203:C203"/>
    <mergeCell ref="B209:C209"/>
    <mergeCell ref="B210:C210"/>
  </mergeCells>
  <hyperlinks>
    <hyperlink ref="I1" location="Index!B14" display="Index" xr:uid="{33929DAE-6130-4993-A0C1-BA03628EC78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4A416-03D4-44F7-835C-33BF84049D75}">
  <sheetPr>
    <outlinePr summaryBelow="0" summaryRight="0"/>
  </sheetPr>
  <dimension ref="A1:Q174"/>
  <sheetViews>
    <sheetView showGridLines="0" workbookViewId="0">
      <selection sqref="A1:H1"/>
    </sheetView>
  </sheetViews>
  <sheetFormatPr defaultRowHeight="12.75" x14ac:dyDescent="0.2"/>
  <cols>
    <col min="1" max="1" width="6.85546875" customWidth="1"/>
    <col min="2" max="2" width="20.5703125" customWidth="1"/>
    <col min="3" max="3" width="45.42578125" bestFit="1" customWidth="1"/>
    <col min="4" max="4" width="17.85546875" customWidth="1"/>
    <col min="5" max="6" width="19.140625" customWidth="1"/>
    <col min="7" max="7" width="16.42578125" customWidth="1"/>
    <col min="9" max="9" width="12.14062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645</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851</v>
      </c>
      <c r="J4" s="2"/>
    </row>
    <row r="5" spans="1:10" x14ac:dyDescent="0.2">
      <c r="A5" s="120"/>
      <c r="B5" s="120"/>
      <c r="C5" s="121" t="s">
        <v>9</v>
      </c>
      <c r="D5" s="120"/>
      <c r="E5" s="120"/>
      <c r="F5" s="120"/>
      <c r="G5" s="120"/>
      <c r="H5" s="122" t="str">
        <f>IFERROR(VLOOKUP(B5,'[1]Debt Holding Consolidated'!$C$1:$N$65536,12,FALSE),"")</f>
        <v/>
      </c>
      <c r="J5" s="2"/>
    </row>
    <row r="6" spans="1:10" x14ac:dyDescent="0.2">
      <c r="A6" s="120"/>
      <c r="B6" s="120"/>
      <c r="C6" s="121" t="s">
        <v>10</v>
      </c>
      <c r="D6" s="120"/>
      <c r="E6" s="120"/>
      <c r="F6" s="120"/>
      <c r="G6" s="120"/>
      <c r="H6" s="122" t="str">
        <f>IFERROR(VLOOKUP(B6,'[1]Debt Holding Consolidated'!$C$1:$N$65536,12,FALSE),"")</f>
        <v/>
      </c>
      <c r="J6" s="2"/>
    </row>
    <row r="7" spans="1:10" x14ac:dyDescent="0.2">
      <c r="A7" s="123">
        <v>1</v>
      </c>
      <c r="B7" s="124" t="s">
        <v>114</v>
      </c>
      <c r="C7" s="124" t="s">
        <v>115</v>
      </c>
      <c r="D7" s="124" t="s">
        <v>16</v>
      </c>
      <c r="E7" s="125">
        <v>285600</v>
      </c>
      <c r="F7" s="126">
        <v>1309.4760000000001</v>
      </c>
      <c r="G7" s="127">
        <v>8.2726869999999994E-2</v>
      </c>
      <c r="H7" s="122" t="str">
        <f>IFERROR(VLOOKUP(B7,'[1]Debt Holding Consolidated'!$C$1:$N$65536,12,FALSE),"")</f>
        <v/>
      </c>
      <c r="J7" s="2"/>
    </row>
    <row r="8" spans="1:10" x14ac:dyDescent="0.2">
      <c r="A8" s="123">
        <v>2</v>
      </c>
      <c r="B8" s="124" t="s">
        <v>342</v>
      </c>
      <c r="C8" s="124" t="s">
        <v>343</v>
      </c>
      <c r="D8" s="124" t="s">
        <v>48</v>
      </c>
      <c r="E8" s="125">
        <v>74250</v>
      </c>
      <c r="F8" s="126">
        <v>1215.39825</v>
      </c>
      <c r="G8" s="127">
        <v>7.6783459999999998E-2</v>
      </c>
      <c r="H8" s="122" t="str">
        <f>IFERROR(VLOOKUP(B8,'[1]Debt Holding Consolidated'!$C$1:$N$65536,12,FALSE),"")</f>
        <v/>
      </c>
      <c r="J8" s="2"/>
    </row>
    <row r="9" spans="1:10" x14ac:dyDescent="0.2">
      <c r="A9" s="123">
        <v>3</v>
      </c>
      <c r="B9" s="124" t="s">
        <v>14</v>
      </c>
      <c r="C9" s="124" t="s">
        <v>15</v>
      </c>
      <c r="D9" s="124" t="s">
        <v>16</v>
      </c>
      <c r="E9" s="125">
        <v>58900</v>
      </c>
      <c r="F9" s="126">
        <v>935.95045000000005</v>
      </c>
      <c r="G9" s="127">
        <v>5.9129189999999998E-2</v>
      </c>
      <c r="H9" s="122" t="str">
        <f>IFERROR(VLOOKUP(B9,'[1]Debt Holding Consolidated'!$C$1:$N$65536,12,FALSE),"")</f>
        <v/>
      </c>
      <c r="J9" s="2"/>
    </row>
    <row r="10" spans="1:10" ht="25.5" x14ac:dyDescent="0.2">
      <c r="A10" s="123">
        <v>4</v>
      </c>
      <c r="B10" s="124" t="s">
        <v>118</v>
      </c>
      <c r="C10" s="124" t="s">
        <v>119</v>
      </c>
      <c r="D10" s="124" t="s">
        <v>25</v>
      </c>
      <c r="E10" s="125">
        <v>144000</v>
      </c>
      <c r="F10" s="126">
        <v>888.55200000000002</v>
      </c>
      <c r="G10" s="127">
        <v>5.6134770000000001E-2</v>
      </c>
      <c r="H10" s="122" t="str">
        <f>IFERROR(VLOOKUP(B10,'[1]Debt Holding Consolidated'!$C$1:$N$65536,12,FALSE),"")</f>
        <v/>
      </c>
      <c r="J10" s="2"/>
    </row>
    <row r="11" spans="1:10" x14ac:dyDescent="0.2">
      <c r="A11" s="123">
        <v>5</v>
      </c>
      <c r="B11" s="124" t="s">
        <v>20</v>
      </c>
      <c r="C11" s="124" t="s">
        <v>21</v>
      </c>
      <c r="D11" s="124" t="s">
        <v>22</v>
      </c>
      <c r="E11" s="125">
        <v>27500</v>
      </c>
      <c r="F11" s="126">
        <v>830.29375000000005</v>
      </c>
      <c r="G11" s="127">
        <v>5.2454269999999997E-2</v>
      </c>
      <c r="H11" s="122" t="str">
        <f>IFERROR(VLOOKUP(B11,'[1]Debt Holding Consolidated'!$C$1:$N$65536,12,FALSE),"")</f>
        <v/>
      </c>
      <c r="J11" s="2"/>
    </row>
    <row r="12" spans="1:10" ht="15" x14ac:dyDescent="0.2">
      <c r="A12" s="123">
        <v>6</v>
      </c>
      <c r="B12" s="124" t="s">
        <v>646</v>
      </c>
      <c r="C12" s="124" t="s">
        <v>647</v>
      </c>
      <c r="D12" s="124" t="s">
        <v>71</v>
      </c>
      <c r="E12" s="125">
        <v>85800</v>
      </c>
      <c r="F12" s="126">
        <v>725.09580000000005</v>
      </c>
      <c r="G12" s="127">
        <v>4.5808330000000001E-2</v>
      </c>
      <c r="H12" s="122" t="str">
        <f>IFERROR(VLOOKUP(B12,'[1]Debt Holding Consolidated'!$C$1:$N$65536,12,FALSE),"")</f>
        <v/>
      </c>
      <c r="J12" s="7"/>
    </row>
    <row r="13" spans="1:10" x14ac:dyDescent="0.2">
      <c r="A13" s="123">
        <v>7</v>
      </c>
      <c r="B13" s="124" t="s">
        <v>348</v>
      </c>
      <c r="C13" s="124" t="s">
        <v>349</v>
      </c>
      <c r="D13" s="124" t="s">
        <v>211</v>
      </c>
      <c r="E13" s="125">
        <v>12775</v>
      </c>
      <c r="F13" s="126">
        <v>581.74156249999999</v>
      </c>
      <c r="G13" s="127">
        <v>3.6751850000000003E-2</v>
      </c>
      <c r="H13" s="122" t="str">
        <f>IFERROR(VLOOKUP(B13,'[1]Debt Holding Consolidated'!$C$1:$N$65536,12,FALSE),"")</f>
        <v/>
      </c>
      <c r="J13" s="2"/>
    </row>
    <row r="14" spans="1:10" x14ac:dyDescent="0.2">
      <c r="A14" s="123">
        <v>8</v>
      </c>
      <c r="B14" s="124" t="s">
        <v>648</v>
      </c>
      <c r="C14" s="124" t="s">
        <v>649</v>
      </c>
      <c r="D14" s="124" t="s">
        <v>89</v>
      </c>
      <c r="E14" s="125">
        <v>252000</v>
      </c>
      <c r="F14" s="126">
        <v>544.19399999999996</v>
      </c>
      <c r="G14" s="127">
        <v>3.4379760000000002E-2</v>
      </c>
      <c r="H14" s="122" t="str">
        <f>IFERROR(VLOOKUP(B14,'[1]Debt Holding Consolidated'!$C$1:$N$65536,12,FALSE),"")</f>
        <v/>
      </c>
      <c r="J14" s="2" t="s">
        <v>971</v>
      </c>
    </row>
    <row r="15" spans="1:10" x14ac:dyDescent="0.2">
      <c r="A15" s="123">
        <v>9</v>
      </c>
      <c r="B15" s="124" t="s">
        <v>650</v>
      </c>
      <c r="C15" s="124" t="s">
        <v>651</v>
      </c>
      <c r="D15" s="124" t="s">
        <v>652</v>
      </c>
      <c r="E15" s="125">
        <v>89700</v>
      </c>
      <c r="F15" s="126">
        <v>420.19965000000002</v>
      </c>
      <c r="G15" s="127">
        <v>2.654635E-2</v>
      </c>
      <c r="H15" s="122" t="str">
        <f>IFERROR(VLOOKUP(B15,'[1]Debt Holding Consolidated'!$C$1:$N$65536,12,FALSE),"")</f>
        <v/>
      </c>
      <c r="J15" s="2"/>
    </row>
    <row r="16" spans="1:10" x14ac:dyDescent="0.2">
      <c r="A16" s="123">
        <v>10</v>
      </c>
      <c r="B16" s="124" t="s">
        <v>467</v>
      </c>
      <c r="C16" s="124" t="s">
        <v>468</v>
      </c>
      <c r="D16" s="124" t="s">
        <v>48</v>
      </c>
      <c r="E16" s="125">
        <v>157950</v>
      </c>
      <c r="F16" s="126">
        <v>395.03295000000003</v>
      </c>
      <c r="G16" s="127">
        <v>2.4956430000000002E-2</v>
      </c>
      <c r="H16" s="122" t="str">
        <f>IFERROR(VLOOKUP(B16,'[1]Debt Holding Consolidated'!$C$1:$N$65536,12,FALSE),"")</f>
        <v/>
      </c>
      <c r="J16" s="2"/>
    </row>
    <row r="17" spans="1:10" ht="25.5" x14ac:dyDescent="0.2">
      <c r="A17" s="123">
        <v>11</v>
      </c>
      <c r="B17" s="124" t="s">
        <v>352</v>
      </c>
      <c r="C17" s="124" t="s">
        <v>353</v>
      </c>
      <c r="D17" s="124" t="s">
        <v>208</v>
      </c>
      <c r="E17" s="125">
        <v>19600</v>
      </c>
      <c r="F17" s="126">
        <v>357.04340000000002</v>
      </c>
      <c r="G17" s="127">
        <v>2.2556420000000001E-2</v>
      </c>
      <c r="H17" s="122" t="str">
        <f>IFERROR(VLOOKUP(B17,'[1]Debt Holding Consolidated'!$C$1:$N$65536,12,FALSE),"")</f>
        <v/>
      </c>
      <c r="J17" s="2"/>
    </row>
    <row r="18" spans="1:10" ht="25.5" x14ac:dyDescent="0.2">
      <c r="A18" s="123">
        <v>12</v>
      </c>
      <c r="B18" s="124" t="s">
        <v>303</v>
      </c>
      <c r="C18" s="124" t="s">
        <v>304</v>
      </c>
      <c r="D18" s="124" t="s">
        <v>25</v>
      </c>
      <c r="E18" s="125">
        <v>15300</v>
      </c>
      <c r="F18" s="126">
        <v>356.35995000000003</v>
      </c>
      <c r="G18" s="127">
        <v>2.251324E-2</v>
      </c>
      <c r="H18" s="122" t="str">
        <f>IFERROR(VLOOKUP(B18,'[1]Debt Holding Consolidated'!$C$1:$N$65536,12,FALSE),"")</f>
        <v/>
      </c>
      <c r="J18" s="2"/>
    </row>
    <row r="19" spans="1:10" x14ac:dyDescent="0.2">
      <c r="A19" s="123">
        <v>13</v>
      </c>
      <c r="B19" s="124" t="s">
        <v>350</v>
      </c>
      <c r="C19" s="124" t="s">
        <v>351</v>
      </c>
      <c r="D19" s="124" t="s">
        <v>48</v>
      </c>
      <c r="E19" s="125">
        <v>19375</v>
      </c>
      <c r="F19" s="126">
        <v>227.70468750000001</v>
      </c>
      <c r="G19" s="127">
        <v>1.438537E-2</v>
      </c>
      <c r="H19" s="122" t="str">
        <f>IFERROR(VLOOKUP(B19,'[1]Debt Holding Consolidated'!$C$1:$N$65536,12,FALSE),"")</f>
        <v/>
      </c>
      <c r="J19" s="2"/>
    </row>
    <row r="20" spans="1:10" x14ac:dyDescent="0.2">
      <c r="A20" s="123">
        <v>14</v>
      </c>
      <c r="B20" s="124" t="s">
        <v>653</v>
      </c>
      <c r="C20" s="124" t="s">
        <v>654</v>
      </c>
      <c r="D20" s="124" t="s">
        <v>89</v>
      </c>
      <c r="E20" s="125">
        <v>102600</v>
      </c>
      <c r="F20" s="126">
        <v>225.83286000000001</v>
      </c>
      <c r="G20" s="127">
        <v>1.4267119999999999E-2</v>
      </c>
      <c r="H20" s="122" t="str">
        <f>IFERROR(VLOOKUP(B20,'[1]Debt Holding Consolidated'!$C$1:$N$65536,12,FALSE),"")</f>
        <v/>
      </c>
      <c r="J20" s="2"/>
    </row>
    <row r="21" spans="1:10" ht="25.5" x14ac:dyDescent="0.2">
      <c r="A21" s="123">
        <v>15</v>
      </c>
      <c r="B21" s="124" t="s">
        <v>370</v>
      </c>
      <c r="C21" s="124" t="s">
        <v>371</v>
      </c>
      <c r="D21" s="124" t="s">
        <v>208</v>
      </c>
      <c r="E21" s="125">
        <v>13200</v>
      </c>
      <c r="F21" s="126">
        <v>207.16079999999999</v>
      </c>
      <c r="G21" s="127">
        <v>1.30875E-2</v>
      </c>
      <c r="H21" s="122" t="str">
        <f>IFERROR(VLOOKUP(B21,'[1]Debt Holding Consolidated'!$C$1:$N$65536,12,FALSE),"")</f>
        <v/>
      </c>
      <c r="J21" s="2"/>
    </row>
    <row r="22" spans="1:10" ht="15" x14ac:dyDescent="0.2">
      <c r="A22" s="123">
        <v>16</v>
      </c>
      <c r="B22" s="124" t="s">
        <v>406</v>
      </c>
      <c r="C22" s="124" t="s">
        <v>407</v>
      </c>
      <c r="D22" s="124" t="s">
        <v>48</v>
      </c>
      <c r="E22" s="125">
        <v>168750</v>
      </c>
      <c r="F22" s="126">
        <v>188.206875</v>
      </c>
      <c r="G22" s="127">
        <v>1.1890070000000001E-2</v>
      </c>
      <c r="H22" s="122" t="str">
        <f>IFERROR(VLOOKUP(B22,'[1]Debt Holding Consolidated'!$C$1:$N$65536,12,FALSE),"")</f>
        <v/>
      </c>
      <c r="J22" s="7"/>
    </row>
    <row r="23" spans="1:10" x14ac:dyDescent="0.2">
      <c r="A23" s="123">
        <v>17</v>
      </c>
      <c r="B23" s="124" t="s">
        <v>56</v>
      </c>
      <c r="C23" s="124" t="s">
        <v>57</v>
      </c>
      <c r="D23" s="124" t="s">
        <v>19</v>
      </c>
      <c r="E23" s="125">
        <v>41850</v>
      </c>
      <c r="F23" s="126">
        <v>181.901025</v>
      </c>
      <c r="G23" s="127">
        <v>1.1491700000000001E-2</v>
      </c>
      <c r="H23" s="122" t="str">
        <f>IFERROR(VLOOKUP(B23,'[1]Debt Holding Consolidated'!$C$1:$N$65536,12,FALSE),"")</f>
        <v/>
      </c>
      <c r="J23" s="2"/>
    </row>
    <row r="24" spans="1:10" x14ac:dyDescent="0.2">
      <c r="A24" s="123">
        <v>18</v>
      </c>
      <c r="B24" s="124" t="s">
        <v>11</v>
      </c>
      <c r="C24" s="124" t="s">
        <v>12</v>
      </c>
      <c r="D24" s="124" t="s">
        <v>13</v>
      </c>
      <c r="E24" s="125">
        <v>4500</v>
      </c>
      <c r="F24" s="126">
        <v>166.70925</v>
      </c>
      <c r="G24" s="127">
        <v>1.053195E-2</v>
      </c>
      <c r="H24" s="122" t="str">
        <f>IFERROR(VLOOKUP(B24,'[1]Debt Holding Consolidated'!$C$1:$N$65536,12,FALSE),"")</f>
        <v/>
      </c>
      <c r="J24" s="2"/>
    </row>
    <row r="25" spans="1:10" x14ac:dyDescent="0.2">
      <c r="A25" s="123">
        <v>19</v>
      </c>
      <c r="B25" s="124" t="s">
        <v>356</v>
      </c>
      <c r="C25" s="124" t="s">
        <v>357</v>
      </c>
      <c r="D25" s="124" t="s">
        <v>48</v>
      </c>
      <c r="E25" s="125">
        <v>9200</v>
      </c>
      <c r="F25" s="126">
        <v>163.83359999999999</v>
      </c>
      <c r="G25" s="127">
        <v>1.035028E-2</v>
      </c>
      <c r="H25" s="122" t="str">
        <f>IFERROR(VLOOKUP(B25,'[1]Debt Holding Consolidated'!$C$1:$N$65536,12,FALSE),"")</f>
        <v/>
      </c>
      <c r="J25" s="2"/>
    </row>
    <row r="26" spans="1:10" x14ac:dyDescent="0.2">
      <c r="A26" s="123">
        <v>20</v>
      </c>
      <c r="B26" s="124" t="s">
        <v>46</v>
      </c>
      <c r="C26" s="124" t="s">
        <v>47</v>
      </c>
      <c r="D26" s="124" t="s">
        <v>48</v>
      </c>
      <c r="E26" s="125">
        <v>11900</v>
      </c>
      <c r="F26" s="126">
        <v>146.2748</v>
      </c>
      <c r="G26" s="127">
        <v>9.2409899999999993E-3</v>
      </c>
      <c r="H26" s="122" t="str">
        <f>IFERROR(VLOOKUP(B26,'[1]Debt Holding Consolidated'!$C$1:$N$65536,12,FALSE),"")</f>
        <v/>
      </c>
      <c r="J26" s="2"/>
    </row>
    <row r="27" spans="1:10" x14ac:dyDescent="0.2">
      <c r="A27" s="123">
        <v>21</v>
      </c>
      <c r="B27" s="124" t="s">
        <v>54</v>
      </c>
      <c r="C27" s="124" t="s">
        <v>55</v>
      </c>
      <c r="D27" s="124" t="s">
        <v>48</v>
      </c>
      <c r="E27" s="125">
        <v>13500</v>
      </c>
      <c r="F27" s="126">
        <v>110.10599999999999</v>
      </c>
      <c r="G27" s="127">
        <v>6.9560100000000003E-3</v>
      </c>
      <c r="H27" s="122" t="str">
        <f>IFERROR(VLOOKUP(B27,'[1]Debt Holding Consolidated'!$C$1:$N$65536,12,FALSE),"")</f>
        <v/>
      </c>
      <c r="J27" s="2"/>
    </row>
    <row r="28" spans="1:10" x14ac:dyDescent="0.2">
      <c r="A28" s="123">
        <v>22</v>
      </c>
      <c r="B28" s="124" t="s">
        <v>655</v>
      </c>
      <c r="C28" s="124" t="s">
        <v>656</v>
      </c>
      <c r="D28" s="124" t="s">
        <v>89</v>
      </c>
      <c r="E28" s="125">
        <v>1250</v>
      </c>
      <c r="F28" s="126">
        <v>90.001874999999998</v>
      </c>
      <c r="G28" s="127">
        <v>5.6859199999999997E-3</v>
      </c>
      <c r="H28" s="122" t="str">
        <f>IFERROR(VLOOKUP(B28,'[1]Debt Holding Consolidated'!$C$1:$N$65536,12,FALSE),"")</f>
        <v/>
      </c>
      <c r="J28" s="2"/>
    </row>
    <row r="29" spans="1:10" x14ac:dyDescent="0.2">
      <c r="A29" s="123">
        <v>23</v>
      </c>
      <c r="B29" s="124" t="s">
        <v>657</v>
      </c>
      <c r="C29" s="124" t="s">
        <v>658</v>
      </c>
      <c r="D29" s="124" t="s">
        <v>16</v>
      </c>
      <c r="E29" s="125">
        <v>440000</v>
      </c>
      <c r="F29" s="126">
        <v>68.816000000000003</v>
      </c>
      <c r="G29" s="127">
        <v>4.3474899999999999E-3</v>
      </c>
      <c r="H29" s="122" t="str">
        <f>IFERROR(VLOOKUP(B29,'[1]Debt Holding Consolidated'!$C$1:$N$65536,12,FALSE),"")</f>
        <v/>
      </c>
      <c r="J29" s="2"/>
    </row>
    <row r="30" spans="1:10" x14ac:dyDescent="0.2">
      <c r="A30" s="123">
        <v>24</v>
      </c>
      <c r="B30" s="124" t="s">
        <v>469</v>
      </c>
      <c r="C30" s="124" t="s">
        <v>470</v>
      </c>
      <c r="D30" s="124" t="s">
        <v>211</v>
      </c>
      <c r="E30" s="125">
        <v>3500</v>
      </c>
      <c r="F30" s="126">
        <v>61.363750000000003</v>
      </c>
      <c r="G30" s="127">
        <v>3.8766899999999999E-3</v>
      </c>
      <c r="H30" s="122" t="str">
        <f>IFERROR(VLOOKUP(B30,'[1]Debt Holding Consolidated'!$C$1:$N$65536,12,FALSE),"")</f>
        <v/>
      </c>
      <c r="J30" s="2"/>
    </row>
    <row r="31" spans="1:10" x14ac:dyDescent="0.2">
      <c r="A31" s="123">
        <v>25</v>
      </c>
      <c r="B31" s="124" t="s">
        <v>17</v>
      </c>
      <c r="C31" s="124" t="s">
        <v>18</v>
      </c>
      <c r="D31" s="124" t="s">
        <v>19</v>
      </c>
      <c r="E31" s="125">
        <v>13500</v>
      </c>
      <c r="F31" s="126">
        <v>56.186999999999998</v>
      </c>
      <c r="G31" s="127">
        <v>3.5496500000000001E-3</v>
      </c>
      <c r="H31" s="122" t="str">
        <f>IFERROR(VLOOKUP(B31,'[1]Debt Holding Consolidated'!$C$1:$N$65536,12,FALSE),"")</f>
        <v/>
      </c>
      <c r="J31" s="2"/>
    </row>
    <row r="32" spans="1:10" x14ac:dyDescent="0.2">
      <c r="A32" s="123">
        <v>26</v>
      </c>
      <c r="B32" s="124" t="s">
        <v>659</v>
      </c>
      <c r="C32" s="124" t="s">
        <v>660</v>
      </c>
      <c r="D32" s="124" t="s">
        <v>22</v>
      </c>
      <c r="E32" s="125">
        <v>29250</v>
      </c>
      <c r="F32" s="126">
        <v>51.763725000000001</v>
      </c>
      <c r="G32" s="127">
        <v>3.2702E-3</v>
      </c>
      <c r="H32" s="122" t="str">
        <f>IFERROR(VLOOKUP(B32,'[1]Debt Holding Consolidated'!$C$1:$N$65536,12,FALSE),"")</f>
        <v/>
      </c>
      <c r="J32" s="2"/>
    </row>
    <row r="33" spans="1:10" x14ac:dyDescent="0.2">
      <c r="A33" s="123">
        <v>27</v>
      </c>
      <c r="B33" s="124" t="s">
        <v>372</v>
      </c>
      <c r="C33" s="124" t="s">
        <v>373</v>
      </c>
      <c r="D33" s="124" t="s">
        <v>374</v>
      </c>
      <c r="E33" s="125">
        <v>9600</v>
      </c>
      <c r="F33" s="126">
        <v>48.182400000000001</v>
      </c>
      <c r="G33" s="127">
        <v>3.0439500000000001E-3</v>
      </c>
      <c r="H33" s="122" t="str">
        <f>IFERROR(VLOOKUP(B33,'[1]Debt Holding Consolidated'!$C$1:$N$65536,12,FALSE),"")</f>
        <v/>
      </c>
      <c r="J33" s="2"/>
    </row>
    <row r="34" spans="1:10" x14ac:dyDescent="0.2">
      <c r="A34" s="123">
        <v>28</v>
      </c>
      <c r="B34" s="124" t="s">
        <v>377</v>
      </c>
      <c r="C34" s="124" t="s">
        <v>378</v>
      </c>
      <c r="D34" s="124" t="s">
        <v>374</v>
      </c>
      <c r="E34" s="125">
        <v>600</v>
      </c>
      <c r="F34" s="126">
        <v>16.667999999999999</v>
      </c>
      <c r="G34" s="127">
        <v>1.0530100000000001E-3</v>
      </c>
      <c r="H34" s="122" t="str">
        <f>IFERROR(VLOOKUP(B34,'[1]Debt Holding Consolidated'!$C$1:$N$65536,12,FALSE),"")</f>
        <v/>
      </c>
      <c r="J34" s="2"/>
    </row>
    <row r="35" spans="1:10" x14ac:dyDescent="0.2">
      <c r="A35" s="120"/>
      <c r="B35" s="120"/>
      <c r="C35" s="121" t="s">
        <v>152</v>
      </c>
      <c r="D35" s="120"/>
      <c r="E35" s="120" t="s">
        <v>153</v>
      </c>
      <c r="F35" s="128">
        <v>10570.05041</v>
      </c>
      <c r="G35" s="129">
        <v>0.66776884000000003</v>
      </c>
      <c r="H35" s="122" t="str">
        <f>IFERROR(VLOOKUP(B35,'[1]Debt Holding Consolidated'!$C$1:$N$65536,12,FALSE),"")</f>
        <v/>
      </c>
      <c r="J35" s="2"/>
    </row>
    <row r="36" spans="1:10" x14ac:dyDescent="0.2">
      <c r="A36" s="120"/>
      <c r="B36" s="120"/>
      <c r="C36" s="130"/>
      <c r="D36" s="120"/>
      <c r="E36" s="120"/>
      <c r="F36" s="131"/>
      <c r="G36" s="131"/>
      <c r="H36" s="122" t="str">
        <f>IFERROR(VLOOKUP(B36,'[1]Debt Holding Consolidated'!$C$1:$N$65536,12,FALSE),"")</f>
        <v/>
      </c>
      <c r="J36" s="2"/>
    </row>
    <row r="37" spans="1:10" x14ac:dyDescent="0.2">
      <c r="A37" s="120"/>
      <c r="B37" s="120"/>
      <c r="C37" s="121" t="s">
        <v>154</v>
      </c>
      <c r="D37" s="120"/>
      <c r="E37" s="120"/>
      <c r="F37" s="120"/>
      <c r="G37" s="120"/>
      <c r="H37" s="122" t="str">
        <f>IFERROR(VLOOKUP(B37,'[1]Debt Holding Consolidated'!$C$1:$N$65536,12,FALSE),"")</f>
        <v/>
      </c>
      <c r="J37" s="2"/>
    </row>
    <row r="38" spans="1:10" x14ac:dyDescent="0.2">
      <c r="A38" s="120"/>
      <c r="B38" s="120"/>
      <c r="C38" s="121" t="s">
        <v>152</v>
      </c>
      <c r="D38" s="120"/>
      <c r="E38" s="120" t="s">
        <v>153</v>
      </c>
      <c r="F38" s="132" t="s">
        <v>155</v>
      </c>
      <c r="G38" s="129">
        <v>0</v>
      </c>
      <c r="H38" s="122" t="str">
        <f>IFERROR(VLOOKUP(B38,'[1]Debt Holding Consolidated'!$C$1:$N$65536,12,FALSE),"")</f>
        <v/>
      </c>
      <c r="J38" s="2"/>
    </row>
    <row r="39" spans="1:10" x14ac:dyDescent="0.2">
      <c r="A39" s="120"/>
      <c r="B39" s="120"/>
      <c r="C39" s="130"/>
      <c r="D39" s="120"/>
      <c r="E39" s="120"/>
      <c r="F39" s="131"/>
      <c r="G39" s="131"/>
      <c r="H39" s="122" t="str">
        <f>IFERROR(VLOOKUP(B39,'[1]Debt Holding Consolidated'!$C$1:$N$65536,12,FALSE),"")</f>
        <v/>
      </c>
      <c r="J39" s="2"/>
    </row>
    <row r="40" spans="1:10" x14ac:dyDescent="0.2">
      <c r="A40" s="120"/>
      <c r="B40" s="120"/>
      <c r="C40" s="121" t="s">
        <v>156</v>
      </c>
      <c r="D40" s="120"/>
      <c r="E40" s="120"/>
      <c r="F40" s="120"/>
      <c r="G40" s="120"/>
      <c r="H40" s="122" t="str">
        <f>IFERROR(VLOOKUP(B40,'[1]Debt Holding Consolidated'!$C$1:$N$65536,12,FALSE),"")</f>
        <v/>
      </c>
      <c r="J40" s="2"/>
    </row>
    <row r="41" spans="1:10" x14ac:dyDescent="0.2">
      <c r="A41" s="120"/>
      <c r="B41" s="120"/>
      <c r="C41" s="121" t="s">
        <v>152</v>
      </c>
      <c r="D41" s="120"/>
      <c r="E41" s="120" t="s">
        <v>153</v>
      </c>
      <c r="F41" s="132" t="s">
        <v>155</v>
      </c>
      <c r="G41" s="129">
        <v>0</v>
      </c>
      <c r="H41" s="122" t="str">
        <f>IFERROR(VLOOKUP(B41,'[1]Debt Holding Consolidated'!$C$1:$N$65536,12,FALSE),"")</f>
        <v/>
      </c>
      <c r="J41" s="2"/>
    </row>
    <row r="42" spans="1:10" x14ac:dyDescent="0.2">
      <c r="A42" s="120"/>
      <c r="B42" s="120"/>
      <c r="C42" s="130"/>
      <c r="D42" s="120"/>
      <c r="E42" s="120"/>
      <c r="F42" s="131"/>
      <c r="G42" s="131"/>
      <c r="H42" s="122" t="str">
        <f>IFERROR(VLOOKUP(B42,'[1]Debt Holding Consolidated'!$C$1:$N$65536,12,FALSE),"")</f>
        <v/>
      </c>
      <c r="J42" s="2"/>
    </row>
    <row r="43" spans="1:10" x14ac:dyDescent="0.2">
      <c r="A43" s="120"/>
      <c r="B43" s="120"/>
      <c r="C43" s="121" t="s">
        <v>157</v>
      </c>
      <c r="D43" s="120"/>
      <c r="E43" s="120"/>
      <c r="F43" s="120"/>
      <c r="G43" s="120"/>
      <c r="H43" s="122" t="str">
        <f>IFERROR(VLOOKUP(B43,'[1]Debt Holding Consolidated'!$C$1:$N$65536,12,FALSE),"")</f>
        <v/>
      </c>
      <c r="J43" s="2"/>
    </row>
    <row r="44" spans="1:10" x14ac:dyDescent="0.2">
      <c r="A44" s="120"/>
      <c r="B44" s="120"/>
      <c r="C44" s="121" t="s">
        <v>152</v>
      </c>
      <c r="D44" s="120"/>
      <c r="E44" s="120" t="s">
        <v>153</v>
      </c>
      <c r="F44" s="132" t="s">
        <v>155</v>
      </c>
      <c r="G44" s="129">
        <v>0</v>
      </c>
      <c r="H44" s="122" t="str">
        <f>IFERROR(VLOOKUP(B44,'[1]Debt Holding Consolidated'!$C$1:$N$65536,12,FALSE),"")</f>
        <v/>
      </c>
      <c r="J44" s="2"/>
    </row>
    <row r="45" spans="1:10" x14ac:dyDescent="0.2">
      <c r="A45" s="120"/>
      <c r="B45" s="120"/>
      <c r="C45" s="130"/>
      <c r="D45" s="120"/>
      <c r="E45" s="120"/>
      <c r="F45" s="131"/>
      <c r="G45" s="131"/>
      <c r="H45" s="122" t="str">
        <f>IFERROR(VLOOKUP(B45,'[1]Debt Holding Consolidated'!$C$1:$N$65536,12,FALSE),"")</f>
        <v/>
      </c>
      <c r="J45" s="2"/>
    </row>
    <row r="46" spans="1:10" x14ac:dyDescent="0.2">
      <c r="A46" s="120"/>
      <c r="B46" s="120"/>
      <c r="C46" s="121" t="s">
        <v>158</v>
      </c>
      <c r="D46" s="120"/>
      <c r="E46" s="120"/>
      <c r="F46" s="131"/>
      <c r="G46" s="131"/>
      <c r="H46" s="122" t="str">
        <f>IFERROR(VLOOKUP(B46,'[1]Debt Holding Consolidated'!$C$1:$N$65536,12,FALSE),"")</f>
        <v/>
      </c>
      <c r="J46" s="2"/>
    </row>
    <row r="47" spans="1:10" x14ac:dyDescent="0.2">
      <c r="A47" s="120"/>
      <c r="B47" s="120"/>
      <c r="C47" s="121" t="s">
        <v>152</v>
      </c>
      <c r="D47" s="120"/>
      <c r="E47" s="120" t="s">
        <v>153</v>
      </c>
      <c r="F47" s="132" t="s">
        <v>155</v>
      </c>
      <c r="G47" s="129">
        <v>0</v>
      </c>
      <c r="H47" s="122" t="str">
        <f>IFERROR(VLOOKUP(B47,'[1]Debt Holding Consolidated'!$C$1:$N$65536,12,FALSE),"")</f>
        <v/>
      </c>
      <c r="J47" s="2"/>
    </row>
    <row r="48" spans="1:10" x14ac:dyDescent="0.2">
      <c r="A48" s="120"/>
      <c r="B48" s="120"/>
      <c r="C48" s="130"/>
      <c r="D48" s="120"/>
      <c r="E48" s="120"/>
      <c r="F48" s="131"/>
      <c r="G48" s="131"/>
      <c r="H48" s="122" t="str">
        <f>IFERROR(VLOOKUP(B48,'[1]Debt Holding Consolidated'!$C$1:$N$65536,12,FALSE),"")</f>
        <v/>
      </c>
      <c r="J48" s="2"/>
    </row>
    <row r="49" spans="1:10" x14ac:dyDescent="0.2">
      <c r="A49" s="120"/>
      <c r="B49" s="120"/>
      <c r="C49" s="121" t="s">
        <v>159</v>
      </c>
      <c r="D49" s="120"/>
      <c r="E49" s="120"/>
      <c r="F49" s="131"/>
      <c r="G49" s="131"/>
      <c r="H49" s="122" t="str">
        <f>IFERROR(VLOOKUP(B49,'[1]Debt Holding Consolidated'!$C$1:$N$65536,12,FALSE),"")</f>
        <v/>
      </c>
      <c r="J49" s="2"/>
    </row>
    <row r="50" spans="1:10" x14ac:dyDescent="0.2">
      <c r="A50" s="123">
        <v>1</v>
      </c>
      <c r="B50" s="124"/>
      <c r="C50" s="124" t="s">
        <v>972</v>
      </c>
      <c r="D50" s="124" t="s">
        <v>539</v>
      </c>
      <c r="E50" s="125">
        <v>-600</v>
      </c>
      <c r="F50" s="126">
        <v>-16.781700000000001</v>
      </c>
      <c r="G50" s="127">
        <f>F50/$F$134</f>
        <v>-1.060193208498518E-3</v>
      </c>
      <c r="H50" s="122" t="str">
        <f>IFERROR(VLOOKUP(B50,'[1]Debt Holding Consolidated'!$C$1:$N$65536,12,FALSE),"")</f>
        <v/>
      </c>
      <c r="J50" s="2"/>
    </row>
    <row r="51" spans="1:10" x14ac:dyDescent="0.2">
      <c r="A51" s="123">
        <v>2</v>
      </c>
      <c r="B51" s="124"/>
      <c r="C51" s="124" t="s">
        <v>973</v>
      </c>
      <c r="D51" s="124" t="s">
        <v>539</v>
      </c>
      <c r="E51" s="125">
        <v>-9600</v>
      </c>
      <c r="F51" s="126">
        <v>-48.503999999999998</v>
      </c>
      <c r="G51" s="127">
        <f t="shared" ref="G51:G77" si="0">F51/$F$134</f>
        <v>-3.0642671114971729E-3</v>
      </c>
      <c r="H51" s="122" t="str">
        <f>IFERROR(VLOOKUP(B51,'[1]Debt Holding Consolidated'!$C$1:$N$65536,12,FALSE),"")</f>
        <v/>
      </c>
      <c r="J51" s="2"/>
    </row>
    <row r="52" spans="1:10" x14ac:dyDescent="0.2">
      <c r="A52" s="123">
        <v>3</v>
      </c>
      <c r="B52" s="124"/>
      <c r="C52" s="124" t="s">
        <v>974</v>
      </c>
      <c r="D52" s="124" t="s">
        <v>539</v>
      </c>
      <c r="E52" s="125">
        <v>-29250</v>
      </c>
      <c r="F52" s="126">
        <v>-52.07085</v>
      </c>
      <c r="G52" s="127">
        <f t="shared" si="0"/>
        <v>-3.289604839244239E-3</v>
      </c>
      <c r="H52" s="122" t="str">
        <f>IFERROR(VLOOKUP(B52,'[1]Debt Holding Consolidated'!$C$1:$N$65536,12,FALSE),"")</f>
        <v/>
      </c>
      <c r="J52" s="2"/>
    </row>
    <row r="53" spans="1:10" x14ac:dyDescent="0.2">
      <c r="A53" s="123">
        <v>4</v>
      </c>
      <c r="B53" s="124"/>
      <c r="C53" s="124" t="s">
        <v>975</v>
      </c>
      <c r="D53" s="124" t="s">
        <v>539</v>
      </c>
      <c r="E53" s="125">
        <v>-13500</v>
      </c>
      <c r="F53" s="126">
        <v>-56.537999999999997</v>
      </c>
      <c r="G53" s="127">
        <f t="shared" si="0"/>
        <v>-3.5718195190051782E-3</v>
      </c>
      <c r="H53" s="122" t="str">
        <f>IFERROR(VLOOKUP(B53,'[1]Debt Holding Consolidated'!$C$1:$N$65536,12,FALSE),"")</f>
        <v/>
      </c>
      <c r="J53" s="2"/>
    </row>
    <row r="54" spans="1:10" x14ac:dyDescent="0.2">
      <c r="A54" s="123">
        <v>5</v>
      </c>
      <c r="B54" s="124"/>
      <c r="C54" s="124" t="s">
        <v>976</v>
      </c>
      <c r="D54" s="124" t="s">
        <v>539</v>
      </c>
      <c r="E54" s="125">
        <v>-3500</v>
      </c>
      <c r="F54" s="126">
        <v>-61.72775</v>
      </c>
      <c r="G54" s="127">
        <f t="shared" si="0"/>
        <v>-3.8996848546866162E-3</v>
      </c>
      <c r="H54" s="122" t="str">
        <f>IFERROR(VLOOKUP(B54,'[1]Debt Holding Consolidated'!$C$1:$N$65536,12,FALSE),"")</f>
        <v/>
      </c>
      <c r="J54" s="2"/>
    </row>
    <row r="55" spans="1:10" x14ac:dyDescent="0.2">
      <c r="A55" s="123">
        <v>6</v>
      </c>
      <c r="B55" s="124"/>
      <c r="C55" s="124" t="s">
        <v>977</v>
      </c>
      <c r="D55" s="124" t="s">
        <v>539</v>
      </c>
      <c r="E55" s="125">
        <v>-440000</v>
      </c>
      <c r="F55" s="126">
        <v>-69.3</v>
      </c>
      <c r="G55" s="127">
        <f t="shared" si="0"/>
        <v>-4.378065949751651E-3</v>
      </c>
      <c r="H55" s="122" t="str">
        <f>IFERROR(VLOOKUP(B55,'[1]Debt Holding Consolidated'!$C$1:$N$65536,12,FALSE),"")</f>
        <v/>
      </c>
      <c r="J55" s="2"/>
    </row>
    <row r="56" spans="1:10" x14ac:dyDescent="0.2">
      <c r="A56" s="123">
        <v>7</v>
      </c>
      <c r="B56" s="124"/>
      <c r="C56" s="124" t="s">
        <v>978</v>
      </c>
      <c r="D56" s="124" t="s">
        <v>539</v>
      </c>
      <c r="E56" s="125">
        <v>-1250</v>
      </c>
      <c r="F56" s="126">
        <v>-90.578125</v>
      </c>
      <c r="G56" s="127">
        <f t="shared" si="0"/>
        <v>-5.722323302378771E-3</v>
      </c>
      <c r="H56" s="122" t="str">
        <f>IFERROR(VLOOKUP(B56,'[1]Debt Holding Consolidated'!$C$1:$N$65536,12,FALSE),"")</f>
        <v/>
      </c>
      <c r="J56" s="2"/>
    </row>
    <row r="57" spans="1:10" x14ac:dyDescent="0.2">
      <c r="A57" s="123">
        <v>8</v>
      </c>
      <c r="B57" s="124"/>
      <c r="C57" s="124" t="s">
        <v>979</v>
      </c>
      <c r="D57" s="124" t="s">
        <v>539</v>
      </c>
      <c r="E57" s="125">
        <v>-13500</v>
      </c>
      <c r="F57" s="126">
        <v>-110.84175</v>
      </c>
      <c r="G57" s="127">
        <f t="shared" si="0"/>
        <v>-7.0024890546303772E-3</v>
      </c>
      <c r="H57" s="122" t="str">
        <f>IFERROR(VLOOKUP(B57,'[1]Debt Holding Consolidated'!$C$1:$N$65536,12,FALSE),"")</f>
        <v/>
      </c>
      <c r="J57" s="2"/>
    </row>
    <row r="58" spans="1:10" x14ac:dyDescent="0.2">
      <c r="A58" s="123">
        <v>9</v>
      </c>
      <c r="B58" s="124"/>
      <c r="C58" s="124" t="s">
        <v>980</v>
      </c>
      <c r="D58" s="124" t="s">
        <v>539</v>
      </c>
      <c r="E58" s="125">
        <v>-11900</v>
      </c>
      <c r="F58" s="126">
        <v>-147.14945</v>
      </c>
      <c r="G58" s="127">
        <f t="shared" si="0"/>
        <v>-9.296248146748674E-3</v>
      </c>
      <c r="H58" s="122" t="str">
        <f>IFERROR(VLOOKUP(B58,'[1]Debt Holding Consolidated'!$C$1:$N$65536,12,FALSE),"")</f>
        <v/>
      </c>
      <c r="J58" s="2"/>
    </row>
    <row r="59" spans="1:10" x14ac:dyDescent="0.2">
      <c r="A59" s="123">
        <v>10</v>
      </c>
      <c r="B59" s="124"/>
      <c r="C59" s="124" t="s">
        <v>981</v>
      </c>
      <c r="D59" s="124" t="s">
        <v>539</v>
      </c>
      <c r="E59" s="125">
        <v>-9200</v>
      </c>
      <c r="F59" s="126">
        <v>-164.89619999999999</v>
      </c>
      <c r="G59" s="127">
        <f t="shared" si="0"/>
        <v>-1.0417408924436338E-2</v>
      </c>
      <c r="H59" s="122" t="str">
        <f>IFERROR(VLOOKUP(B59,'[1]Debt Holding Consolidated'!$C$1:$N$65536,12,FALSE),"")</f>
        <v/>
      </c>
      <c r="J59" s="2"/>
    </row>
    <row r="60" spans="1:10" x14ac:dyDescent="0.2">
      <c r="A60" s="123">
        <v>11</v>
      </c>
      <c r="B60" s="124"/>
      <c r="C60" s="124" t="s">
        <v>982</v>
      </c>
      <c r="D60" s="124" t="s">
        <v>539</v>
      </c>
      <c r="E60" s="125">
        <v>-4500</v>
      </c>
      <c r="F60" s="126">
        <v>-167.76900000000001</v>
      </c>
      <c r="G60" s="127">
        <f t="shared" si="0"/>
        <v>-1.0598899658353316E-2</v>
      </c>
      <c r="H60" s="122" t="str">
        <f>IFERROR(VLOOKUP(B60,'[1]Debt Holding Consolidated'!$C$1:$N$65536,12,FALSE),"")</f>
        <v/>
      </c>
      <c r="J60" s="2"/>
    </row>
    <row r="61" spans="1:10" x14ac:dyDescent="0.2">
      <c r="A61" s="123">
        <v>12</v>
      </c>
      <c r="B61" s="124"/>
      <c r="C61" s="124" t="s">
        <v>983</v>
      </c>
      <c r="D61" s="124" t="s">
        <v>539</v>
      </c>
      <c r="E61" s="125">
        <v>-41850</v>
      </c>
      <c r="F61" s="126">
        <v>-182.73802499999999</v>
      </c>
      <c r="G61" s="127">
        <f t="shared" si="0"/>
        <v>-1.1544576117999509E-2</v>
      </c>
      <c r="H61" s="122" t="str">
        <f>IFERROR(VLOOKUP(B61,'[1]Debt Holding Consolidated'!$C$1:$N$65536,12,FALSE),"")</f>
        <v/>
      </c>
      <c r="J61" s="2"/>
    </row>
    <row r="62" spans="1:10" x14ac:dyDescent="0.2">
      <c r="A62" s="123">
        <v>13</v>
      </c>
      <c r="B62" s="124"/>
      <c r="C62" s="124" t="s">
        <v>984</v>
      </c>
      <c r="D62" s="124" t="s">
        <v>539</v>
      </c>
      <c r="E62" s="125">
        <v>-168750</v>
      </c>
      <c r="F62" s="126">
        <v>-189.10124999999999</v>
      </c>
      <c r="G62" s="127">
        <f t="shared" si="0"/>
        <v>-1.1946576387885634E-2</v>
      </c>
      <c r="H62" s="122" t="str">
        <f>IFERROR(VLOOKUP(B62,'[1]Debt Holding Consolidated'!$C$1:$N$65536,12,FALSE),"")</f>
        <v/>
      </c>
      <c r="J62" s="2"/>
    </row>
    <row r="63" spans="1:10" x14ac:dyDescent="0.2">
      <c r="A63" s="123">
        <v>14</v>
      </c>
      <c r="B63" s="124"/>
      <c r="C63" s="124" t="s">
        <v>985</v>
      </c>
      <c r="D63" s="124" t="s">
        <v>539</v>
      </c>
      <c r="E63" s="125">
        <v>-13200</v>
      </c>
      <c r="F63" s="126">
        <v>-208.34219999999999</v>
      </c>
      <c r="G63" s="127">
        <f t="shared" si="0"/>
        <v>-1.3162134079600988E-2</v>
      </c>
      <c r="H63" s="122" t="str">
        <f>IFERROR(VLOOKUP(B63,'[1]Debt Holding Consolidated'!$C$1:$N$65536,12,FALSE),"")</f>
        <v/>
      </c>
      <c r="J63" s="2"/>
    </row>
    <row r="64" spans="1:10" x14ac:dyDescent="0.2">
      <c r="A64" s="123">
        <v>15</v>
      </c>
      <c r="B64" s="124"/>
      <c r="C64" s="124" t="s">
        <v>986</v>
      </c>
      <c r="D64" s="124" t="s">
        <v>539</v>
      </c>
      <c r="E64" s="125">
        <v>-102600</v>
      </c>
      <c r="F64" s="126">
        <v>-226.93068</v>
      </c>
      <c r="G64" s="127">
        <f t="shared" si="0"/>
        <v>-1.4336471617056104E-2</v>
      </c>
      <c r="H64" s="122" t="str">
        <f>IFERROR(VLOOKUP(B64,'[1]Debt Holding Consolidated'!$C$1:$N$65536,12,FALSE),"")</f>
        <v/>
      </c>
      <c r="J64" s="2"/>
    </row>
    <row r="65" spans="1:10" x14ac:dyDescent="0.2">
      <c r="A65" s="123">
        <v>16</v>
      </c>
      <c r="B65" s="124"/>
      <c r="C65" s="124" t="s">
        <v>987</v>
      </c>
      <c r="D65" s="124" t="s">
        <v>539</v>
      </c>
      <c r="E65" s="125">
        <v>-19375</v>
      </c>
      <c r="F65" s="126">
        <v>-229.32249999999999</v>
      </c>
      <c r="G65" s="127">
        <f t="shared" si="0"/>
        <v>-1.4487576172610723E-2</v>
      </c>
      <c r="H65" s="122" t="str">
        <f>IFERROR(VLOOKUP(B65,'[1]Debt Holding Consolidated'!$C$1:$N$65536,12,FALSE),"")</f>
        <v/>
      </c>
      <c r="J65" s="2"/>
    </row>
    <row r="66" spans="1:10" x14ac:dyDescent="0.2">
      <c r="A66" s="123">
        <v>17</v>
      </c>
      <c r="B66" s="124"/>
      <c r="C66" s="124" t="s">
        <v>988</v>
      </c>
      <c r="D66" s="124" t="s">
        <v>539</v>
      </c>
      <c r="E66" s="125">
        <v>-15300</v>
      </c>
      <c r="F66" s="126">
        <v>-358.81560000000002</v>
      </c>
      <c r="G66" s="127">
        <f t="shared" si="0"/>
        <v>-2.2668374611828409E-2</v>
      </c>
      <c r="H66" s="122" t="str">
        <f>IFERROR(VLOOKUP(B66,'[1]Debt Holding Consolidated'!$C$1:$N$65536,12,FALSE),"")</f>
        <v/>
      </c>
      <c r="J66" s="2"/>
    </row>
    <row r="67" spans="1:10" x14ac:dyDescent="0.2">
      <c r="A67" s="123">
        <v>18</v>
      </c>
      <c r="B67" s="124"/>
      <c r="C67" s="124" t="s">
        <v>989</v>
      </c>
      <c r="D67" s="124" t="s">
        <v>539</v>
      </c>
      <c r="E67" s="125">
        <v>-19600</v>
      </c>
      <c r="F67" s="126">
        <v>-359.36599999999999</v>
      </c>
      <c r="G67" s="127">
        <f t="shared" si="0"/>
        <v>-2.2703146437207097E-2</v>
      </c>
      <c r="H67" s="122" t="str">
        <f>IFERROR(VLOOKUP(B67,'[1]Debt Holding Consolidated'!$C$1:$N$65536,12,FALSE),"")</f>
        <v/>
      </c>
      <c r="J67" s="2"/>
    </row>
    <row r="68" spans="1:10" x14ac:dyDescent="0.2">
      <c r="A68" s="123">
        <v>19</v>
      </c>
      <c r="B68" s="124"/>
      <c r="C68" s="124" t="s">
        <v>990</v>
      </c>
      <c r="D68" s="124" t="s">
        <v>539</v>
      </c>
      <c r="E68" s="125">
        <v>-157950</v>
      </c>
      <c r="F68" s="126">
        <v>-397.87605000000002</v>
      </c>
      <c r="G68" s="127">
        <f t="shared" si="0"/>
        <v>-2.5136040212506285E-2</v>
      </c>
      <c r="H68" s="122" t="str">
        <f>IFERROR(VLOOKUP(B68,'[1]Debt Holding Consolidated'!$C$1:$N$65536,12,FALSE),"")</f>
        <v/>
      </c>
      <c r="J68" s="2"/>
    </row>
    <row r="69" spans="1:10" x14ac:dyDescent="0.2">
      <c r="A69" s="123">
        <v>20</v>
      </c>
      <c r="B69" s="124"/>
      <c r="C69" s="124" t="s">
        <v>991</v>
      </c>
      <c r="D69" s="124" t="s">
        <v>539</v>
      </c>
      <c r="E69" s="125">
        <v>-89700</v>
      </c>
      <c r="F69" s="126">
        <v>-421.76940000000002</v>
      </c>
      <c r="G69" s="127">
        <f t="shared" si="0"/>
        <v>-2.6645515855514924E-2</v>
      </c>
      <c r="H69" s="122" t="str">
        <f>IFERROR(VLOOKUP(B69,'[1]Debt Holding Consolidated'!$C$1:$N$65536,12,FALSE),"")</f>
        <v/>
      </c>
      <c r="J69" s="2"/>
    </row>
    <row r="70" spans="1:10" x14ac:dyDescent="0.2">
      <c r="A70" s="123">
        <v>21</v>
      </c>
      <c r="B70" s="124"/>
      <c r="C70" s="124" t="s">
        <v>992</v>
      </c>
      <c r="D70" s="124" t="s">
        <v>539</v>
      </c>
      <c r="E70" s="125">
        <v>-252000</v>
      </c>
      <c r="F70" s="126">
        <v>-547.39440000000002</v>
      </c>
      <c r="G70" s="127">
        <f t="shared" si="0"/>
        <v>-3.4581944931092866E-2</v>
      </c>
      <c r="H70" s="122" t="str">
        <f>IFERROR(VLOOKUP(B70,'[1]Debt Holding Consolidated'!$C$1:$N$65536,12,FALSE),"")</f>
        <v/>
      </c>
      <c r="J70" s="2"/>
    </row>
    <row r="71" spans="1:10" x14ac:dyDescent="0.2">
      <c r="A71" s="123">
        <v>22</v>
      </c>
      <c r="B71" s="124"/>
      <c r="C71" s="124" t="s">
        <v>993</v>
      </c>
      <c r="D71" s="124" t="s">
        <v>539</v>
      </c>
      <c r="E71" s="125">
        <v>-12775</v>
      </c>
      <c r="F71" s="126">
        <v>-585.01835000000005</v>
      </c>
      <c r="G71" s="127">
        <f t="shared" si="0"/>
        <v>-3.6958858847256769E-2</v>
      </c>
      <c r="H71" s="122" t="str">
        <f>IFERROR(VLOOKUP(B71,'[1]Debt Holding Consolidated'!$C$1:$N$65536,12,FALSE),"")</f>
        <v/>
      </c>
      <c r="J71" s="2"/>
    </row>
    <row r="72" spans="1:10" x14ac:dyDescent="0.2">
      <c r="A72" s="123">
        <v>23</v>
      </c>
      <c r="B72" s="124"/>
      <c r="C72" s="124" t="s">
        <v>994</v>
      </c>
      <c r="D72" s="124" t="s">
        <v>539</v>
      </c>
      <c r="E72" s="125">
        <v>-85800</v>
      </c>
      <c r="F72" s="126">
        <v>-729.55740000000003</v>
      </c>
      <c r="G72" s="127">
        <f t="shared" si="0"/>
        <v>-4.6090193525675983E-2</v>
      </c>
      <c r="H72" s="122" t="str">
        <f>IFERROR(VLOOKUP(B72,'[1]Debt Holding Consolidated'!$C$1:$N$65536,12,FALSE),"")</f>
        <v/>
      </c>
      <c r="J72" s="2"/>
    </row>
    <row r="73" spans="1:10" x14ac:dyDescent="0.2">
      <c r="A73" s="123">
        <v>24</v>
      </c>
      <c r="B73" s="124"/>
      <c r="C73" s="124" t="s">
        <v>995</v>
      </c>
      <c r="D73" s="124" t="s">
        <v>539</v>
      </c>
      <c r="E73" s="125">
        <v>-27500</v>
      </c>
      <c r="F73" s="126">
        <v>-835.69749999999999</v>
      </c>
      <c r="G73" s="127">
        <f t="shared" si="0"/>
        <v>-5.2795653232937674E-2</v>
      </c>
      <c r="H73" s="122" t="str">
        <f>IFERROR(VLOOKUP(B73,'[1]Debt Holding Consolidated'!$C$1:$N$65536,12,FALSE),"")</f>
        <v/>
      </c>
      <c r="J73" s="2"/>
    </row>
    <row r="74" spans="1:10" x14ac:dyDescent="0.2">
      <c r="A74" s="123">
        <v>25</v>
      </c>
      <c r="B74" s="124"/>
      <c r="C74" s="124" t="s">
        <v>996</v>
      </c>
      <c r="D74" s="124" t="s">
        <v>539</v>
      </c>
      <c r="E74" s="125">
        <v>-144000</v>
      </c>
      <c r="F74" s="126">
        <v>-895.24800000000005</v>
      </c>
      <c r="G74" s="127">
        <f t="shared" si="0"/>
        <v>-5.6557789110869651E-2</v>
      </c>
      <c r="H74" s="122" t="str">
        <f>IFERROR(VLOOKUP(B74,'[1]Debt Holding Consolidated'!$C$1:$N$65536,12,FALSE),"")</f>
        <v/>
      </c>
      <c r="J74" s="2"/>
    </row>
    <row r="75" spans="1:10" x14ac:dyDescent="0.2">
      <c r="A75" s="123">
        <v>26</v>
      </c>
      <c r="B75" s="124"/>
      <c r="C75" s="124" t="s">
        <v>997</v>
      </c>
      <c r="D75" s="124" t="s">
        <v>539</v>
      </c>
      <c r="E75" s="125">
        <v>-58900</v>
      </c>
      <c r="F75" s="126">
        <v>-939.13104999999996</v>
      </c>
      <c r="G75" s="127">
        <f t="shared" si="0"/>
        <v>-5.9330125142272948E-2</v>
      </c>
      <c r="H75" s="122" t="str">
        <f>IFERROR(VLOOKUP(B75,'[1]Debt Holding Consolidated'!$C$1:$N$65536,12,FALSE),"")</f>
        <v/>
      </c>
      <c r="J75" s="2"/>
    </row>
    <row r="76" spans="1:10" x14ac:dyDescent="0.2">
      <c r="A76" s="123">
        <v>27</v>
      </c>
      <c r="B76" s="124"/>
      <c r="C76" s="124" t="s">
        <v>998</v>
      </c>
      <c r="D76" s="124" t="s">
        <v>539</v>
      </c>
      <c r="E76" s="125">
        <v>-74250</v>
      </c>
      <c r="F76" s="126">
        <v>-1220.2616250000001</v>
      </c>
      <c r="G76" s="127">
        <f t="shared" si="0"/>
        <v>-7.7090705197707346E-2</v>
      </c>
      <c r="H76" s="122" t="str">
        <f>IFERROR(VLOOKUP(B76,'[1]Debt Holding Consolidated'!$C$1:$N$65536,12,FALSE),"")</f>
        <v/>
      </c>
      <c r="J76" s="2"/>
    </row>
    <row r="77" spans="1:10" x14ac:dyDescent="0.2">
      <c r="A77" s="123">
        <v>28</v>
      </c>
      <c r="B77" s="124"/>
      <c r="C77" s="124" t="s">
        <v>999</v>
      </c>
      <c r="D77" s="124" t="s">
        <v>539</v>
      </c>
      <c r="E77" s="125">
        <v>-285600</v>
      </c>
      <c r="F77" s="126">
        <v>-1314.3312000000001</v>
      </c>
      <c r="G77" s="127">
        <f t="shared" si="0"/>
        <v>-8.3033602790998959E-2</v>
      </c>
      <c r="H77" s="122" t="str">
        <f>IFERROR(VLOOKUP(B77,'[1]Debt Holding Consolidated'!$C$1:$N$65536,12,FALSE),"")</f>
        <v/>
      </c>
      <c r="J77" s="2"/>
    </row>
    <row r="78" spans="1:10" x14ac:dyDescent="0.2">
      <c r="A78" s="120"/>
      <c r="B78" s="120"/>
      <c r="C78" s="121" t="s">
        <v>152</v>
      </c>
      <c r="D78" s="120"/>
      <c r="E78" s="120" t="s">
        <v>153</v>
      </c>
      <c r="F78" s="128">
        <v>-10627.058055</v>
      </c>
      <c r="G78" s="129">
        <v>-0.67137033000000002</v>
      </c>
      <c r="H78" s="122" t="str">
        <f>IFERROR(VLOOKUP(B78,'[1]Debt Holding Consolidated'!$C$1:$N$65536,12,FALSE),"")</f>
        <v/>
      </c>
      <c r="J78" s="2"/>
    </row>
    <row r="79" spans="1:10" x14ac:dyDescent="0.2">
      <c r="A79" s="120"/>
      <c r="B79" s="120"/>
      <c r="C79" s="130"/>
      <c r="D79" s="120"/>
      <c r="E79" s="120"/>
      <c r="F79" s="131"/>
      <c r="G79" s="131"/>
      <c r="H79" s="122" t="str">
        <f>IFERROR(VLOOKUP(B79,'[1]Debt Holding Consolidated'!$C$1:$N$65536,12,FALSE),"")</f>
        <v/>
      </c>
      <c r="J79" s="2"/>
    </row>
    <row r="80" spans="1:10" x14ac:dyDescent="0.2">
      <c r="A80" s="120"/>
      <c r="B80" s="120"/>
      <c r="C80" s="121" t="s">
        <v>160</v>
      </c>
      <c r="D80" s="120"/>
      <c r="E80" s="120"/>
      <c r="F80" s="128">
        <f>F35</f>
        <v>10570.05041</v>
      </c>
      <c r="G80" s="129">
        <f>G35</f>
        <v>0.66776884000000003</v>
      </c>
      <c r="H80" s="122" t="str">
        <f>IFERROR(VLOOKUP(B80,'[1]Debt Holding Consolidated'!$C$1:$N$65536,12,FALSE),"")</f>
        <v/>
      </c>
      <c r="J80" s="2"/>
    </row>
    <row r="81" spans="1:10" x14ac:dyDescent="0.2">
      <c r="A81" s="120"/>
      <c r="B81" s="120"/>
      <c r="C81" s="130"/>
      <c r="D81" s="120"/>
      <c r="E81" s="120"/>
      <c r="F81" s="131"/>
      <c r="G81" s="131"/>
      <c r="H81" s="122" t="str">
        <f>IFERROR(VLOOKUP(B81,'[1]Debt Holding Consolidated'!$C$1:$N$65536,12,FALSE),"")</f>
        <v/>
      </c>
      <c r="J81" s="2"/>
    </row>
    <row r="82" spans="1:10" x14ac:dyDescent="0.2">
      <c r="A82" s="120"/>
      <c r="B82" s="120"/>
      <c r="C82" s="121" t="s">
        <v>161</v>
      </c>
      <c r="D82" s="120"/>
      <c r="E82" s="120"/>
      <c r="F82" s="131"/>
      <c r="G82" s="131"/>
      <c r="H82" s="122" t="str">
        <f>IFERROR(VLOOKUP(B82,'[1]Debt Holding Consolidated'!$C$1:$N$65536,12,FALSE),"")</f>
        <v/>
      </c>
      <c r="J82" s="2"/>
    </row>
    <row r="83" spans="1:10" x14ac:dyDescent="0.2">
      <c r="A83" s="120"/>
      <c r="B83" s="120"/>
      <c r="C83" s="121" t="s">
        <v>10</v>
      </c>
      <c r="D83" s="120"/>
      <c r="E83" s="120"/>
      <c r="F83" s="131"/>
      <c r="G83" s="131"/>
      <c r="H83" s="122" t="str">
        <f>IFERROR(VLOOKUP(B83,'[1]Debt Holding Consolidated'!$C$1:$N$65536,12,FALSE),"")</f>
        <v/>
      </c>
      <c r="J83" s="2"/>
    </row>
    <row r="84" spans="1:10" x14ac:dyDescent="0.2">
      <c r="A84" s="120"/>
      <c r="B84" s="120"/>
      <c r="C84" s="121" t="s">
        <v>152</v>
      </c>
      <c r="D84" s="120"/>
      <c r="E84" s="120" t="s">
        <v>153</v>
      </c>
      <c r="F84" s="132" t="s">
        <v>155</v>
      </c>
      <c r="G84" s="129">
        <v>0</v>
      </c>
      <c r="H84" s="122" t="str">
        <f>IFERROR(VLOOKUP(B84,'[1]Debt Holding Consolidated'!$C$1:$N$65536,12,FALSE),"")</f>
        <v/>
      </c>
      <c r="J84" s="2"/>
    </row>
    <row r="85" spans="1:10" x14ac:dyDescent="0.2">
      <c r="A85" s="120"/>
      <c r="B85" s="120"/>
      <c r="C85" s="130"/>
      <c r="D85" s="120"/>
      <c r="E85" s="120"/>
      <c r="F85" s="131"/>
      <c r="G85" s="131"/>
      <c r="H85" s="122" t="str">
        <f>IFERROR(VLOOKUP(B85,'[1]Debt Holding Consolidated'!$C$1:$N$65536,12,FALSE),"")</f>
        <v/>
      </c>
      <c r="J85" s="2"/>
    </row>
    <row r="86" spans="1:10" x14ac:dyDescent="0.2">
      <c r="A86" s="120"/>
      <c r="B86" s="120"/>
      <c r="C86" s="121" t="s">
        <v>162</v>
      </c>
      <c r="D86" s="120"/>
      <c r="E86" s="120"/>
      <c r="F86" s="120"/>
      <c r="G86" s="120"/>
      <c r="H86" s="122" t="str">
        <f>IFERROR(VLOOKUP(B86,'[1]Debt Holding Consolidated'!$C$1:$N$65536,12,FALSE),"")</f>
        <v/>
      </c>
      <c r="J86" s="2"/>
    </row>
    <row r="87" spans="1:10" x14ac:dyDescent="0.2">
      <c r="A87" s="120"/>
      <c r="B87" s="120"/>
      <c r="C87" s="121" t="s">
        <v>152</v>
      </c>
      <c r="D87" s="120"/>
      <c r="E87" s="120" t="s">
        <v>153</v>
      </c>
      <c r="F87" s="132" t="s">
        <v>155</v>
      </c>
      <c r="G87" s="129">
        <v>0</v>
      </c>
      <c r="H87" s="122" t="str">
        <f>IFERROR(VLOOKUP(B87,'[1]Debt Holding Consolidated'!$C$1:$N$65536,12,FALSE),"")</f>
        <v/>
      </c>
      <c r="J87" s="2"/>
    </row>
    <row r="88" spans="1:10" x14ac:dyDescent="0.2">
      <c r="A88" s="120"/>
      <c r="B88" s="120"/>
      <c r="C88" s="130"/>
      <c r="D88" s="120"/>
      <c r="E88" s="120"/>
      <c r="F88" s="131"/>
      <c r="G88" s="131"/>
      <c r="H88" s="122" t="str">
        <f>IFERROR(VLOOKUP(B88,'[1]Debt Holding Consolidated'!$C$1:$N$65536,12,FALSE),"")</f>
        <v/>
      </c>
      <c r="J88" s="2"/>
    </row>
    <row r="89" spans="1:10" x14ac:dyDescent="0.2">
      <c r="A89" s="120"/>
      <c r="B89" s="120"/>
      <c r="C89" s="121" t="s">
        <v>163</v>
      </c>
      <c r="D89" s="120"/>
      <c r="E89" s="120"/>
      <c r="F89" s="120"/>
      <c r="G89" s="120"/>
      <c r="H89" s="122" t="str">
        <f>IFERROR(VLOOKUP(B89,'[1]Debt Holding Consolidated'!$C$1:$N$65536,12,FALSE),"")</f>
        <v/>
      </c>
      <c r="J89" s="2"/>
    </row>
    <row r="90" spans="1:10" x14ac:dyDescent="0.2">
      <c r="A90" s="123">
        <v>1</v>
      </c>
      <c r="B90" s="124" t="s">
        <v>622</v>
      </c>
      <c r="C90" s="124" t="s">
        <v>1056</v>
      </c>
      <c r="D90" s="124" t="s">
        <v>541</v>
      </c>
      <c r="E90" s="125">
        <v>500000</v>
      </c>
      <c r="F90" s="126">
        <v>507.85250000000002</v>
      </c>
      <c r="G90" s="127">
        <v>3.2083859999999999E-2</v>
      </c>
      <c r="H90" s="122">
        <f>IFERROR(VLOOKUP(B90,'[1]Debt Holding Consolidated'!$C$1:$N$65536,12,FALSE),"")</f>
        <v>6.8636999999999997</v>
      </c>
      <c r="J90" s="2"/>
    </row>
    <row r="91" spans="1:10" x14ac:dyDescent="0.2">
      <c r="A91" s="123">
        <v>2</v>
      </c>
      <c r="B91" s="124" t="s">
        <v>661</v>
      </c>
      <c r="C91" s="124" t="s">
        <v>1055</v>
      </c>
      <c r="D91" s="124" t="s">
        <v>541</v>
      </c>
      <c r="E91" s="125">
        <v>500000</v>
      </c>
      <c r="F91" s="126">
        <v>505.685</v>
      </c>
      <c r="G91" s="127">
        <v>3.1946929999999998E-2</v>
      </c>
      <c r="H91" s="122">
        <f>IFERROR(VLOOKUP(B91,'[1]Debt Holding Consolidated'!$C$1:$N$65536,12,FALSE),"")</f>
        <v>6.8635999999999999</v>
      </c>
      <c r="J91" s="2"/>
    </row>
    <row r="92" spans="1:10" x14ac:dyDescent="0.2">
      <c r="A92" s="120"/>
      <c r="B92" s="120"/>
      <c r="C92" s="121" t="s">
        <v>152</v>
      </c>
      <c r="D92" s="120"/>
      <c r="E92" s="120" t="s">
        <v>153</v>
      </c>
      <c r="F92" s="128">
        <v>1013.5375</v>
      </c>
      <c r="G92" s="129">
        <v>6.4030790000000004E-2</v>
      </c>
      <c r="H92" s="122" t="str">
        <f>IFERROR(VLOOKUP(B92,'[1]Debt Holding Consolidated'!$C$1:$N$65536,12,FALSE),"")</f>
        <v/>
      </c>
      <c r="J92" s="2"/>
    </row>
    <row r="93" spans="1:10" x14ac:dyDescent="0.2">
      <c r="A93" s="120"/>
      <c r="B93" s="120"/>
      <c r="C93" s="130"/>
      <c r="D93" s="120"/>
      <c r="E93" s="120"/>
      <c r="F93" s="131"/>
      <c r="G93" s="131"/>
      <c r="H93" s="122" t="str">
        <f>IFERROR(VLOOKUP(B93,'[1]Debt Holding Consolidated'!$C$1:$N$65536,12,FALSE),"")</f>
        <v/>
      </c>
      <c r="J93" s="2"/>
    </row>
    <row r="94" spans="1:10" x14ac:dyDescent="0.2">
      <c r="A94" s="120"/>
      <c r="B94" s="120"/>
      <c r="C94" s="121" t="s">
        <v>164</v>
      </c>
      <c r="D94" s="120"/>
      <c r="E94" s="120"/>
      <c r="F94" s="131"/>
      <c r="G94" s="131"/>
      <c r="H94" s="122" t="str">
        <f>IFERROR(VLOOKUP(B94,'[1]Debt Holding Consolidated'!$C$1:$N$65536,12,FALSE),"")</f>
        <v/>
      </c>
      <c r="J94" s="2"/>
    </row>
    <row r="95" spans="1:10" x14ac:dyDescent="0.2">
      <c r="A95" s="120"/>
      <c r="B95" s="120"/>
      <c r="C95" s="121" t="s">
        <v>152</v>
      </c>
      <c r="D95" s="120"/>
      <c r="E95" s="120" t="s">
        <v>153</v>
      </c>
      <c r="F95" s="132" t="s">
        <v>155</v>
      </c>
      <c r="G95" s="129">
        <v>0</v>
      </c>
      <c r="H95" s="122" t="str">
        <f>IFERROR(VLOOKUP(B95,'[1]Debt Holding Consolidated'!$C$1:$N$65536,12,FALSE),"")</f>
        <v/>
      </c>
      <c r="J95" s="2"/>
    </row>
    <row r="96" spans="1:10" x14ac:dyDescent="0.2">
      <c r="A96" s="120"/>
      <c r="B96" s="120"/>
      <c r="C96" s="130"/>
      <c r="D96" s="120"/>
      <c r="E96" s="120"/>
      <c r="F96" s="131"/>
      <c r="G96" s="131"/>
      <c r="H96" s="122" t="str">
        <f>IFERROR(VLOOKUP(B96,'[1]Debt Holding Consolidated'!$C$1:$N$65536,12,FALSE),"")</f>
        <v/>
      </c>
      <c r="J96" s="2"/>
    </row>
    <row r="97" spans="1:10" x14ac:dyDescent="0.2">
      <c r="A97" s="120"/>
      <c r="B97" s="120"/>
      <c r="C97" s="121" t="s">
        <v>165</v>
      </c>
      <c r="D97" s="120"/>
      <c r="E97" s="120"/>
      <c r="F97" s="128">
        <v>1013.5375</v>
      </c>
      <c r="G97" s="129">
        <v>6.4030790000000004E-2</v>
      </c>
      <c r="H97" s="122" t="str">
        <f>IFERROR(VLOOKUP(B97,'[1]Debt Holding Consolidated'!$C$1:$N$65536,12,FALSE),"")</f>
        <v/>
      </c>
      <c r="J97" s="2"/>
    </row>
    <row r="98" spans="1:10" x14ac:dyDescent="0.2">
      <c r="A98" s="120"/>
      <c r="B98" s="120"/>
      <c r="C98" s="130"/>
      <c r="D98" s="120"/>
      <c r="E98" s="120"/>
      <c r="F98" s="131"/>
      <c r="G98" s="131"/>
      <c r="H98" s="122" t="str">
        <f>IFERROR(VLOOKUP(B98,'[1]Debt Holding Consolidated'!$C$1:$N$65536,12,FALSE),"")</f>
        <v/>
      </c>
      <c r="J98" s="2"/>
    </row>
    <row r="99" spans="1:10" x14ac:dyDescent="0.2">
      <c r="A99" s="120"/>
      <c r="B99" s="120"/>
      <c r="C99" s="121" t="s">
        <v>166</v>
      </c>
      <c r="D99" s="120"/>
      <c r="E99" s="120"/>
      <c r="F99" s="131"/>
      <c r="G99" s="131"/>
      <c r="H99" s="122" t="str">
        <f>IFERROR(VLOOKUP(B99,'[1]Debt Holding Consolidated'!$C$1:$N$65536,12,FALSE),"")</f>
        <v/>
      </c>
      <c r="J99" s="2"/>
    </row>
    <row r="100" spans="1:10" x14ac:dyDescent="0.2">
      <c r="A100" s="120"/>
      <c r="B100" s="120"/>
      <c r="C100" s="121" t="s">
        <v>167</v>
      </c>
      <c r="D100" s="120"/>
      <c r="E100" s="120"/>
      <c r="F100" s="131"/>
      <c r="G100" s="131"/>
      <c r="H100" s="122" t="str">
        <f>IFERROR(VLOOKUP(B100,'[1]Debt Holding Consolidated'!$C$1:$N$65536,12,FALSE),"")</f>
        <v/>
      </c>
      <c r="J100" s="2"/>
    </row>
    <row r="101" spans="1:10" x14ac:dyDescent="0.2">
      <c r="A101" s="120"/>
      <c r="B101" s="120"/>
      <c r="C101" s="121" t="s">
        <v>152</v>
      </c>
      <c r="D101" s="120"/>
      <c r="E101" s="120" t="s">
        <v>153</v>
      </c>
      <c r="F101" s="132" t="s">
        <v>155</v>
      </c>
      <c r="G101" s="129">
        <v>0</v>
      </c>
      <c r="H101" s="122" t="str">
        <f>IFERROR(VLOOKUP(B101,'[1]Debt Holding Consolidated'!$C$1:$N$65536,12,FALSE),"")</f>
        <v/>
      </c>
      <c r="J101" s="2"/>
    </row>
    <row r="102" spans="1:10" x14ac:dyDescent="0.2">
      <c r="A102" s="120"/>
      <c r="B102" s="120"/>
      <c r="C102" s="130"/>
      <c r="D102" s="120"/>
      <c r="E102" s="120"/>
      <c r="F102" s="131"/>
      <c r="G102" s="131"/>
      <c r="H102" s="122" t="str">
        <f>IFERROR(VLOOKUP(B102,'[1]Debt Holding Consolidated'!$C$1:$N$65536,12,FALSE),"")</f>
        <v/>
      </c>
      <c r="J102" s="2"/>
    </row>
    <row r="103" spans="1:10" x14ac:dyDescent="0.2">
      <c r="A103" s="120"/>
      <c r="B103" s="120"/>
      <c r="C103" s="121" t="s">
        <v>168</v>
      </c>
      <c r="D103" s="120"/>
      <c r="E103" s="120"/>
      <c r="F103" s="131"/>
      <c r="G103" s="131"/>
      <c r="H103" s="122" t="str">
        <f>IFERROR(VLOOKUP(B103,'[1]Debt Holding Consolidated'!$C$1:$N$65536,12,FALSE),"")</f>
        <v/>
      </c>
      <c r="J103" s="2"/>
    </row>
    <row r="104" spans="1:10" x14ac:dyDescent="0.2">
      <c r="A104" s="120"/>
      <c r="B104" s="120"/>
      <c r="C104" s="121" t="s">
        <v>152</v>
      </c>
      <c r="D104" s="120"/>
      <c r="E104" s="120" t="s">
        <v>153</v>
      </c>
      <c r="F104" s="132" t="s">
        <v>155</v>
      </c>
      <c r="G104" s="129">
        <v>0</v>
      </c>
      <c r="H104" s="122" t="str">
        <f>IFERROR(VLOOKUP(B104,'[1]Debt Holding Consolidated'!$C$1:$N$65536,12,FALSE),"")</f>
        <v/>
      </c>
      <c r="J104" s="2"/>
    </row>
    <row r="105" spans="1:10" x14ac:dyDescent="0.2">
      <c r="A105" s="120"/>
      <c r="B105" s="120"/>
      <c r="C105" s="130"/>
      <c r="D105" s="120"/>
      <c r="E105" s="120"/>
      <c r="F105" s="131"/>
      <c r="G105" s="131"/>
      <c r="H105" s="122" t="str">
        <f>IFERROR(VLOOKUP(B105,'[1]Debt Holding Consolidated'!$C$1:$N$65536,12,FALSE),"")</f>
        <v/>
      </c>
      <c r="J105" s="2"/>
    </row>
    <row r="106" spans="1:10" x14ac:dyDescent="0.2">
      <c r="A106" s="120"/>
      <c r="B106" s="120"/>
      <c r="C106" s="121" t="s">
        <v>169</v>
      </c>
      <c r="D106" s="120"/>
      <c r="E106" s="120"/>
      <c r="F106" s="131"/>
      <c r="G106" s="131"/>
      <c r="H106" s="122" t="str">
        <f>IFERROR(VLOOKUP(B106,'[1]Debt Holding Consolidated'!$C$1:$N$65536,12,FALSE),"")</f>
        <v/>
      </c>
      <c r="J106" s="2"/>
    </row>
    <row r="107" spans="1:10" x14ac:dyDescent="0.2">
      <c r="A107" s="123">
        <v>1</v>
      </c>
      <c r="B107" s="124" t="s">
        <v>662</v>
      </c>
      <c r="C107" s="124" t="s">
        <v>1053</v>
      </c>
      <c r="D107" s="124" t="s">
        <v>541</v>
      </c>
      <c r="E107" s="125">
        <v>500000</v>
      </c>
      <c r="F107" s="126">
        <v>498.39499999999998</v>
      </c>
      <c r="G107" s="127">
        <v>3.1486380000000001E-2</v>
      </c>
      <c r="H107" s="122">
        <f>IFERROR(VLOOKUP(B107,'[1]Debt Holding Consolidated'!$C$1:$N$65536,12,FALSE),"")</f>
        <v>6.53</v>
      </c>
      <c r="J107" s="2"/>
    </row>
    <row r="108" spans="1:10" x14ac:dyDescent="0.2">
      <c r="A108" s="123">
        <v>2</v>
      </c>
      <c r="B108" s="124" t="s">
        <v>663</v>
      </c>
      <c r="C108" s="124" t="s">
        <v>1054</v>
      </c>
      <c r="D108" s="124" t="s">
        <v>541</v>
      </c>
      <c r="E108" s="125">
        <v>500000</v>
      </c>
      <c r="F108" s="126">
        <v>496.49849999999998</v>
      </c>
      <c r="G108" s="127">
        <v>3.1366570000000003E-2</v>
      </c>
      <c r="H108" s="122">
        <f>IFERROR(VLOOKUP(B108,'[1]Debt Holding Consolidated'!$C$1:$N$65536,12,FALSE),"")</f>
        <v>6.6</v>
      </c>
      <c r="J108" s="2"/>
    </row>
    <row r="109" spans="1:10" x14ac:dyDescent="0.2">
      <c r="A109" s="123">
        <v>3</v>
      </c>
      <c r="B109" s="124" t="s">
        <v>664</v>
      </c>
      <c r="C109" s="124" t="s">
        <v>1052</v>
      </c>
      <c r="D109" s="124" t="s">
        <v>541</v>
      </c>
      <c r="E109" s="125">
        <v>500000</v>
      </c>
      <c r="F109" s="126">
        <v>495.87549999999999</v>
      </c>
      <c r="G109" s="127">
        <v>3.1327210000000001E-2</v>
      </c>
      <c r="H109" s="122">
        <f>IFERROR(VLOOKUP(B109,'[1]Debt Holding Consolidated'!$C$1:$N$65536,12,FALSE),"")</f>
        <v>6.6</v>
      </c>
      <c r="J109" s="2"/>
    </row>
    <row r="110" spans="1:10" x14ac:dyDescent="0.2">
      <c r="A110" s="123">
        <v>4</v>
      </c>
      <c r="B110" s="124" t="s">
        <v>665</v>
      </c>
      <c r="C110" s="124" t="s">
        <v>666</v>
      </c>
      <c r="D110" s="124" t="s">
        <v>541</v>
      </c>
      <c r="E110" s="125">
        <v>500000</v>
      </c>
      <c r="F110" s="126">
        <v>479.80099999999999</v>
      </c>
      <c r="G110" s="127">
        <v>3.0311689999999999E-2</v>
      </c>
      <c r="H110" s="122">
        <f>IFERROR(VLOOKUP(B110,'[1]Debt Holding Consolidated'!$C$1:$N$65536,12,FALSE),"")</f>
        <v>6.71</v>
      </c>
      <c r="J110" s="2"/>
    </row>
    <row r="111" spans="1:10" x14ac:dyDescent="0.2">
      <c r="A111" s="123">
        <v>5</v>
      </c>
      <c r="B111" s="124" t="s">
        <v>540</v>
      </c>
      <c r="C111" s="124" t="s">
        <v>1049</v>
      </c>
      <c r="D111" s="124" t="s">
        <v>541</v>
      </c>
      <c r="E111" s="125">
        <v>500000</v>
      </c>
      <c r="F111" s="126">
        <v>478.6345</v>
      </c>
      <c r="G111" s="127">
        <v>3.0238000000000001E-2</v>
      </c>
      <c r="H111" s="122">
        <f>IFERROR(VLOOKUP(B111,'[1]Debt Holding Consolidated'!$C$1:$N$65536,12,FALSE),"")</f>
        <v>6.7050000000000001</v>
      </c>
      <c r="J111" s="2"/>
    </row>
    <row r="112" spans="1:10" x14ac:dyDescent="0.2">
      <c r="A112" s="120"/>
      <c r="B112" s="120"/>
      <c r="C112" s="121" t="s">
        <v>152</v>
      </c>
      <c r="D112" s="120"/>
      <c r="E112" s="120" t="s">
        <v>153</v>
      </c>
      <c r="F112" s="128">
        <v>2449.2044999999998</v>
      </c>
      <c r="G112" s="129">
        <v>0.15472985</v>
      </c>
      <c r="H112" s="122" t="str">
        <f>IFERROR(VLOOKUP(B112,'[1]Debt Holding Consolidated'!$C$1:$N$65536,12,FALSE),"")</f>
        <v/>
      </c>
      <c r="J112" s="2"/>
    </row>
    <row r="113" spans="1:10" x14ac:dyDescent="0.2">
      <c r="A113" s="120"/>
      <c r="B113" s="120"/>
      <c r="C113" s="130"/>
      <c r="D113" s="120"/>
      <c r="E113" s="120"/>
      <c r="F113" s="131"/>
      <c r="G113" s="131"/>
      <c r="H113" s="122" t="str">
        <f>IFERROR(VLOOKUP(B113,'[1]Debt Holding Consolidated'!$C$1:$N$65536,12,FALSE),"")</f>
        <v/>
      </c>
      <c r="J113" s="2"/>
    </row>
    <row r="114" spans="1:10" x14ac:dyDescent="0.2">
      <c r="A114" s="120"/>
      <c r="B114" s="120"/>
      <c r="C114" s="121" t="s">
        <v>170</v>
      </c>
      <c r="D114" s="120"/>
      <c r="E114" s="120"/>
      <c r="F114" s="131"/>
      <c r="G114" s="131"/>
      <c r="H114" s="122" t="str">
        <f>IFERROR(VLOOKUP(B114,'[1]Debt Holding Consolidated'!$C$1:$N$65536,12,FALSE),"")</f>
        <v/>
      </c>
      <c r="J114" s="2"/>
    </row>
    <row r="115" spans="1:10" x14ac:dyDescent="0.2">
      <c r="A115" s="123">
        <v>1</v>
      </c>
      <c r="B115" s="124"/>
      <c r="C115" s="124" t="s">
        <v>171</v>
      </c>
      <c r="D115" s="124"/>
      <c r="E115" s="133"/>
      <c r="F115" s="126">
        <v>1641.4259295060001</v>
      </c>
      <c r="G115" s="127">
        <v>0.10369799</v>
      </c>
      <c r="H115" s="122">
        <v>6.62</v>
      </c>
      <c r="J115" s="2"/>
    </row>
    <row r="116" spans="1:10" x14ac:dyDescent="0.2">
      <c r="A116" s="120"/>
      <c r="B116" s="120"/>
      <c r="C116" s="121" t="s">
        <v>152</v>
      </c>
      <c r="D116" s="120"/>
      <c r="E116" s="120" t="s">
        <v>153</v>
      </c>
      <c r="F116" s="128">
        <v>1641.4259295060001</v>
      </c>
      <c r="G116" s="129">
        <v>0.10369799</v>
      </c>
      <c r="H116" s="122" t="str">
        <f>IFERROR(VLOOKUP(B116,'[1]Debt Holding Consolidated'!$C$1:$N$65536,12,FALSE),"")</f>
        <v/>
      </c>
      <c r="J116" s="2"/>
    </row>
    <row r="117" spans="1:10" x14ac:dyDescent="0.2">
      <c r="A117" s="120"/>
      <c r="B117" s="120"/>
      <c r="C117" s="130"/>
      <c r="D117" s="120"/>
      <c r="E117" s="120"/>
      <c r="F117" s="131"/>
      <c r="G117" s="131"/>
      <c r="H117" s="122" t="str">
        <f>IFERROR(VLOOKUP(B117,'[1]Debt Holding Consolidated'!$C$1:$N$65536,12,FALSE),"")</f>
        <v/>
      </c>
      <c r="J117" s="2"/>
    </row>
    <row r="118" spans="1:10" x14ac:dyDescent="0.2">
      <c r="A118" s="120"/>
      <c r="B118" s="120"/>
      <c r="C118" s="121" t="s">
        <v>172</v>
      </c>
      <c r="D118" s="120"/>
      <c r="E118" s="120"/>
      <c r="F118" s="128">
        <v>4090.6304295059999</v>
      </c>
      <c r="G118" s="129">
        <v>0.25842784000000002</v>
      </c>
      <c r="H118" s="122" t="str">
        <f>IFERROR(VLOOKUP(B118,'[1]Debt Holding Consolidated'!$C$1:$N$65536,12,FALSE),"")</f>
        <v/>
      </c>
      <c r="J118" s="2"/>
    </row>
    <row r="119" spans="1:10" x14ac:dyDescent="0.2">
      <c r="A119" s="120"/>
      <c r="B119" s="120"/>
      <c r="C119" s="131"/>
      <c r="D119" s="120"/>
      <c r="E119" s="120"/>
      <c r="F119" s="120"/>
      <c r="G119" s="120"/>
      <c r="H119" s="122" t="str">
        <f>IFERROR(VLOOKUP(B119,'[1]Debt Holding Consolidated'!$C$1:$N$65536,12,FALSE),"")</f>
        <v/>
      </c>
      <c r="J119" s="2"/>
    </row>
    <row r="120" spans="1:10" x14ac:dyDescent="0.2">
      <c r="A120" s="120"/>
      <c r="B120" s="120"/>
      <c r="C120" s="121" t="s">
        <v>173</v>
      </c>
      <c r="D120" s="120"/>
      <c r="E120" s="120"/>
      <c r="F120" s="120"/>
      <c r="G120" s="120"/>
      <c r="H120" s="122" t="str">
        <f>IFERROR(VLOOKUP(B120,'[1]Debt Holding Consolidated'!$C$1:$N$65536,12,FALSE),"")</f>
        <v/>
      </c>
      <c r="J120" s="2"/>
    </row>
    <row r="121" spans="1:10" x14ac:dyDescent="0.2">
      <c r="A121" s="120"/>
      <c r="B121" s="120"/>
      <c r="C121" s="121" t="s">
        <v>174</v>
      </c>
      <c r="D121" s="120"/>
      <c r="E121" s="120"/>
      <c r="F121" s="120"/>
      <c r="G121" s="120"/>
      <c r="H121" s="122" t="str">
        <f>IFERROR(VLOOKUP(B121,'[1]Debt Holding Consolidated'!$C$1:$N$65536,12,FALSE),"")</f>
        <v/>
      </c>
      <c r="J121" s="2"/>
    </row>
    <row r="122" spans="1:10" x14ac:dyDescent="0.2">
      <c r="A122" s="123">
        <v>1</v>
      </c>
      <c r="B122" s="124" t="s">
        <v>340</v>
      </c>
      <c r="C122" s="124" t="s">
        <v>919</v>
      </c>
      <c r="D122" s="124"/>
      <c r="E122" s="157">
        <v>23003.699000000001</v>
      </c>
      <c r="F122" s="126">
        <v>505.49655496000003</v>
      </c>
      <c r="G122" s="127">
        <v>3.1935030000000003E-2</v>
      </c>
      <c r="H122" s="122" t="str">
        <f>IFERROR(VLOOKUP(B122,'[1]Debt Holding Consolidated'!$C$1:$N$65536,12,FALSE),"")</f>
        <v/>
      </c>
      <c r="J122" s="2"/>
    </row>
    <row r="123" spans="1:10" x14ac:dyDescent="0.2">
      <c r="A123" s="120"/>
      <c r="B123" s="120"/>
      <c r="C123" s="121" t="s">
        <v>152</v>
      </c>
      <c r="D123" s="120"/>
      <c r="E123" s="120" t="s">
        <v>153</v>
      </c>
      <c r="F123" s="128">
        <v>505.49655496000003</v>
      </c>
      <c r="G123" s="129">
        <v>3.1935030000000003E-2</v>
      </c>
      <c r="H123" s="122" t="str">
        <f>IFERROR(VLOOKUP(B123,'[1]Debt Holding Consolidated'!$C$1:$N$65536,12,FALSE),"")</f>
        <v/>
      </c>
      <c r="J123" s="2"/>
    </row>
    <row r="124" spans="1:10" x14ac:dyDescent="0.2">
      <c r="A124" s="120"/>
      <c r="B124" s="120"/>
      <c r="C124" s="130"/>
      <c r="D124" s="120"/>
      <c r="E124" s="120"/>
      <c r="F124" s="131"/>
      <c r="G124" s="131"/>
      <c r="H124" s="122" t="str">
        <f>IFERROR(VLOOKUP(B124,'[1]Debt Holding Consolidated'!$C$1:$N$65536,12,FALSE),"")</f>
        <v/>
      </c>
      <c r="J124" s="2"/>
    </row>
    <row r="125" spans="1:10" x14ac:dyDescent="0.2">
      <c r="A125" s="120"/>
      <c r="B125" s="120"/>
      <c r="C125" s="121" t="s">
        <v>175</v>
      </c>
      <c r="D125" s="120"/>
      <c r="E125" s="120"/>
      <c r="F125" s="120"/>
      <c r="G125" s="120"/>
      <c r="H125" s="122" t="str">
        <f>IFERROR(VLOOKUP(B125,'[1]Debt Holding Consolidated'!$C$1:$N$65536,12,FALSE),"")</f>
        <v/>
      </c>
      <c r="J125" s="2"/>
    </row>
    <row r="126" spans="1:10" x14ac:dyDescent="0.2">
      <c r="A126" s="120"/>
      <c r="B126" s="120"/>
      <c r="C126" s="121" t="s">
        <v>176</v>
      </c>
      <c r="D126" s="120"/>
      <c r="E126" s="120"/>
      <c r="F126" s="120"/>
      <c r="G126" s="120"/>
      <c r="H126" s="122" t="str">
        <f>IFERROR(VLOOKUP(B126,'[1]Debt Holding Consolidated'!$C$1:$N$65536,12,FALSE),"")</f>
        <v/>
      </c>
      <c r="J126" s="2"/>
    </row>
    <row r="127" spans="1:10" x14ac:dyDescent="0.2">
      <c r="A127" s="120"/>
      <c r="B127" s="120"/>
      <c r="C127" s="121" t="s">
        <v>152</v>
      </c>
      <c r="D127" s="120"/>
      <c r="E127" s="120" t="s">
        <v>153</v>
      </c>
      <c r="F127" s="132" t="s">
        <v>155</v>
      </c>
      <c r="G127" s="129">
        <v>0</v>
      </c>
      <c r="H127" s="122" t="str">
        <f>IFERROR(VLOOKUP(B127,'[1]Debt Holding Consolidated'!$C$1:$N$65536,12,FALSE),"")</f>
        <v/>
      </c>
      <c r="J127" s="2"/>
    </row>
    <row r="128" spans="1:10" x14ac:dyDescent="0.2">
      <c r="A128" s="120"/>
      <c r="B128" s="120"/>
      <c r="C128" s="130"/>
      <c r="D128" s="120"/>
      <c r="E128" s="120"/>
      <c r="F128" s="131"/>
      <c r="G128" s="131"/>
      <c r="H128" s="122" t="str">
        <f>IFERROR(VLOOKUP(B128,'[1]Debt Holding Consolidated'!$C$1:$N$65536,12,FALSE),"")</f>
        <v/>
      </c>
      <c r="J128" s="2"/>
    </row>
    <row r="129" spans="1:17" x14ac:dyDescent="0.2">
      <c r="A129" s="120"/>
      <c r="B129" s="120"/>
      <c r="C129" s="121" t="s">
        <v>177</v>
      </c>
      <c r="D129" s="120"/>
      <c r="E129" s="120"/>
      <c r="F129" s="131"/>
      <c r="G129" s="131"/>
      <c r="H129" s="122" t="str">
        <f>IFERROR(VLOOKUP(B129,'[1]Debt Holding Consolidated'!$C$1:$N$65536,12,FALSE),"")</f>
        <v/>
      </c>
      <c r="J129" s="2"/>
    </row>
    <row r="130" spans="1:17" x14ac:dyDescent="0.2">
      <c r="A130" s="120"/>
      <c r="B130" s="120"/>
      <c r="C130" s="121" t="s">
        <v>152</v>
      </c>
      <c r="D130" s="120"/>
      <c r="E130" s="120" t="s">
        <v>153</v>
      </c>
      <c r="F130" s="132" t="s">
        <v>155</v>
      </c>
      <c r="G130" s="129">
        <v>0</v>
      </c>
      <c r="H130" s="122" t="str">
        <f>IFERROR(VLOOKUP(B130,'[1]Debt Holding Consolidated'!$C$1:$N$65536,12,FALSE),"")</f>
        <v/>
      </c>
      <c r="J130" s="2"/>
    </row>
    <row r="131" spans="1:17" x14ac:dyDescent="0.2">
      <c r="A131" s="120"/>
      <c r="B131" s="120"/>
      <c r="C131" s="130"/>
      <c r="D131" s="120"/>
      <c r="E131" s="120"/>
      <c r="F131" s="131"/>
      <c r="G131" s="131"/>
      <c r="H131" s="122" t="str">
        <f>IFERROR(VLOOKUP(B131,'[1]Debt Holding Consolidated'!$C$1:$N$65536,12,FALSE),"")</f>
        <v/>
      </c>
      <c r="J131" s="2"/>
    </row>
    <row r="132" spans="1:17" x14ac:dyDescent="0.2">
      <c r="A132" s="133"/>
      <c r="B132" s="124"/>
      <c r="C132" s="124" t="s">
        <v>542</v>
      </c>
      <c r="D132" s="124"/>
      <c r="E132" s="133"/>
      <c r="F132" s="126">
        <v>-45.520890000000001</v>
      </c>
      <c r="G132" s="127">
        <v>-2.8758099999999999E-3</v>
      </c>
      <c r="H132" s="122" t="str">
        <f>IFERROR(VLOOKUP(B132,'[1]Debt Holding Consolidated'!$C$1:$N$65536,12,FALSE),"")</f>
        <v/>
      </c>
      <c r="J132" s="2"/>
    </row>
    <row r="133" spans="1:17" x14ac:dyDescent="0.2">
      <c r="A133" s="133"/>
      <c r="B133" s="124"/>
      <c r="C133" s="160" t="s">
        <v>942</v>
      </c>
      <c r="D133" s="124"/>
      <c r="E133" s="133"/>
      <c r="F133" s="126">
        <f>10321.77133411+-10627.058055</f>
        <v>-305.28672088999883</v>
      </c>
      <c r="G133" s="127">
        <f>F133/F134</f>
        <v>-1.9286657974600867E-2</v>
      </c>
      <c r="H133" s="122" t="str">
        <f>IFERROR(VLOOKUP(B133,'[1]Debt Holding Consolidated'!$C$1:$N$65536,12,FALSE),"")</f>
        <v/>
      </c>
      <c r="J133" s="2"/>
    </row>
    <row r="134" spans="1:17" x14ac:dyDescent="0.2">
      <c r="A134" s="130"/>
      <c r="B134" s="130"/>
      <c r="C134" s="121" t="s">
        <v>179</v>
      </c>
      <c r="D134" s="131"/>
      <c r="E134" s="131"/>
      <c r="F134" s="128">
        <f>F133+F132+F123+F118+F97+F80</f>
        <v>15828.907283576002</v>
      </c>
      <c r="G134" s="134">
        <f>G133+G132+G123+G118+G97+G80</f>
        <v>1.0000000320253992</v>
      </c>
      <c r="H134" s="122" t="str">
        <f>IFERROR(VLOOKUP(B134,'[1]Debt Holding Consolidated'!$C$1:$N$65536,12,FALSE),"")</f>
        <v/>
      </c>
      <c r="J134" s="2"/>
    </row>
    <row r="135" spans="1:17" x14ac:dyDescent="0.2">
      <c r="A135" s="135"/>
      <c r="B135" s="135"/>
      <c r="C135" s="135"/>
      <c r="D135" s="136"/>
      <c r="E135" s="136"/>
      <c r="F135" s="136"/>
      <c r="G135" s="136"/>
      <c r="J135" s="2"/>
    </row>
    <row r="136" spans="1:17" x14ac:dyDescent="0.2">
      <c r="A136" s="137"/>
      <c r="B136" s="226" t="s">
        <v>863</v>
      </c>
      <c r="C136" s="226"/>
      <c r="D136" s="226"/>
      <c r="E136" s="226"/>
      <c r="F136" s="226"/>
      <c r="G136" s="226"/>
      <c r="H136" s="226"/>
      <c r="J136" s="2"/>
    </row>
    <row r="137" spans="1:17" x14ac:dyDescent="0.2">
      <c r="A137" s="137"/>
      <c r="B137" s="226" t="s">
        <v>864</v>
      </c>
      <c r="C137" s="226"/>
      <c r="D137" s="226"/>
      <c r="E137" s="226"/>
      <c r="F137" s="226"/>
      <c r="G137" s="226"/>
      <c r="H137" s="226"/>
      <c r="J137" s="2"/>
    </row>
    <row r="138" spans="1:17" x14ac:dyDescent="0.2">
      <c r="A138" s="137"/>
      <c r="B138" s="226" t="s">
        <v>865</v>
      </c>
      <c r="C138" s="226"/>
      <c r="D138" s="226"/>
      <c r="E138" s="226"/>
      <c r="F138" s="226"/>
      <c r="G138" s="226"/>
      <c r="H138" s="226"/>
      <c r="J138" s="2"/>
    </row>
    <row r="139" spans="1:17" s="5" customFormat="1" ht="55.5" customHeight="1" x14ac:dyDescent="0.25">
      <c r="A139" s="139"/>
      <c r="B139" s="227" t="s">
        <v>866</v>
      </c>
      <c r="C139" s="227"/>
      <c r="D139" s="227"/>
      <c r="E139" s="227"/>
      <c r="F139" s="227"/>
      <c r="G139" s="227"/>
      <c r="H139" s="227"/>
      <c r="I139"/>
      <c r="J139" s="2"/>
      <c r="K139"/>
      <c r="L139"/>
      <c r="M139"/>
      <c r="N139"/>
      <c r="O139"/>
      <c r="P139"/>
      <c r="Q139"/>
    </row>
    <row r="140" spans="1:17" x14ac:dyDescent="0.2">
      <c r="A140" s="137"/>
      <c r="B140" s="226" t="s">
        <v>867</v>
      </c>
      <c r="C140" s="226"/>
      <c r="D140" s="226"/>
      <c r="E140" s="226"/>
      <c r="F140" s="226"/>
      <c r="G140" s="226"/>
      <c r="H140" s="226"/>
      <c r="J140" s="2"/>
    </row>
    <row r="141" spans="1:17" x14ac:dyDescent="0.2">
      <c r="A141" s="140"/>
      <c r="B141" s="140"/>
      <c r="C141" s="140"/>
      <c r="D141" s="141"/>
      <c r="E141" s="141"/>
      <c r="F141" s="141"/>
      <c r="G141" s="141"/>
      <c r="J141" s="2"/>
    </row>
    <row r="142" spans="1:17" x14ac:dyDescent="0.2">
      <c r="A142" s="140"/>
      <c r="B142" s="228" t="s">
        <v>180</v>
      </c>
      <c r="C142" s="229"/>
      <c r="D142" s="230"/>
      <c r="E142" s="142"/>
      <c r="F142" s="141"/>
      <c r="G142" s="141"/>
      <c r="J142" s="2"/>
    </row>
    <row r="143" spans="1:17" x14ac:dyDescent="0.2">
      <c r="A143" s="140"/>
      <c r="B143" s="223" t="s">
        <v>181</v>
      </c>
      <c r="C143" s="224"/>
      <c r="D143" s="195" t="s">
        <v>943</v>
      </c>
      <c r="E143" s="142"/>
      <c r="F143" s="141"/>
      <c r="G143" s="141"/>
      <c r="J143" s="2"/>
    </row>
    <row r="144" spans="1:17" x14ac:dyDescent="0.2">
      <c r="A144" s="140"/>
      <c r="B144" s="223" t="s">
        <v>183</v>
      </c>
      <c r="C144" s="224"/>
      <c r="D144" s="121" t="s">
        <v>182</v>
      </c>
      <c r="E144" s="142"/>
      <c r="F144" s="141"/>
      <c r="G144" s="141"/>
      <c r="J144" s="2"/>
    </row>
    <row r="145" spans="1:15" x14ac:dyDescent="0.2">
      <c r="A145" s="140"/>
      <c r="B145" s="223" t="s">
        <v>184</v>
      </c>
      <c r="C145" s="224"/>
      <c r="D145" s="131" t="s">
        <v>153</v>
      </c>
      <c r="E145" s="142"/>
      <c r="F145" s="141"/>
      <c r="G145" s="141"/>
      <c r="I145" s="21"/>
      <c r="J145" s="2"/>
    </row>
    <row r="146" spans="1:15" x14ac:dyDescent="0.2">
      <c r="A146" s="144"/>
      <c r="B146" s="145" t="s">
        <v>153</v>
      </c>
      <c r="C146" s="145" t="s">
        <v>870</v>
      </c>
      <c r="D146" s="145" t="s">
        <v>185</v>
      </c>
      <c r="E146" s="144"/>
      <c r="F146" s="144"/>
      <c r="G146" s="144"/>
      <c r="H146" s="144"/>
      <c r="J146" s="2"/>
    </row>
    <row r="147" spans="1:15" x14ac:dyDescent="0.2">
      <c r="A147" s="146"/>
      <c r="B147" s="147" t="s">
        <v>186</v>
      </c>
      <c r="C147" s="148">
        <v>45504</v>
      </c>
      <c r="D147" s="149">
        <v>45535</v>
      </c>
      <c r="E147" s="146"/>
      <c r="F147" s="146"/>
      <c r="G147" s="146"/>
      <c r="J147" s="2"/>
    </row>
    <row r="148" spans="1:15" x14ac:dyDescent="0.2">
      <c r="A148" s="146"/>
      <c r="B148" s="124" t="s">
        <v>187</v>
      </c>
      <c r="C148" s="150">
        <v>14.2492</v>
      </c>
      <c r="D148" s="150">
        <v>14.3385</v>
      </c>
      <c r="E148" s="146"/>
      <c r="F148" s="151"/>
      <c r="G148" s="152"/>
      <c r="J148" s="2"/>
    </row>
    <row r="149" spans="1:15" x14ac:dyDescent="0.2">
      <c r="A149" s="146"/>
      <c r="B149" s="124" t="s">
        <v>926</v>
      </c>
      <c r="C149" s="150">
        <v>12.3216</v>
      </c>
      <c r="D149" s="150">
        <v>12.3988</v>
      </c>
      <c r="E149" s="146"/>
      <c r="F149" s="151"/>
      <c r="G149" s="152"/>
      <c r="J149" s="2"/>
    </row>
    <row r="150" spans="1:15" x14ac:dyDescent="0.2">
      <c r="A150" s="146"/>
      <c r="B150" s="124" t="s">
        <v>188</v>
      </c>
      <c r="C150" s="150">
        <v>13.611700000000001</v>
      </c>
      <c r="D150" s="150">
        <v>13.689399999999999</v>
      </c>
      <c r="E150" s="146"/>
      <c r="F150" s="151"/>
      <c r="G150" s="152"/>
      <c r="J150" s="2"/>
    </row>
    <row r="151" spans="1:15" x14ac:dyDescent="0.2">
      <c r="A151" s="146"/>
      <c r="B151" s="124" t="s">
        <v>927</v>
      </c>
      <c r="C151" s="150">
        <v>11.9672</v>
      </c>
      <c r="D151" s="150">
        <v>12.035500000000001</v>
      </c>
      <c r="E151" s="146"/>
      <c r="F151" s="151"/>
      <c r="G151" s="152"/>
      <c r="J151" s="2"/>
    </row>
    <row r="152" spans="1:15" x14ac:dyDescent="0.2">
      <c r="A152" s="146"/>
      <c r="B152" s="146"/>
      <c r="C152" s="146"/>
      <c r="D152" s="146"/>
      <c r="E152" s="146"/>
      <c r="F152" s="146"/>
      <c r="G152" s="146"/>
      <c r="J152" s="2"/>
    </row>
    <row r="153" spans="1:15" x14ac:dyDescent="0.2">
      <c r="A153" s="144"/>
      <c r="B153" s="221" t="s">
        <v>869</v>
      </c>
      <c r="C153" s="222"/>
      <c r="D153" s="143" t="s">
        <v>182</v>
      </c>
      <c r="E153" s="144"/>
      <c r="F153" s="144"/>
      <c r="G153" s="144"/>
      <c r="J153" s="2"/>
    </row>
    <row r="154" spans="1:15" x14ac:dyDescent="0.2">
      <c r="A154" s="144"/>
      <c r="B154" s="163"/>
      <c r="C154" s="163"/>
      <c r="D154" s="163"/>
      <c r="E154" s="144"/>
      <c r="F154" s="144"/>
      <c r="G154" s="144"/>
      <c r="J154" s="2"/>
    </row>
    <row r="155" spans="1:15" ht="29.1" customHeight="1" x14ac:dyDescent="0.2">
      <c r="A155" s="144"/>
      <c r="B155" s="221" t="s">
        <v>189</v>
      </c>
      <c r="C155" s="222"/>
      <c r="D155" s="143" t="s">
        <v>1000</v>
      </c>
      <c r="E155" s="153"/>
      <c r="F155" s="144"/>
      <c r="G155" s="144"/>
      <c r="J155" s="2"/>
    </row>
    <row r="156" spans="1:15" ht="29.1" customHeight="1" x14ac:dyDescent="0.2">
      <c r="A156" s="144"/>
      <c r="B156" s="221" t="s">
        <v>190</v>
      </c>
      <c r="C156" s="222"/>
      <c r="D156" s="143" t="s">
        <v>182</v>
      </c>
      <c r="E156" s="153"/>
      <c r="F156" s="144"/>
      <c r="G156" s="144"/>
      <c r="I156" s="21"/>
      <c r="J156" s="2"/>
    </row>
    <row r="157" spans="1:15" ht="17.100000000000001" customHeight="1" x14ac:dyDescent="0.2">
      <c r="A157" s="144"/>
      <c r="B157" s="221" t="s">
        <v>191</v>
      </c>
      <c r="C157" s="222"/>
      <c r="D157" s="143" t="s">
        <v>182</v>
      </c>
      <c r="E157" s="153"/>
      <c r="F157" s="144"/>
      <c r="G157" s="144"/>
      <c r="J157" s="2"/>
    </row>
    <row r="158" spans="1:15" ht="17.100000000000001" customHeight="1" x14ac:dyDescent="0.2">
      <c r="A158" s="144"/>
      <c r="B158" s="221" t="s">
        <v>192</v>
      </c>
      <c r="C158" s="222"/>
      <c r="D158" s="154">
        <v>9.2495666092943818</v>
      </c>
      <c r="E158" s="144"/>
      <c r="F158" s="138"/>
      <c r="G158" s="155"/>
      <c r="J158" s="2"/>
    </row>
    <row r="159" spans="1:15" x14ac:dyDescent="0.2">
      <c r="J159" s="2"/>
    </row>
    <row r="160" spans="1:15" s="18" customFormat="1" x14ac:dyDescent="0.2">
      <c r="B160" s="196" t="s">
        <v>1062</v>
      </c>
      <c r="C160" s="196"/>
      <c r="D160" s="196"/>
      <c r="E160" s="22"/>
      <c r="F160" s="23"/>
      <c r="I160"/>
      <c r="J160" s="2"/>
      <c r="K160"/>
      <c r="L160"/>
      <c r="M160"/>
      <c r="N160"/>
      <c r="O160"/>
    </row>
    <row r="161" spans="2:17" s="18" customFormat="1" ht="38.25" x14ac:dyDescent="0.2">
      <c r="B161" s="175" t="s">
        <v>944</v>
      </c>
      <c r="C161" s="175" t="s">
        <v>945</v>
      </c>
      <c r="D161" s="175" t="s">
        <v>946</v>
      </c>
      <c r="E161" s="175" t="s">
        <v>947</v>
      </c>
      <c r="F161" s="175" t="s">
        <v>948</v>
      </c>
      <c r="I161"/>
      <c r="J161" s="2"/>
      <c r="K161"/>
      <c r="L161"/>
      <c r="M161"/>
      <c r="N161"/>
      <c r="O161"/>
    </row>
    <row r="162" spans="2:17" s="19" customFormat="1" ht="25.5" x14ac:dyDescent="0.2">
      <c r="B162" s="176" t="s">
        <v>949</v>
      </c>
      <c r="C162" s="177" t="s">
        <v>950</v>
      </c>
      <c r="D162" s="178">
        <v>0</v>
      </c>
      <c r="E162" s="20">
        <v>0</v>
      </c>
      <c r="F162" s="179">
        <v>50</v>
      </c>
      <c r="I162"/>
      <c r="J162" s="2"/>
      <c r="K162"/>
      <c r="L162"/>
      <c r="M162"/>
      <c r="N162"/>
      <c r="O162"/>
      <c r="P162" s="18"/>
      <c r="Q162" s="18"/>
    </row>
    <row r="163" spans="2:17" s="18" customFormat="1" x14ac:dyDescent="0.2">
      <c r="I163"/>
      <c r="J163" s="2"/>
      <c r="K163"/>
      <c r="L163"/>
      <c r="M163"/>
      <c r="N163"/>
      <c r="O163"/>
      <c r="P163"/>
      <c r="Q163"/>
    </row>
    <row r="164" spans="2:17" s="18" customFormat="1" x14ac:dyDescent="0.2">
      <c r="B164" s="245" t="s">
        <v>963</v>
      </c>
      <c r="C164" s="246"/>
      <c r="D164" s="247"/>
      <c r="I164"/>
      <c r="J164" s="2"/>
      <c r="K164"/>
      <c r="L164"/>
      <c r="M164"/>
      <c r="N164"/>
      <c r="O164"/>
      <c r="P164"/>
      <c r="Q164"/>
    </row>
    <row r="165" spans="2:17" s="18" customFormat="1" ht="25.5" x14ac:dyDescent="0.2">
      <c r="B165" s="248" t="s">
        <v>964</v>
      </c>
      <c r="C165" s="248"/>
      <c r="D165" s="190" t="s">
        <v>645</v>
      </c>
      <c r="I165"/>
      <c r="J165" s="2"/>
      <c r="K165"/>
      <c r="L165"/>
      <c r="M165"/>
      <c r="N165"/>
      <c r="O165"/>
      <c r="P165"/>
      <c r="Q165"/>
    </row>
    <row r="166" spans="2:17" s="18" customFormat="1" x14ac:dyDescent="0.2">
      <c r="B166" s="248" t="s">
        <v>965</v>
      </c>
      <c r="C166" s="248"/>
      <c r="D166" s="197"/>
      <c r="I166"/>
      <c r="J166" s="2"/>
      <c r="K166"/>
      <c r="L166"/>
      <c r="M166"/>
      <c r="N166"/>
      <c r="O166"/>
      <c r="P166"/>
      <c r="Q166"/>
    </row>
    <row r="167" spans="2:17" s="18" customFormat="1" x14ac:dyDescent="0.2">
      <c r="B167" s="249"/>
      <c r="C167" s="250"/>
      <c r="D167" s="191"/>
      <c r="I167"/>
      <c r="J167" s="2"/>
      <c r="K167"/>
      <c r="L167"/>
      <c r="M167"/>
      <c r="N167"/>
      <c r="O167"/>
      <c r="P167"/>
      <c r="Q167"/>
    </row>
    <row r="168" spans="2:17" s="18" customFormat="1" x14ac:dyDescent="0.2">
      <c r="B168" s="248" t="s">
        <v>966</v>
      </c>
      <c r="C168" s="248"/>
      <c r="D168" s="192">
        <v>6.675346516782108</v>
      </c>
      <c r="I168"/>
      <c r="J168" s="2"/>
      <c r="K168"/>
      <c r="L168"/>
      <c r="M168"/>
      <c r="N168"/>
      <c r="O168"/>
      <c r="P168"/>
      <c r="Q168"/>
    </row>
    <row r="169" spans="2:17" s="18" customFormat="1" x14ac:dyDescent="0.2">
      <c r="B169" s="249"/>
      <c r="C169" s="250"/>
      <c r="D169" s="191"/>
      <c r="I169"/>
      <c r="J169" s="8"/>
      <c r="K169"/>
      <c r="L169"/>
      <c r="M169"/>
      <c r="N169"/>
      <c r="O169"/>
      <c r="P169"/>
      <c r="Q169"/>
    </row>
    <row r="170" spans="2:17" s="18" customFormat="1" x14ac:dyDescent="0.2">
      <c r="B170" s="248" t="s">
        <v>967</v>
      </c>
      <c r="C170" s="248"/>
      <c r="D170" s="192">
        <v>0.59162295377331553</v>
      </c>
      <c r="I170"/>
      <c r="J170" s="8"/>
      <c r="K170"/>
      <c r="L170"/>
      <c r="M170"/>
      <c r="N170"/>
      <c r="O170"/>
      <c r="P170"/>
      <c r="Q170"/>
    </row>
    <row r="171" spans="2:17" s="18" customFormat="1" x14ac:dyDescent="0.2">
      <c r="B171" s="248" t="s">
        <v>968</v>
      </c>
      <c r="C171" s="248"/>
      <c r="D171" s="192">
        <v>0.6365886051413886</v>
      </c>
      <c r="I171"/>
      <c r="J171" s="8"/>
      <c r="K171"/>
      <c r="L171"/>
      <c r="M171"/>
      <c r="N171"/>
      <c r="O171"/>
      <c r="P171"/>
      <c r="Q171"/>
    </row>
    <row r="172" spans="2:17" s="18" customFormat="1" x14ac:dyDescent="0.2">
      <c r="B172" s="249"/>
      <c r="C172" s="250"/>
      <c r="D172" s="191"/>
      <c r="I172"/>
      <c r="J172" s="8"/>
      <c r="K172"/>
      <c r="L172"/>
      <c r="M172"/>
      <c r="N172"/>
      <c r="O172"/>
      <c r="P172"/>
      <c r="Q172"/>
    </row>
    <row r="173" spans="2:17" s="18" customFormat="1" x14ac:dyDescent="0.2">
      <c r="B173" s="248" t="s">
        <v>969</v>
      </c>
      <c r="C173" s="248"/>
      <c r="D173" s="194" t="s">
        <v>1064</v>
      </c>
      <c r="I173"/>
      <c r="J173" s="8"/>
      <c r="K173"/>
      <c r="L173"/>
      <c r="M173"/>
      <c r="N173"/>
      <c r="O173"/>
      <c r="P173"/>
      <c r="Q173"/>
    </row>
    <row r="174" spans="2:17" s="18" customFormat="1" x14ac:dyDescent="0.2">
      <c r="B174" s="249" t="s">
        <v>970</v>
      </c>
      <c r="C174" s="251"/>
      <c r="D174" s="250"/>
      <c r="I174"/>
      <c r="J174" s="8"/>
      <c r="K174"/>
      <c r="L174"/>
      <c r="M174"/>
      <c r="N174"/>
      <c r="O174"/>
      <c r="P174"/>
      <c r="Q174"/>
    </row>
  </sheetData>
  <mergeCells count="28">
    <mergeCell ref="B174:D174"/>
    <mergeCell ref="B169:C169"/>
    <mergeCell ref="B170:C170"/>
    <mergeCell ref="B171:C171"/>
    <mergeCell ref="B172:C172"/>
    <mergeCell ref="B173:C173"/>
    <mergeCell ref="B164:D164"/>
    <mergeCell ref="B165:C165"/>
    <mergeCell ref="B166:C166"/>
    <mergeCell ref="B167:C167"/>
    <mergeCell ref="B168:C168"/>
    <mergeCell ref="B143:C143"/>
    <mergeCell ref="A1:H1"/>
    <mergeCell ref="A2:H2"/>
    <mergeCell ref="A3:H3"/>
    <mergeCell ref="B136:H136"/>
    <mergeCell ref="B137:H137"/>
    <mergeCell ref="B138:H138"/>
    <mergeCell ref="B139:H139"/>
    <mergeCell ref="B140:H140"/>
    <mergeCell ref="B142:D142"/>
    <mergeCell ref="B144:C144"/>
    <mergeCell ref="B145:C145"/>
    <mergeCell ref="B153:C153"/>
    <mergeCell ref="B157:C157"/>
    <mergeCell ref="B158:C158"/>
    <mergeCell ref="B155:C155"/>
    <mergeCell ref="B156:C156"/>
  </mergeCells>
  <hyperlinks>
    <hyperlink ref="I1" location="Index!B16" display="Index" xr:uid="{A4BD422D-F71A-4460-9C3D-23DAC628DE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79E7C-F0FC-489F-AF19-A2BDAD833A59}">
  <sheetPr>
    <outlinePr summaryBelow="0" summaryRight="0"/>
  </sheetPr>
  <dimension ref="A1:Q209"/>
  <sheetViews>
    <sheetView showGridLines="0" workbookViewId="0">
      <selection sqref="A1:H1"/>
    </sheetView>
  </sheetViews>
  <sheetFormatPr defaultRowHeight="12.75" x14ac:dyDescent="0.2"/>
  <cols>
    <col min="1" max="1" width="6.85546875" customWidth="1"/>
    <col min="2" max="2" width="20.5703125" customWidth="1"/>
    <col min="3" max="3" width="45.7109375" customWidth="1"/>
    <col min="4" max="4" width="17.85546875" customWidth="1"/>
    <col min="5" max="6" width="19.140625" customWidth="1"/>
    <col min="7" max="7" width="16.42578125" customWidth="1"/>
    <col min="9" max="9" width="5.7109375" bestFit="1" customWidth="1"/>
    <col min="10" max="10" width="50.7109375" style="8" customWidth="1"/>
  </cols>
  <sheetData>
    <row r="1" spans="1:10" ht="15" x14ac:dyDescent="0.2">
      <c r="A1" s="225" t="s">
        <v>0</v>
      </c>
      <c r="B1" s="225"/>
      <c r="C1" s="225"/>
      <c r="D1" s="225"/>
      <c r="E1" s="225"/>
      <c r="F1" s="225"/>
      <c r="G1" s="225"/>
      <c r="H1" s="225"/>
      <c r="I1" s="6" t="s">
        <v>913</v>
      </c>
      <c r="J1" s="2"/>
    </row>
    <row r="2" spans="1:10" ht="15" x14ac:dyDescent="0.2">
      <c r="A2" s="225" t="s">
        <v>667</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851</v>
      </c>
      <c r="J4" s="2"/>
    </row>
    <row r="5" spans="1:10" x14ac:dyDescent="0.2">
      <c r="A5" s="120"/>
      <c r="B5" s="120"/>
      <c r="C5" s="121" t="s">
        <v>9</v>
      </c>
      <c r="D5" s="120"/>
      <c r="E5" s="120"/>
      <c r="F5" s="120"/>
      <c r="G5" s="120"/>
      <c r="H5" s="122" t="str">
        <f>IFERROR(VLOOKUP(B5,'[1]Debt Holding Consolidated'!$C$1:$N$65536,12,FALSE),"")</f>
        <v/>
      </c>
      <c r="J5" s="2"/>
    </row>
    <row r="6" spans="1:10" x14ac:dyDescent="0.2">
      <c r="A6" s="120"/>
      <c r="B6" s="120"/>
      <c r="C6" s="121" t="s">
        <v>10</v>
      </c>
      <c r="D6" s="120"/>
      <c r="E6" s="120"/>
      <c r="F6" s="120"/>
      <c r="G6" s="120"/>
      <c r="H6" s="122" t="str">
        <f>IFERROR(VLOOKUP(B6,'[1]Debt Holding Consolidated'!$C$1:$N$65536,12,FALSE),"")</f>
        <v/>
      </c>
      <c r="J6" s="2"/>
    </row>
    <row r="7" spans="1:10" x14ac:dyDescent="0.2">
      <c r="A7" s="123">
        <v>1</v>
      </c>
      <c r="B7" s="124" t="s">
        <v>342</v>
      </c>
      <c r="C7" s="124" t="s">
        <v>343</v>
      </c>
      <c r="D7" s="124" t="s">
        <v>48</v>
      </c>
      <c r="E7" s="125">
        <v>656390</v>
      </c>
      <c r="F7" s="126">
        <v>10744.447910000001</v>
      </c>
      <c r="G7" s="127">
        <v>6.8244689999999997E-2</v>
      </c>
      <c r="H7" s="122" t="str">
        <f>IFERROR(VLOOKUP(B7,'[1]Debt Holding Consolidated'!$C$1:$N$65536,12,FALSE),"")</f>
        <v/>
      </c>
      <c r="J7" s="2"/>
    </row>
    <row r="8" spans="1:10" x14ac:dyDescent="0.2">
      <c r="A8" s="123">
        <v>2</v>
      </c>
      <c r="B8" s="124" t="s">
        <v>20</v>
      </c>
      <c r="C8" s="124" t="s">
        <v>21</v>
      </c>
      <c r="D8" s="124" t="s">
        <v>22</v>
      </c>
      <c r="E8" s="125">
        <v>303750</v>
      </c>
      <c r="F8" s="126">
        <v>9170.9718749999993</v>
      </c>
      <c r="G8" s="127">
        <v>5.825056E-2</v>
      </c>
      <c r="H8" s="122" t="str">
        <f>IFERROR(VLOOKUP(B8,'[1]Debt Holding Consolidated'!$C$1:$N$65536,12,FALSE),"")</f>
        <v/>
      </c>
      <c r="J8" s="2"/>
    </row>
    <row r="9" spans="1:10" x14ac:dyDescent="0.2">
      <c r="A9" s="123">
        <v>3</v>
      </c>
      <c r="B9" s="124" t="s">
        <v>46</v>
      </c>
      <c r="C9" s="124" t="s">
        <v>47</v>
      </c>
      <c r="D9" s="124" t="s">
        <v>48</v>
      </c>
      <c r="E9" s="125">
        <v>571730</v>
      </c>
      <c r="F9" s="126">
        <v>7027.7051600000004</v>
      </c>
      <c r="G9" s="127">
        <v>4.4637339999999998E-2</v>
      </c>
      <c r="H9" s="122" t="str">
        <f>IFERROR(VLOOKUP(B9,'[1]Debt Holding Consolidated'!$C$1:$N$65536,12,FALSE),"")</f>
        <v/>
      </c>
      <c r="J9" s="2"/>
    </row>
    <row r="10" spans="1:10" x14ac:dyDescent="0.2">
      <c r="A10" s="123">
        <v>4</v>
      </c>
      <c r="B10" s="124" t="s">
        <v>344</v>
      </c>
      <c r="C10" s="124" t="s">
        <v>345</v>
      </c>
      <c r="D10" s="124" t="s">
        <v>211</v>
      </c>
      <c r="E10" s="125">
        <v>310300</v>
      </c>
      <c r="F10" s="126">
        <v>6031.3010999999997</v>
      </c>
      <c r="G10" s="127">
        <v>3.8308549999999997E-2</v>
      </c>
      <c r="H10" s="122" t="str">
        <f>IFERROR(VLOOKUP(B10,'[1]Debt Holding Consolidated'!$C$1:$N$65536,12,FALSE),"")</f>
        <v/>
      </c>
      <c r="J10" s="2"/>
    </row>
    <row r="11" spans="1:10" x14ac:dyDescent="0.2">
      <c r="A11" s="123">
        <v>5</v>
      </c>
      <c r="B11" s="124" t="s">
        <v>14</v>
      </c>
      <c r="C11" s="124" t="s">
        <v>15</v>
      </c>
      <c r="D11" s="124" t="s">
        <v>16</v>
      </c>
      <c r="E11" s="125">
        <v>257500</v>
      </c>
      <c r="F11" s="126">
        <v>4091.80375</v>
      </c>
      <c r="G11" s="127">
        <v>2.5989600000000002E-2</v>
      </c>
      <c r="H11" s="122" t="str">
        <f>IFERROR(VLOOKUP(B11,'[1]Debt Holding Consolidated'!$C$1:$N$65536,12,FALSE),"")</f>
        <v/>
      </c>
      <c r="J11" s="2"/>
    </row>
    <row r="12" spans="1:10" ht="15" x14ac:dyDescent="0.2">
      <c r="A12" s="123">
        <v>6</v>
      </c>
      <c r="B12" s="124" t="s">
        <v>194</v>
      </c>
      <c r="C12" s="124" t="s">
        <v>195</v>
      </c>
      <c r="D12" s="124" t="s">
        <v>45</v>
      </c>
      <c r="E12" s="125">
        <v>579000</v>
      </c>
      <c r="F12" s="126">
        <v>3562.0079999999998</v>
      </c>
      <c r="G12" s="127">
        <v>2.262453E-2</v>
      </c>
      <c r="H12" s="122" t="str">
        <f>IFERROR(VLOOKUP(B12,'[1]Debt Holding Consolidated'!$C$1:$N$65536,12,FALSE),"")</f>
        <v/>
      </c>
      <c r="J12" s="7"/>
    </row>
    <row r="13" spans="1:10" x14ac:dyDescent="0.2">
      <c r="A13" s="123">
        <v>7</v>
      </c>
      <c r="B13" s="124" t="s">
        <v>356</v>
      </c>
      <c r="C13" s="124" t="s">
        <v>357</v>
      </c>
      <c r="D13" s="124" t="s">
        <v>48</v>
      </c>
      <c r="E13" s="125">
        <v>199520</v>
      </c>
      <c r="F13" s="126">
        <v>3553.0521600000002</v>
      </c>
      <c r="G13" s="127">
        <v>2.2567650000000002E-2</v>
      </c>
      <c r="H13" s="122" t="str">
        <f>IFERROR(VLOOKUP(B13,'[1]Debt Holding Consolidated'!$C$1:$N$65536,12,FALSE),"")</f>
        <v/>
      </c>
      <c r="J13" s="2"/>
    </row>
    <row r="14" spans="1:10" x14ac:dyDescent="0.2">
      <c r="A14" s="123">
        <v>8</v>
      </c>
      <c r="B14" s="124" t="s">
        <v>11</v>
      </c>
      <c r="C14" s="124" t="s">
        <v>12</v>
      </c>
      <c r="D14" s="124" t="s">
        <v>13</v>
      </c>
      <c r="E14" s="125">
        <v>87300</v>
      </c>
      <c r="F14" s="126">
        <v>3234.1594500000001</v>
      </c>
      <c r="G14" s="127">
        <v>2.054216E-2</v>
      </c>
      <c r="H14" s="122" t="str">
        <f>IFERROR(VLOOKUP(B14,'[1]Debt Holding Consolidated'!$C$1:$N$65536,12,FALSE),"")</f>
        <v/>
      </c>
      <c r="J14" s="2"/>
    </row>
    <row r="15" spans="1:10" x14ac:dyDescent="0.2">
      <c r="A15" s="123">
        <v>9</v>
      </c>
      <c r="B15" s="124" t="s">
        <v>350</v>
      </c>
      <c r="C15" s="124" t="s">
        <v>351</v>
      </c>
      <c r="D15" s="124" t="s">
        <v>48</v>
      </c>
      <c r="E15" s="125">
        <v>259485</v>
      </c>
      <c r="F15" s="126">
        <v>3049.5974624999999</v>
      </c>
      <c r="G15" s="127">
        <v>1.9369890000000001E-2</v>
      </c>
      <c r="H15" s="122" t="str">
        <f>IFERROR(VLOOKUP(B15,'[1]Debt Holding Consolidated'!$C$1:$N$65536,12,FALSE),"")</f>
        <v/>
      </c>
      <c r="J15" s="2"/>
    </row>
    <row r="16" spans="1:10" ht="25.5" x14ac:dyDescent="0.2">
      <c r="A16" s="123">
        <v>10</v>
      </c>
      <c r="B16" s="160" t="s">
        <v>861</v>
      </c>
      <c r="C16" s="160" t="s">
        <v>862</v>
      </c>
      <c r="D16" s="160" t="s">
        <v>71</v>
      </c>
      <c r="E16" s="198">
        <v>700000</v>
      </c>
      <c r="F16" s="199">
        <f>271698000/10^5</f>
        <v>2716.98</v>
      </c>
      <c r="G16" s="200">
        <f>F16/F170</f>
        <v>1.725723351431047E-2</v>
      </c>
      <c r="H16" s="199"/>
      <c r="J16" s="2" t="s">
        <v>1001</v>
      </c>
    </row>
    <row r="17" spans="1:10" x14ac:dyDescent="0.2">
      <c r="A17" s="123">
        <v>11</v>
      </c>
      <c r="B17" s="124" t="s">
        <v>54</v>
      </c>
      <c r="C17" s="124" t="s">
        <v>55</v>
      </c>
      <c r="D17" s="124" t="s">
        <v>48</v>
      </c>
      <c r="E17" s="125">
        <v>292420</v>
      </c>
      <c r="F17" s="126">
        <v>2384.9775199999999</v>
      </c>
      <c r="G17" s="127">
        <v>1.5148480000000001E-2</v>
      </c>
      <c r="H17" s="122" t="str">
        <f>IFERROR(VLOOKUP(B17,'[1]Debt Holding Consolidated'!$C$1:$N$65536,12,FALSE),"")</f>
        <v/>
      </c>
      <c r="J17" s="2"/>
    </row>
    <row r="18" spans="1:10" x14ac:dyDescent="0.2">
      <c r="A18" s="123">
        <v>12</v>
      </c>
      <c r="B18" s="124" t="s">
        <v>467</v>
      </c>
      <c r="C18" s="124" t="s">
        <v>468</v>
      </c>
      <c r="D18" s="124" t="s">
        <v>48</v>
      </c>
      <c r="E18" s="125">
        <v>930150</v>
      </c>
      <c r="F18" s="126">
        <v>2326.3051500000001</v>
      </c>
      <c r="G18" s="127">
        <v>1.477581E-2</v>
      </c>
      <c r="H18" s="122" t="str">
        <f>IFERROR(VLOOKUP(B18,'[1]Debt Holding Consolidated'!$C$1:$N$65536,12,FALSE),"")</f>
        <v/>
      </c>
      <c r="J18" s="2"/>
    </row>
    <row r="19" spans="1:10" x14ac:dyDescent="0.2">
      <c r="A19" s="123">
        <v>13</v>
      </c>
      <c r="B19" s="124" t="s">
        <v>348</v>
      </c>
      <c r="C19" s="124" t="s">
        <v>349</v>
      </c>
      <c r="D19" s="124" t="s">
        <v>211</v>
      </c>
      <c r="E19" s="125">
        <v>50622</v>
      </c>
      <c r="F19" s="126">
        <v>2305.199325</v>
      </c>
      <c r="G19" s="127">
        <v>1.464176E-2</v>
      </c>
      <c r="H19" s="122" t="str">
        <f>IFERROR(VLOOKUP(B19,'[1]Debt Holding Consolidated'!$C$1:$N$65536,12,FALSE),"")</f>
        <v/>
      </c>
      <c r="J19" s="2"/>
    </row>
    <row r="20" spans="1:10" x14ac:dyDescent="0.2">
      <c r="A20" s="123">
        <v>14</v>
      </c>
      <c r="B20" s="124" t="s">
        <v>242</v>
      </c>
      <c r="C20" s="124" t="s">
        <v>243</v>
      </c>
      <c r="D20" s="124" t="s">
        <v>89</v>
      </c>
      <c r="E20" s="125">
        <v>67900</v>
      </c>
      <c r="F20" s="126">
        <v>2175.8555000000001</v>
      </c>
      <c r="G20" s="127">
        <v>1.3820219999999999E-2</v>
      </c>
      <c r="H20" s="122" t="str">
        <f>IFERROR(VLOOKUP(B20,'[1]Debt Holding Consolidated'!$C$1:$N$65536,12,FALSE),"")</f>
        <v/>
      </c>
      <c r="J20" s="2"/>
    </row>
    <row r="21" spans="1:10" x14ac:dyDescent="0.2">
      <c r="A21" s="123">
        <v>15</v>
      </c>
      <c r="B21" s="124" t="s">
        <v>406</v>
      </c>
      <c r="C21" s="124" t="s">
        <v>407</v>
      </c>
      <c r="D21" s="124" t="s">
        <v>48</v>
      </c>
      <c r="E21" s="125">
        <v>1917000</v>
      </c>
      <c r="F21" s="126">
        <v>2138.0300999999999</v>
      </c>
      <c r="G21" s="127">
        <v>1.357996E-2</v>
      </c>
      <c r="H21" s="122" t="str">
        <f>IFERROR(VLOOKUP(B21,'[1]Debt Holding Consolidated'!$C$1:$N$65536,12,FALSE),"")</f>
        <v/>
      </c>
      <c r="J21" s="2"/>
    </row>
    <row r="22" spans="1:10" ht="25.5" x14ac:dyDescent="0.2">
      <c r="A22" s="123">
        <v>16</v>
      </c>
      <c r="B22" s="124" t="s">
        <v>471</v>
      </c>
      <c r="C22" s="124" t="s">
        <v>472</v>
      </c>
      <c r="D22" s="124" t="s">
        <v>208</v>
      </c>
      <c r="E22" s="125">
        <v>128700</v>
      </c>
      <c r="F22" s="126">
        <v>2129.8562999999999</v>
      </c>
      <c r="G22" s="127">
        <v>1.352805E-2</v>
      </c>
      <c r="H22" s="122" t="str">
        <f>IFERROR(VLOOKUP(B22,'[1]Debt Holding Consolidated'!$C$1:$N$65536,12,FALSE),"")</f>
        <v/>
      </c>
      <c r="J22" s="7"/>
    </row>
    <row r="23" spans="1:10" x14ac:dyDescent="0.2">
      <c r="A23" s="123">
        <v>17</v>
      </c>
      <c r="B23" s="124" t="s">
        <v>469</v>
      </c>
      <c r="C23" s="124" t="s">
        <v>470</v>
      </c>
      <c r="D23" s="124" t="s">
        <v>211</v>
      </c>
      <c r="E23" s="125">
        <v>109800</v>
      </c>
      <c r="F23" s="126">
        <v>1925.0685000000001</v>
      </c>
      <c r="G23" s="127">
        <v>1.222731E-2</v>
      </c>
      <c r="H23" s="122" t="str">
        <f>IFERROR(VLOOKUP(B23,'[1]Debt Holding Consolidated'!$C$1:$N$65536,12,FALSE),"")</f>
        <v/>
      </c>
      <c r="J23" s="2"/>
    </row>
    <row r="24" spans="1:10" x14ac:dyDescent="0.2">
      <c r="A24" s="123">
        <v>18</v>
      </c>
      <c r="B24" s="124" t="s">
        <v>199</v>
      </c>
      <c r="C24" s="124" t="s">
        <v>200</v>
      </c>
      <c r="D24" s="124" t="s">
        <v>74</v>
      </c>
      <c r="E24" s="125">
        <v>47350</v>
      </c>
      <c r="F24" s="126">
        <v>1908.5838000000001</v>
      </c>
      <c r="G24" s="127">
        <v>1.2122610000000001E-2</v>
      </c>
      <c r="H24" s="122" t="str">
        <f>IFERROR(VLOOKUP(B24,'[1]Debt Holding Consolidated'!$C$1:$N$65536,12,FALSE),"")</f>
        <v/>
      </c>
      <c r="J24" s="2"/>
    </row>
    <row r="25" spans="1:10" x14ac:dyDescent="0.2">
      <c r="A25" s="123">
        <v>19</v>
      </c>
      <c r="B25" s="124" t="s">
        <v>550</v>
      </c>
      <c r="C25" s="124" t="s">
        <v>551</v>
      </c>
      <c r="D25" s="124" t="s">
        <v>211</v>
      </c>
      <c r="E25" s="125">
        <v>114300</v>
      </c>
      <c r="F25" s="126">
        <v>1870.5195000000001</v>
      </c>
      <c r="G25" s="127">
        <v>1.188084E-2</v>
      </c>
      <c r="H25" s="122" t="str">
        <f>IFERROR(VLOOKUP(B25,'[1]Debt Holding Consolidated'!$C$1:$N$65536,12,FALSE),"")</f>
        <v/>
      </c>
      <c r="J25" s="2"/>
    </row>
    <row r="26" spans="1:10" ht="25.5" x14ac:dyDescent="0.2">
      <c r="A26" s="123">
        <v>20</v>
      </c>
      <c r="B26" s="124" t="s">
        <v>228</v>
      </c>
      <c r="C26" s="124" t="s">
        <v>229</v>
      </c>
      <c r="D26" s="124" t="s">
        <v>208</v>
      </c>
      <c r="E26" s="125">
        <v>165700</v>
      </c>
      <c r="F26" s="126">
        <v>1868.9303</v>
      </c>
      <c r="G26" s="127">
        <v>1.1870739999999999E-2</v>
      </c>
      <c r="H26" s="122" t="str">
        <f>IFERROR(VLOOKUP(B26,'[1]Debt Holding Consolidated'!$C$1:$N$65536,12,FALSE),"")</f>
        <v/>
      </c>
      <c r="J26" s="2"/>
    </row>
    <row r="27" spans="1:10" x14ac:dyDescent="0.2">
      <c r="A27" s="123">
        <v>21</v>
      </c>
      <c r="B27" s="124" t="s">
        <v>361</v>
      </c>
      <c r="C27" s="124" t="s">
        <v>362</v>
      </c>
      <c r="D27" s="124" t="s">
        <v>273</v>
      </c>
      <c r="E27" s="125">
        <v>167090</v>
      </c>
      <c r="F27" s="126">
        <v>1856.9547150000001</v>
      </c>
      <c r="G27" s="127">
        <v>1.179468E-2</v>
      </c>
      <c r="H27" s="122" t="str">
        <f>IFERROR(VLOOKUP(B27,'[1]Debt Holding Consolidated'!$C$1:$N$65536,12,FALSE),"")</f>
        <v/>
      </c>
      <c r="J27" s="2"/>
    </row>
    <row r="28" spans="1:10" x14ac:dyDescent="0.2">
      <c r="A28" s="123">
        <v>22</v>
      </c>
      <c r="B28" s="124" t="s">
        <v>546</v>
      </c>
      <c r="C28" s="124" t="s">
        <v>547</v>
      </c>
      <c r="D28" s="124" t="s">
        <v>273</v>
      </c>
      <c r="E28" s="125">
        <v>16737</v>
      </c>
      <c r="F28" s="126">
        <v>1822.9187234999999</v>
      </c>
      <c r="G28" s="127">
        <v>1.157849E-2</v>
      </c>
      <c r="H28" s="122" t="str">
        <f>IFERROR(VLOOKUP(B28,'[1]Debt Holding Consolidated'!$C$1:$N$65536,12,FALSE),"")</f>
        <v/>
      </c>
      <c r="J28" s="2"/>
    </row>
    <row r="29" spans="1:10" x14ac:dyDescent="0.2">
      <c r="A29" s="123">
        <v>23</v>
      </c>
      <c r="B29" s="124" t="s">
        <v>28</v>
      </c>
      <c r="C29" s="124" t="s">
        <v>29</v>
      </c>
      <c r="D29" s="124" t="s">
        <v>22</v>
      </c>
      <c r="E29" s="125">
        <v>475000</v>
      </c>
      <c r="F29" s="126">
        <v>1698.8375000000001</v>
      </c>
      <c r="G29" s="127">
        <v>1.079038E-2</v>
      </c>
      <c r="H29" s="122" t="str">
        <f>IFERROR(VLOOKUP(B29,'[1]Debt Holding Consolidated'!$C$1:$N$65536,12,FALSE),"")</f>
        <v/>
      </c>
      <c r="J29" s="2"/>
    </row>
    <row r="30" spans="1:10" x14ac:dyDescent="0.2">
      <c r="A30" s="123">
        <v>24</v>
      </c>
      <c r="B30" s="124" t="s">
        <v>544</v>
      </c>
      <c r="C30" s="124" t="s">
        <v>545</v>
      </c>
      <c r="D30" s="124" t="s">
        <v>264</v>
      </c>
      <c r="E30" s="125">
        <v>110000</v>
      </c>
      <c r="F30" s="126">
        <v>1621.7850000000001</v>
      </c>
      <c r="G30" s="127">
        <v>1.030097E-2</v>
      </c>
      <c r="H30" s="122" t="str">
        <f>IFERROR(VLOOKUP(B30,'[1]Debt Holding Consolidated'!$C$1:$N$65536,12,FALSE),"")</f>
        <v/>
      </c>
      <c r="J30" s="2"/>
    </row>
    <row r="31" spans="1:10" x14ac:dyDescent="0.2">
      <c r="A31" s="123">
        <v>25</v>
      </c>
      <c r="B31" s="124" t="s">
        <v>372</v>
      </c>
      <c r="C31" s="124" t="s">
        <v>373</v>
      </c>
      <c r="D31" s="124" t="s">
        <v>374</v>
      </c>
      <c r="E31" s="125">
        <v>316300</v>
      </c>
      <c r="F31" s="126">
        <v>1587.5097000000001</v>
      </c>
      <c r="G31" s="127">
        <v>1.008326E-2</v>
      </c>
      <c r="H31" s="122" t="str">
        <f>IFERROR(VLOOKUP(B31,'[1]Debt Holding Consolidated'!$C$1:$N$65536,12,FALSE),"")</f>
        <v/>
      </c>
      <c r="J31" s="2"/>
    </row>
    <row r="32" spans="1:10" x14ac:dyDescent="0.2">
      <c r="A32" s="123">
        <v>26</v>
      </c>
      <c r="B32" s="124" t="s">
        <v>17</v>
      </c>
      <c r="C32" s="124" t="s">
        <v>18</v>
      </c>
      <c r="D32" s="124" t="s">
        <v>19</v>
      </c>
      <c r="E32" s="125">
        <v>381300</v>
      </c>
      <c r="F32" s="126">
        <v>1586.9706000000001</v>
      </c>
      <c r="G32" s="127">
        <v>1.007984E-2</v>
      </c>
      <c r="H32" s="122" t="str">
        <f>IFERROR(VLOOKUP(B32,'[1]Debt Holding Consolidated'!$C$1:$N$65536,12,FALSE),"")</f>
        <v/>
      </c>
      <c r="J32" s="2"/>
    </row>
    <row r="33" spans="1:10" ht="25.5" x14ac:dyDescent="0.2">
      <c r="A33" s="123">
        <v>27</v>
      </c>
      <c r="B33" s="124" t="s">
        <v>352</v>
      </c>
      <c r="C33" s="124" t="s">
        <v>353</v>
      </c>
      <c r="D33" s="124" t="s">
        <v>208</v>
      </c>
      <c r="E33" s="125">
        <v>82000</v>
      </c>
      <c r="F33" s="126">
        <v>1493.7529999999999</v>
      </c>
      <c r="G33" s="127">
        <v>9.4877599999999996E-3</v>
      </c>
      <c r="H33" s="122" t="str">
        <f>IFERROR(VLOOKUP(B33,'[1]Debt Holding Consolidated'!$C$1:$N$65536,12,FALSE),"")</f>
        <v/>
      </c>
      <c r="J33" s="2"/>
    </row>
    <row r="34" spans="1:10" x14ac:dyDescent="0.2">
      <c r="A34" s="123">
        <v>28</v>
      </c>
      <c r="B34" s="124" t="s">
        <v>338</v>
      </c>
      <c r="C34" s="124" t="s">
        <v>339</v>
      </c>
      <c r="D34" s="124" t="s">
        <v>273</v>
      </c>
      <c r="E34" s="125">
        <v>11950</v>
      </c>
      <c r="F34" s="126">
        <v>1482.1585</v>
      </c>
      <c r="G34" s="127">
        <v>9.4141099999999998E-3</v>
      </c>
      <c r="H34" s="122" t="str">
        <f>IFERROR(VLOOKUP(B34,'[1]Debt Holding Consolidated'!$C$1:$N$65536,12,FALSE),"")</f>
        <v/>
      </c>
      <c r="J34" s="2"/>
    </row>
    <row r="35" spans="1:10" x14ac:dyDescent="0.2">
      <c r="A35" s="123">
        <v>29</v>
      </c>
      <c r="B35" s="124" t="s">
        <v>477</v>
      </c>
      <c r="C35" s="124" t="s">
        <v>478</v>
      </c>
      <c r="D35" s="124" t="s">
        <v>48</v>
      </c>
      <c r="E35" s="125">
        <v>102500</v>
      </c>
      <c r="F35" s="126">
        <v>1460.8812499999999</v>
      </c>
      <c r="G35" s="127">
        <v>9.2789699999999992E-3</v>
      </c>
      <c r="H35" s="122" t="str">
        <f>IFERROR(VLOOKUP(B35,'[1]Debt Holding Consolidated'!$C$1:$N$65536,12,FALSE),"")</f>
        <v/>
      </c>
      <c r="J35" s="2"/>
    </row>
    <row r="36" spans="1:10" ht="25.5" x14ac:dyDescent="0.2">
      <c r="A36" s="123">
        <v>30</v>
      </c>
      <c r="B36" s="124" t="s">
        <v>473</v>
      </c>
      <c r="C36" s="124" t="s">
        <v>474</v>
      </c>
      <c r="D36" s="124" t="s">
        <v>315</v>
      </c>
      <c r="E36" s="125">
        <v>121497</v>
      </c>
      <c r="F36" s="126">
        <v>1458.1462455000001</v>
      </c>
      <c r="G36" s="127">
        <v>9.2616E-3</v>
      </c>
      <c r="H36" s="122" t="str">
        <f>IFERROR(VLOOKUP(B36,'[1]Debt Holding Consolidated'!$C$1:$N$65536,12,FALSE),"")</f>
        <v/>
      </c>
      <c r="J36" s="2"/>
    </row>
    <row r="37" spans="1:10" x14ac:dyDescent="0.2">
      <c r="A37" s="123">
        <v>31</v>
      </c>
      <c r="B37" s="124" t="s">
        <v>237</v>
      </c>
      <c r="C37" s="124" t="s">
        <v>238</v>
      </c>
      <c r="D37" s="124" t="s">
        <v>239</v>
      </c>
      <c r="E37" s="125">
        <v>32108</v>
      </c>
      <c r="F37" s="126">
        <v>1368.2021500000001</v>
      </c>
      <c r="G37" s="127">
        <v>8.6903099999999997E-3</v>
      </c>
      <c r="H37" s="122" t="str">
        <f>IFERROR(VLOOKUP(B37,'[1]Debt Holding Consolidated'!$C$1:$N$65536,12,FALSE),"")</f>
        <v/>
      </c>
      <c r="J37" s="2"/>
    </row>
    <row r="38" spans="1:10" x14ac:dyDescent="0.2">
      <c r="A38" s="123">
        <v>32</v>
      </c>
      <c r="B38" s="124" t="s">
        <v>668</v>
      </c>
      <c r="C38" s="124" t="s">
        <v>669</v>
      </c>
      <c r="D38" s="124" t="s">
        <v>89</v>
      </c>
      <c r="E38" s="125">
        <v>76000</v>
      </c>
      <c r="F38" s="126">
        <v>1355.1179999999999</v>
      </c>
      <c r="G38" s="127">
        <v>8.6072000000000006E-3</v>
      </c>
      <c r="H38" s="122" t="str">
        <f>IFERROR(VLOOKUP(B38,'[1]Debt Holding Consolidated'!$C$1:$N$65536,12,FALSE),"")</f>
        <v/>
      </c>
      <c r="J38" s="2"/>
    </row>
    <row r="39" spans="1:10" ht="25.5" x14ac:dyDescent="0.2">
      <c r="A39" s="123">
        <v>33</v>
      </c>
      <c r="B39" s="124" t="s">
        <v>368</v>
      </c>
      <c r="C39" s="124" t="s">
        <v>369</v>
      </c>
      <c r="D39" s="124" t="s">
        <v>208</v>
      </c>
      <c r="E39" s="125">
        <v>18800</v>
      </c>
      <c r="F39" s="126">
        <v>1321.8938000000001</v>
      </c>
      <c r="G39" s="127">
        <v>8.3961699999999997E-3</v>
      </c>
      <c r="H39" s="122" t="str">
        <f>IFERROR(VLOOKUP(B39,'[1]Debt Holding Consolidated'!$C$1:$N$65536,12,FALSE),"")</f>
        <v/>
      </c>
      <c r="J39" s="2"/>
    </row>
    <row r="40" spans="1:10" x14ac:dyDescent="0.2">
      <c r="A40" s="123">
        <v>34</v>
      </c>
      <c r="B40" s="124" t="s">
        <v>330</v>
      </c>
      <c r="C40" s="124" t="s">
        <v>331</v>
      </c>
      <c r="D40" s="124" t="s">
        <v>255</v>
      </c>
      <c r="E40" s="125">
        <v>171950</v>
      </c>
      <c r="F40" s="126">
        <v>1295.0414249999999</v>
      </c>
      <c r="G40" s="127">
        <v>8.2256199999999995E-3</v>
      </c>
      <c r="H40" s="122" t="str">
        <f>IFERROR(VLOOKUP(B40,'[1]Debt Holding Consolidated'!$C$1:$N$65536,12,FALSE),"")</f>
        <v/>
      </c>
      <c r="J40" s="2"/>
    </row>
    <row r="41" spans="1:10" ht="25.5" x14ac:dyDescent="0.2">
      <c r="A41" s="123">
        <v>35</v>
      </c>
      <c r="B41" s="124" t="s">
        <v>23</v>
      </c>
      <c r="C41" s="124" t="s">
        <v>24</v>
      </c>
      <c r="D41" s="124" t="s">
        <v>25</v>
      </c>
      <c r="E41" s="125">
        <v>11380</v>
      </c>
      <c r="F41" s="126">
        <v>1286.1562200000001</v>
      </c>
      <c r="G41" s="127">
        <v>8.1691799999999998E-3</v>
      </c>
      <c r="H41" s="122" t="str">
        <f>IFERROR(VLOOKUP(B41,'[1]Debt Holding Consolidated'!$C$1:$N$65536,12,FALSE),"")</f>
        <v/>
      </c>
      <c r="J41" s="2"/>
    </row>
    <row r="42" spans="1:10" x14ac:dyDescent="0.2">
      <c r="A42" s="123">
        <v>36</v>
      </c>
      <c r="B42" s="124" t="s">
        <v>655</v>
      </c>
      <c r="C42" s="124" t="s">
        <v>656</v>
      </c>
      <c r="D42" s="124" t="s">
        <v>89</v>
      </c>
      <c r="E42" s="125">
        <v>17250</v>
      </c>
      <c r="F42" s="126">
        <v>1242.025875</v>
      </c>
      <c r="G42" s="127">
        <v>7.8888799999999992E-3</v>
      </c>
      <c r="H42" s="122" t="str">
        <f>IFERROR(VLOOKUP(B42,'[1]Debt Holding Consolidated'!$C$1:$N$65536,12,FALSE),"")</f>
        <v/>
      </c>
      <c r="J42" s="2"/>
    </row>
    <row r="43" spans="1:10" x14ac:dyDescent="0.2">
      <c r="A43" s="123">
        <v>37</v>
      </c>
      <c r="B43" s="124" t="s">
        <v>354</v>
      </c>
      <c r="C43" s="124" t="s">
        <v>355</v>
      </c>
      <c r="D43" s="124" t="s">
        <v>264</v>
      </c>
      <c r="E43" s="125">
        <v>79700</v>
      </c>
      <c r="F43" s="126">
        <v>1196.2173</v>
      </c>
      <c r="G43" s="127">
        <v>7.5979200000000002E-3</v>
      </c>
      <c r="H43" s="122" t="str">
        <f>IFERROR(VLOOKUP(B43,'[1]Debt Holding Consolidated'!$C$1:$N$65536,12,FALSE),"")</f>
        <v/>
      </c>
      <c r="J43" s="2"/>
    </row>
    <row r="44" spans="1:10" x14ac:dyDescent="0.2">
      <c r="A44" s="123">
        <v>38</v>
      </c>
      <c r="B44" s="124" t="s">
        <v>269</v>
      </c>
      <c r="C44" s="124" t="s">
        <v>270</v>
      </c>
      <c r="D44" s="124" t="s">
        <v>74</v>
      </c>
      <c r="E44" s="125">
        <v>233500</v>
      </c>
      <c r="F44" s="126">
        <v>1150.9214999999999</v>
      </c>
      <c r="G44" s="127">
        <v>7.3102200000000001E-3</v>
      </c>
      <c r="H44" s="122" t="str">
        <f>IFERROR(VLOOKUP(B44,'[1]Debt Holding Consolidated'!$C$1:$N$65536,12,FALSE),"")</f>
        <v/>
      </c>
      <c r="J44" s="2"/>
    </row>
    <row r="45" spans="1:10" x14ac:dyDescent="0.2">
      <c r="A45" s="123">
        <v>39</v>
      </c>
      <c r="B45" s="124" t="s">
        <v>240</v>
      </c>
      <c r="C45" s="124" t="s">
        <v>241</v>
      </c>
      <c r="D45" s="124" t="s">
        <v>45</v>
      </c>
      <c r="E45" s="125">
        <v>64700</v>
      </c>
      <c r="F45" s="126">
        <v>1128.1415500000001</v>
      </c>
      <c r="G45" s="127">
        <v>7.1655299999999998E-3</v>
      </c>
      <c r="H45" s="122" t="str">
        <f>IFERROR(VLOOKUP(B45,'[1]Debt Holding Consolidated'!$C$1:$N$65536,12,FALSE),"")</f>
        <v/>
      </c>
      <c r="J45" s="2"/>
    </row>
    <row r="46" spans="1:10" ht="25.5" x14ac:dyDescent="0.2">
      <c r="A46" s="123">
        <v>40</v>
      </c>
      <c r="B46" s="124" t="s">
        <v>230</v>
      </c>
      <c r="C46" s="124" t="s">
        <v>231</v>
      </c>
      <c r="D46" s="124" t="s">
        <v>208</v>
      </c>
      <c r="E46" s="125">
        <v>18020</v>
      </c>
      <c r="F46" s="126">
        <v>1111.89707</v>
      </c>
      <c r="G46" s="127">
        <v>7.0623500000000002E-3</v>
      </c>
      <c r="H46" s="122" t="str">
        <f>IFERROR(VLOOKUP(B46,'[1]Debt Holding Consolidated'!$C$1:$N$65536,12,FALSE),"")</f>
        <v/>
      </c>
      <c r="J46" s="2"/>
    </row>
    <row r="47" spans="1:10" x14ac:dyDescent="0.2">
      <c r="A47" s="123">
        <v>41</v>
      </c>
      <c r="B47" s="124" t="s">
        <v>64</v>
      </c>
      <c r="C47" s="124" t="s">
        <v>65</v>
      </c>
      <c r="D47" s="124" t="s">
        <v>66</v>
      </c>
      <c r="E47" s="125">
        <v>460000</v>
      </c>
      <c r="F47" s="126">
        <v>1093.374</v>
      </c>
      <c r="G47" s="127">
        <v>6.9446999999999998E-3</v>
      </c>
      <c r="H47" s="122" t="str">
        <f>IFERROR(VLOOKUP(B47,'[1]Debt Holding Consolidated'!$C$1:$N$65536,12,FALSE),"")</f>
        <v/>
      </c>
      <c r="J47" s="2"/>
    </row>
    <row r="48" spans="1:10" ht="25.5" x14ac:dyDescent="0.2">
      <c r="A48" s="123">
        <v>42</v>
      </c>
      <c r="B48" s="124" t="s">
        <v>203</v>
      </c>
      <c r="C48" s="124" t="s">
        <v>204</v>
      </c>
      <c r="D48" s="124" t="s">
        <v>205</v>
      </c>
      <c r="E48" s="125">
        <v>58000</v>
      </c>
      <c r="F48" s="126">
        <v>1019.785</v>
      </c>
      <c r="G48" s="127">
        <v>6.4772900000000001E-3</v>
      </c>
      <c r="H48" s="122" t="str">
        <f>IFERROR(VLOOKUP(B48,'[1]Debt Holding Consolidated'!$C$1:$N$65536,12,FALSE),"")</f>
        <v/>
      </c>
      <c r="J48" s="2"/>
    </row>
    <row r="49" spans="1:10" x14ac:dyDescent="0.2">
      <c r="A49" s="123">
        <v>43</v>
      </c>
      <c r="B49" s="124" t="s">
        <v>267</v>
      </c>
      <c r="C49" s="124" t="s">
        <v>268</v>
      </c>
      <c r="D49" s="124" t="s">
        <v>35</v>
      </c>
      <c r="E49" s="125">
        <v>14900</v>
      </c>
      <c r="F49" s="126">
        <v>1015.1966</v>
      </c>
      <c r="G49" s="127">
        <v>6.4481499999999997E-3</v>
      </c>
      <c r="H49" s="122" t="str">
        <f>IFERROR(VLOOKUP(B49,'[1]Debt Holding Consolidated'!$C$1:$N$65536,12,FALSE),"")</f>
        <v/>
      </c>
      <c r="J49" s="2"/>
    </row>
    <row r="50" spans="1:10" x14ac:dyDescent="0.2">
      <c r="A50" s="123">
        <v>44</v>
      </c>
      <c r="B50" s="124" t="s">
        <v>106</v>
      </c>
      <c r="C50" s="124" t="s">
        <v>107</v>
      </c>
      <c r="D50" s="124" t="s">
        <v>35</v>
      </c>
      <c r="E50" s="125">
        <v>40570</v>
      </c>
      <c r="F50" s="126">
        <v>990.11085000000003</v>
      </c>
      <c r="G50" s="127">
        <v>6.2888099999999997E-3</v>
      </c>
      <c r="H50" s="122" t="str">
        <f>IFERROR(VLOOKUP(B50,'[1]Debt Holding Consolidated'!$C$1:$N$65536,12,FALSE),"")</f>
        <v/>
      </c>
      <c r="J50" s="2"/>
    </row>
    <row r="51" spans="1:10" ht="25.5" x14ac:dyDescent="0.2">
      <c r="A51" s="123">
        <v>45</v>
      </c>
      <c r="B51" s="124" t="s">
        <v>404</v>
      </c>
      <c r="C51" s="124" t="s">
        <v>405</v>
      </c>
      <c r="D51" s="124" t="s">
        <v>25</v>
      </c>
      <c r="E51" s="125">
        <v>33800</v>
      </c>
      <c r="F51" s="126">
        <v>912.21130000000005</v>
      </c>
      <c r="G51" s="127">
        <v>5.7940200000000004E-3</v>
      </c>
      <c r="H51" s="122" t="str">
        <f>IFERROR(VLOOKUP(B51,'[1]Debt Holding Consolidated'!$C$1:$N$65536,12,FALSE),"")</f>
        <v/>
      </c>
      <c r="J51" s="2"/>
    </row>
    <row r="52" spans="1:10" x14ac:dyDescent="0.2">
      <c r="A52" s="201">
        <v>46</v>
      </c>
      <c r="B52" s="160" t="s">
        <v>859</v>
      </c>
      <c r="C52" s="160" t="s">
        <v>860</v>
      </c>
      <c r="D52" s="160" t="s">
        <v>19</v>
      </c>
      <c r="E52" s="198">
        <v>1000916</v>
      </c>
      <c r="F52" s="199">
        <f>91944143.76/10^5</f>
        <v>919.44143760000009</v>
      </c>
      <c r="G52" s="202">
        <f>F52/F170</f>
        <v>5.8399456718108041E-3</v>
      </c>
      <c r="H52" s="199"/>
      <c r="J52" s="2"/>
    </row>
    <row r="53" spans="1:10" x14ac:dyDescent="0.2">
      <c r="A53" s="123">
        <v>47</v>
      </c>
      <c r="B53" s="124" t="s">
        <v>383</v>
      </c>
      <c r="C53" s="124" t="s">
        <v>384</v>
      </c>
      <c r="D53" s="124" t="s">
        <v>136</v>
      </c>
      <c r="E53" s="125">
        <v>569310</v>
      </c>
      <c r="F53" s="126">
        <v>869.67795599999999</v>
      </c>
      <c r="G53" s="127">
        <v>5.5238700000000002E-3</v>
      </c>
      <c r="H53" s="122" t="str">
        <f>IFERROR(VLOOKUP(B53,'[1]Debt Holding Consolidated'!$C$1:$N$65536,12,FALSE),"")</f>
        <v/>
      </c>
      <c r="J53" s="2"/>
    </row>
    <row r="54" spans="1:10" x14ac:dyDescent="0.2">
      <c r="A54" s="123">
        <v>48</v>
      </c>
      <c r="B54" s="124" t="s">
        <v>276</v>
      </c>
      <c r="C54" s="124" t="s">
        <v>277</v>
      </c>
      <c r="D54" s="124" t="s">
        <v>278</v>
      </c>
      <c r="E54" s="125">
        <v>65100</v>
      </c>
      <c r="F54" s="126">
        <v>853.85159999999996</v>
      </c>
      <c r="G54" s="127">
        <v>5.4233399999999996E-3</v>
      </c>
      <c r="H54" s="122" t="str">
        <f>IFERROR(VLOOKUP(B54,'[1]Debt Holding Consolidated'!$C$1:$N$65536,12,FALSE),"")</f>
        <v/>
      </c>
      <c r="J54" s="2"/>
    </row>
    <row r="55" spans="1:10" ht="25.5" x14ac:dyDescent="0.2">
      <c r="A55" s="123">
        <v>49</v>
      </c>
      <c r="B55" s="124" t="s">
        <v>206</v>
      </c>
      <c r="C55" s="124" t="s">
        <v>207</v>
      </c>
      <c r="D55" s="124" t="s">
        <v>208</v>
      </c>
      <c r="E55" s="125">
        <v>37900</v>
      </c>
      <c r="F55" s="126">
        <v>849.03579999999999</v>
      </c>
      <c r="G55" s="127">
        <v>5.3927599999999999E-3</v>
      </c>
      <c r="H55" s="122" t="str">
        <f>IFERROR(VLOOKUP(B55,'[1]Debt Holding Consolidated'!$C$1:$N$65536,12,FALSE),"")</f>
        <v/>
      </c>
      <c r="J55" s="2"/>
    </row>
    <row r="56" spans="1:10" x14ac:dyDescent="0.2">
      <c r="A56" s="123">
        <v>50</v>
      </c>
      <c r="B56" s="124" t="s">
        <v>214</v>
      </c>
      <c r="C56" s="124" t="s">
        <v>215</v>
      </c>
      <c r="D56" s="124" t="s">
        <v>216</v>
      </c>
      <c r="E56" s="125">
        <v>124100</v>
      </c>
      <c r="F56" s="126">
        <v>684.78380000000004</v>
      </c>
      <c r="G56" s="127">
        <v>4.3494900000000001E-3</v>
      </c>
      <c r="H56" s="122" t="str">
        <f>IFERROR(VLOOKUP(B56,'[1]Debt Holding Consolidated'!$C$1:$N$65536,12,FALSE),"")</f>
        <v/>
      </c>
      <c r="J56" s="2"/>
    </row>
    <row r="57" spans="1:10" x14ac:dyDescent="0.2">
      <c r="A57" s="123">
        <v>51</v>
      </c>
      <c r="B57" s="124" t="s">
        <v>385</v>
      </c>
      <c r="C57" s="124" t="s">
        <v>386</v>
      </c>
      <c r="D57" s="124" t="s">
        <v>74</v>
      </c>
      <c r="E57" s="125">
        <v>38500</v>
      </c>
      <c r="F57" s="126">
        <v>610.995</v>
      </c>
      <c r="G57" s="127">
        <v>3.8808100000000002E-3</v>
      </c>
      <c r="H57" s="122" t="str">
        <f>IFERROR(VLOOKUP(B57,'[1]Debt Holding Consolidated'!$C$1:$N$65536,12,FALSE),"")</f>
        <v/>
      </c>
      <c r="J57" s="2"/>
    </row>
    <row r="58" spans="1:10" x14ac:dyDescent="0.2">
      <c r="A58" s="123">
        <v>52</v>
      </c>
      <c r="B58" s="124" t="s">
        <v>72</v>
      </c>
      <c r="C58" s="124" t="s">
        <v>73</v>
      </c>
      <c r="D58" s="124" t="s">
        <v>74</v>
      </c>
      <c r="E58" s="125">
        <v>9700</v>
      </c>
      <c r="F58" s="126">
        <v>585.77329999999995</v>
      </c>
      <c r="G58" s="127">
        <v>3.7206100000000001E-3</v>
      </c>
      <c r="H58" s="122" t="str">
        <f>IFERROR(VLOOKUP(B58,'[1]Debt Holding Consolidated'!$C$1:$N$65536,12,FALSE),"")</f>
        <v/>
      </c>
      <c r="J58" s="2"/>
    </row>
    <row r="59" spans="1:10" x14ac:dyDescent="0.2">
      <c r="A59" s="123">
        <v>53</v>
      </c>
      <c r="B59" s="124" t="s">
        <v>43</v>
      </c>
      <c r="C59" s="124" t="s">
        <v>44</v>
      </c>
      <c r="D59" s="124" t="s">
        <v>45</v>
      </c>
      <c r="E59" s="125">
        <v>10867</v>
      </c>
      <c r="F59" s="126">
        <v>485.46149100000002</v>
      </c>
      <c r="G59" s="127">
        <v>3.08347E-3</v>
      </c>
      <c r="H59" s="122" t="str">
        <f>IFERROR(VLOOKUP(B59,'[1]Debt Holding Consolidated'!$C$1:$N$65536,12,FALSE),"")</f>
        <v/>
      </c>
      <c r="J59" s="2"/>
    </row>
    <row r="60" spans="1:10" x14ac:dyDescent="0.2">
      <c r="A60" s="123">
        <v>54</v>
      </c>
      <c r="B60" s="124" t="s">
        <v>128</v>
      </c>
      <c r="C60" s="124" t="s">
        <v>129</v>
      </c>
      <c r="D60" s="124" t="s">
        <v>86</v>
      </c>
      <c r="E60" s="125">
        <v>110100</v>
      </c>
      <c r="F60" s="126">
        <v>461.64929999999998</v>
      </c>
      <c r="G60" s="127">
        <v>2.9322200000000001E-3</v>
      </c>
      <c r="H60" s="122" t="str">
        <f>IFERROR(VLOOKUP(B60,'[1]Debt Holding Consolidated'!$C$1:$N$65536,12,FALSE),"")</f>
        <v/>
      </c>
      <c r="J60" s="2"/>
    </row>
    <row r="61" spans="1:10" ht="25.5" x14ac:dyDescent="0.2">
      <c r="A61" s="123">
        <v>55</v>
      </c>
      <c r="B61" s="124" t="s">
        <v>79</v>
      </c>
      <c r="C61" s="124" t="s">
        <v>80</v>
      </c>
      <c r="D61" s="124" t="s">
        <v>25</v>
      </c>
      <c r="E61" s="125">
        <v>9350</v>
      </c>
      <c r="F61" s="126">
        <v>416.43964999999997</v>
      </c>
      <c r="G61" s="127">
        <v>2.6450699999999998E-3</v>
      </c>
      <c r="H61" s="122" t="str">
        <f>IFERROR(VLOOKUP(B61,'[1]Debt Holding Consolidated'!$C$1:$N$65536,12,FALSE),"")</f>
        <v/>
      </c>
      <c r="J61" s="2"/>
    </row>
    <row r="62" spans="1:10" x14ac:dyDescent="0.2">
      <c r="A62" s="123">
        <v>56</v>
      </c>
      <c r="B62" s="124" t="s">
        <v>274</v>
      </c>
      <c r="C62" s="124" t="s">
        <v>275</v>
      </c>
      <c r="D62" s="124" t="s">
        <v>74</v>
      </c>
      <c r="E62" s="125">
        <v>35240</v>
      </c>
      <c r="F62" s="126">
        <v>413.68236000000002</v>
      </c>
      <c r="G62" s="127">
        <v>2.6275600000000001E-3</v>
      </c>
      <c r="H62" s="122" t="str">
        <f>IFERROR(VLOOKUP(B62,'[1]Debt Holding Consolidated'!$C$1:$N$65536,12,FALSE),"")</f>
        <v/>
      </c>
      <c r="J62" s="2"/>
    </row>
    <row r="63" spans="1:10" x14ac:dyDescent="0.2">
      <c r="A63" s="123">
        <v>57</v>
      </c>
      <c r="B63" s="124" t="s">
        <v>217</v>
      </c>
      <c r="C63" s="124" t="s">
        <v>218</v>
      </c>
      <c r="D63" s="124" t="s">
        <v>48</v>
      </c>
      <c r="E63" s="125">
        <v>53200</v>
      </c>
      <c r="F63" s="126">
        <v>301.80360000000002</v>
      </c>
      <c r="G63" s="127">
        <v>1.91694E-3</v>
      </c>
      <c r="H63" s="122" t="str">
        <f>IFERROR(VLOOKUP(B63,'[1]Debt Holding Consolidated'!$C$1:$N$65536,12,FALSE),"")</f>
        <v/>
      </c>
      <c r="J63" s="2"/>
    </row>
    <row r="64" spans="1:10" x14ac:dyDescent="0.2">
      <c r="A64" s="123">
        <v>58</v>
      </c>
      <c r="B64" s="124" t="s">
        <v>377</v>
      </c>
      <c r="C64" s="124" t="s">
        <v>378</v>
      </c>
      <c r="D64" s="124" t="s">
        <v>374</v>
      </c>
      <c r="E64" s="125">
        <v>300</v>
      </c>
      <c r="F64" s="126">
        <v>8.3339999999999996</v>
      </c>
      <c r="G64" s="127">
        <v>5.2930000000000003E-5</v>
      </c>
      <c r="H64" s="122" t="str">
        <f>IFERROR(VLOOKUP(B64,'[1]Debt Holding Consolidated'!$C$1:$N$65536,12,FALSE),"")</f>
        <v/>
      </c>
      <c r="J64" s="2"/>
    </row>
    <row r="65" spans="1:10" x14ac:dyDescent="0.2">
      <c r="A65" s="120"/>
      <c r="B65" s="120"/>
      <c r="C65" s="121" t="s">
        <v>152</v>
      </c>
      <c r="D65" s="120"/>
      <c r="E65" s="120" t="s">
        <v>153</v>
      </c>
      <c r="F65" s="128">
        <f>SUM(F7:F64)</f>
        <v>115232.49003109999</v>
      </c>
      <c r="G65" s="129">
        <f>SUM(G7:G64)</f>
        <v>0.73191340918612113</v>
      </c>
      <c r="H65" s="122" t="str">
        <f>IFERROR(VLOOKUP(B65,'[1]Debt Holding Consolidated'!$C$1:$N$65536,12,FALSE),"")</f>
        <v/>
      </c>
      <c r="J65" s="2"/>
    </row>
    <row r="66" spans="1:10" x14ac:dyDescent="0.2">
      <c r="A66" s="120"/>
      <c r="B66" s="120"/>
      <c r="C66" s="130"/>
      <c r="D66" s="120"/>
      <c r="E66" s="120"/>
      <c r="F66" s="131"/>
      <c r="G66" s="131"/>
      <c r="H66" s="122" t="str">
        <f>IFERROR(VLOOKUP(B66,'[1]Debt Holding Consolidated'!$C$1:$N$65536,12,FALSE),"")</f>
        <v/>
      </c>
      <c r="J66" s="2"/>
    </row>
    <row r="67" spans="1:10" x14ac:dyDescent="0.2">
      <c r="A67" s="120"/>
      <c r="B67" s="120"/>
      <c r="C67" s="121" t="s">
        <v>154</v>
      </c>
      <c r="D67" s="120"/>
      <c r="E67" s="120"/>
      <c r="F67" s="120"/>
      <c r="G67" s="120"/>
      <c r="H67" s="122" t="str">
        <f>IFERROR(VLOOKUP(B67,'[1]Debt Holding Consolidated'!$C$1:$N$65536,12,FALSE),"")</f>
        <v/>
      </c>
      <c r="J67" s="2"/>
    </row>
    <row r="68" spans="1:10" x14ac:dyDescent="0.2">
      <c r="A68" s="120"/>
      <c r="B68" s="120"/>
      <c r="C68" s="121" t="s">
        <v>152</v>
      </c>
      <c r="D68" s="120"/>
      <c r="E68" s="120" t="s">
        <v>153</v>
      </c>
      <c r="F68" s="132" t="s">
        <v>155</v>
      </c>
      <c r="G68" s="129">
        <v>0</v>
      </c>
      <c r="H68" s="122" t="str">
        <f>IFERROR(VLOOKUP(B68,'[1]Debt Holding Consolidated'!$C$1:$N$65536,12,FALSE),"")</f>
        <v/>
      </c>
      <c r="J68" s="2"/>
    </row>
    <row r="69" spans="1:10" x14ac:dyDescent="0.2">
      <c r="A69" s="120"/>
      <c r="B69" s="120"/>
      <c r="C69" s="130"/>
      <c r="D69" s="120"/>
      <c r="E69" s="120"/>
      <c r="F69" s="131"/>
      <c r="G69" s="131"/>
      <c r="H69" s="122" t="str">
        <f>IFERROR(VLOOKUP(B69,'[1]Debt Holding Consolidated'!$C$1:$N$65536,12,FALSE),"")</f>
        <v/>
      </c>
      <c r="J69" s="2"/>
    </row>
    <row r="70" spans="1:10" x14ac:dyDescent="0.2">
      <c r="A70" s="120"/>
      <c r="B70" s="120"/>
      <c r="C70" s="121" t="s">
        <v>156</v>
      </c>
      <c r="D70" s="120"/>
      <c r="E70" s="120"/>
      <c r="F70" s="120"/>
      <c r="G70" s="120"/>
      <c r="H70" s="122" t="str">
        <f>IFERROR(VLOOKUP(B70,'[1]Debt Holding Consolidated'!$C$1:$N$65536,12,FALSE),"")</f>
        <v/>
      </c>
      <c r="J70" s="2"/>
    </row>
    <row r="71" spans="1:10" x14ac:dyDescent="0.2">
      <c r="A71" s="120"/>
      <c r="B71" s="120"/>
      <c r="C71" s="121" t="s">
        <v>152</v>
      </c>
      <c r="D71" s="120"/>
      <c r="E71" s="120" t="s">
        <v>153</v>
      </c>
      <c r="F71" s="132" t="s">
        <v>155</v>
      </c>
      <c r="G71" s="129">
        <v>0</v>
      </c>
      <c r="H71" s="122" t="str">
        <f>IFERROR(VLOOKUP(B71,'[1]Debt Holding Consolidated'!$C$1:$N$65536,12,FALSE),"")</f>
        <v/>
      </c>
      <c r="J71" s="2"/>
    </row>
    <row r="72" spans="1:10" x14ac:dyDescent="0.2">
      <c r="A72" s="120"/>
      <c r="B72" s="120"/>
      <c r="C72" s="130"/>
      <c r="D72" s="120"/>
      <c r="E72" s="120"/>
      <c r="F72" s="131"/>
      <c r="G72" s="131"/>
      <c r="H72" s="122" t="str">
        <f>IFERROR(VLOOKUP(B72,'[1]Debt Holding Consolidated'!$C$1:$N$65536,12,FALSE),"")</f>
        <v/>
      </c>
      <c r="J72" s="2"/>
    </row>
    <row r="73" spans="1:10" x14ac:dyDescent="0.2">
      <c r="A73" s="120"/>
      <c r="B73" s="120"/>
      <c r="C73" s="121" t="s">
        <v>157</v>
      </c>
      <c r="D73" s="120"/>
      <c r="E73" s="120"/>
      <c r="F73" s="120"/>
      <c r="G73" s="120"/>
      <c r="H73" s="122" t="str">
        <f>IFERROR(VLOOKUP(B73,'[1]Debt Holding Consolidated'!$C$1:$N$65536,12,FALSE),"")</f>
        <v/>
      </c>
      <c r="J73" s="2"/>
    </row>
    <row r="74" spans="1:10" x14ac:dyDescent="0.2">
      <c r="A74" s="120"/>
      <c r="B74" s="120"/>
      <c r="C74" s="121" t="s">
        <v>152</v>
      </c>
      <c r="D74" s="120"/>
      <c r="E74" s="120" t="s">
        <v>153</v>
      </c>
      <c r="F74" s="132" t="s">
        <v>155</v>
      </c>
      <c r="G74" s="129">
        <v>0</v>
      </c>
      <c r="H74" s="122" t="str">
        <f>IFERROR(VLOOKUP(B74,'[1]Debt Holding Consolidated'!$C$1:$N$65536,12,FALSE),"")</f>
        <v/>
      </c>
      <c r="J74" s="2"/>
    </row>
    <row r="75" spans="1:10" x14ac:dyDescent="0.2">
      <c r="A75" s="120"/>
      <c r="B75" s="120"/>
      <c r="C75" s="130"/>
      <c r="D75" s="120"/>
      <c r="E75" s="120"/>
      <c r="F75" s="131"/>
      <c r="G75" s="131"/>
      <c r="H75" s="122" t="str">
        <f>IFERROR(VLOOKUP(B75,'[1]Debt Holding Consolidated'!$C$1:$N$65536,12,FALSE),"")</f>
        <v/>
      </c>
      <c r="J75" s="2"/>
    </row>
    <row r="76" spans="1:10" x14ac:dyDescent="0.2">
      <c r="A76" s="120"/>
      <c r="B76" s="120"/>
      <c r="C76" s="121" t="s">
        <v>158</v>
      </c>
      <c r="D76" s="120"/>
      <c r="E76" s="120"/>
      <c r="F76" s="131"/>
      <c r="G76" s="131"/>
      <c r="H76" s="122" t="str">
        <f>IFERROR(VLOOKUP(B76,'[1]Debt Holding Consolidated'!$C$1:$N$65536,12,FALSE),"")</f>
        <v/>
      </c>
      <c r="J76" s="2"/>
    </row>
    <row r="77" spans="1:10" x14ac:dyDescent="0.2">
      <c r="A77" s="120"/>
      <c r="B77" s="120"/>
      <c r="C77" s="121" t="s">
        <v>152</v>
      </c>
      <c r="D77" s="120"/>
      <c r="E77" s="120" t="s">
        <v>153</v>
      </c>
      <c r="F77" s="132" t="s">
        <v>155</v>
      </c>
      <c r="G77" s="129">
        <v>0</v>
      </c>
      <c r="H77" s="122" t="str">
        <f>IFERROR(VLOOKUP(B77,'[1]Debt Holding Consolidated'!$C$1:$N$65536,12,FALSE),"")</f>
        <v/>
      </c>
      <c r="J77" s="2"/>
    </row>
    <row r="78" spans="1:10" x14ac:dyDescent="0.2">
      <c r="A78" s="120"/>
      <c r="B78" s="120"/>
      <c r="C78" s="130"/>
      <c r="D78" s="120"/>
      <c r="E78" s="120"/>
      <c r="F78" s="131"/>
      <c r="G78" s="131"/>
      <c r="H78" s="122" t="s">
        <v>153</v>
      </c>
      <c r="J78" s="2"/>
    </row>
    <row r="79" spans="1:10" x14ac:dyDescent="0.2">
      <c r="A79" s="120"/>
      <c r="B79" s="120"/>
      <c r="C79" s="121" t="s">
        <v>854</v>
      </c>
      <c r="D79" s="120"/>
      <c r="E79" s="120"/>
      <c r="F79" s="120"/>
      <c r="G79" s="120"/>
      <c r="H79" s="122"/>
      <c r="J79" s="2"/>
    </row>
    <row r="80" spans="1:10" ht="25.5" x14ac:dyDescent="0.2">
      <c r="A80" s="123">
        <v>1</v>
      </c>
      <c r="B80" s="124" t="s">
        <v>855</v>
      </c>
      <c r="C80" s="124" t="s">
        <v>856</v>
      </c>
      <c r="D80" s="124" t="s">
        <v>857</v>
      </c>
      <c r="E80" s="125">
        <v>750</v>
      </c>
      <c r="F80" s="126">
        <f>82908839.4/10^5</f>
        <v>829.08839400000011</v>
      </c>
      <c r="G80" s="127">
        <f>F80/F170</f>
        <v>5.266057173502434E-3</v>
      </c>
      <c r="H80" s="122">
        <v>8.35</v>
      </c>
      <c r="J80" s="2"/>
    </row>
    <row r="81" spans="1:10" x14ac:dyDescent="0.2">
      <c r="A81" s="120"/>
      <c r="B81" s="120"/>
      <c r="C81" s="121" t="s">
        <v>152</v>
      </c>
      <c r="D81" s="120"/>
      <c r="E81" s="120" t="s">
        <v>153</v>
      </c>
      <c r="F81" s="128">
        <f>SUM(F80)</f>
        <v>829.08839400000011</v>
      </c>
      <c r="G81" s="129">
        <f>SUM(G80)</f>
        <v>5.266057173502434E-3</v>
      </c>
      <c r="H81" s="122"/>
      <c r="J81" s="2"/>
    </row>
    <row r="82" spans="1:10" x14ac:dyDescent="0.2">
      <c r="A82" s="120"/>
      <c r="B82" s="120"/>
      <c r="C82" s="130"/>
      <c r="D82" s="120"/>
      <c r="E82" s="120"/>
      <c r="F82" s="131"/>
      <c r="G82" s="131"/>
      <c r="H82" s="122" t="s">
        <v>153</v>
      </c>
      <c r="J82" s="2"/>
    </row>
    <row r="83" spans="1:10" x14ac:dyDescent="0.2">
      <c r="A83" s="120"/>
      <c r="B83" s="120"/>
      <c r="C83" s="143" t="s">
        <v>858</v>
      </c>
      <c r="D83" s="120"/>
      <c r="E83" s="120"/>
      <c r="F83" s="131"/>
      <c r="G83" s="131"/>
      <c r="H83" s="122" t="s">
        <v>153</v>
      </c>
      <c r="J83" s="2"/>
    </row>
    <row r="84" spans="1:10" x14ac:dyDescent="0.2">
      <c r="A84" s="123">
        <v>1</v>
      </c>
      <c r="B84" s="124"/>
      <c r="C84" s="124" t="s">
        <v>1002</v>
      </c>
      <c r="D84" s="124" t="s">
        <v>539</v>
      </c>
      <c r="E84" s="125">
        <v>84000</v>
      </c>
      <c r="F84" s="126">
        <v>546.21</v>
      </c>
      <c r="G84" s="127">
        <f>F84/$F$170</f>
        <v>3.469320170870423E-3</v>
      </c>
      <c r="H84" s="122" t="str">
        <f>IFERROR(VLOOKUP(B84,'[1]Debt Holding Consolidated'!$C$1:$N$65536,12,FALSE),"")</f>
        <v/>
      </c>
      <c r="J84" s="2"/>
    </row>
    <row r="85" spans="1:10" x14ac:dyDescent="0.2">
      <c r="A85" s="123">
        <v>2</v>
      </c>
      <c r="B85" s="124"/>
      <c r="C85" s="124" t="s">
        <v>972</v>
      </c>
      <c r="D85" s="124" t="s">
        <v>539</v>
      </c>
      <c r="E85" s="125">
        <v>-300</v>
      </c>
      <c r="F85" s="126">
        <v>-8.3908500000000004</v>
      </c>
      <c r="G85" s="127">
        <f>F85/$F$170</f>
        <v>-5.3295518492426149E-5</v>
      </c>
      <c r="H85" s="122" t="str">
        <f>IFERROR(VLOOKUP(B85,'[1]Debt Holding Consolidated'!$C$1:$N$65536,12,FALSE),"")</f>
        <v/>
      </c>
      <c r="J85" s="2"/>
    </row>
    <row r="86" spans="1:10" x14ac:dyDescent="0.2">
      <c r="A86" s="123">
        <v>3</v>
      </c>
      <c r="B86" s="124"/>
      <c r="C86" s="124" t="s">
        <v>993</v>
      </c>
      <c r="D86" s="124" t="s">
        <v>539</v>
      </c>
      <c r="E86" s="125">
        <v>-350</v>
      </c>
      <c r="F86" s="126">
        <v>-16.027899999999999</v>
      </c>
      <c r="G86" s="127">
        <f t="shared" ref="G86:G103" si="0">F86/$F$170</f>
        <v>-1.01803183330027E-4</v>
      </c>
      <c r="H86" s="122" t="str">
        <f>IFERROR(VLOOKUP(B86,'[1]Debt Holding Consolidated'!$C$1:$N$65536,12,FALSE),"")</f>
        <v/>
      </c>
      <c r="J86" s="2"/>
    </row>
    <row r="87" spans="1:10" x14ac:dyDescent="0.2">
      <c r="A87" s="123">
        <v>4</v>
      </c>
      <c r="B87" s="124"/>
      <c r="C87" s="124" t="s">
        <v>1003</v>
      </c>
      <c r="D87" s="124" t="s">
        <v>539</v>
      </c>
      <c r="E87" s="125">
        <v>-150</v>
      </c>
      <c r="F87" s="126">
        <v>-18.725774999999999</v>
      </c>
      <c r="G87" s="127">
        <f t="shared" si="0"/>
        <v>-1.1893906908090493E-4</v>
      </c>
      <c r="H87" s="122" t="str">
        <f>IFERROR(VLOOKUP(B87,'[1]Debt Holding Consolidated'!$C$1:$N$65536,12,FALSE),"")</f>
        <v/>
      </c>
      <c r="J87" s="2"/>
    </row>
    <row r="88" spans="1:10" x14ac:dyDescent="0.2">
      <c r="A88" s="123">
        <v>5</v>
      </c>
      <c r="B88" s="124"/>
      <c r="C88" s="124" t="s">
        <v>1004</v>
      </c>
      <c r="D88" s="124" t="s">
        <v>539</v>
      </c>
      <c r="E88" s="125">
        <v>-137500</v>
      </c>
      <c r="F88" s="126">
        <v>-211.48875000000001</v>
      </c>
      <c r="G88" s="127">
        <f t="shared" si="0"/>
        <v>-1.3432968753541168E-3</v>
      </c>
      <c r="H88" s="122" t="str">
        <f>IFERROR(VLOOKUP(B88,'[1]Debt Holding Consolidated'!$C$1:$N$65536,12,FALSE),"")</f>
        <v/>
      </c>
      <c r="J88" s="2"/>
    </row>
    <row r="89" spans="1:10" x14ac:dyDescent="0.2">
      <c r="A89" s="123">
        <v>6</v>
      </c>
      <c r="B89" s="124"/>
      <c r="C89" s="124" t="s">
        <v>979</v>
      </c>
      <c r="D89" s="124" t="s">
        <v>539</v>
      </c>
      <c r="E89" s="125">
        <v>-60000</v>
      </c>
      <c r="F89" s="126">
        <v>-492.63</v>
      </c>
      <c r="G89" s="127">
        <f t="shared" si="0"/>
        <v>-3.1290001936542652E-3</v>
      </c>
      <c r="H89" s="122" t="str">
        <f>IFERROR(VLOOKUP(B89,'[1]Debt Holding Consolidated'!$C$1:$N$65536,12,FALSE),"")</f>
        <v/>
      </c>
      <c r="J89" s="2"/>
    </row>
    <row r="90" spans="1:10" x14ac:dyDescent="0.2">
      <c r="A90" s="123">
        <v>7</v>
      </c>
      <c r="B90" s="124"/>
      <c r="C90" s="124" t="s">
        <v>1005</v>
      </c>
      <c r="D90" s="124" t="s">
        <v>539</v>
      </c>
      <c r="E90" s="125">
        <v>-45000</v>
      </c>
      <c r="F90" s="126">
        <v>-509.35500000000002</v>
      </c>
      <c r="G90" s="127">
        <f t="shared" si="0"/>
        <v>-3.235231093597159E-3</v>
      </c>
      <c r="H90" s="122" t="str">
        <f>IFERROR(VLOOKUP(B90,'[1]Debt Holding Consolidated'!$C$1:$N$65536,12,FALSE),"")</f>
        <v/>
      </c>
      <c r="J90" s="2"/>
    </row>
    <row r="91" spans="1:10" x14ac:dyDescent="0.2">
      <c r="A91" s="123">
        <v>8</v>
      </c>
      <c r="B91" s="124"/>
      <c r="C91" s="124" t="s">
        <v>973</v>
      </c>
      <c r="D91" s="124" t="s">
        <v>539</v>
      </c>
      <c r="E91" s="125">
        <v>-108800</v>
      </c>
      <c r="F91" s="126">
        <v>-549.71199999999999</v>
      </c>
      <c r="G91" s="127">
        <f t="shared" si="0"/>
        <v>-3.4915635557194518E-3</v>
      </c>
      <c r="H91" s="122" t="str">
        <f>IFERROR(VLOOKUP(B91,'[1]Debt Holding Consolidated'!$C$1:$N$65536,12,FALSE),"")</f>
        <v/>
      </c>
      <c r="J91" s="2"/>
    </row>
    <row r="92" spans="1:10" x14ac:dyDescent="0.2">
      <c r="A92" s="123">
        <v>9</v>
      </c>
      <c r="B92" s="124"/>
      <c r="C92" s="124" t="s">
        <v>987</v>
      </c>
      <c r="D92" s="124" t="s">
        <v>539</v>
      </c>
      <c r="E92" s="125">
        <v>-48125</v>
      </c>
      <c r="F92" s="126">
        <v>-569.60749999999996</v>
      </c>
      <c r="G92" s="127">
        <f t="shared" si="0"/>
        <v>-3.6179322773824611E-3</v>
      </c>
      <c r="H92" s="122" t="str">
        <f>IFERROR(VLOOKUP(B92,'[1]Debt Holding Consolidated'!$C$1:$N$65536,12,FALSE),"")</f>
        <v/>
      </c>
      <c r="J92" s="2"/>
    </row>
    <row r="93" spans="1:10" x14ac:dyDescent="0.2">
      <c r="A93" s="123">
        <v>10</v>
      </c>
      <c r="B93" s="124"/>
      <c r="C93" s="124" t="s">
        <v>1006</v>
      </c>
      <c r="D93" s="124" t="s">
        <v>539</v>
      </c>
      <c r="E93" s="125">
        <v>-38500</v>
      </c>
      <c r="F93" s="126">
        <v>-615.01824999999997</v>
      </c>
      <c r="G93" s="127">
        <f t="shared" si="0"/>
        <v>-3.9063642558327897E-3</v>
      </c>
      <c r="H93" s="122" t="str">
        <f>IFERROR(VLOOKUP(B93,'[1]Debt Holding Consolidated'!$C$1:$N$65536,12,FALSE),"")</f>
        <v/>
      </c>
      <c r="J93" s="2"/>
    </row>
    <row r="94" spans="1:10" x14ac:dyDescent="0.2">
      <c r="A94" s="123">
        <v>11</v>
      </c>
      <c r="B94" s="124"/>
      <c r="C94" s="124" t="s">
        <v>1007</v>
      </c>
      <c r="D94" s="124" t="s">
        <v>539</v>
      </c>
      <c r="E94" s="125">
        <v>-60600</v>
      </c>
      <c r="F94" s="126">
        <v>-997.68809999999996</v>
      </c>
      <c r="G94" s="127">
        <f t="shared" si="0"/>
        <v>-6.336938997029324E-3</v>
      </c>
      <c r="H94" s="122" t="str">
        <f>IFERROR(VLOOKUP(B94,'[1]Debt Holding Consolidated'!$C$1:$N$65536,12,FALSE),"")</f>
        <v/>
      </c>
      <c r="J94" s="2"/>
    </row>
    <row r="95" spans="1:10" x14ac:dyDescent="0.2">
      <c r="A95" s="123">
        <v>12</v>
      </c>
      <c r="B95" s="124"/>
      <c r="C95" s="124" t="s">
        <v>978</v>
      </c>
      <c r="D95" s="124" t="s">
        <v>539</v>
      </c>
      <c r="E95" s="125">
        <v>-17250</v>
      </c>
      <c r="F95" s="126">
        <v>-1249.9781250000001</v>
      </c>
      <c r="G95" s="127">
        <f t="shared" si="0"/>
        <v>-7.9393902019539928E-3</v>
      </c>
      <c r="H95" s="122" t="str">
        <f>IFERROR(VLOOKUP(B95,'[1]Debt Holding Consolidated'!$C$1:$N$65536,12,FALSE),"")</f>
        <v/>
      </c>
      <c r="J95" s="2"/>
    </row>
    <row r="96" spans="1:10" x14ac:dyDescent="0.2">
      <c r="A96" s="123">
        <v>13</v>
      </c>
      <c r="B96" s="124"/>
      <c r="C96" s="124" t="s">
        <v>1008</v>
      </c>
      <c r="D96" s="124" t="s">
        <v>539</v>
      </c>
      <c r="E96" s="125">
        <v>-76000</v>
      </c>
      <c r="F96" s="126">
        <v>-1361.692</v>
      </c>
      <c r="G96" s="127">
        <f t="shared" si="0"/>
        <v>-8.6489546550097725E-3</v>
      </c>
      <c r="H96" s="122" t="str">
        <f>IFERROR(VLOOKUP(B96,'[1]Debt Holding Consolidated'!$C$1:$N$65536,12,FALSE),"")</f>
        <v/>
      </c>
      <c r="J96" s="2"/>
    </row>
    <row r="97" spans="1:10" x14ac:dyDescent="0.2">
      <c r="A97" s="123">
        <v>14</v>
      </c>
      <c r="B97" s="124"/>
      <c r="C97" s="124" t="s">
        <v>1009</v>
      </c>
      <c r="D97" s="124" t="s">
        <v>539</v>
      </c>
      <c r="E97" s="125">
        <v>-102500</v>
      </c>
      <c r="F97" s="126">
        <v>-1468.1075000000001</v>
      </c>
      <c r="G97" s="127">
        <f t="shared" si="0"/>
        <v>-9.3248658258840902E-3</v>
      </c>
      <c r="H97" s="122" t="str">
        <f>IFERROR(VLOOKUP(B97,'[1]Debt Holding Consolidated'!$C$1:$N$65536,12,FALSE),"")</f>
        <v/>
      </c>
      <c r="J97" s="2"/>
    </row>
    <row r="98" spans="1:10" x14ac:dyDescent="0.2">
      <c r="A98" s="123">
        <v>15</v>
      </c>
      <c r="B98" s="124"/>
      <c r="C98" s="124" t="s">
        <v>981</v>
      </c>
      <c r="D98" s="124" t="s">
        <v>539</v>
      </c>
      <c r="E98" s="125">
        <v>-99600</v>
      </c>
      <c r="F98" s="126">
        <v>-1785.1805999999999</v>
      </c>
      <c r="G98" s="127">
        <f t="shared" si="0"/>
        <v>-1.1338794720394287E-2</v>
      </c>
      <c r="H98" s="122" t="str">
        <f>IFERROR(VLOOKUP(B98,'[1]Debt Holding Consolidated'!$C$1:$N$65536,12,FALSE),"")</f>
        <v/>
      </c>
      <c r="J98" s="2"/>
    </row>
    <row r="99" spans="1:10" x14ac:dyDescent="0.2">
      <c r="A99" s="123">
        <v>16</v>
      </c>
      <c r="B99" s="124"/>
      <c r="C99" s="124" t="s">
        <v>995</v>
      </c>
      <c r="D99" s="124" t="s">
        <v>539</v>
      </c>
      <c r="E99" s="125">
        <v>-59750</v>
      </c>
      <c r="F99" s="126">
        <v>-1815.7427499999999</v>
      </c>
      <c r="G99" s="127">
        <f t="shared" si="0"/>
        <v>-1.1532913984889934E-2</v>
      </c>
      <c r="H99" s="122" t="str">
        <f>IFERROR(VLOOKUP(B99,'[1]Debt Holding Consolidated'!$C$1:$N$65536,12,FALSE),"")</f>
        <v/>
      </c>
      <c r="J99" s="2"/>
    </row>
    <row r="100" spans="1:10" x14ac:dyDescent="0.2">
      <c r="A100" s="123">
        <v>17</v>
      </c>
      <c r="B100" s="124"/>
      <c r="C100" s="124" t="s">
        <v>1010</v>
      </c>
      <c r="D100" s="124" t="s">
        <v>539</v>
      </c>
      <c r="E100" s="125">
        <v>-128700</v>
      </c>
      <c r="F100" s="126">
        <v>-2144.2063499999999</v>
      </c>
      <c r="G100" s="127">
        <f t="shared" si="0"/>
        <v>-1.3619191044769311E-2</v>
      </c>
      <c r="H100" s="122" t="str">
        <f>IFERROR(VLOOKUP(B100,'[1]Debt Holding Consolidated'!$C$1:$N$65536,12,FALSE),"")</f>
        <v/>
      </c>
      <c r="J100" s="2"/>
    </row>
    <row r="101" spans="1:10" x14ac:dyDescent="0.2">
      <c r="A101" s="123">
        <v>18</v>
      </c>
      <c r="B101" s="124"/>
      <c r="C101" s="124" t="s">
        <v>984</v>
      </c>
      <c r="D101" s="124" t="s">
        <v>539</v>
      </c>
      <c r="E101" s="125">
        <v>-1917000</v>
      </c>
      <c r="F101" s="126">
        <v>-2148.1902</v>
      </c>
      <c r="G101" s="127">
        <f t="shared" si="0"/>
        <v>-1.3644494959312659E-2</v>
      </c>
      <c r="H101" s="122" t="str">
        <f>IFERROR(VLOOKUP(B101,'[1]Debt Holding Consolidated'!$C$1:$N$65536,12,FALSE),"")</f>
        <v/>
      </c>
      <c r="J101" s="2"/>
    </row>
    <row r="102" spans="1:10" x14ac:dyDescent="0.2">
      <c r="A102" s="123">
        <v>19</v>
      </c>
      <c r="B102" s="124"/>
      <c r="C102" s="124" t="s">
        <v>990</v>
      </c>
      <c r="D102" s="124" t="s">
        <v>539</v>
      </c>
      <c r="E102" s="125">
        <v>-930150</v>
      </c>
      <c r="F102" s="126">
        <v>-2343.0478499999999</v>
      </c>
      <c r="G102" s="127">
        <f t="shared" si="0"/>
        <v>-1.4882157352153157E-2</v>
      </c>
      <c r="H102" s="122" t="str">
        <f>IFERROR(VLOOKUP(B102,'[1]Debt Holding Consolidated'!$C$1:$N$65536,12,FALSE),"")</f>
        <v/>
      </c>
      <c r="J102" s="2"/>
    </row>
    <row r="103" spans="1:10" x14ac:dyDescent="0.2">
      <c r="A103" s="123">
        <v>20</v>
      </c>
      <c r="B103" s="124"/>
      <c r="C103" s="124" t="s">
        <v>998</v>
      </c>
      <c r="D103" s="124" t="s">
        <v>539</v>
      </c>
      <c r="E103" s="125">
        <v>-196350</v>
      </c>
      <c r="F103" s="126">
        <v>-3226.9140750000001</v>
      </c>
      <c r="G103" s="127">
        <f t="shared" si="0"/>
        <v>-2.0496142674178746E-2</v>
      </c>
      <c r="H103" s="122" t="str">
        <f>IFERROR(VLOOKUP(B103,'[1]Debt Holding Consolidated'!$C$1:$N$65536,12,FALSE),"")</f>
        <v/>
      </c>
      <c r="J103" s="2"/>
    </row>
    <row r="104" spans="1:10" x14ac:dyDescent="0.2">
      <c r="A104" s="120"/>
      <c r="B104" s="120"/>
      <c r="C104" s="121" t="s">
        <v>152</v>
      </c>
      <c r="D104" s="120"/>
      <c r="E104" s="120" t="s">
        <v>153</v>
      </c>
      <c r="F104" s="128">
        <v>-20985.493575</v>
      </c>
      <c r="G104" s="129">
        <v>-0.13329195999999999</v>
      </c>
      <c r="H104" s="122" t="str">
        <f>IFERROR(VLOOKUP(B104,'[1]Debt Holding Consolidated'!$C$1:$N$65536,12,FALSE),"")</f>
        <v/>
      </c>
      <c r="J104" s="2"/>
    </row>
    <row r="105" spans="1:10" x14ac:dyDescent="0.2">
      <c r="A105" s="120"/>
      <c r="B105" s="120"/>
      <c r="C105" s="130"/>
      <c r="D105" s="120"/>
      <c r="E105" s="120"/>
      <c r="F105" s="131"/>
      <c r="G105" s="131"/>
      <c r="H105" s="122" t="str">
        <f>IFERROR(VLOOKUP(B105,'[1]Debt Holding Consolidated'!$C$1:$N$65536,12,FALSE),"")</f>
        <v/>
      </c>
      <c r="J105" s="2"/>
    </row>
    <row r="106" spans="1:10" x14ac:dyDescent="0.2">
      <c r="A106" s="120"/>
      <c r="B106" s="120"/>
      <c r="C106" s="121" t="s">
        <v>160</v>
      </c>
      <c r="D106" s="120"/>
      <c r="E106" s="120"/>
      <c r="F106" s="128">
        <f>F81+F65+F84</f>
        <v>116607.78842510001</v>
      </c>
      <c r="G106" s="129">
        <f>G81+G65+G84</f>
        <v>0.74064878653049404</v>
      </c>
      <c r="H106" s="122" t="str">
        <f>IFERROR(VLOOKUP(B106,'[1]Debt Holding Consolidated'!$C$1:$N$65536,12,FALSE),"")</f>
        <v/>
      </c>
      <c r="J106" s="2"/>
    </row>
    <row r="107" spans="1:10" x14ac:dyDescent="0.2">
      <c r="A107" s="120"/>
      <c r="B107" s="120"/>
      <c r="C107" s="130"/>
      <c r="D107" s="120"/>
      <c r="E107" s="120"/>
      <c r="F107" s="131"/>
      <c r="G107" s="131"/>
      <c r="H107" s="122" t="str">
        <f>IFERROR(VLOOKUP(B107,'[1]Debt Holding Consolidated'!$C$1:$N$65536,12,FALSE),"")</f>
        <v/>
      </c>
      <c r="J107" s="2"/>
    </row>
    <row r="108" spans="1:10" x14ac:dyDescent="0.2">
      <c r="A108" s="120"/>
      <c r="B108" s="120"/>
      <c r="C108" s="121" t="s">
        <v>161</v>
      </c>
      <c r="D108" s="120"/>
      <c r="E108" s="120"/>
      <c r="F108" s="131"/>
      <c r="G108" s="131"/>
      <c r="H108" s="122" t="str">
        <f>IFERROR(VLOOKUP(B108,'[1]Debt Holding Consolidated'!$C$1:$N$65536,12,FALSE),"")</f>
        <v/>
      </c>
      <c r="J108" s="2"/>
    </row>
    <row r="109" spans="1:10" x14ac:dyDescent="0.2">
      <c r="A109" s="120"/>
      <c r="B109" s="120"/>
      <c r="C109" s="121" t="s">
        <v>10</v>
      </c>
      <c r="D109" s="120"/>
      <c r="E109" s="120"/>
      <c r="F109" s="131"/>
      <c r="G109" s="131"/>
      <c r="H109" s="122" t="str">
        <f>IFERROR(VLOOKUP(B109,'[1]Debt Holding Consolidated'!$C$1:$N$65536,12,FALSE),"")</f>
        <v/>
      </c>
      <c r="J109" s="2"/>
    </row>
    <row r="110" spans="1:10" x14ac:dyDescent="0.2">
      <c r="A110" s="123">
        <v>1</v>
      </c>
      <c r="B110" s="124" t="s">
        <v>670</v>
      </c>
      <c r="C110" s="124" t="s">
        <v>671</v>
      </c>
      <c r="D110" s="124" t="s">
        <v>572</v>
      </c>
      <c r="E110" s="125">
        <v>2500</v>
      </c>
      <c r="F110" s="126">
        <v>2515.9</v>
      </c>
      <c r="G110" s="127">
        <v>1.5980049999999999E-2</v>
      </c>
      <c r="H110" s="122">
        <f>IFERROR(VLOOKUP(B110,'[1]Debt Holding Consolidated'!$C$1:$N$65536,12,FALSE),"")</f>
        <v>7.4024999999999999</v>
      </c>
      <c r="J110" s="2"/>
    </row>
    <row r="111" spans="1:10" x14ac:dyDescent="0.2">
      <c r="A111" s="123">
        <v>2</v>
      </c>
      <c r="B111" s="124" t="s">
        <v>564</v>
      </c>
      <c r="C111" s="124" t="s">
        <v>565</v>
      </c>
      <c r="D111" s="124" t="s">
        <v>557</v>
      </c>
      <c r="E111" s="125">
        <v>150</v>
      </c>
      <c r="F111" s="126">
        <v>1534.4715000000001</v>
      </c>
      <c r="G111" s="127">
        <v>9.7463900000000006E-3</v>
      </c>
      <c r="H111" s="122">
        <f>IFERROR(VLOOKUP(B111,'[1]Debt Holding Consolidated'!$C$1:$N$65536,12,FALSE),"")</f>
        <v>7.6375000000000002</v>
      </c>
      <c r="J111" s="2"/>
    </row>
    <row r="112" spans="1:10" ht="25.5" x14ac:dyDescent="0.2">
      <c r="A112" s="123">
        <v>3</v>
      </c>
      <c r="B112" s="124" t="s">
        <v>573</v>
      </c>
      <c r="C112" s="124" t="s">
        <v>574</v>
      </c>
      <c r="D112" s="124" t="s">
        <v>572</v>
      </c>
      <c r="E112" s="125">
        <v>1500</v>
      </c>
      <c r="F112" s="126">
        <v>1501.944</v>
      </c>
      <c r="G112" s="127">
        <v>9.5397799999999994E-3</v>
      </c>
      <c r="H112" s="122">
        <f>IFERROR(VLOOKUP(B112,'[1]Debt Holding Consolidated'!$C$1:$N$65536,12,FALSE),"")</f>
        <v>7.55</v>
      </c>
      <c r="J112" s="2"/>
    </row>
    <row r="113" spans="1:10" ht="25.5" x14ac:dyDescent="0.2">
      <c r="A113" s="123">
        <v>4</v>
      </c>
      <c r="B113" s="124" t="s">
        <v>555</v>
      </c>
      <c r="C113" s="124" t="s">
        <v>556</v>
      </c>
      <c r="D113" s="124" t="s">
        <v>557</v>
      </c>
      <c r="E113" s="125">
        <v>1500</v>
      </c>
      <c r="F113" s="126">
        <v>1497.09</v>
      </c>
      <c r="G113" s="127">
        <v>9.5089500000000004E-3</v>
      </c>
      <c r="H113" s="122">
        <f>IFERROR(VLOOKUP(B113,'[1]Debt Holding Consolidated'!$C$1:$N$65536,12,FALSE),"")</f>
        <v>7.68</v>
      </c>
      <c r="J113" s="2"/>
    </row>
    <row r="114" spans="1:10" ht="25.5" x14ac:dyDescent="0.2">
      <c r="A114" s="123">
        <v>5</v>
      </c>
      <c r="B114" s="124" t="s">
        <v>587</v>
      </c>
      <c r="C114" s="124" t="s">
        <v>588</v>
      </c>
      <c r="D114" s="124" t="s">
        <v>557</v>
      </c>
      <c r="E114" s="125">
        <v>1000</v>
      </c>
      <c r="F114" s="126">
        <v>1034.9939999999999</v>
      </c>
      <c r="G114" s="127">
        <v>6.5738899999999998E-3</v>
      </c>
      <c r="H114" s="122">
        <f>IFERROR(VLOOKUP(B114,'[1]Debt Holding Consolidated'!$C$1:$N$65536,12,FALSE),"")</f>
        <v>7.3250000000000002</v>
      </c>
      <c r="J114" s="2"/>
    </row>
    <row r="115" spans="1:10" x14ac:dyDescent="0.2">
      <c r="A115" s="123">
        <v>6</v>
      </c>
      <c r="B115" s="124" t="s">
        <v>589</v>
      </c>
      <c r="C115" s="124" t="s">
        <v>590</v>
      </c>
      <c r="D115" s="124" t="s">
        <v>557</v>
      </c>
      <c r="E115" s="125">
        <v>1000</v>
      </c>
      <c r="F115" s="126">
        <v>1011.764</v>
      </c>
      <c r="G115" s="127">
        <v>6.42634E-3</v>
      </c>
      <c r="H115" s="122">
        <f>IFERROR(VLOOKUP(B115,'[1]Debt Holding Consolidated'!$C$1:$N$65536,12,FALSE),"")</f>
        <v>7.5995999999999997</v>
      </c>
      <c r="J115" s="2"/>
    </row>
    <row r="116" spans="1:10" x14ac:dyDescent="0.2">
      <c r="A116" s="123">
        <v>7</v>
      </c>
      <c r="B116" s="124" t="s">
        <v>597</v>
      </c>
      <c r="C116" s="124" t="s">
        <v>598</v>
      </c>
      <c r="D116" s="124" t="s">
        <v>557</v>
      </c>
      <c r="E116" s="125">
        <v>100</v>
      </c>
      <c r="F116" s="126">
        <v>999.05799999999999</v>
      </c>
      <c r="G116" s="127">
        <v>6.3456399999999996E-3</v>
      </c>
      <c r="H116" s="122">
        <f>IFERROR(VLOOKUP(B116,'[1]Debt Holding Consolidated'!$C$1:$N$65536,12,FALSE),"")</f>
        <v>7.8550000000000004</v>
      </c>
      <c r="J116" s="2"/>
    </row>
    <row r="117" spans="1:10" x14ac:dyDescent="0.2">
      <c r="A117" s="123">
        <v>8</v>
      </c>
      <c r="B117" s="124" t="s">
        <v>609</v>
      </c>
      <c r="C117" s="124" t="s">
        <v>610</v>
      </c>
      <c r="D117" s="124" t="s">
        <v>557</v>
      </c>
      <c r="E117" s="125">
        <v>1000</v>
      </c>
      <c r="F117" s="126">
        <v>998.32</v>
      </c>
      <c r="G117" s="127">
        <v>6.3409499999999997E-3</v>
      </c>
      <c r="H117" s="122">
        <f>IFERROR(VLOOKUP(B117,'[1]Debt Holding Consolidated'!$C$1:$N$65536,12,FALSE),"")</f>
        <v>7.5949999999999998</v>
      </c>
      <c r="J117" s="2"/>
    </row>
    <row r="118" spans="1:10" x14ac:dyDescent="0.2">
      <c r="A118" s="123">
        <v>9</v>
      </c>
      <c r="B118" s="124" t="s">
        <v>605</v>
      </c>
      <c r="C118" s="124" t="s">
        <v>606</v>
      </c>
      <c r="D118" s="124" t="s">
        <v>557</v>
      </c>
      <c r="E118" s="125">
        <v>50</v>
      </c>
      <c r="F118" s="126">
        <v>484.94549999999998</v>
      </c>
      <c r="G118" s="127">
        <v>3.08019E-3</v>
      </c>
      <c r="H118" s="122">
        <f>IFERROR(VLOOKUP(B118,'[1]Debt Holding Consolidated'!$C$1:$N$65536,12,FALSE),"")</f>
        <v>7.85</v>
      </c>
      <c r="J118" s="2"/>
    </row>
    <row r="119" spans="1:10" x14ac:dyDescent="0.2">
      <c r="A119" s="120"/>
      <c r="B119" s="120"/>
      <c r="C119" s="121" t="s">
        <v>152</v>
      </c>
      <c r="D119" s="120"/>
      <c r="E119" s="120" t="s">
        <v>153</v>
      </c>
      <c r="F119" s="128">
        <v>11578.486999999999</v>
      </c>
      <c r="G119" s="129">
        <v>7.3542179999999999E-2</v>
      </c>
      <c r="H119" s="122" t="str">
        <f>IFERROR(VLOOKUP(B119,'[1]Debt Holding Consolidated'!$C$1:$N$65536,12,FALSE),"")</f>
        <v/>
      </c>
      <c r="J119" s="2"/>
    </row>
    <row r="120" spans="1:10" x14ac:dyDescent="0.2">
      <c r="A120" s="120"/>
      <c r="B120" s="120"/>
      <c r="C120" s="130"/>
      <c r="D120" s="120"/>
      <c r="E120" s="120"/>
      <c r="F120" s="131"/>
      <c r="G120" s="131"/>
      <c r="H120" s="122" t="str">
        <f>IFERROR(VLOOKUP(B120,'[1]Debt Holding Consolidated'!$C$1:$N$65536,12,FALSE),"")</f>
        <v/>
      </c>
      <c r="J120" s="2"/>
    </row>
    <row r="121" spans="1:10" x14ac:dyDescent="0.2">
      <c r="A121" s="120"/>
      <c r="B121" s="120"/>
      <c r="C121" s="121" t="s">
        <v>162</v>
      </c>
      <c r="D121" s="120"/>
      <c r="E121" s="120"/>
      <c r="F121" s="120"/>
      <c r="G121" s="120"/>
      <c r="H121" s="122" t="str">
        <f>IFERROR(VLOOKUP(B121,'[1]Debt Holding Consolidated'!$C$1:$N$65536,12,FALSE),"")</f>
        <v/>
      </c>
      <c r="J121" s="2"/>
    </row>
    <row r="122" spans="1:10" x14ac:dyDescent="0.2">
      <c r="A122" s="120"/>
      <c r="B122" s="120"/>
      <c r="C122" s="121" t="s">
        <v>152</v>
      </c>
      <c r="D122" s="120"/>
      <c r="E122" s="120" t="s">
        <v>153</v>
      </c>
      <c r="F122" s="132" t="s">
        <v>155</v>
      </c>
      <c r="G122" s="129">
        <v>0</v>
      </c>
      <c r="H122" s="122" t="str">
        <f>IFERROR(VLOOKUP(B122,'[1]Debt Holding Consolidated'!$C$1:$N$65536,12,FALSE),"")</f>
        <v/>
      </c>
      <c r="J122" s="2"/>
    </row>
    <row r="123" spans="1:10" x14ac:dyDescent="0.2">
      <c r="A123" s="120"/>
      <c r="B123" s="120"/>
      <c r="C123" s="130"/>
      <c r="D123" s="120"/>
      <c r="E123" s="120"/>
      <c r="F123" s="131"/>
      <c r="G123" s="131"/>
      <c r="H123" s="122" t="str">
        <f>IFERROR(VLOOKUP(B123,'[1]Debt Holding Consolidated'!$C$1:$N$65536,12,FALSE),"")</f>
        <v/>
      </c>
      <c r="J123" s="2"/>
    </row>
    <row r="124" spans="1:10" x14ac:dyDescent="0.2">
      <c r="A124" s="120"/>
      <c r="B124" s="120"/>
      <c r="C124" s="121" t="s">
        <v>163</v>
      </c>
      <c r="D124" s="120"/>
      <c r="E124" s="120"/>
      <c r="F124" s="120"/>
      <c r="G124" s="120"/>
      <c r="H124" s="122" t="str">
        <f>IFERROR(VLOOKUP(B124,'[1]Debt Holding Consolidated'!$C$1:$N$65536,12,FALSE),"")</f>
        <v/>
      </c>
      <c r="J124" s="2"/>
    </row>
    <row r="125" spans="1:10" x14ac:dyDescent="0.2">
      <c r="A125" s="123">
        <v>1</v>
      </c>
      <c r="B125" s="124" t="s">
        <v>617</v>
      </c>
      <c r="C125" s="124" t="s">
        <v>1058</v>
      </c>
      <c r="D125" s="124" t="s">
        <v>541</v>
      </c>
      <c r="E125" s="125">
        <v>5500000</v>
      </c>
      <c r="F125" s="126">
        <v>5603.62</v>
      </c>
      <c r="G125" s="127">
        <v>3.5592079999999998E-2</v>
      </c>
      <c r="H125" s="122">
        <f>IFERROR(VLOOKUP(B125,'[1]Debt Holding Consolidated'!$C$1:$N$65536,12,FALSE),"")</f>
        <v>7.0125000000000002</v>
      </c>
      <c r="J125" s="2"/>
    </row>
    <row r="126" spans="1:10" x14ac:dyDescent="0.2">
      <c r="A126" s="123">
        <v>2</v>
      </c>
      <c r="B126" s="124" t="s">
        <v>622</v>
      </c>
      <c r="C126" s="124" t="s">
        <v>623</v>
      </c>
      <c r="D126" s="124" t="s">
        <v>541</v>
      </c>
      <c r="E126" s="125">
        <v>4000000</v>
      </c>
      <c r="F126" s="126">
        <v>4062.82</v>
      </c>
      <c r="G126" s="127">
        <v>2.5805499999999999E-2</v>
      </c>
      <c r="H126" s="122">
        <f>IFERROR(VLOOKUP(B126,'[1]Debt Holding Consolidated'!$C$1:$N$65536,12,FALSE),"")</f>
        <v>6.8636999999999997</v>
      </c>
      <c r="J126" s="2"/>
    </row>
    <row r="127" spans="1:10" x14ac:dyDescent="0.2">
      <c r="A127" s="123">
        <v>3</v>
      </c>
      <c r="B127" s="124" t="s">
        <v>619</v>
      </c>
      <c r="C127" s="124" t="s">
        <v>1051</v>
      </c>
      <c r="D127" s="124" t="s">
        <v>541</v>
      </c>
      <c r="E127" s="125">
        <v>3000000</v>
      </c>
      <c r="F127" s="126">
        <v>3085.6320000000001</v>
      </c>
      <c r="G127" s="127">
        <v>1.9598770000000001E-2</v>
      </c>
      <c r="H127" s="122">
        <f>IFERROR(VLOOKUP(B127,'[1]Debt Holding Consolidated'!$C$1:$N$65536,12,FALSE),"")</f>
        <v>7.0350000000000001</v>
      </c>
      <c r="J127" s="2"/>
    </row>
    <row r="128" spans="1:10" x14ac:dyDescent="0.2">
      <c r="A128" s="123">
        <v>4</v>
      </c>
      <c r="B128" s="124" t="s">
        <v>672</v>
      </c>
      <c r="C128" s="124" t="s">
        <v>1057</v>
      </c>
      <c r="D128" s="124" t="s">
        <v>541</v>
      </c>
      <c r="E128" s="125">
        <v>3000000</v>
      </c>
      <c r="F128" s="126">
        <v>3074.0729999999999</v>
      </c>
      <c r="G128" s="127">
        <v>1.952535E-2</v>
      </c>
      <c r="H128" s="122">
        <f>IFERROR(VLOOKUP(B128,'[1]Debt Holding Consolidated'!$C$1:$N$65536,12,FALSE),"")</f>
        <v>6.9383999999999997</v>
      </c>
      <c r="J128" s="2"/>
    </row>
    <row r="129" spans="1:10" x14ac:dyDescent="0.2">
      <c r="A129" s="123">
        <v>5</v>
      </c>
      <c r="B129" s="124" t="s">
        <v>620</v>
      </c>
      <c r="C129" s="124" t="s">
        <v>621</v>
      </c>
      <c r="D129" s="124" t="s">
        <v>541</v>
      </c>
      <c r="E129" s="125">
        <v>3000000</v>
      </c>
      <c r="F129" s="126">
        <v>3049.0920000000001</v>
      </c>
      <c r="G129" s="127">
        <v>1.9366680000000001E-2</v>
      </c>
      <c r="H129" s="122">
        <f>IFERROR(VLOOKUP(B129,'[1]Debt Holding Consolidated'!$C$1:$N$65536,12,FALSE),"")</f>
        <v>6.9809000000000001</v>
      </c>
      <c r="J129" s="2"/>
    </row>
    <row r="130" spans="1:10" x14ac:dyDescent="0.2">
      <c r="A130" s="123">
        <v>6</v>
      </c>
      <c r="B130" s="124" t="s">
        <v>673</v>
      </c>
      <c r="C130" s="124" t="s">
        <v>674</v>
      </c>
      <c r="D130" s="124" t="s">
        <v>541</v>
      </c>
      <c r="E130" s="125">
        <v>1000000</v>
      </c>
      <c r="F130" s="126">
        <v>1015.614</v>
      </c>
      <c r="G130" s="127">
        <v>6.4507999999999996E-3</v>
      </c>
      <c r="H130" s="122">
        <f>IFERROR(VLOOKUP(B130,'[1]Debt Holding Consolidated'!$C$1:$N$65536,12,FALSE),"")</f>
        <v>6.9452999999999996</v>
      </c>
      <c r="J130" s="2"/>
    </row>
    <row r="131" spans="1:10" ht="25.5" x14ac:dyDescent="0.2">
      <c r="A131" s="123">
        <v>7</v>
      </c>
      <c r="B131" s="124" t="s">
        <v>630</v>
      </c>
      <c r="C131" s="124" t="s">
        <v>631</v>
      </c>
      <c r="D131" s="124" t="s">
        <v>541</v>
      </c>
      <c r="E131" s="125">
        <v>500000</v>
      </c>
      <c r="F131" s="126">
        <v>507.70949999999999</v>
      </c>
      <c r="G131" s="127">
        <v>3.22478E-3</v>
      </c>
      <c r="H131" s="122">
        <f>IFERROR(VLOOKUP(B131,'[1]Debt Holding Consolidated'!$C$1:$N$65536,12,FALSE),"")</f>
        <v>7.3430999999999997</v>
      </c>
      <c r="J131" s="2"/>
    </row>
    <row r="132" spans="1:10" ht="25.5" x14ac:dyDescent="0.2">
      <c r="A132" s="123">
        <v>8</v>
      </c>
      <c r="B132" s="124" t="s">
        <v>629</v>
      </c>
      <c r="C132" s="160" t="s">
        <v>941</v>
      </c>
      <c r="D132" s="124" t="s">
        <v>541</v>
      </c>
      <c r="E132" s="125">
        <v>500000</v>
      </c>
      <c r="F132" s="126">
        <v>503.00650000000002</v>
      </c>
      <c r="G132" s="127">
        <v>3.19491E-3</v>
      </c>
      <c r="H132" s="122">
        <f>IFERROR(VLOOKUP(B132,'[1]Debt Holding Consolidated'!$C$1:$N$65536,12,FALSE),"")</f>
        <v>7.440703281395125</v>
      </c>
      <c r="J132" s="2"/>
    </row>
    <row r="133" spans="1:10" x14ac:dyDescent="0.2">
      <c r="A133" s="123">
        <v>9</v>
      </c>
      <c r="B133" s="124" t="s">
        <v>632</v>
      </c>
      <c r="C133" s="124" t="s">
        <v>633</v>
      </c>
      <c r="D133" s="124" t="s">
        <v>541</v>
      </c>
      <c r="E133" s="125">
        <v>300000</v>
      </c>
      <c r="F133" s="126">
        <v>312.24419999999998</v>
      </c>
      <c r="G133" s="127">
        <v>1.9832600000000001E-3</v>
      </c>
      <c r="H133" s="122">
        <f>IFERROR(VLOOKUP(B133,'[1]Debt Holding Consolidated'!$C$1:$N$65536,12,FALSE),"")</f>
        <v>7.1558000000000002</v>
      </c>
      <c r="J133" s="2"/>
    </row>
    <row r="134" spans="1:10" x14ac:dyDescent="0.2">
      <c r="A134" s="120"/>
      <c r="B134" s="120"/>
      <c r="C134" s="121" t="s">
        <v>152</v>
      </c>
      <c r="D134" s="120"/>
      <c r="E134" s="120" t="s">
        <v>153</v>
      </c>
      <c r="F134" s="128">
        <v>21213.8112</v>
      </c>
      <c r="G134" s="129">
        <v>0.13474212999999999</v>
      </c>
      <c r="H134" s="122" t="str">
        <f>IFERROR(VLOOKUP(B134,'[1]Debt Holding Consolidated'!$C$1:$N$65536,12,FALSE),"")</f>
        <v/>
      </c>
      <c r="J134" s="2"/>
    </row>
    <row r="135" spans="1:10" x14ac:dyDescent="0.2">
      <c r="A135" s="120"/>
      <c r="B135" s="120"/>
      <c r="C135" s="130"/>
      <c r="D135" s="120"/>
      <c r="E135" s="120"/>
      <c r="F135" s="131"/>
      <c r="G135" s="131"/>
      <c r="H135" s="122" t="str">
        <f>IFERROR(VLOOKUP(B135,'[1]Debt Holding Consolidated'!$C$1:$N$65536,12,FALSE),"")</f>
        <v/>
      </c>
      <c r="J135" s="2"/>
    </row>
    <row r="136" spans="1:10" x14ac:dyDescent="0.2">
      <c r="A136" s="120"/>
      <c r="B136" s="120"/>
      <c r="C136" s="121" t="s">
        <v>164</v>
      </c>
      <c r="D136" s="120"/>
      <c r="E136" s="120"/>
      <c r="F136" s="131"/>
      <c r="G136" s="131"/>
      <c r="H136" s="122" t="str">
        <f>IFERROR(VLOOKUP(B136,'[1]Debt Holding Consolidated'!$C$1:$N$65536,12,FALSE),"")</f>
        <v/>
      </c>
      <c r="J136" s="2"/>
    </row>
    <row r="137" spans="1:10" x14ac:dyDescent="0.2">
      <c r="A137" s="120"/>
      <c r="B137" s="120"/>
      <c r="C137" s="121" t="s">
        <v>152</v>
      </c>
      <c r="D137" s="120"/>
      <c r="E137" s="120" t="s">
        <v>153</v>
      </c>
      <c r="F137" s="132" t="s">
        <v>155</v>
      </c>
      <c r="G137" s="129">
        <v>0</v>
      </c>
      <c r="H137" s="122" t="str">
        <f>IFERROR(VLOOKUP(B137,'[1]Debt Holding Consolidated'!$C$1:$N$65536,12,FALSE),"")</f>
        <v/>
      </c>
      <c r="J137" s="2"/>
    </row>
    <row r="138" spans="1:10" x14ac:dyDescent="0.2">
      <c r="A138" s="120"/>
      <c r="B138" s="120"/>
      <c r="C138" s="130"/>
      <c r="D138" s="120"/>
      <c r="E138" s="120"/>
      <c r="F138" s="131"/>
      <c r="G138" s="131"/>
      <c r="H138" s="122" t="str">
        <f>IFERROR(VLOOKUP(B138,'[1]Debt Holding Consolidated'!$C$1:$N$65536,12,FALSE),"")</f>
        <v/>
      </c>
      <c r="J138" s="2"/>
    </row>
    <row r="139" spans="1:10" x14ac:dyDescent="0.2">
      <c r="A139" s="120"/>
      <c r="B139" s="120"/>
      <c r="C139" s="121" t="s">
        <v>165</v>
      </c>
      <c r="D139" s="120"/>
      <c r="E139" s="120"/>
      <c r="F139" s="128">
        <v>32792.298199999997</v>
      </c>
      <c r="G139" s="129">
        <v>0.20828431</v>
      </c>
      <c r="H139" s="122" t="str">
        <f>IFERROR(VLOOKUP(B139,'[1]Debt Holding Consolidated'!$C$1:$N$65536,12,FALSE),"")</f>
        <v/>
      </c>
      <c r="J139" s="2"/>
    </row>
    <row r="140" spans="1:10" x14ac:dyDescent="0.2">
      <c r="A140" s="120"/>
      <c r="B140" s="120"/>
      <c r="C140" s="130"/>
      <c r="D140" s="120"/>
      <c r="E140" s="120"/>
      <c r="F140" s="131"/>
      <c r="G140" s="131"/>
      <c r="H140" s="122" t="str">
        <f>IFERROR(VLOOKUP(B140,'[1]Debt Holding Consolidated'!$C$1:$N$65536,12,FALSE),"")</f>
        <v/>
      </c>
      <c r="J140" s="2"/>
    </row>
    <row r="141" spans="1:10" x14ac:dyDescent="0.2">
      <c r="A141" s="120"/>
      <c r="B141" s="120"/>
      <c r="C141" s="121" t="s">
        <v>166</v>
      </c>
      <c r="D141" s="120"/>
      <c r="E141" s="120"/>
      <c r="F141" s="131"/>
      <c r="G141" s="131"/>
      <c r="H141" s="122" t="str">
        <f>IFERROR(VLOOKUP(B141,'[1]Debt Holding Consolidated'!$C$1:$N$65536,12,FALSE),"")</f>
        <v/>
      </c>
      <c r="J141" s="2"/>
    </row>
    <row r="142" spans="1:10" x14ac:dyDescent="0.2">
      <c r="A142" s="120"/>
      <c r="B142" s="120"/>
      <c r="C142" s="121" t="s">
        <v>167</v>
      </c>
      <c r="D142" s="120"/>
      <c r="E142" s="120"/>
      <c r="F142" s="131"/>
      <c r="G142" s="131"/>
      <c r="H142" s="122" t="str">
        <f>IFERROR(VLOOKUP(B142,'[1]Debt Holding Consolidated'!$C$1:$N$65536,12,FALSE),"")</f>
        <v/>
      </c>
      <c r="J142" s="2"/>
    </row>
    <row r="143" spans="1:10" x14ac:dyDescent="0.2">
      <c r="A143" s="120"/>
      <c r="B143" s="120"/>
      <c r="C143" s="121" t="s">
        <v>152</v>
      </c>
      <c r="D143" s="120"/>
      <c r="E143" s="120" t="s">
        <v>153</v>
      </c>
      <c r="F143" s="132" t="s">
        <v>155</v>
      </c>
      <c r="G143" s="129">
        <v>0</v>
      </c>
      <c r="H143" s="122" t="str">
        <f>IFERROR(VLOOKUP(B143,'[1]Debt Holding Consolidated'!$C$1:$N$65536,12,FALSE),"")</f>
        <v/>
      </c>
      <c r="J143" s="2"/>
    </row>
    <row r="144" spans="1:10" x14ac:dyDescent="0.2">
      <c r="A144" s="120"/>
      <c r="B144" s="120"/>
      <c r="C144" s="130"/>
      <c r="D144" s="120"/>
      <c r="E144" s="120"/>
      <c r="F144" s="131"/>
      <c r="G144" s="131"/>
      <c r="H144" s="122" t="str">
        <f>IFERROR(VLOOKUP(B144,'[1]Debt Holding Consolidated'!$C$1:$N$65536,12,FALSE),"")</f>
        <v/>
      </c>
      <c r="J144" s="2"/>
    </row>
    <row r="145" spans="1:10" x14ac:dyDescent="0.2">
      <c r="A145" s="120"/>
      <c r="B145" s="120"/>
      <c r="C145" s="121" t="s">
        <v>168</v>
      </c>
      <c r="D145" s="120"/>
      <c r="E145" s="120"/>
      <c r="F145" s="131"/>
      <c r="G145" s="131"/>
      <c r="H145" s="122" t="str">
        <f>IFERROR(VLOOKUP(B145,'[1]Debt Holding Consolidated'!$C$1:$N$65536,12,FALSE),"")</f>
        <v/>
      </c>
      <c r="J145" s="2"/>
    </row>
    <row r="146" spans="1:10" x14ac:dyDescent="0.2">
      <c r="A146" s="120"/>
      <c r="B146" s="120"/>
      <c r="C146" s="121" t="s">
        <v>152</v>
      </c>
      <c r="D146" s="120"/>
      <c r="E146" s="120" t="s">
        <v>153</v>
      </c>
      <c r="F146" s="132" t="s">
        <v>155</v>
      </c>
      <c r="G146" s="129">
        <v>0</v>
      </c>
      <c r="H146" s="122" t="str">
        <f>IFERROR(VLOOKUP(B146,'[1]Debt Holding Consolidated'!$C$1:$N$65536,12,FALSE),"")</f>
        <v/>
      </c>
      <c r="J146" s="2"/>
    </row>
    <row r="147" spans="1:10" x14ac:dyDescent="0.2">
      <c r="A147" s="120"/>
      <c r="B147" s="120"/>
      <c r="C147" s="130"/>
      <c r="D147" s="120"/>
      <c r="E147" s="120"/>
      <c r="F147" s="131"/>
      <c r="G147" s="131"/>
      <c r="H147" s="122" t="str">
        <f>IFERROR(VLOOKUP(B147,'[1]Debt Holding Consolidated'!$C$1:$N$65536,12,FALSE),"")</f>
        <v/>
      </c>
      <c r="J147" s="2"/>
    </row>
    <row r="148" spans="1:10" x14ac:dyDescent="0.2">
      <c r="A148" s="120"/>
      <c r="B148" s="120"/>
      <c r="C148" s="121" t="s">
        <v>169</v>
      </c>
      <c r="D148" s="120"/>
      <c r="E148" s="120"/>
      <c r="F148" s="131"/>
      <c r="G148" s="131"/>
      <c r="H148" s="122" t="str">
        <f>IFERROR(VLOOKUP(B148,'[1]Debt Holding Consolidated'!$C$1:$N$65536,12,FALSE),"")</f>
        <v/>
      </c>
      <c r="J148" s="2"/>
    </row>
    <row r="149" spans="1:10" x14ac:dyDescent="0.2">
      <c r="A149" s="120"/>
      <c r="B149" s="120"/>
      <c r="C149" s="121" t="s">
        <v>152</v>
      </c>
      <c r="D149" s="120"/>
      <c r="E149" s="120" t="s">
        <v>153</v>
      </c>
      <c r="F149" s="132" t="s">
        <v>155</v>
      </c>
      <c r="G149" s="129">
        <v>0</v>
      </c>
      <c r="H149" s="122" t="str">
        <f>IFERROR(VLOOKUP(B149,'[1]Debt Holding Consolidated'!$C$1:$N$65536,12,FALSE),"")</f>
        <v/>
      </c>
      <c r="J149" s="2"/>
    </row>
    <row r="150" spans="1:10" x14ac:dyDescent="0.2">
      <c r="A150" s="120"/>
      <c r="B150" s="120"/>
      <c r="C150" s="130"/>
      <c r="D150" s="120"/>
      <c r="E150" s="120"/>
      <c r="F150" s="131"/>
      <c r="G150" s="131"/>
      <c r="H150" s="122" t="str">
        <f>IFERROR(VLOOKUP(B150,'[1]Debt Holding Consolidated'!$C$1:$N$65536,12,FALSE),"")</f>
        <v/>
      </c>
      <c r="J150" s="2"/>
    </row>
    <row r="151" spans="1:10" x14ac:dyDescent="0.2">
      <c r="A151" s="120"/>
      <c r="B151" s="120"/>
      <c r="C151" s="121" t="s">
        <v>170</v>
      </c>
      <c r="D151" s="120"/>
      <c r="E151" s="120"/>
      <c r="F151" s="131"/>
      <c r="G151" s="131"/>
      <c r="H151" s="122" t="str">
        <f>IFERROR(VLOOKUP(B151,'[1]Debt Holding Consolidated'!$C$1:$N$65536,12,FALSE),"")</f>
        <v/>
      </c>
      <c r="J151" s="2"/>
    </row>
    <row r="152" spans="1:10" x14ac:dyDescent="0.2">
      <c r="A152" s="123">
        <v>1</v>
      </c>
      <c r="B152" s="124"/>
      <c r="C152" s="124" t="s">
        <v>171</v>
      </c>
      <c r="D152" s="124"/>
      <c r="E152" s="133"/>
      <c r="F152" s="126">
        <v>6665.4609695830004</v>
      </c>
      <c r="G152" s="127">
        <v>4.2336499999999999E-2</v>
      </c>
      <c r="H152" s="122">
        <v>6.62</v>
      </c>
      <c r="J152" s="2"/>
    </row>
    <row r="153" spans="1:10" x14ac:dyDescent="0.2">
      <c r="A153" s="120"/>
      <c r="B153" s="120"/>
      <c r="C153" s="121" t="s">
        <v>152</v>
      </c>
      <c r="D153" s="120"/>
      <c r="E153" s="120" t="s">
        <v>153</v>
      </c>
      <c r="F153" s="128">
        <v>6665.4609695830004</v>
      </c>
      <c r="G153" s="129">
        <v>4.2336499999999999E-2</v>
      </c>
      <c r="H153" s="122" t="str">
        <f>IFERROR(VLOOKUP(B153,'[1]Debt Holding Consolidated'!$C$1:$N$65536,12,FALSE),"")</f>
        <v/>
      </c>
      <c r="J153" s="2"/>
    </row>
    <row r="154" spans="1:10" x14ac:dyDescent="0.2">
      <c r="A154" s="120"/>
      <c r="B154" s="120"/>
      <c r="C154" s="130"/>
      <c r="D154" s="120"/>
      <c r="E154" s="120"/>
      <c r="F154" s="131"/>
      <c r="G154" s="131"/>
      <c r="H154" s="122" t="str">
        <f>IFERROR(VLOOKUP(B154,'[1]Debt Holding Consolidated'!$C$1:$N$65536,12,FALSE),"")</f>
        <v/>
      </c>
      <c r="J154" s="2"/>
    </row>
    <row r="155" spans="1:10" x14ac:dyDescent="0.2">
      <c r="A155" s="120"/>
      <c r="B155" s="120"/>
      <c r="C155" s="121" t="s">
        <v>172</v>
      </c>
      <c r="D155" s="120"/>
      <c r="E155" s="120"/>
      <c r="F155" s="128">
        <v>6665.4609695830004</v>
      </c>
      <c r="G155" s="129">
        <v>4.2336499999999999E-2</v>
      </c>
      <c r="H155" s="122" t="str">
        <f>IFERROR(VLOOKUP(B155,'[1]Debt Holding Consolidated'!$C$1:$N$65536,12,FALSE),"")</f>
        <v/>
      </c>
      <c r="J155" s="2"/>
    </row>
    <row r="156" spans="1:10" x14ac:dyDescent="0.2">
      <c r="A156" s="120"/>
      <c r="B156" s="120"/>
      <c r="C156" s="131"/>
      <c r="D156" s="120"/>
      <c r="E156" s="120"/>
      <c r="F156" s="120"/>
      <c r="G156" s="120"/>
      <c r="H156" s="122" t="str">
        <f>IFERROR(VLOOKUP(B156,'[1]Debt Holding Consolidated'!$C$1:$N$65536,12,FALSE),"")</f>
        <v/>
      </c>
      <c r="J156" s="2"/>
    </row>
    <row r="157" spans="1:10" x14ac:dyDescent="0.2">
      <c r="A157" s="120"/>
      <c r="B157" s="120"/>
      <c r="C157" s="121" t="s">
        <v>173</v>
      </c>
      <c r="D157" s="120"/>
      <c r="E157" s="120"/>
      <c r="F157" s="120"/>
      <c r="G157" s="120"/>
      <c r="H157" s="122" t="str">
        <f>IFERROR(VLOOKUP(B157,'[1]Debt Holding Consolidated'!$C$1:$N$65536,12,FALSE),"")</f>
        <v/>
      </c>
      <c r="J157" s="2"/>
    </row>
    <row r="158" spans="1:10" x14ac:dyDescent="0.2">
      <c r="A158" s="120"/>
      <c r="B158" s="120"/>
      <c r="C158" s="121" t="s">
        <v>174</v>
      </c>
      <c r="D158" s="120"/>
      <c r="E158" s="120"/>
      <c r="F158" s="120"/>
      <c r="G158" s="120"/>
      <c r="H158" s="122" t="str">
        <f>IFERROR(VLOOKUP(B158,'[1]Debt Holding Consolidated'!$C$1:$N$65536,12,FALSE),"")</f>
        <v/>
      </c>
      <c r="J158" s="2"/>
    </row>
    <row r="159" spans="1:10" x14ac:dyDescent="0.2">
      <c r="A159" s="120"/>
      <c r="B159" s="120"/>
      <c r="C159" s="121" t="s">
        <v>152</v>
      </c>
      <c r="D159" s="120"/>
      <c r="E159" s="120" t="s">
        <v>153</v>
      </c>
      <c r="F159" s="132" t="s">
        <v>155</v>
      </c>
      <c r="G159" s="129">
        <v>0</v>
      </c>
      <c r="H159" s="122" t="str">
        <f>IFERROR(VLOOKUP(B159,'[1]Debt Holding Consolidated'!$C$1:$N$65536,12,FALSE),"")</f>
        <v/>
      </c>
      <c r="J159" s="2"/>
    </row>
    <row r="160" spans="1:10" x14ac:dyDescent="0.2">
      <c r="A160" s="120"/>
      <c r="B160" s="120"/>
      <c r="C160" s="130"/>
      <c r="D160" s="120"/>
      <c r="E160" s="120"/>
      <c r="F160" s="131"/>
      <c r="G160" s="131"/>
      <c r="H160" s="122" t="str">
        <f>IFERROR(VLOOKUP(B160,'[1]Debt Holding Consolidated'!$C$1:$N$65536,12,FALSE),"")</f>
        <v/>
      </c>
      <c r="J160" s="2"/>
    </row>
    <row r="161" spans="1:17" x14ac:dyDescent="0.2">
      <c r="A161" s="120"/>
      <c r="B161" s="120"/>
      <c r="C161" s="121" t="s">
        <v>175</v>
      </c>
      <c r="D161" s="120"/>
      <c r="E161" s="120"/>
      <c r="F161" s="120"/>
      <c r="G161" s="120"/>
      <c r="H161" s="122" t="str">
        <f>IFERROR(VLOOKUP(B161,'[1]Debt Holding Consolidated'!$C$1:$N$65536,12,FALSE),"")</f>
        <v/>
      </c>
      <c r="J161" s="2"/>
    </row>
    <row r="162" spans="1:17" x14ac:dyDescent="0.2">
      <c r="A162" s="120"/>
      <c r="B162" s="120"/>
      <c r="C162" s="121" t="s">
        <v>176</v>
      </c>
      <c r="D162" s="120"/>
      <c r="E162" s="120"/>
      <c r="F162" s="120"/>
      <c r="G162" s="120"/>
      <c r="H162" s="122" t="str">
        <f>IFERROR(VLOOKUP(B162,'[1]Debt Holding Consolidated'!$C$1:$N$65536,12,FALSE),"")</f>
        <v/>
      </c>
      <c r="J162" s="2"/>
    </row>
    <row r="163" spans="1:17" x14ac:dyDescent="0.2">
      <c r="A163" s="120"/>
      <c r="B163" s="120"/>
      <c r="C163" s="121" t="s">
        <v>152</v>
      </c>
      <c r="D163" s="120"/>
      <c r="E163" s="120" t="s">
        <v>153</v>
      </c>
      <c r="F163" s="132" t="s">
        <v>155</v>
      </c>
      <c r="G163" s="129">
        <v>0</v>
      </c>
      <c r="H163" s="122" t="str">
        <f>IFERROR(VLOOKUP(B163,'[1]Debt Holding Consolidated'!$C$1:$N$65536,12,FALSE),"")</f>
        <v/>
      </c>
      <c r="J163" s="2"/>
    </row>
    <row r="164" spans="1:17" x14ac:dyDescent="0.2">
      <c r="A164" s="120"/>
      <c r="B164" s="120"/>
      <c r="C164" s="130"/>
      <c r="D164" s="120"/>
      <c r="E164" s="120"/>
      <c r="F164" s="131"/>
      <c r="G164" s="131"/>
      <c r="H164" s="122" t="str">
        <f>IFERROR(VLOOKUP(B164,'[1]Debt Holding Consolidated'!$C$1:$N$65536,12,FALSE),"")</f>
        <v/>
      </c>
      <c r="J164" s="2"/>
    </row>
    <row r="165" spans="1:17" x14ac:dyDescent="0.2">
      <c r="A165" s="120"/>
      <c r="B165" s="120"/>
      <c r="C165" s="121" t="s">
        <v>177</v>
      </c>
      <c r="D165" s="120"/>
      <c r="E165" s="120"/>
      <c r="F165" s="131"/>
      <c r="G165" s="131"/>
      <c r="H165" s="122" t="str">
        <f>IFERROR(VLOOKUP(B165,'[1]Debt Holding Consolidated'!$C$1:$N$65536,12,FALSE),"")</f>
        <v/>
      </c>
      <c r="J165" s="2"/>
    </row>
    <row r="166" spans="1:17" x14ac:dyDescent="0.2">
      <c r="A166" s="120"/>
      <c r="B166" s="120"/>
      <c r="C166" s="121" t="s">
        <v>152</v>
      </c>
      <c r="D166" s="120"/>
      <c r="E166" s="120" t="s">
        <v>153</v>
      </c>
      <c r="F166" s="132" t="s">
        <v>155</v>
      </c>
      <c r="G166" s="129">
        <v>0</v>
      </c>
      <c r="H166" s="122" t="str">
        <f>IFERROR(VLOOKUP(B166,'[1]Debt Holding Consolidated'!$C$1:$N$65536,12,FALSE),"")</f>
        <v/>
      </c>
      <c r="J166" s="2"/>
    </row>
    <row r="167" spans="1:17" x14ac:dyDescent="0.2">
      <c r="A167" s="120"/>
      <c r="B167" s="120"/>
      <c r="C167" s="130"/>
      <c r="D167" s="120"/>
      <c r="E167" s="120"/>
      <c r="F167" s="131"/>
      <c r="G167" s="131"/>
      <c r="H167" s="122" t="str">
        <f>IFERROR(VLOOKUP(B167,'[1]Debt Holding Consolidated'!$C$1:$N$65536,12,FALSE),"")</f>
        <v/>
      </c>
      <c r="J167" s="2"/>
    </row>
    <row r="168" spans="1:17" x14ac:dyDescent="0.2">
      <c r="A168" s="133"/>
      <c r="B168" s="124"/>
      <c r="C168" s="124" t="s">
        <v>542</v>
      </c>
      <c r="D168" s="124"/>
      <c r="E168" s="133"/>
      <c r="F168" s="126">
        <v>1599.9652140999999</v>
      </c>
      <c r="G168" s="127">
        <v>1.016238E-2</v>
      </c>
      <c r="H168" s="122" t="str">
        <f>IFERROR(VLOOKUP(B168,'[1]Debt Holding Consolidated'!$C$1:$N$65536,12,FALSE),"")</f>
        <v/>
      </c>
      <c r="J168" s="2"/>
    </row>
    <row r="169" spans="1:17" x14ac:dyDescent="0.2">
      <c r="A169" s="133"/>
      <c r="B169" s="124"/>
      <c r="C169" s="160" t="s">
        <v>942</v>
      </c>
      <c r="D169" s="124"/>
      <c r="E169" s="133"/>
      <c r="F169" s="126">
        <f>21306.25772405-20985.493575-546.21</f>
        <v>-225.44585095000093</v>
      </c>
      <c r="G169" s="127">
        <f>F169/F170</f>
        <v>-1.4319471231575493E-3</v>
      </c>
      <c r="H169" s="122" t="str">
        <f>IFERROR(VLOOKUP(B169,'[1]Debt Holding Consolidated'!$C$1:$N$65536,12,FALSE),"")</f>
        <v/>
      </c>
      <c r="J169" s="2"/>
    </row>
    <row r="170" spans="1:17" x14ac:dyDescent="0.2">
      <c r="A170" s="130"/>
      <c r="B170" s="130"/>
      <c r="C170" s="121" t="s">
        <v>179</v>
      </c>
      <c r="D170" s="131"/>
      <c r="E170" s="131"/>
      <c r="F170" s="128">
        <f>F169+F168+F155+F139+F106</f>
        <v>157440.06695783301</v>
      </c>
      <c r="G170" s="134">
        <f>G169+G168+G155+G139+G106</f>
        <v>1.0000000294073366</v>
      </c>
      <c r="H170" s="122" t="str">
        <f>IFERROR(VLOOKUP(B170,'[1]Debt Holding Consolidated'!$C$1:$N$65536,12,FALSE),"")</f>
        <v/>
      </c>
      <c r="J170" s="2"/>
    </row>
    <row r="171" spans="1:17" x14ac:dyDescent="0.2">
      <c r="A171" s="135"/>
      <c r="B171" s="135"/>
      <c r="C171" s="135"/>
      <c r="D171" s="136"/>
      <c r="E171" s="136"/>
      <c r="F171" s="136"/>
      <c r="G171" s="136"/>
      <c r="J171" s="2"/>
    </row>
    <row r="172" spans="1:17" x14ac:dyDescent="0.2">
      <c r="A172" s="137"/>
      <c r="B172" s="226" t="s">
        <v>863</v>
      </c>
      <c r="C172" s="226"/>
      <c r="D172" s="226"/>
      <c r="E172" s="226"/>
      <c r="F172" s="226"/>
      <c r="G172" s="226"/>
      <c r="H172" s="226"/>
      <c r="J172" s="2"/>
    </row>
    <row r="173" spans="1:17" x14ac:dyDescent="0.2">
      <c r="A173" s="137"/>
      <c r="B173" s="226" t="s">
        <v>864</v>
      </c>
      <c r="C173" s="226"/>
      <c r="D173" s="226"/>
      <c r="E173" s="226"/>
      <c r="F173" s="226"/>
      <c r="G173" s="226"/>
      <c r="H173" s="226"/>
      <c r="J173" s="2"/>
    </row>
    <row r="174" spans="1:17" x14ac:dyDescent="0.2">
      <c r="A174" s="137"/>
      <c r="B174" s="226" t="s">
        <v>865</v>
      </c>
      <c r="C174" s="226"/>
      <c r="D174" s="226"/>
      <c r="E174" s="226"/>
      <c r="F174" s="226"/>
      <c r="G174" s="226"/>
      <c r="H174" s="226"/>
      <c r="J174" s="2"/>
    </row>
    <row r="175" spans="1:17" s="5" customFormat="1" ht="53.25" customHeight="1" x14ac:dyDescent="0.25">
      <c r="A175" s="139"/>
      <c r="B175" s="227" t="s">
        <v>866</v>
      </c>
      <c r="C175" s="227"/>
      <c r="D175" s="227"/>
      <c r="E175" s="227"/>
      <c r="F175" s="227"/>
      <c r="G175" s="227"/>
      <c r="H175" s="227"/>
      <c r="I175"/>
      <c r="J175" s="2"/>
      <c r="K175"/>
      <c r="L175"/>
      <c r="M175"/>
      <c r="N175"/>
      <c r="O175"/>
      <c r="P175"/>
      <c r="Q175"/>
    </row>
    <row r="176" spans="1:17" x14ac:dyDescent="0.2">
      <c r="A176" s="137"/>
      <c r="B176" s="226" t="s">
        <v>867</v>
      </c>
      <c r="C176" s="226"/>
      <c r="D176" s="226"/>
      <c r="E176" s="226"/>
      <c r="F176" s="226"/>
      <c r="G176" s="226"/>
      <c r="H176" s="226"/>
      <c r="J176" s="2"/>
    </row>
    <row r="177" spans="1:10" x14ac:dyDescent="0.2">
      <c r="A177" s="140"/>
      <c r="B177" s="140"/>
      <c r="C177" s="140"/>
      <c r="D177" s="141"/>
      <c r="E177" s="141"/>
      <c r="F177" s="141"/>
      <c r="G177" s="141"/>
      <c r="J177" s="2"/>
    </row>
    <row r="178" spans="1:10" x14ac:dyDescent="0.2">
      <c r="A178" s="140"/>
      <c r="B178" s="228" t="s">
        <v>180</v>
      </c>
      <c r="C178" s="229"/>
      <c r="D178" s="230"/>
      <c r="E178" s="142"/>
      <c r="F178" s="141"/>
      <c r="G178" s="141"/>
      <c r="J178" s="2"/>
    </row>
    <row r="179" spans="1:10" x14ac:dyDescent="0.2">
      <c r="A179" s="140"/>
      <c r="B179" s="223" t="s">
        <v>181</v>
      </c>
      <c r="C179" s="224"/>
      <c r="D179" s="121" t="s">
        <v>182</v>
      </c>
      <c r="E179" s="142"/>
      <c r="F179" s="203"/>
      <c r="G179" s="141"/>
      <c r="J179" s="2"/>
    </row>
    <row r="180" spans="1:10" x14ac:dyDescent="0.2">
      <c r="A180" s="140"/>
      <c r="B180" s="223" t="s">
        <v>183</v>
      </c>
      <c r="C180" s="224"/>
      <c r="D180" s="121" t="s">
        <v>182</v>
      </c>
      <c r="E180" s="142"/>
      <c r="F180" s="141"/>
      <c r="G180" s="141"/>
      <c r="J180" s="2"/>
    </row>
    <row r="181" spans="1:10" ht="15" x14ac:dyDescent="0.25">
      <c r="A181" s="140"/>
      <c r="B181" s="223" t="s">
        <v>184</v>
      </c>
      <c r="C181" s="224"/>
      <c r="D181" s="131" t="s">
        <v>153</v>
      </c>
      <c r="E181" s="142"/>
      <c r="F181" s="203"/>
      <c r="G181" s="141"/>
      <c r="I181" s="5"/>
      <c r="J181" s="2"/>
    </row>
    <row r="182" spans="1:10" x14ac:dyDescent="0.2">
      <c r="A182" s="144"/>
      <c r="B182" s="145" t="s">
        <v>153</v>
      </c>
      <c r="C182" s="145" t="s">
        <v>870</v>
      </c>
      <c r="D182" s="145" t="s">
        <v>185</v>
      </c>
      <c r="E182" s="144"/>
      <c r="F182" s="144"/>
      <c r="G182" s="144"/>
      <c r="H182" s="144"/>
      <c r="J182" s="2"/>
    </row>
    <row r="183" spans="1:10" x14ac:dyDescent="0.2">
      <c r="A183" s="146"/>
      <c r="B183" s="147" t="s">
        <v>186</v>
      </c>
      <c r="C183" s="148">
        <v>45504</v>
      </c>
      <c r="D183" s="149">
        <v>45535</v>
      </c>
      <c r="E183" s="146"/>
      <c r="F183" s="146"/>
      <c r="G183" s="146"/>
      <c r="J183" s="2"/>
    </row>
    <row r="184" spans="1:10" x14ac:dyDescent="0.2">
      <c r="A184" s="146"/>
      <c r="B184" s="124" t="s">
        <v>187</v>
      </c>
      <c r="C184" s="150">
        <v>39.7956</v>
      </c>
      <c r="D184" s="150">
        <v>40.313200000000002</v>
      </c>
      <c r="E184" s="146"/>
      <c r="F184" s="151"/>
      <c r="G184" s="152"/>
      <c r="J184" s="2"/>
    </row>
    <row r="185" spans="1:10" ht="25.5" x14ac:dyDescent="0.2">
      <c r="A185" s="146"/>
      <c r="B185" s="160" t="s">
        <v>930</v>
      </c>
      <c r="C185" s="150">
        <v>19.9955</v>
      </c>
      <c r="D185" s="150">
        <v>20.158799999999999</v>
      </c>
      <c r="E185" s="146"/>
      <c r="F185" s="151"/>
      <c r="G185" s="152"/>
      <c r="J185" s="2"/>
    </row>
    <row r="186" spans="1:10" x14ac:dyDescent="0.2">
      <c r="A186" s="146"/>
      <c r="B186" s="124" t="s">
        <v>188</v>
      </c>
      <c r="C186" s="150">
        <v>34.401899999999998</v>
      </c>
      <c r="D186" s="150">
        <v>34.805599999999998</v>
      </c>
      <c r="E186" s="146"/>
      <c r="F186" s="151"/>
      <c r="G186" s="152"/>
      <c r="J186" s="2"/>
    </row>
    <row r="187" spans="1:10" ht="25.5" x14ac:dyDescent="0.2">
      <c r="A187" s="146"/>
      <c r="B187" s="160" t="s">
        <v>932</v>
      </c>
      <c r="C187" s="150">
        <v>16.588200000000001</v>
      </c>
      <c r="D187" s="150">
        <v>16.7014</v>
      </c>
      <c r="E187" s="146"/>
      <c r="F187" s="151"/>
      <c r="G187" s="152"/>
      <c r="J187" s="2"/>
    </row>
    <row r="188" spans="1:10" x14ac:dyDescent="0.2">
      <c r="A188" s="146"/>
      <c r="B188" s="146"/>
      <c r="C188" s="146"/>
      <c r="D188" s="146"/>
      <c r="E188" s="146"/>
      <c r="F188" s="146"/>
      <c r="G188" s="146"/>
      <c r="J188" s="2"/>
    </row>
    <row r="189" spans="1:10" x14ac:dyDescent="0.2">
      <c r="A189" s="146"/>
      <c r="B189" s="223" t="s">
        <v>869</v>
      </c>
      <c r="C189" s="224"/>
      <c r="D189" s="121" t="s">
        <v>153</v>
      </c>
      <c r="E189" s="146"/>
      <c r="F189" s="146"/>
      <c r="G189" s="146"/>
      <c r="J189" s="2"/>
    </row>
    <row r="190" spans="1:10" x14ac:dyDescent="0.2">
      <c r="A190" s="146"/>
      <c r="B190" s="169" t="s">
        <v>186</v>
      </c>
      <c r="C190" s="170" t="s">
        <v>643</v>
      </c>
      <c r="D190" s="170" t="s">
        <v>644</v>
      </c>
      <c r="E190" s="146"/>
      <c r="F190" s="146"/>
      <c r="G190" s="146"/>
      <c r="J190" s="2"/>
    </row>
    <row r="191" spans="1:10" ht="25.5" x14ac:dyDescent="0.2">
      <c r="A191" s="146"/>
      <c r="B191" s="160" t="s">
        <v>930</v>
      </c>
      <c r="C191" s="171">
        <v>9.5000000000000001E-2</v>
      </c>
      <c r="D191" s="133" t="s">
        <v>675</v>
      </c>
      <c r="E191" s="146"/>
      <c r="F191" s="151"/>
      <c r="G191" s="152"/>
      <c r="J191" s="2"/>
    </row>
    <row r="192" spans="1:10" ht="25.5" x14ac:dyDescent="0.2">
      <c r="A192" s="146"/>
      <c r="B192" s="160" t="s">
        <v>932</v>
      </c>
      <c r="C192" s="171">
        <v>0.08</v>
      </c>
      <c r="D192" s="171">
        <v>0.08</v>
      </c>
      <c r="E192" s="146"/>
      <c r="F192" s="151"/>
      <c r="G192" s="152"/>
      <c r="J192" s="2"/>
    </row>
    <row r="193" spans="1:10" x14ac:dyDescent="0.2">
      <c r="A193" s="146"/>
      <c r="B193" s="172"/>
      <c r="C193" s="172"/>
      <c r="D193" s="173"/>
      <c r="E193" s="146"/>
      <c r="F193" s="151"/>
      <c r="G193" s="152"/>
      <c r="J193" s="2"/>
    </row>
    <row r="194" spans="1:10" ht="29.1" customHeight="1" x14ac:dyDescent="0.2">
      <c r="A194" s="144"/>
      <c r="B194" s="221" t="s">
        <v>189</v>
      </c>
      <c r="C194" s="222"/>
      <c r="D194" s="143" t="s">
        <v>1000</v>
      </c>
      <c r="E194" s="153"/>
      <c r="F194" s="144"/>
      <c r="G194" s="144"/>
      <c r="J194" s="2"/>
    </row>
    <row r="195" spans="1:10" ht="29.1" customHeight="1" x14ac:dyDescent="0.2">
      <c r="A195" s="144"/>
      <c r="B195" s="221" t="s">
        <v>190</v>
      </c>
      <c r="C195" s="222"/>
      <c r="D195" s="143" t="s">
        <v>182</v>
      </c>
      <c r="E195" s="153"/>
      <c r="F195" s="144"/>
      <c r="G195" s="144"/>
      <c r="J195" s="2"/>
    </row>
    <row r="196" spans="1:10" ht="17.100000000000001" customHeight="1" x14ac:dyDescent="0.2">
      <c r="A196" s="144"/>
      <c r="B196" s="221" t="s">
        <v>191</v>
      </c>
      <c r="C196" s="222"/>
      <c r="D196" s="143" t="s">
        <v>182</v>
      </c>
      <c r="E196" s="153"/>
      <c r="F196" s="144"/>
      <c r="G196" s="144"/>
      <c r="J196" s="2"/>
    </row>
    <row r="197" spans="1:10" ht="17.100000000000001" customHeight="1" x14ac:dyDescent="0.2">
      <c r="A197" s="144"/>
      <c r="B197" s="221" t="s">
        <v>192</v>
      </c>
      <c r="C197" s="222"/>
      <c r="D197" s="154">
        <v>2.3738606352940472</v>
      </c>
      <c r="E197" s="144"/>
      <c r="F197" s="138"/>
      <c r="G197" s="155"/>
      <c r="J197" s="2"/>
    </row>
    <row r="198" spans="1:10" x14ac:dyDescent="0.2">
      <c r="J198" s="2"/>
    </row>
    <row r="199" spans="1:10" x14ac:dyDescent="0.2">
      <c r="B199" s="245" t="s">
        <v>963</v>
      </c>
      <c r="C199" s="246"/>
      <c r="D199" s="247"/>
      <c r="F199" s="144"/>
      <c r="G199" s="144"/>
      <c r="J199" s="2"/>
    </row>
    <row r="200" spans="1:10" ht="25.5" x14ac:dyDescent="0.2">
      <c r="B200" s="248" t="s">
        <v>964</v>
      </c>
      <c r="C200" s="248"/>
      <c r="D200" s="190" t="s">
        <v>667</v>
      </c>
      <c r="J200" s="2"/>
    </row>
    <row r="201" spans="1:10" x14ac:dyDescent="0.2">
      <c r="B201" s="248" t="s">
        <v>965</v>
      </c>
      <c r="C201" s="248"/>
      <c r="D201" s="197"/>
      <c r="J201" s="2"/>
    </row>
    <row r="202" spans="1:10" x14ac:dyDescent="0.2">
      <c r="B202" s="249"/>
      <c r="C202" s="250"/>
      <c r="D202" s="191"/>
      <c r="J202" s="2"/>
    </row>
    <row r="203" spans="1:10" x14ac:dyDescent="0.2">
      <c r="B203" s="248" t="s">
        <v>966</v>
      </c>
      <c r="C203" s="248"/>
      <c r="D203" s="192">
        <v>7.1184595864619808</v>
      </c>
      <c r="J203" s="2"/>
    </row>
    <row r="204" spans="1:10" x14ac:dyDescent="0.2">
      <c r="B204" s="249"/>
      <c r="C204" s="250"/>
      <c r="D204" s="191"/>
      <c r="J204" s="2"/>
    </row>
    <row r="205" spans="1:10" x14ac:dyDescent="0.2">
      <c r="B205" s="248" t="s">
        <v>967</v>
      </c>
      <c r="C205" s="248"/>
      <c r="D205" s="192">
        <v>4.1993845976394431</v>
      </c>
      <c r="J205" s="2"/>
    </row>
    <row r="206" spans="1:10" x14ac:dyDescent="0.2">
      <c r="B206" s="248" t="s">
        <v>968</v>
      </c>
      <c r="C206" s="248"/>
      <c r="D206" s="192">
        <v>5.8691694221615984</v>
      </c>
    </row>
    <row r="207" spans="1:10" x14ac:dyDescent="0.2">
      <c r="B207" s="249"/>
      <c r="C207" s="250"/>
      <c r="D207" s="191"/>
    </row>
    <row r="208" spans="1:10" x14ac:dyDescent="0.2">
      <c r="B208" s="248" t="s">
        <v>969</v>
      </c>
      <c r="C208" s="248"/>
      <c r="D208" s="194" t="s">
        <v>1064</v>
      </c>
    </row>
    <row r="209" spans="2:4" x14ac:dyDescent="0.2">
      <c r="B209" s="249" t="s">
        <v>970</v>
      </c>
      <c r="C209" s="251"/>
      <c r="D209" s="250"/>
    </row>
  </sheetData>
  <mergeCells count="28">
    <mergeCell ref="B205:C205"/>
    <mergeCell ref="B206:C206"/>
    <mergeCell ref="B207:C207"/>
    <mergeCell ref="B208:C208"/>
    <mergeCell ref="B209:D209"/>
    <mergeCell ref="B200:C200"/>
    <mergeCell ref="B201:C201"/>
    <mergeCell ref="B202:C202"/>
    <mergeCell ref="B203:C203"/>
    <mergeCell ref="B204:C204"/>
    <mergeCell ref="B179:C179"/>
    <mergeCell ref="A1:H1"/>
    <mergeCell ref="A2:H2"/>
    <mergeCell ref="A3:H3"/>
    <mergeCell ref="B172:H172"/>
    <mergeCell ref="B173:H173"/>
    <mergeCell ref="B174:H174"/>
    <mergeCell ref="B175:H175"/>
    <mergeCell ref="B176:H176"/>
    <mergeCell ref="B178:D178"/>
    <mergeCell ref="B197:C197"/>
    <mergeCell ref="B194:C194"/>
    <mergeCell ref="B199:D199"/>
    <mergeCell ref="B180:C180"/>
    <mergeCell ref="B181:C181"/>
    <mergeCell ref="B189:C189"/>
    <mergeCell ref="B195:C195"/>
    <mergeCell ref="B196:C196"/>
  </mergeCells>
  <hyperlinks>
    <hyperlink ref="I1" location="Index!B17" display="Index" xr:uid="{4DF5A8EC-8E45-4CB7-875D-E24DFBAC9C2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9343-3469-478C-A56B-D37F7908C475}">
  <sheetPr>
    <outlinePr summaryBelow="0" summaryRight="0"/>
  </sheetPr>
  <dimension ref="A1:T168"/>
  <sheetViews>
    <sheetView showGridLines="0" workbookViewId="0">
      <selection sqref="A1:H1"/>
    </sheetView>
  </sheetViews>
  <sheetFormatPr defaultRowHeight="12.75" x14ac:dyDescent="0.2"/>
  <cols>
    <col min="1" max="1" width="6.85546875" customWidth="1"/>
    <col min="2" max="2" width="20.5703125" customWidth="1"/>
    <col min="3" max="3" width="36.85546875" customWidth="1"/>
    <col min="4" max="4" width="17.85546875" customWidth="1"/>
    <col min="5" max="6" width="19.140625" customWidth="1"/>
    <col min="7" max="7" width="16.42578125"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1061</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x14ac:dyDescent="0.2">
      <c r="A6" s="120"/>
      <c r="B6" s="120"/>
      <c r="C6" s="121" t="s">
        <v>10</v>
      </c>
      <c r="D6" s="120"/>
      <c r="E6" s="120"/>
      <c r="F6" s="120"/>
      <c r="G6" s="120"/>
      <c r="H6" s="122" t="s">
        <v>153</v>
      </c>
      <c r="J6" s="2"/>
    </row>
    <row r="7" spans="1:10" x14ac:dyDescent="0.2">
      <c r="A7" s="123">
        <v>1</v>
      </c>
      <c r="B7" s="124" t="s">
        <v>17</v>
      </c>
      <c r="C7" s="124" t="s">
        <v>18</v>
      </c>
      <c r="D7" s="124" t="s">
        <v>19</v>
      </c>
      <c r="E7" s="125">
        <v>1100000</v>
      </c>
      <c r="F7" s="126">
        <v>4578.2</v>
      </c>
      <c r="G7" s="127">
        <v>4.6400150000000001E-2</v>
      </c>
      <c r="H7" s="122" t="s">
        <v>153</v>
      </c>
      <c r="J7" s="2"/>
    </row>
    <row r="8" spans="1:10" x14ac:dyDescent="0.2">
      <c r="A8" s="123">
        <v>2</v>
      </c>
      <c r="B8" s="124" t="s">
        <v>342</v>
      </c>
      <c r="C8" s="124" t="s">
        <v>343</v>
      </c>
      <c r="D8" s="124" t="s">
        <v>48</v>
      </c>
      <c r="E8" s="125">
        <v>275000</v>
      </c>
      <c r="F8" s="126">
        <v>4501.4750000000004</v>
      </c>
      <c r="G8" s="127">
        <v>4.5622540000000003E-2</v>
      </c>
      <c r="H8" s="122" t="s">
        <v>153</v>
      </c>
      <c r="J8" s="2"/>
    </row>
    <row r="9" spans="1:10" x14ac:dyDescent="0.2">
      <c r="A9" s="123">
        <v>3</v>
      </c>
      <c r="B9" s="124" t="s">
        <v>344</v>
      </c>
      <c r="C9" s="124" t="s">
        <v>345</v>
      </c>
      <c r="D9" s="124" t="s">
        <v>211</v>
      </c>
      <c r="E9" s="125">
        <v>215000</v>
      </c>
      <c r="F9" s="126">
        <v>4178.9549999999999</v>
      </c>
      <c r="G9" s="127">
        <v>4.2353790000000002E-2</v>
      </c>
      <c r="H9" s="122" t="s">
        <v>153</v>
      </c>
      <c r="J9" s="2"/>
    </row>
    <row r="10" spans="1:10" x14ac:dyDescent="0.2">
      <c r="A10" s="123">
        <v>4</v>
      </c>
      <c r="B10" s="124" t="s">
        <v>46</v>
      </c>
      <c r="C10" s="124" t="s">
        <v>47</v>
      </c>
      <c r="D10" s="124" t="s">
        <v>48</v>
      </c>
      <c r="E10" s="125">
        <v>258000</v>
      </c>
      <c r="F10" s="126">
        <v>3171.3359999999998</v>
      </c>
      <c r="G10" s="127">
        <v>3.214156E-2</v>
      </c>
      <c r="H10" s="122" t="s">
        <v>153</v>
      </c>
      <c r="J10" s="2"/>
    </row>
    <row r="11" spans="1:10" x14ac:dyDescent="0.2">
      <c r="A11" s="123">
        <v>5</v>
      </c>
      <c r="B11" s="124" t="s">
        <v>348</v>
      </c>
      <c r="C11" s="124" t="s">
        <v>349</v>
      </c>
      <c r="D11" s="124" t="s">
        <v>211</v>
      </c>
      <c r="E11" s="125">
        <v>65000</v>
      </c>
      <c r="F11" s="126">
        <v>2959.9375</v>
      </c>
      <c r="G11" s="127">
        <v>2.9999029999999999E-2</v>
      </c>
      <c r="H11" s="122" t="s">
        <v>153</v>
      </c>
      <c r="J11" s="2"/>
    </row>
    <row r="12" spans="1:10" ht="15" x14ac:dyDescent="0.2">
      <c r="A12" s="123">
        <v>6</v>
      </c>
      <c r="B12" s="124" t="s">
        <v>20</v>
      </c>
      <c r="C12" s="124" t="s">
        <v>21</v>
      </c>
      <c r="D12" s="124" t="s">
        <v>22</v>
      </c>
      <c r="E12" s="125">
        <v>93000</v>
      </c>
      <c r="F12" s="126">
        <v>2807.9025000000001</v>
      </c>
      <c r="G12" s="127">
        <v>2.8458150000000002E-2</v>
      </c>
      <c r="H12" s="122" t="s">
        <v>153</v>
      </c>
      <c r="J12" s="7"/>
    </row>
    <row r="13" spans="1:10" x14ac:dyDescent="0.2">
      <c r="A13" s="123">
        <v>7</v>
      </c>
      <c r="B13" s="124" t="s">
        <v>54</v>
      </c>
      <c r="C13" s="124" t="s">
        <v>55</v>
      </c>
      <c r="D13" s="124" t="s">
        <v>48</v>
      </c>
      <c r="E13" s="125">
        <v>310000</v>
      </c>
      <c r="F13" s="126">
        <v>2528.36</v>
      </c>
      <c r="G13" s="127">
        <v>2.5624979999999999E-2</v>
      </c>
      <c r="H13" s="122" t="s">
        <v>153</v>
      </c>
      <c r="J13" s="2"/>
    </row>
    <row r="14" spans="1:10" x14ac:dyDescent="0.2">
      <c r="A14" s="123">
        <v>8</v>
      </c>
      <c r="B14" s="124" t="s">
        <v>372</v>
      </c>
      <c r="C14" s="124" t="s">
        <v>373</v>
      </c>
      <c r="D14" s="124" t="s">
        <v>374</v>
      </c>
      <c r="E14" s="125">
        <v>455000</v>
      </c>
      <c r="F14" s="126">
        <v>2283.645</v>
      </c>
      <c r="G14" s="127">
        <v>2.3144789999999998E-2</v>
      </c>
      <c r="H14" s="122" t="s">
        <v>153</v>
      </c>
      <c r="J14" s="2"/>
    </row>
    <row r="15" spans="1:10" x14ac:dyDescent="0.2">
      <c r="A15" s="123">
        <v>9</v>
      </c>
      <c r="B15" s="124" t="s">
        <v>26</v>
      </c>
      <c r="C15" s="124" t="s">
        <v>27</v>
      </c>
      <c r="D15" s="124" t="s">
        <v>19</v>
      </c>
      <c r="E15" s="125">
        <v>675000</v>
      </c>
      <c r="F15" s="126">
        <v>2277.4499999999998</v>
      </c>
      <c r="G15" s="127">
        <v>2.3081999999999998E-2</v>
      </c>
      <c r="H15" s="122" t="s">
        <v>153</v>
      </c>
      <c r="J15" s="2"/>
    </row>
    <row r="16" spans="1:10" x14ac:dyDescent="0.2">
      <c r="A16" s="123">
        <v>10</v>
      </c>
      <c r="B16" s="124" t="s">
        <v>36</v>
      </c>
      <c r="C16" s="124" t="s">
        <v>37</v>
      </c>
      <c r="D16" s="124" t="s">
        <v>38</v>
      </c>
      <c r="E16" s="125">
        <v>675000</v>
      </c>
      <c r="F16" s="126">
        <v>2232.5625</v>
      </c>
      <c r="G16" s="127">
        <v>2.2627069999999999E-2</v>
      </c>
      <c r="H16" s="122" t="s">
        <v>153</v>
      </c>
      <c r="J16" s="2" t="s">
        <v>1011</v>
      </c>
    </row>
    <row r="17" spans="1:10" x14ac:dyDescent="0.2">
      <c r="A17" s="123">
        <v>11</v>
      </c>
      <c r="B17" s="124" t="s">
        <v>11</v>
      </c>
      <c r="C17" s="124" t="s">
        <v>12</v>
      </c>
      <c r="D17" s="124" t="s">
        <v>13</v>
      </c>
      <c r="E17" s="125">
        <v>60000</v>
      </c>
      <c r="F17" s="126">
        <v>2222.79</v>
      </c>
      <c r="G17" s="127">
        <v>2.2528019999999999E-2</v>
      </c>
      <c r="H17" s="122" t="s">
        <v>153</v>
      </c>
      <c r="J17" s="2"/>
    </row>
    <row r="18" spans="1:10" x14ac:dyDescent="0.2">
      <c r="A18" s="123">
        <v>12</v>
      </c>
      <c r="B18" s="124" t="s">
        <v>550</v>
      </c>
      <c r="C18" s="124" t="s">
        <v>551</v>
      </c>
      <c r="D18" s="124" t="s">
        <v>211</v>
      </c>
      <c r="E18" s="125">
        <v>130000</v>
      </c>
      <c r="F18" s="126">
        <v>2127.4499999999998</v>
      </c>
      <c r="G18" s="127">
        <v>2.1561750000000001E-2</v>
      </c>
      <c r="H18" s="122" t="s">
        <v>153</v>
      </c>
      <c r="J18" s="2"/>
    </row>
    <row r="19" spans="1:10" x14ac:dyDescent="0.2">
      <c r="A19" s="123">
        <v>13</v>
      </c>
      <c r="B19" s="124" t="s">
        <v>101</v>
      </c>
      <c r="C19" s="124" t="s">
        <v>102</v>
      </c>
      <c r="D19" s="124" t="s">
        <v>103</v>
      </c>
      <c r="E19" s="125">
        <v>400000</v>
      </c>
      <c r="F19" s="126">
        <v>2099.8000000000002</v>
      </c>
      <c r="G19" s="127">
        <v>2.1281520000000002E-2</v>
      </c>
      <c r="H19" s="122" t="s">
        <v>153</v>
      </c>
      <c r="J19" s="2"/>
    </row>
    <row r="20" spans="1:10" x14ac:dyDescent="0.2">
      <c r="A20" s="123">
        <v>14</v>
      </c>
      <c r="B20" s="124" t="s">
        <v>377</v>
      </c>
      <c r="C20" s="124" t="s">
        <v>378</v>
      </c>
      <c r="D20" s="124" t="s">
        <v>374</v>
      </c>
      <c r="E20" s="125">
        <v>75000</v>
      </c>
      <c r="F20" s="126">
        <v>2083.5</v>
      </c>
      <c r="G20" s="127">
        <v>2.1116320000000001E-2</v>
      </c>
      <c r="H20" s="122" t="s">
        <v>153</v>
      </c>
      <c r="J20" s="2"/>
    </row>
    <row r="21" spans="1:10" x14ac:dyDescent="0.2">
      <c r="A21" s="123">
        <v>15</v>
      </c>
      <c r="B21" s="124" t="s">
        <v>14</v>
      </c>
      <c r="C21" s="124" t="s">
        <v>15</v>
      </c>
      <c r="D21" s="124" t="s">
        <v>16</v>
      </c>
      <c r="E21" s="125">
        <v>125000</v>
      </c>
      <c r="F21" s="126">
        <v>1986.3125</v>
      </c>
      <c r="G21" s="127">
        <v>2.0131320000000001E-2</v>
      </c>
      <c r="H21" s="122" t="s">
        <v>153</v>
      </c>
      <c r="J21" s="2"/>
    </row>
    <row r="22" spans="1:10" ht="15" x14ac:dyDescent="0.2">
      <c r="A22" s="123">
        <v>16</v>
      </c>
      <c r="B22" s="124" t="s">
        <v>469</v>
      </c>
      <c r="C22" s="124" t="s">
        <v>470</v>
      </c>
      <c r="D22" s="124" t="s">
        <v>211</v>
      </c>
      <c r="E22" s="125">
        <v>107000</v>
      </c>
      <c r="F22" s="126">
        <v>1875.9775</v>
      </c>
      <c r="G22" s="127">
        <v>1.901307E-2</v>
      </c>
      <c r="H22" s="122" t="s">
        <v>153</v>
      </c>
      <c r="J22" s="7"/>
    </row>
    <row r="23" spans="1:10" x14ac:dyDescent="0.2">
      <c r="A23" s="123">
        <v>17</v>
      </c>
      <c r="B23" s="124" t="s">
        <v>30</v>
      </c>
      <c r="C23" s="124" t="s">
        <v>31</v>
      </c>
      <c r="D23" s="124" t="s">
        <v>32</v>
      </c>
      <c r="E23" s="125">
        <v>625000</v>
      </c>
      <c r="F23" s="126">
        <v>1870.625</v>
      </c>
      <c r="G23" s="127">
        <v>1.8958820000000001E-2</v>
      </c>
      <c r="H23" s="122" t="s">
        <v>153</v>
      </c>
      <c r="J23" s="2"/>
    </row>
    <row r="24" spans="1:10" x14ac:dyDescent="0.2">
      <c r="A24" s="123">
        <v>18</v>
      </c>
      <c r="B24" s="124" t="s">
        <v>467</v>
      </c>
      <c r="C24" s="124" t="s">
        <v>468</v>
      </c>
      <c r="D24" s="124" t="s">
        <v>48</v>
      </c>
      <c r="E24" s="125">
        <v>725000</v>
      </c>
      <c r="F24" s="126">
        <v>1813.2249999999999</v>
      </c>
      <c r="G24" s="127">
        <v>1.8377069999999999E-2</v>
      </c>
      <c r="H24" s="122" t="s">
        <v>153</v>
      </c>
      <c r="J24" s="2"/>
    </row>
    <row r="25" spans="1:10" x14ac:dyDescent="0.2">
      <c r="A25" s="123">
        <v>19</v>
      </c>
      <c r="B25" s="124" t="s">
        <v>676</v>
      </c>
      <c r="C25" s="124" t="s">
        <v>677</v>
      </c>
      <c r="D25" s="124" t="s">
        <v>19</v>
      </c>
      <c r="E25" s="125">
        <v>900000</v>
      </c>
      <c r="F25" s="126">
        <v>1746.36</v>
      </c>
      <c r="G25" s="127">
        <v>1.7699389999999999E-2</v>
      </c>
      <c r="H25" s="122" t="s">
        <v>153</v>
      </c>
      <c r="J25" s="2"/>
    </row>
    <row r="26" spans="1:10" x14ac:dyDescent="0.2">
      <c r="A26" s="123">
        <v>20</v>
      </c>
      <c r="B26" s="124" t="s">
        <v>548</v>
      </c>
      <c r="C26" s="124" t="s">
        <v>549</v>
      </c>
      <c r="D26" s="124" t="s">
        <v>273</v>
      </c>
      <c r="E26" s="125">
        <v>60000</v>
      </c>
      <c r="F26" s="126">
        <v>1683.24</v>
      </c>
      <c r="G26" s="127">
        <v>1.7059669999999999E-2</v>
      </c>
      <c r="H26" s="122" t="s">
        <v>153</v>
      </c>
      <c r="J26" s="2"/>
    </row>
    <row r="27" spans="1:10" x14ac:dyDescent="0.2">
      <c r="A27" s="123">
        <v>21</v>
      </c>
      <c r="B27" s="124" t="s">
        <v>659</v>
      </c>
      <c r="C27" s="124" t="s">
        <v>660</v>
      </c>
      <c r="D27" s="124" t="s">
        <v>22</v>
      </c>
      <c r="E27" s="125">
        <v>900000</v>
      </c>
      <c r="F27" s="126">
        <v>1592.73</v>
      </c>
      <c r="G27" s="127">
        <v>1.614235E-2</v>
      </c>
      <c r="H27" s="122" t="s">
        <v>153</v>
      </c>
      <c r="J27" s="2"/>
    </row>
    <row r="28" spans="1:10" x14ac:dyDescent="0.2">
      <c r="A28" s="123">
        <v>22</v>
      </c>
      <c r="B28" s="124" t="s">
        <v>678</v>
      </c>
      <c r="C28" s="124" t="s">
        <v>679</v>
      </c>
      <c r="D28" s="124" t="s">
        <v>19</v>
      </c>
      <c r="E28" s="125">
        <v>1550000</v>
      </c>
      <c r="F28" s="126">
        <v>1489.86</v>
      </c>
      <c r="G28" s="127">
        <v>1.509976E-2</v>
      </c>
      <c r="H28" s="122" t="s">
        <v>153</v>
      </c>
      <c r="J28" s="2"/>
    </row>
    <row r="29" spans="1:10" ht="25.5" x14ac:dyDescent="0.2">
      <c r="A29" s="123">
        <v>23</v>
      </c>
      <c r="B29" s="124" t="s">
        <v>64</v>
      </c>
      <c r="C29" s="124" t="s">
        <v>65</v>
      </c>
      <c r="D29" s="124" t="s">
        <v>66</v>
      </c>
      <c r="E29" s="125">
        <v>600000</v>
      </c>
      <c r="F29" s="126">
        <v>1426.14</v>
      </c>
      <c r="G29" s="127">
        <v>1.445396E-2</v>
      </c>
      <c r="H29" s="122" t="s">
        <v>153</v>
      </c>
      <c r="J29" s="2" t="s">
        <v>1012</v>
      </c>
    </row>
    <row r="30" spans="1:10" x14ac:dyDescent="0.2">
      <c r="A30" s="123">
        <v>24</v>
      </c>
      <c r="B30" s="124" t="s">
        <v>413</v>
      </c>
      <c r="C30" s="124" t="s">
        <v>414</v>
      </c>
      <c r="D30" s="124" t="s">
        <v>216</v>
      </c>
      <c r="E30" s="125">
        <v>345000</v>
      </c>
      <c r="F30" s="126">
        <v>1403.115</v>
      </c>
      <c r="G30" s="127">
        <v>1.42206E-2</v>
      </c>
      <c r="H30" s="122" t="s">
        <v>153</v>
      </c>
      <c r="J30" s="2"/>
    </row>
    <row r="31" spans="1:10" ht="25.5" x14ac:dyDescent="0.2">
      <c r="A31" s="123">
        <v>25</v>
      </c>
      <c r="B31" s="124" t="s">
        <v>352</v>
      </c>
      <c r="C31" s="124" t="s">
        <v>353</v>
      </c>
      <c r="D31" s="124" t="s">
        <v>208</v>
      </c>
      <c r="E31" s="125">
        <v>75000</v>
      </c>
      <c r="F31" s="126">
        <v>1366.2375</v>
      </c>
      <c r="G31" s="127">
        <v>1.3846850000000001E-2</v>
      </c>
      <c r="H31" s="122" t="s">
        <v>153</v>
      </c>
      <c r="J31" s="2"/>
    </row>
    <row r="32" spans="1:10" ht="25.5" x14ac:dyDescent="0.2">
      <c r="A32" s="123">
        <v>26</v>
      </c>
      <c r="B32" s="124" t="s">
        <v>23</v>
      </c>
      <c r="C32" s="124" t="s">
        <v>24</v>
      </c>
      <c r="D32" s="124" t="s">
        <v>25</v>
      </c>
      <c r="E32" s="125">
        <v>12000</v>
      </c>
      <c r="F32" s="126">
        <v>1356.2280000000001</v>
      </c>
      <c r="G32" s="127">
        <v>1.37454E-2</v>
      </c>
      <c r="H32" s="122" t="s">
        <v>153</v>
      </c>
      <c r="J32" s="2"/>
    </row>
    <row r="33" spans="1:10" ht="25.5" x14ac:dyDescent="0.2">
      <c r="A33" s="123">
        <v>27</v>
      </c>
      <c r="B33" s="124" t="s">
        <v>471</v>
      </c>
      <c r="C33" s="124" t="s">
        <v>472</v>
      </c>
      <c r="D33" s="124" t="s">
        <v>208</v>
      </c>
      <c r="E33" s="125">
        <v>80000</v>
      </c>
      <c r="F33" s="126">
        <v>1323.92</v>
      </c>
      <c r="G33" s="127">
        <v>1.341796E-2</v>
      </c>
      <c r="H33" s="122" t="s">
        <v>153</v>
      </c>
      <c r="J33" s="2"/>
    </row>
    <row r="34" spans="1:10" x14ac:dyDescent="0.2">
      <c r="A34" s="123">
        <v>28</v>
      </c>
      <c r="B34" s="124" t="s">
        <v>87</v>
      </c>
      <c r="C34" s="124" t="s">
        <v>88</v>
      </c>
      <c r="D34" s="124" t="s">
        <v>89</v>
      </c>
      <c r="E34" s="125">
        <v>240000</v>
      </c>
      <c r="F34" s="126">
        <v>1318.92</v>
      </c>
      <c r="G34" s="127">
        <v>1.336728E-2</v>
      </c>
      <c r="H34" s="122" t="s">
        <v>153</v>
      </c>
      <c r="J34" s="2"/>
    </row>
    <row r="35" spans="1:10" x14ac:dyDescent="0.2">
      <c r="A35" s="123">
        <v>29</v>
      </c>
      <c r="B35" s="124" t="s">
        <v>95</v>
      </c>
      <c r="C35" s="124" t="s">
        <v>96</v>
      </c>
      <c r="D35" s="124" t="s">
        <v>89</v>
      </c>
      <c r="E35" s="125">
        <v>210000</v>
      </c>
      <c r="F35" s="126">
        <v>1301.4749999999999</v>
      </c>
      <c r="G35" s="127">
        <v>1.3190479999999999E-2</v>
      </c>
      <c r="H35" s="122" t="s">
        <v>153</v>
      </c>
      <c r="J35" s="2"/>
    </row>
    <row r="36" spans="1:10" x14ac:dyDescent="0.2">
      <c r="A36" s="123">
        <v>30</v>
      </c>
      <c r="B36" s="124" t="s">
        <v>680</v>
      </c>
      <c r="C36" s="124" t="s">
        <v>681</v>
      </c>
      <c r="D36" s="124" t="s">
        <v>38</v>
      </c>
      <c r="E36" s="125">
        <v>175000</v>
      </c>
      <c r="F36" s="126">
        <v>1296.75</v>
      </c>
      <c r="G36" s="127">
        <v>1.3142589999999999E-2</v>
      </c>
      <c r="H36" s="122" t="s">
        <v>153</v>
      </c>
      <c r="J36" s="2"/>
    </row>
    <row r="37" spans="1:10" x14ac:dyDescent="0.2">
      <c r="A37" s="123">
        <v>31</v>
      </c>
      <c r="B37" s="124" t="s">
        <v>51</v>
      </c>
      <c r="C37" s="124" t="s">
        <v>52</v>
      </c>
      <c r="D37" s="124" t="s">
        <v>53</v>
      </c>
      <c r="E37" s="125">
        <v>295000</v>
      </c>
      <c r="F37" s="126">
        <v>1258.7650000000001</v>
      </c>
      <c r="G37" s="127">
        <v>1.2757610000000001E-2</v>
      </c>
      <c r="H37" s="122" t="s">
        <v>153</v>
      </c>
      <c r="J37" s="2"/>
    </row>
    <row r="38" spans="1:10" ht="25.5" x14ac:dyDescent="0.2">
      <c r="A38" s="123">
        <v>32</v>
      </c>
      <c r="B38" s="124" t="s">
        <v>370</v>
      </c>
      <c r="C38" s="124" t="s">
        <v>371</v>
      </c>
      <c r="D38" s="124" t="s">
        <v>208</v>
      </c>
      <c r="E38" s="125">
        <v>80000</v>
      </c>
      <c r="F38" s="126">
        <v>1255.52</v>
      </c>
      <c r="G38" s="127">
        <v>1.272472E-2</v>
      </c>
      <c r="H38" s="122" t="s">
        <v>153</v>
      </c>
      <c r="J38" s="2"/>
    </row>
    <row r="39" spans="1:10" x14ac:dyDescent="0.2">
      <c r="A39" s="123">
        <v>33</v>
      </c>
      <c r="B39" s="124" t="s">
        <v>682</v>
      </c>
      <c r="C39" s="124" t="s">
        <v>683</v>
      </c>
      <c r="D39" s="124" t="s">
        <v>45</v>
      </c>
      <c r="E39" s="125">
        <v>73000</v>
      </c>
      <c r="F39" s="126">
        <v>1243.847</v>
      </c>
      <c r="G39" s="127">
        <v>1.260642E-2</v>
      </c>
      <c r="H39" s="122" t="s">
        <v>153</v>
      </c>
      <c r="J39" s="2"/>
    </row>
    <row r="40" spans="1:10" ht="25.5" x14ac:dyDescent="0.2">
      <c r="A40" s="123">
        <v>34</v>
      </c>
      <c r="B40" s="124" t="s">
        <v>519</v>
      </c>
      <c r="C40" s="124" t="s">
        <v>520</v>
      </c>
      <c r="D40" s="124" t="s">
        <v>521</v>
      </c>
      <c r="E40" s="125">
        <v>245000</v>
      </c>
      <c r="F40" s="126">
        <v>1211.1575</v>
      </c>
      <c r="G40" s="127">
        <v>1.2275110000000001E-2</v>
      </c>
      <c r="H40" s="122" t="s">
        <v>153</v>
      </c>
      <c r="J40" s="2"/>
    </row>
    <row r="41" spans="1:10" x14ac:dyDescent="0.2">
      <c r="A41" s="123">
        <v>35</v>
      </c>
      <c r="B41" s="124" t="s">
        <v>546</v>
      </c>
      <c r="C41" s="124" t="s">
        <v>547</v>
      </c>
      <c r="D41" s="124" t="s">
        <v>273</v>
      </c>
      <c r="E41" s="125">
        <v>11000</v>
      </c>
      <c r="F41" s="126">
        <v>1198.0705</v>
      </c>
      <c r="G41" s="127">
        <v>1.2142470000000001E-2</v>
      </c>
      <c r="H41" s="122" t="s">
        <v>153</v>
      </c>
      <c r="J41" s="2"/>
    </row>
    <row r="42" spans="1:10" x14ac:dyDescent="0.2">
      <c r="A42" s="123">
        <v>36</v>
      </c>
      <c r="B42" s="124" t="s">
        <v>684</v>
      </c>
      <c r="C42" s="124" t="s">
        <v>685</v>
      </c>
      <c r="D42" s="124" t="s">
        <v>278</v>
      </c>
      <c r="E42" s="125">
        <v>20000</v>
      </c>
      <c r="F42" s="126">
        <v>1171.05</v>
      </c>
      <c r="G42" s="127">
        <v>1.186862E-2</v>
      </c>
      <c r="H42" s="122" t="s">
        <v>153</v>
      </c>
      <c r="J42" s="2"/>
    </row>
    <row r="43" spans="1:10" x14ac:dyDescent="0.2">
      <c r="A43" s="123">
        <v>37</v>
      </c>
      <c r="B43" s="124" t="s">
        <v>242</v>
      </c>
      <c r="C43" s="124" t="s">
        <v>243</v>
      </c>
      <c r="D43" s="124" t="s">
        <v>89</v>
      </c>
      <c r="E43" s="125">
        <v>35000</v>
      </c>
      <c r="F43" s="126">
        <v>1121.575</v>
      </c>
      <c r="G43" s="127">
        <v>1.1367189999999999E-2</v>
      </c>
      <c r="H43" s="122" t="s">
        <v>153</v>
      </c>
      <c r="J43" s="2"/>
    </row>
    <row r="44" spans="1:10" x14ac:dyDescent="0.2">
      <c r="A44" s="123">
        <v>38</v>
      </c>
      <c r="B44" s="124" t="s">
        <v>246</v>
      </c>
      <c r="C44" s="124" t="s">
        <v>247</v>
      </c>
      <c r="D44" s="124" t="s">
        <v>211</v>
      </c>
      <c r="E44" s="125">
        <v>36000</v>
      </c>
      <c r="F44" s="126">
        <v>1117.7819999999999</v>
      </c>
      <c r="G44" s="127">
        <v>1.132874E-2</v>
      </c>
      <c r="H44" s="122" t="s">
        <v>153</v>
      </c>
      <c r="J44" s="2"/>
    </row>
    <row r="45" spans="1:10" x14ac:dyDescent="0.2">
      <c r="A45" s="123">
        <v>39</v>
      </c>
      <c r="B45" s="124" t="s">
        <v>269</v>
      </c>
      <c r="C45" s="124" t="s">
        <v>270</v>
      </c>
      <c r="D45" s="124" t="s">
        <v>74</v>
      </c>
      <c r="E45" s="125">
        <v>225000</v>
      </c>
      <c r="F45" s="126">
        <v>1109.0250000000001</v>
      </c>
      <c r="G45" s="127">
        <v>1.123999E-2</v>
      </c>
      <c r="H45" s="122" t="s">
        <v>153</v>
      </c>
      <c r="J45" s="2"/>
    </row>
    <row r="46" spans="1:10" x14ac:dyDescent="0.2">
      <c r="A46" s="123">
        <v>40</v>
      </c>
      <c r="B46" s="124" t="s">
        <v>492</v>
      </c>
      <c r="C46" s="124" t="s">
        <v>493</v>
      </c>
      <c r="D46" s="124" t="s">
        <v>403</v>
      </c>
      <c r="E46" s="125">
        <v>55000</v>
      </c>
      <c r="F46" s="126">
        <v>1087.4875</v>
      </c>
      <c r="G46" s="127">
        <v>1.1021710000000001E-2</v>
      </c>
      <c r="H46" s="122" t="s">
        <v>153</v>
      </c>
      <c r="J46" s="2"/>
    </row>
    <row r="47" spans="1:10" ht="25.5" x14ac:dyDescent="0.2">
      <c r="A47" s="123">
        <v>41</v>
      </c>
      <c r="B47" s="124" t="s">
        <v>404</v>
      </c>
      <c r="C47" s="124" t="s">
        <v>405</v>
      </c>
      <c r="D47" s="124" t="s">
        <v>25</v>
      </c>
      <c r="E47" s="125">
        <v>40000</v>
      </c>
      <c r="F47" s="126">
        <v>1079.54</v>
      </c>
      <c r="G47" s="127">
        <v>1.094116E-2</v>
      </c>
      <c r="H47" s="122" t="s">
        <v>153</v>
      </c>
      <c r="J47" s="2"/>
    </row>
    <row r="48" spans="1:10" x14ac:dyDescent="0.2">
      <c r="A48" s="123">
        <v>42</v>
      </c>
      <c r="B48" s="124" t="s">
        <v>350</v>
      </c>
      <c r="C48" s="124" t="s">
        <v>351</v>
      </c>
      <c r="D48" s="124" t="s">
        <v>48</v>
      </c>
      <c r="E48" s="125">
        <v>90000</v>
      </c>
      <c r="F48" s="126">
        <v>1057.7249999999999</v>
      </c>
      <c r="G48" s="127">
        <v>1.072006E-2</v>
      </c>
      <c r="H48" s="122" t="s">
        <v>153</v>
      </c>
      <c r="J48" s="2"/>
    </row>
    <row r="49" spans="1:10" x14ac:dyDescent="0.2">
      <c r="A49" s="123">
        <v>43</v>
      </c>
      <c r="B49" s="124" t="s">
        <v>223</v>
      </c>
      <c r="C49" s="124" t="s">
        <v>224</v>
      </c>
      <c r="D49" s="124" t="s">
        <v>89</v>
      </c>
      <c r="E49" s="125">
        <v>7500</v>
      </c>
      <c r="F49" s="126">
        <v>1046.175</v>
      </c>
      <c r="G49" s="127">
        <v>1.060301E-2</v>
      </c>
      <c r="H49" s="122" t="s">
        <v>153</v>
      </c>
      <c r="J49" s="2"/>
    </row>
    <row r="50" spans="1:10" x14ac:dyDescent="0.2">
      <c r="A50" s="123">
        <v>44</v>
      </c>
      <c r="B50" s="124" t="s">
        <v>686</v>
      </c>
      <c r="C50" s="124" t="s">
        <v>687</v>
      </c>
      <c r="D50" s="124" t="s">
        <v>278</v>
      </c>
      <c r="E50" s="125">
        <v>40000</v>
      </c>
      <c r="F50" s="126">
        <v>1000.3</v>
      </c>
      <c r="G50" s="127">
        <v>1.0138060000000001E-2</v>
      </c>
      <c r="H50" s="122" t="s">
        <v>153</v>
      </c>
      <c r="J50" s="2"/>
    </row>
    <row r="51" spans="1:10" x14ac:dyDescent="0.2">
      <c r="A51" s="123">
        <v>45</v>
      </c>
      <c r="B51" s="124" t="s">
        <v>338</v>
      </c>
      <c r="C51" s="124" t="s">
        <v>339</v>
      </c>
      <c r="D51" s="124" t="s">
        <v>273</v>
      </c>
      <c r="E51" s="125">
        <v>8000</v>
      </c>
      <c r="F51" s="126">
        <v>992.24</v>
      </c>
      <c r="G51" s="127">
        <v>1.005637E-2</v>
      </c>
      <c r="H51" s="122" t="s">
        <v>153</v>
      </c>
      <c r="J51" s="2"/>
    </row>
    <row r="52" spans="1:10" x14ac:dyDescent="0.2">
      <c r="A52" s="123">
        <v>46</v>
      </c>
      <c r="B52" s="124" t="s">
        <v>457</v>
      </c>
      <c r="C52" s="124" t="s">
        <v>458</v>
      </c>
      <c r="D52" s="124" t="s">
        <v>35</v>
      </c>
      <c r="E52" s="125">
        <v>63000</v>
      </c>
      <c r="F52" s="126">
        <v>960.62400000000002</v>
      </c>
      <c r="G52" s="127">
        <v>9.7359400000000002E-3</v>
      </c>
      <c r="H52" s="122" t="s">
        <v>153</v>
      </c>
      <c r="J52" s="2"/>
    </row>
    <row r="53" spans="1:10" x14ac:dyDescent="0.2">
      <c r="A53" s="123">
        <v>47</v>
      </c>
      <c r="B53" s="124" t="s">
        <v>361</v>
      </c>
      <c r="C53" s="124" t="s">
        <v>362</v>
      </c>
      <c r="D53" s="124" t="s">
        <v>273</v>
      </c>
      <c r="E53" s="125">
        <v>84000</v>
      </c>
      <c r="F53" s="126">
        <v>933.53399999999999</v>
      </c>
      <c r="G53" s="127">
        <v>9.4613900000000001E-3</v>
      </c>
      <c r="H53" s="122" t="s">
        <v>153</v>
      </c>
      <c r="J53" s="2"/>
    </row>
    <row r="54" spans="1:10" x14ac:dyDescent="0.2">
      <c r="A54" s="123">
        <v>48</v>
      </c>
      <c r="B54" s="124" t="s">
        <v>375</v>
      </c>
      <c r="C54" s="124" t="s">
        <v>376</v>
      </c>
      <c r="D54" s="124" t="s">
        <v>273</v>
      </c>
      <c r="E54" s="125">
        <v>17000</v>
      </c>
      <c r="F54" s="126">
        <v>927.41800000000001</v>
      </c>
      <c r="G54" s="127">
        <v>9.3994000000000005E-3</v>
      </c>
      <c r="H54" s="122" t="s">
        <v>153</v>
      </c>
      <c r="J54" s="2"/>
    </row>
    <row r="55" spans="1:10" x14ac:dyDescent="0.2">
      <c r="A55" s="123">
        <v>49</v>
      </c>
      <c r="B55" s="124" t="s">
        <v>430</v>
      </c>
      <c r="C55" s="124" t="s">
        <v>431</v>
      </c>
      <c r="D55" s="124" t="s">
        <v>89</v>
      </c>
      <c r="E55" s="125">
        <v>105000</v>
      </c>
      <c r="F55" s="126">
        <v>906.72749999999996</v>
      </c>
      <c r="G55" s="127">
        <v>9.1897000000000003E-3</v>
      </c>
      <c r="H55" s="122" t="s">
        <v>153</v>
      </c>
      <c r="J55" s="2"/>
    </row>
    <row r="56" spans="1:10" x14ac:dyDescent="0.2">
      <c r="A56" s="123">
        <v>50</v>
      </c>
      <c r="B56" s="124" t="s">
        <v>110</v>
      </c>
      <c r="C56" s="124" t="s">
        <v>111</v>
      </c>
      <c r="D56" s="124" t="s">
        <v>35</v>
      </c>
      <c r="E56" s="125">
        <v>24000</v>
      </c>
      <c r="F56" s="126">
        <v>898.72799999999995</v>
      </c>
      <c r="G56" s="127">
        <v>9.1086299999999995E-3</v>
      </c>
      <c r="H56" s="122" t="s">
        <v>153</v>
      </c>
      <c r="J56" s="2"/>
    </row>
    <row r="57" spans="1:10" x14ac:dyDescent="0.2">
      <c r="A57" s="123">
        <v>51</v>
      </c>
      <c r="B57" s="124" t="s">
        <v>381</v>
      </c>
      <c r="C57" s="124" t="s">
        <v>382</v>
      </c>
      <c r="D57" s="124" t="s">
        <v>32</v>
      </c>
      <c r="E57" s="125">
        <v>19000</v>
      </c>
      <c r="F57" s="126">
        <v>889.19050000000004</v>
      </c>
      <c r="G57" s="127">
        <v>9.0119599999999994E-3</v>
      </c>
      <c r="H57" s="122" t="s">
        <v>153</v>
      </c>
      <c r="J57" s="2"/>
    </row>
    <row r="58" spans="1:10" x14ac:dyDescent="0.2">
      <c r="A58" s="123">
        <v>52</v>
      </c>
      <c r="B58" s="124" t="s">
        <v>289</v>
      </c>
      <c r="C58" s="124" t="s">
        <v>290</v>
      </c>
      <c r="D58" s="124" t="s">
        <v>66</v>
      </c>
      <c r="E58" s="125">
        <v>200000</v>
      </c>
      <c r="F58" s="126">
        <v>885.2</v>
      </c>
      <c r="G58" s="127">
        <v>8.9715200000000002E-3</v>
      </c>
      <c r="H58" s="122" t="s">
        <v>153</v>
      </c>
      <c r="J58" s="2"/>
    </row>
    <row r="59" spans="1:10" x14ac:dyDescent="0.2">
      <c r="A59" s="123">
        <v>53</v>
      </c>
      <c r="B59" s="124" t="s">
        <v>544</v>
      </c>
      <c r="C59" s="124" t="s">
        <v>545</v>
      </c>
      <c r="D59" s="124" t="s">
        <v>264</v>
      </c>
      <c r="E59" s="125">
        <v>60000</v>
      </c>
      <c r="F59" s="126">
        <v>884.61</v>
      </c>
      <c r="G59" s="127">
        <v>8.9655399999999993E-3</v>
      </c>
      <c r="H59" s="122" t="s">
        <v>153</v>
      </c>
      <c r="J59" s="2"/>
    </row>
    <row r="60" spans="1:10" x14ac:dyDescent="0.2">
      <c r="A60" s="123">
        <v>54</v>
      </c>
      <c r="B60" s="124" t="s">
        <v>383</v>
      </c>
      <c r="C60" s="124" t="s">
        <v>384</v>
      </c>
      <c r="D60" s="124" t="s">
        <v>136</v>
      </c>
      <c r="E60" s="125">
        <v>550000</v>
      </c>
      <c r="F60" s="126">
        <v>840.18</v>
      </c>
      <c r="G60" s="127">
        <v>8.5152400000000003E-3</v>
      </c>
      <c r="H60" s="122" t="s">
        <v>153</v>
      </c>
      <c r="J60" s="2"/>
    </row>
    <row r="61" spans="1:10" x14ac:dyDescent="0.2">
      <c r="A61" s="123">
        <v>55</v>
      </c>
      <c r="B61" s="124" t="s">
        <v>477</v>
      </c>
      <c r="C61" s="124" t="s">
        <v>478</v>
      </c>
      <c r="D61" s="124" t="s">
        <v>48</v>
      </c>
      <c r="E61" s="125">
        <v>56533</v>
      </c>
      <c r="F61" s="126">
        <v>805.73658250000005</v>
      </c>
      <c r="G61" s="127">
        <v>8.1661600000000004E-3</v>
      </c>
      <c r="H61" s="122" t="s">
        <v>153</v>
      </c>
      <c r="J61" s="2"/>
    </row>
    <row r="62" spans="1:10" ht="25.5" x14ac:dyDescent="0.2">
      <c r="A62" s="123">
        <v>56</v>
      </c>
      <c r="B62" s="124" t="s">
        <v>203</v>
      </c>
      <c r="C62" s="124" t="s">
        <v>204</v>
      </c>
      <c r="D62" s="124" t="s">
        <v>205</v>
      </c>
      <c r="E62" s="125">
        <v>45000</v>
      </c>
      <c r="F62" s="126">
        <v>791.21249999999998</v>
      </c>
      <c r="G62" s="127">
        <v>8.0189600000000003E-3</v>
      </c>
      <c r="H62" s="122" t="s">
        <v>153</v>
      </c>
      <c r="J62" s="2"/>
    </row>
    <row r="63" spans="1:10" x14ac:dyDescent="0.2">
      <c r="A63" s="123">
        <v>57</v>
      </c>
      <c r="B63" s="124" t="s">
        <v>201</v>
      </c>
      <c r="C63" s="124" t="s">
        <v>202</v>
      </c>
      <c r="D63" s="124" t="s">
        <v>48</v>
      </c>
      <c r="E63" s="125">
        <v>350000</v>
      </c>
      <c r="F63" s="126">
        <v>681.45</v>
      </c>
      <c r="G63" s="127">
        <v>6.9065100000000003E-3</v>
      </c>
      <c r="H63" s="122" t="s">
        <v>153</v>
      </c>
      <c r="J63" s="2"/>
    </row>
    <row r="64" spans="1:10" ht="25.5" x14ac:dyDescent="0.2">
      <c r="A64" s="123">
        <v>58</v>
      </c>
      <c r="B64" s="124" t="s">
        <v>326</v>
      </c>
      <c r="C64" s="124" t="s">
        <v>327</v>
      </c>
      <c r="D64" s="124" t="s">
        <v>208</v>
      </c>
      <c r="E64" s="125">
        <v>10000</v>
      </c>
      <c r="F64" s="126">
        <v>680.9</v>
      </c>
      <c r="G64" s="127">
        <v>6.9009400000000004E-3</v>
      </c>
      <c r="H64" s="122" t="s">
        <v>153</v>
      </c>
      <c r="J64" s="2"/>
    </row>
    <row r="65" spans="1:10" ht="25.5" x14ac:dyDescent="0.2">
      <c r="A65" s="123">
        <v>59</v>
      </c>
      <c r="B65" s="124" t="s">
        <v>688</v>
      </c>
      <c r="C65" s="124" t="s">
        <v>689</v>
      </c>
      <c r="D65" s="124" t="s">
        <v>690</v>
      </c>
      <c r="E65" s="125">
        <v>10516</v>
      </c>
      <c r="F65" s="126">
        <v>480.32881600000002</v>
      </c>
      <c r="G65" s="127">
        <v>4.86814E-3</v>
      </c>
      <c r="H65" s="122" t="s">
        <v>153</v>
      </c>
      <c r="J65" s="2"/>
    </row>
    <row r="66" spans="1:10" ht="25.5" x14ac:dyDescent="0.2">
      <c r="A66" s="123">
        <v>60</v>
      </c>
      <c r="B66" s="124" t="s">
        <v>334</v>
      </c>
      <c r="C66" s="124" t="s">
        <v>335</v>
      </c>
      <c r="D66" s="124" t="s">
        <v>208</v>
      </c>
      <c r="E66" s="125">
        <v>10000</v>
      </c>
      <c r="F66" s="126">
        <v>377.26499999999999</v>
      </c>
      <c r="G66" s="127">
        <v>3.82359E-3</v>
      </c>
      <c r="H66" s="122" t="s">
        <v>153</v>
      </c>
      <c r="J66" s="2"/>
    </row>
    <row r="67" spans="1:10" x14ac:dyDescent="0.2">
      <c r="A67" s="120"/>
      <c r="B67" s="120"/>
      <c r="C67" s="121" t="s">
        <v>152</v>
      </c>
      <c r="D67" s="120"/>
      <c r="E67" s="120" t="s">
        <v>153</v>
      </c>
      <c r="F67" s="128">
        <f>SUM(F7:F66)</f>
        <v>93797.843398499987</v>
      </c>
      <c r="G67" s="129">
        <f>SUM(G7:G66)</f>
        <v>0.95064309999999985</v>
      </c>
      <c r="H67" s="122" t="s">
        <v>153</v>
      </c>
      <c r="J67" s="2"/>
    </row>
    <row r="68" spans="1:10" x14ac:dyDescent="0.2">
      <c r="A68" s="120"/>
      <c r="B68" s="120"/>
      <c r="C68" s="130"/>
      <c r="D68" s="120"/>
      <c r="E68" s="120"/>
      <c r="F68" s="131"/>
      <c r="G68" s="131"/>
      <c r="H68" s="122" t="s">
        <v>153</v>
      </c>
      <c r="J68" s="2"/>
    </row>
    <row r="69" spans="1:10" x14ac:dyDescent="0.2">
      <c r="A69" s="120"/>
      <c r="B69" s="120"/>
      <c r="C69" s="121" t="s">
        <v>154</v>
      </c>
      <c r="D69" s="120"/>
      <c r="E69" s="120"/>
      <c r="F69" s="120"/>
      <c r="G69" s="120"/>
      <c r="H69" s="122" t="s">
        <v>153</v>
      </c>
      <c r="J69" s="2"/>
    </row>
    <row r="70" spans="1:10" x14ac:dyDescent="0.2">
      <c r="A70" s="120"/>
      <c r="B70" s="120"/>
      <c r="C70" s="121" t="s">
        <v>152</v>
      </c>
      <c r="D70" s="120"/>
      <c r="E70" s="120" t="s">
        <v>153</v>
      </c>
      <c r="F70" s="132" t="s">
        <v>155</v>
      </c>
      <c r="G70" s="129">
        <v>0</v>
      </c>
      <c r="H70" s="122" t="s">
        <v>153</v>
      </c>
      <c r="J70" s="2"/>
    </row>
    <row r="71" spans="1:10" x14ac:dyDescent="0.2">
      <c r="A71" s="120"/>
      <c r="B71" s="120"/>
      <c r="C71" s="130"/>
      <c r="D71" s="120"/>
      <c r="E71" s="120"/>
      <c r="F71" s="131"/>
      <c r="G71" s="131"/>
      <c r="H71" s="122" t="s">
        <v>153</v>
      </c>
      <c r="J71" s="2"/>
    </row>
    <row r="72" spans="1:10" x14ac:dyDescent="0.2">
      <c r="A72" s="120"/>
      <c r="B72" s="120"/>
      <c r="C72" s="121" t="s">
        <v>156</v>
      </c>
      <c r="D72" s="120"/>
      <c r="E72" s="120"/>
      <c r="F72" s="120"/>
      <c r="G72" s="120"/>
      <c r="H72" s="122" t="s">
        <v>153</v>
      </c>
      <c r="J72" s="2"/>
    </row>
    <row r="73" spans="1:10" x14ac:dyDescent="0.2">
      <c r="A73" s="123">
        <v>1</v>
      </c>
      <c r="B73" s="124" t="s">
        <v>691</v>
      </c>
      <c r="C73" s="124" t="s">
        <v>1067</v>
      </c>
      <c r="D73" s="124"/>
      <c r="E73" s="125">
        <v>50000</v>
      </c>
      <c r="F73" s="126">
        <v>4.9999999999999998E-7</v>
      </c>
      <c r="G73" s="133" t="s">
        <v>151</v>
      </c>
      <c r="H73" s="122" t="s">
        <v>153</v>
      </c>
      <c r="J73" s="2"/>
    </row>
    <row r="74" spans="1:10" x14ac:dyDescent="0.2">
      <c r="A74" s="123">
        <v>2</v>
      </c>
      <c r="B74" s="124" t="s">
        <v>692</v>
      </c>
      <c r="C74" s="124" t="s">
        <v>1069</v>
      </c>
      <c r="D74" s="124"/>
      <c r="E74" s="125">
        <v>200000</v>
      </c>
      <c r="F74" s="126">
        <v>1.9999999999999999E-6</v>
      </c>
      <c r="G74" s="133" t="s">
        <v>151</v>
      </c>
      <c r="H74" s="122" t="s">
        <v>153</v>
      </c>
      <c r="J74" s="2"/>
    </row>
    <row r="75" spans="1:10" x14ac:dyDescent="0.2">
      <c r="A75" s="123">
        <v>3</v>
      </c>
      <c r="B75" s="124" t="s">
        <v>693</v>
      </c>
      <c r="C75" s="124" t="s">
        <v>1068</v>
      </c>
      <c r="D75" s="124"/>
      <c r="E75" s="125">
        <v>20</v>
      </c>
      <c r="F75" s="126">
        <v>0</v>
      </c>
      <c r="G75" s="133" t="s">
        <v>151</v>
      </c>
      <c r="H75" s="122" t="s">
        <v>153</v>
      </c>
      <c r="J75" s="2"/>
    </row>
    <row r="76" spans="1:10" x14ac:dyDescent="0.2">
      <c r="A76" s="123">
        <v>4</v>
      </c>
      <c r="B76" s="124" t="s">
        <v>694</v>
      </c>
      <c r="C76" s="124" t="s">
        <v>1070</v>
      </c>
      <c r="D76" s="124"/>
      <c r="E76" s="125">
        <v>50000</v>
      </c>
      <c r="F76" s="126">
        <v>4.9999999999999998E-7</v>
      </c>
      <c r="G76" s="133" t="s">
        <v>151</v>
      </c>
      <c r="H76" s="122" t="s">
        <v>153</v>
      </c>
      <c r="J76" s="2"/>
    </row>
    <row r="77" spans="1:10" x14ac:dyDescent="0.2">
      <c r="A77" s="120"/>
      <c r="B77" s="120"/>
      <c r="C77" s="121" t="s">
        <v>152</v>
      </c>
      <c r="D77" s="120"/>
      <c r="E77" s="120" t="s">
        <v>153</v>
      </c>
      <c r="F77" s="132" t="s">
        <v>155</v>
      </c>
      <c r="G77" s="129">
        <v>0</v>
      </c>
      <c r="H77" s="122" t="s">
        <v>153</v>
      </c>
      <c r="I77" s="24"/>
      <c r="J77" s="2"/>
    </row>
    <row r="78" spans="1:10" x14ac:dyDescent="0.2">
      <c r="A78" s="120"/>
      <c r="B78" s="120"/>
      <c r="C78" s="130"/>
      <c r="D78" s="120"/>
      <c r="E78" s="120"/>
      <c r="F78" s="131"/>
      <c r="G78" s="131"/>
      <c r="H78" s="122" t="s">
        <v>153</v>
      </c>
      <c r="I78" s="24"/>
      <c r="J78" s="2"/>
    </row>
    <row r="79" spans="1:10" x14ac:dyDescent="0.2">
      <c r="A79" s="120"/>
      <c r="B79" s="120"/>
      <c r="C79" s="121" t="s">
        <v>157</v>
      </c>
      <c r="D79" s="120"/>
      <c r="E79" s="120"/>
      <c r="F79" s="120"/>
      <c r="G79" s="120"/>
      <c r="H79" s="122" t="s">
        <v>153</v>
      </c>
      <c r="I79" s="24"/>
      <c r="J79" s="2"/>
    </row>
    <row r="80" spans="1:10" x14ac:dyDescent="0.2">
      <c r="A80" s="120"/>
      <c r="B80" s="120"/>
      <c r="C80" s="121" t="s">
        <v>152</v>
      </c>
      <c r="D80" s="120"/>
      <c r="E80" s="120" t="s">
        <v>153</v>
      </c>
      <c r="F80" s="132" t="s">
        <v>155</v>
      </c>
      <c r="G80" s="129">
        <v>0</v>
      </c>
      <c r="H80" s="122" t="s">
        <v>153</v>
      </c>
      <c r="I80" s="24"/>
      <c r="J80" s="2"/>
    </row>
    <row r="81" spans="1:10" x14ac:dyDescent="0.2">
      <c r="A81" s="120"/>
      <c r="B81" s="120"/>
      <c r="C81" s="130"/>
      <c r="D81" s="120"/>
      <c r="E81" s="120"/>
      <c r="F81" s="131"/>
      <c r="G81" s="131"/>
      <c r="H81" s="122" t="s">
        <v>153</v>
      </c>
      <c r="J81" s="2"/>
    </row>
    <row r="82" spans="1:10" x14ac:dyDescent="0.2">
      <c r="A82" s="120"/>
      <c r="B82" s="120"/>
      <c r="C82" s="121" t="s">
        <v>158</v>
      </c>
      <c r="D82" s="120"/>
      <c r="E82" s="120"/>
      <c r="F82" s="131"/>
      <c r="G82" s="131"/>
      <c r="H82" s="122" t="s">
        <v>153</v>
      </c>
      <c r="J82" s="2"/>
    </row>
    <row r="83" spans="1:10" x14ac:dyDescent="0.2">
      <c r="A83" s="120"/>
      <c r="B83" s="120"/>
      <c r="C83" s="121" t="s">
        <v>152</v>
      </c>
      <c r="D83" s="120"/>
      <c r="E83" s="120" t="s">
        <v>153</v>
      </c>
      <c r="F83" s="132" t="s">
        <v>155</v>
      </c>
      <c r="G83" s="129">
        <v>0</v>
      </c>
      <c r="H83" s="122" t="s">
        <v>153</v>
      </c>
      <c r="J83" s="2"/>
    </row>
    <row r="84" spans="1:10" x14ac:dyDescent="0.2">
      <c r="A84" s="120"/>
      <c r="B84" s="120"/>
      <c r="C84" s="130"/>
      <c r="D84" s="120"/>
      <c r="E84" s="120"/>
      <c r="F84" s="131"/>
      <c r="G84" s="131"/>
      <c r="H84" s="122" t="s">
        <v>153</v>
      </c>
      <c r="I84" s="24"/>
      <c r="J84" s="2"/>
    </row>
    <row r="85" spans="1:10" x14ac:dyDescent="0.2">
      <c r="A85" s="120"/>
      <c r="B85" s="120"/>
      <c r="C85" s="121" t="s">
        <v>159</v>
      </c>
      <c r="D85" s="120"/>
      <c r="E85" s="120"/>
      <c r="F85" s="131"/>
      <c r="G85" s="131"/>
      <c r="H85" s="122" t="s">
        <v>153</v>
      </c>
      <c r="J85" s="2"/>
    </row>
    <row r="86" spans="1:10" x14ac:dyDescent="0.2">
      <c r="A86" s="120"/>
      <c r="B86" s="120"/>
      <c r="C86" s="121" t="s">
        <v>152</v>
      </c>
      <c r="D86" s="120"/>
      <c r="E86" s="120" t="s">
        <v>153</v>
      </c>
      <c r="F86" s="132" t="s">
        <v>155</v>
      </c>
      <c r="G86" s="129">
        <v>0</v>
      </c>
      <c r="H86" s="122" t="s">
        <v>153</v>
      </c>
      <c r="J86" s="2"/>
    </row>
    <row r="87" spans="1:10" x14ac:dyDescent="0.2">
      <c r="A87" s="120"/>
      <c r="B87" s="120"/>
      <c r="C87" s="130"/>
      <c r="D87" s="120"/>
      <c r="E87" s="120"/>
      <c r="F87" s="131"/>
      <c r="G87" s="131"/>
      <c r="H87" s="122" t="s">
        <v>153</v>
      </c>
      <c r="J87" s="2"/>
    </row>
    <row r="88" spans="1:10" x14ac:dyDescent="0.2">
      <c r="A88" s="120"/>
      <c r="B88" s="120"/>
      <c r="C88" s="121" t="s">
        <v>160</v>
      </c>
      <c r="D88" s="120"/>
      <c r="E88" s="120"/>
      <c r="F88" s="128">
        <v>93797.843401499995</v>
      </c>
      <c r="G88" s="129">
        <v>0.95064309999999996</v>
      </c>
      <c r="H88" s="122" t="s">
        <v>153</v>
      </c>
      <c r="J88" s="2"/>
    </row>
    <row r="89" spans="1:10" x14ac:dyDescent="0.2">
      <c r="A89" s="120"/>
      <c r="B89" s="120"/>
      <c r="C89" s="130"/>
      <c r="D89" s="120"/>
      <c r="E89" s="120"/>
      <c r="F89" s="131"/>
      <c r="G89" s="131"/>
      <c r="H89" s="122" t="s">
        <v>153</v>
      </c>
      <c r="J89" s="2"/>
    </row>
    <row r="90" spans="1:10" x14ac:dyDescent="0.2">
      <c r="A90" s="120"/>
      <c r="B90" s="120"/>
      <c r="C90" s="121" t="s">
        <v>161</v>
      </c>
      <c r="D90" s="120"/>
      <c r="E90" s="120"/>
      <c r="F90" s="131"/>
      <c r="G90" s="131"/>
      <c r="H90" s="122" t="s">
        <v>153</v>
      </c>
      <c r="J90" s="2"/>
    </row>
    <row r="91" spans="1:10" x14ac:dyDescent="0.2">
      <c r="A91" s="120"/>
      <c r="B91" s="120"/>
      <c r="C91" s="121" t="s">
        <v>10</v>
      </c>
      <c r="D91" s="120"/>
      <c r="E91" s="120"/>
      <c r="F91" s="131"/>
      <c r="G91" s="131"/>
      <c r="H91" s="122" t="s">
        <v>153</v>
      </c>
      <c r="J91" s="2"/>
    </row>
    <row r="92" spans="1:10" x14ac:dyDescent="0.2">
      <c r="A92" s="120"/>
      <c r="B92" s="120"/>
      <c r="C92" s="121" t="s">
        <v>152</v>
      </c>
      <c r="D92" s="120"/>
      <c r="E92" s="120" t="s">
        <v>153</v>
      </c>
      <c r="F92" s="132" t="s">
        <v>155</v>
      </c>
      <c r="G92" s="129">
        <v>0</v>
      </c>
      <c r="H92" s="122" t="s">
        <v>153</v>
      </c>
      <c r="J92" s="2"/>
    </row>
    <row r="93" spans="1:10" x14ac:dyDescent="0.2">
      <c r="A93" s="120"/>
      <c r="B93" s="120"/>
      <c r="C93" s="130"/>
      <c r="D93" s="120"/>
      <c r="E93" s="120"/>
      <c r="F93" s="131"/>
      <c r="G93" s="131"/>
      <c r="H93" s="122" t="s">
        <v>153</v>
      </c>
      <c r="J93" s="2"/>
    </row>
    <row r="94" spans="1:10" x14ac:dyDescent="0.2">
      <c r="A94" s="120"/>
      <c r="B94" s="120"/>
      <c r="C94" s="121" t="s">
        <v>162</v>
      </c>
      <c r="D94" s="120"/>
      <c r="E94" s="120"/>
      <c r="F94" s="120"/>
      <c r="G94" s="120"/>
      <c r="H94" s="122" t="s">
        <v>153</v>
      </c>
      <c r="J94" s="2"/>
    </row>
    <row r="95" spans="1:10" x14ac:dyDescent="0.2">
      <c r="A95" s="120"/>
      <c r="B95" s="120"/>
      <c r="C95" s="121" t="s">
        <v>152</v>
      </c>
      <c r="D95" s="120"/>
      <c r="E95" s="120" t="s">
        <v>153</v>
      </c>
      <c r="F95" s="132" t="s">
        <v>155</v>
      </c>
      <c r="G95" s="129">
        <v>0</v>
      </c>
      <c r="H95" s="122" t="s">
        <v>153</v>
      </c>
      <c r="J95" s="2"/>
    </row>
    <row r="96" spans="1:10" x14ac:dyDescent="0.2">
      <c r="A96" s="120"/>
      <c r="B96" s="120"/>
      <c r="C96" s="130"/>
      <c r="D96" s="120"/>
      <c r="E96" s="120"/>
      <c r="F96" s="131"/>
      <c r="G96" s="131"/>
      <c r="H96" s="122" t="s">
        <v>153</v>
      </c>
      <c r="J96" s="2"/>
    </row>
    <row r="97" spans="1:10" x14ac:dyDescent="0.2">
      <c r="A97" s="120"/>
      <c r="B97" s="120"/>
      <c r="C97" s="121" t="s">
        <v>163</v>
      </c>
      <c r="D97" s="120"/>
      <c r="E97" s="120"/>
      <c r="F97" s="120"/>
      <c r="G97" s="120"/>
      <c r="H97" s="122" t="s">
        <v>153</v>
      </c>
      <c r="J97" s="2"/>
    </row>
    <row r="98" spans="1:10" x14ac:dyDescent="0.2">
      <c r="A98" s="120"/>
      <c r="B98" s="120"/>
      <c r="C98" s="121" t="s">
        <v>152</v>
      </c>
      <c r="D98" s="120"/>
      <c r="E98" s="120" t="s">
        <v>153</v>
      </c>
      <c r="F98" s="132" t="s">
        <v>155</v>
      </c>
      <c r="G98" s="129">
        <v>0</v>
      </c>
      <c r="H98" s="122" t="s">
        <v>153</v>
      </c>
      <c r="J98" s="2"/>
    </row>
    <row r="99" spans="1:10" x14ac:dyDescent="0.2">
      <c r="A99" s="120"/>
      <c r="B99" s="120"/>
      <c r="C99" s="130"/>
      <c r="D99" s="120"/>
      <c r="E99" s="120"/>
      <c r="F99" s="131"/>
      <c r="G99" s="131"/>
      <c r="H99" s="122" t="s">
        <v>153</v>
      </c>
      <c r="J99" s="2"/>
    </row>
    <row r="100" spans="1:10" x14ac:dyDescent="0.2">
      <c r="A100" s="120"/>
      <c r="B100" s="120"/>
      <c r="C100" s="121" t="s">
        <v>164</v>
      </c>
      <c r="D100" s="120"/>
      <c r="E100" s="120"/>
      <c r="F100" s="131"/>
      <c r="G100" s="131"/>
      <c r="H100" s="122" t="s">
        <v>153</v>
      </c>
      <c r="J100" s="2"/>
    </row>
    <row r="101" spans="1:10" x14ac:dyDescent="0.2">
      <c r="A101" s="120"/>
      <c r="B101" s="120"/>
      <c r="C101" s="121" t="s">
        <v>152</v>
      </c>
      <c r="D101" s="120"/>
      <c r="E101" s="120" t="s">
        <v>153</v>
      </c>
      <c r="F101" s="132" t="s">
        <v>155</v>
      </c>
      <c r="G101" s="129">
        <v>0</v>
      </c>
      <c r="H101" s="122" t="s">
        <v>153</v>
      </c>
      <c r="J101" s="2"/>
    </row>
    <row r="102" spans="1:10" x14ac:dyDescent="0.2">
      <c r="A102" s="120"/>
      <c r="B102" s="120"/>
      <c r="C102" s="130"/>
      <c r="D102" s="120"/>
      <c r="E102" s="120"/>
      <c r="F102" s="131"/>
      <c r="G102" s="131"/>
      <c r="H102" s="122" t="s">
        <v>153</v>
      </c>
      <c r="J102" s="2"/>
    </row>
    <row r="103" spans="1:10" x14ac:dyDescent="0.2">
      <c r="A103" s="120"/>
      <c r="B103" s="120"/>
      <c r="C103" s="121" t="s">
        <v>165</v>
      </c>
      <c r="D103" s="120"/>
      <c r="E103" s="120"/>
      <c r="F103" s="128">
        <v>0</v>
      </c>
      <c r="G103" s="129">
        <v>0</v>
      </c>
      <c r="H103" s="122" t="s">
        <v>153</v>
      </c>
      <c r="J103" s="2"/>
    </row>
    <row r="104" spans="1:10" x14ac:dyDescent="0.2">
      <c r="A104" s="120"/>
      <c r="B104" s="120"/>
      <c r="C104" s="130"/>
      <c r="D104" s="120"/>
      <c r="E104" s="120"/>
      <c r="F104" s="131"/>
      <c r="G104" s="131"/>
      <c r="H104" s="122" t="s">
        <v>153</v>
      </c>
      <c r="J104" s="2"/>
    </row>
    <row r="105" spans="1:10" x14ac:dyDescent="0.2">
      <c r="A105" s="120"/>
      <c r="B105" s="120"/>
      <c r="C105" s="121" t="s">
        <v>166</v>
      </c>
      <c r="D105" s="120"/>
      <c r="E105" s="120"/>
      <c r="F105" s="131"/>
      <c r="G105" s="131"/>
      <c r="H105" s="122" t="s">
        <v>153</v>
      </c>
      <c r="J105" s="2"/>
    </row>
    <row r="106" spans="1:10" x14ac:dyDescent="0.2">
      <c r="A106" s="120"/>
      <c r="B106" s="120"/>
      <c r="C106" s="121" t="s">
        <v>167</v>
      </c>
      <c r="D106" s="120"/>
      <c r="E106" s="120"/>
      <c r="F106" s="131"/>
      <c r="G106" s="131"/>
      <c r="H106" s="122" t="s">
        <v>153</v>
      </c>
      <c r="J106" s="2"/>
    </row>
    <row r="107" spans="1:10" x14ac:dyDescent="0.2">
      <c r="A107" s="120"/>
      <c r="B107" s="120"/>
      <c r="C107" s="121" t="s">
        <v>152</v>
      </c>
      <c r="D107" s="120"/>
      <c r="E107" s="120" t="s">
        <v>153</v>
      </c>
      <c r="F107" s="132" t="s">
        <v>155</v>
      </c>
      <c r="G107" s="129">
        <v>0</v>
      </c>
      <c r="H107" s="122" t="s">
        <v>153</v>
      </c>
      <c r="J107" s="2"/>
    </row>
    <row r="108" spans="1:10" x14ac:dyDescent="0.2">
      <c r="A108" s="120"/>
      <c r="B108" s="120"/>
      <c r="C108" s="130"/>
      <c r="D108" s="120"/>
      <c r="E108" s="120"/>
      <c r="F108" s="131"/>
      <c r="G108" s="131"/>
      <c r="H108" s="122" t="s">
        <v>153</v>
      </c>
      <c r="J108" s="2"/>
    </row>
    <row r="109" spans="1:10" x14ac:dyDescent="0.2">
      <c r="A109" s="120"/>
      <c r="B109" s="120"/>
      <c r="C109" s="121" t="s">
        <v>168</v>
      </c>
      <c r="D109" s="120"/>
      <c r="E109" s="120"/>
      <c r="F109" s="131"/>
      <c r="G109" s="131"/>
      <c r="H109" s="122" t="s">
        <v>153</v>
      </c>
      <c r="J109" s="2"/>
    </row>
    <row r="110" spans="1:10" x14ac:dyDescent="0.2">
      <c r="A110" s="120"/>
      <c r="B110" s="120"/>
      <c r="C110" s="121" t="s">
        <v>152</v>
      </c>
      <c r="D110" s="120"/>
      <c r="E110" s="120" t="s">
        <v>153</v>
      </c>
      <c r="F110" s="132" t="s">
        <v>155</v>
      </c>
      <c r="G110" s="129">
        <v>0</v>
      </c>
      <c r="H110" s="122" t="s">
        <v>153</v>
      </c>
      <c r="J110" s="2"/>
    </row>
    <row r="111" spans="1:10" x14ac:dyDescent="0.2">
      <c r="A111" s="120"/>
      <c r="B111" s="120"/>
      <c r="C111" s="130"/>
      <c r="D111" s="120"/>
      <c r="E111" s="120"/>
      <c r="F111" s="131"/>
      <c r="G111" s="131"/>
      <c r="H111" s="122" t="s">
        <v>153</v>
      </c>
      <c r="J111" s="2"/>
    </row>
    <row r="112" spans="1:10" x14ac:dyDescent="0.2">
      <c r="A112" s="120"/>
      <c r="B112" s="120"/>
      <c r="C112" s="121" t="s">
        <v>169</v>
      </c>
      <c r="D112" s="120"/>
      <c r="E112" s="120"/>
      <c r="F112" s="131"/>
      <c r="G112" s="131"/>
      <c r="H112" s="122" t="s">
        <v>153</v>
      </c>
      <c r="J112" s="2"/>
    </row>
    <row r="113" spans="1:10" x14ac:dyDescent="0.2">
      <c r="A113" s="120"/>
      <c r="B113" s="120"/>
      <c r="C113" s="121" t="s">
        <v>152</v>
      </c>
      <c r="D113" s="120"/>
      <c r="E113" s="120" t="s">
        <v>153</v>
      </c>
      <c r="F113" s="132" t="s">
        <v>155</v>
      </c>
      <c r="G113" s="129">
        <v>0</v>
      </c>
      <c r="H113" s="122" t="s">
        <v>153</v>
      </c>
      <c r="J113" s="2"/>
    </row>
    <row r="114" spans="1:10" x14ac:dyDescent="0.2">
      <c r="A114" s="120"/>
      <c r="B114" s="120"/>
      <c r="C114" s="130"/>
      <c r="D114" s="120"/>
      <c r="E114" s="120"/>
      <c r="F114" s="131"/>
      <c r="G114" s="131"/>
      <c r="H114" s="122" t="s">
        <v>153</v>
      </c>
      <c r="J114" s="2"/>
    </row>
    <row r="115" spans="1:10" x14ac:dyDescent="0.2">
      <c r="A115" s="120"/>
      <c r="B115" s="120"/>
      <c r="C115" s="121" t="s">
        <v>170</v>
      </c>
      <c r="D115" s="120"/>
      <c r="E115" s="120"/>
      <c r="F115" s="131"/>
      <c r="G115" s="131"/>
      <c r="H115" s="122" t="s">
        <v>153</v>
      </c>
      <c r="J115" s="2"/>
    </row>
    <row r="116" spans="1:10" x14ac:dyDescent="0.2">
      <c r="A116" s="123">
        <v>1</v>
      </c>
      <c r="B116" s="124"/>
      <c r="C116" s="124" t="s">
        <v>171</v>
      </c>
      <c r="D116" s="124"/>
      <c r="E116" s="133"/>
      <c r="F116" s="126">
        <v>5225.4980713880004</v>
      </c>
      <c r="G116" s="127">
        <v>5.2960529999999999E-2</v>
      </c>
      <c r="H116" s="122">
        <v>6.62</v>
      </c>
      <c r="J116" s="2"/>
    </row>
    <row r="117" spans="1:10" x14ac:dyDescent="0.2">
      <c r="A117" s="120"/>
      <c r="B117" s="120"/>
      <c r="C117" s="121" t="s">
        <v>152</v>
      </c>
      <c r="D117" s="120"/>
      <c r="E117" s="120" t="s">
        <v>153</v>
      </c>
      <c r="F117" s="128">
        <v>5225.4980713880004</v>
      </c>
      <c r="G117" s="129">
        <v>5.2960529999999999E-2</v>
      </c>
      <c r="H117" s="122" t="s">
        <v>153</v>
      </c>
      <c r="J117" s="2"/>
    </row>
    <row r="118" spans="1:10" x14ac:dyDescent="0.2">
      <c r="A118" s="120"/>
      <c r="B118" s="120"/>
      <c r="C118" s="130"/>
      <c r="D118" s="120"/>
      <c r="E118" s="120"/>
      <c r="F118" s="131"/>
      <c r="G118" s="131"/>
      <c r="H118" s="122" t="s">
        <v>153</v>
      </c>
      <c r="J118" s="2"/>
    </row>
    <row r="119" spans="1:10" x14ac:dyDescent="0.2">
      <c r="A119" s="120"/>
      <c r="B119" s="120"/>
      <c r="C119" s="121" t="s">
        <v>172</v>
      </c>
      <c r="D119" s="120"/>
      <c r="E119" s="120"/>
      <c r="F119" s="128">
        <v>5225.4980713880004</v>
      </c>
      <c r="G119" s="129">
        <v>5.2960529999999999E-2</v>
      </c>
      <c r="H119" s="122" t="s">
        <v>153</v>
      </c>
      <c r="J119" s="2"/>
    </row>
    <row r="120" spans="1:10" x14ac:dyDescent="0.2">
      <c r="A120" s="120"/>
      <c r="B120" s="120"/>
      <c r="C120" s="131"/>
      <c r="D120" s="120"/>
      <c r="E120" s="120"/>
      <c r="F120" s="120"/>
      <c r="G120" s="120"/>
      <c r="H120" s="122" t="s">
        <v>153</v>
      </c>
      <c r="J120" s="2"/>
    </row>
    <row r="121" spans="1:10" x14ac:dyDescent="0.2">
      <c r="A121" s="120"/>
      <c r="B121" s="120"/>
      <c r="C121" s="121" t="s">
        <v>173</v>
      </c>
      <c r="D121" s="120"/>
      <c r="E121" s="120"/>
      <c r="F121" s="120"/>
      <c r="G121" s="120"/>
      <c r="H121" s="122" t="s">
        <v>153</v>
      </c>
      <c r="J121" s="2"/>
    </row>
    <row r="122" spans="1:10" x14ac:dyDescent="0.2">
      <c r="A122" s="120"/>
      <c r="B122" s="120"/>
      <c r="C122" s="121" t="s">
        <v>174</v>
      </c>
      <c r="D122" s="120"/>
      <c r="E122" s="120"/>
      <c r="F122" s="120"/>
      <c r="G122" s="120"/>
      <c r="H122" s="122" t="s">
        <v>153</v>
      </c>
      <c r="J122" s="2"/>
    </row>
    <row r="123" spans="1:10" x14ac:dyDescent="0.2">
      <c r="A123" s="120"/>
      <c r="B123" s="120"/>
      <c r="C123" s="121" t="s">
        <v>152</v>
      </c>
      <c r="D123" s="120"/>
      <c r="E123" s="120" t="s">
        <v>153</v>
      </c>
      <c r="F123" s="132" t="s">
        <v>155</v>
      </c>
      <c r="G123" s="129">
        <v>0</v>
      </c>
      <c r="H123" s="122" t="s">
        <v>153</v>
      </c>
      <c r="J123" s="2"/>
    </row>
    <row r="124" spans="1:10" x14ac:dyDescent="0.2">
      <c r="A124" s="120"/>
      <c r="B124" s="120"/>
      <c r="C124" s="130"/>
      <c r="D124" s="120"/>
      <c r="E124" s="120"/>
      <c r="F124" s="131"/>
      <c r="G124" s="131"/>
      <c r="H124" s="122" t="s">
        <v>153</v>
      </c>
      <c r="J124" s="2"/>
    </row>
    <row r="125" spans="1:10" x14ac:dyDescent="0.2">
      <c r="A125" s="120"/>
      <c r="B125" s="120"/>
      <c r="C125" s="121" t="s">
        <v>175</v>
      </c>
      <c r="D125" s="120"/>
      <c r="E125" s="120"/>
      <c r="F125" s="120"/>
      <c r="G125" s="120"/>
      <c r="H125" s="122" t="s">
        <v>153</v>
      </c>
      <c r="J125" s="2"/>
    </row>
    <row r="126" spans="1:10" x14ac:dyDescent="0.2">
      <c r="A126" s="120"/>
      <c r="B126" s="120"/>
      <c r="C126" s="121" t="s">
        <v>176</v>
      </c>
      <c r="D126" s="120"/>
      <c r="E126" s="120"/>
      <c r="F126" s="120"/>
      <c r="G126" s="120"/>
      <c r="H126" s="122" t="s">
        <v>153</v>
      </c>
      <c r="J126" s="2"/>
    </row>
    <row r="127" spans="1:10" x14ac:dyDescent="0.2">
      <c r="A127" s="120"/>
      <c r="B127" s="120"/>
      <c r="C127" s="121" t="s">
        <v>152</v>
      </c>
      <c r="D127" s="120"/>
      <c r="E127" s="120" t="s">
        <v>153</v>
      </c>
      <c r="F127" s="132" t="s">
        <v>155</v>
      </c>
      <c r="G127" s="129">
        <v>0</v>
      </c>
      <c r="H127" s="122" t="s">
        <v>153</v>
      </c>
      <c r="J127" s="2"/>
    </row>
    <row r="128" spans="1:10" x14ac:dyDescent="0.2">
      <c r="A128" s="120"/>
      <c r="B128" s="120"/>
      <c r="C128" s="130"/>
      <c r="D128" s="120"/>
      <c r="E128" s="120"/>
      <c r="F128" s="131"/>
      <c r="G128" s="131"/>
      <c r="H128" s="122" t="s">
        <v>153</v>
      </c>
      <c r="J128" s="2"/>
    </row>
    <row r="129" spans="1:17" ht="25.5" x14ac:dyDescent="0.2">
      <c r="A129" s="120"/>
      <c r="B129" s="120"/>
      <c r="C129" s="121" t="s">
        <v>177</v>
      </c>
      <c r="D129" s="120"/>
      <c r="E129" s="120"/>
      <c r="F129" s="131"/>
      <c r="G129" s="131"/>
      <c r="H129" s="122" t="s">
        <v>153</v>
      </c>
      <c r="J129" s="2"/>
    </row>
    <row r="130" spans="1:17" x14ac:dyDescent="0.2">
      <c r="A130" s="120"/>
      <c r="B130" s="120"/>
      <c r="C130" s="121" t="s">
        <v>152</v>
      </c>
      <c r="D130" s="120"/>
      <c r="E130" s="120" t="s">
        <v>153</v>
      </c>
      <c r="F130" s="132" t="s">
        <v>155</v>
      </c>
      <c r="G130" s="129">
        <v>0</v>
      </c>
      <c r="H130" s="122" t="s">
        <v>153</v>
      </c>
      <c r="J130" s="2"/>
    </row>
    <row r="131" spans="1:17" x14ac:dyDescent="0.2">
      <c r="A131" s="120"/>
      <c r="B131" s="124"/>
      <c r="C131" s="124"/>
      <c r="D131" s="121"/>
      <c r="E131" s="120"/>
      <c r="F131" s="124"/>
      <c r="G131" s="133"/>
      <c r="H131" s="122" t="s">
        <v>153</v>
      </c>
      <c r="J131" s="2"/>
    </row>
    <row r="132" spans="1:17" x14ac:dyDescent="0.2">
      <c r="A132" s="133"/>
      <c r="B132" s="124"/>
      <c r="C132" s="124" t="s">
        <v>178</v>
      </c>
      <c r="D132" s="124"/>
      <c r="E132" s="133"/>
      <c r="F132" s="126">
        <v>-355.55706792000001</v>
      </c>
      <c r="G132" s="127">
        <v>-3.6035799999999999E-3</v>
      </c>
      <c r="H132" s="122" t="s">
        <v>153</v>
      </c>
      <c r="J132" s="2"/>
    </row>
    <row r="133" spans="1:17" x14ac:dyDescent="0.2">
      <c r="A133" s="130"/>
      <c r="B133" s="130"/>
      <c r="C133" s="121" t="s">
        <v>179</v>
      </c>
      <c r="D133" s="131"/>
      <c r="E133" s="131"/>
      <c r="F133" s="128">
        <v>98667.784404967999</v>
      </c>
      <c r="G133" s="134">
        <v>1.0000000499999999</v>
      </c>
      <c r="H133" s="122" t="s">
        <v>153</v>
      </c>
      <c r="J133" s="2"/>
    </row>
    <row r="134" spans="1:17" x14ac:dyDescent="0.2">
      <c r="A134" s="135"/>
      <c r="B134" s="135"/>
      <c r="C134" s="135"/>
      <c r="D134" s="136"/>
      <c r="E134" s="136"/>
      <c r="F134" s="136"/>
      <c r="G134" s="136"/>
      <c r="J134" s="2"/>
    </row>
    <row r="135" spans="1:17" x14ac:dyDescent="0.2">
      <c r="A135" s="137"/>
      <c r="B135" s="226" t="s">
        <v>863</v>
      </c>
      <c r="C135" s="226"/>
      <c r="D135" s="226"/>
      <c r="E135" s="226"/>
      <c r="F135" s="226"/>
      <c r="G135" s="226"/>
      <c r="H135" s="226"/>
      <c r="J135" s="2"/>
    </row>
    <row r="136" spans="1:17" x14ac:dyDescent="0.2">
      <c r="A136" s="137"/>
      <c r="B136" s="226" t="s">
        <v>864</v>
      </c>
      <c r="C136" s="226"/>
      <c r="D136" s="226"/>
      <c r="E136" s="226"/>
      <c r="F136" s="226"/>
      <c r="G136" s="226"/>
      <c r="H136" s="226"/>
      <c r="J136" s="2"/>
    </row>
    <row r="137" spans="1:17" x14ac:dyDescent="0.2">
      <c r="A137" s="137"/>
      <c r="B137" s="226" t="s">
        <v>865</v>
      </c>
      <c r="C137" s="226"/>
      <c r="D137" s="226"/>
      <c r="E137" s="226"/>
      <c r="F137" s="226"/>
      <c r="G137" s="226"/>
      <c r="H137" s="226"/>
      <c r="J137" s="2"/>
    </row>
    <row r="138" spans="1:17" s="5" customFormat="1" ht="64.5" customHeight="1" x14ac:dyDescent="0.25">
      <c r="A138" s="139"/>
      <c r="B138" s="227" t="s">
        <v>866</v>
      </c>
      <c r="C138" s="227"/>
      <c r="D138" s="227"/>
      <c r="E138" s="227"/>
      <c r="F138" s="227"/>
      <c r="G138" s="227"/>
      <c r="H138" s="227"/>
      <c r="I138"/>
      <c r="J138" s="2"/>
      <c r="K138"/>
      <c r="L138"/>
      <c r="M138"/>
      <c r="N138"/>
      <c r="O138"/>
      <c r="P138"/>
      <c r="Q138"/>
    </row>
    <row r="139" spans="1:17" x14ac:dyDescent="0.2">
      <c r="A139" s="137"/>
      <c r="B139" s="226" t="s">
        <v>867</v>
      </c>
      <c r="C139" s="226"/>
      <c r="D139" s="226"/>
      <c r="E139" s="226"/>
      <c r="F139" s="226"/>
      <c r="G139" s="226"/>
      <c r="H139" s="226"/>
      <c r="J139" s="2"/>
    </row>
    <row r="140" spans="1:17" x14ac:dyDescent="0.2">
      <c r="A140" s="140"/>
      <c r="B140" s="140"/>
      <c r="C140" s="140"/>
      <c r="D140" s="141"/>
      <c r="E140" s="141"/>
      <c r="F140" s="141"/>
      <c r="G140" s="141"/>
      <c r="J140" s="2"/>
    </row>
    <row r="141" spans="1:17" x14ac:dyDescent="0.2">
      <c r="A141" s="140"/>
      <c r="B141" s="228" t="s">
        <v>180</v>
      </c>
      <c r="C141" s="229"/>
      <c r="D141" s="230"/>
      <c r="E141" s="142"/>
      <c r="F141" s="141"/>
      <c r="G141" s="141"/>
      <c r="J141" s="2"/>
    </row>
    <row r="142" spans="1:17" ht="24.75" customHeight="1" x14ac:dyDescent="0.2">
      <c r="A142" s="137"/>
      <c r="B142" s="221" t="s">
        <v>181</v>
      </c>
      <c r="C142" s="222"/>
      <c r="D142" s="143" t="s">
        <v>943</v>
      </c>
      <c r="E142" s="161"/>
      <c r="F142" s="162"/>
      <c r="G142" s="162"/>
      <c r="J142" s="2"/>
    </row>
    <row r="143" spans="1:17" x14ac:dyDescent="0.2">
      <c r="A143" s="137"/>
      <c r="B143" s="221" t="s">
        <v>868</v>
      </c>
      <c r="C143" s="222"/>
      <c r="D143" s="143" t="str">
        <f>"Rs. "&amp;TEXT(F76+F80,"0.00")&amp;" lacs/ #"</f>
        <v>Rs. 0.00 lacs/ #</v>
      </c>
      <c r="E143" s="161"/>
      <c r="F143" s="162"/>
      <c r="G143" s="162"/>
      <c r="J143" s="2"/>
    </row>
    <row r="144" spans="1:17" x14ac:dyDescent="0.2">
      <c r="A144" s="140"/>
      <c r="B144" s="223" t="s">
        <v>184</v>
      </c>
      <c r="C144" s="224"/>
      <c r="D144" s="131" t="s">
        <v>153</v>
      </c>
      <c r="E144" s="142"/>
      <c r="F144" s="141"/>
      <c r="G144" s="141"/>
      <c r="J144" s="2"/>
    </row>
    <row r="145" spans="1:15" x14ac:dyDescent="0.2">
      <c r="A145" s="144"/>
      <c r="B145" s="145" t="s">
        <v>153</v>
      </c>
      <c r="C145" s="145" t="s">
        <v>870</v>
      </c>
      <c r="D145" s="145" t="s">
        <v>185</v>
      </c>
      <c r="E145" s="144"/>
      <c r="F145" s="144"/>
      <c r="G145" s="144"/>
      <c r="H145" s="144"/>
      <c r="J145" s="2"/>
    </row>
    <row r="146" spans="1:15" x14ac:dyDescent="0.2">
      <c r="A146" s="146"/>
      <c r="B146" s="147" t="s">
        <v>186</v>
      </c>
      <c r="C146" s="148">
        <v>45504</v>
      </c>
      <c r="D146" s="149">
        <v>45535</v>
      </c>
      <c r="E146" s="146"/>
      <c r="F146" s="146"/>
      <c r="G146" s="146"/>
      <c r="J146" s="2"/>
    </row>
    <row r="147" spans="1:15" x14ac:dyDescent="0.2">
      <c r="A147" s="146"/>
      <c r="B147" s="124" t="s">
        <v>187</v>
      </c>
      <c r="C147" s="150">
        <v>154.45949999999999</v>
      </c>
      <c r="D147" s="150">
        <v>156.4966</v>
      </c>
      <c r="E147" s="146"/>
      <c r="F147" s="151"/>
      <c r="G147" s="152"/>
      <c r="J147" s="2"/>
    </row>
    <row r="148" spans="1:15" ht="25.5" x14ac:dyDescent="0.2">
      <c r="A148" s="146"/>
      <c r="B148" s="124" t="s">
        <v>928</v>
      </c>
      <c r="C148" s="150">
        <v>73.985500000000002</v>
      </c>
      <c r="D148" s="150">
        <v>74.961299999999994</v>
      </c>
      <c r="E148" s="146"/>
      <c r="F148" s="151"/>
      <c r="G148" s="152"/>
      <c r="J148" s="2"/>
    </row>
    <row r="149" spans="1:15" x14ac:dyDescent="0.2">
      <c r="A149" s="146"/>
      <c r="B149" s="124" t="s">
        <v>188</v>
      </c>
      <c r="C149" s="150">
        <v>143.22989999999999</v>
      </c>
      <c r="D149" s="150">
        <v>144.96119999999999</v>
      </c>
      <c r="E149" s="146"/>
      <c r="F149" s="151"/>
      <c r="G149" s="152"/>
      <c r="J149" s="2"/>
    </row>
    <row r="150" spans="1:15" ht="25.5" x14ac:dyDescent="0.2">
      <c r="A150" s="146"/>
      <c r="B150" s="124" t="s">
        <v>929</v>
      </c>
      <c r="C150" s="150">
        <v>44.728200000000001</v>
      </c>
      <c r="D150" s="150">
        <v>45.268900000000002</v>
      </c>
      <c r="E150" s="146"/>
      <c r="F150" s="151"/>
      <c r="G150" s="152"/>
      <c r="J150" s="2"/>
    </row>
    <row r="151" spans="1:15" x14ac:dyDescent="0.2">
      <c r="A151" s="146"/>
      <c r="B151" s="146"/>
      <c r="C151" s="146"/>
      <c r="D151" s="146"/>
      <c r="E151" s="146"/>
      <c r="F151" s="146"/>
      <c r="G151" s="146"/>
      <c r="J151" s="2"/>
    </row>
    <row r="152" spans="1:15" x14ac:dyDescent="0.2">
      <c r="A152" s="144"/>
      <c r="B152" s="221" t="s">
        <v>869</v>
      </c>
      <c r="C152" s="222"/>
      <c r="D152" s="143" t="s">
        <v>182</v>
      </c>
      <c r="E152" s="144"/>
      <c r="F152" s="144"/>
      <c r="G152" s="144"/>
      <c r="J152" s="2"/>
    </row>
    <row r="153" spans="1:15" x14ac:dyDescent="0.2">
      <c r="A153" s="144"/>
      <c r="B153" s="163"/>
      <c r="C153" s="163"/>
      <c r="D153" s="163"/>
      <c r="E153" s="144"/>
      <c r="F153" s="144"/>
      <c r="G153" s="144"/>
      <c r="J153" s="2"/>
    </row>
    <row r="154" spans="1:15" ht="29.1" customHeight="1" x14ac:dyDescent="0.2">
      <c r="A154" s="144"/>
      <c r="B154" s="221" t="s">
        <v>189</v>
      </c>
      <c r="C154" s="222"/>
      <c r="D154" s="143" t="s">
        <v>182</v>
      </c>
      <c r="E154" s="153"/>
      <c r="F154" s="144"/>
      <c r="G154" s="144"/>
      <c r="J154" s="2"/>
    </row>
    <row r="155" spans="1:15" ht="29.1" customHeight="1" x14ac:dyDescent="0.2">
      <c r="A155" s="144"/>
      <c r="B155" s="221" t="s">
        <v>190</v>
      </c>
      <c r="C155" s="222"/>
      <c r="D155" s="143" t="s">
        <v>182</v>
      </c>
      <c r="E155" s="153"/>
      <c r="F155" s="144"/>
      <c r="G155" s="144"/>
      <c r="J155" s="2"/>
    </row>
    <row r="156" spans="1:15" ht="17.100000000000001" customHeight="1" x14ac:dyDescent="0.2">
      <c r="A156" s="144"/>
      <c r="B156" s="221" t="s">
        <v>191</v>
      </c>
      <c r="C156" s="222"/>
      <c r="D156" s="143" t="s">
        <v>182</v>
      </c>
      <c r="E156" s="153"/>
      <c r="F156" s="144"/>
      <c r="G156" s="144"/>
      <c r="J156" s="2"/>
    </row>
    <row r="157" spans="1:15" ht="17.100000000000001" customHeight="1" x14ac:dyDescent="0.2">
      <c r="A157" s="144"/>
      <c r="B157" s="221" t="s">
        <v>192</v>
      </c>
      <c r="C157" s="222"/>
      <c r="D157" s="154">
        <v>0.39271235891062656</v>
      </c>
      <c r="E157" s="144"/>
      <c r="F157" s="138"/>
      <c r="G157" s="155"/>
      <c r="J157" s="2"/>
    </row>
    <row r="158" spans="1:15" x14ac:dyDescent="0.2">
      <c r="J158" s="2"/>
    </row>
    <row r="159" spans="1:15" s="18" customFormat="1" x14ac:dyDescent="0.2">
      <c r="B159" s="196" t="s">
        <v>1062</v>
      </c>
      <c r="C159" s="196"/>
      <c r="D159" s="196"/>
      <c r="E159" s="22"/>
      <c r="F159" s="23"/>
      <c r="I159"/>
      <c r="J159" s="2"/>
      <c r="K159"/>
      <c r="L159"/>
      <c r="M159"/>
      <c r="N159"/>
      <c r="O159"/>
    </row>
    <row r="160" spans="1:15" s="18" customFormat="1" ht="38.25" x14ac:dyDescent="0.2">
      <c r="B160" s="204" t="s">
        <v>944</v>
      </c>
      <c r="C160" s="205" t="s">
        <v>945</v>
      </c>
      <c r="D160" s="205" t="s">
        <v>946</v>
      </c>
      <c r="E160" s="205" t="s">
        <v>947</v>
      </c>
      <c r="F160" s="205" t="s">
        <v>948</v>
      </c>
      <c r="I160"/>
      <c r="J160" s="2"/>
      <c r="K160"/>
      <c r="L160"/>
      <c r="M160"/>
      <c r="N160"/>
      <c r="O160"/>
    </row>
    <row r="161" spans="2:20" s="18" customFormat="1" ht="25.5" x14ac:dyDescent="0.2">
      <c r="B161" s="206" t="s">
        <v>1013</v>
      </c>
      <c r="C161" s="207" t="s">
        <v>1014</v>
      </c>
      <c r="D161" s="25">
        <v>0</v>
      </c>
      <c r="E161" s="26">
        <v>0</v>
      </c>
      <c r="F161" s="208">
        <v>241.97234</v>
      </c>
      <c r="I161"/>
      <c r="J161" s="2"/>
      <c r="K161"/>
      <c r="L161"/>
      <c r="M161"/>
      <c r="N161"/>
      <c r="O161"/>
    </row>
    <row r="162" spans="2:20" s="18" customFormat="1" ht="25.5" x14ac:dyDescent="0.2">
      <c r="B162" s="206" t="s">
        <v>1015</v>
      </c>
      <c r="C162" s="207" t="s">
        <v>1014</v>
      </c>
      <c r="D162" s="25">
        <v>0</v>
      </c>
      <c r="E162" s="26">
        <v>0</v>
      </c>
      <c r="F162" s="208">
        <v>23.186299999999999</v>
      </c>
      <c r="I162"/>
      <c r="J162" s="2"/>
      <c r="K162"/>
      <c r="L162"/>
      <c r="M162"/>
      <c r="N162"/>
      <c r="O162"/>
      <c r="P162"/>
      <c r="Q162"/>
      <c r="R162"/>
      <c r="S162"/>
      <c r="T162"/>
    </row>
    <row r="163" spans="2:20" x14ac:dyDescent="0.2">
      <c r="J163" s="2"/>
    </row>
    <row r="164" spans="2:20" x14ac:dyDescent="0.2">
      <c r="J164" s="2"/>
    </row>
    <row r="165" spans="2:20" x14ac:dyDescent="0.2">
      <c r="J165" s="2"/>
    </row>
    <row r="166" spans="2:20" x14ac:dyDescent="0.2">
      <c r="J166" s="2"/>
    </row>
    <row r="167" spans="2:20" x14ac:dyDescent="0.2">
      <c r="J167" s="2"/>
    </row>
    <row r="168" spans="2:20" x14ac:dyDescent="0.2">
      <c r="J168" s="2"/>
    </row>
  </sheetData>
  <mergeCells count="17">
    <mergeCell ref="B142:C142"/>
    <mergeCell ref="A1:H1"/>
    <mergeCell ref="A2:H2"/>
    <mergeCell ref="A3:H3"/>
    <mergeCell ref="B135:H135"/>
    <mergeCell ref="B136:H136"/>
    <mergeCell ref="B137:H137"/>
    <mergeCell ref="B138:H138"/>
    <mergeCell ref="B139:H139"/>
    <mergeCell ref="B141:D141"/>
    <mergeCell ref="B143:C143"/>
    <mergeCell ref="B144:C144"/>
    <mergeCell ref="B152:C152"/>
    <mergeCell ref="B156:C156"/>
    <mergeCell ref="B157:C157"/>
    <mergeCell ref="B154:C154"/>
    <mergeCell ref="B155:C155"/>
  </mergeCells>
  <hyperlinks>
    <hyperlink ref="I1" location="Index!B18" display="Index" xr:uid="{09E7C06F-0A80-41B4-B173-D032C8961AA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8D2CF-B9AC-4E7B-916A-99D75AF9299D}">
  <sheetPr>
    <outlinePr summaryBelow="0" summaryRight="0"/>
  </sheetPr>
  <dimension ref="A1:Q214"/>
  <sheetViews>
    <sheetView showGridLines="0" workbookViewId="0">
      <selection sqref="A1:H1"/>
    </sheetView>
  </sheetViews>
  <sheetFormatPr defaultRowHeight="12.75" x14ac:dyDescent="0.2"/>
  <cols>
    <col min="1" max="1" width="6.85546875" customWidth="1"/>
    <col min="2" max="2" width="20.5703125" customWidth="1"/>
    <col min="3" max="3" width="45.42578125" customWidth="1"/>
    <col min="4" max="4" width="17.85546875" customWidth="1"/>
    <col min="5" max="6" width="19.140625" customWidth="1"/>
    <col min="7" max="7" width="16.42578125" customWidth="1"/>
    <col min="9" max="9" width="12.140625" bestFit="1"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695</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851</v>
      </c>
      <c r="J4" s="2"/>
    </row>
    <row r="5" spans="1:10" x14ac:dyDescent="0.2">
      <c r="A5" s="120"/>
      <c r="B5" s="120"/>
      <c r="C5" s="121" t="s">
        <v>9</v>
      </c>
      <c r="D5" s="120"/>
      <c r="E5" s="120"/>
      <c r="F5" s="120"/>
      <c r="G5" s="120"/>
      <c r="H5" s="122" t="str">
        <f>IFERROR(VLOOKUP(B5,'[1]Debt Holding Consolidated'!$C$1:$N$65536,12,FALSE),"")</f>
        <v/>
      </c>
      <c r="J5" s="2"/>
    </row>
    <row r="6" spans="1:10" x14ac:dyDescent="0.2">
      <c r="A6" s="120"/>
      <c r="B6" s="120"/>
      <c r="C6" s="121" t="s">
        <v>10</v>
      </c>
      <c r="D6" s="120"/>
      <c r="E6" s="120"/>
      <c r="F6" s="120"/>
      <c r="G6" s="120"/>
      <c r="H6" s="122" t="str">
        <f>IFERROR(VLOOKUP(B6,'[1]Debt Holding Consolidated'!$C$1:$N$65536,12,FALSE),"")</f>
        <v/>
      </c>
      <c r="J6" s="2"/>
    </row>
    <row r="7" spans="1:10" x14ac:dyDescent="0.2">
      <c r="A7" s="123">
        <v>1</v>
      </c>
      <c r="B7" s="124" t="s">
        <v>20</v>
      </c>
      <c r="C7" s="124" t="s">
        <v>21</v>
      </c>
      <c r="D7" s="124" t="s">
        <v>22</v>
      </c>
      <c r="E7" s="125">
        <v>207250</v>
      </c>
      <c r="F7" s="126">
        <v>6257.3956250000001</v>
      </c>
      <c r="G7" s="127">
        <v>6.7559190000000005E-2</v>
      </c>
      <c r="H7" s="122" t="str">
        <f>IFERROR(VLOOKUP(B7,'[1]Debt Holding Consolidated'!$C$1:$N$65536,12,FALSE),"")</f>
        <v/>
      </c>
      <c r="J7" s="2"/>
    </row>
    <row r="8" spans="1:10" x14ac:dyDescent="0.2">
      <c r="A8" s="123">
        <v>2</v>
      </c>
      <c r="B8" s="124" t="s">
        <v>344</v>
      </c>
      <c r="C8" s="124" t="s">
        <v>345</v>
      </c>
      <c r="D8" s="124" t="s">
        <v>211</v>
      </c>
      <c r="E8" s="125">
        <v>205100</v>
      </c>
      <c r="F8" s="126">
        <v>3986.5286999999998</v>
      </c>
      <c r="G8" s="127">
        <v>4.3041330000000003E-2</v>
      </c>
      <c r="H8" s="122" t="str">
        <f>IFERROR(VLOOKUP(B8,'[1]Debt Holding Consolidated'!$C$1:$N$65536,12,FALSE),"")</f>
        <v/>
      </c>
      <c r="J8" s="2"/>
    </row>
    <row r="9" spans="1:10" x14ac:dyDescent="0.2">
      <c r="A9" s="123">
        <v>3</v>
      </c>
      <c r="B9" s="124" t="s">
        <v>14</v>
      </c>
      <c r="C9" s="124" t="s">
        <v>15</v>
      </c>
      <c r="D9" s="124" t="s">
        <v>16</v>
      </c>
      <c r="E9" s="125">
        <v>239850</v>
      </c>
      <c r="F9" s="126">
        <v>3811.336425</v>
      </c>
      <c r="G9" s="127">
        <v>4.114984E-2</v>
      </c>
      <c r="H9" s="122" t="str">
        <f>IFERROR(VLOOKUP(B9,'[1]Debt Holding Consolidated'!$C$1:$N$65536,12,FALSE),"")</f>
        <v/>
      </c>
      <c r="J9" s="2"/>
    </row>
    <row r="10" spans="1:10" x14ac:dyDescent="0.2">
      <c r="A10" s="123">
        <v>4</v>
      </c>
      <c r="B10" s="124" t="s">
        <v>477</v>
      </c>
      <c r="C10" s="124" t="s">
        <v>478</v>
      </c>
      <c r="D10" s="124" t="s">
        <v>48</v>
      </c>
      <c r="E10" s="125">
        <v>232000</v>
      </c>
      <c r="F10" s="126">
        <v>3306.58</v>
      </c>
      <c r="G10" s="127">
        <v>3.5700129999999997E-2</v>
      </c>
      <c r="H10" s="122" t="str">
        <f>IFERROR(VLOOKUP(B10,'[1]Debt Holding Consolidated'!$C$1:$N$65536,12,FALSE),"")</f>
        <v/>
      </c>
      <c r="J10" s="2"/>
    </row>
    <row r="11" spans="1:10" x14ac:dyDescent="0.2">
      <c r="A11" s="123">
        <v>5</v>
      </c>
      <c r="B11" s="124" t="s">
        <v>350</v>
      </c>
      <c r="C11" s="124" t="s">
        <v>351</v>
      </c>
      <c r="D11" s="124" t="s">
        <v>48</v>
      </c>
      <c r="E11" s="125">
        <v>210875</v>
      </c>
      <c r="F11" s="126">
        <v>2478.3084374999999</v>
      </c>
      <c r="G11" s="127">
        <v>2.675754E-2</v>
      </c>
      <c r="H11" s="122" t="str">
        <f>IFERROR(VLOOKUP(B11,'[1]Debt Holding Consolidated'!$C$1:$N$65536,12,FALSE),"")</f>
        <v/>
      </c>
      <c r="J11" s="2"/>
    </row>
    <row r="12" spans="1:10" ht="15" x14ac:dyDescent="0.2">
      <c r="A12" s="123">
        <v>6</v>
      </c>
      <c r="B12" s="124" t="s">
        <v>655</v>
      </c>
      <c r="C12" s="124" t="s">
        <v>656</v>
      </c>
      <c r="D12" s="124" t="s">
        <v>89</v>
      </c>
      <c r="E12" s="125">
        <v>30625</v>
      </c>
      <c r="F12" s="126">
        <v>2205.0459375</v>
      </c>
      <c r="G12" s="127">
        <v>2.3807209999999999E-2</v>
      </c>
      <c r="H12" s="122" t="str">
        <f>IFERROR(VLOOKUP(B12,'[1]Debt Holding Consolidated'!$C$1:$N$65536,12,FALSE),"")</f>
        <v/>
      </c>
      <c r="J12" s="7"/>
    </row>
    <row r="13" spans="1:10" x14ac:dyDescent="0.2">
      <c r="A13" s="123">
        <v>7</v>
      </c>
      <c r="B13" s="124" t="s">
        <v>338</v>
      </c>
      <c r="C13" s="124" t="s">
        <v>339</v>
      </c>
      <c r="D13" s="124" t="s">
        <v>273</v>
      </c>
      <c r="E13" s="125">
        <v>16850</v>
      </c>
      <c r="F13" s="126">
        <v>2089.9054999999998</v>
      </c>
      <c r="G13" s="127">
        <v>2.2564069999999999E-2</v>
      </c>
      <c r="H13" s="122" t="str">
        <f>IFERROR(VLOOKUP(B13,'[1]Debt Holding Consolidated'!$C$1:$N$65536,12,FALSE),"")</f>
        <v/>
      </c>
      <c r="J13" s="2"/>
    </row>
    <row r="14" spans="1:10" x14ac:dyDescent="0.2">
      <c r="A14" s="123">
        <v>8</v>
      </c>
      <c r="B14" s="124" t="s">
        <v>342</v>
      </c>
      <c r="C14" s="124" t="s">
        <v>343</v>
      </c>
      <c r="D14" s="124" t="s">
        <v>48</v>
      </c>
      <c r="E14" s="125">
        <v>124463</v>
      </c>
      <c r="F14" s="126">
        <v>2037.3348470000001</v>
      </c>
      <c r="G14" s="127">
        <v>2.1996479999999999E-2</v>
      </c>
      <c r="H14" s="122" t="str">
        <f>IFERROR(VLOOKUP(B14,'[1]Debt Holding Consolidated'!$C$1:$N$65536,12,FALSE),"")</f>
        <v/>
      </c>
      <c r="J14" s="2" t="s">
        <v>1016</v>
      </c>
    </row>
    <row r="15" spans="1:10" x14ac:dyDescent="0.2">
      <c r="A15" s="123">
        <v>9</v>
      </c>
      <c r="B15" s="124" t="s">
        <v>377</v>
      </c>
      <c r="C15" s="124" t="s">
        <v>378</v>
      </c>
      <c r="D15" s="124" t="s">
        <v>374</v>
      </c>
      <c r="E15" s="125">
        <v>68100</v>
      </c>
      <c r="F15" s="126">
        <v>1891.818</v>
      </c>
      <c r="G15" s="127">
        <v>2.042538E-2</v>
      </c>
      <c r="H15" s="122" t="str">
        <f>IFERROR(VLOOKUP(B15,'[1]Debt Holding Consolidated'!$C$1:$N$65536,12,FALSE),"")</f>
        <v/>
      </c>
      <c r="J15" s="2"/>
    </row>
    <row r="16" spans="1:10" x14ac:dyDescent="0.2">
      <c r="A16" s="123">
        <v>10</v>
      </c>
      <c r="B16" s="124" t="s">
        <v>51</v>
      </c>
      <c r="C16" s="124" t="s">
        <v>52</v>
      </c>
      <c r="D16" s="124" t="s">
        <v>53</v>
      </c>
      <c r="E16" s="125">
        <v>375418</v>
      </c>
      <c r="F16" s="126">
        <v>1601.908606</v>
      </c>
      <c r="G16" s="127">
        <v>1.7295319999999999E-2</v>
      </c>
      <c r="H16" s="122" t="str">
        <f>IFERROR(VLOOKUP(B16,'[1]Debt Holding Consolidated'!$C$1:$N$65536,12,FALSE),"")</f>
        <v/>
      </c>
      <c r="J16" s="2"/>
    </row>
    <row r="17" spans="1:10" x14ac:dyDescent="0.2">
      <c r="A17" s="123">
        <v>11</v>
      </c>
      <c r="B17" s="124" t="s">
        <v>361</v>
      </c>
      <c r="C17" s="124" t="s">
        <v>362</v>
      </c>
      <c r="D17" s="124" t="s">
        <v>273</v>
      </c>
      <c r="E17" s="125">
        <v>135100</v>
      </c>
      <c r="F17" s="126">
        <v>1501.4338499999999</v>
      </c>
      <c r="G17" s="127">
        <v>1.6210519999999999E-2</v>
      </c>
      <c r="H17" s="122" t="str">
        <f>IFERROR(VLOOKUP(B17,'[1]Debt Holding Consolidated'!$C$1:$N$65536,12,FALSE),"")</f>
        <v/>
      </c>
      <c r="J17" s="2"/>
    </row>
    <row r="18" spans="1:10" x14ac:dyDescent="0.2">
      <c r="A18" s="123">
        <v>12</v>
      </c>
      <c r="B18" s="124" t="s">
        <v>348</v>
      </c>
      <c r="C18" s="124" t="s">
        <v>349</v>
      </c>
      <c r="D18" s="124" t="s">
        <v>211</v>
      </c>
      <c r="E18" s="125">
        <v>32108</v>
      </c>
      <c r="F18" s="126">
        <v>1462.11805</v>
      </c>
      <c r="G18" s="127">
        <v>1.5786040000000001E-2</v>
      </c>
      <c r="H18" s="122" t="str">
        <f>IFERROR(VLOOKUP(B18,'[1]Debt Holding Consolidated'!$C$1:$N$65536,12,FALSE),"")</f>
        <v/>
      </c>
      <c r="J18" s="2"/>
    </row>
    <row r="19" spans="1:10" ht="25.5" x14ac:dyDescent="0.2">
      <c r="A19" s="123">
        <v>13</v>
      </c>
      <c r="B19" s="124" t="s">
        <v>352</v>
      </c>
      <c r="C19" s="124" t="s">
        <v>353</v>
      </c>
      <c r="D19" s="124" t="s">
        <v>208</v>
      </c>
      <c r="E19" s="125">
        <v>78950</v>
      </c>
      <c r="F19" s="126">
        <v>1438.192675</v>
      </c>
      <c r="G19" s="127">
        <v>1.552773E-2</v>
      </c>
      <c r="H19" s="122" t="str">
        <f>IFERROR(VLOOKUP(B19,'[1]Debt Holding Consolidated'!$C$1:$N$65536,12,FALSE),"")</f>
        <v/>
      </c>
      <c r="J19" s="2"/>
    </row>
    <row r="20" spans="1:10" ht="25.5" x14ac:dyDescent="0.2">
      <c r="A20" s="123">
        <v>14</v>
      </c>
      <c r="B20" s="124" t="s">
        <v>370</v>
      </c>
      <c r="C20" s="124" t="s">
        <v>371</v>
      </c>
      <c r="D20" s="124" t="s">
        <v>208</v>
      </c>
      <c r="E20" s="125">
        <v>91000</v>
      </c>
      <c r="F20" s="126">
        <v>1428.154</v>
      </c>
      <c r="G20" s="127">
        <v>1.541934E-2</v>
      </c>
      <c r="H20" s="122" t="str">
        <f>IFERROR(VLOOKUP(B20,'[1]Debt Holding Consolidated'!$C$1:$N$65536,12,FALSE),"")</f>
        <v/>
      </c>
      <c r="J20" s="2"/>
    </row>
    <row r="21" spans="1:10" x14ac:dyDescent="0.2">
      <c r="A21" s="123">
        <v>15</v>
      </c>
      <c r="B21" s="124" t="s">
        <v>41</v>
      </c>
      <c r="C21" s="124" t="s">
        <v>42</v>
      </c>
      <c r="D21" s="124" t="s">
        <v>16</v>
      </c>
      <c r="E21" s="125">
        <v>108900</v>
      </c>
      <c r="F21" s="126">
        <v>1363.48245</v>
      </c>
      <c r="G21" s="127">
        <v>1.4721100000000001E-2</v>
      </c>
      <c r="H21" s="122" t="str">
        <f>IFERROR(VLOOKUP(B21,'[1]Debt Holding Consolidated'!$C$1:$N$65536,12,FALSE),"")</f>
        <v/>
      </c>
      <c r="J21" s="2"/>
    </row>
    <row r="22" spans="1:10" ht="15" x14ac:dyDescent="0.2">
      <c r="A22" s="123">
        <v>16</v>
      </c>
      <c r="B22" s="124" t="s">
        <v>484</v>
      </c>
      <c r="C22" s="124" t="s">
        <v>485</v>
      </c>
      <c r="D22" s="124" t="s">
        <v>45</v>
      </c>
      <c r="E22" s="125">
        <v>70000</v>
      </c>
      <c r="F22" s="126">
        <v>1348.095</v>
      </c>
      <c r="G22" s="127">
        <v>1.455497E-2</v>
      </c>
      <c r="H22" s="122" t="str">
        <f>IFERROR(VLOOKUP(B22,'[1]Debt Holding Consolidated'!$C$1:$N$65536,12,FALSE),"")</f>
        <v/>
      </c>
      <c r="J22" s="7"/>
    </row>
    <row r="23" spans="1:10" x14ac:dyDescent="0.2">
      <c r="A23" s="123">
        <v>17</v>
      </c>
      <c r="B23" s="124" t="s">
        <v>84</v>
      </c>
      <c r="C23" s="124" t="s">
        <v>85</v>
      </c>
      <c r="D23" s="124" t="s">
        <v>86</v>
      </c>
      <c r="E23" s="125">
        <v>27500</v>
      </c>
      <c r="F23" s="126">
        <v>1328.25</v>
      </c>
      <c r="G23" s="127">
        <v>1.434071E-2</v>
      </c>
      <c r="H23" s="122" t="str">
        <f>IFERROR(VLOOKUP(B23,'[1]Debt Holding Consolidated'!$C$1:$N$65536,12,FALSE),"")</f>
        <v/>
      </c>
      <c r="J23" s="2"/>
    </row>
    <row r="24" spans="1:10" x14ac:dyDescent="0.2">
      <c r="A24" s="123">
        <v>18</v>
      </c>
      <c r="B24" s="124" t="s">
        <v>46</v>
      </c>
      <c r="C24" s="124" t="s">
        <v>47</v>
      </c>
      <c r="D24" s="124" t="s">
        <v>48</v>
      </c>
      <c r="E24" s="125">
        <v>106000</v>
      </c>
      <c r="F24" s="126">
        <v>1302.952</v>
      </c>
      <c r="G24" s="127">
        <v>1.406758E-2</v>
      </c>
      <c r="H24" s="122" t="str">
        <f>IFERROR(VLOOKUP(B24,'[1]Debt Holding Consolidated'!$C$1:$N$65536,12,FALSE),"")</f>
        <v/>
      </c>
      <c r="J24" s="2"/>
    </row>
    <row r="25" spans="1:10" x14ac:dyDescent="0.2">
      <c r="A25" s="123">
        <v>19</v>
      </c>
      <c r="B25" s="124" t="s">
        <v>11</v>
      </c>
      <c r="C25" s="124" t="s">
        <v>12</v>
      </c>
      <c r="D25" s="124" t="s">
        <v>13</v>
      </c>
      <c r="E25" s="125">
        <v>32790</v>
      </c>
      <c r="F25" s="126">
        <v>1214.754735</v>
      </c>
      <c r="G25" s="127">
        <v>1.311534E-2</v>
      </c>
      <c r="H25" s="122" t="str">
        <f>IFERROR(VLOOKUP(B25,'[1]Debt Holding Consolidated'!$C$1:$N$65536,12,FALSE),"")</f>
        <v/>
      </c>
      <c r="J25" s="2"/>
    </row>
    <row r="26" spans="1:10" x14ac:dyDescent="0.2">
      <c r="A26" s="123">
        <v>20</v>
      </c>
      <c r="B26" s="124" t="s">
        <v>496</v>
      </c>
      <c r="C26" s="124" t="s">
        <v>497</v>
      </c>
      <c r="D26" s="124" t="s">
        <v>89</v>
      </c>
      <c r="E26" s="125">
        <v>118798</v>
      </c>
      <c r="F26" s="126">
        <v>1161.191051</v>
      </c>
      <c r="G26" s="127">
        <v>1.2537029999999999E-2</v>
      </c>
      <c r="H26" s="122" t="str">
        <f>IFERROR(VLOOKUP(B26,'[1]Debt Holding Consolidated'!$C$1:$N$65536,12,FALSE),"")</f>
        <v/>
      </c>
      <c r="J26" s="2"/>
    </row>
    <row r="27" spans="1:10" x14ac:dyDescent="0.2">
      <c r="A27" s="123">
        <v>21</v>
      </c>
      <c r="B27" s="124" t="s">
        <v>550</v>
      </c>
      <c r="C27" s="124" t="s">
        <v>551</v>
      </c>
      <c r="D27" s="124" t="s">
        <v>211</v>
      </c>
      <c r="E27" s="125">
        <v>68000</v>
      </c>
      <c r="F27" s="126">
        <v>1112.82</v>
      </c>
      <c r="G27" s="127">
        <v>1.2014779999999999E-2</v>
      </c>
      <c r="H27" s="122" t="str">
        <f>IFERROR(VLOOKUP(B27,'[1]Debt Holding Consolidated'!$C$1:$N$65536,12,FALSE),"")</f>
        <v/>
      </c>
      <c r="J27" s="2"/>
    </row>
    <row r="28" spans="1:10" ht="25.5" x14ac:dyDescent="0.2">
      <c r="A28" s="123">
        <v>22</v>
      </c>
      <c r="B28" s="124" t="s">
        <v>368</v>
      </c>
      <c r="C28" s="124" t="s">
        <v>369</v>
      </c>
      <c r="D28" s="124" t="s">
        <v>208</v>
      </c>
      <c r="E28" s="125">
        <v>15000</v>
      </c>
      <c r="F28" s="126">
        <v>1054.7025000000001</v>
      </c>
      <c r="G28" s="127">
        <v>1.13873E-2</v>
      </c>
      <c r="H28" s="122" t="str">
        <f>IFERROR(VLOOKUP(B28,'[1]Debt Holding Consolidated'!$C$1:$N$65536,12,FALSE),"")</f>
        <v/>
      </c>
      <c r="J28" s="2"/>
    </row>
    <row r="29" spans="1:10" x14ac:dyDescent="0.2">
      <c r="A29" s="123">
        <v>23</v>
      </c>
      <c r="B29" s="124" t="s">
        <v>469</v>
      </c>
      <c r="C29" s="124" t="s">
        <v>470</v>
      </c>
      <c r="D29" s="124" t="s">
        <v>211</v>
      </c>
      <c r="E29" s="125">
        <v>59500</v>
      </c>
      <c r="F29" s="126">
        <v>1043.1837499999999</v>
      </c>
      <c r="G29" s="127">
        <v>1.1262940000000001E-2</v>
      </c>
      <c r="H29" s="122" t="str">
        <f>IFERROR(VLOOKUP(B29,'[1]Debt Holding Consolidated'!$C$1:$N$65536,12,FALSE),"")</f>
        <v/>
      </c>
      <c r="J29" s="2"/>
    </row>
    <row r="30" spans="1:10" x14ac:dyDescent="0.2">
      <c r="A30" s="123">
        <v>24</v>
      </c>
      <c r="B30" s="124" t="s">
        <v>696</v>
      </c>
      <c r="C30" s="124" t="s">
        <v>697</v>
      </c>
      <c r="D30" s="124" t="s">
        <v>273</v>
      </c>
      <c r="E30" s="125">
        <v>12500</v>
      </c>
      <c r="F30" s="126">
        <v>1041.175</v>
      </c>
      <c r="G30" s="127">
        <v>1.124125E-2</v>
      </c>
      <c r="H30" s="122" t="str">
        <f>IFERROR(VLOOKUP(B30,'[1]Debt Holding Consolidated'!$C$1:$N$65536,12,FALSE),"")</f>
        <v/>
      </c>
      <c r="J30" s="2"/>
    </row>
    <row r="31" spans="1:10" x14ac:dyDescent="0.2">
      <c r="A31" s="123">
        <v>25</v>
      </c>
      <c r="B31" s="124" t="s">
        <v>467</v>
      </c>
      <c r="C31" s="124" t="s">
        <v>468</v>
      </c>
      <c r="D31" s="124" t="s">
        <v>48</v>
      </c>
      <c r="E31" s="125">
        <v>406575</v>
      </c>
      <c r="F31" s="126">
        <v>1016.844075</v>
      </c>
      <c r="G31" s="127">
        <v>1.097856E-2</v>
      </c>
      <c r="H31" s="122" t="str">
        <f>IFERROR(VLOOKUP(B31,'[1]Debt Holding Consolidated'!$C$1:$N$65536,12,FALSE),"")</f>
        <v/>
      </c>
      <c r="J31" s="2"/>
    </row>
    <row r="32" spans="1:10" x14ac:dyDescent="0.2">
      <c r="A32" s="123">
        <v>26</v>
      </c>
      <c r="B32" s="124" t="s">
        <v>358</v>
      </c>
      <c r="C32" s="124" t="s">
        <v>359</v>
      </c>
      <c r="D32" s="124" t="s">
        <v>360</v>
      </c>
      <c r="E32" s="125">
        <v>138600</v>
      </c>
      <c r="F32" s="126">
        <v>972.0711</v>
      </c>
      <c r="G32" s="127">
        <v>1.049516E-2</v>
      </c>
      <c r="H32" s="122" t="str">
        <f>IFERROR(VLOOKUP(B32,'[1]Debt Holding Consolidated'!$C$1:$N$65536,12,FALSE),"")</f>
        <v/>
      </c>
      <c r="J32" s="2"/>
    </row>
    <row r="33" spans="1:10" x14ac:dyDescent="0.2">
      <c r="A33" s="123">
        <v>27</v>
      </c>
      <c r="B33" s="124" t="s">
        <v>54</v>
      </c>
      <c r="C33" s="124" t="s">
        <v>55</v>
      </c>
      <c r="D33" s="124" t="s">
        <v>48</v>
      </c>
      <c r="E33" s="125">
        <v>119000</v>
      </c>
      <c r="F33" s="126">
        <v>970.56399999999996</v>
      </c>
      <c r="G33" s="127">
        <v>1.0478879999999999E-2</v>
      </c>
      <c r="H33" s="122" t="str">
        <f>IFERROR(VLOOKUP(B33,'[1]Debt Holding Consolidated'!$C$1:$N$65536,12,FALSE),"")</f>
        <v/>
      </c>
      <c r="J33" s="2"/>
    </row>
    <row r="34" spans="1:10" x14ac:dyDescent="0.2">
      <c r="A34" s="123">
        <v>28</v>
      </c>
      <c r="B34" s="124" t="s">
        <v>232</v>
      </c>
      <c r="C34" s="124" t="s">
        <v>233</v>
      </c>
      <c r="D34" s="124" t="s">
        <v>22</v>
      </c>
      <c r="E34" s="125">
        <v>230850</v>
      </c>
      <c r="F34" s="126">
        <v>967.37692500000003</v>
      </c>
      <c r="G34" s="127">
        <v>1.0444470000000001E-2</v>
      </c>
      <c r="H34" s="122" t="str">
        <f>IFERROR(VLOOKUP(B34,'[1]Debt Holding Consolidated'!$C$1:$N$65536,12,FALSE),"")</f>
        <v/>
      </c>
      <c r="J34" s="2"/>
    </row>
    <row r="35" spans="1:10" x14ac:dyDescent="0.2">
      <c r="A35" s="123">
        <v>29</v>
      </c>
      <c r="B35" s="124" t="s">
        <v>363</v>
      </c>
      <c r="C35" s="124" t="s">
        <v>364</v>
      </c>
      <c r="D35" s="124" t="s">
        <v>239</v>
      </c>
      <c r="E35" s="125">
        <v>17000</v>
      </c>
      <c r="F35" s="126">
        <v>881.07600000000002</v>
      </c>
      <c r="G35" s="127">
        <v>9.5127100000000006E-3</v>
      </c>
      <c r="H35" s="122" t="str">
        <f>IFERROR(VLOOKUP(B35,'[1]Debt Holding Consolidated'!$C$1:$N$65536,12,FALSE),"")</f>
        <v/>
      </c>
      <c r="J35" s="2"/>
    </row>
    <row r="36" spans="1:10" x14ac:dyDescent="0.2">
      <c r="A36" s="123">
        <v>30</v>
      </c>
      <c r="B36" s="124" t="s">
        <v>128</v>
      </c>
      <c r="C36" s="124" t="s">
        <v>129</v>
      </c>
      <c r="D36" s="124" t="s">
        <v>86</v>
      </c>
      <c r="E36" s="125">
        <v>203000</v>
      </c>
      <c r="F36" s="126">
        <v>851.17899999999997</v>
      </c>
      <c r="G36" s="127">
        <v>9.1899200000000007E-3</v>
      </c>
      <c r="H36" s="122" t="str">
        <f>IFERROR(VLOOKUP(B36,'[1]Debt Holding Consolidated'!$C$1:$N$65536,12,FALSE),"")</f>
        <v/>
      </c>
      <c r="J36" s="2"/>
    </row>
    <row r="37" spans="1:10" x14ac:dyDescent="0.2">
      <c r="A37" s="123">
        <v>31</v>
      </c>
      <c r="B37" s="124" t="s">
        <v>97</v>
      </c>
      <c r="C37" s="124" t="s">
        <v>98</v>
      </c>
      <c r="D37" s="124" t="s">
        <v>53</v>
      </c>
      <c r="E37" s="125">
        <v>116000</v>
      </c>
      <c r="F37" s="126">
        <v>835.37400000000002</v>
      </c>
      <c r="G37" s="127">
        <v>9.0192799999999993E-3</v>
      </c>
      <c r="H37" s="122" t="str">
        <f>IFERROR(VLOOKUP(B37,'[1]Debt Holding Consolidated'!$C$1:$N$65536,12,FALSE),"")</f>
        <v/>
      </c>
      <c r="J37" s="2"/>
    </row>
    <row r="38" spans="1:10" x14ac:dyDescent="0.2">
      <c r="A38" s="123">
        <v>32</v>
      </c>
      <c r="B38" s="124" t="s">
        <v>548</v>
      </c>
      <c r="C38" s="124" t="s">
        <v>549</v>
      </c>
      <c r="D38" s="124" t="s">
        <v>273</v>
      </c>
      <c r="E38" s="125">
        <v>28700</v>
      </c>
      <c r="F38" s="126">
        <v>805.14980000000003</v>
      </c>
      <c r="G38" s="127">
        <v>8.6929599999999996E-3</v>
      </c>
      <c r="H38" s="122" t="str">
        <f>IFERROR(VLOOKUP(B38,'[1]Debt Holding Consolidated'!$C$1:$N$65536,12,FALSE),"")</f>
        <v/>
      </c>
      <c r="J38" s="2"/>
    </row>
    <row r="39" spans="1:10" x14ac:dyDescent="0.2">
      <c r="A39" s="123">
        <v>33</v>
      </c>
      <c r="B39" s="124" t="s">
        <v>201</v>
      </c>
      <c r="C39" s="124" t="s">
        <v>202</v>
      </c>
      <c r="D39" s="124" t="s">
        <v>48</v>
      </c>
      <c r="E39" s="125">
        <v>410000</v>
      </c>
      <c r="F39" s="126">
        <v>798.27</v>
      </c>
      <c r="G39" s="127">
        <v>8.6186800000000001E-3</v>
      </c>
      <c r="H39" s="122" t="str">
        <f>IFERROR(VLOOKUP(B39,'[1]Debt Holding Consolidated'!$C$1:$N$65536,12,FALSE),"")</f>
        <v/>
      </c>
      <c r="J39" s="2"/>
    </row>
    <row r="40" spans="1:10" ht="25.5" x14ac:dyDescent="0.2">
      <c r="A40" s="123">
        <v>34</v>
      </c>
      <c r="B40" s="124" t="s">
        <v>698</v>
      </c>
      <c r="C40" s="124" t="s">
        <v>699</v>
      </c>
      <c r="D40" s="124" t="s">
        <v>208</v>
      </c>
      <c r="E40" s="125">
        <v>31678</v>
      </c>
      <c r="F40" s="126">
        <v>788.06944499999997</v>
      </c>
      <c r="G40" s="127">
        <v>8.5085500000000001E-3</v>
      </c>
      <c r="H40" s="122" t="str">
        <f>IFERROR(VLOOKUP(B40,'[1]Debt Holding Consolidated'!$C$1:$N$65536,12,FALSE),"")</f>
        <v/>
      </c>
      <c r="J40" s="2"/>
    </row>
    <row r="41" spans="1:10" x14ac:dyDescent="0.2">
      <c r="A41" s="123">
        <v>35</v>
      </c>
      <c r="B41" s="124" t="s">
        <v>346</v>
      </c>
      <c r="C41" s="124" t="s">
        <v>347</v>
      </c>
      <c r="D41" s="124" t="s">
        <v>198</v>
      </c>
      <c r="E41" s="125">
        <v>312000</v>
      </c>
      <c r="F41" s="126">
        <v>781.65359999999998</v>
      </c>
      <c r="G41" s="127">
        <v>8.4392800000000004E-3</v>
      </c>
      <c r="H41" s="122" t="str">
        <f>IFERROR(VLOOKUP(B41,'[1]Debt Holding Consolidated'!$C$1:$N$65536,12,FALSE),"")</f>
        <v/>
      </c>
      <c r="J41" s="2"/>
    </row>
    <row r="42" spans="1:10" x14ac:dyDescent="0.2">
      <c r="A42" s="123">
        <v>36</v>
      </c>
      <c r="B42" s="124" t="s">
        <v>700</v>
      </c>
      <c r="C42" s="124" t="s">
        <v>701</v>
      </c>
      <c r="D42" s="124" t="s">
        <v>239</v>
      </c>
      <c r="E42" s="125">
        <v>13000</v>
      </c>
      <c r="F42" s="126">
        <v>778.86900000000003</v>
      </c>
      <c r="G42" s="127">
        <v>8.4092100000000003E-3</v>
      </c>
      <c r="H42" s="122" t="str">
        <f>IFERROR(VLOOKUP(B42,'[1]Debt Holding Consolidated'!$C$1:$N$65536,12,FALSE),"")</f>
        <v/>
      </c>
      <c r="J42" s="2"/>
    </row>
    <row r="43" spans="1:10" x14ac:dyDescent="0.2">
      <c r="A43" s="123">
        <v>37</v>
      </c>
      <c r="B43" s="124" t="s">
        <v>110</v>
      </c>
      <c r="C43" s="124" t="s">
        <v>111</v>
      </c>
      <c r="D43" s="124" t="s">
        <v>35</v>
      </c>
      <c r="E43" s="125">
        <v>20000</v>
      </c>
      <c r="F43" s="126">
        <v>748.94</v>
      </c>
      <c r="G43" s="127">
        <v>8.0860800000000007E-3</v>
      </c>
      <c r="H43" s="122" t="str">
        <f>IFERROR(VLOOKUP(B43,'[1]Debt Holding Consolidated'!$C$1:$N$65536,12,FALSE),"")</f>
        <v/>
      </c>
      <c r="J43" s="2"/>
    </row>
    <row r="44" spans="1:10" x14ac:dyDescent="0.2">
      <c r="A44" s="123">
        <v>38</v>
      </c>
      <c r="B44" s="124" t="s">
        <v>281</v>
      </c>
      <c r="C44" s="124" t="s">
        <v>282</v>
      </c>
      <c r="D44" s="124" t="s">
        <v>89</v>
      </c>
      <c r="E44" s="125">
        <v>48000</v>
      </c>
      <c r="F44" s="126">
        <v>698.68799999999999</v>
      </c>
      <c r="G44" s="127">
        <v>7.5435199999999997E-3</v>
      </c>
      <c r="H44" s="122" t="str">
        <f>IFERROR(VLOOKUP(B44,'[1]Debt Holding Consolidated'!$C$1:$N$65536,12,FALSE),"")</f>
        <v/>
      </c>
      <c r="J44" s="2"/>
    </row>
    <row r="45" spans="1:10" x14ac:dyDescent="0.2">
      <c r="A45" s="123">
        <v>39</v>
      </c>
      <c r="B45" s="124" t="s">
        <v>262</v>
      </c>
      <c r="C45" s="124" t="s">
        <v>263</v>
      </c>
      <c r="D45" s="124" t="s">
        <v>264</v>
      </c>
      <c r="E45" s="125">
        <v>34000</v>
      </c>
      <c r="F45" s="126">
        <v>697.15300000000002</v>
      </c>
      <c r="G45" s="127">
        <v>7.5269500000000001E-3</v>
      </c>
      <c r="H45" s="122" t="str">
        <f>IFERROR(VLOOKUP(B45,'[1]Debt Holding Consolidated'!$C$1:$N$65536,12,FALSE),"")</f>
        <v/>
      </c>
      <c r="J45" s="2"/>
    </row>
    <row r="46" spans="1:10" x14ac:dyDescent="0.2">
      <c r="A46" s="123">
        <v>40</v>
      </c>
      <c r="B46" s="124" t="s">
        <v>283</v>
      </c>
      <c r="C46" s="124" t="s">
        <v>284</v>
      </c>
      <c r="D46" s="124" t="s">
        <v>273</v>
      </c>
      <c r="E46" s="125">
        <v>573108</v>
      </c>
      <c r="F46" s="126">
        <v>675.86626439999998</v>
      </c>
      <c r="G46" s="127">
        <v>7.2971199999999998E-3</v>
      </c>
      <c r="H46" s="122" t="str">
        <f>IFERROR(VLOOKUP(B46,'[1]Debt Holding Consolidated'!$C$1:$N$65536,12,FALSE),"")</f>
        <v/>
      </c>
      <c r="J46" s="2"/>
    </row>
    <row r="47" spans="1:10" ht="25.5" x14ac:dyDescent="0.2">
      <c r="A47" s="123">
        <v>41</v>
      </c>
      <c r="B47" s="124" t="s">
        <v>141</v>
      </c>
      <c r="C47" s="124" t="s">
        <v>142</v>
      </c>
      <c r="D47" s="124" t="s">
        <v>25</v>
      </c>
      <c r="E47" s="125">
        <v>300000</v>
      </c>
      <c r="F47" s="126">
        <v>626.54999999999995</v>
      </c>
      <c r="G47" s="127">
        <v>6.7646700000000004E-3</v>
      </c>
      <c r="H47" s="122" t="str">
        <f>IFERROR(VLOOKUP(B47,'[1]Debt Holding Consolidated'!$C$1:$N$65536,12,FALSE),"")</f>
        <v/>
      </c>
      <c r="J47" s="2"/>
    </row>
    <row r="48" spans="1:10" x14ac:dyDescent="0.2">
      <c r="A48" s="123">
        <v>42</v>
      </c>
      <c r="B48" s="124" t="s">
        <v>244</v>
      </c>
      <c r="C48" s="124" t="s">
        <v>245</v>
      </c>
      <c r="D48" s="124" t="s">
        <v>198</v>
      </c>
      <c r="E48" s="125">
        <v>8000</v>
      </c>
      <c r="F48" s="126">
        <v>614.30399999999997</v>
      </c>
      <c r="G48" s="127">
        <v>6.6324499999999998E-3</v>
      </c>
      <c r="H48" s="122" t="str">
        <f>IFERROR(VLOOKUP(B48,'[1]Debt Holding Consolidated'!$C$1:$N$65536,12,FALSE),"")</f>
        <v/>
      </c>
      <c r="J48" s="2"/>
    </row>
    <row r="49" spans="1:10" x14ac:dyDescent="0.2">
      <c r="A49" s="123">
        <v>43</v>
      </c>
      <c r="B49" s="124" t="s">
        <v>702</v>
      </c>
      <c r="C49" s="124" t="s">
        <v>703</v>
      </c>
      <c r="D49" s="124" t="s">
        <v>255</v>
      </c>
      <c r="E49" s="125">
        <v>78100</v>
      </c>
      <c r="F49" s="126">
        <v>576.92470000000003</v>
      </c>
      <c r="G49" s="127">
        <v>6.22888E-3</v>
      </c>
      <c r="H49" s="122" t="str">
        <f>IFERROR(VLOOKUP(B49,'[1]Debt Holding Consolidated'!$C$1:$N$65536,12,FALSE),"")</f>
        <v/>
      </c>
      <c r="J49" s="2"/>
    </row>
    <row r="50" spans="1:10" ht="25.5" x14ac:dyDescent="0.2">
      <c r="A50" s="123">
        <v>44</v>
      </c>
      <c r="B50" s="124" t="s">
        <v>23</v>
      </c>
      <c r="C50" s="124" t="s">
        <v>24</v>
      </c>
      <c r="D50" s="124" t="s">
        <v>25</v>
      </c>
      <c r="E50" s="125">
        <v>5000</v>
      </c>
      <c r="F50" s="126">
        <v>565.09500000000003</v>
      </c>
      <c r="G50" s="127">
        <v>6.1011599999999996E-3</v>
      </c>
      <c r="H50" s="122" t="str">
        <f>IFERROR(VLOOKUP(B50,'[1]Debt Holding Consolidated'!$C$1:$N$65536,12,FALSE),"")</f>
        <v/>
      </c>
      <c r="J50" s="2"/>
    </row>
    <row r="51" spans="1:10" x14ac:dyDescent="0.2">
      <c r="A51" s="123">
        <v>45</v>
      </c>
      <c r="B51" s="124" t="s">
        <v>112</v>
      </c>
      <c r="C51" s="124" t="s">
        <v>113</v>
      </c>
      <c r="D51" s="124" t="s">
        <v>13</v>
      </c>
      <c r="E51" s="125">
        <v>74833</v>
      </c>
      <c r="F51" s="126">
        <v>503.775756</v>
      </c>
      <c r="G51" s="127">
        <v>5.4391099999999996E-3</v>
      </c>
      <c r="H51" s="122" t="str">
        <f>IFERROR(VLOOKUP(B51,'[1]Debt Holding Consolidated'!$C$1:$N$65536,12,FALSE),"")</f>
        <v/>
      </c>
      <c r="J51" s="2"/>
    </row>
    <row r="52" spans="1:10" ht="25.5" x14ac:dyDescent="0.2">
      <c r="A52" s="123">
        <v>46</v>
      </c>
      <c r="B52" s="124" t="s">
        <v>471</v>
      </c>
      <c r="C52" s="124" t="s">
        <v>472</v>
      </c>
      <c r="D52" s="124" t="s">
        <v>208</v>
      </c>
      <c r="E52" s="125">
        <v>30000</v>
      </c>
      <c r="F52" s="126">
        <v>496.47</v>
      </c>
      <c r="G52" s="127">
        <v>5.3602399999999996E-3</v>
      </c>
      <c r="H52" s="122" t="str">
        <f>IFERROR(VLOOKUP(B52,'[1]Debt Holding Consolidated'!$C$1:$N$65536,12,FALSE),"")</f>
        <v/>
      </c>
      <c r="J52" s="2"/>
    </row>
    <row r="53" spans="1:10" x14ac:dyDescent="0.2">
      <c r="A53" s="123">
        <v>47</v>
      </c>
      <c r="B53" s="124" t="s">
        <v>126</v>
      </c>
      <c r="C53" s="124" t="s">
        <v>127</v>
      </c>
      <c r="D53" s="124" t="s">
        <v>74</v>
      </c>
      <c r="E53" s="125">
        <v>12000</v>
      </c>
      <c r="F53" s="126">
        <v>472.99799999999999</v>
      </c>
      <c r="G53" s="127">
        <v>5.1068199999999998E-3</v>
      </c>
      <c r="H53" s="122" t="str">
        <f>IFERROR(VLOOKUP(B53,'[1]Debt Holding Consolidated'!$C$1:$N$65536,12,FALSE),"")</f>
        <v/>
      </c>
      <c r="J53" s="2"/>
    </row>
    <row r="54" spans="1:10" x14ac:dyDescent="0.2">
      <c r="A54" s="123">
        <v>48</v>
      </c>
      <c r="B54" s="124" t="s">
        <v>394</v>
      </c>
      <c r="C54" s="124" t="s">
        <v>395</v>
      </c>
      <c r="D54" s="124" t="s">
        <v>45</v>
      </c>
      <c r="E54" s="125">
        <v>12000</v>
      </c>
      <c r="F54" s="126">
        <v>427.81799999999998</v>
      </c>
      <c r="G54" s="127">
        <v>4.6190199999999997E-3</v>
      </c>
      <c r="H54" s="122" t="str">
        <f>IFERROR(VLOOKUP(B54,'[1]Debt Holding Consolidated'!$C$1:$N$65536,12,FALSE),"")</f>
        <v/>
      </c>
      <c r="J54" s="2"/>
    </row>
    <row r="55" spans="1:10" ht="25.5" x14ac:dyDescent="0.2">
      <c r="A55" s="123">
        <v>49</v>
      </c>
      <c r="B55" s="124" t="s">
        <v>704</v>
      </c>
      <c r="C55" s="124" t="s">
        <v>705</v>
      </c>
      <c r="D55" s="124" t="s">
        <v>706</v>
      </c>
      <c r="E55" s="125">
        <v>12600</v>
      </c>
      <c r="F55" s="126">
        <v>380.43810000000002</v>
      </c>
      <c r="G55" s="127">
        <v>4.1074700000000002E-3</v>
      </c>
      <c r="H55" s="122" t="str">
        <f>IFERROR(VLOOKUP(B55,'[1]Debt Holding Consolidated'!$C$1:$N$65536,12,FALSE),"")</f>
        <v/>
      </c>
      <c r="J55" s="2"/>
    </row>
    <row r="56" spans="1:10" x14ac:dyDescent="0.2">
      <c r="A56" s="123">
        <v>50</v>
      </c>
      <c r="B56" s="124" t="s">
        <v>17</v>
      </c>
      <c r="C56" s="124" t="s">
        <v>18</v>
      </c>
      <c r="D56" s="124" t="s">
        <v>19</v>
      </c>
      <c r="E56" s="125">
        <v>88500</v>
      </c>
      <c r="F56" s="126">
        <v>368.33699999999999</v>
      </c>
      <c r="G56" s="127">
        <v>3.9768199999999998E-3</v>
      </c>
      <c r="H56" s="122" t="str">
        <f>IFERROR(VLOOKUP(B56,'[1]Debt Holding Consolidated'!$C$1:$N$65536,12,FALSE),"")</f>
        <v/>
      </c>
      <c r="J56" s="2"/>
    </row>
    <row r="57" spans="1:10" ht="25.5" x14ac:dyDescent="0.2">
      <c r="A57" s="123">
        <v>51</v>
      </c>
      <c r="B57" s="124" t="s">
        <v>90</v>
      </c>
      <c r="C57" s="124" t="s">
        <v>91</v>
      </c>
      <c r="D57" s="124" t="s">
        <v>92</v>
      </c>
      <c r="E57" s="125">
        <v>23000</v>
      </c>
      <c r="F57" s="126">
        <v>340.83699999999999</v>
      </c>
      <c r="G57" s="127">
        <v>3.6799100000000002E-3</v>
      </c>
      <c r="H57" s="122" t="str">
        <f>IFERROR(VLOOKUP(B57,'[1]Debt Holding Consolidated'!$C$1:$N$65536,12,FALSE),"")</f>
        <v/>
      </c>
      <c r="J57" s="2"/>
    </row>
    <row r="58" spans="1:10" x14ac:dyDescent="0.2">
      <c r="A58" s="123">
        <v>52</v>
      </c>
      <c r="B58" s="124" t="s">
        <v>650</v>
      </c>
      <c r="C58" s="124" t="s">
        <v>651</v>
      </c>
      <c r="D58" s="124" t="s">
        <v>652</v>
      </c>
      <c r="E58" s="125">
        <v>64400</v>
      </c>
      <c r="F58" s="126">
        <v>301.68180000000001</v>
      </c>
      <c r="G58" s="127">
        <v>3.2571700000000002E-3</v>
      </c>
      <c r="H58" s="122" t="str">
        <f>IFERROR(VLOOKUP(B58,'[1]Debt Holding Consolidated'!$C$1:$N$65536,12,FALSE),"")</f>
        <v/>
      </c>
      <c r="J58" s="2"/>
    </row>
    <row r="59" spans="1:10" x14ac:dyDescent="0.2">
      <c r="A59" s="123">
        <v>53</v>
      </c>
      <c r="B59" s="124" t="s">
        <v>132</v>
      </c>
      <c r="C59" s="124" t="s">
        <v>133</v>
      </c>
      <c r="D59" s="124" t="s">
        <v>53</v>
      </c>
      <c r="E59" s="125">
        <v>3785</v>
      </c>
      <c r="F59" s="126">
        <v>300.37949250000003</v>
      </c>
      <c r="G59" s="127">
        <v>3.24311E-3</v>
      </c>
      <c r="H59" s="122" t="str">
        <f>IFERROR(VLOOKUP(B59,'[1]Debt Holding Consolidated'!$C$1:$N$65536,12,FALSE),"")</f>
        <v/>
      </c>
      <c r="J59" s="2"/>
    </row>
    <row r="60" spans="1:10" ht="25.5" x14ac:dyDescent="0.2">
      <c r="A60" s="123">
        <v>54</v>
      </c>
      <c r="B60" s="124" t="s">
        <v>305</v>
      </c>
      <c r="C60" s="124" t="s">
        <v>306</v>
      </c>
      <c r="D60" s="124" t="s">
        <v>25</v>
      </c>
      <c r="E60" s="125">
        <v>15869</v>
      </c>
      <c r="F60" s="126">
        <v>300.09072450000002</v>
      </c>
      <c r="G60" s="127">
        <v>3.2399899999999999E-3</v>
      </c>
      <c r="H60" s="122" t="str">
        <f>IFERROR(VLOOKUP(B60,'[1]Debt Holding Consolidated'!$C$1:$N$65536,12,FALSE),"")</f>
        <v/>
      </c>
      <c r="J60" s="2"/>
    </row>
    <row r="61" spans="1:10" x14ac:dyDescent="0.2">
      <c r="A61" s="123">
        <v>55</v>
      </c>
      <c r="B61" s="124" t="s">
        <v>646</v>
      </c>
      <c r="C61" s="124" t="s">
        <v>647</v>
      </c>
      <c r="D61" s="124" t="s">
        <v>71</v>
      </c>
      <c r="E61" s="125">
        <v>35475</v>
      </c>
      <c r="F61" s="126">
        <v>299.79922499999998</v>
      </c>
      <c r="G61" s="127">
        <v>3.2368399999999999E-3</v>
      </c>
      <c r="H61" s="122" t="str">
        <f>IFERROR(VLOOKUP(B61,'[1]Debt Holding Consolidated'!$C$1:$N$65536,12,FALSE),"")</f>
        <v/>
      </c>
      <c r="J61" s="2"/>
    </row>
    <row r="62" spans="1:10" ht="25.5" x14ac:dyDescent="0.2">
      <c r="A62" s="123">
        <v>56</v>
      </c>
      <c r="B62" s="124" t="s">
        <v>707</v>
      </c>
      <c r="C62" s="124" t="s">
        <v>708</v>
      </c>
      <c r="D62" s="124" t="s">
        <v>250</v>
      </c>
      <c r="E62" s="125">
        <v>20000</v>
      </c>
      <c r="F62" s="126">
        <v>298.7</v>
      </c>
      <c r="G62" s="127">
        <v>3.2249700000000002E-3</v>
      </c>
      <c r="H62" s="122" t="str">
        <f>IFERROR(VLOOKUP(B62,'[1]Debt Holding Consolidated'!$C$1:$N$65536,12,FALSE),"")</f>
        <v/>
      </c>
      <c r="J62" s="2"/>
    </row>
    <row r="63" spans="1:10" x14ac:dyDescent="0.2">
      <c r="A63" s="123">
        <v>57</v>
      </c>
      <c r="B63" s="124" t="s">
        <v>709</v>
      </c>
      <c r="C63" s="124" t="s">
        <v>710</v>
      </c>
      <c r="D63" s="124" t="s">
        <v>211</v>
      </c>
      <c r="E63" s="125">
        <v>14000</v>
      </c>
      <c r="F63" s="126">
        <v>292.93599999999998</v>
      </c>
      <c r="G63" s="127">
        <v>3.1627399999999998E-3</v>
      </c>
      <c r="H63" s="122" t="str">
        <f>IFERROR(VLOOKUP(B63,'[1]Debt Holding Consolidated'!$C$1:$N$65536,12,FALSE),"")</f>
        <v/>
      </c>
      <c r="J63" s="2"/>
    </row>
    <row r="64" spans="1:10" x14ac:dyDescent="0.2">
      <c r="A64" s="123">
        <v>58</v>
      </c>
      <c r="B64" s="124" t="s">
        <v>544</v>
      </c>
      <c r="C64" s="124" t="s">
        <v>545</v>
      </c>
      <c r="D64" s="124" t="s">
        <v>264</v>
      </c>
      <c r="E64" s="125">
        <v>18200</v>
      </c>
      <c r="F64" s="126">
        <v>268.33170000000001</v>
      </c>
      <c r="G64" s="127">
        <v>2.8971000000000001E-3</v>
      </c>
      <c r="H64" s="122" t="str">
        <f>IFERROR(VLOOKUP(B64,'[1]Debt Holding Consolidated'!$C$1:$N$65536,12,FALSE),"")</f>
        <v/>
      </c>
      <c r="J64" s="2"/>
    </row>
    <row r="65" spans="1:10" x14ac:dyDescent="0.2">
      <c r="A65" s="123">
        <v>59</v>
      </c>
      <c r="B65" s="124" t="s">
        <v>365</v>
      </c>
      <c r="C65" s="124" t="s">
        <v>366</v>
      </c>
      <c r="D65" s="124" t="s">
        <v>367</v>
      </c>
      <c r="E65" s="125">
        <v>9765</v>
      </c>
      <c r="F65" s="126">
        <v>254.59796249999999</v>
      </c>
      <c r="G65" s="127">
        <v>2.7488199999999999E-3</v>
      </c>
      <c r="H65" s="122" t="str">
        <f>IFERROR(VLOOKUP(B65,'[1]Debt Holding Consolidated'!$C$1:$N$65536,12,FALSE),"")</f>
        <v/>
      </c>
      <c r="J65" s="2"/>
    </row>
    <row r="66" spans="1:10" x14ac:dyDescent="0.2">
      <c r="A66" s="123">
        <v>60</v>
      </c>
      <c r="B66" s="124" t="s">
        <v>711</v>
      </c>
      <c r="C66" s="124" t="s">
        <v>712</v>
      </c>
      <c r="D66" s="124" t="s">
        <v>403</v>
      </c>
      <c r="E66" s="125">
        <v>23000</v>
      </c>
      <c r="F66" s="126">
        <v>245.08799999999999</v>
      </c>
      <c r="G66" s="127">
        <v>2.64614E-3</v>
      </c>
      <c r="H66" s="122" t="str">
        <f>IFERROR(VLOOKUP(B66,'[1]Debt Holding Consolidated'!$C$1:$N$65536,12,FALSE),"")</f>
        <v/>
      </c>
      <c r="J66" s="2"/>
    </row>
    <row r="67" spans="1:10" x14ac:dyDescent="0.2">
      <c r="A67" s="123">
        <v>61</v>
      </c>
      <c r="B67" s="124" t="s">
        <v>668</v>
      </c>
      <c r="C67" s="124" t="s">
        <v>669</v>
      </c>
      <c r="D67" s="124" t="s">
        <v>89</v>
      </c>
      <c r="E67" s="125">
        <v>12500</v>
      </c>
      <c r="F67" s="126">
        <v>222.88124999999999</v>
      </c>
      <c r="G67" s="127">
        <v>2.4063800000000001E-3</v>
      </c>
      <c r="H67" s="122" t="str">
        <f>IFERROR(VLOOKUP(B67,'[1]Debt Holding Consolidated'!$C$1:$N$65536,12,FALSE),"")</f>
        <v/>
      </c>
      <c r="J67" s="2"/>
    </row>
    <row r="68" spans="1:10" ht="25.5" x14ac:dyDescent="0.2">
      <c r="A68" s="123">
        <v>62</v>
      </c>
      <c r="B68" s="124" t="s">
        <v>303</v>
      </c>
      <c r="C68" s="124" t="s">
        <v>304</v>
      </c>
      <c r="D68" s="124" t="s">
        <v>25</v>
      </c>
      <c r="E68" s="125">
        <v>8700</v>
      </c>
      <c r="F68" s="126">
        <v>202.63605000000001</v>
      </c>
      <c r="G68" s="127">
        <v>2.1878000000000002E-3</v>
      </c>
      <c r="H68" s="122" t="str">
        <f>IFERROR(VLOOKUP(B68,'[1]Debt Holding Consolidated'!$C$1:$N$65536,12,FALSE),"")</f>
        <v/>
      </c>
      <c r="J68" s="2"/>
    </row>
    <row r="69" spans="1:10" x14ac:dyDescent="0.2">
      <c r="A69" s="123">
        <v>63</v>
      </c>
      <c r="B69" s="124" t="s">
        <v>713</v>
      </c>
      <c r="C69" s="124" t="s">
        <v>714</v>
      </c>
      <c r="D69" s="124" t="s">
        <v>136</v>
      </c>
      <c r="E69" s="125">
        <v>19575</v>
      </c>
      <c r="F69" s="126">
        <v>184.220325</v>
      </c>
      <c r="G69" s="127">
        <v>1.9889700000000001E-3</v>
      </c>
      <c r="H69" s="122" t="str">
        <f>IFERROR(VLOOKUP(B69,'[1]Debt Holding Consolidated'!$C$1:$N$65536,12,FALSE),"")</f>
        <v/>
      </c>
      <c r="J69" s="2"/>
    </row>
    <row r="70" spans="1:10" x14ac:dyDescent="0.2">
      <c r="A70" s="123">
        <v>64</v>
      </c>
      <c r="B70" s="124" t="s">
        <v>406</v>
      </c>
      <c r="C70" s="124" t="s">
        <v>407</v>
      </c>
      <c r="D70" s="124" t="s">
        <v>48</v>
      </c>
      <c r="E70" s="125">
        <v>97000</v>
      </c>
      <c r="F70" s="126">
        <v>108.1841</v>
      </c>
      <c r="G70" s="127">
        <v>1.16803E-3</v>
      </c>
      <c r="H70" s="122" t="str">
        <f>IFERROR(VLOOKUP(B70,'[1]Debt Holding Consolidated'!$C$1:$N$65536,12,FALSE),"")</f>
        <v/>
      </c>
      <c r="J70" s="2"/>
    </row>
    <row r="71" spans="1:10" x14ac:dyDescent="0.2">
      <c r="A71" s="123">
        <v>65</v>
      </c>
      <c r="B71" s="124" t="s">
        <v>372</v>
      </c>
      <c r="C71" s="124" t="s">
        <v>373</v>
      </c>
      <c r="D71" s="124" t="s">
        <v>374</v>
      </c>
      <c r="E71" s="125">
        <v>17600</v>
      </c>
      <c r="F71" s="126">
        <v>88.334400000000002</v>
      </c>
      <c r="G71" s="127">
        <v>9.5372000000000002E-4</v>
      </c>
      <c r="H71" s="122" t="str">
        <f>IFERROR(VLOOKUP(B71,'[1]Debt Holding Consolidated'!$C$1:$N$65536,12,FALSE),"")</f>
        <v/>
      </c>
      <c r="J71" s="2"/>
    </row>
    <row r="72" spans="1:10" ht="25.5" x14ac:dyDescent="0.2">
      <c r="A72" s="123">
        <v>66</v>
      </c>
      <c r="B72" s="124" t="s">
        <v>118</v>
      </c>
      <c r="C72" s="124" t="s">
        <v>119</v>
      </c>
      <c r="D72" s="124" t="s">
        <v>25</v>
      </c>
      <c r="E72" s="125">
        <v>9000</v>
      </c>
      <c r="F72" s="126">
        <v>55.534500000000001</v>
      </c>
      <c r="G72" s="127">
        <v>5.9959E-4</v>
      </c>
      <c r="H72" s="122" t="str">
        <f>IFERROR(VLOOKUP(B72,'[1]Debt Holding Consolidated'!$C$1:$N$65536,12,FALSE),"")</f>
        <v/>
      </c>
      <c r="J72" s="2"/>
    </row>
    <row r="73" spans="1:10" x14ac:dyDescent="0.2">
      <c r="A73" s="123">
        <v>67</v>
      </c>
      <c r="B73" s="124" t="s">
        <v>715</v>
      </c>
      <c r="C73" s="124" t="s">
        <v>716</v>
      </c>
      <c r="D73" s="124" t="s">
        <v>45</v>
      </c>
      <c r="E73" s="125">
        <v>1200</v>
      </c>
      <c r="F73" s="126">
        <v>37.521599999999999</v>
      </c>
      <c r="G73" s="127">
        <v>4.0510999999999998E-4</v>
      </c>
      <c r="H73" s="122" t="str">
        <f>IFERROR(VLOOKUP(B73,'[1]Debt Holding Consolidated'!$C$1:$N$65536,12,FALSE),"")</f>
        <v/>
      </c>
      <c r="J73" s="2"/>
    </row>
    <row r="74" spans="1:10" x14ac:dyDescent="0.2">
      <c r="A74" s="123">
        <v>68</v>
      </c>
      <c r="B74" s="124" t="s">
        <v>385</v>
      </c>
      <c r="C74" s="124" t="s">
        <v>386</v>
      </c>
      <c r="D74" s="124" t="s">
        <v>74</v>
      </c>
      <c r="E74" s="125">
        <v>500</v>
      </c>
      <c r="F74" s="126">
        <v>7.9349999999999996</v>
      </c>
      <c r="G74" s="127">
        <v>8.5669999999999998E-5</v>
      </c>
      <c r="H74" s="122" t="str">
        <f>IFERROR(VLOOKUP(B74,'[1]Debt Holding Consolidated'!$C$1:$N$65536,12,FALSE),"")</f>
        <v/>
      </c>
      <c r="J74" s="2"/>
    </row>
    <row r="75" spans="1:10" x14ac:dyDescent="0.2">
      <c r="A75" s="120"/>
      <c r="B75" s="120"/>
      <c r="C75" s="121" t="s">
        <v>152</v>
      </c>
      <c r="D75" s="120"/>
      <c r="E75" s="120" t="s">
        <v>153</v>
      </c>
      <c r="F75" s="128">
        <v>69576.211033900006</v>
      </c>
      <c r="G75" s="129">
        <v>0.75119314999999998</v>
      </c>
      <c r="H75" s="122" t="str">
        <f>IFERROR(VLOOKUP(B75,'[1]Debt Holding Consolidated'!$C$1:$N$65536,12,FALSE),"")</f>
        <v/>
      </c>
      <c r="J75" s="2"/>
    </row>
    <row r="76" spans="1:10" x14ac:dyDescent="0.2">
      <c r="A76" s="120"/>
      <c r="B76" s="120"/>
      <c r="C76" s="130"/>
      <c r="D76" s="120"/>
      <c r="E76" s="120"/>
      <c r="F76" s="131"/>
      <c r="G76" s="131"/>
      <c r="H76" s="122" t="str">
        <f>IFERROR(VLOOKUP(B76,'[1]Debt Holding Consolidated'!$C$1:$N$65536,12,FALSE),"")</f>
        <v/>
      </c>
      <c r="J76" s="2"/>
    </row>
    <row r="77" spans="1:10" x14ac:dyDescent="0.2">
      <c r="A77" s="120"/>
      <c r="B77" s="120"/>
      <c r="C77" s="121" t="s">
        <v>154</v>
      </c>
      <c r="D77" s="120"/>
      <c r="E77" s="120"/>
      <c r="F77" s="120"/>
      <c r="G77" s="120"/>
      <c r="H77" s="122" t="str">
        <f>IFERROR(VLOOKUP(B77,'[1]Debt Holding Consolidated'!$C$1:$N$65536,12,FALSE),"")</f>
        <v/>
      </c>
      <c r="J77" s="2"/>
    </row>
    <row r="78" spans="1:10" x14ac:dyDescent="0.2">
      <c r="A78" s="120"/>
      <c r="B78" s="120"/>
      <c r="C78" s="121" t="s">
        <v>152</v>
      </c>
      <c r="D78" s="120"/>
      <c r="E78" s="120" t="s">
        <v>153</v>
      </c>
      <c r="F78" s="132" t="s">
        <v>155</v>
      </c>
      <c r="G78" s="129">
        <v>0</v>
      </c>
      <c r="H78" s="122" t="str">
        <f>IFERROR(VLOOKUP(B78,'[1]Debt Holding Consolidated'!$C$1:$N$65536,12,FALSE),"")</f>
        <v/>
      </c>
      <c r="J78" s="2"/>
    </row>
    <row r="79" spans="1:10" x14ac:dyDescent="0.2">
      <c r="A79" s="120"/>
      <c r="B79" s="120"/>
      <c r="C79" s="130"/>
      <c r="D79" s="120"/>
      <c r="E79" s="120"/>
      <c r="F79" s="131"/>
      <c r="G79" s="131"/>
      <c r="H79" s="122" t="str">
        <f>IFERROR(VLOOKUP(B79,'[1]Debt Holding Consolidated'!$C$1:$N$65536,12,FALSE),"")</f>
        <v/>
      </c>
      <c r="J79" s="2"/>
    </row>
    <row r="80" spans="1:10" x14ac:dyDescent="0.2">
      <c r="A80" s="120"/>
      <c r="B80" s="120"/>
      <c r="C80" s="121" t="s">
        <v>156</v>
      </c>
      <c r="D80" s="120"/>
      <c r="E80" s="120"/>
      <c r="F80" s="120"/>
      <c r="G80" s="120"/>
      <c r="H80" s="122" t="str">
        <f>IFERROR(VLOOKUP(B80,'[1]Debt Holding Consolidated'!$C$1:$N$65536,12,FALSE),"")</f>
        <v/>
      </c>
      <c r="J80" s="2"/>
    </row>
    <row r="81" spans="1:10" x14ac:dyDescent="0.2">
      <c r="A81" s="120"/>
      <c r="B81" s="120"/>
      <c r="C81" s="121" t="s">
        <v>152</v>
      </c>
      <c r="D81" s="120"/>
      <c r="E81" s="120" t="s">
        <v>153</v>
      </c>
      <c r="F81" s="132" t="s">
        <v>155</v>
      </c>
      <c r="G81" s="129">
        <v>0</v>
      </c>
      <c r="H81" s="122" t="str">
        <f>IFERROR(VLOOKUP(B81,'[1]Debt Holding Consolidated'!$C$1:$N$65536,12,FALSE),"")</f>
        <v/>
      </c>
      <c r="J81" s="2"/>
    </row>
    <row r="82" spans="1:10" x14ac:dyDescent="0.2">
      <c r="A82" s="120"/>
      <c r="B82" s="120"/>
      <c r="C82" s="130"/>
      <c r="D82" s="120"/>
      <c r="E82" s="120"/>
      <c r="F82" s="131"/>
      <c r="G82" s="131"/>
      <c r="H82" s="122" t="str">
        <f>IFERROR(VLOOKUP(B82,'[1]Debt Holding Consolidated'!$C$1:$N$65536,12,FALSE),"")</f>
        <v/>
      </c>
      <c r="J82" s="2"/>
    </row>
    <row r="83" spans="1:10" x14ac:dyDescent="0.2">
      <c r="A83" s="120"/>
      <c r="B83" s="120"/>
      <c r="C83" s="121" t="s">
        <v>157</v>
      </c>
      <c r="D83" s="120"/>
      <c r="E83" s="120"/>
      <c r="F83" s="120"/>
      <c r="G83" s="120"/>
      <c r="H83" s="122" t="str">
        <f>IFERROR(VLOOKUP(B83,'[1]Debt Holding Consolidated'!$C$1:$N$65536,12,FALSE),"")</f>
        <v/>
      </c>
      <c r="J83" s="2"/>
    </row>
    <row r="84" spans="1:10" x14ac:dyDescent="0.2">
      <c r="A84" s="120"/>
      <c r="B84" s="120"/>
      <c r="C84" s="121" t="s">
        <v>152</v>
      </c>
      <c r="D84" s="120"/>
      <c r="E84" s="120" t="s">
        <v>153</v>
      </c>
      <c r="F84" s="132" t="s">
        <v>155</v>
      </c>
      <c r="G84" s="129">
        <v>0</v>
      </c>
      <c r="H84" s="122" t="str">
        <f>IFERROR(VLOOKUP(B84,'[1]Debt Holding Consolidated'!$C$1:$N$65536,12,FALSE),"")</f>
        <v/>
      </c>
      <c r="J84" s="2"/>
    </row>
    <row r="85" spans="1:10" x14ac:dyDescent="0.2">
      <c r="A85" s="120"/>
      <c r="B85" s="120"/>
      <c r="C85" s="130"/>
      <c r="D85" s="120"/>
      <c r="E85" s="120"/>
      <c r="F85" s="131"/>
      <c r="G85" s="131"/>
      <c r="H85" s="122" t="str">
        <f>IFERROR(VLOOKUP(B85,'[1]Debt Holding Consolidated'!$C$1:$N$65536,12,FALSE),"")</f>
        <v/>
      </c>
      <c r="J85" s="2"/>
    </row>
    <row r="86" spans="1:10" x14ac:dyDescent="0.2">
      <c r="A86" s="120"/>
      <c r="B86" s="120"/>
      <c r="C86" s="121" t="s">
        <v>158</v>
      </c>
      <c r="D86" s="120"/>
      <c r="E86" s="120"/>
      <c r="F86" s="131"/>
      <c r="G86" s="131"/>
      <c r="H86" s="122" t="str">
        <f>IFERROR(VLOOKUP(B86,'[1]Debt Holding Consolidated'!$C$1:$N$65536,12,FALSE),"")</f>
        <v/>
      </c>
      <c r="J86" s="2"/>
    </row>
    <row r="87" spans="1:10" x14ac:dyDescent="0.2">
      <c r="A87" s="120"/>
      <c r="B87" s="120"/>
      <c r="C87" s="121" t="s">
        <v>152</v>
      </c>
      <c r="D87" s="120"/>
      <c r="E87" s="120" t="s">
        <v>153</v>
      </c>
      <c r="F87" s="132" t="s">
        <v>155</v>
      </c>
      <c r="G87" s="129">
        <v>0</v>
      </c>
      <c r="H87" s="122" t="str">
        <f>IFERROR(VLOOKUP(B87,'[1]Debt Holding Consolidated'!$C$1:$N$65536,12,FALSE),"")</f>
        <v/>
      </c>
      <c r="J87" s="2"/>
    </row>
    <row r="88" spans="1:10" x14ac:dyDescent="0.2">
      <c r="A88" s="120"/>
      <c r="B88" s="120"/>
      <c r="C88" s="130"/>
      <c r="D88" s="120"/>
      <c r="E88" s="120"/>
      <c r="F88" s="131"/>
      <c r="G88" s="131"/>
      <c r="H88" s="122" t="str">
        <f>IFERROR(VLOOKUP(B88,'[1]Debt Holding Consolidated'!$C$1:$N$65536,12,FALSE),"")</f>
        <v/>
      </c>
      <c r="J88" s="2"/>
    </row>
    <row r="89" spans="1:10" x14ac:dyDescent="0.2">
      <c r="A89" s="120"/>
      <c r="B89" s="120"/>
      <c r="C89" s="121" t="s">
        <v>159</v>
      </c>
      <c r="D89" s="120"/>
      <c r="E89" s="120"/>
      <c r="F89" s="131"/>
      <c r="G89" s="131"/>
      <c r="H89" s="122" t="str">
        <f>IFERROR(VLOOKUP(B89,'[1]Debt Holding Consolidated'!$C$1:$N$65536,12,FALSE),"")</f>
        <v/>
      </c>
      <c r="J89" s="2"/>
    </row>
    <row r="90" spans="1:10" x14ac:dyDescent="0.2">
      <c r="A90" s="123">
        <v>1</v>
      </c>
      <c r="B90" s="124"/>
      <c r="C90" s="124" t="s">
        <v>1006</v>
      </c>
      <c r="D90" s="124" t="s">
        <v>539</v>
      </c>
      <c r="E90" s="125">
        <v>-500</v>
      </c>
      <c r="F90" s="126">
        <v>-7.9872500000000004</v>
      </c>
      <c r="G90" s="127">
        <f>F90/$F$176</f>
        <v>-8.6235898017974818E-5</v>
      </c>
      <c r="H90" s="122" t="str">
        <f>IFERROR(VLOOKUP(B90,'[1]Debt Holding Consolidated'!$C$1:$N$65536,12,FALSE),"")</f>
        <v/>
      </c>
      <c r="J90" s="2"/>
    </row>
    <row r="91" spans="1:10" x14ac:dyDescent="0.2">
      <c r="A91" s="123">
        <v>2</v>
      </c>
      <c r="B91" s="124"/>
      <c r="C91" s="124" t="s">
        <v>996</v>
      </c>
      <c r="D91" s="124" t="s">
        <v>539</v>
      </c>
      <c r="E91" s="125">
        <v>-9000</v>
      </c>
      <c r="F91" s="126">
        <v>-55.953000000000003</v>
      </c>
      <c r="G91" s="127">
        <f t="shared" ref="G91:G119" si="0">F91/$F$176</f>
        <v>-6.0410744646777616E-4</v>
      </c>
      <c r="H91" s="122" t="str">
        <f>IFERROR(VLOOKUP(B91,'[1]Debt Holding Consolidated'!$C$1:$N$65536,12,FALSE),"")</f>
        <v/>
      </c>
      <c r="J91" s="2"/>
    </row>
    <row r="92" spans="1:10" x14ac:dyDescent="0.2">
      <c r="A92" s="123">
        <v>3</v>
      </c>
      <c r="B92" s="124"/>
      <c r="C92" s="124" t="s">
        <v>973</v>
      </c>
      <c r="D92" s="124" t="s">
        <v>539</v>
      </c>
      <c r="E92" s="125">
        <v>-17600</v>
      </c>
      <c r="F92" s="126">
        <v>-88.924000000000007</v>
      </c>
      <c r="G92" s="127">
        <f t="shared" si="0"/>
        <v>-9.600852603024061E-4</v>
      </c>
      <c r="H92" s="122" t="str">
        <f>IFERROR(VLOOKUP(B92,'[1]Debt Holding Consolidated'!$C$1:$N$65536,12,FALSE),"")</f>
        <v/>
      </c>
      <c r="J92" s="2"/>
    </row>
    <row r="93" spans="1:10" x14ac:dyDescent="0.2">
      <c r="A93" s="123">
        <v>4</v>
      </c>
      <c r="B93" s="124"/>
      <c r="C93" s="124" t="s">
        <v>1017</v>
      </c>
      <c r="D93" s="124" t="s">
        <v>539</v>
      </c>
      <c r="E93" s="125">
        <v>-19575</v>
      </c>
      <c r="F93" s="126">
        <v>-185.4829125</v>
      </c>
      <c r="G93" s="127">
        <f t="shared" si="0"/>
        <v>-2.0026023382800021E-3</v>
      </c>
      <c r="H93" s="122" t="str">
        <f>IFERROR(VLOOKUP(B93,'[1]Debt Holding Consolidated'!$C$1:$N$65536,12,FALSE),"")</f>
        <v/>
      </c>
      <c r="J93" s="2"/>
    </row>
    <row r="94" spans="1:10" x14ac:dyDescent="0.2">
      <c r="A94" s="123">
        <v>5</v>
      </c>
      <c r="B94" s="124"/>
      <c r="C94" s="124" t="s">
        <v>988</v>
      </c>
      <c r="D94" s="124" t="s">
        <v>539</v>
      </c>
      <c r="E94" s="125">
        <v>-8700</v>
      </c>
      <c r="F94" s="126">
        <v>-204.0324</v>
      </c>
      <c r="G94" s="127">
        <f t="shared" si="0"/>
        <v>-2.2028754876537789E-3</v>
      </c>
      <c r="H94" s="122" t="str">
        <f>IFERROR(VLOOKUP(B94,'[1]Debt Holding Consolidated'!$C$1:$N$65536,12,FALSE),"")</f>
        <v/>
      </c>
      <c r="J94" s="2"/>
    </row>
    <row r="95" spans="1:10" x14ac:dyDescent="0.2">
      <c r="A95" s="123">
        <v>6</v>
      </c>
      <c r="B95" s="124"/>
      <c r="C95" s="124" t="s">
        <v>1008</v>
      </c>
      <c r="D95" s="124" t="s">
        <v>539</v>
      </c>
      <c r="E95" s="125">
        <v>-12500</v>
      </c>
      <c r="F95" s="126">
        <v>-223.96250000000001</v>
      </c>
      <c r="G95" s="127">
        <f t="shared" si="0"/>
        <v>-2.4180546883909586E-3</v>
      </c>
      <c r="H95" s="122" t="str">
        <f>IFERROR(VLOOKUP(B95,'[1]Debt Holding Consolidated'!$C$1:$N$65536,12,FALSE),"")</f>
        <v/>
      </c>
      <c r="J95" s="2"/>
    </row>
    <row r="96" spans="1:10" x14ac:dyDescent="0.2">
      <c r="A96" s="123">
        <v>7</v>
      </c>
      <c r="B96" s="124"/>
      <c r="C96" s="124" t="s">
        <v>982</v>
      </c>
      <c r="D96" s="124" t="s">
        <v>539</v>
      </c>
      <c r="E96" s="125">
        <v>-6150</v>
      </c>
      <c r="F96" s="126">
        <v>-229.2843</v>
      </c>
      <c r="G96" s="127">
        <f t="shared" si="0"/>
        <v>-2.4755125370963401E-3</v>
      </c>
      <c r="H96" s="122" t="str">
        <f>IFERROR(VLOOKUP(B96,'[1]Debt Holding Consolidated'!$C$1:$N$65536,12,FALSE),"")</f>
        <v/>
      </c>
      <c r="J96" s="2"/>
    </row>
    <row r="97" spans="1:10" x14ac:dyDescent="0.2">
      <c r="A97" s="123">
        <v>8</v>
      </c>
      <c r="B97" s="124"/>
      <c r="C97" s="124" t="s">
        <v>989</v>
      </c>
      <c r="D97" s="124" t="s">
        <v>539</v>
      </c>
      <c r="E97" s="125">
        <v>-12950</v>
      </c>
      <c r="F97" s="126">
        <v>-237.43825000000001</v>
      </c>
      <c r="G97" s="127">
        <f t="shared" si="0"/>
        <v>-2.5635482440848115E-3</v>
      </c>
      <c r="H97" s="122" t="str">
        <f>IFERROR(VLOOKUP(B97,'[1]Debt Holding Consolidated'!$C$1:$N$65536,12,FALSE),"")</f>
        <v/>
      </c>
      <c r="J97" s="2"/>
    </row>
    <row r="98" spans="1:10" x14ac:dyDescent="0.2">
      <c r="A98" s="123">
        <v>9</v>
      </c>
      <c r="B98" s="124"/>
      <c r="C98" s="124" t="s">
        <v>1018</v>
      </c>
      <c r="D98" s="124" t="s">
        <v>539</v>
      </c>
      <c r="E98" s="125">
        <v>-18200</v>
      </c>
      <c r="F98" s="126">
        <v>-270.07889999999998</v>
      </c>
      <c r="G98" s="127">
        <f t="shared" si="0"/>
        <v>-2.9159593698966247E-3</v>
      </c>
      <c r="H98" s="122" t="str">
        <f>IFERROR(VLOOKUP(B98,'[1]Debt Holding Consolidated'!$C$1:$N$65536,12,FALSE),"")</f>
        <v/>
      </c>
      <c r="J98" s="2"/>
    </row>
    <row r="99" spans="1:10" x14ac:dyDescent="0.2">
      <c r="A99" s="123">
        <v>10</v>
      </c>
      <c r="B99" s="124"/>
      <c r="C99" s="124" t="s">
        <v>994</v>
      </c>
      <c r="D99" s="124" t="s">
        <v>539</v>
      </c>
      <c r="E99" s="125">
        <v>-35475</v>
      </c>
      <c r="F99" s="126">
        <v>-301.64392500000002</v>
      </c>
      <c r="G99" s="127">
        <f t="shared" si="0"/>
        <v>-3.2567573012039996E-3</v>
      </c>
      <c r="H99" s="122" t="str">
        <f>IFERROR(VLOOKUP(B99,'[1]Debt Holding Consolidated'!$C$1:$N$65536,12,FALSE),"")</f>
        <v/>
      </c>
      <c r="J99" s="2"/>
    </row>
    <row r="100" spans="1:10" x14ac:dyDescent="0.2">
      <c r="A100" s="123">
        <v>11</v>
      </c>
      <c r="B100" s="124"/>
      <c r="C100" s="124" t="s">
        <v>991</v>
      </c>
      <c r="D100" s="124" t="s">
        <v>539</v>
      </c>
      <c r="E100" s="125">
        <v>-64400</v>
      </c>
      <c r="F100" s="126">
        <v>-302.80880000000002</v>
      </c>
      <c r="G100" s="127">
        <f t="shared" si="0"/>
        <v>-3.2693341006911434E-3</v>
      </c>
      <c r="H100" s="122" t="str">
        <f>IFERROR(VLOOKUP(B100,'[1]Debt Holding Consolidated'!$C$1:$N$65536,12,FALSE),"")</f>
        <v/>
      </c>
      <c r="J100" s="2"/>
    </row>
    <row r="101" spans="1:10" x14ac:dyDescent="0.2">
      <c r="A101" s="123">
        <v>12</v>
      </c>
      <c r="B101" s="124"/>
      <c r="C101" s="124" t="s">
        <v>975</v>
      </c>
      <c r="D101" s="124" t="s">
        <v>539</v>
      </c>
      <c r="E101" s="125">
        <v>-88500</v>
      </c>
      <c r="F101" s="126">
        <v>-370.63799999999998</v>
      </c>
      <c r="G101" s="127">
        <f t="shared" si="0"/>
        <v>-4.0016652501907602E-3</v>
      </c>
      <c r="H101" s="122" t="str">
        <f>IFERROR(VLOOKUP(B101,'[1]Debt Holding Consolidated'!$C$1:$N$65536,12,FALSE),"")</f>
        <v/>
      </c>
      <c r="J101" s="2"/>
    </row>
    <row r="102" spans="1:10" x14ac:dyDescent="0.2">
      <c r="A102" s="123">
        <v>13</v>
      </c>
      <c r="B102" s="124"/>
      <c r="C102" s="124" t="s">
        <v>1019</v>
      </c>
      <c r="D102" s="124" t="s">
        <v>539</v>
      </c>
      <c r="E102" s="125">
        <v>-12600</v>
      </c>
      <c r="F102" s="126">
        <v>-383.43060000000003</v>
      </c>
      <c r="G102" s="127">
        <f t="shared" si="0"/>
        <v>-4.1397830440478133E-3</v>
      </c>
      <c r="H102" s="122" t="str">
        <f>IFERROR(VLOOKUP(B102,'[1]Debt Holding Consolidated'!$C$1:$N$65536,12,FALSE),"")</f>
        <v/>
      </c>
      <c r="J102" s="2"/>
    </row>
    <row r="103" spans="1:10" x14ac:dyDescent="0.2">
      <c r="A103" s="123">
        <v>14</v>
      </c>
      <c r="B103" s="124"/>
      <c r="C103" s="124" t="s">
        <v>1020</v>
      </c>
      <c r="D103" s="124" t="s">
        <v>539</v>
      </c>
      <c r="E103" s="125">
        <v>-10500</v>
      </c>
      <c r="F103" s="126">
        <v>-509.733</v>
      </c>
      <c r="G103" s="127">
        <f t="shared" si="0"/>
        <v>-5.5034314694539874E-3</v>
      </c>
      <c r="H103" s="122" t="str">
        <f>IFERROR(VLOOKUP(B103,'[1]Debt Holding Consolidated'!$C$1:$N$65536,12,FALSE),"")</f>
        <v/>
      </c>
      <c r="J103" s="2"/>
    </row>
    <row r="104" spans="1:10" x14ac:dyDescent="0.2">
      <c r="A104" s="123">
        <v>15</v>
      </c>
      <c r="B104" s="124"/>
      <c r="C104" s="124" t="s">
        <v>1021</v>
      </c>
      <c r="D104" s="124" t="s">
        <v>539</v>
      </c>
      <c r="E104" s="125">
        <v>-78100</v>
      </c>
      <c r="F104" s="126">
        <v>-580.40015000000005</v>
      </c>
      <c r="G104" s="127">
        <f t="shared" si="0"/>
        <v>-6.2664030980647024E-3</v>
      </c>
      <c r="H104" s="122" t="str">
        <f>IFERROR(VLOOKUP(B104,'[1]Debt Holding Consolidated'!$C$1:$N$65536,12,FALSE),"")</f>
        <v/>
      </c>
      <c r="J104" s="2"/>
    </row>
    <row r="105" spans="1:10" x14ac:dyDescent="0.2">
      <c r="A105" s="123">
        <v>16</v>
      </c>
      <c r="B105" s="124"/>
      <c r="C105" s="124" t="s">
        <v>985</v>
      </c>
      <c r="D105" s="124" t="s">
        <v>539</v>
      </c>
      <c r="E105" s="125">
        <v>-44000</v>
      </c>
      <c r="F105" s="126">
        <v>-694.47400000000005</v>
      </c>
      <c r="G105" s="127">
        <f t="shared" si="0"/>
        <v>-7.4980236051375689E-3</v>
      </c>
      <c r="H105" s="122" t="str">
        <f>IFERROR(VLOOKUP(B105,'[1]Debt Holding Consolidated'!$C$1:$N$65536,12,FALSE),"")</f>
        <v/>
      </c>
      <c r="J105" s="2"/>
    </row>
    <row r="106" spans="1:10" x14ac:dyDescent="0.2">
      <c r="A106" s="123">
        <v>17</v>
      </c>
      <c r="B106" s="124"/>
      <c r="C106" s="124" t="s">
        <v>1022</v>
      </c>
      <c r="D106" s="124" t="s">
        <v>539</v>
      </c>
      <c r="E106" s="125">
        <v>-28700</v>
      </c>
      <c r="F106" s="126">
        <v>-810.58844999999997</v>
      </c>
      <c r="G106" s="127">
        <f t="shared" si="0"/>
        <v>-8.7516758469746506E-3</v>
      </c>
      <c r="H106" s="122" t="str">
        <f>IFERROR(VLOOKUP(B106,'[1]Debt Holding Consolidated'!$C$1:$N$65536,12,FALSE),"")</f>
        <v/>
      </c>
      <c r="J106" s="2"/>
    </row>
    <row r="107" spans="1:10" x14ac:dyDescent="0.2">
      <c r="A107" s="123">
        <v>18</v>
      </c>
      <c r="B107" s="124"/>
      <c r="C107" s="124" t="s">
        <v>1023</v>
      </c>
      <c r="D107" s="124" t="s">
        <v>539</v>
      </c>
      <c r="E107" s="125">
        <v>-230850</v>
      </c>
      <c r="F107" s="126">
        <v>-973.37902499999996</v>
      </c>
      <c r="G107" s="127">
        <f t="shared" si="0"/>
        <v>-1.0509275950137502E-2</v>
      </c>
      <c r="H107" s="122" t="str">
        <f>IFERROR(VLOOKUP(B107,'[1]Debt Holding Consolidated'!$C$1:$N$65536,12,FALSE),"")</f>
        <v/>
      </c>
      <c r="J107" s="2"/>
    </row>
    <row r="108" spans="1:10" x14ac:dyDescent="0.2">
      <c r="A108" s="123">
        <v>19</v>
      </c>
      <c r="B108" s="124"/>
      <c r="C108" s="124" t="s">
        <v>1024</v>
      </c>
      <c r="D108" s="124" t="s">
        <v>539</v>
      </c>
      <c r="E108" s="125">
        <v>-138600</v>
      </c>
      <c r="F108" s="126">
        <v>-978.79319999999996</v>
      </c>
      <c r="G108" s="127">
        <f t="shared" si="0"/>
        <v>-1.0567731143495849E-2</v>
      </c>
      <c r="H108" s="122" t="str">
        <f>IFERROR(VLOOKUP(B108,'[1]Debt Holding Consolidated'!$C$1:$N$65536,12,FALSE),"")</f>
        <v/>
      </c>
      <c r="J108" s="2"/>
    </row>
    <row r="109" spans="1:10" x14ac:dyDescent="0.2">
      <c r="A109" s="123">
        <v>20</v>
      </c>
      <c r="B109" s="124"/>
      <c r="C109" s="124" t="s">
        <v>990</v>
      </c>
      <c r="D109" s="124" t="s">
        <v>539</v>
      </c>
      <c r="E109" s="125">
        <v>-406575</v>
      </c>
      <c r="F109" s="126">
        <v>-1024.162425</v>
      </c>
      <c r="G109" s="127">
        <f t="shared" si="0"/>
        <v>-1.1057568804800372E-2</v>
      </c>
      <c r="H109" s="122" t="str">
        <f>IFERROR(VLOOKUP(B109,'[1]Debt Holding Consolidated'!$C$1:$N$65536,12,FALSE),"")</f>
        <v/>
      </c>
      <c r="J109" s="2"/>
    </row>
    <row r="110" spans="1:10" x14ac:dyDescent="0.2">
      <c r="A110" s="123">
        <v>21</v>
      </c>
      <c r="B110" s="124"/>
      <c r="C110" s="124" t="s">
        <v>976</v>
      </c>
      <c r="D110" s="124" t="s">
        <v>539</v>
      </c>
      <c r="E110" s="125">
        <v>-59500</v>
      </c>
      <c r="F110" s="126">
        <v>-1049.37175</v>
      </c>
      <c r="G110" s="127">
        <f t="shared" si="0"/>
        <v>-1.1329746184975275E-2</v>
      </c>
      <c r="H110" s="122" t="str">
        <f>IFERROR(VLOOKUP(B110,'[1]Debt Holding Consolidated'!$C$1:$N$65536,12,FALSE),"")</f>
        <v/>
      </c>
      <c r="J110" s="2"/>
    </row>
    <row r="111" spans="1:10" x14ac:dyDescent="0.2">
      <c r="A111" s="123">
        <v>22</v>
      </c>
      <c r="B111" s="124"/>
      <c r="C111" s="124" t="s">
        <v>1003</v>
      </c>
      <c r="D111" s="124" t="s">
        <v>539</v>
      </c>
      <c r="E111" s="125">
        <v>-8850</v>
      </c>
      <c r="F111" s="126">
        <v>-1104.820725</v>
      </c>
      <c r="G111" s="127">
        <f t="shared" si="0"/>
        <v>-1.1928411827505713E-2</v>
      </c>
      <c r="H111" s="122" t="str">
        <f>IFERROR(VLOOKUP(B111,'[1]Debt Holding Consolidated'!$C$1:$N$65536,12,FALSE),"")</f>
        <v/>
      </c>
      <c r="J111" s="2"/>
    </row>
    <row r="112" spans="1:10" x14ac:dyDescent="0.2">
      <c r="A112" s="123">
        <v>23</v>
      </c>
      <c r="B112" s="124"/>
      <c r="C112" s="124" t="s">
        <v>993</v>
      </c>
      <c r="D112" s="124" t="s">
        <v>539</v>
      </c>
      <c r="E112" s="125">
        <v>-26250</v>
      </c>
      <c r="F112" s="126">
        <v>-1202.0925</v>
      </c>
      <c r="G112" s="127">
        <f t="shared" si="0"/>
        <v>-1.2978625464104967E-2</v>
      </c>
      <c r="H112" s="122" t="str">
        <f>IFERROR(VLOOKUP(B112,'[1]Debt Holding Consolidated'!$C$1:$N$65536,12,FALSE),"")</f>
        <v/>
      </c>
      <c r="J112" s="2"/>
    </row>
    <row r="113" spans="1:10" x14ac:dyDescent="0.2">
      <c r="A113" s="123">
        <v>24</v>
      </c>
      <c r="B113" s="124"/>
      <c r="C113" s="124" t="s">
        <v>978</v>
      </c>
      <c r="D113" s="124" t="s">
        <v>539</v>
      </c>
      <c r="E113" s="125">
        <v>-16625</v>
      </c>
      <c r="F113" s="126">
        <v>-1204.6890625000001</v>
      </c>
      <c r="G113" s="127">
        <f t="shared" si="0"/>
        <v>-1.3006659756126289E-2</v>
      </c>
      <c r="H113" s="122" t="str">
        <f>IFERROR(VLOOKUP(B113,'[1]Debt Holding Consolidated'!$C$1:$N$65536,12,FALSE),"")</f>
        <v/>
      </c>
      <c r="J113" s="2"/>
    </row>
    <row r="114" spans="1:10" x14ac:dyDescent="0.2">
      <c r="A114" s="123">
        <v>25</v>
      </c>
      <c r="B114" s="124"/>
      <c r="C114" s="124" t="s">
        <v>972</v>
      </c>
      <c r="D114" s="124" t="s">
        <v>539</v>
      </c>
      <c r="E114" s="125">
        <v>-47700</v>
      </c>
      <c r="F114" s="126">
        <v>-1334.1451500000001</v>
      </c>
      <c r="G114" s="127">
        <f t="shared" si="0"/>
        <v>-1.4404357581968227E-2</v>
      </c>
      <c r="H114" s="122" t="str">
        <f>IFERROR(VLOOKUP(B114,'[1]Debt Holding Consolidated'!$C$1:$N$65536,12,FALSE),"")</f>
        <v/>
      </c>
      <c r="J114" s="2"/>
    </row>
    <row r="115" spans="1:10" x14ac:dyDescent="0.2">
      <c r="A115" s="123">
        <v>26</v>
      </c>
      <c r="B115" s="124"/>
      <c r="C115" s="124" t="s">
        <v>987</v>
      </c>
      <c r="D115" s="124" t="s">
        <v>539</v>
      </c>
      <c r="E115" s="125">
        <v>-171875</v>
      </c>
      <c r="F115" s="126">
        <v>-2034.3125</v>
      </c>
      <c r="G115" s="127">
        <f t="shared" si="0"/>
        <v>-2.1963850547646737E-2</v>
      </c>
      <c r="H115" s="122" t="str">
        <f>IFERROR(VLOOKUP(B115,'[1]Debt Holding Consolidated'!$C$1:$N$65536,12,FALSE),"")</f>
        <v/>
      </c>
      <c r="J115" s="2"/>
    </row>
    <row r="116" spans="1:10" x14ac:dyDescent="0.2">
      <c r="A116" s="123">
        <v>27</v>
      </c>
      <c r="B116" s="124"/>
      <c r="C116" s="124" t="s">
        <v>997</v>
      </c>
      <c r="D116" s="124" t="s">
        <v>539</v>
      </c>
      <c r="E116" s="125">
        <v>-154850</v>
      </c>
      <c r="F116" s="126">
        <v>-2469.0058250000002</v>
      </c>
      <c r="G116" s="127">
        <f t="shared" si="0"/>
        <v>-2.6657101571941004E-2</v>
      </c>
      <c r="H116" s="122" t="str">
        <f>IFERROR(VLOOKUP(B116,'[1]Debt Holding Consolidated'!$C$1:$N$65536,12,FALSE),"")</f>
        <v/>
      </c>
      <c r="J116" s="2"/>
    </row>
    <row r="117" spans="1:10" x14ac:dyDescent="0.2">
      <c r="A117" s="123">
        <v>28</v>
      </c>
      <c r="B117" s="124"/>
      <c r="C117" s="124" t="s">
        <v>1009</v>
      </c>
      <c r="D117" s="124" t="s">
        <v>539</v>
      </c>
      <c r="E117" s="125">
        <v>-198000</v>
      </c>
      <c r="F117" s="126">
        <v>-2835.9540000000002</v>
      </c>
      <c r="G117" s="127">
        <f t="shared" si="0"/>
        <v>-3.0618928908907043E-2</v>
      </c>
      <c r="H117" s="122" t="str">
        <f>IFERROR(VLOOKUP(B117,'[1]Debt Holding Consolidated'!$C$1:$N$65536,12,FALSE),"")</f>
        <v/>
      </c>
      <c r="J117" s="2"/>
    </row>
    <row r="118" spans="1:10" x14ac:dyDescent="0.2">
      <c r="A118" s="123">
        <v>29</v>
      </c>
      <c r="B118" s="124"/>
      <c r="C118" s="124" t="s">
        <v>1025</v>
      </c>
      <c r="D118" s="124" t="s">
        <v>539</v>
      </c>
      <c r="E118" s="125">
        <v>-166800</v>
      </c>
      <c r="F118" s="126">
        <v>-3264.2759999999998</v>
      </c>
      <c r="G118" s="127">
        <f t="shared" si="0"/>
        <v>-3.524339068371752E-2</v>
      </c>
      <c r="H118" s="122" t="str">
        <f>IFERROR(VLOOKUP(B118,'[1]Debt Holding Consolidated'!$C$1:$N$65536,12,FALSE),"")</f>
        <v/>
      </c>
      <c r="J118" s="2"/>
    </row>
    <row r="119" spans="1:10" x14ac:dyDescent="0.2">
      <c r="A119" s="123">
        <v>30</v>
      </c>
      <c r="B119" s="124"/>
      <c r="C119" s="124" t="s">
        <v>995</v>
      </c>
      <c r="D119" s="124" t="s">
        <v>539</v>
      </c>
      <c r="E119" s="125">
        <v>-171250</v>
      </c>
      <c r="F119" s="126">
        <v>-5204.11625</v>
      </c>
      <c r="G119" s="127">
        <f t="shared" si="0"/>
        <v>-5.6187253210890548E-2</v>
      </c>
      <c r="H119" s="122" t="str">
        <f>IFERROR(VLOOKUP(B119,'[1]Debt Holding Consolidated'!$C$1:$N$65536,12,FALSE),"")</f>
        <v/>
      </c>
      <c r="J119" s="2"/>
    </row>
    <row r="120" spans="1:10" x14ac:dyDescent="0.2">
      <c r="A120" s="120"/>
      <c r="B120" s="120"/>
      <c r="C120" s="121" t="s">
        <v>152</v>
      </c>
      <c r="D120" s="120"/>
      <c r="E120" s="120" t="s">
        <v>153</v>
      </c>
      <c r="F120" s="128">
        <v>-30135.97885</v>
      </c>
      <c r="G120" s="129">
        <v>-0.32536897999999997</v>
      </c>
      <c r="H120" s="122" t="str">
        <f>IFERROR(VLOOKUP(B120,'[1]Debt Holding Consolidated'!$C$1:$N$65536,12,FALSE),"")</f>
        <v/>
      </c>
      <c r="J120" s="2"/>
    </row>
    <row r="121" spans="1:10" x14ac:dyDescent="0.2">
      <c r="A121" s="120"/>
      <c r="B121" s="120"/>
      <c r="C121" s="130"/>
      <c r="D121" s="120"/>
      <c r="E121" s="120"/>
      <c r="F121" s="131"/>
      <c r="G121" s="131"/>
      <c r="H121" s="122" t="str">
        <f>IFERROR(VLOOKUP(B121,'[1]Debt Holding Consolidated'!$C$1:$N$65536,12,FALSE),"")</f>
        <v/>
      </c>
      <c r="J121" s="2"/>
    </row>
    <row r="122" spans="1:10" x14ac:dyDescent="0.2">
      <c r="A122" s="120"/>
      <c r="B122" s="120"/>
      <c r="C122" s="121" t="s">
        <v>160</v>
      </c>
      <c r="D122" s="120"/>
      <c r="E122" s="120"/>
      <c r="F122" s="128">
        <f>F75</f>
        <v>69576.211033900006</v>
      </c>
      <c r="G122" s="129">
        <f>G75</f>
        <v>0.75119314999999998</v>
      </c>
      <c r="H122" s="122" t="str">
        <f>IFERROR(VLOOKUP(B122,'[1]Debt Holding Consolidated'!$C$1:$N$65536,12,FALSE),"")</f>
        <v/>
      </c>
      <c r="J122" s="2"/>
    </row>
    <row r="123" spans="1:10" x14ac:dyDescent="0.2">
      <c r="A123" s="120"/>
      <c r="B123" s="120"/>
      <c r="C123" s="130"/>
      <c r="D123" s="120"/>
      <c r="E123" s="120"/>
      <c r="F123" s="131"/>
      <c r="G123" s="131"/>
      <c r="H123" s="122" t="str">
        <f>IFERROR(VLOOKUP(B123,'[1]Debt Holding Consolidated'!$C$1:$N$65536,12,FALSE),"")</f>
        <v/>
      </c>
      <c r="J123" s="2"/>
    </row>
    <row r="124" spans="1:10" x14ac:dyDescent="0.2">
      <c r="A124" s="120"/>
      <c r="B124" s="120"/>
      <c r="C124" s="121" t="s">
        <v>161</v>
      </c>
      <c r="D124" s="120"/>
      <c r="E124" s="120"/>
      <c r="F124" s="131"/>
      <c r="G124" s="131"/>
      <c r="H124" s="122" t="str">
        <f>IFERROR(VLOOKUP(B124,'[1]Debt Holding Consolidated'!$C$1:$N$65536,12,FALSE),"")</f>
        <v/>
      </c>
      <c r="J124" s="2"/>
    </row>
    <row r="125" spans="1:10" x14ac:dyDescent="0.2">
      <c r="A125" s="120"/>
      <c r="B125" s="120"/>
      <c r="C125" s="121" t="s">
        <v>10</v>
      </c>
      <c r="D125" s="120"/>
      <c r="E125" s="120"/>
      <c r="F125" s="131"/>
      <c r="G125" s="131"/>
      <c r="H125" s="122" t="str">
        <f>IFERROR(VLOOKUP(B125,'[1]Debt Holding Consolidated'!$C$1:$N$65536,12,FALSE),"")</f>
        <v/>
      </c>
      <c r="J125" s="2"/>
    </row>
    <row r="126" spans="1:10" ht="25.5" x14ac:dyDescent="0.2">
      <c r="A126" s="123">
        <v>1</v>
      </c>
      <c r="B126" s="124" t="s">
        <v>577</v>
      </c>
      <c r="C126" s="124" t="s">
        <v>578</v>
      </c>
      <c r="D126" s="124" t="s">
        <v>557</v>
      </c>
      <c r="E126" s="125">
        <v>1500</v>
      </c>
      <c r="F126" s="126">
        <v>1493.0805</v>
      </c>
      <c r="G126" s="127">
        <v>1.6120329999999999E-2</v>
      </c>
      <c r="H126" s="122">
        <f>IFERROR(VLOOKUP(B126,'[1]Debt Holding Consolidated'!$C$1:$N$65536,12,FALSE),"")</f>
        <v>7.6875</v>
      </c>
      <c r="J126" s="2"/>
    </row>
    <row r="127" spans="1:10" ht="25.5" x14ac:dyDescent="0.2">
      <c r="A127" s="123">
        <v>2</v>
      </c>
      <c r="B127" s="124" t="s">
        <v>570</v>
      </c>
      <c r="C127" s="124" t="s">
        <v>571</v>
      </c>
      <c r="D127" s="124" t="s">
        <v>572</v>
      </c>
      <c r="E127" s="125">
        <v>1000</v>
      </c>
      <c r="F127" s="126">
        <v>1003.299</v>
      </c>
      <c r="G127" s="127">
        <v>1.083231E-2</v>
      </c>
      <c r="H127" s="122">
        <f>IFERROR(VLOOKUP(B127,'[1]Debt Holding Consolidated'!$C$1:$N$65536,12,FALSE),"")</f>
        <v>7.62</v>
      </c>
      <c r="J127" s="2"/>
    </row>
    <row r="128" spans="1:10" x14ac:dyDescent="0.2">
      <c r="A128" s="123">
        <v>3</v>
      </c>
      <c r="B128" s="124" t="s">
        <v>575</v>
      </c>
      <c r="C128" s="124" t="s">
        <v>576</v>
      </c>
      <c r="D128" s="124" t="s">
        <v>557</v>
      </c>
      <c r="E128" s="125">
        <v>1000</v>
      </c>
      <c r="F128" s="126">
        <v>1000.737</v>
      </c>
      <c r="G128" s="127">
        <v>1.0804650000000001E-2</v>
      </c>
      <c r="H128" s="122">
        <f>IFERROR(VLOOKUP(B128,'[1]Debt Holding Consolidated'!$C$1:$N$65536,12,FALSE),"")</f>
        <v>7.3118999999999996</v>
      </c>
      <c r="J128" s="2"/>
    </row>
    <row r="129" spans="1:10" ht="25.5" x14ac:dyDescent="0.2">
      <c r="A129" s="123">
        <v>4</v>
      </c>
      <c r="B129" s="124" t="s">
        <v>717</v>
      </c>
      <c r="C129" s="124" t="s">
        <v>718</v>
      </c>
      <c r="D129" s="124" t="s">
        <v>557</v>
      </c>
      <c r="E129" s="125">
        <v>1000</v>
      </c>
      <c r="F129" s="126">
        <v>996.77300000000002</v>
      </c>
      <c r="G129" s="127">
        <v>1.076185E-2</v>
      </c>
      <c r="H129" s="122">
        <f>IFERROR(VLOOKUP(B129,'[1]Debt Holding Consolidated'!$C$1:$N$65536,12,FALSE),"")</f>
        <v>7.68</v>
      </c>
      <c r="J129" s="2"/>
    </row>
    <row r="130" spans="1:10" x14ac:dyDescent="0.2">
      <c r="A130" s="120"/>
      <c r="B130" s="120"/>
      <c r="C130" s="121" t="s">
        <v>152</v>
      </c>
      <c r="D130" s="120"/>
      <c r="E130" s="120" t="s">
        <v>153</v>
      </c>
      <c r="F130" s="128">
        <v>4493.8895000000002</v>
      </c>
      <c r="G130" s="129">
        <v>4.8519140000000002E-2</v>
      </c>
      <c r="H130" s="122" t="str">
        <f>IFERROR(VLOOKUP(B130,'[1]Debt Holding Consolidated'!$C$1:$N$65536,12,FALSE),"")</f>
        <v/>
      </c>
      <c r="J130" s="2"/>
    </row>
    <row r="131" spans="1:10" x14ac:dyDescent="0.2">
      <c r="A131" s="120"/>
      <c r="B131" s="120"/>
      <c r="C131" s="130"/>
      <c r="D131" s="120"/>
      <c r="E131" s="120"/>
      <c r="F131" s="131"/>
      <c r="G131" s="131"/>
      <c r="H131" s="122" t="str">
        <f>IFERROR(VLOOKUP(B131,'[1]Debt Holding Consolidated'!$C$1:$N$65536,12,FALSE),"")</f>
        <v/>
      </c>
      <c r="J131" s="2"/>
    </row>
    <row r="132" spans="1:10" x14ac:dyDescent="0.2">
      <c r="A132" s="120"/>
      <c r="B132" s="120"/>
      <c r="C132" s="121" t="s">
        <v>162</v>
      </c>
      <c r="D132" s="120"/>
      <c r="E132" s="120"/>
      <c r="F132" s="120"/>
      <c r="G132" s="120"/>
      <c r="H132" s="122" t="str">
        <f>IFERROR(VLOOKUP(B132,'[1]Debt Holding Consolidated'!$C$1:$N$65536,12,FALSE),"")</f>
        <v/>
      </c>
      <c r="J132" s="2"/>
    </row>
    <row r="133" spans="1:10" x14ac:dyDescent="0.2">
      <c r="A133" s="120"/>
      <c r="B133" s="120"/>
      <c r="C133" s="121" t="s">
        <v>152</v>
      </c>
      <c r="D133" s="120"/>
      <c r="E133" s="120" t="s">
        <v>153</v>
      </c>
      <c r="F133" s="132" t="s">
        <v>155</v>
      </c>
      <c r="G133" s="129">
        <v>0</v>
      </c>
      <c r="H133" s="122" t="str">
        <f>IFERROR(VLOOKUP(B133,'[1]Debt Holding Consolidated'!$C$1:$N$65536,12,FALSE),"")</f>
        <v/>
      </c>
      <c r="J133" s="2"/>
    </row>
    <row r="134" spans="1:10" x14ac:dyDescent="0.2">
      <c r="A134" s="120"/>
      <c r="B134" s="120"/>
      <c r="C134" s="130"/>
      <c r="D134" s="120"/>
      <c r="E134" s="120"/>
      <c r="F134" s="131"/>
      <c r="G134" s="131"/>
      <c r="H134" s="122" t="str">
        <f>IFERROR(VLOOKUP(B134,'[1]Debt Holding Consolidated'!$C$1:$N$65536,12,FALSE),"")</f>
        <v/>
      </c>
      <c r="J134" s="2"/>
    </row>
    <row r="135" spans="1:10" x14ac:dyDescent="0.2">
      <c r="A135" s="120"/>
      <c r="B135" s="120"/>
      <c r="C135" s="121" t="s">
        <v>163</v>
      </c>
      <c r="D135" s="120"/>
      <c r="E135" s="120"/>
      <c r="F135" s="120"/>
      <c r="G135" s="120"/>
      <c r="H135" s="122" t="str">
        <f>IFERROR(VLOOKUP(B135,'[1]Debt Holding Consolidated'!$C$1:$N$65536,12,FALSE),"")</f>
        <v/>
      </c>
      <c r="J135" s="2"/>
    </row>
    <row r="136" spans="1:10" x14ac:dyDescent="0.2">
      <c r="A136" s="123">
        <v>1</v>
      </c>
      <c r="B136" s="124" t="s">
        <v>620</v>
      </c>
      <c r="C136" s="124" t="s">
        <v>1060</v>
      </c>
      <c r="D136" s="124" t="s">
        <v>541</v>
      </c>
      <c r="E136" s="125">
        <v>5500000</v>
      </c>
      <c r="F136" s="126">
        <v>5590.0020000000004</v>
      </c>
      <c r="G136" s="127">
        <v>6.0353539999999997E-2</v>
      </c>
      <c r="H136" s="122">
        <f>IFERROR(VLOOKUP(B136,'[1]Debt Holding Consolidated'!$C$1:$N$65536,12,FALSE),"")</f>
        <v>6.9809000000000001</v>
      </c>
      <c r="J136" s="2"/>
    </row>
    <row r="137" spans="1:10" x14ac:dyDescent="0.2">
      <c r="A137" s="123">
        <v>2</v>
      </c>
      <c r="B137" s="124" t="s">
        <v>619</v>
      </c>
      <c r="C137" s="124" t="s">
        <v>1051</v>
      </c>
      <c r="D137" s="124" t="s">
        <v>541</v>
      </c>
      <c r="E137" s="125">
        <v>1500000</v>
      </c>
      <c r="F137" s="126">
        <v>1542.816</v>
      </c>
      <c r="G137" s="127">
        <v>1.6657310000000002E-2</v>
      </c>
      <c r="H137" s="122">
        <f>IFERROR(VLOOKUP(B137,'[1]Debt Holding Consolidated'!$C$1:$N$65536,12,FALSE),"")</f>
        <v>7.0350000000000001</v>
      </c>
      <c r="J137" s="2"/>
    </row>
    <row r="138" spans="1:10" x14ac:dyDescent="0.2">
      <c r="A138" s="123">
        <v>3</v>
      </c>
      <c r="B138" s="124" t="s">
        <v>634</v>
      </c>
      <c r="C138" s="124" t="s">
        <v>1059</v>
      </c>
      <c r="D138" s="124" t="s">
        <v>541</v>
      </c>
      <c r="E138" s="125">
        <v>1500000</v>
      </c>
      <c r="F138" s="126">
        <v>1531.2075</v>
      </c>
      <c r="G138" s="127">
        <v>1.6531980000000002E-2</v>
      </c>
      <c r="H138" s="122">
        <f>IFERROR(VLOOKUP(B138,'[1]Debt Holding Consolidated'!$C$1:$N$65536,12,FALSE),"")</f>
        <v>6.8971999999999998</v>
      </c>
      <c r="J138" s="2"/>
    </row>
    <row r="139" spans="1:10" x14ac:dyDescent="0.2">
      <c r="A139" s="120"/>
      <c r="B139" s="120"/>
      <c r="C139" s="121" t="s">
        <v>152</v>
      </c>
      <c r="D139" s="120"/>
      <c r="E139" s="120" t="s">
        <v>153</v>
      </c>
      <c r="F139" s="128">
        <v>8664.0254999999997</v>
      </c>
      <c r="G139" s="129">
        <v>9.3542829999999993E-2</v>
      </c>
      <c r="H139" s="122" t="str">
        <f>IFERROR(VLOOKUP(B139,'[1]Debt Holding Consolidated'!$C$1:$N$65536,12,FALSE),"")</f>
        <v/>
      </c>
      <c r="J139" s="2"/>
    </row>
    <row r="140" spans="1:10" x14ac:dyDescent="0.2">
      <c r="A140" s="120"/>
      <c r="B140" s="120"/>
      <c r="C140" s="130"/>
      <c r="D140" s="120"/>
      <c r="E140" s="120"/>
      <c r="F140" s="131"/>
      <c r="G140" s="131"/>
      <c r="H140" s="122" t="str">
        <f>IFERROR(VLOOKUP(B140,'[1]Debt Holding Consolidated'!$C$1:$N$65536,12,FALSE),"")</f>
        <v/>
      </c>
      <c r="J140" s="2"/>
    </row>
    <row r="141" spans="1:10" x14ac:dyDescent="0.2">
      <c r="A141" s="120"/>
      <c r="B141" s="120"/>
      <c r="C141" s="121" t="s">
        <v>164</v>
      </c>
      <c r="D141" s="120"/>
      <c r="E141" s="120"/>
      <c r="F141" s="131"/>
      <c r="G141" s="131"/>
      <c r="H141" s="122" t="str">
        <f>IFERROR(VLOOKUP(B141,'[1]Debt Holding Consolidated'!$C$1:$N$65536,12,FALSE),"")</f>
        <v/>
      </c>
      <c r="J141" s="2"/>
    </row>
    <row r="142" spans="1:10" x14ac:dyDescent="0.2">
      <c r="A142" s="120"/>
      <c r="B142" s="120"/>
      <c r="C142" s="121" t="s">
        <v>152</v>
      </c>
      <c r="D142" s="120"/>
      <c r="E142" s="120" t="s">
        <v>153</v>
      </c>
      <c r="F142" s="132" t="s">
        <v>155</v>
      </c>
      <c r="G142" s="129">
        <v>0</v>
      </c>
      <c r="H142" s="122" t="str">
        <f>IFERROR(VLOOKUP(B142,'[1]Debt Holding Consolidated'!$C$1:$N$65536,12,FALSE),"")</f>
        <v/>
      </c>
      <c r="J142" s="2"/>
    </row>
    <row r="143" spans="1:10" x14ac:dyDescent="0.2">
      <c r="A143" s="120"/>
      <c r="B143" s="120"/>
      <c r="C143" s="130"/>
      <c r="D143" s="120"/>
      <c r="E143" s="120"/>
      <c r="F143" s="131"/>
      <c r="G143" s="131"/>
      <c r="H143" s="122" t="str">
        <f>IFERROR(VLOOKUP(B143,'[1]Debt Holding Consolidated'!$C$1:$N$65536,12,FALSE),"")</f>
        <v/>
      </c>
      <c r="J143" s="2"/>
    </row>
    <row r="144" spans="1:10" x14ac:dyDescent="0.2">
      <c r="A144" s="120"/>
      <c r="B144" s="120"/>
      <c r="C144" s="121" t="s">
        <v>165</v>
      </c>
      <c r="D144" s="120"/>
      <c r="E144" s="120"/>
      <c r="F144" s="128">
        <v>13157.915000000001</v>
      </c>
      <c r="G144" s="129">
        <v>0.14206197000000001</v>
      </c>
      <c r="H144" s="122" t="str">
        <f>IFERROR(VLOOKUP(B144,'[1]Debt Holding Consolidated'!$C$1:$N$65536,12,FALSE),"")</f>
        <v/>
      </c>
      <c r="J144" s="2"/>
    </row>
    <row r="145" spans="1:10" x14ac:dyDescent="0.2">
      <c r="A145" s="120"/>
      <c r="B145" s="120"/>
      <c r="C145" s="130"/>
      <c r="D145" s="120"/>
      <c r="E145" s="120"/>
      <c r="F145" s="131"/>
      <c r="G145" s="131"/>
      <c r="H145" s="122" t="str">
        <f>IFERROR(VLOOKUP(B145,'[1]Debt Holding Consolidated'!$C$1:$N$65536,12,FALSE),"")</f>
        <v/>
      </c>
      <c r="J145" s="2"/>
    </row>
    <row r="146" spans="1:10" x14ac:dyDescent="0.2">
      <c r="A146" s="120"/>
      <c r="B146" s="120"/>
      <c r="C146" s="121" t="s">
        <v>166</v>
      </c>
      <c r="D146" s="120"/>
      <c r="E146" s="120"/>
      <c r="F146" s="131"/>
      <c r="G146" s="131"/>
      <c r="H146" s="122" t="str">
        <f>IFERROR(VLOOKUP(B146,'[1]Debt Holding Consolidated'!$C$1:$N$65536,12,FALSE),"")</f>
        <v/>
      </c>
      <c r="J146" s="2"/>
    </row>
    <row r="147" spans="1:10" x14ac:dyDescent="0.2">
      <c r="A147" s="120"/>
      <c r="B147" s="120"/>
      <c r="C147" s="121" t="s">
        <v>167</v>
      </c>
      <c r="D147" s="120"/>
      <c r="E147" s="120"/>
      <c r="F147" s="131"/>
      <c r="G147" s="131"/>
      <c r="H147" s="122" t="str">
        <f>IFERROR(VLOOKUP(B147,'[1]Debt Holding Consolidated'!$C$1:$N$65536,12,FALSE),"")</f>
        <v/>
      </c>
      <c r="J147" s="2"/>
    </row>
    <row r="148" spans="1:10" x14ac:dyDescent="0.2">
      <c r="A148" s="120"/>
      <c r="B148" s="120"/>
      <c r="C148" s="121" t="s">
        <v>152</v>
      </c>
      <c r="D148" s="120"/>
      <c r="E148" s="120" t="s">
        <v>153</v>
      </c>
      <c r="F148" s="132" t="s">
        <v>155</v>
      </c>
      <c r="G148" s="129">
        <v>0</v>
      </c>
      <c r="H148" s="122" t="str">
        <f>IFERROR(VLOOKUP(B148,'[1]Debt Holding Consolidated'!$C$1:$N$65536,12,FALSE),"")</f>
        <v/>
      </c>
      <c r="J148" s="2"/>
    </row>
    <row r="149" spans="1:10" x14ac:dyDescent="0.2">
      <c r="A149" s="120"/>
      <c r="B149" s="120"/>
      <c r="C149" s="130"/>
      <c r="D149" s="120"/>
      <c r="E149" s="120"/>
      <c r="F149" s="131"/>
      <c r="G149" s="131"/>
      <c r="H149" s="122" t="str">
        <f>IFERROR(VLOOKUP(B149,'[1]Debt Holding Consolidated'!$C$1:$N$65536,12,FALSE),"")</f>
        <v/>
      </c>
      <c r="J149" s="2"/>
    </row>
    <row r="150" spans="1:10" x14ac:dyDescent="0.2">
      <c r="A150" s="120"/>
      <c r="B150" s="120"/>
      <c r="C150" s="121" t="s">
        <v>168</v>
      </c>
      <c r="D150" s="120"/>
      <c r="E150" s="120"/>
      <c r="F150" s="131"/>
      <c r="G150" s="131"/>
      <c r="H150" s="122" t="str">
        <f>IFERROR(VLOOKUP(B150,'[1]Debt Holding Consolidated'!$C$1:$N$65536,12,FALSE),"")</f>
        <v/>
      </c>
      <c r="J150" s="2"/>
    </row>
    <row r="151" spans="1:10" x14ac:dyDescent="0.2">
      <c r="A151" s="120"/>
      <c r="B151" s="120"/>
      <c r="C151" s="121" t="s">
        <v>152</v>
      </c>
      <c r="D151" s="120"/>
      <c r="E151" s="120" t="s">
        <v>153</v>
      </c>
      <c r="F151" s="132" t="s">
        <v>155</v>
      </c>
      <c r="G151" s="129">
        <v>0</v>
      </c>
      <c r="H151" s="122" t="str">
        <f>IFERROR(VLOOKUP(B151,'[1]Debt Holding Consolidated'!$C$1:$N$65536,12,FALSE),"")</f>
        <v/>
      </c>
      <c r="J151" s="2"/>
    </row>
    <row r="152" spans="1:10" x14ac:dyDescent="0.2">
      <c r="A152" s="120"/>
      <c r="B152" s="120"/>
      <c r="C152" s="130"/>
      <c r="D152" s="120"/>
      <c r="E152" s="120"/>
      <c r="F152" s="131"/>
      <c r="G152" s="131"/>
      <c r="H152" s="122" t="str">
        <f>IFERROR(VLOOKUP(B152,'[1]Debt Holding Consolidated'!$C$1:$N$65536,12,FALSE),"")</f>
        <v/>
      </c>
      <c r="J152" s="2"/>
    </row>
    <row r="153" spans="1:10" x14ac:dyDescent="0.2">
      <c r="A153" s="120"/>
      <c r="B153" s="120"/>
      <c r="C153" s="121" t="s">
        <v>169</v>
      </c>
      <c r="D153" s="120"/>
      <c r="E153" s="120"/>
      <c r="F153" s="131"/>
      <c r="G153" s="131"/>
      <c r="H153" s="122" t="str">
        <f>IFERROR(VLOOKUP(B153,'[1]Debt Holding Consolidated'!$C$1:$N$65536,12,FALSE),"")</f>
        <v/>
      </c>
      <c r="J153" s="2"/>
    </row>
    <row r="154" spans="1:10" x14ac:dyDescent="0.2">
      <c r="A154" s="123">
        <v>1</v>
      </c>
      <c r="B154" s="124" t="s">
        <v>719</v>
      </c>
      <c r="C154" s="124" t="s">
        <v>720</v>
      </c>
      <c r="D154" s="124" t="s">
        <v>541</v>
      </c>
      <c r="E154" s="125">
        <v>2500000</v>
      </c>
      <c r="F154" s="126">
        <v>2444.8150000000001</v>
      </c>
      <c r="G154" s="127">
        <v>2.639592E-2</v>
      </c>
      <c r="H154" s="122">
        <f>IFERROR(VLOOKUP(B154,'[1]Debt Holding Consolidated'!$C$1:$N$65536,12,FALSE),"")</f>
        <v>6.6984000000000004</v>
      </c>
      <c r="J154" s="2"/>
    </row>
    <row r="155" spans="1:10" x14ac:dyDescent="0.2">
      <c r="A155" s="120"/>
      <c r="B155" s="120"/>
      <c r="C155" s="121" t="s">
        <v>152</v>
      </c>
      <c r="D155" s="120"/>
      <c r="E155" s="120" t="s">
        <v>153</v>
      </c>
      <c r="F155" s="128">
        <v>2444.8150000000001</v>
      </c>
      <c r="G155" s="129">
        <v>2.639592E-2</v>
      </c>
      <c r="H155" s="122" t="str">
        <f>IFERROR(VLOOKUP(B155,'[1]Debt Holding Consolidated'!$C$1:$N$65536,12,FALSE),"")</f>
        <v/>
      </c>
      <c r="J155" s="2"/>
    </row>
    <row r="156" spans="1:10" x14ac:dyDescent="0.2">
      <c r="A156" s="120"/>
      <c r="B156" s="120"/>
      <c r="C156" s="130"/>
      <c r="D156" s="120"/>
      <c r="E156" s="120"/>
      <c r="F156" s="131"/>
      <c r="G156" s="131"/>
      <c r="H156" s="122" t="str">
        <f>IFERROR(VLOOKUP(B156,'[1]Debt Holding Consolidated'!$C$1:$N$65536,12,FALSE),"")</f>
        <v/>
      </c>
      <c r="J156" s="2"/>
    </row>
    <row r="157" spans="1:10" x14ac:dyDescent="0.2">
      <c r="A157" s="120"/>
      <c r="B157" s="120"/>
      <c r="C157" s="121" t="s">
        <v>170</v>
      </c>
      <c r="D157" s="120"/>
      <c r="E157" s="120"/>
      <c r="F157" s="131"/>
      <c r="G157" s="131"/>
      <c r="H157" s="122" t="str">
        <f>IFERROR(VLOOKUP(B157,'[1]Debt Holding Consolidated'!$C$1:$N$65536,12,FALSE),"")</f>
        <v/>
      </c>
      <c r="J157" s="2"/>
    </row>
    <row r="158" spans="1:10" x14ac:dyDescent="0.2">
      <c r="A158" s="123">
        <v>1</v>
      </c>
      <c r="B158" s="124"/>
      <c r="C158" s="124" t="s">
        <v>171</v>
      </c>
      <c r="D158" s="124"/>
      <c r="E158" s="133"/>
      <c r="F158" s="126">
        <v>2142.5084362010002</v>
      </c>
      <c r="G158" s="127">
        <v>2.3132010000000001E-2</v>
      </c>
      <c r="H158" s="122">
        <v>6.62</v>
      </c>
      <c r="J158" s="2"/>
    </row>
    <row r="159" spans="1:10" x14ac:dyDescent="0.2">
      <c r="A159" s="120"/>
      <c r="B159" s="120"/>
      <c r="C159" s="121" t="s">
        <v>152</v>
      </c>
      <c r="D159" s="120"/>
      <c r="E159" s="120" t="s">
        <v>153</v>
      </c>
      <c r="F159" s="128">
        <v>2142.5084362010002</v>
      </c>
      <c r="G159" s="129">
        <v>2.3132010000000001E-2</v>
      </c>
      <c r="H159" s="122" t="str">
        <f>IFERROR(VLOOKUP(B159,'[1]Debt Holding Consolidated'!$C$1:$N$65536,12,FALSE),"")</f>
        <v/>
      </c>
      <c r="J159" s="2"/>
    </row>
    <row r="160" spans="1:10" x14ac:dyDescent="0.2">
      <c r="A160" s="120"/>
      <c r="B160" s="120"/>
      <c r="C160" s="130"/>
      <c r="D160" s="120"/>
      <c r="E160" s="120"/>
      <c r="F160" s="131"/>
      <c r="G160" s="131"/>
      <c r="H160" s="122" t="str">
        <f>IFERROR(VLOOKUP(B160,'[1]Debt Holding Consolidated'!$C$1:$N$65536,12,FALSE),"")</f>
        <v/>
      </c>
      <c r="J160" s="2"/>
    </row>
    <row r="161" spans="1:10" x14ac:dyDescent="0.2">
      <c r="A161" s="120"/>
      <c r="B161" s="120"/>
      <c r="C161" s="121" t="s">
        <v>172</v>
      </c>
      <c r="D161" s="120"/>
      <c r="E161" s="120"/>
      <c r="F161" s="128">
        <v>4587.3234362009998</v>
      </c>
      <c r="G161" s="129">
        <v>4.9527929999999998E-2</v>
      </c>
      <c r="H161" s="122" t="str">
        <f>IFERROR(VLOOKUP(B161,'[1]Debt Holding Consolidated'!$C$1:$N$65536,12,FALSE),"")</f>
        <v/>
      </c>
      <c r="J161" s="2"/>
    </row>
    <row r="162" spans="1:10" x14ac:dyDescent="0.2">
      <c r="A162" s="120"/>
      <c r="B162" s="120"/>
      <c r="C162" s="131"/>
      <c r="D162" s="120"/>
      <c r="E162" s="120"/>
      <c r="F162" s="120"/>
      <c r="G162" s="120"/>
      <c r="H162" s="122" t="str">
        <f>IFERROR(VLOOKUP(B162,'[1]Debt Holding Consolidated'!$C$1:$N$65536,12,FALSE),"")</f>
        <v/>
      </c>
      <c r="J162" s="2"/>
    </row>
    <row r="163" spans="1:10" x14ac:dyDescent="0.2">
      <c r="A163" s="120"/>
      <c r="B163" s="120"/>
      <c r="C163" s="121" t="s">
        <v>173</v>
      </c>
      <c r="D163" s="120"/>
      <c r="E163" s="120"/>
      <c r="F163" s="120"/>
      <c r="G163" s="120"/>
      <c r="H163" s="122" t="str">
        <f>IFERROR(VLOOKUP(B163,'[1]Debt Holding Consolidated'!$C$1:$N$65536,12,FALSE),"")</f>
        <v/>
      </c>
      <c r="J163" s="2"/>
    </row>
    <row r="164" spans="1:10" x14ac:dyDescent="0.2">
      <c r="A164" s="120"/>
      <c r="B164" s="120"/>
      <c r="C164" s="121" t="s">
        <v>174</v>
      </c>
      <c r="D164" s="120"/>
      <c r="E164" s="120"/>
      <c r="F164" s="120"/>
      <c r="G164" s="120"/>
      <c r="H164" s="122" t="str">
        <f>IFERROR(VLOOKUP(B164,'[1]Debt Holding Consolidated'!$C$1:$N$65536,12,FALSE),"")</f>
        <v/>
      </c>
      <c r="J164" s="2"/>
    </row>
    <row r="165" spans="1:10" x14ac:dyDescent="0.2">
      <c r="A165" s="120"/>
      <c r="B165" s="120"/>
      <c r="C165" s="121" t="s">
        <v>152</v>
      </c>
      <c r="D165" s="120"/>
      <c r="E165" s="120" t="s">
        <v>153</v>
      </c>
      <c r="F165" s="132" t="s">
        <v>155</v>
      </c>
      <c r="G165" s="129">
        <v>0</v>
      </c>
      <c r="H165" s="122" t="str">
        <f>IFERROR(VLOOKUP(B165,'[1]Debt Holding Consolidated'!$C$1:$N$65536,12,FALSE),"")</f>
        <v/>
      </c>
      <c r="J165" s="2"/>
    </row>
    <row r="166" spans="1:10" x14ac:dyDescent="0.2">
      <c r="A166" s="120"/>
      <c r="B166" s="120"/>
      <c r="C166" s="130"/>
      <c r="D166" s="120"/>
      <c r="E166" s="120"/>
      <c r="F166" s="131"/>
      <c r="G166" s="131"/>
      <c r="H166" s="122" t="str">
        <f>IFERROR(VLOOKUP(B166,'[1]Debt Holding Consolidated'!$C$1:$N$65536,12,FALSE),"")</f>
        <v/>
      </c>
      <c r="J166" s="2"/>
    </row>
    <row r="167" spans="1:10" x14ac:dyDescent="0.2">
      <c r="A167" s="120"/>
      <c r="B167" s="120"/>
      <c r="C167" s="121" t="s">
        <v>175</v>
      </c>
      <c r="D167" s="120"/>
      <c r="E167" s="120"/>
      <c r="F167" s="120"/>
      <c r="G167" s="120"/>
      <c r="H167" s="122" t="str">
        <f>IFERROR(VLOOKUP(B167,'[1]Debt Holding Consolidated'!$C$1:$N$65536,12,FALSE),"")</f>
        <v/>
      </c>
      <c r="J167" s="2"/>
    </row>
    <row r="168" spans="1:10" x14ac:dyDescent="0.2">
      <c r="A168" s="120"/>
      <c r="B168" s="120"/>
      <c r="C168" s="121" t="s">
        <v>176</v>
      </c>
      <c r="D168" s="120"/>
      <c r="E168" s="120"/>
      <c r="F168" s="120"/>
      <c r="G168" s="120"/>
      <c r="H168" s="122" t="str">
        <f>IFERROR(VLOOKUP(B168,'[1]Debt Holding Consolidated'!$C$1:$N$65536,12,FALSE),"")</f>
        <v/>
      </c>
      <c r="J168" s="2"/>
    </row>
    <row r="169" spans="1:10" x14ac:dyDescent="0.2">
      <c r="A169" s="120"/>
      <c r="B169" s="120"/>
      <c r="C169" s="121" t="s">
        <v>152</v>
      </c>
      <c r="D169" s="120"/>
      <c r="E169" s="120" t="s">
        <v>153</v>
      </c>
      <c r="F169" s="132" t="s">
        <v>155</v>
      </c>
      <c r="G169" s="129">
        <v>0</v>
      </c>
      <c r="H169" s="122" t="str">
        <f>IFERROR(VLOOKUP(B169,'[1]Debt Holding Consolidated'!$C$1:$N$65536,12,FALSE),"")</f>
        <v/>
      </c>
      <c r="J169" s="2"/>
    </row>
    <row r="170" spans="1:10" x14ac:dyDescent="0.2">
      <c r="A170" s="120"/>
      <c r="B170" s="120"/>
      <c r="C170" s="130"/>
      <c r="D170" s="120"/>
      <c r="E170" s="120"/>
      <c r="F170" s="131"/>
      <c r="G170" s="131"/>
      <c r="H170" s="122" t="str">
        <f>IFERROR(VLOOKUP(B170,'[1]Debt Holding Consolidated'!$C$1:$N$65536,12,FALSE),"")</f>
        <v/>
      </c>
      <c r="J170" s="2"/>
    </row>
    <row r="171" spans="1:10" x14ac:dyDescent="0.2">
      <c r="A171" s="120"/>
      <c r="B171" s="120"/>
      <c r="C171" s="121" t="s">
        <v>177</v>
      </c>
      <c r="D171" s="120"/>
      <c r="E171" s="120"/>
      <c r="F171" s="131"/>
      <c r="G171" s="131"/>
      <c r="H171" s="122" t="str">
        <f>IFERROR(VLOOKUP(B171,'[1]Debt Holding Consolidated'!$C$1:$N$65536,12,FALSE),"")</f>
        <v/>
      </c>
      <c r="J171" s="2"/>
    </row>
    <row r="172" spans="1:10" x14ac:dyDescent="0.2">
      <c r="A172" s="120"/>
      <c r="B172" s="120"/>
      <c r="C172" s="121" t="s">
        <v>152</v>
      </c>
      <c r="D172" s="120"/>
      <c r="E172" s="120" t="s">
        <v>153</v>
      </c>
      <c r="F172" s="132" t="s">
        <v>155</v>
      </c>
      <c r="G172" s="129">
        <v>0</v>
      </c>
      <c r="H172" s="122" t="str">
        <f>IFERROR(VLOOKUP(B172,'[1]Debt Holding Consolidated'!$C$1:$N$65536,12,FALSE),"")</f>
        <v/>
      </c>
      <c r="J172" s="2"/>
    </row>
    <row r="173" spans="1:10" x14ac:dyDescent="0.2">
      <c r="A173" s="120"/>
      <c r="B173" s="120"/>
      <c r="C173" s="130"/>
      <c r="D173" s="120"/>
      <c r="E173" s="120"/>
      <c r="F173" s="131"/>
      <c r="G173" s="131"/>
      <c r="H173" s="122" t="str">
        <f>IFERROR(VLOOKUP(B173,'[1]Debt Holding Consolidated'!$C$1:$N$65536,12,FALSE),"")</f>
        <v/>
      </c>
      <c r="J173" s="2"/>
    </row>
    <row r="174" spans="1:10" x14ac:dyDescent="0.2">
      <c r="A174" s="133"/>
      <c r="B174" s="124"/>
      <c r="C174" s="124" t="s">
        <v>542</v>
      </c>
      <c r="D174" s="124"/>
      <c r="E174" s="133"/>
      <c r="F174" s="126">
        <v>361.05796470000001</v>
      </c>
      <c r="G174" s="127">
        <v>3.8982299999999999E-3</v>
      </c>
      <c r="H174" s="122" t="str">
        <f>IFERROR(VLOOKUP(B174,'[1]Debt Holding Consolidated'!$C$1:$N$65536,12,FALSE),"")</f>
        <v/>
      </c>
      <c r="J174" s="2"/>
    </row>
    <row r="175" spans="1:10" x14ac:dyDescent="0.2">
      <c r="A175" s="133"/>
      <c r="B175" s="124"/>
      <c r="C175" s="160" t="s">
        <v>942</v>
      </c>
      <c r="D175" s="124"/>
      <c r="E175" s="133"/>
      <c r="F175" s="126">
        <f>35074.41215539+-30135.97885</f>
        <v>4938.4333053899973</v>
      </c>
      <c r="G175" s="127">
        <f>F175/F176</f>
        <v>5.3318755628305375E-2</v>
      </c>
      <c r="H175" s="122" t="str">
        <f>IFERROR(VLOOKUP(B175,'[1]Debt Holding Consolidated'!$C$1:$N$65536,12,FALSE),"")</f>
        <v/>
      </c>
      <c r="J175" s="2"/>
    </row>
    <row r="176" spans="1:10" x14ac:dyDescent="0.2">
      <c r="A176" s="130"/>
      <c r="B176" s="130"/>
      <c r="C176" s="121" t="s">
        <v>179</v>
      </c>
      <c r="D176" s="131"/>
      <c r="E176" s="131"/>
      <c r="F176" s="128">
        <f>F175+F174+F161+F144+F122</f>
        <v>92620.940740190999</v>
      </c>
      <c r="G176" s="134">
        <f>G175+G174+G161+G144+G122</f>
        <v>1.0000000356283054</v>
      </c>
      <c r="H176" s="122" t="str">
        <f>IFERROR(VLOOKUP(B176,'[1]Debt Holding Consolidated'!$C$1:$N$65536,12,FALSE),"")</f>
        <v/>
      </c>
      <c r="J176" s="2"/>
    </row>
    <row r="177" spans="1:17" x14ac:dyDescent="0.2">
      <c r="A177" s="135"/>
      <c r="B177" s="135"/>
      <c r="C177" s="135"/>
      <c r="D177" s="136"/>
      <c r="E177" s="136"/>
      <c r="F177" s="136"/>
      <c r="G177" s="136"/>
      <c r="J177" s="2"/>
    </row>
    <row r="178" spans="1:17" x14ac:dyDescent="0.2">
      <c r="A178" s="137"/>
      <c r="B178" s="226" t="s">
        <v>863</v>
      </c>
      <c r="C178" s="226"/>
      <c r="D178" s="226"/>
      <c r="E178" s="226"/>
      <c r="F178" s="226"/>
      <c r="G178" s="226"/>
      <c r="H178" s="226"/>
      <c r="J178" s="2"/>
    </row>
    <row r="179" spans="1:17" x14ac:dyDescent="0.2">
      <c r="A179" s="137"/>
      <c r="B179" s="226" t="s">
        <v>864</v>
      </c>
      <c r="C179" s="226"/>
      <c r="D179" s="226"/>
      <c r="E179" s="226"/>
      <c r="F179" s="226"/>
      <c r="G179" s="226"/>
      <c r="H179" s="226"/>
      <c r="J179" s="2"/>
    </row>
    <row r="180" spans="1:17" x14ac:dyDescent="0.2">
      <c r="A180" s="137"/>
      <c r="B180" s="226" t="s">
        <v>865</v>
      </c>
      <c r="C180" s="226"/>
      <c r="D180" s="226"/>
      <c r="E180" s="226"/>
      <c r="F180" s="226"/>
      <c r="G180" s="226"/>
      <c r="H180" s="226"/>
      <c r="J180" s="2"/>
    </row>
    <row r="181" spans="1:17" s="5" customFormat="1" ht="58.5" customHeight="1" x14ac:dyDescent="0.25">
      <c r="A181" s="139"/>
      <c r="B181" s="227" t="s">
        <v>866</v>
      </c>
      <c r="C181" s="227"/>
      <c r="D181" s="227"/>
      <c r="E181" s="227"/>
      <c r="F181" s="227"/>
      <c r="G181" s="227"/>
      <c r="H181" s="227"/>
      <c r="I181"/>
      <c r="J181" s="2"/>
      <c r="K181"/>
      <c r="L181"/>
      <c r="M181"/>
      <c r="N181"/>
      <c r="O181"/>
      <c r="P181"/>
      <c r="Q181"/>
    </row>
    <row r="182" spans="1:17" x14ac:dyDescent="0.2">
      <c r="A182" s="137"/>
      <c r="B182" s="226" t="s">
        <v>867</v>
      </c>
      <c r="C182" s="226"/>
      <c r="D182" s="226"/>
      <c r="E182" s="226"/>
      <c r="F182" s="226"/>
      <c r="G182" s="226"/>
      <c r="H182" s="226"/>
      <c r="J182" s="2"/>
    </row>
    <row r="183" spans="1:17" x14ac:dyDescent="0.2">
      <c r="A183" s="140"/>
      <c r="B183" s="140"/>
      <c r="C183" s="140"/>
      <c r="D183" s="141"/>
      <c r="E183" s="141"/>
      <c r="F183" s="141"/>
      <c r="G183" s="141"/>
      <c r="J183" s="2"/>
    </row>
    <row r="184" spans="1:17" x14ac:dyDescent="0.2">
      <c r="A184" s="140"/>
      <c r="B184" s="228" t="s">
        <v>180</v>
      </c>
      <c r="C184" s="229"/>
      <c r="D184" s="230"/>
      <c r="E184" s="142"/>
      <c r="F184" s="141"/>
      <c r="G184" s="141"/>
      <c r="J184" s="2"/>
    </row>
    <row r="185" spans="1:17" x14ac:dyDescent="0.2">
      <c r="A185" s="140"/>
      <c r="B185" s="223" t="s">
        <v>181</v>
      </c>
      <c r="C185" s="224"/>
      <c r="D185" s="121" t="s">
        <v>182</v>
      </c>
      <c r="E185" s="142"/>
      <c r="F185" s="141"/>
      <c r="G185" s="141"/>
      <c r="J185" s="2"/>
    </row>
    <row r="186" spans="1:17" x14ac:dyDescent="0.2">
      <c r="A186" s="140"/>
      <c r="B186" s="223" t="s">
        <v>183</v>
      </c>
      <c r="C186" s="224"/>
      <c r="D186" s="121" t="s">
        <v>182</v>
      </c>
      <c r="E186" s="142"/>
      <c r="F186" s="141"/>
      <c r="G186" s="141"/>
      <c r="J186" s="2"/>
    </row>
    <row r="187" spans="1:17" x14ac:dyDescent="0.2">
      <c r="A187" s="140"/>
      <c r="B187" s="223" t="s">
        <v>184</v>
      </c>
      <c r="C187" s="224"/>
      <c r="D187" s="131" t="s">
        <v>153</v>
      </c>
      <c r="E187" s="142"/>
      <c r="F187" s="141"/>
      <c r="G187" s="141"/>
      <c r="J187" s="2"/>
    </row>
    <row r="188" spans="1:17" x14ac:dyDescent="0.2">
      <c r="A188" s="144"/>
      <c r="B188" s="145" t="s">
        <v>153</v>
      </c>
      <c r="C188" s="145" t="s">
        <v>870</v>
      </c>
      <c r="D188" s="145" t="s">
        <v>185</v>
      </c>
      <c r="E188" s="144"/>
      <c r="F188" s="144"/>
      <c r="G188" s="144"/>
      <c r="H188" s="144"/>
      <c r="J188" s="2"/>
    </row>
    <row r="189" spans="1:17" x14ac:dyDescent="0.2">
      <c r="A189" s="146"/>
      <c r="B189" s="147" t="s">
        <v>186</v>
      </c>
      <c r="C189" s="148">
        <v>45504</v>
      </c>
      <c r="D189" s="149">
        <v>45535</v>
      </c>
      <c r="E189" s="146"/>
      <c r="F189" s="146"/>
      <c r="G189" s="146"/>
      <c r="J189" s="2"/>
    </row>
    <row r="190" spans="1:17" x14ac:dyDescent="0.2">
      <c r="A190" s="146"/>
      <c r="B190" s="124" t="s">
        <v>187</v>
      </c>
      <c r="C190" s="150">
        <v>76.238799999999998</v>
      </c>
      <c r="D190" s="150">
        <v>77.498000000000005</v>
      </c>
      <c r="E190" s="146"/>
      <c r="F190" s="151"/>
      <c r="G190" s="152"/>
      <c r="J190" s="2"/>
    </row>
    <row r="191" spans="1:17" ht="25.5" x14ac:dyDescent="0.2">
      <c r="A191" s="146"/>
      <c r="B191" s="160" t="s">
        <v>1026</v>
      </c>
      <c r="C191" s="150">
        <v>16.900600000000001</v>
      </c>
      <c r="D191" s="150">
        <v>17.1798</v>
      </c>
      <c r="E191" s="146"/>
      <c r="F191" s="151"/>
      <c r="G191" s="152"/>
      <c r="J191" s="2"/>
    </row>
    <row r="192" spans="1:17" ht="25.5" x14ac:dyDescent="0.2">
      <c r="A192" s="146"/>
      <c r="B192" s="124" t="s">
        <v>931</v>
      </c>
      <c r="C192" s="150">
        <v>24.6709</v>
      </c>
      <c r="D192" s="150">
        <v>25.078399999999998</v>
      </c>
      <c r="E192" s="146"/>
      <c r="F192" s="151"/>
      <c r="G192" s="152"/>
      <c r="J192" s="2"/>
    </row>
    <row r="193" spans="1:10" x14ac:dyDescent="0.2">
      <c r="A193" s="146"/>
      <c r="B193" s="124" t="s">
        <v>188</v>
      </c>
      <c r="C193" s="150">
        <v>66.6584</v>
      </c>
      <c r="D193" s="150">
        <v>67.6661</v>
      </c>
      <c r="E193" s="146"/>
      <c r="F193" s="151"/>
      <c r="G193" s="152"/>
      <c r="J193" s="2"/>
    </row>
    <row r="194" spans="1:10" ht="25.5" x14ac:dyDescent="0.2">
      <c r="A194" s="146"/>
      <c r="B194" s="160" t="s">
        <v>1027</v>
      </c>
      <c r="C194" s="150">
        <v>15.988899999999999</v>
      </c>
      <c r="D194" s="150">
        <v>16.230599999999999</v>
      </c>
      <c r="E194" s="146"/>
      <c r="F194" s="151"/>
      <c r="G194" s="152"/>
      <c r="J194" s="2"/>
    </row>
    <row r="195" spans="1:10" ht="25.5" x14ac:dyDescent="0.2">
      <c r="A195" s="146"/>
      <c r="B195" s="124" t="s">
        <v>933</v>
      </c>
      <c r="C195" s="150">
        <v>17.2441</v>
      </c>
      <c r="D195" s="150">
        <v>17.504799999999999</v>
      </c>
      <c r="E195" s="146"/>
      <c r="F195" s="151"/>
      <c r="G195" s="152"/>
      <c r="J195" s="2"/>
    </row>
    <row r="196" spans="1:10" x14ac:dyDescent="0.2">
      <c r="A196" s="146"/>
      <c r="B196" s="146"/>
      <c r="C196" s="146"/>
      <c r="D196" s="146"/>
      <c r="E196" s="146"/>
      <c r="F196" s="146"/>
      <c r="G196" s="146"/>
      <c r="J196" s="2"/>
    </row>
    <row r="197" spans="1:10" x14ac:dyDescent="0.2">
      <c r="A197" s="146"/>
      <c r="B197" s="223" t="s">
        <v>869</v>
      </c>
      <c r="C197" s="224"/>
      <c r="D197" s="121" t="s">
        <v>182</v>
      </c>
      <c r="E197" s="146"/>
      <c r="F197" s="146"/>
      <c r="G197" s="146"/>
      <c r="J197" s="2"/>
    </row>
    <row r="198" spans="1:10" x14ac:dyDescent="0.2">
      <c r="A198" s="146"/>
      <c r="B198" s="163"/>
      <c r="C198" s="163"/>
      <c r="D198" s="163"/>
      <c r="E198" s="146"/>
      <c r="F198" s="146"/>
      <c r="G198" s="146"/>
      <c r="J198" s="2"/>
    </row>
    <row r="199" spans="1:10" ht="29.1" customHeight="1" x14ac:dyDescent="0.2">
      <c r="A199" s="144"/>
      <c r="B199" s="221" t="s">
        <v>189</v>
      </c>
      <c r="C199" s="222"/>
      <c r="D199" s="143" t="s">
        <v>1000</v>
      </c>
      <c r="E199" s="153"/>
      <c r="F199" s="144"/>
      <c r="G199" s="144"/>
      <c r="J199" s="2"/>
    </row>
    <row r="200" spans="1:10" ht="29.1" customHeight="1" x14ac:dyDescent="0.2">
      <c r="A200" s="144"/>
      <c r="B200" s="221" t="s">
        <v>190</v>
      </c>
      <c r="C200" s="222"/>
      <c r="D200" s="143" t="s">
        <v>182</v>
      </c>
      <c r="E200" s="153"/>
      <c r="F200" s="144"/>
      <c r="G200" s="144"/>
      <c r="J200" s="2"/>
    </row>
    <row r="201" spans="1:10" ht="17.100000000000001" customHeight="1" x14ac:dyDescent="0.2">
      <c r="A201" s="144"/>
      <c r="B201" s="221" t="s">
        <v>191</v>
      </c>
      <c r="C201" s="222"/>
      <c r="D201" s="143" t="s">
        <v>182</v>
      </c>
      <c r="E201" s="153"/>
      <c r="F201" s="144"/>
      <c r="G201" s="144"/>
      <c r="J201" s="2"/>
    </row>
    <row r="202" spans="1:10" ht="17.100000000000001" customHeight="1" x14ac:dyDescent="0.2">
      <c r="A202" s="144"/>
      <c r="B202" s="221" t="s">
        <v>192</v>
      </c>
      <c r="C202" s="222"/>
      <c r="D202" s="154">
        <v>4.7790404492856551</v>
      </c>
      <c r="E202" s="144"/>
      <c r="F202" s="138"/>
      <c r="G202" s="155"/>
      <c r="J202" s="2"/>
    </row>
    <row r="203" spans="1:10" x14ac:dyDescent="0.2">
      <c r="J203" s="2"/>
    </row>
    <row r="204" spans="1:10" x14ac:dyDescent="0.2">
      <c r="B204" s="245" t="s">
        <v>963</v>
      </c>
      <c r="C204" s="246"/>
      <c r="D204" s="247"/>
    </row>
    <row r="205" spans="1:10" ht="25.5" x14ac:dyDescent="0.2">
      <c r="B205" s="248" t="s">
        <v>964</v>
      </c>
      <c r="C205" s="248"/>
      <c r="D205" s="190" t="s">
        <v>695</v>
      </c>
    </row>
    <row r="206" spans="1:10" x14ac:dyDescent="0.2">
      <c r="B206" s="248" t="s">
        <v>965</v>
      </c>
      <c r="C206" s="248"/>
      <c r="D206" s="197"/>
    </row>
    <row r="207" spans="1:10" x14ac:dyDescent="0.2">
      <c r="B207" s="249"/>
      <c r="C207" s="250"/>
      <c r="D207" s="191"/>
    </row>
    <row r="208" spans="1:10" x14ac:dyDescent="0.2">
      <c r="B208" s="248" t="s">
        <v>966</v>
      </c>
      <c r="C208" s="248"/>
      <c r="D208" s="192">
        <v>6.962186725850116</v>
      </c>
    </row>
    <row r="209" spans="2:4" x14ac:dyDescent="0.2">
      <c r="B209" s="249"/>
      <c r="C209" s="250"/>
      <c r="D209" s="191"/>
    </row>
    <row r="210" spans="2:4" x14ac:dyDescent="0.2">
      <c r="B210" s="248" t="s">
        <v>967</v>
      </c>
      <c r="C210" s="248"/>
      <c r="D210" s="192">
        <v>3.3651319146001857</v>
      </c>
    </row>
    <row r="211" spans="2:4" x14ac:dyDescent="0.2">
      <c r="B211" s="248" t="s">
        <v>968</v>
      </c>
      <c r="C211" s="248"/>
      <c r="D211" s="192">
        <v>4.6983596578812259</v>
      </c>
    </row>
    <row r="212" spans="2:4" x14ac:dyDescent="0.2">
      <c r="B212" s="249"/>
      <c r="C212" s="250"/>
      <c r="D212" s="191"/>
    </row>
    <row r="213" spans="2:4" x14ac:dyDescent="0.2">
      <c r="B213" s="248" t="s">
        <v>969</v>
      </c>
      <c r="C213" s="248"/>
      <c r="D213" s="194" t="s">
        <v>1064</v>
      </c>
    </row>
    <row r="214" spans="2:4" ht="12.75" customHeight="1" x14ac:dyDescent="0.2">
      <c r="B214" s="249" t="s">
        <v>970</v>
      </c>
      <c r="C214" s="251"/>
      <c r="D214" s="250"/>
    </row>
  </sheetData>
  <mergeCells count="28">
    <mergeCell ref="B211:C211"/>
    <mergeCell ref="B212:C212"/>
    <mergeCell ref="B213:C213"/>
    <mergeCell ref="B214:D214"/>
    <mergeCell ref="B206:C206"/>
    <mergeCell ref="B207:C207"/>
    <mergeCell ref="B208:C208"/>
    <mergeCell ref="B209:C209"/>
    <mergeCell ref="B210:C210"/>
    <mergeCell ref="B185:C185"/>
    <mergeCell ref="A1:H1"/>
    <mergeCell ref="A2:H2"/>
    <mergeCell ref="A3:H3"/>
    <mergeCell ref="B178:H178"/>
    <mergeCell ref="B179:H179"/>
    <mergeCell ref="B180:H180"/>
    <mergeCell ref="B181:H181"/>
    <mergeCell ref="B182:H182"/>
    <mergeCell ref="B184:D184"/>
    <mergeCell ref="B205:C205"/>
    <mergeCell ref="B186:C186"/>
    <mergeCell ref="B187:C187"/>
    <mergeCell ref="B197:C197"/>
    <mergeCell ref="B201:C201"/>
    <mergeCell ref="B202:C202"/>
    <mergeCell ref="B199:C199"/>
    <mergeCell ref="B200:C200"/>
    <mergeCell ref="B204:D204"/>
  </mergeCells>
  <hyperlinks>
    <hyperlink ref="I1" location="Index!B19" display="Index" xr:uid="{F3167DE7-DC5C-4C92-B1EA-327F56B6356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46BB1-F164-44D2-8197-A4B0421C3D4E}">
  <sheetPr>
    <outlinePr summaryBelow="0" summaryRight="0"/>
  </sheetPr>
  <dimension ref="A1:Q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721</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ht="25.5" x14ac:dyDescent="0.2">
      <c r="A6" s="120"/>
      <c r="B6" s="120"/>
      <c r="C6" s="121" t="s">
        <v>10</v>
      </c>
      <c r="D6" s="120"/>
      <c r="E6" s="120"/>
      <c r="F6" s="120"/>
      <c r="G6" s="120"/>
      <c r="H6" s="122" t="s">
        <v>153</v>
      </c>
      <c r="J6" s="2"/>
    </row>
    <row r="7" spans="1:10" x14ac:dyDescent="0.2">
      <c r="A7" s="123">
        <v>1</v>
      </c>
      <c r="B7" s="124" t="s">
        <v>342</v>
      </c>
      <c r="C7" s="124" t="s">
        <v>343</v>
      </c>
      <c r="D7" s="124" t="s">
        <v>48</v>
      </c>
      <c r="E7" s="125">
        <v>550000</v>
      </c>
      <c r="F7" s="126">
        <v>9002.9500000000007</v>
      </c>
      <c r="G7" s="127">
        <v>7.7860659999999998E-2</v>
      </c>
      <c r="H7" s="122" t="s">
        <v>153</v>
      </c>
      <c r="J7" s="2"/>
    </row>
    <row r="8" spans="1:10" x14ac:dyDescent="0.2">
      <c r="A8" s="123">
        <v>2</v>
      </c>
      <c r="B8" s="124" t="s">
        <v>20</v>
      </c>
      <c r="C8" s="124" t="s">
        <v>21</v>
      </c>
      <c r="D8" s="124" t="s">
        <v>22</v>
      </c>
      <c r="E8" s="125">
        <v>240000</v>
      </c>
      <c r="F8" s="126">
        <v>7246.2</v>
      </c>
      <c r="G8" s="127">
        <v>6.2667669999999995E-2</v>
      </c>
      <c r="H8" s="122" t="s">
        <v>153</v>
      </c>
      <c r="J8" s="2"/>
    </row>
    <row r="9" spans="1:10" x14ac:dyDescent="0.2">
      <c r="A9" s="123">
        <v>3</v>
      </c>
      <c r="B9" s="124" t="s">
        <v>46</v>
      </c>
      <c r="C9" s="124" t="s">
        <v>47</v>
      </c>
      <c r="D9" s="124" t="s">
        <v>48</v>
      </c>
      <c r="E9" s="125">
        <v>562000</v>
      </c>
      <c r="F9" s="126">
        <v>6908.1040000000003</v>
      </c>
      <c r="G9" s="127">
        <v>5.9743699999999997E-2</v>
      </c>
      <c r="H9" s="122" t="s">
        <v>153</v>
      </c>
      <c r="J9" s="2"/>
    </row>
    <row r="10" spans="1:10" x14ac:dyDescent="0.2">
      <c r="A10" s="123">
        <v>4</v>
      </c>
      <c r="B10" s="124" t="s">
        <v>11</v>
      </c>
      <c r="C10" s="124" t="s">
        <v>12</v>
      </c>
      <c r="D10" s="124" t="s">
        <v>13</v>
      </c>
      <c r="E10" s="125">
        <v>152535</v>
      </c>
      <c r="F10" s="126">
        <v>5650.8878775000003</v>
      </c>
      <c r="G10" s="127">
        <v>4.887085E-2</v>
      </c>
      <c r="H10" s="122" t="s">
        <v>153</v>
      </c>
      <c r="J10" s="2"/>
    </row>
    <row r="11" spans="1:10" x14ac:dyDescent="0.2">
      <c r="A11" s="123">
        <v>5</v>
      </c>
      <c r="B11" s="124" t="s">
        <v>346</v>
      </c>
      <c r="C11" s="124" t="s">
        <v>347</v>
      </c>
      <c r="D11" s="124" t="s">
        <v>198</v>
      </c>
      <c r="E11" s="125">
        <v>2198000</v>
      </c>
      <c r="F11" s="126">
        <v>5506.6494000000002</v>
      </c>
      <c r="G11" s="127">
        <v>4.7623430000000001E-2</v>
      </c>
      <c r="H11" s="122" t="s">
        <v>153</v>
      </c>
      <c r="J11" s="2"/>
    </row>
    <row r="12" spans="1:10" ht="15" x14ac:dyDescent="0.2">
      <c r="A12" s="123">
        <v>6</v>
      </c>
      <c r="B12" s="124" t="s">
        <v>14</v>
      </c>
      <c r="C12" s="124" t="s">
        <v>15</v>
      </c>
      <c r="D12" s="124" t="s">
        <v>16</v>
      </c>
      <c r="E12" s="125">
        <v>345000</v>
      </c>
      <c r="F12" s="126">
        <v>5482.2224999999999</v>
      </c>
      <c r="G12" s="127">
        <v>4.7412179999999998E-2</v>
      </c>
      <c r="H12" s="122" t="s">
        <v>153</v>
      </c>
      <c r="J12" s="7"/>
    </row>
    <row r="13" spans="1:10" x14ac:dyDescent="0.2">
      <c r="A13" s="123">
        <v>7</v>
      </c>
      <c r="B13" s="124" t="s">
        <v>54</v>
      </c>
      <c r="C13" s="124" t="s">
        <v>55</v>
      </c>
      <c r="D13" s="124" t="s">
        <v>48</v>
      </c>
      <c r="E13" s="125">
        <v>671000</v>
      </c>
      <c r="F13" s="126">
        <v>5472.6760000000004</v>
      </c>
      <c r="G13" s="127">
        <v>4.7329620000000003E-2</v>
      </c>
      <c r="H13" s="122" t="s">
        <v>153</v>
      </c>
      <c r="J13" s="2"/>
    </row>
    <row r="14" spans="1:10" x14ac:dyDescent="0.2">
      <c r="A14" s="123">
        <v>8</v>
      </c>
      <c r="B14" s="124" t="s">
        <v>30</v>
      </c>
      <c r="C14" s="124" t="s">
        <v>31</v>
      </c>
      <c r="D14" s="124" t="s">
        <v>32</v>
      </c>
      <c r="E14" s="125">
        <v>1460000</v>
      </c>
      <c r="F14" s="126">
        <v>4369.78</v>
      </c>
      <c r="G14" s="127">
        <v>3.7791390000000001E-2</v>
      </c>
      <c r="H14" s="122" t="s">
        <v>153</v>
      </c>
      <c r="J14" s="2"/>
    </row>
    <row r="15" spans="1:10" x14ac:dyDescent="0.2">
      <c r="A15" s="123">
        <v>9</v>
      </c>
      <c r="B15" s="124" t="s">
        <v>344</v>
      </c>
      <c r="C15" s="124" t="s">
        <v>345</v>
      </c>
      <c r="D15" s="124" t="s">
        <v>211</v>
      </c>
      <c r="E15" s="125">
        <v>223000</v>
      </c>
      <c r="F15" s="126">
        <v>4334.451</v>
      </c>
      <c r="G15" s="127">
        <v>3.7485850000000001E-2</v>
      </c>
      <c r="H15" s="122" t="s">
        <v>153</v>
      </c>
      <c r="J15" s="2" t="s">
        <v>1028</v>
      </c>
    </row>
    <row r="16" spans="1:10" ht="25.5" x14ac:dyDescent="0.2">
      <c r="A16" s="123">
        <v>10</v>
      </c>
      <c r="B16" s="124" t="s">
        <v>404</v>
      </c>
      <c r="C16" s="124" t="s">
        <v>405</v>
      </c>
      <c r="D16" s="124" t="s">
        <v>25</v>
      </c>
      <c r="E16" s="125">
        <v>147000</v>
      </c>
      <c r="F16" s="126">
        <v>3967.3094999999998</v>
      </c>
      <c r="G16" s="127">
        <v>3.4310680000000003E-2</v>
      </c>
      <c r="H16" s="122" t="s">
        <v>153</v>
      </c>
      <c r="J16" s="2"/>
    </row>
    <row r="17" spans="1:10" x14ac:dyDescent="0.2">
      <c r="A17" s="123">
        <v>11</v>
      </c>
      <c r="B17" s="124" t="s">
        <v>722</v>
      </c>
      <c r="C17" s="124" t="s">
        <v>723</v>
      </c>
      <c r="D17" s="124" t="s">
        <v>198</v>
      </c>
      <c r="E17" s="125">
        <v>80000</v>
      </c>
      <c r="F17" s="126">
        <v>3941.96</v>
      </c>
      <c r="G17" s="127">
        <v>3.4091450000000002E-2</v>
      </c>
      <c r="H17" s="122" t="s">
        <v>153</v>
      </c>
      <c r="J17" s="2"/>
    </row>
    <row r="18" spans="1:10" x14ac:dyDescent="0.2">
      <c r="A18" s="123">
        <v>12</v>
      </c>
      <c r="B18" s="124" t="s">
        <v>550</v>
      </c>
      <c r="C18" s="124" t="s">
        <v>551</v>
      </c>
      <c r="D18" s="124" t="s">
        <v>211</v>
      </c>
      <c r="E18" s="125">
        <v>240000</v>
      </c>
      <c r="F18" s="126">
        <v>3927.6</v>
      </c>
      <c r="G18" s="127">
        <v>3.3967259999999999E-2</v>
      </c>
      <c r="H18" s="122" t="s">
        <v>153</v>
      </c>
      <c r="J18" s="2"/>
    </row>
    <row r="19" spans="1:10" ht="25.5" x14ac:dyDescent="0.2">
      <c r="A19" s="123">
        <v>13</v>
      </c>
      <c r="B19" s="124" t="s">
        <v>370</v>
      </c>
      <c r="C19" s="124" t="s">
        <v>371</v>
      </c>
      <c r="D19" s="124" t="s">
        <v>208</v>
      </c>
      <c r="E19" s="125">
        <v>233000</v>
      </c>
      <c r="F19" s="126">
        <v>3656.7020000000002</v>
      </c>
      <c r="G19" s="127">
        <v>3.1624439999999997E-2</v>
      </c>
      <c r="H19" s="122" t="s">
        <v>153</v>
      </c>
      <c r="J19" s="2"/>
    </row>
    <row r="20" spans="1:10" ht="25.5" x14ac:dyDescent="0.2">
      <c r="A20" s="123">
        <v>14</v>
      </c>
      <c r="B20" s="124" t="s">
        <v>352</v>
      </c>
      <c r="C20" s="124" t="s">
        <v>353</v>
      </c>
      <c r="D20" s="124" t="s">
        <v>208</v>
      </c>
      <c r="E20" s="125">
        <v>195000</v>
      </c>
      <c r="F20" s="126">
        <v>3552.2175000000002</v>
      </c>
      <c r="G20" s="127">
        <v>3.0720819999999999E-2</v>
      </c>
      <c r="H20" s="122" t="s">
        <v>153</v>
      </c>
      <c r="J20" s="2"/>
    </row>
    <row r="21" spans="1:10" x14ac:dyDescent="0.2">
      <c r="A21" s="123">
        <v>15</v>
      </c>
      <c r="B21" s="124" t="s">
        <v>244</v>
      </c>
      <c r="C21" s="124" t="s">
        <v>245</v>
      </c>
      <c r="D21" s="124" t="s">
        <v>198</v>
      </c>
      <c r="E21" s="125">
        <v>46000</v>
      </c>
      <c r="F21" s="126">
        <v>3532.248</v>
      </c>
      <c r="G21" s="127">
        <v>3.0548120000000002E-2</v>
      </c>
      <c r="H21" s="122" t="s">
        <v>153</v>
      </c>
      <c r="J21" s="2"/>
    </row>
    <row r="22" spans="1:10" ht="15" x14ac:dyDescent="0.2">
      <c r="A22" s="123">
        <v>16</v>
      </c>
      <c r="B22" s="124" t="s">
        <v>97</v>
      </c>
      <c r="C22" s="124" t="s">
        <v>98</v>
      </c>
      <c r="D22" s="124" t="s">
        <v>53</v>
      </c>
      <c r="E22" s="125">
        <v>477000</v>
      </c>
      <c r="F22" s="126">
        <v>3435.1154999999999</v>
      </c>
      <c r="G22" s="127">
        <v>2.9708080000000001E-2</v>
      </c>
      <c r="H22" s="122" t="s">
        <v>153</v>
      </c>
      <c r="J22" s="7"/>
    </row>
    <row r="23" spans="1:10" ht="25.5" x14ac:dyDescent="0.2">
      <c r="A23" s="123">
        <v>17</v>
      </c>
      <c r="B23" s="124" t="s">
        <v>281</v>
      </c>
      <c r="C23" s="124" t="s">
        <v>282</v>
      </c>
      <c r="D23" s="124" t="s">
        <v>89</v>
      </c>
      <c r="E23" s="125">
        <v>225000</v>
      </c>
      <c r="F23" s="126">
        <v>3275.1</v>
      </c>
      <c r="G23" s="127">
        <v>2.8324209999999999E-2</v>
      </c>
      <c r="H23" s="122" t="s">
        <v>153</v>
      </c>
      <c r="J23" s="2"/>
    </row>
    <row r="24" spans="1:10" x14ac:dyDescent="0.2">
      <c r="A24" s="123">
        <v>18</v>
      </c>
      <c r="B24" s="124" t="s">
        <v>406</v>
      </c>
      <c r="C24" s="124" t="s">
        <v>407</v>
      </c>
      <c r="D24" s="124" t="s">
        <v>48</v>
      </c>
      <c r="E24" s="125">
        <v>2925000</v>
      </c>
      <c r="F24" s="126">
        <v>3262.2525000000001</v>
      </c>
      <c r="G24" s="127">
        <v>2.8213100000000001E-2</v>
      </c>
      <c r="H24" s="122" t="s">
        <v>153</v>
      </c>
      <c r="J24" s="2"/>
    </row>
    <row r="25" spans="1:10" x14ac:dyDescent="0.2">
      <c r="A25" s="123">
        <v>19</v>
      </c>
      <c r="B25" s="124" t="s">
        <v>132</v>
      </c>
      <c r="C25" s="124" t="s">
        <v>133</v>
      </c>
      <c r="D25" s="124" t="s">
        <v>53</v>
      </c>
      <c r="E25" s="125">
        <v>39000</v>
      </c>
      <c r="F25" s="126">
        <v>3095.0594999999998</v>
      </c>
      <c r="G25" s="127">
        <v>2.6767160000000002E-2</v>
      </c>
      <c r="H25" s="122" t="s">
        <v>153</v>
      </c>
      <c r="J25" s="2"/>
    </row>
    <row r="26" spans="1:10" x14ac:dyDescent="0.2">
      <c r="A26" s="123">
        <v>20</v>
      </c>
      <c r="B26" s="124" t="s">
        <v>84</v>
      </c>
      <c r="C26" s="124" t="s">
        <v>85</v>
      </c>
      <c r="D26" s="124" t="s">
        <v>86</v>
      </c>
      <c r="E26" s="125">
        <v>60000</v>
      </c>
      <c r="F26" s="126">
        <v>2898</v>
      </c>
      <c r="G26" s="127">
        <v>2.5062919999999999E-2</v>
      </c>
      <c r="H26" s="122" t="s">
        <v>153</v>
      </c>
      <c r="J26" s="2"/>
    </row>
    <row r="27" spans="1:10" ht="25.5" x14ac:dyDescent="0.2">
      <c r="A27" s="123">
        <v>21</v>
      </c>
      <c r="B27" s="124" t="s">
        <v>41</v>
      </c>
      <c r="C27" s="124" t="s">
        <v>42</v>
      </c>
      <c r="D27" s="124" t="s">
        <v>16</v>
      </c>
      <c r="E27" s="125">
        <v>228500</v>
      </c>
      <c r="F27" s="126">
        <v>2860.9342499999998</v>
      </c>
      <c r="G27" s="127">
        <v>2.4742360000000001E-2</v>
      </c>
      <c r="H27" s="122" t="s">
        <v>153</v>
      </c>
      <c r="J27" s="2" t="s">
        <v>1029</v>
      </c>
    </row>
    <row r="28" spans="1:10" x14ac:dyDescent="0.2">
      <c r="A28" s="123">
        <v>22</v>
      </c>
      <c r="B28" s="124" t="s">
        <v>51</v>
      </c>
      <c r="C28" s="124" t="s">
        <v>52</v>
      </c>
      <c r="D28" s="124" t="s">
        <v>53</v>
      </c>
      <c r="E28" s="125">
        <v>663000</v>
      </c>
      <c r="F28" s="126">
        <v>2829.0210000000002</v>
      </c>
      <c r="G28" s="127">
        <v>2.4466359999999999E-2</v>
      </c>
      <c r="H28" s="122" t="s">
        <v>153</v>
      </c>
      <c r="J28" s="2"/>
    </row>
    <row r="29" spans="1:10" x14ac:dyDescent="0.2">
      <c r="A29" s="123">
        <v>23</v>
      </c>
      <c r="B29" s="124" t="s">
        <v>680</v>
      </c>
      <c r="C29" s="124" t="s">
        <v>681</v>
      </c>
      <c r="D29" s="124" t="s">
        <v>38</v>
      </c>
      <c r="E29" s="125">
        <v>380000</v>
      </c>
      <c r="F29" s="126">
        <v>2815.8</v>
      </c>
      <c r="G29" s="127">
        <v>2.4352019999999999E-2</v>
      </c>
      <c r="H29" s="122" t="s">
        <v>153</v>
      </c>
      <c r="J29" s="2"/>
    </row>
    <row r="30" spans="1:10" x14ac:dyDescent="0.2">
      <c r="A30" s="123">
        <v>24</v>
      </c>
      <c r="B30" s="124" t="s">
        <v>700</v>
      </c>
      <c r="C30" s="124" t="s">
        <v>701</v>
      </c>
      <c r="D30" s="124" t="s">
        <v>239</v>
      </c>
      <c r="E30" s="125">
        <v>43000</v>
      </c>
      <c r="F30" s="126">
        <v>2576.259</v>
      </c>
      <c r="G30" s="127">
        <v>2.2280390000000001E-2</v>
      </c>
      <c r="H30" s="122" t="s">
        <v>153</v>
      </c>
      <c r="J30" s="2"/>
    </row>
    <row r="31" spans="1:10" x14ac:dyDescent="0.2">
      <c r="A31" s="123">
        <v>25</v>
      </c>
      <c r="B31" s="124" t="s">
        <v>262</v>
      </c>
      <c r="C31" s="124" t="s">
        <v>263</v>
      </c>
      <c r="D31" s="124" t="s">
        <v>264</v>
      </c>
      <c r="E31" s="125">
        <v>108000</v>
      </c>
      <c r="F31" s="126">
        <v>2214.4859999999999</v>
      </c>
      <c r="G31" s="127">
        <v>1.9151649999999999E-2</v>
      </c>
      <c r="H31" s="122" t="s">
        <v>153</v>
      </c>
      <c r="J31" s="2"/>
    </row>
    <row r="32" spans="1:10" x14ac:dyDescent="0.2">
      <c r="A32" s="123">
        <v>26</v>
      </c>
      <c r="B32" s="124" t="s">
        <v>655</v>
      </c>
      <c r="C32" s="124" t="s">
        <v>656</v>
      </c>
      <c r="D32" s="124" t="s">
        <v>89</v>
      </c>
      <c r="E32" s="125">
        <v>28828</v>
      </c>
      <c r="F32" s="126">
        <v>2075.6592420000002</v>
      </c>
      <c r="G32" s="127">
        <v>1.795103E-2</v>
      </c>
      <c r="H32" s="122" t="s">
        <v>153</v>
      </c>
      <c r="J32" s="2"/>
    </row>
    <row r="33" spans="1:10" x14ac:dyDescent="0.2">
      <c r="A33" s="123">
        <v>27</v>
      </c>
      <c r="B33" s="124" t="s">
        <v>381</v>
      </c>
      <c r="C33" s="124" t="s">
        <v>382</v>
      </c>
      <c r="D33" s="124" t="s">
        <v>32</v>
      </c>
      <c r="E33" s="125">
        <v>34400</v>
      </c>
      <c r="F33" s="126">
        <v>1609.9028000000001</v>
      </c>
      <c r="G33" s="127">
        <v>1.3923E-2</v>
      </c>
      <c r="H33" s="122" t="s">
        <v>153</v>
      </c>
      <c r="J33" s="2"/>
    </row>
    <row r="34" spans="1:10" x14ac:dyDescent="0.2">
      <c r="A34" s="123">
        <v>28</v>
      </c>
      <c r="B34" s="124" t="s">
        <v>307</v>
      </c>
      <c r="C34" s="124" t="s">
        <v>308</v>
      </c>
      <c r="D34" s="124" t="s">
        <v>74</v>
      </c>
      <c r="E34" s="125">
        <v>203225</v>
      </c>
      <c r="F34" s="126">
        <v>1388.7380375</v>
      </c>
      <c r="G34" s="127">
        <v>1.201029E-2</v>
      </c>
      <c r="H34" s="122" t="s">
        <v>153</v>
      </c>
      <c r="J34" s="2"/>
    </row>
    <row r="35" spans="1:10" ht="25.5" x14ac:dyDescent="0.2">
      <c r="A35" s="123">
        <v>29</v>
      </c>
      <c r="B35" s="124" t="s">
        <v>295</v>
      </c>
      <c r="C35" s="124" t="s">
        <v>296</v>
      </c>
      <c r="D35" s="124" t="s">
        <v>208</v>
      </c>
      <c r="E35" s="125">
        <v>287528</v>
      </c>
      <c r="F35" s="126">
        <v>1351.8128919999999</v>
      </c>
      <c r="G35" s="127">
        <v>1.169095E-2</v>
      </c>
      <c r="H35" s="122" t="s">
        <v>153</v>
      </c>
      <c r="J35" s="2"/>
    </row>
    <row r="36" spans="1:10" ht="25.5" x14ac:dyDescent="0.2">
      <c r="A36" s="123">
        <v>30</v>
      </c>
      <c r="B36" s="124" t="s">
        <v>90</v>
      </c>
      <c r="C36" s="124" t="s">
        <v>91</v>
      </c>
      <c r="D36" s="124" t="s">
        <v>92</v>
      </c>
      <c r="E36" s="125">
        <v>85000</v>
      </c>
      <c r="F36" s="126">
        <v>1259.615</v>
      </c>
      <c r="G36" s="127">
        <v>1.089359E-2</v>
      </c>
      <c r="H36" s="122" t="s">
        <v>153</v>
      </c>
      <c r="J36" s="2"/>
    </row>
    <row r="37" spans="1:10" x14ac:dyDescent="0.2">
      <c r="A37" s="120"/>
      <c r="B37" s="120"/>
      <c r="C37" s="121" t="s">
        <v>152</v>
      </c>
      <c r="D37" s="120"/>
      <c r="E37" s="120" t="s">
        <v>153</v>
      </c>
      <c r="F37" s="128">
        <v>113499.713499</v>
      </c>
      <c r="G37" s="129">
        <v>0.98158522999999998</v>
      </c>
      <c r="H37" s="122" t="s">
        <v>153</v>
      </c>
      <c r="J37" s="2"/>
    </row>
    <row r="38" spans="1:10" x14ac:dyDescent="0.2">
      <c r="A38" s="120"/>
      <c r="B38" s="120"/>
      <c r="C38" s="130"/>
      <c r="D38" s="120"/>
      <c r="E38" s="120"/>
      <c r="F38" s="131"/>
      <c r="G38" s="131"/>
      <c r="H38" s="122" t="s">
        <v>153</v>
      </c>
      <c r="J38" s="2"/>
    </row>
    <row r="39" spans="1:10" x14ac:dyDescent="0.2">
      <c r="A39" s="120"/>
      <c r="B39" s="120"/>
      <c r="C39" s="121" t="s">
        <v>154</v>
      </c>
      <c r="D39" s="120"/>
      <c r="E39" s="120"/>
      <c r="F39" s="120"/>
      <c r="G39" s="120"/>
      <c r="H39" s="122" t="s">
        <v>153</v>
      </c>
      <c r="J39" s="2"/>
    </row>
    <row r="40" spans="1:10" x14ac:dyDescent="0.2">
      <c r="A40" s="120"/>
      <c r="B40" s="120"/>
      <c r="C40" s="121" t="s">
        <v>152</v>
      </c>
      <c r="D40" s="120"/>
      <c r="E40" s="120" t="s">
        <v>153</v>
      </c>
      <c r="F40" s="132" t="s">
        <v>155</v>
      </c>
      <c r="G40" s="129">
        <v>0</v>
      </c>
      <c r="H40" s="122" t="s">
        <v>153</v>
      </c>
      <c r="J40" s="2"/>
    </row>
    <row r="41" spans="1:10" x14ac:dyDescent="0.2">
      <c r="A41" s="120"/>
      <c r="B41" s="120"/>
      <c r="C41" s="130"/>
      <c r="D41" s="120"/>
      <c r="E41" s="120"/>
      <c r="F41" s="131"/>
      <c r="G41" s="131"/>
      <c r="H41" s="122" t="s">
        <v>153</v>
      </c>
      <c r="J41" s="2"/>
    </row>
    <row r="42" spans="1:10" x14ac:dyDescent="0.2">
      <c r="A42" s="120"/>
      <c r="B42" s="120"/>
      <c r="C42" s="121" t="s">
        <v>156</v>
      </c>
      <c r="D42" s="120"/>
      <c r="E42" s="120"/>
      <c r="F42" s="120"/>
      <c r="G42" s="120"/>
      <c r="H42" s="122" t="s">
        <v>153</v>
      </c>
      <c r="J42" s="2"/>
    </row>
    <row r="43" spans="1:10" x14ac:dyDescent="0.2">
      <c r="A43" s="120"/>
      <c r="B43" s="120"/>
      <c r="C43" s="121" t="s">
        <v>152</v>
      </c>
      <c r="D43" s="120"/>
      <c r="E43" s="120" t="s">
        <v>153</v>
      </c>
      <c r="F43" s="132" t="s">
        <v>155</v>
      </c>
      <c r="G43" s="129">
        <v>0</v>
      </c>
      <c r="H43" s="122" t="s">
        <v>153</v>
      </c>
      <c r="J43" s="2"/>
    </row>
    <row r="44" spans="1:10" x14ac:dyDescent="0.2">
      <c r="A44" s="120"/>
      <c r="B44" s="120"/>
      <c r="C44" s="130"/>
      <c r="D44" s="120"/>
      <c r="E44" s="120"/>
      <c r="F44" s="131"/>
      <c r="G44" s="131"/>
      <c r="H44" s="122" t="s">
        <v>153</v>
      </c>
      <c r="J44" s="2"/>
    </row>
    <row r="45" spans="1:10" x14ac:dyDescent="0.2">
      <c r="A45" s="120"/>
      <c r="B45" s="120"/>
      <c r="C45" s="121" t="s">
        <v>157</v>
      </c>
      <c r="D45" s="120"/>
      <c r="E45" s="120"/>
      <c r="F45" s="120"/>
      <c r="G45" s="120"/>
      <c r="H45" s="122" t="s">
        <v>153</v>
      </c>
      <c r="J45" s="2"/>
    </row>
    <row r="46" spans="1:10" x14ac:dyDescent="0.2">
      <c r="A46" s="120"/>
      <c r="B46" s="120"/>
      <c r="C46" s="121" t="s">
        <v>152</v>
      </c>
      <c r="D46" s="120"/>
      <c r="E46" s="120" t="s">
        <v>153</v>
      </c>
      <c r="F46" s="132" t="s">
        <v>155</v>
      </c>
      <c r="G46" s="129">
        <v>0</v>
      </c>
      <c r="H46" s="122" t="s">
        <v>153</v>
      </c>
      <c r="J46" s="2"/>
    </row>
    <row r="47" spans="1:10" x14ac:dyDescent="0.2">
      <c r="A47" s="120"/>
      <c r="B47" s="120"/>
      <c r="C47" s="130"/>
      <c r="D47" s="120"/>
      <c r="E47" s="120"/>
      <c r="F47" s="131"/>
      <c r="G47" s="131"/>
      <c r="H47" s="122" t="s">
        <v>153</v>
      </c>
      <c r="J47" s="2"/>
    </row>
    <row r="48" spans="1:10" x14ac:dyDescent="0.2">
      <c r="A48" s="120"/>
      <c r="B48" s="120"/>
      <c r="C48" s="121" t="s">
        <v>158</v>
      </c>
      <c r="D48" s="120"/>
      <c r="E48" s="120"/>
      <c r="F48" s="131"/>
      <c r="G48" s="131"/>
      <c r="H48" s="122" t="s">
        <v>153</v>
      </c>
      <c r="J48" s="2"/>
    </row>
    <row r="49" spans="1:10" x14ac:dyDescent="0.2">
      <c r="A49" s="120"/>
      <c r="B49" s="120"/>
      <c r="C49" s="121" t="s">
        <v>152</v>
      </c>
      <c r="D49" s="120"/>
      <c r="E49" s="120" t="s">
        <v>153</v>
      </c>
      <c r="F49" s="132" t="s">
        <v>155</v>
      </c>
      <c r="G49" s="129">
        <v>0</v>
      </c>
      <c r="H49" s="122" t="s">
        <v>153</v>
      </c>
      <c r="J49" s="2"/>
    </row>
    <row r="50" spans="1:10" x14ac:dyDescent="0.2">
      <c r="A50" s="120"/>
      <c r="B50" s="120"/>
      <c r="C50" s="130"/>
      <c r="D50" s="120"/>
      <c r="E50" s="120"/>
      <c r="F50" s="131"/>
      <c r="G50" s="131"/>
      <c r="H50" s="122" t="s">
        <v>153</v>
      </c>
      <c r="J50" s="2"/>
    </row>
    <row r="51" spans="1:10" x14ac:dyDescent="0.2">
      <c r="A51" s="120"/>
      <c r="B51" s="120"/>
      <c r="C51" s="121" t="s">
        <v>159</v>
      </c>
      <c r="D51" s="120"/>
      <c r="E51" s="120"/>
      <c r="F51" s="131"/>
      <c r="G51" s="131"/>
      <c r="H51" s="122" t="s">
        <v>153</v>
      </c>
      <c r="J51" s="2"/>
    </row>
    <row r="52" spans="1:10" x14ac:dyDescent="0.2">
      <c r="A52" s="120"/>
      <c r="B52" s="120"/>
      <c r="C52" s="121" t="s">
        <v>152</v>
      </c>
      <c r="D52" s="120"/>
      <c r="E52" s="120" t="s">
        <v>153</v>
      </c>
      <c r="F52" s="132" t="s">
        <v>155</v>
      </c>
      <c r="G52" s="129">
        <v>0</v>
      </c>
      <c r="H52" s="122" t="s">
        <v>153</v>
      </c>
      <c r="J52" s="2"/>
    </row>
    <row r="53" spans="1:10" x14ac:dyDescent="0.2">
      <c r="A53" s="120"/>
      <c r="B53" s="120"/>
      <c r="C53" s="130"/>
      <c r="D53" s="120"/>
      <c r="E53" s="120"/>
      <c r="F53" s="131"/>
      <c r="G53" s="131"/>
      <c r="H53" s="122" t="s">
        <v>153</v>
      </c>
      <c r="J53" s="2"/>
    </row>
    <row r="54" spans="1:10" x14ac:dyDescent="0.2">
      <c r="A54" s="120"/>
      <c r="B54" s="120"/>
      <c r="C54" s="121" t="s">
        <v>160</v>
      </c>
      <c r="D54" s="120"/>
      <c r="E54" s="120"/>
      <c r="F54" s="128">
        <v>113499.713499</v>
      </c>
      <c r="G54" s="129">
        <v>0.98158522999999998</v>
      </c>
      <c r="H54" s="122" t="s">
        <v>153</v>
      </c>
      <c r="J54" s="2"/>
    </row>
    <row r="55" spans="1:10" x14ac:dyDescent="0.2">
      <c r="A55" s="120"/>
      <c r="B55" s="120"/>
      <c r="C55" s="130"/>
      <c r="D55" s="120"/>
      <c r="E55" s="120"/>
      <c r="F55" s="131"/>
      <c r="G55" s="131"/>
      <c r="H55" s="122" t="s">
        <v>153</v>
      </c>
      <c r="J55" s="2"/>
    </row>
    <row r="56" spans="1:10" x14ac:dyDescent="0.2">
      <c r="A56" s="120"/>
      <c r="B56" s="120"/>
      <c r="C56" s="121" t="s">
        <v>161</v>
      </c>
      <c r="D56" s="120"/>
      <c r="E56" s="120"/>
      <c r="F56" s="131"/>
      <c r="G56" s="131"/>
      <c r="H56" s="122" t="s">
        <v>153</v>
      </c>
      <c r="J56" s="2"/>
    </row>
    <row r="57" spans="1:10" ht="25.5" x14ac:dyDescent="0.2">
      <c r="A57" s="120"/>
      <c r="B57" s="120"/>
      <c r="C57" s="121" t="s">
        <v>10</v>
      </c>
      <c r="D57" s="120"/>
      <c r="E57" s="120"/>
      <c r="F57" s="131"/>
      <c r="G57" s="131"/>
      <c r="H57" s="122" t="s">
        <v>153</v>
      </c>
      <c r="J57" s="2"/>
    </row>
    <row r="58" spans="1:10" x14ac:dyDescent="0.2">
      <c r="A58" s="120"/>
      <c r="B58" s="120"/>
      <c r="C58" s="121" t="s">
        <v>152</v>
      </c>
      <c r="D58" s="120"/>
      <c r="E58" s="120" t="s">
        <v>153</v>
      </c>
      <c r="F58" s="132" t="s">
        <v>155</v>
      </c>
      <c r="G58" s="129">
        <v>0</v>
      </c>
      <c r="H58" s="122" t="s">
        <v>153</v>
      </c>
      <c r="J58" s="2"/>
    </row>
    <row r="59" spans="1:10" x14ac:dyDescent="0.2">
      <c r="A59" s="120"/>
      <c r="B59" s="120"/>
      <c r="C59" s="130"/>
      <c r="D59" s="120"/>
      <c r="E59" s="120"/>
      <c r="F59" s="131"/>
      <c r="G59" s="131"/>
      <c r="H59" s="122" t="s">
        <v>153</v>
      </c>
      <c r="J59" s="2"/>
    </row>
    <row r="60" spans="1:10" x14ac:dyDescent="0.2">
      <c r="A60" s="120"/>
      <c r="B60" s="120"/>
      <c r="C60" s="121" t="s">
        <v>162</v>
      </c>
      <c r="D60" s="120"/>
      <c r="E60" s="120"/>
      <c r="F60" s="120"/>
      <c r="G60" s="120"/>
      <c r="H60" s="122" t="s">
        <v>153</v>
      </c>
      <c r="J60" s="2"/>
    </row>
    <row r="61" spans="1:10" x14ac:dyDescent="0.2">
      <c r="A61" s="120"/>
      <c r="B61" s="120"/>
      <c r="C61" s="121" t="s">
        <v>152</v>
      </c>
      <c r="D61" s="120"/>
      <c r="E61" s="120" t="s">
        <v>153</v>
      </c>
      <c r="F61" s="132" t="s">
        <v>155</v>
      </c>
      <c r="G61" s="129">
        <v>0</v>
      </c>
      <c r="H61" s="122" t="s">
        <v>153</v>
      </c>
      <c r="J61" s="2"/>
    </row>
    <row r="62" spans="1:10" x14ac:dyDescent="0.2">
      <c r="A62" s="120"/>
      <c r="B62" s="120"/>
      <c r="C62" s="130"/>
      <c r="D62" s="120"/>
      <c r="E62" s="120"/>
      <c r="F62" s="131"/>
      <c r="G62" s="131"/>
      <c r="H62" s="122" t="s">
        <v>153</v>
      </c>
      <c r="J62" s="2"/>
    </row>
    <row r="63" spans="1:10" x14ac:dyDescent="0.2">
      <c r="A63" s="120"/>
      <c r="B63" s="120"/>
      <c r="C63" s="121" t="s">
        <v>163</v>
      </c>
      <c r="D63" s="120"/>
      <c r="E63" s="120"/>
      <c r="F63" s="120"/>
      <c r="G63" s="120"/>
      <c r="H63" s="122" t="s">
        <v>153</v>
      </c>
      <c r="J63" s="2"/>
    </row>
    <row r="64" spans="1:10" x14ac:dyDescent="0.2">
      <c r="A64" s="120"/>
      <c r="B64" s="120"/>
      <c r="C64" s="121" t="s">
        <v>152</v>
      </c>
      <c r="D64" s="120"/>
      <c r="E64" s="120" t="s">
        <v>153</v>
      </c>
      <c r="F64" s="132" t="s">
        <v>155</v>
      </c>
      <c r="G64" s="129">
        <v>0</v>
      </c>
      <c r="H64" s="122" t="s">
        <v>153</v>
      </c>
      <c r="J64" s="2"/>
    </row>
    <row r="65" spans="1:10" x14ac:dyDescent="0.2">
      <c r="A65" s="120"/>
      <c r="B65" s="120"/>
      <c r="C65" s="130"/>
      <c r="D65" s="120"/>
      <c r="E65" s="120"/>
      <c r="F65" s="131"/>
      <c r="G65" s="131"/>
      <c r="H65" s="122" t="s">
        <v>153</v>
      </c>
      <c r="J65" s="2"/>
    </row>
    <row r="66" spans="1:10" x14ac:dyDescent="0.2">
      <c r="A66" s="120"/>
      <c r="B66" s="120"/>
      <c r="C66" s="121" t="s">
        <v>164</v>
      </c>
      <c r="D66" s="120"/>
      <c r="E66" s="120"/>
      <c r="F66" s="131"/>
      <c r="G66" s="131"/>
      <c r="H66" s="122" t="s">
        <v>153</v>
      </c>
      <c r="J66" s="2"/>
    </row>
    <row r="67" spans="1:10" x14ac:dyDescent="0.2">
      <c r="A67" s="120"/>
      <c r="B67" s="120"/>
      <c r="C67" s="121" t="s">
        <v>152</v>
      </c>
      <c r="D67" s="120"/>
      <c r="E67" s="120" t="s">
        <v>153</v>
      </c>
      <c r="F67" s="132" t="s">
        <v>155</v>
      </c>
      <c r="G67" s="129">
        <v>0</v>
      </c>
      <c r="H67" s="122" t="s">
        <v>153</v>
      </c>
      <c r="J67" s="2"/>
    </row>
    <row r="68" spans="1:10" x14ac:dyDescent="0.2">
      <c r="A68" s="120"/>
      <c r="B68" s="120"/>
      <c r="C68" s="130"/>
      <c r="D68" s="120"/>
      <c r="E68" s="120"/>
      <c r="F68" s="131"/>
      <c r="G68" s="131"/>
      <c r="H68" s="122" t="s">
        <v>153</v>
      </c>
      <c r="J68" s="2"/>
    </row>
    <row r="69" spans="1:10" x14ac:dyDescent="0.2">
      <c r="A69" s="120"/>
      <c r="B69" s="120"/>
      <c r="C69" s="121" t="s">
        <v>165</v>
      </c>
      <c r="D69" s="120"/>
      <c r="E69" s="120"/>
      <c r="F69" s="128">
        <v>0</v>
      </c>
      <c r="G69" s="129">
        <v>0</v>
      </c>
      <c r="H69" s="122" t="s">
        <v>153</v>
      </c>
      <c r="J69" s="2"/>
    </row>
    <row r="70" spans="1:10" x14ac:dyDescent="0.2">
      <c r="A70" s="120"/>
      <c r="B70" s="120"/>
      <c r="C70" s="130"/>
      <c r="D70" s="120"/>
      <c r="E70" s="120"/>
      <c r="F70" s="131"/>
      <c r="G70" s="131"/>
      <c r="H70" s="122" t="s">
        <v>153</v>
      </c>
      <c r="J70" s="2"/>
    </row>
    <row r="71" spans="1:10" x14ac:dyDescent="0.2">
      <c r="A71" s="120"/>
      <c r="B71" s="120"/>
      <c r="C71" s="121" t="s">
        <v>166</v>
      </c>
      <c r="D71" s="120"/>
      <c r="E71" s="120"/>
      <c r="F71" s="131"/>
      <c r="G71" s="131"/>
      <c r="H71" s="122" t="s">
        <v>153</v>
      </c>
      <c r="J71" s="2"/>
    </row>
    <row r="72" spans="1:10" x14ac:dyDescent="0.2">
      <c r="A72" s="120"/>
      <c r="B72" s="120"/>
      <c r="C72" s="121" t="s">
        <v>167</v>
      </c>
      <c r="D72" s="120"/>
      <c r="E72" s="120"/>
      <c r="F72" s="131"/>
      <c r="G72" s="131"/>
      <c r="H72" s="122" t="s">
        <v>153</v>
      </c>
      <c r="J72" s="2"/>
    </row>
    <row r="73" spans="1:10" x14ac:dyDescent="0.2">
      <c r="A73" s="120"/>
      <c r="B73" s="120"/>
      <c r="C73" s="121" t="s">
        <v>152</v>
      </c>
      <c r="D73" s="120"/>
      <c r="E73" s="120" t="s">
        <v>153</v>
      </c>
      <c r="F73" s="132" t="s">
        <v>155</v>
      </c>
      <c r="G73" s="129">
        <v>0</v>
      </c>
      <c r="H73" s="122" t="s">
        <v>153</v>
      </c>
      <c r="J73" s="2"/>
    </row>
    <row r="74" spans="1:10" x14ac:dyDescent="0.2">
      <c r="A74" s="120"/>
      <c r="B74" s="120"/>
      <c r="C74" s="130"/>
      <c r="D74" s="120"/>
      <c r="E74" s="120"/>
      <c r="F74" s="131"/>
      <c r="G74" s="131"/>
      <c r="H74" s="122" t="s">
        <v>153</v>
      </c>
      <c r="J74" s="2"/>
    </row>
    <row r="75" spans="1:10" x14ac:dyDescent="0.2">
      <c r="A75" s="120"/>
      <c r="B75" s="120"/>
      <c r="C75" s="121" t="s">
        <v>168</v>
      </c>
      <c r="D75" s="120"/>
      <c r="E75" s="120"/>
      <c r="F75" s="131"/>
      <c r="G75" s="131"/>
      <c r="H75" s="122" t="s">
        <v>153</v>
      </c>
      <c r="J75" s="2"/>
    </row>
    <row r="76" spans="1:10" x14ac:dyDescent="0.2">
      <c r="A76" s="120"/>
      <c r="B76" s="120"/>
      <c r="C76" s="121" t="s">
        <v>152</v>
      </c>
      <c r="D76" s="120"/>
      <c r="E76" s="120" t="s">
        <v>153</v>
      </c>
      <c r="F76" s="132" t="s">
        <v>155</v>
      </c>
      <c r="G76" s="129">
        <v>0</v>
      </c>
      <c r="H76" s="122" t="s">
        <v>153</v>
      </c>
      <c r="J76" s="2"/>
    </row>
    <row r="77" spans="1:10" x14ac:dyDescent="0.2">
      <c r="A77" s="120"/>
      <c r="B77" s="120"/>
      <c r="C77" s="130"/>
      <c r="D77" s="120"/>
      <c r="E77" s="120"/>
      <c r="F77" s="131"/>
      <c r="G77" s="131"/>
      <c r="H77" s="122" t="s">
        <v>153</v>
      </c>
      <c r="J77" s="2"/>
    </row>
    <row r="78" spans="1:10" x14ac:dyDescent="0.2">
      <c r="A78" s="120"/>
      <c r="B78" s="120"/>
      <c r="C78" s="121" t="s">
        <v>169</v>
      </c>
      <c r="D78" s="120"/>
      <c r="E78" s="120"/>
      <c r="F78" s="131"/>
      <c r="G78" s="131"/>
      <c r="H78" s="122" t="s">
        <v>153</v>
      </c>
      <c r="J78" s="2"/>
    </row>
    <row r="79" spans="1:10" x14ac:dyDescent="0.2">
      <c r="A79" s="120"/>
      <c r="B79" s="120"/>
      <c r="C79" s="121" t="s">
        <v>152</v>
      </c>
      <c r="D79" s="120"/>
      <c r="E79" s="120" t="s">
        <v>153</v>
      </c>
      <c r="F79" s="132" t="s">
        <v>155</v>
      </c>
      <c r="G79" s="129">
        <v>0</v>
      </c>
      <c r="H79" s="122" t="s">
        <v>153</v>
      </c>
      <c r="J79" s="2"/>
    </row>
    <row r="80" spans="1:10" x14ac:dyDescent="0.2">
      <c r="A80" s="120"/>
      <c r="B80" s="120"/>
      <c r="C80" s="130"/>
      <c r="D80" s="120"/>
      <c r="E80" s="120"/>
      <c r="F80" s="131"/>
      <c r="G80" s="131"/>
      <c r="H80" s="122" t="s">
        <v>153</v>
      </c>
      <c r="J80" s="2"/>
    </row>
    <row r="81" spans="1:10" x14ac:dyDescent="0.2">
      <c r="A81" s="120"/>
      <c r="B81" s="120"/>
      <c r="C81" s="121" t="s">
        <v>170</v>
      </c>
      <c r="D81" s="120"/>
      <c r="E81" s="120"/>
      <c r="F81" s="131"/>
      <c r="G81" s="131"/>
      <c r="H81" s="122" t="s">
        <v>153</v>
      </c>
      <c r="J81" s="2"/>
    </row>
    <row r="82" spans="1:10" x14ac:dyDescent="0.2">
      <c r="A82" s="123">
        <v>1</v>
      </c>
      <c r="B82" s="124"/>
      <c r="C82" s="124" t="s">
        <v>171</v>
      </c>
      <c r="D82" s="124"/>
      <c r="E82" s="133"/>
      <c r="F82" s="126">
        <v>1014.6643967</v>
      </c>
      <c r="G82" s="127">
        <v>8.7751700000000005E-3</v>
      </c>
      <c r="H82" s="122">
        <v>6.62</v>
      </c>
      <c r="J82" s="2"/>
    </row>
    <row r="83" spans="1:10" x14ac:dyDescent="0.2">
      <c r="A83" s="120"/>
      <c r="B83" s="120"/>
      <c r="C83" s="121" t="s">
        <v>152</v>
      </c>
      <c r="D83" s="120"/>
      <c r="E83" s="120" t="s">
        <v>153</v>
      </c>
      <c r="F83" s="128">
        <v>1014.6643967</v>
      </c>
      <c r="G83" s="129">
        <v>8.7751700000000005E-3</v>
      </c>
      <c r="H83" s="122" t="s">
        <v>153</v>
      </c>
      <c r="J83" s="2"/>
    </row>
    <row r="84" spans="1:10" x14ac:dyDescent="0.2">
      <c r="A84" s="120"/>
      <c r="B84" s="120"/>
      <c r="C84" s="130"/>
      <c r="D84" s="120"/>
      <c r="E84" s="120"/>
      <c r="F84" s="131"/>
      <c r="G84" s="131"/>
      <c r="H84" s="122" t="s">
        <v>153</v>
      </c>
      <c r="J84" s="2"/>
    </row>
    <row r="85" spans="1:10" x14ac:dyDescent="0.2">
      <c r="A85" s="120"/>
      <c r="B85" s="120"/>
      <c r="C85" s="121" t="s">
        <v>172</v>
      </c>
      <c r="D85" s="120"/>
      <c r="E85" s="120"/>
      <c r="F85" s="128">
        <v>1014.6643967</v>
      </c>
      <c r="G85" s="129">
        <v>8.7751700000000005E-3</v>
      </c>
      <c r="H85" s="122" t="s">
        <v>153</v>
      </c>
      <c r="J85" s="2"/>
    </row>
    <row r="86" spans="1:10" x14ac:dyDescent="0.2">
      <c r="A86" s="120"/>
      <c r="B86" s="120"/>
      <c r="C86" s="131"/>
      <c r="D86" s="120"/>
      <c r="E86" s="120"/>
      <c r="F86" s="120"/>
      <c r="G86" s="120"/>
      <c r="H86" s="122" t="s">
        <v>153</v>
      </c>
      <c r="J86" s="2"/>
    </row>
    <row r="87" spans="1:10" x14ac:dyDescent="0.2">
      <c r="A87" s="120"/>
      <c r="B87" s="120"/>
      <c r="C87" s="121" t="s">
        <v>173</v>
      </c>
      <c r="D87" s="120"/>
      <c r="E87" s="120"/>
      <c r="F87" s="120"/>
      <c r="G87" s="120"/>
      <c r="H87" s="122" t="s">
        <v>153</v>
      </c>
      <c r="J87" s="2"/>
    </row>
    <row r="88" spans="1:10" x14ac:dyDescent="0.2">
      <c r="A88" s="120"/>
      <c r="B88" s="120"/>
      <c r="C88" s="121" t="s">
        <v>174</v>
      </c>
      <c r="D88" s="120"/>
      <c r="E88" s="120"/>
      <c r="F88" s="120"/>
      <c r="G88" s="120"/>
      <c r="H88" s="122" t="s">
        <v>153</v>
      </c>
      <c r="J88" s="2"/>
    </row>
    <row r="89" spans="1:10" x14ac:dyDescent="0.2">
      <c r="A89" s="120"/>
      <c r="B89" s="120"/>
      <c r="C89" s="121" t="s">
        <v>152</v>
      </c>
      <c r="D89" s="120"/>
      <c r="E89" s="120" t="s">
        <v>153</v>
      </c>
      <c r="F89" s="132" t="s">
        <v>155</v>
      </c>
      <c r="G89" s="129">
        <v>0</v>
      </c>
      <c r="H89" s="122" t="s">
        <v>153</v>
      </c>
      <c r="J89" s="2"/>
    </row>
    <row r="90" spans="1:10" x14ac:dyDescent="0.2">
      <c r="A90" s="120"/>
      <c r="B90" s="120"/>
      <c r="C90" s="130"/>
      <c r="D90" s="120"/>
      <c r="E90" s="120"/>
      <c r="F90" s="131"/>
      <c r="G90" s="131"/>
      <c r="H90" s="122" t="s">
        <v>153</v>
      </c>
      <c r="J90" s="2"/>
    </row>
    <row r="91" spans="1:10" x14ac:dyDescent="0.2">
      <c r="A91" s="120"/>
      <c r="B91" s="120"/>
      <c r="C91" s="121" t="s">
        <v>175</v>
      </c>
      <c r="D91" s="120"/>
      <c r="E91" s="120"/>
      <c r="F91" s="120"/>
      <c r="G91" s="120"/>
      <c r="H91" s="122" t="s">
        <v>153</v>
      </c>
      <c r="J91" s="2"/>
    </row>
    <row r="92" spans="1:10" x14ac:dyDescent="0.2">
      <c r="A92" s="120"/>
      <c r="B92" s="120"/>
      <c r="C92" s="121" t="s">
        <v>176</v>
      </c>
      <c r="D92" s="120"/>
      <c r="E92" s="120"/>
      <c r="F92" s="120"/>
      <c r="G92" s="120"/>
      <c r="H92" s="122" t="s">
        <v>153</v>
      </c>
      <c r="J92" s="2"/>
    </row>
    <row r="93" spans="1:10" x14ac:dyDescent="0.2">
      <c r="A93" s="120"/>
      <c r="B93" s="120"/>
      <c r="C93" s="121" t="s">
        <v>152</v>
      </c>
      <c r="D93" s="120"/>
      <c r="E93" s="120" t="s">
        <v>153</v>
      </c>
      <c r="F93" s="132" t="s">
        <v>155</v>
      </c>
      <c r="G93" s="129">
        <v>0</v>
      </c>
      <c r="H93" s="122" t="s">
        <v>153</v>
      </c>
      <c r="J93" s="2"/>
    </row>
    <row r="94" spans="1:10" x14ac:dyDescent="0.2">
      <c r="A94" s="120"/>
      <c r="B94" s="120"/>
      <c r="C94" s="130"/>
      <c r="D94" s="120"/>
      <c r="E94" s="120"/>
      <c r="F94" s="131"/>
      <c r="G94" s="131"/>
      <c r="H94" s="122" t="s">
        <v>153</v>
      </c>
      <c r="J94" s="2"/>
    </row>
    <row r="95" spans="1:10" ht="25.5" x14ac:dyDescent="0.2">
      <c r="A95" s="120"/>
      <c r="B95" s="120"/>
      <c r="C95" s="121" t="s">
        <v>177</v>
      </c>
      <c r="D95" s="120"/>
      <c r="E95" s="120"/>
      <c r="F95" s="131"/>
      <c r="G95" s="131"/>
      <c r="H95" s="122" t="s">
        <v>153</v>
      </c>
      <c r="J95" s="2"/>
    </row>
    <row r="96" spans="1:10" x14ac:dyDescent="0.2">
      <c r="A96" s="120"/>
      <c r="B96" s="120"/>
      <c r="C96" s="121" t="s">
        <v>152</v>
      </c>
      <c r="D96" s="120"/>
      <c r="E96" s="120" t="s">
        <v>153</v>
      </c>
      <c r="F96" s="132" t="s">
        <v>155</v>
      </c>
      <c r="G96" s="129">
        <v>0</v>
      </c>
      <c r="H96" s="122" t="s">
        <v>153</v>
      </c>
      <c r="J96" s="2"/>
    </row>
    <row r="97" spans="1:17" x14ac:dyDescent="0.2">
      <c r="A97" s="120"/>
      <c r="B97" s="120"/>
      <c r="C97" s="130"/>
      <c r="D97" s="120"/>
      <c r="E97" s="120"/>
      <c r="F97" s="131"/>
      <c r="G97" s="131"/>
      <c r="H97" s="122" t="s">
        <v>153</v>
      </c>
      <c r="J97" s="2"/>
    </row>
    <row r="98" spans="1:17" x14ac:dyDescent="0.2">
      <c r="A98" s="133"/>
      <c r="B98" s="124"/>
      <c r="C98" s="124" t="s">
        <v>178</v>
      </c>
      <c r="D98" s="124"/>
      <c r="E98" s="133"/>
      <c r="F98" s="126">
        <v>1114.6217477800001</v>
      </c>
      <c r="G98" s="127">
        <v>9.6396399999999997E-3</v>
      </c>
      <c r="H98" s="122" t="s">
        <v>153</v>
      </c>
      <c r="J98" s="2"/>
    </row>
    <row r="99" spans="1:17" x14ac:dyDescent="0.2">
      <c r="A99" s="130"/>
      <c r="B99" s="130"/>
      <c r="C99" s="121" t="s">
        <v>179</v>
      </c>
      <c r="D99" s="131"/>
      <c r="E99" s="131"/>
      <c r="F99" s="128">
        <v>115628.99964348</v>
      </c>
      <c r="G99" s="134">
        <v>1.00000004</v>
      </c>
      <c r="H99" s="122" t="s">
        <v>153</v>
      </c>
      <c r="J99" s="2"/>
    </row>
    <row r="100" spans="1:17" x14ac:dyDescent="0.2">
      <c r="A100" s="135"/>
      <c r="B100" s="135"/>
      <c r="C100" s="135"/>
      <c r="D100" s="136"/>
      <c r="E100" s="136"/>
      <c r="F100" s="136"/>
      <c r="G100" s="136"/>
      <c r="J100" s="2"/>
    </row>
    <row r="101" spans="1:17" x14ac:dyDescent="0.2">
      <c r="A101" s="137"/>
      <c r="B101" s="226" t="s">
        <v>863</v>
      </c>
      <c r="C101" s="226"/>
      <c r="D101" s="226"/>
      <c r="E101" s="226"/>
      <c r="F101" s="226"/>
      <c r="G101" s="226"/>
      <c r="H101" s="226"/>
      <c r="J101" s="2"/>
    </row>
    <row r="102" spans="1:17" x14ac:dyDescent="0.2">
      <c r="A102" s="137"/>
      <c r="B102" s="226" t="s">
        <v>864</v>
      </c>
      <c r="C102" s="226"/>
      <c r="D102" s="226"/>
      <c r="E102" s="226"/>
      <c r="F102" s="226"/>
      <c r="G102" s="226"/>
      <c r="H102" s="226"/>
      <c r="J102" s="2"/>
    </row>
    <row r="103" spans="1:17" x14ac:dyDescent="0.2">
      <c r="A103" s="137"/>
      <c r="B103" s="226" t="s">
        <v>865</v>
      </c>
      <c r="C103" s="226"/>
      <c r="D103" s="226"/>
      <c r="E103" s="226"/>
      <c r="F103" s="226"/>
      <c r="G103" s="226"/>
      <c r="H103" s="226"/>
      <c r="J103" s="2"/>
    </row>
    <row r="104" spans="1:17" s="5" customFormat="1" ht="67.5" customHeight="1" x14ac:dyDescent="0.25">
      <c r="A104" s="139"/>
      <c r="B104" s="227" t="s">
        <v>866</v>
      </c>
      <c r="C104" s="227"/>
      <c r="D104" s="227"/>
      <c r="E104" s="227"/>
      <c r="F104" s="227"/>
      <c r="G104" s="227"/>
      <c r="H104" s="227"/>
      <c r="I104"/>
      <c r="J104" s="2"/>
      <c r="K104"/>
      <c r="L104"/>
      <c r="M104"/>
      <c r="N104"/>
      <c r="O104"/>
      <c r="P104"/>
      <c r="Q104"/>
    </row>
    <row r="105" spans="1:17" x14ac:dyDescent="0.2">
      <c r="A105" s="137"/>
      <c r="B105" s="226" t="s">
        <v>867</v>
      </c>
      <c r="C105" s="226"/>
      <c r="D105" s="226"/>
      <c r="E105" s="226"/>
      <c r="F105" s="226"/>
      <c r="G105" s="226"/>
      <c r="H105" s="226"/>
      <c r="J105" s="2"/>
    </row>
    <row r="106" spans="1:17" x14ac:dyDescent="0.2">
      <c r="A106" s="140"/>
      <c r="B106" s="140"/>
      <c r="C106" s="140"/>
      <c r="D106" s="141"/>
      <c r="E106" s="141"/>
      <c r="F106" s="141"/>
      <c r="G106" s="141"/>
      <c r="J106" s="2"/>
    </row>
    <row r="107" spans="1:17" x14ac:dyDescent="0.2">
      <c r="A107" s="140"/>
      <c r="B107" s="228" t="s">
        <v>180</v>
      </c>
      <c r="C107" s="229"/>
      <c r="D107" s="230"/>
      <c r="E107" s="142"/>
      <c r="F107" s="141"/>
      <c r="G107" s="141"/>
      <c r="J107" s="2"/>
    </row>
    <row r="108" spans="1:17" x14ac:dyDescent="0.2">
      <c r="A108" s="140"/>
      <c r="B108" s="223" t="s">
        <v>181</v>
      </c>
      <c r="C108" s="224"/>
      <c r="D108" s="121" t="s">
        <v>182</v>
      </c>
      <c r="E108" s="142"/>
      <c r="F108" s="141"/>
      <c r="G108" s="141"/>
      <c r="J108" s="2"/>
    </row>
    <row r="109" spans="1:17" x14ac:dyDescent="0.2">
      <c r="A109" s="140"/>
      <c r="B109" s="223" t="s">
        <v>183</v>
      </c>
      <c r="C109" s="224"/>
      <c r="D109" s="121" t="s">
        <v>182</v>
      </c>
      <c r="E109" s="142"/>
      <c r="F109" s="141"/>
      <c r="G109" s="141"/>
      <c r="J109" s="2"/>
    </row>
    <row r="110" spans="1:17" x14ac:dyDescent="0.2">
      <c r="A110" s="140"/>
      <c r="B110" s="223" t="s">
        <v>184</v>
      </c>
      <c r="C110" s="224"/>
      <c r="D110" s="131" t="s">
        <v>153</v>
      </c>
      <c r="E110" s="142"/>
      <c r="F110" s="141"/>
      <c r="G110" s="141"/>
      <c r="J110" s="2"/>
    </row>
    <row r="111" spans="1:17" x14ac:dyDescent="0.2">
      <c r="A111" s="144"/>
      <c r="B111" s="145" t="s">
        <v>153</v>
      </c>
      <c r="C111" s="145" t="s">
        <v>870</v>
      </c>
      <c r="D111" s="145" t="s">
        <v>185</v>
      </c>
      <c r="E111" s="144"/>
      <c r="F111" s="144"/>
      <c r="G111" s="144"/>
      <c r="H111" s="144"/>
      <c r="J111" s="2"/>
    </row>
    <row r="112" spans="1:17" x14ac:dyDescent="0.2">
      <c r="A112" s="146"/>
      <c r="B112" s="147" t="s">
        <v>186</v>
      </c>
      <c r="C112" s="148">
        <v>45504</v>
      </c>
      <c r="D112" s="149">
        <v>45535</v>
      </c>
      <c r="E112" s="146"/>
      <c r="F112" s="146"/>
      <c r="G112" s="146"/>
      <c r="J112" s="2"/>
    </row>
    <row r="113" spans="1:10" x14ac:dyDescent="0.2">
      <c r="A113" s="146"/>
      <c r="B113" s="124" t="s">
        <v>187</v>
      </c>
      <c r="C113" s="150">
        <v>178.2894</v>
      </c>
      <c r="D113" s="150">
        <v>183.65889999999999</v>
      </c>
      <c r="E113" s="146"/>
      <c r="F113" s="151"/>
      <c r="G113" s="152"/>
      <c r="J113" s="2"/>
    </row>
    <row r="114" spans="1:10" ht="25.5" x14ac:dyDescent="0.2">
      <c r="A114" s="146"/>
      <c r="B114" s="124" t="s">
        <v>928</v>
      </c>
      <c r="C114" s="150">
        <v>48.862200000000001</v>
      </c>
      <c r="D114" s="150">
        <v>50.333799999999997</v>
      </c>
      <c r="E114" s="146"/>
      <c r="F114" s="151"/>
      <c r="G114" s="152"/>
      <c r="J114" s="2"/>
    </row>
    <row r="115" spans="1:10" x14ac:dyDescent="0.2">
      <c r="A115" s="146"/>
      <c r="B115" s="124" t="s">
        <v>188</v>
      </c>
      <c r="C115" s="150">
        <v>162.52000000000001</v>
      </c>
      <c r="D115" s="150">
        <v>167.26949999999999</v>
      </c>
      <c r="E115" s="146"/>
      <c r="F115" s="151"/>
      <c r="G115" s="152"/>
      <c r="J115" s="2"/>
    </row>
    <row r="116" spans="1:10" ht="25.5" x14ac:dyDescent="0.2">
      <c r="A116" s="146"/>
      <c r="B116" s="124" t="s">
        <v>929</v>
      </c>
      <c r="C116" s="150">
        <v>45.362699999999997</v>
      </c>
      <c r="D116" s="150">
        <v>46.688400000000001</v>
      </c>
      <c r="E116" s="146"/>
      <c r="F116" s="151"/>
      <c r="G116" s="152"/>
      <c r="J116" s="2"/>
    </row>
    <row r="117" spans="1:10" x14ac:dyDescent="0.2">
      <c r="A117" s="146"/>
      <c r="B117" s="146"/>
      <c r="C117" s="146"/>
      <c r="D117" s="146"/>
      <c r="E117" s="146"/>
      <c r="F117" s="146"/>
      <c r="G117" s="146"/>
      <c r="J117" s="2"/>
    </row>
    <row r="118" spans="1:10" x14ac:dyDescent="0.2">
      <c r="A118" s="144"/>
      <c r="B118" s="221" t="s">
        <v>869</v>
      </c>
      <c r="C118" s="222"/>
      <c r="D118" s="143" t="s">
        <v>182</v>
      </c>
      <c r="E118" s="144"/>
      <c r="F118" s="144"/>
      <c r="G118" s="144"/>
      <c r="J118" s="2"/>
    </row>
    <row r="119" spans="1:10" x14ac:dyDescent="0.2">
      <c r="A119" s="144"/>
      <c r="B119" s="163"/>
      <c r="C119" s="163"/>
      <c r="D119" s="163"/>
      <c r="E119" s="144"/>
      <c r="F119" s="144"/>
      <c r="G119" s="144"/>
      <c r="J119" s="2"/>
    </row>
    <row r="120" spans="1:10" ht="29.1" customHeight="1" x14ac:dyDescent="0.2">
      <c r="A120" s="144"/>
      <c r="B120" s="221" t="s">
        <v>189</v>
      </c>
      <c r="C120" s="222"/>
      <c r="D120" s="143" t="s">
        <v>182</v>
      </c>
      <c r="E120" s="153"/>
      <c r="F120" s="144"/>
      <c r="G120" s="144"/>
      <c r="J120" s="2"/>
    </row>
    <row r="121" spans="1:10" ht="29.1" customHeight="1" x14ac:dyDescent="0.2">
      <c r="A121" s="144"/>
      <c r="B121" s="221" t="s">
        <v>190</v>
      </c>
      <c r="C121" s="222"/>
      <c r="D121" s="143" t="s">
        <v>182</v>
      </c>
      <c r="E121" s="153"/>
      <c r="F121" s="144"/>
      <c r="G121" s="144"/>
      <c r="J121" s="2"/>
    </row>
    <row r="122" spans="1:10" ht="17.100000000000001" customHeight="1" x14ac:dyDescent="0.2">
      <c r="A122" s="144"/>
      <c r="B122" s="221" t="s">
        <v>191</v>
      </c>
      <c r="C122" s="222"/>
      <c r="D122" s="143" t="s">
        <v>182</v>
      </c>
      <c r="E122" s="153"/>
      <c r="F122" s="144"/>
      <c r="G122" s="144"/>
      <c r="J122" s="2"/>
    </row>
    <row r="123" spans="1:10" ht="17.100000000000001" customHeight="1" x14ac:dyDescent="0.2">
      <c r="A123" s="144"/>
      <c r="B123" s="221" t="s">
        <v>192</v>
      </c>
      <c r="C123" s="222"/>
      <c r="D123" s="154">
        <v>0.32391630057702464</v>
      </c>
      <c r="E123" s="144"/>
      <c r="F123" s="138"/>
      <c r="G123" s="155"/>
    </row>
  </sheetData>
  <mergeCells count="17">
    <mergeCell ref="B108:C108"/>
    <mergeCell ref="A1:H1"/>
    <mergeCell ref="A2:H2"/>
    <mergeCell ref="A3:H3"/>
    <mergeCell ref="B101:H101"/>
    <mergeCell ref="B102:H102"/>
    <mergeCell ref="B103:H103"/>
    <mergeCell ref="B104:H104"/>
    <mergeCell ref="B105:H105"/>
    <mergeCell ref="B107:D107"/>
    <mergeCell ref="B109:C109"/>
    <mergeCell ref="B110:C110"/>
    <mergeCell ref="B118:C118"/>
    <mergeCell ref="B122:C122"/>
    <mergeCell ref="B123:C123"/>
    <mergeCell ref="B120:C120"/>
    <mergeCell ref="B121:C121"/>
  </mergeCells>
  <hyperlinks>
    <hyperlink ref="I1" location="Index!B20" display="Index" xr:uid="{8C54F49A-2C99-4B6E-BE46-21A1E686562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3AED5-B4BA-4D21-A0D6-F92D4A1F9C3C}">
  <sheetPr>
    <outlinePr summaryBelow="0" summaryRight="0"/>
  </sheetPr>
  <dimension ref="A1:Q16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724</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ht="14.1" customHeight="1" x14ac:dyDescent="0.2">
      <c r="A5" s="120"/>
      <c r="B5" s="120"/>
      <c r="C5" s="121" t="s">
        <v>9</v>
      </c>
      <c r="D5" s="120"/>
      <c r="E5" s="120"/>
      <c r="F5" s="120"/>
      <c r="G5" s="120"/>
      <c r="H5" s="122" t="s">
        <v>153</v>
      </c>
      <c r="J5" s="2"/>
    </row>
    <row r="6" spans="1:10" ht="24" customHeight="1" x14ac:dyDescent="0.2">
      <c r="A6" s="120"/>
      <c r="B6" s="120"/>
      <c r="C6" s="121" t="s">
        <v>10</v>
      </c>
      <c r="D6" s="120"/>
      <c r="E6" s="120"/>
      <c r="F6" s="120"/>
      <c r="G6" s="120"/>
      <c r="H6" s="122" t="s">
        <v>153</v>
      </c>
      <c r="J6" s="2"/>
    </row>
    <row r="7" spans="1:10" ht="17.100000000000001" customHeight="1" x14ac:dyDescent="0.2">
      <c r="A7" s="123">
        <v>1</v>
      </c>
      <c r="B7" s="124" t="s">
        <v>20</v>
      </c>
      <c r="C7" s="124" t="s">
        <v>21</v>
      </c>
      <c r="D7" s="124" t="s">
        <v>22</v>
      </c>
      <c r="E7" s="125">
        <v>556134</v>
      </c>
      <c r="F7" s="126">
        <v>16791.075795000001</v>
      </c>
      <c r="G7" s="127">
        <v>5.8843100000000002E-2</v>
      </c>
      <c r="H7" s="122" t="s">
        <v>153</v>
      </c>
      <c r="J7" s="2"/>
    </row>
    <row r="8" spans="1:10" ht="17.100000000000001" customHeight="1" x14ac:dyDescent="0.2">
      <c r="A8" s="123">
        <v>2</v>
      </c>
      <c r="B8" s="124" t="s">
        <v>342</v>
      </c>
      <c r="C8" s="124" t="s">
        <v>343</v>
      </c>
      <c r="D8" s="124" t="s">
        <v>48</v>
      </c>
      <c r="E8" s="125">
        <v>746575</v>
      </c>
      <c r="F8" s="126">
        <v>12220.686175000001</v>
      </c>
      <c r="G8" s="127">
        <v>4.2826500000000003E-2</v>
      </c>
      <c r="H8" s="122" t="s">
        <v>153</v>
      </c>
      <c r="J8" s="2"/>
    </row>
    <row r="9" spans="1:10" ht="17.100000000000001" customHeight="1" x14ac:dyDescent="0.2">
      <c r="A9" s="123">
        <v>3</v>
      </c>
      <c r="B9" s="124" t="s">
        <v>87</v>
      </c>
      <c r="C9" s="124" t="s">
        <v>88</v>
      </c>
      <c r="D9" s="124" t="s">
        <v>89</v>
      </c>
      <c r="E9" s="125">
        <v>1689887</v>
      </c>
      <c r="F9" s="126">
        <v>9286.7740085000005</v>
      </c>
      <c r="G9" s="127">
        <v>3.2544820000000002E-2</v>
      </c>
      <c r="H9" s="122" t="s">
        <v>153</v>
      </c>
      <c r="J9" s="2"/>
    </row>
    <row r="10" spans="1:10" ht="17.100000000000001" customHeight="1" x14ac:dyDescent="0.2">
      <c r="A10" s="123">
        <v>4</v>
      </c>
      <c r="B10" s="124" t="s">
        <v>11</v>
      </c>
      <c r="C10" s="124" t="s">
        <v>12</v>
      </c>
      <c r="D10" s="124" t="s">
        <v>13</v>
      </c>
      <c r="E10" s="125">
        <v>230571</v>
      </c>
      <c r="F10" s="126">
        <v>8541.8485514999993</v>
      </c>
      <c r="G10" s="127">
        <v>2.9934280000000001E-2</v>
      </c>
      <c r="H10" s="122" t="s">
        <v>153</v>
      </c>
      <c r="J10" s="2"/>
    </row>
    <row r="11" spans="1:10" ht="17.100000000000001" customHeight="1" x14ac:dyDescent="0.2">
      <c r="A11" s="123">
        <v>5</v>
      </c>
      <c r="B11" s="124" t="s">
        <v>344</v>
      </c>
      <c r="C11" s="124" t="s">
        <v>345</v>
      </c>
      <c r="D11" s="124" t="s">
        <v>211</v>
      </c>
      <c r="E11" s="125">
        <v>425850</v>
      </c>
      <c r="F11" s="126">
        <v>8277.2464500000006</v>
      </c>
      <c r="G11" s="127">
        <v>2.900701E-2</v>
      </c>
      <c r="H11" s="122" t="s">
        <v>153</v>
      </c>
      <c r="J11" s="2"/>
    </row>
    <row r="12" spans="1:10" ht="17.100000000000001" customHeight="1" x14ac:dyDescent="0.2">
      <c r="A12" s="123">
        <v>6</v>
      </c>
      <c r="B12" s="124" t="s">
        <v>17</v>
      </c>
      <c r="C12" s="124" t="s">
        <v>18</v>
      </c>
      <c r="D12" s="124" t="s">
        <v>19</v>
      </c>
      <c r="E12" s="125">
        <v>1955077</v>
      </c>
      <c r="F12" s="126">
        <v>8137.0304740000001</v>
      </c>
      <c r="G12" s="127">
        <v>2.851563E-2</v>
      </c>
      <c r="H12" s="122" t="s">
        <v>153</v>
      </c>
      <c r="J12" s="7"/>
    </row>
    <row r="13" spans="1:10" ht="17.100000000000001" customHeight="1" x14ac:dyDescent="0.2">
      <c r="A13" s="123">
        <v>7</v>
      </c>
      <c r="B13" s="124" t="s">
        <v>217</v>
      </c>
      <c r="C13" s="124" t="s">
        <v>218</v>
      </c>
      <c r="D13" s="124" t="s">
        <v>48</v>
      </c>
      <c r="E13" s="125">
        <v>1339692</v>
      </c>
      <c r="F13" s="126">
        <v>7600.0727159999997</v>
      </c>
      <c r="G13" s="127">
        <v>2.6633899999999999E-2</v>
      </c>
      <c r="H13" s="122" t="s">
        <v>153</v>
      </c>
      <c r="J13" s="2"/>
    </row>
    <row r="14" spans="1:10" ht="29.1" customHeight="1" x14ac:dyDescent="0.2">
      <c r="A14" s="123">
        <v>8</v>
      </c>
      <c r="B14" s="124" t="s">
        <v>206</v>
      </c>
      <c r="C14" s="124" t="s">
        <v>207</v>
      </c>
      <c r="D14" s="124" t="s">
        <v>208</v>
      </c>
      <c r="E14" s="125">
        <v>311373</v>
      </c>
      <c r="F14" s="126">
        <v>6975.3779459999996</v>
      </c>
      <c r="G14" s="127">
        <v>2.44447E-2</v>
      </c>
      <c r="H14" s="122" t="s">
        <v>153</v>
      </c>
      <c r="J14" s="2"/>
    </row>
    <row r="15" spans="1:10" ht="17.100000000000001" customHeight="1" x14ac:dyDescent="0.2">
      <c r="A15" s="123">
        <v>9</v>
      </c>
      <c r="B15" s="124" t="s">
        <v>33</v>
      </c>
      <c r="C15" s="124" t="s">
        <v>34</v>
      </c>
      <c r="D15" s="124" t="s">
        <v>35</v>
      </c>
      <c r="E15" s="125">
        <v>749415</v>
      </c>
      <c r="F15" s="126">
        <v>6958.3182749999996</v>
      </c>
      <c r="G15" s="127">
        <v>2.4384920000000001E-2</v>
      </c>
      <c r="H15" s="122" t="s">
        <v>153</v>
      </c>
      <c r="J15" s="2" t="s">
        <v>1030</v>
      </c>
    </row>
    <row r="16" spans="1:10" ht="17.100000000000001" customHeight="1" x14ac:dyDescent="0.2">
      <c r="A16" s="123">
        <v>10</v>
      </c>
      <c r="B16" s="124" t="s">
        <v>223</v>
      </c>
      <c r="C16" s="124" t="s">
        <v>224</v>
      </c>
      <c r="D16" s="124" t="s">
        <v>89</v>
      </c>
      <c r="E16" s="125">
        <v>49053</v>
      </c>
      <c r="F16" s="126">
        <v>6842.4029700000001</v>
      </c>
      <c r="G16" s="127">
        <v>2.3978699999999999E-2</v>
      </c>
      <c r="H16" s="122" t="s">
        <v>153</v>
      </c>
      <c r="J16" s="2"/>
    </row>
    <row r="17" spans="1:10" ht="17.100000000000001" customHeight="1" x14ac:dyDescent="0.2">
      <c r="A17" s="123">
        <v>11</v>
      </c>
      <c r="B17" s="124" t="s">
        <v>350</v>
      </c>
      <c r="C17" s="124" t="s">
        <v>351</v>
      </c>
      <c r="D17" s="124" t="s">
        <v>48</v>
      </c>
      <c r="E17" s="125">
        <v>577823</v>
      </c>
      <c r="F17" s="126">
        <v>6790.8648075000001</v>
      </c>
      <c r="G17" s="127">
        <v>2.3798090000000001E-2</v>
      </c>
      <c r="H17" s="122" t="s">
        <v>153</v>
      </c>
      <c r="J17" s="2"/>
    </row>
    <row r="18" spans="1:10" ht="17.100000000000001" customHeight="1" x14ac:dyDescent="0.2">
      <c r="A18" s="123">
        <v>12</v>
      </c>
      <c r="B18" s="124" t="s">
        <v>69</v>
      </c>
      <c r="C18" s="124" t="s">
        <v>70</v>
      </c>
      <c r="D18" s="124" t="s">
        <v>71</v>
      </c>
      <c r="E18" s="125">
        <v>539440</v>
      </c>
      <c r="F18" s="126">
        <v>6497.8245200000001</v>
      </c>
      <c r="G18" s="127">
        <v>2.277115E-2</v>
      </c>
      <c r="H18" s="122" t="s">
        <v>153</v>
      </c>
      <c r="J18" s="2"/>
    </row>
    <row r="19" spans="1:10" ht="17.100000000000001" customHeight="1" x14ac:dyDescent="0.2">
      <c r="A19" s="123">
        <v>13</v>
      </c>
      <c r="B19" s="124" t="s">
        <v>77</v>
      </c>
      <c r="C19" s="124" t="s">
        <v>78</v>
      </c>
      <c r="D19" s="124" t="s">
        <v>35</v>
      </c>
      <c r="E19" s="125">
        <v>137039</v>
      </c>
      <c r="F19" s="126">
        <v>6317.2238219999999</v>
      </c>
      <c r="G19" s="127">
        <v>2.2138250000000002E-2</v>
      </c>
      <c r="H19" s="122" t="s">
        <v>153</v>
      </c>
      <c r="J19" s="2"/>
    </row>
    <row r="20" spans="1:10" ht="17.100000000000001" customHeight="1" x14ac:dyDescent="0.2">
      <c r="A20" s="123">
        <v>14</v>
      </c>
      <c r="B20" s="124" t="s">
        <v>237</v>
      </c>
      <c r="C20" s="124" t="s">
        <v>238</v>
      </c>
      <c r="D20" s="124" t="s">
        <v>239</v>
      </c>
      <c r="E20" s="125">
        <v>145554</v>
      </c>
      <c r="F20" s="126">
        <v>6202.4198249999999</v>
      </c>
      <c r="G20" s="127">
        <v>2.1735930000000001E-2</v>
      </c>
      <c r="H20" s="122" t="s">
        <v>153</v>
      </c>
      <c r="J20" s="2"/>
    </row>
    <row r="21" spans="1:10" ht="17.100000000000001" customHeight="1" x14ac:dyDescent="0.2">
      <c r="A21" s="123">
        <v>15</v>
      </c>
      <c r="B21" s="124" t="s">
        <v>401</v>
      </c>
      <c r="C21" s="124" t="s">
        <v>402</v>
      </c>
      <c r="D21" s="124" t="s">
        <v>403</v>
      </c>
      <c r="E21" s="125">
        <v>368919</v>
      </c>
      <c r="F21" s="126">
        <v>6019.2824039999996</v>
      </c>
      <c r="G21" s="127">
        <v>2.1094140000000001E-2</v>
      </c>
      <c r="H21" s="122" t="s">
        <v>153</v>
      </c>
      <c r="J21" s="2"/>
    </row>
    <row r="22" spans="1:10" ht="17.100000000000001" customHeight="1" x14ac:dyDescent="0.2">
      <c r="A22" s="123">
        <v>16</v>
      </c>
      <c r="B22" s="124" t="s">
        <v>682</v>
      </c>
      <c r="C22" s="124" t="s">
        <v>683</v>
      </c>
      <c r="D22" s="124" t="s">
        <v>45</v>
      </c>
      <c r="E22" s="125">
        <v>337653</v>
      </c>
      <c r="F22" s="126">
        <v>5753.2694670000001</v>
      </c>
      <c r="G22" s="127">
        <v>2.0161910000000002E-2</v>
      </c>
      <c r="H22" s="122" t="s">
        <v>153</v>
      </c>
      <c r="J22" s="7"/>
    </row>
    <row r="23" spans="1:10" ht="17.100000000000001" customHeight="1" x14ac:dyDescent="0.2">
      <c r="A23" s="123">
        <v>17</v>
      </c>
      <c r="B23" s="124" t="s">
        <v>46</v>
      </c>
      <c r="C23" s="124" t="s">
        <v>47</v>
      </c>
      <c r="D23" s="124" t="s">
        <v>48</v>
      </c>
      <c r="E23" s="125">
        <v>455022</v>
      </c>
      <c r="F23" s="126">
        <v>5593.1304239999999</v>
      </c>
      <c r="G23" s="127">
        <v>1.9600719999999999E-2</v>
      </c>
      <c r="H23" s="122" t="s">
        <v>153</v>
      </c>
      <c r="J23" s="2"/>
    </row>
    <row r="24" spans="1:10" ht="17.100000000000001" customHeight="1" x14ac:dyDescent="0.2">
      <c r="A24" s="123">
        <v>18</v>
      </c>
      <c r="B24" s="124" t="s">
        <v>309</v>
      </c>
      <c r="C24" s="124" t="s">
        <v>310</v>
      </c>
      <c r="D24" s="124" t="s">
        <v>45</v>
      </c>
      <c r="E24" s="125">
        <v>404206</v>
      </c>
      <c r="F24" s="126">
        <v>5460.2167509999999</v>
      </c>
      <c r="G24" s="127">
        <v>1.9134930000000001E-2</v>
      </c>
      <c r="H24" s="122" t="s">
        <v>153</v>
      </c>
      <c r="J24" s="2"/>
    </row>
    <row r="25" spans="1:10" ht="17.100000000000001" customHeight="1" x14ac:dyDescent="0.2">
      <c r="A25" s="123">
        <v>19</v>
      </c>
      <c r="B25" s="124" t="s">
        <v>234</v>
      </c>
      <c r="C25" s="124" t="s">
        <v>235</v>
      </c>
      <c r="D25" s="124" t="s">
        <v>236</v>
      </c>
      <c r="E25" s="125">
        <v>821723</v>
      </c>
      <c r="F25" s="126">
        <v>5343.6646689999998</v>
      </c>
      <c r="G25" s="127">
        <v>1.872648E-2</v>
      </c>
      <c r="H25" s="122" t="s">
        <v>153</v>
      </c>
      <c r="J25" s="2"/>
    </row>
    <row r="26" spans="1:10" ht="17.100000000000001" customHeight="1" x14ac:dyDescent="0.2">
      <c r="A26" s="123">
        <v>20</v>
      </c>
      <c r="B26" s="124" t="s">
        <v>256</v>
      </c>
      <c r="C26" s="124" t="s">
        <v>257</v>
      </c>
      <c r="D26" s="124" t="s">
        <v>89</v>
      </c>
      <c r="E26" s="125">
        <v>313410</v>
      </c>
      <c r="F26" s="126">
        <v>5020.8281999999999</v>
      </c>
      <c r="G26" s="127">
        <v>1.759513E-2</v>
      </c>
      <c r="H26" s="122" t="s">
        <v>153</v>
      </c>
    </row>
    <row r="27" spans="1:10" ht="17.100000000000001" customHeight="1" x14ac:dyDescent="0.2">
      <c r="A27" s="123">
        <v>21</v>
      </c>
      <c r="B27" s="124" t="s">
        <v>194</v>
      </c>
      <c r="C27" s="124" t="s">
        <v>195</v>
      </c>
      <c r="D27" s="124" t="s">
        <v>45</v>
      </c>
      <c r="E27" s="125">
        <v>783067</v>
      </c>
      <c r="F27" s="126">
        <v>4817.4281840000003</v>
      </c>
      <c r="G27" s="127">
        <v>1.6882330000000001E-2</v>
      </c>
      <c r="H27" s="122" t="s">
        <v>153</v>
      </c>
      <c r="J27" s="2"/>
    </row>
    <row r="28" spans="1:10" ht="17.100000000000001" customHeight="1" x14ac:dyDescent="0.2">
      <c r="A28" s="123">
        <v>22</v>
      </c>
      <c r="B28" s="124" t="s">
        <v>214</v>
      </c>
      <c r="C28" s="124" t="s">
        <v>215</v>
      </c>
      <c r="D28" s="124" t="s">
        <v>216</v>
      </c>
      <c r="E28" s="125">
        <v>855231</v>
      </c>
      <c r="F28" s="126">
        <v>4719.1646579999997</v>
      </c>
      <c r="G28" s="127">
        <v>1.6537969999999999E-2</v>
      </c>
      <c r="H28" s="122" t="s">
        <v>153</v>
      </c>
      <c r="J28" s="2"/>
    </row>
    <row r="29" spans="1:10" ht="17.100000000000001" customHeight="1" x14ac:dyDescent="0.2">
      <c r="A29" s="123">
        <v>23</v>
      </c>
      <c r="B29" s="124" t="s">
        <v>14</v>
      </c>
      <c r="C29" s="124" t="s">
        <v>15</v>
      </c>
      <c r="D29" s="124" t="s">
        <v>16</v>
      </c>
      <c r="E29" s="125">
        <v>296261</v>
      </c>
      <c r="F29" s="126">
        <v>4707.7354205000001</v>
      </c>
      <c r="G29" s="127">
        <v>1.6497919999999999E-2</v>
      </c>
      <c r="H29" s="122" t="s">
        <v>153</v>
      </c>
      <c r="J29" s="2" t="s">
        <v>1031</v>
      </c>
    </row>
    <row r="30" spans="1:10" ht="17.100000000000001" customHeight="1" x14ac:dyDescent="0.2">
      <c r="A30" s="123">
        <v>24</v>
      </c>
      <c r="B30" s="124" t="s">
        <v>358</v>
      </c>
      <c r="C30" s="124" t="s">
        <v>359</v>
      </c>
      <c r="D30" s="124" t="s">
        <v>360</v>
      </c>
      <c r="E30" s="125">
        <v>657276</v>
      </c>
      <c r="F30" s="126">
        <v>4609.8052260000004</v>
      </c>
      <c r="G30" s="127">
        <v>1.6154729999999999E-2</v>
      </c>
      <c r="H30" s="122" t="s">
        <v>153</v>
      </c>
      <c r="J30" s="2"/>
    </row>
    <row r="31" spans="1:10" ht="29.1" customHeight="1" x14ac:dyDescent="0.2">
      <c r="A31" s="123">
        <v>25</v>
      </c>
      <c r="B31" s="124" t="s">
        <v>425</v>
      </c>
      <c r="C31" s="124" t="s">
        <v>426</v>
      </c>
      <c r="D31" s="124" t="s">
        <v>208</v>
      </c>
      <c r="E31" s="125">
        <v>226300</v>
      </c>
      <c r="F31" s="126">
        <v>4421.4494000000004</v>
      </c>
      <c r="G31" s="127">
        <v>1.549465E-2</v>
      </c>
      <c r="H31" s="122" t="s">
        <v>153</v>
      </c>
      <c r="J31" s="2"/>
    </row>
    <row r="32" spans="1:10" ht="29.1" customHeight="1" x14ac:dyDescent="0.2">
      <c r="A32" s="123">
        <v>26</v>
      </c>
      <c r="B32" s="124" t="s">
        <v>30</v>
      </c>
      <c r="C32" s="124" t="s">
        <v>31</v>
      </c>
      <c r="D32" s="124" t="s">
        <v>32</v>
      </c>
      <c r="E32" s="125">
        <v>1468484</v>
      </c>
      <c r="F32" s="126">
        <v>4395.1726120000003</v>
      </c>
      <c r="G32" s="127">
        <v>1.5402559999999999E-2</v>
      </c>
      <c r="H32" s="122" t="s">
        <v>153</v>
      </c>
      <c r="J32" s="2"/>
    </row>
    <row r="33" spans="1:10" ht="17.100000000000001" customHeight="1" x14ac:dyDescent="0.2">
      <c r="A33" s="123">
        <v>27</v>
      </c>
      <c r="B33" s="124" t="s">
        <v>546</v>
      </c>
      <c r="C33" s="124" t="s">
        <v>547</v>
      </c>
      <c r="D33" s="124" t="s">
        <v>273</v>
      </c>
      <c r="E33" s="125">
        <v>40344</v>
      </c>
      <c r="F33" s="126">
        <v>4394.0869320000002</v>
      </c>
      <c r="G33" s="127">
        <v>1.5398759999999999E-2</v>
      </c>
      <c r="H33" s="122" t="s">
        <v>153</v>
      </c>
      <c r="J33" s="2"/>
    </row>
    <row r="34" spans="1:10" ht="17.100000000000001" customHeight="1" x14ac:dyDescent="0.2">
      <c r="A34" s="123">
        <v>28</v>
      </c>
      <c r="B34" s="124" t="s">
        <v>377</v>
      </c>
      <c r="C34" s="124" t="s">
        <v>378</v>
      </c>
      <c r="D34" s="124" t="s">
        <v>374</v>
      </c>
      <c r="E34" s="125">
        <v>157653</v>
      </c>
      <c r="F34" s="126">
        <v>4379.60034</v>
      </c>
      <c r="G34" s="127">
        <v>1.5347990000000001E-2</v>
      </c>
      <c r="H34" s="122" t="s">
        <v>153</v>
      </c>
      <c r="J34" s="2"/>
    </row>
    <row r="35" spans="1:10" ht="17.100000000000001" customHeight="1" x14ac:dyDescent="0.2">
      <c r="A35" s="123">
        <v>29</v>
      </c>
      <c r="B35" s="124" t="s">
        <v>199</v>
      </c>
      <c r="C35" s="124" t="s">
        <v>200</v>
      </c>
      <c r="D35" s="124" t="s">
        <v>74</v>
      </c>
      <c r="E35" s="125">
        <v>102945</v>
      </c>
      <c r="F35" s="126">
        <v>4149.5070599999999</v>
      </c>
      <c r="G35" s="127">
        <v>1.454164E-2</v>
      </c>
      <c r="H35" s="122" t="s">
        <v>153</v>
      </c>
      <c r="J35" s="2"/>
    </row>
    <row r="36" spans="1:10" ht="29.1" customHeight="1" x14ac:dyDescent="0.2">
      <c r="A36" s="123">
        <v>30</v>
      </c>
      <c r="B36" s="124" t="s">
        <v>352</v>
      </c>
      <c r="C36" s="124" t="s">
        <v>353</v>
      </c>
      <c r="D36" s="124" t="s">
        <v>208</v>
      </c>
      <c r="E36" s="125">
        <v>224158</v>
      </c>
      <c r="F36" s="126">
        <v>4083.3742069999998</v>
      </c>
      <c r="G36" s="127">
        <v>1.430989E-2</v>
      </c>
      <c r="H36" s="122" t="s">
        <v>153</v>
      </c>
      <c r="J36" s="2"/>
    </row>
    <row r="37" spans="1:10" ht="17.100000000000001" customHeight="1" x14ac:dyDescent="0.2">
      <c r="A37" s="123">
        <v>31</v>
      </c>
      <c r="B37" s="124" t="s">
        <v>348</v>
      </c>
      <c r="C37" s="124" t="s">
        <v>349</v>
      </c>
      <c r="D37" s="124" t="s">
        <v>211</v>
      </c>
      <c r="E37" s="125">
        <v>88374</v>
      </c>
      <c r="F37" s="126">
        <v>4024.331025</v>
      </c>
      <c r="G37" s="127">
        <v>1.4102969999999999E-2</v>
      </c>
      <c r="H37" s="122" t="s">
        <v>153</v>
      </c>
      <c r="J37" s="2"/>
    </row>
    <row r="38" spans="1:10" ht="17.100000000000001" customHeight="1" x14ac:dyDescent="0.2">
      <c r="A38" s="123">
        <v>32</v>
      </c>
      <c r="B38" s="124" t="s">
        <v>43</v>
      </c>
      <c r="C38" s="124" t="s">
        <v>44</v>
      </c>
      <c r="D38" s="124" t="s">
        <v>45</v>
      </c>
      <c r="E38" s="125">
        <v>90000</v>
      </c>
      <c r="F38" s="126">
        <v>4020.57</v>
      </c>
      <c r="G38" s="127">
        <v>1.408979E-2</v>
      </c>
      <c r="H38" s="122" t="s">
        <v>153</v>
      </c>
      <c r="J38" s="2"/>
    </row>
    <row r="39" spans="1:10" ht="17.100000000000001" customHeight="1" x14ac:dyDescent="0.2">
      <c r="A39" s="123">
        <v>33</v>
      </c>
      <c r="B39" s="124" t="s">
        <v>291</v>
      </c>
      <c r="C39" s="124" t="s">
        <v>292</v>
      </c>
      <c r="D39" s="124" t="s">
        <v>89</v>
      </c>
      <c r="E39" s="125">
        <v>233601</v>
      </c>
      <c r="F39" s="126">
        <v>4019.6892075000001</v>
      </c>
      <c r="G39" s="127">
        <v>1.4086710000000001E-2</v>
      </c>
      <c r="H39" s="122" t="s">
        <v>153</v>
      </c>
      <c r="J39" s="2"/>
    </row>
    <row r="40" spans="1:10" ht="29.1" customHeight="1" x14ac:dyDescent="0.2">
      <c r="A40" s="123">
        <v>34</v>
      </c>
      <c r="B40" s="124" t="s">
        <v>79</v>
      </c>
      <c r="C40" s="124" t="s">
        <v>80</v>
      </c>
      <c r="D40" s="124" t="s">
        <v>25</v>
      </c>
      <c r="E40" s="125">
        <v>88684</v>
      </c>
      <c r="F40" s="126">
        <v>3949.8966759999998</v>
      </c>
      <c r="G40" s="127">
        <v>1.3842119999999999E-2</v>
      </c>
      <c r="H40" s="122" t="s">
        <v>153</v>
      </c>
      <c r="J40" s="2"/>
    </row>
    <row r="41" spans="1:10" ht="17.100000000000001" customHeight="1" x14ac:dyDescent="0.2">
      <c r="A41" s="123">
        <v>35</v>
      </c>
      <c r="B41" s="124" t="s">
        <v>356</v>
      </c>
      <c r="C41" s="124" t="s">
        <v>357</v>
      </c>
      <c r="D41" s="124" t="s">
        <v>48</v>
      </c>
      <c r="E41" s="125">
        <v>205944</v>
      </c>
      <c r="F41" s="126">
        <v>3667.4507520000002</v>
      </c>
      <c r="G41" s="127">
        <v>1.285231E-2</v>
      </c>
      <c r="H41" s="122" t="s">
        <v>153</v>
      </c>
      <c r="J41" s="2"/>
    </row>
    <row r="42" spans="1:10" ht="17.100000000000001" customHeight="1" x14ac:dyDescent="0.2">
      <c r="A42" s="123">
        <v>36</v>
      </c>
      <c r="B42" s="124" t="s">
        <v>101</v>
      </c>
      <c r="C42" s="124" t="s">
        <v>102</v>
      </c>
      <c r="D42" s="124" t="s">
        <v>103</v>
      </c>
      <c r="E42" s="125">
        <v>688689</v>
      </c>
      <c r="F42" s="126">
        <v>3615.2729055</v>
      </c>
      <c r="G42" s="127">
        <v>1.266946E-2</v>
      </c>
      <c r="H42" s="122" t="s">
        <v>153</v>
      </c>
      <c r="J42" s="2"/>
    </row>
    <row r="43" spans="1:10" ht="17.100000000000001" customHeight="1" x14ac:dyDescent="0.2">
      <c r="A43" s="123">
        <v>37</v>
      </c>
      <c r="B43" s="124" t="s">
        <v>419</v>
      </c>
      <c r="C43" s="124" t="s">
        <v>420</v>
      </c>
      <c r="D43" s="124" t="s">
        <v>211</v>
      </c>
      <c r="E43" s="125">
        <v>479521</v>
      </c>
      <c r="F43" s="126">
        <v>3537.1866565</v>
      </c>
      <c r="G43" s="127">
        <v>1.239581E-2</v>
      </c>
      <c r="H43" s="122" t="s">
        <v>153</v>
      </c>
      <c r="J43" s="2"/>
    </row>
    <row r="44" spans="1:10" ht="17.100000000000001" customHeight="1" x14ac:dyDescent="0.2">
      <c r="A44" s="123">
        <v>38</v>
      </c>
      <c r="B44" s="124" t="s">
        <v>244</v>
      </c>
      <c r="C44" s="124" t="s">
        <v>245</v>
      </c>
      <c r="D44" s="124" t="s">
        <v>198</v>
      </c>
      <c r="E44" s="125">
        <v>45749</v>
      </c>
      <c r="F44" s="126">
        <v>3512.9742120000001</v>
      </c>
      <c r="G44" s="127">
        <v>1.2310959999999999E-2</v>
      </c>
      <c r="H44" s="122" t="s">
        <v>153</v>
      </c>
      <c r="J44" s="2"/>
    </row>
    <row r="45" spans="1:10" ht="17.100000000000001" customHeight="1" x14ac:dyDescent="0.2">
      <c r="A45" s="123">
        <v>39</v>
      </c>
      <c r="B45" s="124" t="s">
        <v>232</v>
      </c>
      <c r="C45" s="124" t="s">
        <v>233</v>
      </c>
      <c r="D45" s="124" t="s">
        <v>22</v>
      </c>
      <c r="E45" s="125">
        <v>819933</v>
      </c>
      <c r="F45" s="126">
        <v>3435.9292365000001</v>
      </c>
      <c r="G45" s="127">
        <v>1.204096E-2</v>
      </c>
      <c r="H45" s="122" t="s">
        <v>153</v>
      </c>
      <c r="J45" s="2"/>
    </row>
    <row r="46" spans="1:10" ht="29.1" customHeight="1" x14ac:dyDescent="0.2">
      <c r="A46" s="123">
        <v>40</v>
      </c>
      <c r="B46" s="124" t="s">
        <v>260</v>
      </c>
      <c r="C46" s="124" t="s">
        <v>261</v>
      </c>
      <c r="D46" s="124" t="s">
        <v>74</v>
      </c>
      <c r="E46" s="125">
        <v>21813</v>
      </c>
      <c r="F46" s="126">
        <v>3395.8151204999999</v>
      </c>
      <c r="G46" s="127">
        <v>1.190039E-2</v>
      </c>
      <c r="H46" s="122" t="s">
        <v>153</v>
      </c>
      <c r="J46" s="2"/>
    </row>
    <row r="47" spans="1:10" ht="17.100000000000001" customHeight="1" x14ac:dyDescent="0.2">
      <c r="A47" s="123">
        <v>41</v>
      </c>
      <c r="B47" s="124" t="s">
        <v>72</v>
      </c>
      <c r="C47" s="124" t="s">
        <v>73</v>
      </c>
      <c r="D47" s="124" t="s">
        <v>74</v>
      </c>
      <c r="E47" s="125">
        <v>52641</v>
      </c>
      <c r="F47" s="126">
        <v>3178.9373489999998</v>
      </c>
      <c r="G47" s="127">
        <v>1.114035E-2</v>
      </c>
      <c r="H47" s="122" t="s">
        <v>153</v>
      </c>
      <c r="J47" s="2"/>
    </row>
    <row r="48" spans="1:10" ht="17.100000000000001" customHeight="1" x14ac:dyDescent="0.2">
      <c r="A48" s="123">
        <v>42</v>
      </c>
      <c r="B48" s="124" t="s">
        <v>251</v>
      </c>
      <c r="C48" s="124" t="s">
        <v>252</v>
      </c>
      <c r="D48" s="124" t="s">
        <v>236</v>
      </c>
      <c r="E48" s="125">
        <v>375104</v>
      </c>
      <c r="F48" s="126">
        <v>3132.6810559999999</v>
      </c>
      <c r="G48" s="127">
        <v>1.097825E-2</v>
      </c>
      <c r="H48" s="122" t="s">
        <v>153</v>
      </c>
      <c r="J48" s="2"/>
    </row>
    <row r="49" spans="1:10" ht="17.100000000000001" customHeight="1" x14ac:dyDescent="0.2">
      <c r="A49" s="123">
        <v>43</v>
      </c>
      <c r="B49" s="124" t="s">
        <v>338</v>
      </c>
      <c r="C49" s="124" t="s">
        <v>339</v>
      </c>
      <c r="D49" s="124" t="s">
        <v>273</v>
      </c>
      <c r="E49" s="125">
        <v>25000</v>
      </c>
      <c r="F49" s="126">
        <v>3100.75</v>
      </c>
      <c r="G49" s="127">
        <v>1.086635E-2</v>
      </c>
      <c r="H49" s="122" t="s">
        <v>153</v>
      </c>
      <c r="J49" s="2"/>
    </row>
    <row r="50" spans="1:10" ht="17.100000000000001" customHeight="1" x14ac:dyDescent="0.2">
      <c r="A50" s="123">
        <v>44</v>
      </c>
      <c r="B50" s="124" t="s">
        <v>725</v>
      </c>
      <c r="C50" s="124" t="s">
        <v>726</v>
      </c>
      <c r="D50" s="124" t="s">
        <v>45</v>
      </c>
      <c r="E50" s="125">
        <v>162709</v>
      </c>
      <c r="F50" s="126">
        <v>3090.4133915000002</v>
      </c>
      <c r="G50" s="127">
        <v>1.083013E-2</v>
      </c>
      <c r="H50" s="122" t="s">
        <v>153</v>
      </c>
      <c r="J50" s="2"/>
    </row>
    <row r="51" spans="1:10" ht="29.1" customHeight="1" x14ac:dyDescent="0.2">
      <c r="A51" s="123">
        <v>45</v>
      </c>
      <c r="B51" s="124" t="s">
        <v>313</v>
      </c>
      <c r="C51" s="124" t="s">
        <v>314</v>
      </c>
      <c r="D51" s="124" t="s">
        <v>315</v>
      </c>
      <c r="E51" s="125">
        <v>419369</v>
      </c>
      <c r="F51" s="126">
        <v>2713.9464834999999</v>
      </c>
      <c r="G51" s="127">
        <v>9.5108299999999996E-3</v>
      </c>
      <c r="H51" s="122" t="s">
        <v>153</v>
      </c>
      <c r="J51" s="2"/>
    </row>
    <row r="52" spans="1:10" ht="17.100000000000001" customHeight="1" x14ac:dyDescent="0.2">
      <c r="A52" s="123">
        <v>46</v>
      </c>
      <c r="B52" s="124" t="s">
        <v>301</v>
      </c>
      <c r="C52" s="124" t="s">
        <v>302</v>
      </c>
      <c r="D52" s="124" t="s">
        <v>236</v>
      </c>
      <c r="E52" s="125">
        <v>1540361</v>
      </c>
      <c r="F52" s="126">
        <v>2709.6490351000002</v>
      </c>
      <c r="G52" s="127">
        <v>9.4957700000000006E-3</v>
      </c>
      <c r="H52" s="122" t="s">
        <v>153</v>
      </c>
      <c r="J52" s="2"/>
    </row>
    <row r="53" spans="1:10" ht="17.100000000000001" customHeight="1" x14ac:dyDescent="0.2">
      <c r="A53" s="123">
        <v>47</v>
      </c>
      <c r="B53" s="124" t="s">
        <v>126</v>
      </c>
      <c r="C53" s="124" t="s">
        <v>127</v>
      </c>
      <c r="D53" s="124" t="s">
        <v>74</v>
      </c>
      <c r="E53" s="125">
        <v>68171</v>
      </c>
      <c r="F53" s="126">
        <v>2687.0622214999999</v>
      </c>
      <c r="G53" s="127">
        <v>9.4166100000000006E-3</v>
      </c>
      <c r="H53" s="122" t="s">
        <v>153</v>
      </c>
      <c r="J53" s="2"/>
    </row>
    <row r="54" spans="1:10" ht="17.100000000000001" customHeight="1" x14ac:dyDescent="0.2">
      <c r="A54" s="123">
        <v>48</v>
      </c>
      <c r="B54" s="124" t="s">
        <v>276</v>
      </c>
      <c r="C54" s="124" t="s">
        <v>277</v>
      </c>
      <c r="D54" s="124" t="s">
        <v>278</v>
      </c>
      <c r="E54" s="125">
        <v>200235</v>
      </c>
      <c r="F54" s="126">
        <v>2626.28226</v>
      </c>
      <c r="G54" s="127">
        <v>9.2036099999999992E-3</v>
      </c>
      <c r="H54" s="122" t="s">
        <v>153</v>
      </c>
      <c r="J54" s="2"/>
    </row>
    <row r="55" spans="1:10" ht="17.100000000000001" customHeight="1" x14ac:dyDescent="0.2">
      <c r="A55" s="123">
        <v>49</v>
      </c>
      <c r="B55" s="124" t="s">
        <v>246</v>
      </c>
      <c r="C55" s="124" t="s">
        <v>247</v>
      </c>
      <c r="D55" s="124" t="s">
        <v>211</v>
      </c>
      <c r="E55" s="125">
        <v>84251</v>
      </c>
      <c r="F55" s="126">
        <v>2615.9514245</v>
      </c>
      <c r="G55" s="127">
        <v>9.1674100000000008E-3</v>
      </c>
      <c r="H55" s="122" t="s">
        <v>153</v>
      </c>
      <c r="J55" s="2"/>
    </row>
    <row r="56" spans="1:10" ht="29.1" customHeight="1" x14ac:dyDescent="0.2">
      <c r="A56" s="123">
        <v>50</v>
      </c>
      <c r="B56" s="124" t="s">
        <v>299</v>
      </c>
      <c r="C56" s="124" t="s">
        <v>300</v>
      </c>
      <c r="D56" s="124" t="s">
        <v>205</v>
      </c>
      <c r="E56" s="125">
        <v>58146</v>
      </c>
      <c r="F56" s="126">
        <v>2613.9243569999999</v>
      </c>
      <c r="G56" s="127">
        <v>9.1603099999999996E-3</v>
      </c>
      <c r="H56" s="122" t="s">
        <v>153</v>
      </c>
      <c r="J56" s="2"/>
    </row>
    <row r="57" spans="1:10" ht="17.100000000000001" customHeight="1" x14ac:dyDescent="0.2">
      <c r="A57" s="123">
        <v>51</v>
      </c>
      <c r="B57" s="124" t="s">
        <v>449</v>
      </c>
      <c r="C57" s="124" t="s">
        <v>450</v>
      </c>
      <c r="D57" s="124" t="s">
        <v>89</v>
      </c>
      <c r="E57" s="125">
        <v>194519</v>
      </c>
      <c r="F57" s="126">
        <v>2375.1742494999999</v>
      </c>
      <c r="G57" s="127">
        <v>8.3236300000000003E-3</v>
      </c>
      <c r="H57" s="122" t="s">
        <v>153</v>
      </c>
      <c r="J57" s="2"/>
    </row>
    <row r="58" spans="1:10" ht="17.100000000000001" customHeight="1" x14ac:dyDescent="0.2">
      <c r="A58" s="123">
        <v>52</v>
      </c>
      <c r="B58" s="124" t="s">
        <v>110</v>
      </c>
      <c r="C58" s="124" t="s">
        <v>111</v>
      </c>
      <c r="D58" s="124" t="s">
        <v>35</v>
      </c>
      <c r="E58" s="125">
        <v>60096</v>
      </c>
      <c r="F58" s="126">
        <v>2250.4149120000002</v>
      </c>
      <c r="G58" s="127">
        <v>7.8864199999999999E-3</v>
      </c>
      <c r="H58" s="122" t="s">
        <v>153</v>
      </c>
      <c r="J58" s="2"/>
    </row>
    <row r="59" spans="1:10" ht="17.100000000000001" customHeight="1" x14ac:dyDescent="0.2">
      <c r="A59" s="123">
        <v>53</v>
      </c>
      <c r="B59" s="124" t="s">
        <v>727</v>
      </c>
      <c r="C59" s="124" t="s">
        <v>728</v>
      </c>
      <c r="D59" s="124" t="s">
        <v>216</v>
      </c>
      <c r="E59" s="125">
        <v>89426</v>
      </c>
      <c r="F59" s="126">
        <v>1913.537548</v>
      </c>
      <c r="G59" s="127">
        <v>6.7058500000000002E-3</v>
      </c>
      <c r="H59" s="122" t="s">
        <v>153</v>
      </c>
      <c r="J59" s="2"/>
    </row>
    <row r="60" spans="1:10" ht="29.1" customHeight="1" x14ac:dyDescent="0.2">
      <c r="A60" s="123">
        <v>54</v>
      </c>
      <c r="B60" s="124" t="s">
        <v>513</v>
      </c>
      <c r="C60" s="124" t="s">
        <v>514</v>
      </c>
      <c r="D60" s="124" t="s">
        <v>205</v>
      </c>
      <c r="E60" s="125">
        <v>201695</v>
      </c>
      <c r="F60" s="126">
        <v>1672.85833</v>
      </c>
      <c r="G60" s="127">
        <v>5.8624100000000002E-3</v>
      </c>
      <c r="H60" s="122" t="s">
        <v>153</v>
      </c>
      <c r="J60" s="2"/>
    </row>
    <row r="61" spans="1:10" ht="29.1" customHeight="1" x14ac:dyDescent="0.2">
      <c r="A61" s="123">
        <v>55</v>
      </c>
      <c r="B61" s="124" t="s">
        <v>519</v>
      </c>
      <c r="C61" s="124" t="s">
        <v>520</v>
      </c>
      <c r="D61" s="124" t="s">
        <v>521</v>
      </c>
      <c r="E61" s="125">
        <v>332699</v>
      </c>
      <c r="F61" s="126">
        <v>1644.6975064999999</v>
      </c>
      <c r="G61" s="127">
        <v>5.76372E-3</v>
      </c>
      <c r="H61" s="122" t="s">
        <v>153</v>
      </c>
      <c r="J61" s="2"/>
    </row>
    <row r="62" spans="1:10" ht="17.100000000000001" customHeight="1" x14ac:dyDescent="0.2">
      <c r="A62" s="123">
        <v>56</v>
      </c>
      <c r="B62" s="124" t="s">
        <v>139</v>
      </c>
      <c r="C62" s="124" t="s">
        <v>140</v>
      </c>
      <c r="D62" s="124" t="s">
        <v>35</v>
      </c>
      <c r="E62" s="125">
        <v>96626</v>
      </c>
      <c r="F62" s="126">
        <v>1412.768746</v>
      </c>
      <c r="G62" s="127">
        <v>4.95095E-3</v>
      </c>
      <c r="H62" s="122" t="s">
        <v>153</v>
      </c>
      <c r="J62" s="2"/>
    </row>
    <row r="63" spans="1:10" ht="17.100000000000001" customHeight="1" x14ac:dyDescent="0.2">
      <c r="A63" s="123">
        <v>57</v>
      </c>
      <c r="B63" s="124" t="s">
        <v>445</v>
      </c>
      <c r="C63" s="124" t="s">
        <v>446</v>
      </c>
      <c r="D63" s="124" t="s">
        <v>45</v>
      </c>
      <c r="E63" s="125">
        <v>96880</v>
      </c>
      <c r="F63" s="126">
        <v>762.20339999999999</v>
      </c>
      <c r="G63" s="127">
        <v>2.6710900000000001E-3</v>
      </c>
      <c r="H63" s="122" t="s">
        <v>153</v>
      </c>
      <c r="J63" s="2"/>
    </row>
    <row r="64" spans="1:10" ht="17.100000000000001" customHeight="1" x14ac:dyDescent="0.2">
      <c r="A64" s="123">
        <v>58</v>
      </c>
      <c r="B64" s="124" t="s">
        <v>316</v>
      </c>
      <c r="C64" s="124" t="s">
        <v>317</v>
      </c>
      <c r="D64" s="124" t="s">
        <v>45</v>
      </c>
      <c r="E64" s="125">
        <v>247593</v>
      </c>
      <c r="F64" s="126">
        <v>734.11324500000001</v>
      </c>
      <c r="G64" s="127">
        <v>2.5726500000000001E-3</v>
      </c>
      <c r="H64" s="122" t="s">
        <v>153</v>
      </c>
      <c r="J64" s="2"/>
    </row>
    <row r="65" spans="1:10" ht="14.1" customHeight="1" x14ac:dyDescent="0.2">
      <c r="A65" s="120"/>
      <c r="B65" s="120"/>
      <c r="C65" s="121" t="s">
        <v>152</v>
      </c>
      <c r="D65" s="120"/>
      <c r="E65" s="120" t="s">
        <v>153</v>
      </c>
      <c r="F65" s="128">
        <f>SUM(F7:F64)</f>
        <v>273721.36359660001</v>
      </c>
      <c r="G65" s="129">
        <f>SUM(G7:G64)</f>
        <v>0.95923655000000008</v>
      </c>
      <c r="H65" s="122" t="s">
        <v>153</v>
      </c>
      <c r="J65" s="2"/>
    </row>
    <row r="66" spans="1:10" ht="14.1" customHeight="1" x14ac:dyDescent="0.2">
      <c r="A66" s="120"/>
      <c r="B66" s="120"/>
      <c r="C66" s="130"/>
      <c r="D66" s="120"/>
      <c r="E66" s="120"/>
      <c r="F66" s="131"/>
      <c r="G66" s="131"/>
      <c r="H66" s="122" t="s">
        <v>153</v>
      </c>
      <c r="J66" s="2"/>
    </row>
    <row r="67" spans="1:10" ht="14.1" customHeight="1" x14ac:dyDescent="0.2">
      <c r="A67" s="120"/>
      <c r="B67" s="120"/>
      <c r="C67" s="121" t="s">
        <v>154</v>
      </c>
      <c r="D67" s="120"/>
      <c r="E67" s="120"/>
      <c r="F67" s="120"/>
      <c r="G67" s="120"/>
      <c r="H67" s="122" t="s">
        <v>153</v>
      </c>
      <c r="J67" s="2"/>
    </row>
    <row r="68" spans="1:10" ht="14.1" customHeight="1" x14ac:dyDescent="0.2">
      <c r="A68" s="120"/>
      <c r="B68" s="120"/>
      <c r="C68" s="121" t="s">
        <v>152</v>
      </c>
      <c r="D68" s="120"/>
      <c r="E68" s="120" t="s">
        <v>153</v>
      </c>
      <c r="F68" s="132" t="s">
        <v>155</v>
      </c>
      <c r="G68" s="129">
        <v>0</v>
      </c>
      <c r="H68" s="122" t="s">
        <v>153</v>
      </c>
      <c r="J68" s="2"/>
    </row>
    <row r="69" spans="1:10" ht="14.1" customHeight="1" x14ac:dyDescent="0.2">
      <c r="A69" s="120"/>
      <c r="B69" s="120"/>
      <c r="C69" s="130"/>
      <c r="D69" s="120"/>
      <c r="E69" s="120"/>
      <c r="F69" s="131"/>
      <c r="G69" s="131"/>
      <c r="H69" s="122" t="s">
        <v>153</v>
      </c>
      <c r="J69" s="2"/>
    </row>
    <row r="70" spans="1:10" ht="14.1" customHeight="1" x14ac:dyDescent="0.2">
      <c r="A70" s="120"/>
      <c r="B70" s="120"/>
      <c r="C70" s="121" t="s">
        <v>156</v>
      </c>
      <c r="D70" s="120"/>
      <c r="E70" s="120"/>
      <c r="F70" s="120"/>
      <c r="G70" s="120"/>
      <c r="H70" s="122" t="s">
        <v>153</v>
      </c>
      <c r="J70" s="2"/>
    </row>
    <row r="71" spans="1:10" x14ac:dyDescent="0.2">
      <c r="A71" s="123">
        <v>1</v>
      </c>
      <c r="B71" s="124" t="s">
        <v>554</v>
      </c>
      <c r="C71" s="124" t="s">
        <v>1071</v>
      </c>
      <c r="D71" s="124" t="s">
        <v>236</v>
      </c>
      <c r="E71" s="125">
        <v>511578</v>
      </c>
      <c r="F71" s="126">
        <v>21.946696200000002</v>
      </c>
      <c r="G71" s="127">
        <v>7.6909999999999994E-5</v>
      </c>
      <c r="H71" s="122" t="s">
        <v>153</v>
      </c>
      <c r="J71" s="2"/>
    </row>
    <row r="72" spans="1:10" x14ac:dyDescent="0.2">
      <c r="A72" s="123">
        <v>2</v>
      </c>
      <c r="B72" s="124" t="s">
        <v>729</v>
      </c>
      <c r="C72" s="124" t="s">
        <v>1072</v>
      </c>
      <c r="D72" s="124" t="s">
        <v>239</v>
      </c>
      <c r="E72" s="125">
        <v>39500</v>
      </c>
      <c r="F72" s="126">
        <v>17.040299999999998</v>
      </c>
      <c r="G72" s="127">
        <v>5.9719999999999997E-5</v>
      </c>
      <c r="H72" s="122" t="s">
        <v>153</v>
      </c>
      <c r="J72" s="2"/>
    </row>
    <row r="73" spans="1:10" ht="25.5" x14ac:dyDescent="0.2">
      <c r="A73" s="123">
        <v>3</v>
      </c>
      <c r="B73" s="124" t="s">
        <v>730</v>
      </c>
      <c r="C73" s="124" t="s">
        <v>1075</v>
      </c>
      <c r="D73" s="124" t="s">
        <v>731</v>
      </c>
      <c r="E73" s="125">
        <v>50800</v>
      </c>
      <c r="F73" s="126">
        <v>5.0800000000000005E-7</v>
      </c>
      <c r="G73" s="133" t="s">
        <v>151</v>
      </c>
      <c r="H73" s="122" t="s">
        <v>153</v>
      </c>
      <c r="J73" s="2"/>
    </row>
    <row r="74" spans="1:10" x14ac:dyDescent="0.2">
      <c r="A74" s="123">
        <v>4</v>
      </c>
      <c r="B74" s="124" t="s">
        <v>732</v>
      </c>
      <c r="C74" s="124" t="s">
        <v>1073</v>
      </c>
      <c r="D74" s="124"/>
      <c r="E74" s="125">
        <v>54000</v>
      </c>
      <c r="F74" s="126">
        <v>5.4000000000000002E-7</v>
      </c>
      <c r="G74" s="133" t="s">
        <v>151</v>
      </c>
      <c r="H74" s="122" t="s">
        <v>153</v>
      </c>
      <c r="J74" s="2"/>
    </row>
    <row r="75" spans="1:10" ht="38.25" x14ac:dyDescent="0.2">
      <c r="A75" s="123">
        <v>5</v>
      </c>
      <c r="B75" s="124" t="s">
        <v>733</v>
      </c>
      <c r="C75" s="124" t="s">
        <v>1076</v>
      </c>
      <c r="D75" s="124" t="s">
        <v>734</v>
      </c>
      <c r="E75" s="125">
        <v>200000</v>
      </c>
      <c r="F75" s="126">
        <v>1.9999999999999999E-6</v>
      </c>
      <c r="G75" s="133" t="s">
        <v>151</v>
      </c>
      <c r="H75" s="122" t="s">
        <v>153</v>
      </c>
      <c r="J75" s="2"/>
    </row>
    <row r="76" spans="1:10" x14ac:dyDescent="0.2">
      <c r="A76" s="123">
        <v>6</v>
      </c>
      <c r="B76" s="124" t="s">
        <v>735</v>
      </c>
      <c r="C76" s="124" t="s">
        <v>1077</v>
      </c>
      <c r="D76" s="124"/>
      <c r="E76" s="125">
        <v>200</v>
      </c>
      <c r="F76" s="126">
        <v>2.0000000000000001E-9</v>
      </c>
      <c r="G76" s="133" t="s">
        <v>151</v>
      </c>
      <c r="H76" s="122" t="s">
        <v>153</v>
      </c>
      <c r="J76" s="2"/>
    </row>
    <row r="77" spans="1:10" x14ac:dyDescent="0.2">
      <c r="A77" s="123">
        <v>7</v>
      </c>
      <c r="B77" s="124" t="s">
        <v>736</v>
      </c>
      <c r="C77" s="124" t="s">
        <v>1078</v>
      </c>
      <c r="D77" s="124"/>
      <c r="E77" s="125">
        <v>176305</v>
      </c>
      <c r="F77" s="126">
        <v>1.7630000000000001E-6</v>
      </c>
      <c r="G77" s="133" t="s">
        <v>151</v>
      </c>
      <c r="H77" s="122" t="s">
        <v>153</v>
      </c>
      <c r="J77" s="2"/>
    </row>
    <row r="78" spans="1:10" x14ac:dyDescent="0.2">
      <c r="A78" s="123">
        <v>8</v>
      </c>
      <c r="B78" s="124" t="s">
        <v>737</v>
      </c>
      <c r="C78" s="124" t="s">
        <v>1074</v>
      </c>
      <c r="D78" s="124"/>
      <c r="E78" s="125">
        <v>93200</v>
      </c>
      <c r="F78" s="126">
        <v>9.3200000000000003E-7</v>
      </c>
      <c r="G78" s="133" t="s">
        <v>151</v>
      </c>
      <c r="H78" s="122" t="s">
        <v>153</v>
      </c>
      <c r="J78" s="2"/>
    </row>
    <row r="79" spans="1:10" ht="14.1" customHeight="1" x14ac:dyDescent="0.2">
      <c r="A79" s="120"/>
      <c r="B79" s="120"/>
      <c r="C79" s="121" t="s">
        <v>152</v>
      </c>
      <c r="D79" s="120"/>
      <c r="E79" s="120" t="s">
        <v>153</v>
      </c>
      <c r="F79" s="128">
        <f>SUM(F71:F78)</f>
        <v>38.987001945000003</v>
      </c>
      <c r="G79" s="129">
        <f>SUM(G71:G78)</f>
        <v>1.3663E-4</v>
      </c>
      <c r="H79" s="122" t="s">
        <v>153</v>
      </c>
      <c r="J79" s="2"/>
    </row>
    <row r="80" spans="1:10" ht="14.1" customHeight="1" x14ac:dyDescent="0.2">
      <c r="A80" s="120"/>
      <c r="B80" s="120"/>
      <c r="C80" s="130"/>
      <c r="D80" s="120"/>
      <c r="E80" s="120"/>
      <c r="F80" s="131"/>
      <c r="G80" s="131"/>
      <c r="H80" s="122" t="s">
        <v>153</v>
      </c>
      <c r="J80" s="2"/>
    </row>
    <row r="81" spans="1:10" ht="14.1" customHeight="1" x14ac:dyDescent="0.2">
      <c r="A81" s="120"/>
      <c r="B81" s="120"/>
      <c r="C81" s="121" t="s">
        <v>157</v>
      </c>
      <c r="D81" s="120"/>
      <c r="E81" s="120"/>
      <c r="F81" s="120"/>
      <c r="G81" s="120"/>
      <c r="H81" s="122" t="s">
        <v>153</v>
      </c>
      <c r="J81" s="2"/>
    </row>
    <row r="82" spans="1:10" ht="14.1" customHeight="1" x14ac:dyDescent="0.2">
      <c r="A82" s="120"/>
      <c r="B82" s="120"/>
      <c r="C82" s="121" t="s">
        <v>152</v>
      </c>
      <c r="D82" s="120"/>
      <c r="E82" s="120" t="s">
        <v>153</v>
      </c>
      <c r="F82" s="132" t="s">
        <v>155</v>
      </c>
      <c r="G82" s="129">
        <v>0</v>
      </c>
      <c r="H82" s="122" t="s">
        <v>153</v>
      </c>
      <c r="J82" s="2"/>
    </row>
    <row r="83" spans="1:10" ht="14.1" customHeight="1" x14ac:dyDescent="0.2">
      <c r="A83" s="120"/>
      <c r="B83" s="120"/>
      <c r="C83" s="130"/>
      <c r="D83" s="120"/>
      <c r="E83" s="120"/>
      <c r="F83" s="131"/>
      <c r="G83" s="131"/>
      <c r="H83" s="122" t="s">
        <v>153</v>
      </c>
      <c r="J83" s="2"/>
    </row>
    <row r="84" spans="1:10" ht="14.1" customHeight="1" x14ac:dyDescent="0.2">
      <c r="A84" s="120"/>
      <c r="B84" s="120"/>
      <c r="C84" s="121" t="s">
        <v>158</v>
      </c>
      <c r="D84" s="120"/>
      <c r="E84" s="120"/>
      <c r="F84" s="131"/>
      <c r="G84" s="131"/>
      <c r="H84" s="122" t="s">
        <v>153</v>
      </c>
      <c r="J84" s="2"/>
    </row>
    <row r="85" spans="1:10" ht="14.1" customHeight="1" x14ac:dyDescent="0.2">
      <c r="A85" s="120"/>
      <c r="B85" s="120"/>
      <c r="C85" s="121" t="s">
        <v>152</v>
      </c>
      <c r="D85" s="120"/>
      <c r="E85" s="120" t="s">
        <v>153</v>
      </c>
      <c r="F85" s="132" t="s">
        <v>155</v>
      </c>
      <c r="G85" s="129">
        <v>0</v>
      </c>
      <c r="H85" s="122" t="s">
        <v>153</v>
      </c>
      <c r="J85" s="2"/>
    </row>
    <row r="86" spans="1:10" ht="14.1" customHeight="1" x14ac:dyDescent="0.2">
      <c r="A86" s="120"/>
      <c r="B86" s="120"/>
      <c r="C86" s="130"/>
      <c r="D86" s="120"/>
      <c r="E86" s="120"/>
      <c r="F86" s="131"/>
      <c r="G86" s="131"/>
      <c r="H86" s="122" t="s">
        <v>153</v>
      </c>
      <c r="J86" s="2"/>
    </row>
    <row r="87" spans="1:10" ht="14.1" customHeight="1" x14ac:dyDescent="0.2">
      <c r="A87" s="120"/>
      <c r="B87" s="120"/>
      <c r="C87" s="121" t="s">
        <v>159</v>
      </c>
      <c r="D87" s="120"/>
      <c r="E87" s="120"/>
      <c r="F87" s="131"/>
      <c r="G87" s="131"/>
      <c r="H87" s="122" t="s">
        <v>153</v>
      </c>
      <c r="J87" s="2"/>
    </row>
    <row r="88" spans="1:10" ht="14.1" customHeight="1" x14ac:dyDescent="0.2">
      <c r="A88" s="120"/>
      <c r="B88" s="120"/>
      <c r="C88" s="121" t="s">
        <v>152</v>
      </c>
      <c r="D88" s="120"/>
      <c r="E88" s="120" t="s">
        <v>153</v>
      </c>
      <c r="F88" s="132" t="s">
        <v>155</v>
      </c>
      <c r="G88" s="129">
        <v>0</v>
      </c>
      <c r="H88" s="122" t="s">
        <v>153</v>
      </c>
      <c r="J88" s="2"/>
    </row>
    <row r="89" spans="1:10" ht="14.1" customHeight="1" x14ac:dyDescent="0.2">
      <c r="A89" s="120"/>
      <c r="B89" s="120"/>
      <c r="C89" s="130"/>
      <c r="D89" s="120"/>
      <c r="E89" s="120"/>
      <c r="F89" s="131"/>
      <c r="G89" s="131"/>
      <c r="H89" s="122" t="s">
        <v>153</v>
      </c>
      <c r="J89" s="2"/>
    </row>
    <row r="90" spans="1:10" ht="18" customHeight="1" x14ac:dyDescent="0.2">
      <c r="A90" s="120"/>
      <c r="B90" s="120"/>
      <c r="C90" s="121" t="s">
        <v>160</v>
      </c>
      <c r="D90" s="120"/>
      <c r="E90" s="120"/>
      <c r="F90" s="128">
        <v>273760.35059854499</v>
      </c>
      <c r="G90" s="129">
        <v>0.95937318000000005</v>
      </c>
      <c r="H90" s="122" t="s">
        <v>153</v>
      </c>
      <c r="J90" s="2"/>
    </row>
    <row r="91" spans="1:10" ht="14.1" customHeight="1" x14ac:dyDescent="0.2">
      <c r="A91" s="120"/>
      <c r="B91" s="120"/>
      <c r="C91" s="130"/>
      <c r="D91" s="120"/>
      <c r="E91" s="120"/>
      <c r="F91" s="131"/>
      <c r="G91" s="131"/>
      <c r="H91" s="122" t="s">
        <v>153</v>
      </c>
      <c r="J91" s="2"/>
    </row>
    <row r="92" spans="1:10" ht="14.1" customHeight="1" x14ac:dyDescent="0.2">
      <c r="A92" s="120"/>
      <c r="B92" s="120"/>
      <c r="C92" s="121" t="s">
        <v>161</v>
      </c>
      <c r="D92" s="120"/>
      <c r="E92" s="120"/>
      <c r="F92" s="131"/>
      <c r="G92" s="131"/>
      <c r="H92" s="122" t="s">
        <v>153</v>
      </c>
      <c r="J92" s="2"/>
    </row>
    <row r="93" spans="1:10" ht="24" customHeight="1" x14ac:dyDescent="0.2">
      <c r="A93" s="120"/>
      <c r="B93" s="120"/>
      <c r="C93" s="121" t="s">
        <v>10</v>
      </c>
      <c r="D93" s="120"/>
      <c r="E93" s="120"/>
      <c r="F93" s="131"/>
      <c r="G93" s="131"/>
      <c r="H93" s="122" t="s">
        <v>153</v>
      </c>
      <c r="J93" s="2"/>
    </row>
    <row r="94" spans="1:10" ht="14.1" customHeight="1" x14ac:dyDescent="0.2">
      <c r="A94" s="120"/>
      <c r="B94" s="120"/>
      <c r="C94" s="121" t="s">
        <v>152</v>
      </c>
      <c r="D94" s="120"/>
      <c r="E94" s="120" t="s">
        <v>153</v>
      </c>
      <c r="F94" s="132" t="s">
        <v>155</v>
      </c>
      <c r="G94" s="129">
        <v>0</v>
      </c>
      <c r="H94" s="122" t="s">
        <v>153</v>
      </c>
      <c r="J94" s="2"/>
    </row>
    <row r="95" spans="1:10" ht="14.1" customHeight="1" x14ac:dyDescent="0.2">
      <c r="A95" s="120"/>
      <c r="B95" s="120"/>
      <c r="C95" s="130"/>
      <c r="D95" s="120"/>
      <c r="E95" s="120"/>
      <c r="F95" s="131"/>
      <c r="G95" s="131"/>
      <c r="H95" s="122" t="s">
        <v>153</v>
      </c>
      <c r="J95" s="2"/>
    </row>
    <row r="96" spans="1:10" ht="14.1" customHeight="1" x14ac:dyDescent="0.2">
      <c r="A96" s="120"/>
      <c r="B96" s="120"/>
      <c r="C96" s="121" t="s">
        <v>162</v>
      </c>
      <c r="D96" s="120"/>
      <c r="E96" s="120"/>
      <c r="F96" s="120"/>
      <c r="G96" s="120"/>
      <c r="H96" s="122" t="s">
        <v>153</v>
      </c>
      <c r="J96" s="2"/>
    </row>
    <row r="97" spans="1:10" ht="14.1" customHeight="1" x14ac:dyDescent="0.2">
      <c r="A97" s="120"/>
      <c r="B97" s="120"/>
      <c r="C97" s="121" t="s">
        <v>152</v>
      </c>
      <c r="D97" s="120"/>
      <c r="E97" s="120" t="s">
        <v>153</v>
      </c>
      <c r="F97" s="132" t="s">
        <v>155</v>
      </c>
      <c r="G97" s="129">
        <v>0</v>
      </c>
      <c r="H97" s="122" t="s">
        <v>153</v>
      </c>
      <c r="J97" s="2"/>
    </row>
    <row r="98" spans="1:10" ht="14.1" customHeight="1" x14ac:dyDescent="0.2">
      <c r="A98" s="120"/>
      <c r="B98" s="120"/>
      <c r="C98" s="130"/>
      <c r="D98" s="120"/>
      <c r="E98" s="120"/>
      <c r="F98" s="131"/>
      <c r="G98" s="131"/>
      <c r="H98" s="122" t="s">
        <v>153</v>
      </c>
      <c r="J98" s="2"/>
    </row>
    <row r="99" spans="1:10" ht="14.1" customHeight="1" x14ac:dyDescent="0.2">
      <c r="A99" s="120"/>
      <c r="B99" s="120"/>
      <c r="C99" s="121" t="s">
        <v>163</v>
      </c>
      <c r="D99" s="120"/>
      <c r="E99" s="120"/>
      <c r="F99" s="120"/>
      <c r="G99" s="120"/>
      <c r="H99" s="122" t="s">
        <v>153</v>
      </c>
      <c r="J99" s="2"/>
    </row>
    <row r="100" spans="1:10" ht="14.1" customHeight="1" x14ac:dyDescent="0.2">
      <c r="A100" s="120"/>
      <c r="B100" s="120"/>
      <c r="C100" s="121" t="s">
        <v>152</v>
      </c>
      <c r="D100" s="120"/>
      <c r="E100" s="120" t="s">
        <v>153</v>
      </c>
      <c r="F100" s="132" t="s">
        <v>155</v>
      </c>
      <c r="G100" s="129">
        <v>0</v>
      </c>
      <c r="H100" s="122" t="s">
        <v>153</v>
      </c>
      <c r="J100" s="2"/>
    </row>
    <row r="101" spans="1:10" ht="14.1" customHeight="1" x14ac:dyDescent="0.2">
      <c r="A101" s="120"/>
      <c r="B101" s="120"/>
      <c r="C101" s="130"/>
      <c r="D101" s="120"/>
      <c r="E101" s="120"/>
      <c r="F101" s="131"/>
      <c r="G101" s="131"/>
      <c r="H101" s="122" t="s">
        <v>153</v>
      </c>
      <c r="J101" s="2"/>
    </row>
    <row r="102" spans="1:10" ht="14.1" customHeight="1" x14ac:dyDescent="0.2">
      <c r="A102" s="120"/>
      <c r="B102" s="120"/>
      <c r="C102" s="121" t="s">
        <v>164</v>
      </c>
      <c r="D102" s="120"/>
      <c r="E102" s="120"/>
      <c r="F102" s="131"/>
      <c r="G102" s="131"/>
      <c r="H102" s="122" t="s">
        <v>153</v>
      </c>
      <c r="J102" s="2"/>
    </row>
    <row r="103" spans="1:10" ht="14.1" customHeight="1" x14ac:dyDescent="0.2">
      <c r="A103" s="120"/>
      <c r="B103" s="120"/>
      <c r="C103" s="121" t="s">
        <v>152</v>
      </c>
      <c r="D103" s="120"/>
      <c r="E103" s="120" t="s">
        <v>153</v>
      </c>
      <c r="F103" s="132" t="s">
        <v>155</v>
      </c>
      <c r="G103" s="129">
        <v>0</v>
      </c>
      <c r="H103" s="122" t="s">
        <v>153</v>
      </c>
      <c r="J103" s="2"/>
    </row>
    <row r="104" spans="1:10" ht="14.1" customHeight="1" x14ac:dyDescent="0.2">
      <c r="A104" s="120"/>
      <c r="B104" s="120"/>
      <c r="C104" s="130"/>
      <c r="D104" s="120"/>
      <c r="E104" s="120"/>
      <c r="F104" s="131"/>
      <c r="G104" s="131"/>
      <c r="H104" s="122" t="s">
        <v>153</v>
      </c>
      <c r="J104" s="2"/>
    </row>
    <row r="105" spans="1:10" ht="14.1" customHeight="1" x14ac:dyDescent="0.2">
      <c r="A105" s="120"/>
      <c r="B105" s="120"/>
      <c r="C105" s="121" t="s">
        <v>165</v>
      </c>
      <c r="D105" s="120"/>
      <c r="E105" s="120"/>
      <c r="F105" s="128">
        <v>0</v>
      </c>
      <c r="G105" s="129">
        <v>0</v>
      </c>
      <c r="H105" s="122" t="s">
        <v>153</v>
      </c>
      <c r="J105" s="2"/>
    </row>
    <row r="106" spans="1:10" ht="14.1" customHeight="1" x14ac:dyDescent="0.2">
      <c r="A106" s="120"/>
      <c r="B106" s="120"/>
      <c r="C106" s="130"/>
      <c r="D106" s="120"/>
      <c r="E106" s="120"/>
      <c r="F106" s="131"/>
      <c r="G106" s="131"/>
      <c r="H106" s="122" t="s">
        <v>153</v>
      </c>
      <c r="J106" s="2"/>
    </row>
    <row r="107" spans="1:10" ht="14.1" customHeight="1" x14ac:dyDescent="0.2">
      <c r="A107" s="120"/>
      <c r="B107" s="120"/>
      <c r="C107" s="121" t="s">
        <v>166</v>
      </c>
      <c r="D107" s="120"/>
      <c r="E107" s="120"/>
      <c r="F107" s="131"/>
      <c r="G107" s="131"/>
      <c r="H107" s="122" t="s">
        <v>153</v>
      </c>
      <c r="J107" s="2"/>
    </row>
    <row r="108" spans="1:10" ht="14.1" customHeight="1" x14ac:dyDescent="0.2">
      <c r="A108" s="120"/>
      <c r="B108" s="120"/>
      <c r="C108" s="121" t="s">
        <v>167</v>
      </c>
      <c r="D108" s="120"/>
      <c r="E108" s="120"/>
      <c r="F108" s="131"/>
      <c r="G108" s="131"/>
      <c r="H108" s="122" t="s">
        <v>153</v>
      </c>
      <c r="J108" s="2"/>
    </row>
    <row r="109" spans="1:10" ht="14.1" customHeight="1" x14ac:dyDescent="0.2">
      <c r="A109" s="120"/>
      <c r="B109" s="120"/>
      <c r="C109" s="121" t="s">
        <v>152</v>
      </c>
      <c r="D109" s="120"/>
      <c r="E109" s="120" t="s">
        <v>153</v>
      </c>
      <c r="F109" s="132" t="s">
        <v>155</v>
      </c>
      <c r="G109" s="129">
        <v>0</v>
      </c>
      <c r="H109" s="122" t="s">
        <v>153</v>
      </c>
      <c r="J109" s="2"/>
    </row>
    <row r="110" spans="1:10" ht="14.1" customHeight="1" x14ac:dyDescent="0.2">
      <c r="A110" s="120"/>
      <c r="B110" s="120"/>
      <c r="C110" s="130"/>
      <c r="D110" s="120"/>
      <c r="E110" s="120"/>
      <c r="F110" s="131"/>
      <c r="G110" s="131"/>
      <c r="H110" s="122" t="s">
        <v>153</v>
      </c>
      <c r="J110" s="2"/>
    </row>
    <row r="111" spans="1:10" ht="14.1" customHeight="1" x14ac:dyDescent="0.2">
      <c r="A111" s="120"/>
      <c r="B111" s="120"/>
      <c r="C111" s="121" t="s">
        <v>168</v>
      </c>
      <c r="D111" s="120"/>
      <c r="E111" s="120"/>
      <c r="F111" s="131"/>
      <c r="G111" s="131"/>
      <c r="H111" s="122" t="s">
        <v>153</v>
      </c>
      <c r="J111" s="2"/>
    </row>
    <row r="112" spans="1:10" ht="14.1" customHeight="1" x14ac:dyDescent="0.2">
      <c r="A112" s="120"/>
      <c r="B112" s="120"/>
      <c r="C112" s="121" t="s">
        <v>152</v>
      </c>
      <c r="D112" s="120"/>
      <c r="E112" s="120" t="s">
        <v>153</v>
      </c>
      <c r="F112" s="132" t="s">
        <v>155</v>
      </c>
      <c r="G112" s="129">
        <v>0</v>
      </c>
      <c r="H112" s="122" t="s">
        <v>153</v>
      </c>
      <c r="J112" s="2"/>
    </row>
    <row r="113" spans="1:10" ht="14.1" customHeight="1" x14ac:dyDescent="0.2">
      <c r="A113" s="120"/>
      <c r="B113" s="120"/>
      <c r="C113" s="130"/>
      <c r="D113" s="120"/>
      <c r="E113" s="120"/>
      <c r="F113" s="131"/>
      <c r="G113" s="131"/>
      <c r="H113" s="122" t="s">
        <v>153</v>
      </c>
      <c r="J113" s="2"/>
    </row>
    <row r="114" spans="1:10" ht="14.1" customHeight="1" x14ac:dyDescent="0.2">
      <c r="A114" s="120"/>
      <c r="B114" s="120"/>
      <c r="C114" s="121" t="s">
        <v>169</v>
      </c>
      <c r="D114" s="120"/>
      <c r="E114" s="120"/>
      <c r="F114" s="131"/>
      <c r="G114" s="131"/>
      <c r="H114" s="122" t="s">
        <v>153</v>
      </c>
      <c r="J114" s="2"/>
    </row>
    <row r="115" spans="1:10" ht="14.1" customHeight="1" x14ac:dyDescent="0.2">
      <c r="A115" s="120"/>
      <c r="B115" s="120"/>
      <c r="C115" s="121" t="s">
        <v>152</v>
      </c>
      <c r="D115" s="120"/>
      <c r="E115" s="120" t="s">
        <v>153</v>
      </c>
      <c r="F115" s="132" t="s">
        <v>155</v>
      </c>
      <c r="G115" s="129">
        <v>0</v>
      </c>
      <c r="H115" s="122" t="s">
        <v>153</v>
      </c>
      <c r="J115" s="2"/>
    </row>
    <row r="116" spans="1:10" ht="14.1" customHeight="1" x14ac:dyDescent="0.2">
      <c r="A116" s="120"/>
      <c r="B116" s="120"/>
      <c r="C116" s="130"/>
      <c r="D116" s="120"/>
      <c r="E116" s="120"/>
      <c r="F116" s="131"/>
      <c r="G116" s="131"/>
      <c r="H116" s="122" t="s">
        <v>153</v>
      </c>
      <c r="J116" s="2"/>
    </row>
    <row r="117" spans="1:10" ht="14.1" customHeight="1" x14ac:dyDescent="0.2">
      <c r="A117" s="120"/>
      <c r="B117" s="120"/>
      <c r="C117" s="121" t="s">
        <v>170</v>
      </c>
      <c r="D117" s="120"/>
      <c r="E117" s="120"/>
      <c r="F117" s="131"/>
      <c r="G117" s="131"/>
      <c r="H117" s="122" t="s">
        <v>153</v>
      </c>
      <c r="J117" s="2"/>
    </row>
    <row r="118" spans="1:10" ht="17.100000000000001" customHeight="1" x14ac:dyDescent="0.2">
      <c r="A118" s="123">
        <v>1</v>
      </c>
      <c r="B118" s="124"/>
      <c r="C118" s="124" t="s">
        <v>171</v>
      </c>
      <c r="D118" s="124"/>
      <c r="E118" s="133"/>
      <c r="F118" s="126">
        <v>11289.220140562</v>
      </c>
      <c r="G118" s="127">
        <v>3.956225E-2</v>
      </c>
      <c r="H118" s="122">
        <v>6.62</v>
      </c>
      <c r="J118" s="2"/>
    </row>
    <row r="119" spans="1:10" ht="14.1" customHeight="1" x14ac:dyDescent="0.2">
      <c r="A119" s="120"/>
      <c r="B119" s="120"/>
      <c r="C119" s="121" t="s">
        <v>152</v>
      </c>
      <c r="D119" s="120"/>
      <c r="E119" s="120" t="s">
        <v>153</v>
      </c>
      <c r="F119" s="128">
        <v>11289.220140562</v>
      </c>
      <c r="G119" s="129">
        <v>3.956225E-2</v>
      </c>
      <c r="H119" s="122" t="s">
        <v>153</v>
      </c>
      <c r="J119" s="2"/>
    </row>
    <row r="120" spans="1:10" ht="14.1" customHeight="1" x14ac:dyDescent="0.2">
      <c r="A120" s="120"/>
      <c r="B120" s="120"/>
      <c r="C120" s="130"/>
      <c r="D120" s="120"/>
      <c r="E120" s="120"/>
      <c r="F120" s="131"/>
      <c r="G120" s="131"/>
      <c r="H120" s="122" t="s">
        <v>153</v>
      </c>
      <c r="J120" s="2"/>
    </row>
    <row r="121" spans="1:10" ht="14.1" customHeight="1" x14ac:dyDescent="0.2">
      <c r="A121" s="120"/>
      <c r="B121" s="120"/>
      <c r="C121" s="121" t="s">
        <v>172</v>
      </c>
      <c r="D121" s="120"/>
      <c r="E121" s="120"/>
      <c r="F121" s="128">
        <v>11289.220140562</v>
      </c>
      <c r="G121" s="129">
        <v>3.956225E-2</v>
      </c>
      <c r="H121" s="122" t="s">
        <v>153</v>
      </c>
      <c r="J121" s="2"/>
    </row>
    <row r="122" spans="1:10" ht="14.1" customHeight="1" x14ac:dyDescent="0.2">
      <c r="A122" s="120"/>
      <c r="B122" s="120"/>
      <c r="C122" s="131"/>
      <c r="D122" s="120"/>
      <c r="E122" s="120"/>
      <c r="F122" s="120"/>
      <c r="G122" s="120"/>
      <c r="H122" s="122" t="s">
        <v>153</v>
      </c>
      <c r="J122" s="2"/>
    </row>
    <row r="123" spans="1:10" ht="14.1" customHeight="1" x14ac:dyDescent="0.2">
      <c r="A123" s="120"/>
      <c r="B123" s="120"/>
      <c r="C123" s="121" t="s">
        <v>173</v>
      </c>
      <c r="D123" s="120"/>
      <c r="E123" s="120"/>
      <c r="F123" s="120"/>
      <c r="G123" s="120"/>
      <c r="H123" s="122" t="s">
        <v>153</v>
      </c>
      <c r="J123" s="2"/>
    </row>
    <row r="124" spans="1:10" ht="14.1" customHeight="1" x14ac:dyDescent="0.2">
      <c r="A124" s="120"/>
      <c r="B124" s="120"/>
      <c r="C124" s="121" t="s">
        <v>174</v>
      </c>
      <c r="D124" s="120"/>
      <c r="E124" s="120"/>
      <c r="F124" s="120"/>
      <c r="G124" s="120"/>
      <c r="H124" s="122" t="s">
        <v>153</v>
      </c>
      <c r="J124" s="2"/>
    </row>
    <row r="125" spans="1:10" ht="14.1" customHeight="1" x14ac:dyDescent="0.2">
      <c r="A125" s="120"/>
      <c r="B125" s="120"/>
      <c r="C125" s="121" t="s">
        <v>152</v>
      </c>
      <c r="D125" s="120"/>
      <c r="E125" s="120" t="s">
        <v>153</v>
      </c>
      <c r="F125" s="132" t="s">
        <v>155</v>
      </c>
      <c r="G125" s="129">
        <v>0</v>
      </c>
      <c r="H125" s="122" t="s">
        <v>153</v>
      </c>
      <c r="J125" s="2"/>
    </row>
    <row r="126" spans="1:10" ht="14.1" customHeight="1" x14ac:dyDescent="0.2">
      <c r="A126" s="120"/>
      <c r="B126" s="120"/>
      <c r="C126" s="130"/>
      <c r="D126" s="120"/>
      <c r="E126" s="120"/>
      <c r="F126" s="131"/>
      <c r="G126" s="131"/>
      <c r="H126" s="122" t="s">
        <v>153</v>
      </c>
      <c r="J126" s="2"/>
    </row>
    <row r="127" spans="1:10" ht="14.1" customHeight="1" x14ac:dyDescent="0.2">
      <c r="A127" s="120"/>
      <c r="B127" s="120"/>
      <c r="C127" s="121" t="s">
        <v>175</v>
      </c>
      <c r="D127" s="120"/>
      <c r="E127" s="120"/>
      <c r="F127" s="120"/>
      <c r="G127" s="120"/>
      <c r="H127" s="122" t="s">
        <v>153</v>
      </c>
      <c r="J127" s="2"/>
    </row>
    <row r="128" spans="1:10" ht="14.1" customHeight="1" x14ac:dyDescent="0.2">
      <c r="A128" s="120"/>
      <c r="B128" s="120"/>
      <c r="C128" s="121" t="s">
        <v>176</v>
      </c>
      <c r="D128" s="120"/>
      <c r="E128" s="120"/>
      <c r="F128" s="120"/>
      <c r="G128" s="120"/>
      <c r="H128" s="122" t="s">
        <v>153</v>
      </c>
      <c r="J128" s="2"/>
    </row>
    <row r="129" spans="1:17" ht="14.1" customHeight="1" x14ac:dyDescent="0.2">
      <c r="A129" s="120"/>
      <c r="B129" s="120"/>
      <c r="C129" s="121" t="s">
        <v>152</v>
      </c>
      <c r="D129" s="120"/>
      <c r="E129" s="120" t="s">
        <v>153</v>
      </c>
      <c r="F129" s="132" t="s">
        <v>155</v>
      </c>
      <c r="G129" s="129">
        <v>0</v>
      </c>
      <c r="H129" s="122" t="s">
        <v>153</v>
      </c>
      <c r="J129" s="2"/>
    </row>
    <row r="130" spans="1:17" ht="14.1" customHeight="1" x14ac:dyDescent="0.2">
      <c r="A130" s="120"/>
      <c r="B130" s="120"/>
      <c r="C130" s="130"/>
      <c r="D130" s="120"/>
      <c r="E130" s="120"/>
      <c r="F130" s="131"/>
      <c r="G130" s="131"/>
      <c r="H130" s="122" t="s">
        <v>153</v>
      </c>
      <c r="J130" s="2"/>
    </row>
    <row r="131" spans="1:17" ht="24" customHeight="1" x14ac:dyDescent="0.2">
      <c r="A131" s="120"/>
      <c r="B131" s="120"/>
      <c r="C131" s="121" t="s">
        <v>177</v>
      </c>
      <c r="D131" s="120"/>
      <c r="E131" s="120"/>
      <c r="F131" s="131"/>
      <c r="G131" s="131"/>
      <c r="H131" s="122" t="s">
        <v>153</v>
      </c>
      <c r="J131" s="2"/>
    </row>
    <row r="132" spans="1:17" ht="14.1" customHeight="1" x14ac:dyDescent="0.2">
      <c r="A132" s="120"/>
      <c r="B132" s="120"/>
      <c r="C132" s="121" t="s">
        <v>152</v>
      </c>
      <c r="D132" s="120"/>
      <c r="E132" s="120" t="s">
        <v>153</v>
      </c>
      <c r="F132" s="132" t="s">
        <v>155</v>
      </c>
      <c r="G132" s="129">
        <v>0</v>
      </c>
      <c r="H132" s="122" t="s">
        <v>153</v>
      </c>
      <c r="J132" s="2"/>
    </row>
    <row r="133" spans="1:17" ht="14.1" customHeight="1" x14ac:dyDescent="0.2">
      <c r="A133" s="120"/>
      <c r="B133" s="120"/>
      <c r="C133" s="130"/>
      <c r="D133" s="120"/>
      <c r="E133" s="120"/>
      <c r="F133" s="131"/>
      <c r="G133" s="131"/>
      <c r="H133" s="122" t="s">
        <v>153</v>
      </c>
      <c r="J133" s="2"/>
    </row>
    <row r="134" spans="1:17" ht="18" customHeight="1" x14ac:dyDescent="0.2">
      <c r="A134" s="133"/>
      <c r="B134" s="124"/>
      <c r="C134" s="124" t="s">
        <v>178</v>
      </c>
      <c r="D134" s="124"/>
      <c r="E134" s="133"/>
      <c r="F134" s="126">
        <v>303.79193099000003</v>
      </c>
      <c r="G134" s="127">
        <v>1.0646200000000001E-3</v>
      </c>
      <c r="H134" s="122" t="s">
        <v>153</v>
      </c>
      <c r="J134" s="2"/>
    </row>
    <row r="135" spans="1:17" ht="14.1" customHeight="1" x14ac:dyDescent="0.2">
      <c r="A135" s="130"/>
      <c r="B135" s="130"/>
      <c r="C135" s="121" t="s">
        <v>179</v>
      </c>
      <c r="D135" s="131"/>
      <c r="E135" s="131"/>
      <c r="F135" s="128">
        <v>285353.36267009698</v>
      </c>
      <c r="G135" s="134">
        <v>1.0000000499999999</v>
      </c>
      <c r="H135" s="122" t="s">
        <v>153</v>
      </c>
      <c r="J135" s="2"/>
    </row>
    <row r="136" spans="1:17" ht="14.1" customHeight="1" x14ac:dyDescent="0.2">
      <c r="A136" s="135"/>
      <c r="B136" s="135"/>
      <c r="C136" s="135"/>
      <c r="D136" s="136"/>
      <c r="E136" s="136"/>
      <c r="F136" s="136"/>
      <c r="G136" s="136"/>
      <c r="J136" s="2"/>
    </row>
    <row r="137" spans="1:17" ht="12.75" customHeight="1" x14ac:dyDescent="0.2">
      <c r="A137" s="137"/>
      <c r="B137" s="226" t="s">
        <v>863</v>
      </c>
      <c r="C137" s="226"/>
      <c r="D137" s="226"/>
      <c r="E137" s="226"/>
      <c r="F137" s="226"/>
      <c r="G137" s="226"/>
      <c r="H137" s="226"/>
      <c r="J137" s="2"/>
    </row>
    <row r="138" spans="1:17" ht="14.1" customHeight="1" x14ac:dyDescent="0.2">
      <c r="A138" s="137"/>
      <c r="B138" s="226" t="s">
        <v>864</v>
      </c>
      <c r="C138" s="226"/>
      <c r="D138" s="226"/>
      <c r="E138" s="226"/>
      <c r="F138" s="226"/>
      <c r="G138" s="226"/>
      <c r="H138" s="226"/>
      <c r="J138" s="2"/>
    </row>
    <row r="139" spans="1:17" ht="17.100000000000001" customHeight="1" x14ac:dyDescent="0.2">
      <c r="A139" s="137"/>
      <c r="B139" s="226" t="s">
        <v>865</v>
      </c>
      <c r="C139" s="226"/>
      <c r="D139" s="226"/>
      <c r="E139" s="226"/>
      <c r="F139" s="226"/>
      <c r="G139" s="226"/>
      <c r="H139" s="226"/>
      <c r="J139" s="2"/>
    </row>
    <row r="140" spans="1:17" s="5" customFormat="1" ht="65.25" customHeight="1" x14ac:dyDescent="0.25">
      <c r="A140" s="139"/>
      <c r="B140" s="227" t="s">
        <v>866</v>
      </c>
      <c r="C140" s="227"/>
      <c r="D140" s="227"/>
      <c r="E140" s="227"/>
      <c r="F140" s="227"/>
      <c r="G140" s="227"/>
      <c r="H140" s="227"/>
      <c r="I140"/>
      <c r="J140" s="2"/>
      <c r="K140"/>
      <c r="L140"/>
      <c r="M140"/>
      <c r="N140"/>
      <c r="O140"/>
      <c r="P140"/>
      <c r="Q140"/>
    </row>
    <row r="141" spans="1:17" ht="12.75" customHeight="1" x14ac:dyDescent="0.2">
      <c r="A141" s="137"/>
      <c r="B141" s="226" t="s">
        <v>867</v>
      </c>
      <c r="C141" s="226"/>
      <c r="D141" s="226"/>
      <c r="E141" s="226"/>
      <c r="F141" s="226"/>
      <c r="G141" s="226"/>
      <c r="H141" s="226"/>
      <c r="J141" s="2"/>
    </row>
    <row r="142" spans="1:17" ht="14.1" customHeight="1" x14ac:dyDescent="0.2">
      <c r="A142" s="140"/>
      <c r="B142" s="140"/>
      <c r="C142" s="140"/>
      <c r="D142" s="141"/>
      <c r="E142" s="141"/>
      <c r="F142" s="141"/>
      <c r="G142" s="141"/>
      <c r="J142" s="2"/>
    </row>
    <row r="143" spans="1:17" ht="14.1" customHeight="1" x14ac:dyDescent="0.2">
      <c r="A143" s="140"/>
      <c r="B143" s="228" t="s">
        <v>180</v>
      </c>
      <c r="C143" s="229"/>
      <c r="D143" s="230"/>
      <c r="E143" s="142"/>
      <c r="F143" s="141"/>
      <c r="G143" s="141"/>
      <c r="J143" s="2"/>
    </row>
    <row r="144" spans="1:17" ht="29.25" customHeight="1" x14ac:dyDescent="0.2">
      <c r="A144" s="137"/>
      <c r="B144" s="221" t="s">
        <v>181</v>
      </c>
      <c r="C144" s="222"/>
      <c r="D144" s="143" t="s">
        <v>943</v>
      </c>
      <c r="E144" s="161"/>
      <c r="F144" s="162"/>
      <c r="G144" s="162"/>
      <c r="J144" s="2"/>
    </row>
    <row r="145" spans="1:10" ht="17.100000000000001" customHeight="1" x14ac:dyDescent="0.2">
      <c r="A145" s="137"/>
      <c r="B145" s="221" t="s">
        <v>939</v>
      </c>
      <c r="C145" s="222"/>
      <c r="D145" s="143" t="str">
        <f>"Rs. "&amp;TEXT(F79,"0.00")&amp;" lacs/ 0.01%"</f>
        <v>Rs. 38.99 lacs/ 0.01%</v>
      </c>
      <c r="E145" s="161"/>
      <c r="F145" s="162"/>
      <c r="G145" s="162"/>
      <c r="J145" s="2"/>
    </row>
    <row r="146" spans="1:10" ht="17.100000000000001" customHeight="1" x14ac:dyDescent="0.2">
      <c r="A146" s="140"/>
      <c r="B146" s="223" t="s">
        <v>184</v>
      </c>
      <c r="C146" s="224"/>
      <c r="D146" s="131" t="s">
        <v>153</v>
      </c>
      <c r="E146" s="142"/>
      <c r="F146" s="141"/>
      <c r="G146" s="141"/>
      <c r="J146" s="2"/>
    </row>
    <row r="147" spans="1:10" x14ac:dyDescent="0.2">
      <c r="A147" s="144"/>
      <c r="B147" s="145" t="s">
        <v>153</v>
      </c>
      <c r="C147" s="145" t="s">
        <v>870</v>
      </c>
      <c r="D147" s="145" t="s">
        <v>185</v>
      </c>
      <c r="E147" s="144"/>
      <c r="F147" s="144"/>
      <c r="G147" s="144"/>
      <c r="H147" s="144"/>
      <c r="J147" s="2"/>
    </row>
    <row r="148" spans="1:10" x14ac:dyDescent="0.2">
      <c r="A148" s="146"/>
      <c r="B148" s="147" t="s">
        <v>186</v>
      </c>
      <c r="C148" s="148">
        <v>45504</v>
      </c>
      <c r="D148" s="149">
        <v>45535</v>
      </c>
      <c r="E148" s="146"/>
      <c r="F148" s="146"/>
      <c r="G148" s="146"/>
      <c r="J148" s="2"/>
    </row>
    <row r="149" spans="1:10" ht="17.100000000000001" customHeight="1" x14ac:dyDescent="0.2">
      <c r="A149" s="146"/>
      <c r="B149" s="124" t="s">
        <v>187</v>
      </c>
      <c r="C149" s="150">
        <v>418.88929999999999</v>
      </c>
      <c r="D149" s="150">
        <v>424.21800000000002</v>
      </c>
      <c r="E149" s="146"/>
      <c r="F149" s="151"/>
      <c r="G149" s="152"/>
      <c r="J149" s="2"/>
    </row>
    <row r="150" spans="1:10" ht="29.1" customHeight="1" x14ac:dyDescent="0.2">
      <c r="A150" s="146"/>
      <c r="B150" s="124" t="s">
        <v>928</v>
      </c>
      <c r="C150" s="150">
        <v>96.229100000000003</v>
      </c>
      <c r="D150" s="150">
        <v>97.453199999999995</v>
      </c>
      <c r="E150" s="146"/>
      <c r="F150" s="151"/>
      <c r="G150" s="152"/>
      <c r="J150" s="2"/>
    </row>
    <row r="151" spans="1:10" ht="17.100000000000001" customHeight="1" x14ac:dyDescent="0.2">
      <c r="A151" s="146"/>
      <c r="B151" s="124" t="s">
        <v>188</v>
      </c>
      <c r="C151" s="150">
        <v>380.16660000000002</v>
      </c>
      <c r="D151" s="150">
        <v>384.6431</v>
      </c>
      <c r="E151" s="146"/>
      <c r="F151" s="151"/>
      <c r="G151" s="152"/>
      <c r="J151" s="2"/>
    </row>
    <row r="152" spans="1:10" ht="29.1" customHeight="1" x14ac:dyDescent="0.2">
      <c r="A152" s="146"/>
      <c r="B152" s="124" t="s">
        <v>929</v>
      </c>
      <c r="C152" s="150">
        <v>72.097200000000001</v>
      </c>
      <c r="D152" s="150">
        <v>72.946200000000005</v>
      </c>
      <c r="E152" s="146"/>
      <c r="F152" s="151"/>
      <c r="G152" s="152"/>
      <c r="J152" s="2"/>
    </row>
    <row r="153" spans="1:10" ht="14.1" customHeight="1" x14ac:dyDescent="0.2">
      <c r="A153" s="146"/>
      <c r="B153" s="146"/>
      <c r="C153" s="146"/>
      <c r="D153" s="146"/>
      <c r="E153" s="146"/>
      <c r="F153" s="146"/>
      <c r="G153" s="146"/>
      <c r="J153" s="2"/>
    </row>
    <row r="154" spans="1:10" x14ac:dyDescent="0.2">
      <c r="A154" s="144"/>
      <c r="B154" s="221" t="s">
        <v>869</v>
      </c>
      <c r="C154" s="222"/>
      <c r="D154" s="143" t="s">
        <v>182</v>
      </c>
      <c r="E154" s="144"/>
      <c r="F154" s="144"/>
      <c r="G154" s="144"/>
      <c r="J154" s="2"/>
    </row>
    <row r="155" spans="1:10" x14ac:dyDescent="0.2">
      <c r="A155" s="144"/>
      <c r="B155" s="163"/>
      <c r="C155" s="163"/>
      <c r="D155" s="163"/>
      <c r="E155" s="144"/>
      <c r="F155" s="144"/>
      <c r="G155" s="144"/>
      <c r="J155" s="2"/>
    </row>
    <row r="156" spans="1:10" ht="29.1" customHeight="1" x14ac:dyDescent="0.2">
      <c r="A156" s="144"/>
      <c r="B156" s="221" t="s">
        <v>189</v>
      </c>
      <c r="C156" s="222"/>
      <c r="D156" s="143" t="s">
        <v>182</v>
      </c>
      <c r="E156" s="153"/>
      <c r="F156" s="144"/>
      <c r="G156" s="144"/>
      <c r="J156" s="2"/>
    </row>
    <row r="157" spans="1:10" ht="29.1" customHeight="1" x14ac:dyDescent="0.2">
      <c r="A157" s="144"/>
      <c r="B157" s="221" t="s">
        <v>190</v>
      </c>
      <c r="C157" s="222"/>
      <c r="D157" s="143" t="s">
        <v>182</v>
      </c>
      <c r="E157" s="153"/>
      <c r="F157" s="144"/>
      <c r="G157" s="144"/>
      <c r="J157" s="2"/>
    </row>
    <row r="158" spans="1:10" ht="17.100000000000001" customHeight="1" x14ac:dyDescent="0.2">
      <c r="A158" s="144"/>
      <c r="B158" s="221" t="s">
        <v>191</v>
      </c>
      <c r="C158" s="222"/>
      <c r="D158" s="143" t="s">
        <v>182</v>
      </c>
      <c r="E158" s="153"/>
      <c r="F158" s="144"/>
      <c r="G158" s="144"/>
      <c r="J158" s="2"/>
    </row>
    <row r="159" spans="1:10" ht="17.100000000000001" customHeight="1" x14ac:dyDescent="0.2">
      <c r="A159" s="144"/>
      <c r="B159" s="221" t="s">
        <v>192</v>
      </c>
      <c r="C159" s="222"/>
      <c r="D159" s="154">
        <v>0.68034759724173988</v>
      </c>
      <c r="E159" s="144"/>
      <c r="F159" s="138"/>
      <c r="G159" s="155"/>
      <c r="J159" s="2"/>
    </row>
    <row r="160" spans="1:10" x14ac:dyDescent="0.2">
      <c r="J160" s="2"/>
    </row>
    <row r="161" spans="2:10" x14ac:dyDescent="0.2">
      <c r="B161" s="209" t="s">
        <v>1062</v>
      </c>
      <c r="J161" s="2"/>
    </row>
    <row r="162" spans="2:10" ht="40.5" x14ac:dyDescent="0.2">
      <c r="B162" s="210" t="s">
        <v>944</v>
      </c>
      <c r="C162" s="210" t="s">
        <v>945</v>
      </c>
      <c r="D162" s="210" t="s">
        <v>946</v>
      </c>
      <c r="E162" s="210" t="s">
        <v>947</v>
      </c>
      <c r="F162" s="210" t="s">
        <v>948</v>
      </c>
      <c r="J162" s="2"/>
    </row>
    <row r="163" spans="2:10" ht="13.5" x14ac:dyDescent="0.2">
      <c r="B163" s="211" t="s">
        <v>1032</v>
      </c>
      <c r="C163" s="212" t="s">
        <v>1014</v>
      </c>
      <c r="D163" s="27">
        <v>0</v>
      </c>
      <c r="E163" s="28">
        <v>0</v>
      </c>
      <c r="F163" s="213">
        <v>29.407129999999999</v>
      </c>
      <c r="J163" s="2"/>
    </row>
    <row r="164" spans="2:10" x14ac:dyDescent="0.2">
      <c r="J164" s="2"/>
    </row>
    <row r="165" spans="2:10" x14ac:dyDescent="0.2">
      <c r="J165" s="2"/>
    </row>
    <row r="166" spans="2:10" x14ac:dyDescent="0.2">
      <c r="J166" s="2"/>
    </row>
    <row r="167" spans="2:10" x14ac:dyDescent="0.2">
      <c r="J167" s="2"/>
    </row>
    <row r="168" spans="2:10" x14ac:dyDescent="0.2">
      <c r="J168" s="2"/>
    </row>
  </sheetData>
  <mergeCells count="17">
    <mergeCell ref="B144:C144"/>
    <mergeCell ref="A1:H1"/>
    <mergeCell ref="A2:H2"/>
    <mergeCell ref="A3:H3"/>
    <mergeCell ref="B137:H137"/>
    <mergeCell ref="B138:H138"/>
    <mergeCell ref="B139:H139"/>
    <mergeCell ref="B140:H140"/>
    <mergeCell ref="B141:H141"/>
    <mergeCell ref="B143:D143"/>
    <mergeCell ref="B145:C145"/>
    <mergeCell ref="B146:C146"/>
    <mergeCell ref="B154:C154"/>
    <mergeCell ref="B158:C158"/>
    <mergeCell ref="B159:C159"/>
    <mergeCell ref="B156:C156"/>
    <mergeCell ref="B157:C157"/>
  </mergeCells>
  <hyperlinks>
    <hyperlink ref="I1" location="Index!B20" display="Index" xr:uid="{FC0E7F55-33F5-422D-AA47-9D2BA8A8BBB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DD72-8362-4A57-841D-14CA56DF1A93}">
  <sheetPr>
    <outlinePr summaryBelow="0" summaryRight="0"/>
  </sheetPr>
  <dimension ref="A1:Q193"/>
  <sheetViews>
    <sheetView showGridLines="0" workbookViewId="0">
      <selection sqref="A1:H1"/>
    </sheetView>
  </sheetViews>
  <sheetFormatPr defaultRowHeight="12.75" x14ac:dyDescent="0.2"/>
  <cols>
    <col min="1" max="1" width="6.85546875" customWidth="1"/>
    <col min="2" max="2" width="20.5703125" customWidth="1"/>
    <col min="3" max="3" width="38.28515625" customWidth="1"/>
    <col min="4" max="4" width="21.42578125" customWidth="1"/>
    <col min="5" max="6" width="19.140625" customWidth="1"/>
    <col min="7" max="7" width="16.42578125"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738</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x14ac:dyDescent="0.2">
      <c r="A6" s="120"/>
      <c r="B6" s="120"/>
      <c r="C6" s="121" t="s">
        <v>10</v>
      </c>
      <c r="D6" s="120"/>
      <c r="E6" s="120"/>
      <c r="F6" s="120"/>
      <c r="G6" s="120"/>
      <c r="H6" s="122" t="s">
        <v>153</v>
      </c>
      <c r="J6" s="2"/>
    </row>
    <row r="7" spans="1:10" x14ac:dyDescent="0.2">
      <c r="A7" s="123">
        <v>1</v>
      </c>
      <c r="B7" s="124" t="s">
        <v>196</v>
      </c>
      <c r="C7" s="124" t="s">
        <v>197</v>
      </c>
      <c r="D7" s="124" t="s">
        <v>198</v>
      </c>
      <c r="E7" s="125">
        <v>1639</v>
      </c>
      <c r="F7" s="126">
        <v>117.3319125</v>
      </c>
      <c r="G7" s="127">
        <v>1.2263970000000001E-2</v>
      </c>
      <c r="H7" s="122" t="s">
        <v>153</v>
      </c>
      <c r="J7" s="2"/>
    </row>
    <row r="8" spans="1:10" x14ac:dyDescent="0.2">
      <c r="A8" s="123">
        <v>2</v>
      </c>
      <c r="B8" s="124" t="s">
        <v>739</v>
      </c>
      <c r="C8" s="124" t="s">
        <v>740</v>
      </c>
      <c r="D8" s="124" t="s">
        <v>504</v>
      </c>
      <c r="E8" s="125">
        <v>3090</v>
      </c>
      <c r="F8" s="126">
        <v>112.48681500000001</v>
      </c>
      <c r="G8" s="127">
        <v>1.175755E-2</v>
      </c>
      <c r="H8" s="122" t="s">
        <v>153</v>
      </c>
      <c r="J8" s="2"/>
    </row>
    <row r="9" spans="1:10" x14ac:dyDescent="0.2">
      <c r="A9" s="123">
        <v>3</v>
      </c>
      <c r="B9" s="124" t="s">
        <v>344</v>
      </c>
      <c r="C9" s="124" t="s">
        <v>345</v>
      </c>
      <c r="D9" s="124" t="s">
        <v>211</v>
      </c>
      <c r="E9" s="125">
        <v>5686</v>
      </c>
      <c r="F9" s="126">
        <v>110.518782</v>
      </c>
      <c r="G9" s="127">
        <v>1.1551840000000001E-2</v>
      </c>
      <c r="H9" s="122" t="s">
        <v>153</v>
      </c>
      <c r="J9" s="2"/>
    </row>
    <row r="10" spans="1:10" x14ac:dyDescent="0.2">
      <c r="A10" s="123">
        <v>4</v>
      </c>
      <c r="B10" s="124" t="s">
        <v>465</v>
      </c>
      <c r="C10" s="124" t="s">
        <v>466</v>
      </c>
      <c r="D10" s="124" t="s">
        <v>255</v>
      </c>
      <c r="E10" s="125">
        <v>5946</v>
      </c>
      <c r="F10" s="126">
        <v>110.018838</v>
      </c>
      <c r="G10" s="127">
        <v>1.1499580000000001E-2</v>
      </c>
      <c r="H10" s="122" t="s">
        <v>153</v>
      </c>
      <c r="J10" s="2"/>
    </row>
    <row r="11" spans="1:10" x14ac:dyDescent="0.2">
      <c r="A11" s="123">
        <v>5</v>
      </c>
      <c r="B11" s="124" t="s">
        <v>702</v>
      </c>
      <c r="C11" s="124" t="s">
        <v>703</v>
      </c>
      <c r="D11" s="124" t="s">
        <v>255</v>
      </c>
      <c r="E11" s="125">
        <v>14766</v>
      </c>
      <c r="F11" s="126">
        <v>109.076442</v>
      </c>
      <c r="G11" s="127">
        <v>1.1401079999999999E-2</v>
      </c>
      <c r="H11" s="122" t="s">
        <v>153</v>
      </c>
      <c r="J11" s="2"/>
    </row>
    <row r="12" spans="1:10" x14ac:dyDescent="0.2">
      <c r="A12" s="123">
        <v>6</v>
      </c>
      <c r="B12" s="124" t="s">
        <v>346</v>
      </c>
      <c r="C12" s="124" t="s">
        <v>347</v>
      </c>
      <c r="D12" s="124" t="s">
        <v>198</v>
      </c>
      <c r="E12" s="125">
        <v>43400</v>
      </c>
      <c r="F12" s="126">
        <v>108.73002</v>
      </c>
      <c r="G12" s="127">
        <v>1.1364869999999999E-2</v>
      </c>
      <c r="H12" s="122" t="s">
        <v>153</v>
      </c>
    </row>
    <row r="13" spans="1:10" x14ac:dyDescent="0.2">
      <c r="A13" s="123">
        <v>7</v>
      </c>
      <c r="B13" s="124" t="s">
        <v>36</v>
      </c>
      <c r="C13" s="124" t="s">
        <v>37</v>
      </c>
      <c r="D13" s="124" t="s">
        <v>38</v>
      </c>
      <c r="E13" s="125">
        <v>32857</v>
      </c>
      <c r="F13" s="126">
        <v>108.6745275</v>
      </c>
      <c r="G13" s="127">
        <v>1.1359070000000001E-2</v>
      </c>
      <c r="H13" s="122" t="s">
        <v>153</v>
      </c>
      <c r="J13" s="2"/>
    </row>
    <row r="14" spans="1:10" ht="25.5" x14ac:dyDescent="0.2">
      <c r="A14" s="123">
        <v>8</v>
      </c>
      <c r="B14" s="124" t="s">
        <v>741</v>
      </c>
      <c r="C14" s="124" t="s">
        <v>742</v>
      </c>
      <c r="D14" s="124" t="s">
        <v>208</v>
      </c>
      <c r="E14" s="125">
        <v>3105</v>
      </c>
      <c r="F14" s="126">
        <v>108.2139075</v>
      </c>
      <c r="G14" s="127">
        <v>1.131092E-2</v>
      </c>
      <c r="H14" s="122" t="s">
        <v>153</v>
      </c>
      <c r="J14" s="2" t="s">
        <v>1033</v>
      </c>
    </row>
    <row r="15" spans="1:10" x14ac:dyDescent="0.2">
      <c r="A15" s="123">
        <v>9</v>
      </c>
      <c r="B15" s="124" t="s">
        <v>330</v>
      </c>
      <c r="C15" s="124" t="s">
        <v>331</v>
      </c>
      <c r="D15" s="124" t="s">
        <v>255</v>
      </c>
      <c r="E15" s="125">
        <v>14242</v>
      </c>
      <c r="F15" s="126">
        <v>107.263623</v>
      </c>
      <c r="G15" s="127">
        <v>1.12116E-2</v>
      </c>
      <c r="H15" s="122" t="s">
        <v>153</v>
      </c>
      <c r="J15" s="2"/>
    </row>
    <row r="16" spans="1:10" x14ac:dyDescent="0.2">
      <c r="A16" s="123">
        <v>10</v>
      </c>
      <c r="B16" s="124" t="s">
        <v>469</v>
      </c>
      <c r="C16" s="124" t="s">
        <v>470</v>
      </c>
      <c r="D16" s="124" t="s">
        <v>211</v>
      </c>
      <c r="E16" s="125">
        <v>6110</v>
      </c>
      <c r="F16" s="126">
        <v>107.123575</v>
      </c>
      <c r="G16" s="127">
        <v>1.1196960000000001E-2</v>
      </c>
      <c r="H16" s="122" t="s">
        <v>153</v>
      </c>
      <c r="J16" s="2"/>
    </row>
    <row r="17" spans="1:10" ht="25.5" x14ac:dyDescent="0.2">
      <c r="A17" s="123">
        <v>11</v>
      </c>
      <c r="B17" s="124" t="s">
        <v>352</v>
      </c>
      <c r="C17" s="124" t="s">
        <v>353</v>
      </c>
      <c r="D17" s="124" t="s">
        <v>208</v>
      </c>
      <c r="E17" s="125">
        <v>5799</v>
      </c>
      <c r="F17" s="126">
        <v>105.6374835</v>
      </c>
      <c r="G17" s="127">
        <v>1.104163E-2</v>
      </c>
      <c r="H17" s="122" t="s">
        <v>153</v>
      </c>
      <c r="J17" s="2"/>
    </row>
    <row r="18" spans="1:10" x14ac:dyDescent="0.2">
      <c r="A18" s="123">
        <v>12</v>
      </c>
      <c r="B18" s="124" t="s">
        <v>743</v>
      </c>
      <c r="C18" s="124" t="s">
        <v>744</v>
      </c>
      <c r="D18" s="124" t="s">
        <v>211</v>
      </c>
      <c r="E18" s="125">
        <v>1713</v>
      </c>
      <c r="F18" s="126">
        <v>105.4531365</v>
      </c>
      <c r="G18" s="127">
        <v>1.102236E-2</v>
      </c>
      <c r="H18" s="122" t="s">
        <v>153</v>
      </c>
      <c r="J18" s="2"/>
    </row>
    <row r="19" spans="1:10" x14ac:dyDescent="0.2">
      <c r="A19" s="123">
        <v>13</v>
      </c>
      <c r="B19" s="124" t="s">
        <v>745</v>
      </c>
      <c r="C19" s="124" t="s">
        <v>746</v>
      </c>
      <c r="D19" s="124" t="s">
        <v>255</v>
      </c>
      <c r="E19" s="125">
        <v>4915</v>
      </c>
      <c r="F19" s="126">
        <v>105.26701250000001</v>
      </c>
      <c r="G19" s="127">
        <v>1.1002899999999999E-2</v>
      </c>
      <c r="H19" s="122" t="s">
        <v>153</v>
      </c>
      <c r="J19" s="2"/>
    </row>
    <row r="20" spans="1:10" x14ac:dyDescent="0.2">
      <c r="A20" s="123">
        <v>14</v>
      </c>
      <c r="B20" s="124" t="s">
        <v>28</v>
      </c>
      <c r="C20" s="124" t="s">
        <v>29</v>
      </c>
      <c r="D20" s="124" t="s">
        <v>22</v>
      </c>
      <c r="E20" s="125">
        <v>29399</v>
      </c>
      <c r="F20" s="126">
        <v>105.1455235</v>
      </c>
      <c r="G20" s="127">
        <v>1.099021E-2</v>
      </c>
      <c r="H20" s="122" t="s">
        <v>153</v>
      </c>
      <c r="J20" s="2"/>
    </row>
    <row r="21" spans="1:10" x14ac:dyDescent="0.2">
      <c r="A21" s="123">
        <v>15</v>
      </c>
      <c r="B21" s="124" t="s">
        <v>348</v>
      </c>
      <c r="C21" s="124" t="s">
        <v>349</v>
      </c>
      <c r="D21" s="124" t="s">
        <v>211</v>
      </c>
      <c r="E21" s="125">
        <v>2292</v>
      </c>
      <c r="F21" s="126">
        <v>104.37195</v>
      </c>
      <c r="G21" s="127">
        <v>1.090935E-2</v>
      </c>
      <c r="H21" s="122" t="s">
        <v>153</v>
      </c>
      <c r="J21" s="2"/>
    </row>
    <row r="22" spans="1:10" ht="15" x14ac:dyDescent="0.2">
      <c r="A22" s="123">
        <v>16</v>
      </c>
      <c r="B22" s="124" t="s">
        <v>372</v>
      </c>
      <c r="C22" s="124" t="s">
        <v>373</v>
      </c>
      <c r="D22" s="124" t="s">
        <v>374</v>
      </c>
      <c r="E22" s="125">
        <v>20750</v>
      </c>
      <c r="F22" s="126">
        <v>104.14425</v>
      </c>
      <c r="G22" s="127">
        <v>1.0885550000000001E-2</v>
      </c>
      <c r="H22" s="122" t="s">
        <v>153</v>
      </c>
      <c r="J22" s="7"/>
    </row>
    <row r="23" spans="1:10" x14ac:dyDescent="0.2">
      <c r="A23" s="123">
        <v>17</v>
      </c>
      <c r="B23" s="124" t="s">
        <v>95</v>
      </c>
      <c r="C23" s="124" t="s">
        <v>96</v>
      </c>
      <c r="D23" s="124" t="s">
        <v>89</v>
      </c>
      <c r="E23" s="125">
        <v>16684</v>
      </c>
      <c r="F23" s="126">
        <v>103.39909</v>
      </c>
      <c r="G23" s="127">
        <v>1.080766E-2</v>
      </c>
      <c r="H23" s="122" t="s">
        <v>153</v>
      </c>
      <c r="J23" s="2"/>
    </row>
    <row r="24" spans="1:10" x14ac:dyDescent="0.2">
      <c r="A24" s="123">
        <v>18</v>
      </c>
      <c r="B24" s="124" t="s">
        <v>361</v>
      </c>
      <c r="C24" s="124" t="s">
        <v>362</v>
      </c>
      <c r="D24" s="124" t="s">
        <v>273</v>
      </c>
      <c r="E24" s="125">
        <v>9284</v>
      </c>
      <c r="F24" s="126">
        <v>103.177734</v>
      </c>
      <c r="G24" s="127">
        <v>1.0784520000000001E-2</v>
      </c>
      <c r="H24" s="122" t="s">
        <v>153</v>
      </c>
      <c r="J24" s="2"/>
    </row>
    <row r="25" spans="1:10" x14ac:dyDescent="0.2">
      <c r="A25" s="123">
        <v>19</v>
      </c>
      <c r="B25" s="124" t="s">
        <v>271</v>
      </c>
      <c r="C25" s="124" t="s">
        <v>272</v>
      </c>
      <c r="D25" s="124" t="s">
        <v>273</v>
      </c>
      <c r="E25" s="125">
        <v>3647</v>
      </c>
      <c r="F25" s="126">
        <v>102.601051</v>
      </c>
      <c r="G25" s="127">
        <v>1.0724249999999999E-2</v>
      </c>
      <c r="H25" s="122" t="s">
        <v>153</v>
      </c>
      <c r="J25" s="2"/>
    </row>
    <row r="26" spans="1:10" x14ac:dyDescent="0.2">
      <c r="A26" s="123">
        <v>20</v>
      </c>
      <c r="B26" s="124" t="s">
        <v>17</v>
      </c>
      <c r="C26" s="124" t="s">
        <v>18</v>
      </c>
      <c r="D26" s="124" t="s">
        <v>19</v>
      </c>
      <c r="E26" s="125">
        <v>24638</v>
      </c>
      <c r="F26" s="126">
        <v>102.543356</v>
      </c>
      <c r="G26" s="127">
        <v>1.0718220000000001E-2</v>
      </c>
      <c r="H26" s="122" t="s">
        <v>153</v>
      </c>
      <c r="J26" s="2"/>
    </row>
    <row r="27" spans="1:10" x14ac:dyDescent="0.2">
      <c r="A27" s="123">
        <v>21</v>
      </c>
      <c r="B27" s="124" t="s">
        <v>747</v>
      </c>
      <c r="C27" s="124" t="s">
        <v>748</v>
      </c>
      <c r="D27" s="124" t="s">
        <v>89</v>
      </c>
      <c r="E27" s="125">
        <v>1012</v>
      </c>
      <c r="F27" s="126">
        <v>101.783924</v>
      </c>
      <c r="G27" s="127">
        <v>1.063884E-2</v>
      </c>
      <c r="H27" s="122" t="s">
        <v>153</v>
      </c>
      <c r="J27" s="2"/>
    </row>
    <row r="28" spans="1:10" x14ac:dyDescent="0.2">
      <c r="A28" s="123">
        <v>22</v>
      </c>
      <c r="B28" s="124" t="s">
        <v>544</v>
      </c>
      <c r="C28" s="124" t="s">
        <v>545</v>
      </c>
      <c r="D28" s="124" t="s">
        <v>264</v>
      </c>
      <c r="E28" s="125">
        <v>6865</v>
      </c>
      <c r="F28" s="126">
        <v>101.2141275</v>
      </c>
      <c r="G28" s="127">
        <v>1.057928E-2</v>
      </c>
      <c r="H28" s="122" t="s">
        <v>153</v>
      </c>
      <c r="J28" s="2"/>
    </row>
    <row r="29" spans="1:10" ht="25.5" x14ac:dyDescent="0.2">
      <c r="A29" s="123">
        <v>23</v>
      </c>
      <c r="B29" s="124" t="s">
        <v>368</v>
      </c>
      <c r="C29" s="124" t="s">
        <v>369</v>
      </c>
      <c r="D29" s="124" t="s">
        <v>208</v>
      </c>
      <c r="E29" s="125">
        <v>1438</v>
      </c>
      <c r="F29" s="126">
        <v>101.11081299999999</v>
      </c>
      <c r="G29" s="127">
        <v>1.056848E-2</v>
      </c>
      <c r="H29" s="122" t="s">
        <v>153</v>
      </c>
      <c r="J29" s="2"/>
    </row>
    <row r="30" spans="1:10" x14ac:dyDescent="0.2">
      <c r="A30" s="123">
        <v>24</v>
      </c>
      <c r="B30" s="124" t="s">
        <v>244</v>
      </c>
      <c r="C30" s="124" t="s">
        <v>245</v>
      </c>
      <c r="D30" s="124" t="s">
        <v>198</v>
      </c>
      <c r="E30" s="125">
        <v>1311</v>
      </c>
      <c r="F30" s="126">
        <v>100.669068</v>
      </c>
      <c r="G30" s="127">
        <v>1.052231E-2</v>
      </c>
      <c r="H30" s="122" t="s">
        <v>153</v>
      </c>
      <c r="J30" s="2"/>
    </row>
    <row r="31" spans="1:10" x14ac:dyDescent="0.2">
      <c r="A31" s="123">
        <v>25</v>
      </c>
      <c r="B31" s="124" t="s">
        <v>377</v>
      </c>
      <c r="C31" s="124" t="s">
        <v>378</v>
      </c>
      <c r="D31" s="124" t="s">
        <v>374</v>
      </c>
      <c r="E31" s="125">
        <v>3622</v>
      </c>
      <c r="F31" s="126">
        <v>100.61915999999999</v>
      </c>
      <c r="G31" s="127">
        <v>1.051709E-2</v>
      </c>
      <c r="H31" s="122" t="s">
        <v>153</v>
      </c>
      <c r="J31" s="2"/>
    </row>
    <row r="32" spans="1:10" x14ac:dyDescent="0.2">
      <c r="A32" s="123">
        <v>26</v>
      </c>
      <c r="B32" s="124" t="s">
        <v>550</v>
      </c>
      <c r="C32" s="124" t="s">
        <v>551</v>
      </c>
      <c r="D32" s="124" t="s">
        <v>211</v>
      </c>
      <c r="E32" s="125">
        <v>6147</v>
      </c>
      <c r="F32" s="126">
        <v>100.59565499999999</v>
      </c>
      <c r="G32" s="127">
        <v>1.051464E-2</v>
      </c>
      <c r="H32" s="122" t="s">
        <v>153</v>
      </c>
      <c r="J32" s="2"/>
    </row>
    <row r="33" spans="1:10" x14ac:dyDescent="0.2">
      <c r="A33" s="123">
        <v>27</v>
      </c>
      <c r="B33" s="124" t="s">
        <v>84</v>
      </c>
      <c r="C33" s="124" t="s">
        <v>85</v>
      </c>
      <c r="D33" s="124" t="s">
        <v>86</v>
      </c>
      <c r="E33" s="125">
        <v>2078</v>
      </c>
      <c r="F33" s="126">
        <v>100.3674</v>
      </c>
      <c r="G33" s="127">
        <v>1.049078E-2</v>
      </c>
      <c r="H33" s="122" t="s">
        <v>153</v>
      </c>
      <c r="J33" s="2"/>
    </row>
    <row r="34" spans="1:10" x14ac:dyDescent="0.2">
      <c r="A34" s="123">
        <v>28</v>
      </c>
      <c r="B34" s="124" t="s">
        <v>749</v>
      </c>
      <c r="C34" s="124" t="s">
        <v>750</v>
      </c>
      <c r="D34" s="124" t="s">
        <v>45</v>
      </c>
      <c r="E34" s="125">
        <v>17503</v>
      </c>
      <c r="F34" s="126">
        <v>99.950881499999994</v>
      </c>
      <c r="G34" s="127">
        <v>1.044724E-2</v>
      </c>
      <c r="H34" s="122" t="s">
        <v>153</v>
      </c>
      <c r="J34" s="2"/>
    </row>
    <row r="35" spans="1:10" x14ac:dyDescent="0.2">
      <c r="A35" s="123">
        <v>29</v>
      </c>
      <c r="B35" s="124" t="s">
        <v>546</v>
      </c>
      <c r="C35" s="124" t="s">
        <v>547</v>
      </c>
      <c r="D35" s="124" t="s">
        <v>273</v>
      </c>
      <c r="E35" s="125">
        <v>911</v>
      </c>
      <c r="F35" s="126">
        <v>99.222020499999999</v>
      </c>
      <c r="G35" s="127">
        <v>1.037106E-2</v>
      </c>
      <c r="H35" s="122" t="s">
        <v>153</v>
      </c>
      <c r="J35" s="2"/>
    </row>
    <row r="36" spans="1:10" x14ac:dyDescent="0.2">
      <c r="A36" s="123">
        <v>30</v>
      </c>
      <c r="B36" s="124" t="s">
        <v>87</v>
      </c>
      <c r="C36" s="124" t="s">
        <v>88</v>
      </c>
      <c r="D36" s="124" t="s">
        <v>89</v>
      </c>
      <c r="E36" s="125">
        <v>18037</v>
      </c>
      <c r="F36" s="126">
        <v>99.122333499999996</v>
      </c>
      <c r="G36" s="127">
        <v>1.0360640000000001E-2</v>
      </c>
      <c r="H36" s="122" t="s">
        <v>153</v>
      </c>
      <c r="J36" s="2"/>
    </row>
    <row r="37" spans="1:10" x14ac:dyDescent="0.2">
      <c r="A37" s="123">
        <v>31</v>
      </c>
      <c r="B37" s="124" t="s">
        <v>14</v>
      </c>
      <c r="C37" s="124" t="s">
        <v>15</v>
      </c>
      <c r="D37" s="124" t="s">
        <v>16</v>
      </c>
      <c r="E37" s="125">
        <v>6199</v>
      </c>
      <c r="F37" s="126">
        <v>98.505209500000007</v>
      </c>
      <c r="G37" s="127">
        <v>1.0296140000000001E-2</v>
      </c>
      <c r="H37" s="122" t="s">
        <v>153</v>
      </c>
      <c r="J37" s="2"/>
    </row>
    <row r="38" spans="1:10" ht="25.5" x14ac:dyDescent="0.2">
      <c r="A38" s="123">
        <v>32</v>
      </c>
      <c r="B38" s="124" t="s">
        <v>751</v>
      </c>
      <c r="C38" s="124" t="s">
        <v>752</v>
      </c>
      <c r="D38" s="124" t="s">
        <v>208</v>
      </c>
      <c r="E38" s="125">
        <v>1925</v>
      </c>
      <c r="F38" s="126">
        <v>98.057575</v>
      </c>
      <c r="G38" s="127">
        <v>1.0249350000000001E-2</v>
      </c>
      <c r="H38" s="122" t="s">
        <v>153</v>
      </c>
      <c r="J38" s="2"/>
    </row>
    <row r="39" spans="1:10" x14ac:dyDescent="0.2">
      <c r="A39" s="123">
        <v>33</v>
      </c>
      <c r="B39" s="124" t="s">
        <v>64</v>
      </c>
      <c r="C39" s="124" t="s">
        <v>65</v>
      </c>
      <c r="D39" s="124" t="s">
        <v>66</v>
      </c>
      <c r="E39" s="125">
        <v>41245</v>
      </c>
      <c r="F39" s="126">
        <v>98.0352405</v>
      </c>
      <c r="G39" s="127">
        <v>1.0247010000000001E-2</v>
      </c>
      <c r="H39" s="122" t="s">
        <v>153</v>
      </c>
      <c r="J39" s="2"/>
    </row>
    <row r="40" spans="1:10" x14ac:dyDescent="0.2">
      <c r="A40" s="123">
        <v>34</v>
      </c>
      <c r="B40" s="124" t="s">
        <v>101</v>
      </c>
      <c r="C40" s="124" t="s">
        <v>102</v>
      </c>
      <c r="D40" s="124" t="s">
        <v>103</v>
      </c>
      <c r="E40" s="125">
        <v>18675</v>
      </c>
      <c r="F40" s="126">
        <v>98.034412500000002</v>
      </c>
      <c r="G40" s="127">
        <v>1.024693E-2</v>
      </c>
      <c r="H40" s="122" t="s">
        <v>153</v>
      </c>
      <c r="J40" s="2"/>
    </row>
    <row r="41" spans="1:10" x14ac:dyDescent="0.2">
      <c r="A41" s="123">
        <v>35</v>
      </c>
      <c r="B41" s="124" t="s">
        <v>668</v>
      </c>
      <c r="C41" s="124" t="s">
        <v>669</v>
      </c>
      <c r="D41" s="124" t="s">
        <v>89</v>
      </c>
      <c r="E41" s="125">
        <v>5444</v>
      </c>
      <c r="F41" s="126">
        <v>97.069242000000003</v>
      </c>
      <c r="G41" s="127">
        <v>1.014604E-2</v>
      </c>
      <c r="H41" s="122" t="s">
        <v>153</v>
      </c>
      <c r="J41" s="2"/>
    </row>
    <row r="42" spans="1:10" ht="25.5" x14ac:dyDescent="0.2">
      <c r="A42" s="123">
        <v>36</v>
      </c>
      <c r="B42" s="124" t="s">
        <v>471</v>
      </c>
      <c r="C42" s="124" t="s">
        <v>472</v>
      </c>
      <c r="D42" s="124" t="s">
        <v>208</v>
      </c>
      <c r="E42" s="125">
        <v>5847</v>
      </c>
      <c r="F42" s="126">
        <v>96.762003000000007</v>
      </c>
      <c r="G42" s="127">
        <v>1.011393E-2</v>
      </c>
      <c r="H42" s="122" t="s">
        <v>153</v>
      </c>
      <c r="J42" s="2"/>
    </row>
    <row r="43" spans="1:10" x14ac:dyDescent="0.2">
      <c r="A43" s="123">
        <v>37</v>
      </c>
      <c r="B43" s="124" t="s">
        <v>684</v>
      </c>
      <c r="C43" s="124" t="s">
        <v>685</v>
      </c>
      <c r="D43" s="124" t="s">
        <v>278</v>
      </c>
      <c r="E43" s="125">
        <v>1651</v>
      </c>
      <c r="F43" s="126">
        <v>96.670177499999994</v>
      </c>
      <c r="G43" s="127">
        <v>1.010433E-2</v>
      </c>
      <c r="H43" s="122" t="s">
        <v>153</v>
      </c>
      <c r="J43" s="2"/>
    </row>
    <row r="44" spans="1:10" ht="25.5" x14ac:dyDescent="0.2">
      <c r="A44" s="123">
        <v>38</v>
      </c>
      <c r="B44" s="124" t="s">
        <v>473</v>
      </c>
      <c r="C44" s="124" t="s">
        <v>474</v>
      </c>
      <c r="D44" s="124" t="s">
        <v>315</v>
      </c>
      <c r="E44" s="125">
        <v>8035</v>
      </c>
      <c r="F44" s="126">
        <v>96.432052499999998</v>
      </c>
      <c r="G44" s="127">
        <v>1.007944E-2</v>
      </c>
      <c r="H44" s="122" t="s">
        <v>153</v>
      </c>
      <c r="J44" s="2"/>
    </row>
    <row r="45" spans="1:10" x14ac:dyDescent="0.2">
      <c r="A45" s="123">
        <v>39</v>
      </c>
      <c r="B45" s="124" t="s">
        <v>753</v>
      </c>
      <c r="C45" s="124" t="s">
        <v>754</v>
      </c>
      <c r="D45" s="124" t="s">
        <v>216</v>
      </c>
      <c r="E45" s="125">
        <v>1384</v>
      </c>
      <c r="F45" s="126">
        <v>95.876599999999996</v>
      </c>
      <c r="G45" s="127">
        <v>1.002138E-2</v>
      </c>
      <c r="H45" s="122" t="s">
        <v>153</v>
      </c>
      <c r="J45" s="2"/>
    </row>
    <row r="46" spans="1:10" x14ac:dyDescent="0.2">
      <c r="A46" s="123">
        <v>40</v>
      </c>
      <c r="B46" s="124" t="s">
        <v>715</v>
      </c>
      <c r="C46" s="124" t="s">
        <v>716</v>
      </c>
      <c r="D46" s="124" t="s">
        <v>45</v>
      </c>
      <c r="E46" s="125">
        <v>3059</v>
      </c>
      <c r="F46" s="126">
        <v>95.648812000000007</v>
      </c>
      <c r="G46" s="127">
        <v>9.9975700000000008E-3</v>
      </c>
      <c r="H46" s="122" t="s">
        <v>153</v>
      </c>
      <c r="J46" s="2"/>
    </row>
    <row r="47" spans="1:10" x14ac:dyDescent="0.2">
      <c r="A47" s="123">
        <v>41</v>
      </c>
      <c r="B47" s="124" t="s">
        <v>481</v>
      </c>
      <c r="C47" s="124" t="s">
        <v>482</v>
      </c>
      <c r="D47" s="124" t="s">
        <v>211</v>
      </c>
      <c r="E47" s="125">
        <v>17664</v>
      </c>
      <c r="F47" s="126">
        <v>95.102975999999998</v>
      </c>
      <c r="G47" s="127">
        <v>9.9405199999999996E-3</v>
      </c>
      <c r="H47" s="122" t="s">
        <v>153</v>
      </c>
      <c r="J47" s="2"/>
    </row>
    <row r="48" spans="1:10" x14ac:dyDescent="0.2">
      <c r="A48" s="123">
        <v>42</v>
      </c>
      <c r="B48" s="124" t="s">
        <v>755</v>
      </c>
      <c r="C48" s="124" t="s">
        <v>756</v>
      </c>
      <c r="D48" s="124" t="s">
        <v>504</v>
      </c>
      <c r="E48" s="125">
        <v>14890</v>
      </c>
      <c r="F48" s="126">
        <v>94.871634999999998</v>
      </c>
      <c r="G48" s="127">
        <v>9.9163399999999992E-3</v>
      </c>
      <c r="H48" s="122" t="s">
        <v>153</v>
      </c>
      <c r="J48" s="2"/>
    </row>
    <row r="49" spans="1:10" x14ac:dyDescent="0.2">
      <c r="A49" s="123">
        <v>43</v>
      </c>
      <c r="B49" s="124" t="s">
        <v>242</v>
      </c>
      <c r="C49" s="124" t="s">
        <v>243</v>
      </c>
      <c r="D49" s="124" t="s">
        <v>89</v>
      </c>
      <c r="E49" s="125">
        <v>2948</v>
      </c>
      <c r="F49" s="126">
        <v>94.46866</v>
      </c>
      <c r="G49" s="127">
        <v>9.8742199999999995E-3</v>
      </c>
      <c r="H49" s="122" t="s">
        <v>153</v>
      </c>
      <c r="J49" s="2"/>
    </row>
    <row r="50" spans="1:10" x14ac:dyDescent="0.2">
      <c r="A50" s="123">
        <v>44</v>
      </c>
      <c r="B50" s="124" t="s">
        <v>659</v>
      </c>
      <c r="C50" s="124" t="s">
        <v>660</v>
      </c>
      <c r="D50" s="124" t="s">
        <v>22</v>
      </c>
      <c r="E50" s="125">
        <v>53307</v>
      </c>
      <c r="F50" s="126">
        <v>94.337397899999999</v>
      </c>
      <c r="G50" s="127">
        <v>9.8604999999999995E-3</v>
      </c>
      <c r="H50" s="122" t="s">
        <v>153</v>
      </c>
      <c r="J50" s="2"/>
    </row>
    <row r="51" spans="1:10" x14ac:dyDescent="0.2">
      <c r="A51" s="123">
        <v>45</v>
      </c>
      <c r="B51" s="124" t="s">
        <v>757</v>
      </c>
      <c r="C51" s="124" t="s">
        <v>758</v>
      </c>
      <c r="D51" s="124" t="s">
        <v>504</v>
      </c>
      <c r="E51" s="125">
        <v>6363</v>
      </c>
      <c r="F51" s="126">
        <v>94.248756</v>
      </c>
      <c r="G51" s="127">
        <v>9.8512300000000007E-3</v>
      </c>
      <c r="H51" s="122" t="s">
        <v>153</v>
      </c>
      <c r="J51" s="2"/>
    </row>
    <row r="52" spans="1:10" ht="25.5" x14ac:dyDescent="0.2">
      <c r="A52" s="123">
        <v>46</v>
      </c>
      <c r="B52" s="124" t="s">
        <v>404</v>
      </c>
      <c r="C52" s="124" t="s">
        <v>405</v>
      </c>
      <c r="D52" s="124" t="s">
        <v>25</v>
      </c>
      <c r="E52" s="125">
        <v>3486</v>
      </c>
      <c r="F52" s="126">
        <v>94.081911000000005</v>
      </c>
      <c r="G52" s="127">
        <v>9.8338000000000002E-3</v>
      </c>
      <c r="H52" s="122" t="s">
        <v>153</v>
      </c>
      <c r="J52" s="2"/>
    </row>
    <row r="53" spans="1:10" ht="25.5" x14ac:dyDescent="0.2">
      <c r="A53" s="123">
        <v>47</v>
      </c>
      <c r="B53" s="124" t="s">
        <v>759</v>
      </c>
      <c r="C53" s="124" t="s">
        <v>760</v>
      </c>
      <c r="D53" s="124" t="s">
        <v>250</v>
      </c>
      <c r="E53" s="125">
        <v>3642</v>
      </c>
      <c r="F53" s="126">
        <v>93.402732</v>
      </c>
      <c r="G53" s="127">
        <v>9.7628100000000002E-3</v>
      </c>
      <c r="H53" s="122" t="s">
        <v>153</v>
      </c>
      <c r="J53" s="2"/>
    </row>
    <row r="54" spans="1:10" x14ac:dyDescent="0.2">
      <c r="A54" s="123">
        <v>48</v>
      </c>
      <c r="B54" s="124" t="s">
        <v>761</v>
      </c>
      <c r="C54" s="124" t="s">
        <v>762</v>
      </c>
      <c r="D54" s="124" t="s">
        <v>273</v>
      </c>
      <c r="E54" s="125">
        <v>1867</v>
      </c>
      <c r="F54" s="126">
        <v>92.612534999999994</v>
      </c>
      <c r="G54" s="127">
        <v>9.6802099999999999E-3</v>
      </c>
      <c r="H54" s="122" t="s">
        <v>153</v>
      </c>
      <c r="J54" s="2"/>
    </row>
    <row r="55" spans="1:10" ht="25.5" x14ac:dyDescent="0.2">
      <c r="A55" s="123">
        <v>49</v>
      </c>
      <c r="B55" s="124" t="s">
        <v>313</v>
      </c>
      <c r="C55" s="124" t="s">
        <v>314</v>
      </c>
      <c r="D55" s="124" t="s">
        <v>315</v>
      </c>
      <c r="E55" s="125">
        <v>14225</v>
      </c>
      <c r="F55" s="126">
        <v>92.057087499999994</v>
      </c>
      <c r="G55" s="127">
        <v>9.6221499999999995E-3</v>
      </c>
      <c r="H55" s="122" t="s">
        <v>153</v>
      </c>
      <c r="J55" s="2"/>
    </row>
    <row r="56" spans="1:10" ht="25.5" x14ac:dyDescent="0.2">
      <c r="A56" s="123">
        <v>50</v>
      </c>
      <c r="B56" s="124" t="s">
        <v>228</v>
      </c>
      <c r="C56" s="124" t="s">
        <v>229</v>
      </c>
      <c r="D56" s="124" t="s">
        <v>208</v>
      </c>
      <c r="E56" s="125">
        <v>8154</v>
      </c>
      <c r="F56" s="126">
        <v>91.968965999999995</v>
      </c>
      <c r="G56" s="127">
        <v>9.6129400000000004E-3</v>
      </c>
      <c r="H56" s="122" t="s">
        <v>153</v>
      </c>
      <c r="J56" s="2"/>
    </row>
    <row r="57" spans="1:10" x14ac:dyDescent="0.2">
      <c r="A57" s="123">
        <v>51</v>
      </c>
      <c r="B57" s="124" t="s">
        <v>394</v>
      </c>
      <c r="C57" s="124" t="s">
        <v>395</v>
      </c>
      <c r="D57" s="124" t="s">
        <v>45</v>
      </c>
      <c r="E57" s="125">
        <v>2569</v>
      </c>
      <c r="F57" s="126">
        <v>91.588703499999994</v>
      </c>
      <c r="G57" s="127">
        <v>9.5732000000000005E-3</v>
      </c>
      <c r="H57" s="122" t="s">
        <v>153</v>
      </c>
      <c r="J57" s="2"/>
    </row>
    <row r="58" spans="1:10" ht="25.5" x14ac:dyDescent="0.2">
      <c r="A58" s="123">
        <v>52</v>
      </c>
      <c r="B58" s="124" t="s">
        <v>23</v>
      </c>
      <c r="C58" s="124" t="s">
        <v>24</v>
      </c>
      <c r="D58" s="124" t="s">
        <v>25</v>
      </c>
      <c r="E58" s="125">
        <v>810</v>
      </c>
      <c r="F58" s="126">
        <v>91.545389999999998</v>
      </c>
      <c r="G58" s="127">
        <v>9.5686699999999996E-3</v>
      </c>
      <c r="H58" s="122" t="s">
        <v>153</v>
      </c>
      <c r="J58" s="2"/>
    </row>
    <row r="59" spans="1:10" x14ac:dyDescent="0.2">
      <c r="A59" s="123">
        <v>53</v>
      </c>
      <c r="B59" s="124" t="s">
        <v>338</v>
      </c>
      <c r="C59" s="124" t="s">
        <v>339</v>
      </c>
      <c r="D59" s="124" t="s">
        <v>273</v>
      </c>
      <c r="E59" s="125">
        <v>738</v>
      </c>
      <c r="F59" s="126">
        <v>91.534139999999994</v>
      </c>
      <c r="G59" s="127">
        <v>9.5674899999999997E-3</v>
      </c>
      <c r="H59" s="122" t="s">
        <v>153</v>
      </c>
      <c r="J59" s="2"/>
    </row>
    <row r="60" spans="1:10" x14ac:dyDescent="0.2">
      <c r="A60" s="123">
        <v>54</v>
      </c>
      <c r="B60" s="124" t="s">
        <v>763</v>
      </c>
      <c r="C60" s="124" t="s">
        <v>764</v>
      </c>
      <c r="D60" s="124" t="s">
        <v>255</v>
      </c>
      <c r="E60" s="125">
        <v>8594</v>
      </c>
      <c r="F60" s="126">
        <v>91.461645000000004</v>
      </c>
      <c r="G60" s="127">
        <v>9.5599199999999995E-3</v>
      </c>
      <c r="H60" s="122" t="s">
        <v>153</v>
      </c>
      <c r="J60" s="2"/>
    </row>
    <row r="61" spans="1:10" x14ac:dyDescent="0.2">
      <c r="A61" s="123">
        <v>55</v>
      </c>
      <c r="B61" s="124" t="s">
        <v>20</v>
      </c>
      <c r="C61" s="124" t="s">
        <v>21</v>
      </c>
      <c r="D61" s="124" t="s">
        <v>22</v>
      </c>
      <c r="E61" s="125">
        <v>3012</v>
      </c>
      <c r="F61" s="126">
        <v>90.939809999999994</v>
      </c>
      <c r="G61" s="127">
        <v>9.5053700000000008E-3</v>
      </c>
      <c r="H61" s="122" t="s">
        <v>153</v>
      </c>
      <c r="J61" s="2"/>
    </row>
    <row r="62" spans="1:10" x14ac:dyDescent="0.2">
      <c r="A62" s="123">
        <v>56</v>
      </c>
      <c r="B62" s="124" t="s">
        <v>722</v>
      </c>
      <c r="C62" s="124" t="s">
        <v>723</v>
      </c>
      <c r="D62" s="124" t="s">
        <v>198</v>
      </c>
      <c r="E62" s="125">
        <v>1841</v>
      </c>
      <c r="F62" s="126">
        <v>90.714354499999999</v>
      </c>
      <c r="G62" s="127">
        <v>9.4818100000000002E-3</v>
      </c>
      <c r="H62" s="122" t="s">
        <v>153</v>
      </c>
      <c r="J62" s="2"/>
    </row>
    <row r="63" spans="1:10" x14ac:dyDescent="0.2">
      <c r="A63" s="123">
        <v>57</v>
      </c>
      <c r="B63" s="124" t="s">
        <v>11</v>
      </c>
      <c r="C63" s="124" t="s">
        <v>12</v>
      </c>
      <c r="D63" s="124" t="s">
        <v>13</v>
      </c>
      <c r="E63" s="125">
        <v>2448</v>
      </c>
      <c r="F63" s="126">
        <v>90.689831999999996</v>
      </c>
      <c r="G63" s="127">
        <v>9.4792399999999999E-3</v>
      </c>
      <c r="H63" s="122" t="s">
        <v>153</v>
      </c>
      <c r="J63" s="2"/>
    </row>
    <row r="64" spans="1:10" x14ac:dyDescent="0.2">
      <c r="A64" s="123">
        <v>58</v>
      </c>
      <c r="B64" s="124" t="s">
        <v>646</v>
      </c>
      <c r="C64" s="124" t="s">
        <v>647</v>
      </c>
      <c r="D64" s="124" t="s">
        <v>71</v>
      </c>
      <c r="E64" s="125">
        <v>10699</v>
      </c>
      <c r="F64" s="126">
        <v>90.417248999999998</v>
      </c>
      <c r="G64" s="127">
        <v>9.4507500000000008E-3</v>
      </c>
      <c r="H64" s="122" t="s">
        <v>153</v>
      </c>
      <c r="J64" s="2"/>
    </row>
    <row r="65" spans="1:10" x14ac:dyDescent="0.2">
      <c r="A65" s="123">
        <v>59</v>
      </c>
      <c r="B65" s="124" t="s">
        <v>650</v>
      </c>
      <c r="C65" s="124" t="s">
        <v>651</v>
      </c>
      <c r="D65" s="124" t="s">
        <v>652</v>
      </c>
      <c r="E65" s="125">
        <v>19292</v>
      </c>
      <c r="F65" s="126">
        <v>90.373373999999998</v>
      </c>
      <c r="G65" s="127">
        <v>9.4461700000000003E-3</v>
      </c>
      <c r="H65" s="122" t="s">
        <v>153</v>
      </c>
      <c r="J65" s="2"/>
    </row>
    <row r="66" spans="1:10" x14ac:dyDescent="0.2">
      <c r="A66" s="123">
        <v>60</v>
      </c>
      <c r="B66" s="124" t="s">
        <v>26</v>
      </c>
      <c r="C66" s="124" t="s">
        <v>27</v>
      </c>
      <c r="D66" s="124" t="s">
        <v>19</v>
      </c>
      <c r="E66" s="125">
        <v>26723</v>
      </c>
      <c r="F66" s="126">
        <v>90.163402000000005</v>
      </c>
      <c r="G66" s="127">
        <v>9.4242200000000005E-3</v>
      </c>
      <c r="H66" s="122" t="s">
        <v>153</v>
      </c>
      <c r="J66" s="2"/>
    </row>
    <row r="67" spans="1:10" x14ac:dyDescent="0.2">
      <c r="A67" s="123">
        <v>61</v>
      </c>
      <c r="B67" s="124" t="s">
        <v>46</v>
      </c>
      <c r="C67" s="124" t="s">
        <v>47</v>
      </c>
      <c r="D67" s="124" t="s">
        <v>48</v>
      </c>
      <c r="E67" s="125">
        <v>7315</v>
      </c>
      <c r="F67" s="126">
        <v>89.915980000000005</v>
      </c>
      <c r="G67" s="127">
        <v>9.3983599999999997E-3</v>
      </c>
      <c r="H67" s="122" t="s">
        <v>153</v>
      </c>
      <c r="J67" s="2"/>
    </row>
    <row r="68" spans="1:10" x14ac:dyDescent="0.2">
      <c r="A68" s="123">
        <v>62</v>
      </c>
      <c r="B68" s="124" t="s">
        <v>358</v>
      </c>
      <c r="C68" s="124" t="s">
        <v>359</v>
      </c>
      <c r="D68" s="124" t="s">
        <v>360</v>
      </c>
      <c r="E68" s="125">
        <v>12819</v>
      </c>
      <c r="F68" s="126">
        <v>89.906056500000005</v>
      </c>
      <c r="G68" s="127">
        <v>9.3973200000000007E-3</v>
      </c>
      <c r="H68" s="122" t="s">
        <v>153</v>
      </c>
      <c r="J68" s="2"/>
    </row>
    <row r="69" spans="1:10" x14ac:dyDescent="0.2">
      <c r="A69" s="123">
        <v>63</v>
      </c>
      <c r="B69" s="124" t="s">
        <v>765</v>
      </c>
      <c r="C69" s="124" t="s">
        <v>766</v>
      </c>
      <c r="D69" s="124" t="s">
        <v>19</v>
      </c>
      <c r="E69" s="125">
        <v>4885</v>
      </c>
      <c r="F69" s="126">
        <v>89.793627499999999</v>
      </c>
      <c r="G69" s="127">
        <v>9.3855699999999993E-3</v>
      </c>
      <c r="H69" s="122" t="s">
        <v>153</v>
      </c>
      <c r="J69" s="2"/>
    </row>
    <row r="70" spans="1:10" x14ac:dyDescent="0.2">
      <c r="A70" s="123">
        <v>64</v>
      </c>
      <c r="B70" s="124" t="s">
        <v>90</v>
      </c>
      <c r="C70" s="124" t="s">
        <v>91</v>
      </c>
      <c r="D70" s="124" t="s">
        <v>92</v>
      </c>
      <c r="E70" s="125">
        <v>6024</v>
      </c>
      <c r="F70" s="126">
        <v>89.269655999999998</v>
      </c>
      <c r="G70" s="127">
        <v>9.3308000000000002E-3</v>
      </c>
      <c r="H70" s="122" t="s">
        <v>153</v>
      </c>
      <c r="J70" s="2"/>
    </row>
    <row r="71" spans="1:10" ht="25.5" x14ac:dyDescent="0.2">
      <c r="A71" s="123">
        <v>65</v>
      </c>
      <c r="B71" s="124" t="s">
        <v>281</v>
      </c>
      <c r="C71" s="124" t="s">
        <v>282</v>
      </c>
      <c r="D71" s="124" t="s">
        <v>89</v>
      </c>
      <c r="E71" s="125">
        <v>6129</v>
      </c>
      <c r="F71" s="126">
        <v>89.213723999999999</v>
      </c>
      <c r="G71" s="127">
        <v>9.3249500000000003E-3</v>
      </c>
      <c r="H71" s="122" t="s">
        <v>153</v>
      </c>
      <c r="J71" s="2"/>
    </row>
    <row r="72" spans="1:10" x14ac:dyDescent="0.2">
      <c r="A72" s="123">
        <v>66</v>
      </c>
      <c r="B72" s="124" t="s">
        <v>655</v>
      </c>
      <c r="C72" s="124" t="s">
        <v>656</v>
      </c>
      <c r="D72" s="124" t="s">
        <v>89</v>
      </c>
      <c r="E72" s="125">
        <v>1239</v>
      </c>
      <c r="F72" s="126">
        <v>89.209858499999996</v>
      </c>
      <c r="G72" s="127">
        <v>9.3245499999999992E-3</v>
      </c>
      <c r="H72" s="122" t="s">
        <v>153</v>
      </c>
      <c r="J72" s="2"/>
    </row>
    <row r="73" spans="1:10" x14ac:dyDescent="0.2">
      <c r="A73" s="123">
        <v>67</v>
      </c>
      <c r="B73" s="124" t="s">
        <v>767</v>
      </c>
      <c r="C73" s="124" t="s">
        <v>768</v>
      </c>
      <c r="D73" s="124" t="s">
        <v>74</v>
      </c>
      <c r="E73" s="125">
        <v>45550</v>
      </c>
      <c r="F73" s="126">
        <v>88.950040000000001</v>
      </c>
      <c r="G73" s="127">
        <v>9.2973900000000009E-3</v>
      </c>
      <c r="H73" s="122" t="s">
        <v>153</v>
      </c>
      <c r="J73" s="2"/>
    </row>
    <row r="74" spans="1:10" x14ac:dyDescent="0.2">
      <c r="A74" s="123">
        <v>68</v>
      </c>
      <c r="B74" s="124" t="s">
        <v>769</v>
      </c>
      <c r="C74" s="124" t="s">
        <v>770</v>
      </c>
      <c r="D74" s="124" t="s">
        <v>89</v>
      </c>
      <c r="E74" s="125">
        <v>49780</v>
      </c>
      <c r="F74" s="126">
        <v>88.917035999999996</v>
      </c>
      <c r="G74" s="127">
        <v>9.2939400000000005E-3</v>
      </c>
      <c r="H74" s="122" t="s">
        <v>153</v>
      </c>
      <c r="J74" s="2"/>
    </row>
    <row r="75" spans="1:10" x14ac:dyDescent="0.2">
      <c r="A75" s="123">
        <v>69</v>
      </c>
      <c r="B75" s="124" t="s">
        <v>56</v>
      </c>
      <c r="C75" s="124" t="s">
        <v>57</v>
      </c>
      <c r="D75" s="124" t="s">
        <v>19</v>
      </c>
      <c r="E75" s="125">
        <v>20457</v>
      </c>
      <c r="F75" s="126">
        <v>88.916350499999993</v>
      </c>
      <c r="G75" s="127">
        <v>9.2938699999999992E-3</v>
      </c>
      <c r="H75" s="122" t="s">
        <v>153</v>
      </c>
      <c r="J75" s="2"/>
    </row>
    <row r="76" spans="1:10" x14ac:dyDescent="0.2">
      <c r="A76" s="123">
        <v>70</v>
      </c>
      <c r="B76" s="124" t="s">
        <v>713</v>
      </c>
      <c r="C76" s="124" t="s">
        <v>714</v>
      </c>
      <c r="D76" s="124" t="s">
        <v>136</v>
      </c>
      <c r="E76" s="125">
        <v>9442</v>
      </c>
      <c r="F76" s="126">
        <v>88.858661999999995</v>
      </c>
      <c r="G76" s="127">
        <v>9.2878400000000003E-3</v>
      </c>
      <c r="H76" s="122" t="s">
        <v>153</v>
      </c>
      <c r="J76" s="2"/>
    </row>
    <row r="77" spans="1:10" ht="25.5" x14ac:dyDescent="0.2">
      <c r="A77" s="123">
        <v>71</v>
      </c>
      <c r="B77" s="124" t="s">
        <v>771</v>
      </c>
      <c r="C77" s="124" t="s">
        <v>772</v>
      </c>
      <c r="D77" s="124" t="s">
        <v>250</v>
      </c>
      <c r="E77" s="125">
        <v>2809</v>
      </c>
      <c r="F77" s="126">
        <v>87.733497</v>
      </c>
      <c r="G77" s="127">
        <v>9.1702399999999996E-3</v>
      </c>
      <c r="H77" s="122" t="s">
        <v>153</v>
      </c>
      <c r="J77" s="2"/>
    </row>
    <row r="78" spans="1:10" x14ac:dyDescent="0.2">
      <c r="A78" s="123">
        <v>72</v>
      </c>
      <c r="B78" s="124" t="s">
        <v>356</v>
      </c>
      <c r="C78" s="124" t="s">
        <v>357</v>
      </c>
      <c r="D78" s="124" t="s">
        <v>48</v>
      </c>
      <c r="E78" s="125">
        <v>4923</v>
      </c>
      <c r="F78" s="126">
        <v>87.668784000000002</v>
      </c>
      <c r="G78" s="127">
        <v>9.1634699999999999E-3</v>
      </c>
      <c r="H78" s="122" t="s">
        <v>153</v>
      </c>
      <c r="J78" s="2"/>
    </row>
    <row r="79" spans="1:10" x14ac:dyDescent="0.2">
      <c r="A79" s="123">
        <v>73</v>
      </c>
      <c r="B79" s="124" t="s">
        <v>375</v>
      </c>
      <c r="C79" s="124" t="s">
        <v>376</v>
      </c>
      <c r="D79" s="124" t="s">
        <v>273</v>
      </c>
      <c r="E79" s="125">
        <v>1603</v>
      </c>
      <c r="F79" s="126">
        <v>87.450062000000003</v>
      </c>
      <c r="G79" s="127">
        <v>9.1406100000000004E-3</v>
      </c>
      <c r="H79" s="122" t="s">
        <v>153</v>
      </c>
      <c r="J79" s="2"/>
    </row>
    <row r="80" spans="1:10" x14ac:dyDescent="0.2">
      <c r="A80" s="123">
        <v>74</v>
      </c>
      <c r="B80" s="124" t="s">
        <v>686</v>
      </c>
      <c r="C80" s="124" t="s">
        <v>687</v>
      </c>
      <c r="D80" s="124" t="s">
        <v>278</v>
      </c>
      <c r="E80" s="125">
        <v>3493</v>
      </c>
      <c r="F80" s="126">
        <v>87.351197499999998</v>
      </c>
      <c r="G80" s="127">
        <v>9.1302799999999993E-3</v>
      </c>
      <c r="H80" s="122" t="s">
        <v>153</v>
      </c>
      <c r="J80" s="2"/>
    </row>
    <row r="81" spans="1:10" x14ac:dyDescent="0.2">
      <c r="A81" s="123">
        <v>75</v>
      </c>
      <c r="B81" s="124" t="s">
        <v>773</v>
      </c>
      <c r="C81" s="124" t="s">
        <v>774</v>
      </c>
      <c r="D81" s="124" t="s">
        <v>19</v>
      </c>
      <c r="E81" s="125">
        <v>8646</v>
      </c>
      <c r="F81" s="126">
        <v>87.099804000000006</v>
      </c>
      <c r="G81" s="127">
        <v>9.1039999999999992E-3</v>
      </c>
      <c r="H81" s="122" t="s">
        <v>153</v>
      </c>
      <c r="J81" s="2"/>
    </row>
    <row r="82" spans="1:10" x14ac:dyDescent="0.2">
      <c r="A82" s="123">
        <v>76</v>
      </c>
      <c r="B82" s="124" t="s">
        <v>725</v>
      </c>
      <c r="C82" s="124" t="s">
        <v>726</v>
      </c>
      <c r="D82" s="124" t="s">
        <v>45</v>
      </c>
      <c r="E82" s="125">
        <v>4569</v>
      </c>
      <c r="F82" s="126">
        <v>86.781301499999998</v>
      </c>
      <c r="G82" s="127">
        <v>9.0707099999999992E-3</v>
      </c>
      <c r="H82" s="122" t="s">
        <v>153</v>
      </c>
      <c r="J82" s="2"/>
    </row>
    <row r="83" spans="1:10" x14ac:dyDescent="0.2">
      <c r="A83" s="123">
        <v>77</v>
      </c>
      <c r="B83" s="124" t="s">
        <v>775</v>
      </c>
      <c r="C83" s="124" t="s">
        <v>776</v>
      </c>
      <c r="D83" s="124" t="s">
        <v>89</v>
      </c>
      <c r="E83" s="125">
        <v>11943</v>
      </c>
      <c r="F83" s="126">
        <v>86.371775999999997</v>
      </c>
      <c r="G83" s="127">
        <v>9.0279000000000002E-3</v>
      </c>
      <c r="H83" s="122" t="s">
        <v>153</v>
      </c>
      <c r="J83" s="2"/>
    </row>
    <row r="84" spans="1:10" x14ac:dyDescent="0.2">
      <c r="A84" s="123">
        <v>78</v>
      </c>
      <c r="B84" s="124" t="s">
        <v>548</v>
      </c>
      <c r="C84" s="124" t="s">
        <v>549</v>
      </c>
      <c r="D84" s="124" t="s">
        <v>273</v>
      </c>
      <c r="E84" s="125">
        <v>3043</v>
      </c>
      <c r="F84" s="126">
        <v>85.368322000000006</v>
      </c>
      <c r="G84" s="127">
        <v>8.9230200000000003E-3</v>
      </c>
      <c r="H84" s="122" t="s">
        <v>153</v>
      </c>
      <c r="J84" s="2"/>
    </row>
    <row r="85" spans="1:10" x14ac:dyDescent="0.2">
      <c r="A85" s="123">
        <v>79</v>
      </c>
      <c r="B85" s="124" t="s">
        <v>30</v>
      </c>
      <c r="C85" s="124" t="s">
        <v>31</v>
      </c>
      <c r="D85" s="124" t="s">
        <v>32</v>
      </c>
      <c r="E85" s="125">
        <v>28459</v>
      </c>
      <c r="F85" s="126">
        <v>85.177786999999995</v>
      </c>
      <c r="G85" s="127">
        <v>8.9031000000000006E-3</v>
      </c>
      <c r="H85" s="122" t="s">
        <v>153</v>
      </c>
      <c r="J85" s="2"/>
    </row>
    <row r="86" spans="1:10" x14ac:dyDescent="0.2">
      <c r="A86" s="123">
        <v>80</v>
      </c>
      <c r="B86" s="124" t="s">
        <v>54</v>
      </c>
      <c r="C86" s="124" t="s">
        <v>55</v>
      </c>
      <c r="D86" s="124" t="s">
        <v>48</v>
      </c>
      <c r="E86" s="125">
        <v>10363</v>
      </c>
      <c r="F86" s="126">
        <v>84.520628000000002</v>
      </c>
      <c r="G86" s="127">
        <v>8.8344099999999991E-3</v>
      </c>
      <c r="H86" s="122" t="s">
        <v>153</v>
      </c>
      <c r="J86" s="2"/>
    </row>
    <row r="87" spans="1:10" x14ac:dyDescent="0.2">
      <c r="A87" s="123">
        <v>81</v>
      </c>
      <c r="B87" s="124" t="s">
        <v>342</v>
      </c>
      <c r="C87" s="124" t="s">
        <v>343</v>
      </c>
      <c r="D87" s="124" t="s">
        <v>48</v>
      </c>
      <c r="E87" s="125">
        <v>5125</v>
      </c>
      <c r="F87" s="126">
        <v>83.891125000000002</v>
      </c>
      <c r="G87" s="127">
        <v>8.7686199999999995E-3</v>
      </c>
      <c r="H87" s="122" t="s">
        <v>153</v>
      </c>
      <c r="J87" s="2"/>
    </row>
    <row r="88" spans="1:10" x14ac:dyDescent="0.2">
      <c r="A88" s="123">
        <v>82</v>
      </c>
      <c r="B88" s="124" t="s">
        <v>777</v>
      </c>
      <c r="C88" s="124" t="s">
        <v>778</v>
      </c>
      <c r="D88" s="124" t="s">
        <v>74</v>
      </c>
      <c r="E88" s="125">
        <v>258</v>
      </c>
      <c r="F88" s="126">
        <v>83.565168</v>
      </c>
      <c r="G88" s="127">
        <v>8.7345500000000006E-3</v>
      </c>
      <c r="H88" s="122" t="s">
        <v>153</v>
      </c>
      <c r="J88" s="2"/>
    </row>
    <row r="89" spans="1:10" ht="25.5" x14ac:dyDescent="0.2">
      <c r="A89" s="123">
        <v>83</v>
      </c>
      <c r="B89" s="124" t="s">
        <v>118</v>
      </c>
      <c r="C89" s="124" t="s">
        <v>119</v>
      </c>
      <c r="D89" s="124" t="s">
        <v>25</v>
      </c>
      <c r="E89" s="125">
        <v>13535</v>
      </c>
      <c r="F89" s="126">
        <v>83.517717500000003</v>
      </c>
      <c r="G89" s="127">
        <v>8.7295900000000006E-3</v>
      </c>
      <c r="H89" s="122" t="s">
        <v>153</v>
      </c>
      <c r="J89" s="2"/>
    </row>
    <row r="90" spans="1:10" ht="25.5" x14ac:dyDescent="0.2">
      <c r="A90" s="123">
        <v>84</v>
      </c>
      <c r="B90" s="124" t="s">
        <v>704</v>
      </c>
      <c r="C90" s="124" t="s">
        <v>705</v>
      </c>
      <c r="D90" s="124" t="s">
        <v>706</v>
      </c>
      <c r="E90" s="125">
        <v>2760</v>
      </c>
      <c r="F90" s="126">
        <v>83.334059999999994</v>
      </c>
      <c r="G90" s="127">
        <v>8.7103900000000001E-3</v>
      </c>
      <c r="H90" s="122" t="s">
        <v>153</v>
      </c>
      <c r="J90" s="2"/>
    </row>
    <row r="91" spans="1:10" x14ac:dyDescent="0.2">
      <c r="A91" s="123">
        <v>85</v>
      </c>
      <c r="B91" s="124" t="s">
        <v>477</v>
      </c>
      <c r="C91" s="124" t="s">
        <v>478</v>
      </c>
      <c r="D91" s="124" t="s">
        <v>48</v>
      </c>
      <c r="E91" s="125">
        <v>5843</v>
      </c>
      <c r="F91" s="126">
        <v>83.277357499999994</v>
      </c>
      <c r="G91" s="127">
        <v>8.7044600000000007E-3</v>
      </c>
      <c r="H91" s="122" t="s">
        <v>153</v>
      </c>
      <c r="J91" s="2"/>
    </row>
    <row r="92" spans="1:10" x14ac:dyDescent="0.2">
      <c r="A92" s="123">
        <v>86</v>
      </c>
      <c r="B92" s="124" t="s">
        <v>354</v>
      </c>
      <c r="C92" s="124" t="s">
        <v>355</v>
      </c>
      <c r="D92" s="124" t="s">
        <v>264</v>
      </c>
      <c r="E92" s="125">
        <v>5548</v>
      </c>
      <c r="F92" s="126">
        <v>83.269931999999997</v>
      </c>
      <c r="G92" s="127">
        <v>8.70369E-3</v>
      </c>
      <c r="H92" s="122" t="s">
        <v>153</v>
      </c>
      <c r="J92" s="2"/>
    </row>
    <row r="93" spans="1:10" x14ac:dyDescent="0.2">
      <c r="A93" s="123">
        <v>87</v>
      </c>
      <c r="B93" s="124" t="s">
        <v>132</v>
      </c>
      <c r="C93" s="124" t="s">
        <v>133</v>
      </c>
      <c r="D93" s="124" t="s">
        <v>53</v>
      </c>
      <c r="E93" s="125">
        <v>1041</v>
      </c>
      <c r="F93" s="126">
        <v>82.614280500000007</v>
      </c>
      <c r="G93" s="127">
        <v>8.6351599999999994E-3</v>
      </c>
      <c r="H93" s="122" t="s">
        <v>153</v>
      </c>
      <c r="J93" s="2"/>
    </row>
    <row r="94" spans="1:10" x14ac:dyDescent="0.2">
      <c r="A94" s="123">
        <v>88</v>
      </c>
      <c r="B94" s="124" t="s">
        <v>406</v>
      </c>
      <c r="C94" s="124" t="s">
        <v>407</v>
      </c>
      <c r="D94" s="124" t="s">
        <v>48</v>
      </c>
      <c r="E94" s="125">
        <v>74060</v>
      </c>
      <c r="F94" s="126">
        <v>82.599118000000004</v>
      </c>
      <c r="G94" s="127">
        <v>8.6335700000000001E-3</v>
      </c>
      <c r="H94" s="122" t="s">
        <v>153</v>
      </c>
      <c r="J94" s="2"/>
    </row>
    <row r="95" spans="1:10" ht="25.5" x14ac:dyDescent="0.2">
      <c r="A95" s="123">
        <v>89</v>
      </c>
      <c r="B95" s="124" t="s">
        <v>779</v>
      </c>
      <c r="C95" s="124" t="s">
        <v>780</v>
      </c>
      <c r="D95" s="124" t="s">
        <v>236</v>
      </c>
      <c r="E95" s="125">
        <v>8814</v>
      </c>
      <c r="F95" s="126">
        <v>82.216992000000005</v>
      </c>
      <c r="G95" s="127">
        <v>8.5936299999999997E-3</v>
      </c>
      <c r="H95" s="122" t="s">
        <v>153</v>
      </c>
      <c r="J95" s="2"/>
    </row>
    <row r="96" spans="1:10" x14ac:dyDescent="0.2">
      <c r="A96" s="123">
        <v>90</v>
      </c>
      <c r="B96" s="124" t="s">
        <v>781</v>
      </c>
      <c r="C96" s="124" t="s">
        <v>782</v>
      </c>
      <c r="D96" s="124" t="s">
        <v>48</v>
      </c>
      <c r="E96" s="125">
        <v>70495</v>
      </c>
      <c r="F96" s="126">
        <v>82.176021500000004</v>
      </c>
      <c r="G96" s="127">
        <v>8.5893500000000008E-3</v>
      </c>
      <c r="H96" s="122" t="s">
        <v>153</v>
      </c>
      <c r="J96" s="2"/>
    </row>
    <row r="97" spans="1:10" x14ac:dyDescent="0.2">
      <c r="A97" s="123">
        <v>91</v>
      </c>
      <c r="B97" s="124" t="s">
        <v>783</v>
      </c>
      <c r="C97" s="124" t="s">
        <v>784</v>
      </c>
      <c r="D97" s="124" t="s">
        <v>66</v>
      </c>
      <c r="E97" s="125">
        <v>9855</v>
      </c>
      <c r="F97" s="126">
        <v>81.830992499999994</v>
      </c>
      <c r="G97" s="127">
        <v>8.5532799999999999E-3</v>
      </c>
      <c r="H97" s="122" t="s">
        <v>153</v>
      </c>
      <c r="J97" s="2"/>
    </row>
    <row r="98" spans="1:10" x14ac:dyDescent="0.2">
      <c r="A98" s="123">
        <v>92</v>
      </c>
      <c r="B98" s="124" t="s">
        <v>350</v>
      </c>
      <c r="C98" s="124" t="s">
        <v>351</v>
      </c>
      <c r="D98" s="124" t="s">
        <v>48</v>
      </c>
      <c r="E98" s="125">
        <v>6895</v>
      </c>
      <c r="F98" s="126">
        <v>81.033487500000007</v>
      </c>
      <c r="G98" s="127">
        <v>8.4699300000000005E-3</v>
      </c>
      <c r="H98" s="122" t="s">
        <v>153</v>
      </c>
      <c r="J98" s="2"/>
    </row>
    <row r="99" spans="1:10" ht="25.5" x14ac:dyDescent="0.2">
      <c r="A99" s="123">
        <v>93</v>
      </c>
      <c r="B99" s="124" t="s">
        <v>785</v>
      </c>
      <c r="C99" s="124" t="s">
        <v>786</v>
      </c>
      <c r="D99" s="124" t="s">
        <v>25</v>
      </c>
      <c r="E99" s="125">
        <v>318</v>
      </c>
      <c r="F99" s="126">
        <v>81.032759999999996</v>
      </c>
      <c r="G99" s="127">
        <v>8.4698499999999993E-3</v>
      </c>
      <c r="H99" s="122" t="s">
        <v>153</v>
      </c>
      <c r="J99" s="2"/>
    </row>
    <row r="100" spans="1:10" x14ac:dyDescent="0.2">
      <c r="A100" s="123">
        <v>94</v>
      </c>
      <c r="B100" s="124" t="s">
        <v>134</v>
      </c>
      <c r="C100" s="124" t="s">
        <v>135</v>
      </c>
      <c r="D100" s="124" t="s">
        <v>136</v>
      </c>
      <c r="E100" s="125">
        <v>8265</v>
      </c>
      <c r="F100" s="126">
        <v>80.203559999999996</v>
      </c>
      <c r="G100" s="127">
        <v>8.3831800000000005E-3</v>
      </c>
      <c r="H100" s="122" t="s">
        <v>153</v>
      </c>
      <c r="J100" s="2"/>
    </row>
    <row r="101" spans="1:10" x14ac:dyDescent="0.2">
      <c r="A101" s="123">
        <v>95</v>
      </c>
      <c r="B101" s="124" t="s">
        <v>75</v>
      </c>
      <c r="C101" s="124" t="s">
        <v>76</v>
      </c>
      <c r="D101" s="124" t="s">
        <v>53</v>
      </c>
      <c r="E101" s="125">
        <v>1158</v>
      </c>
      <c r="F101" s="126">
        <v>79.822097999999997</v>
      </c>
      <c r="G101" s="127">
        <v>8.3433099999999996E-3</v>
      </c>
      <c r="H101" s="122" t="s">
        <v>153</v>
      </c>
      <c r="J101" s="2"/>
    </row>
    <row r="102" spans="1:10" x14ac:dyDescent="0.2">
      <c r="A102" s="123">
        <v>96</v>
      </c>
      <c r="B102" s="124" t="s">
        <v>787</v>
      </c>
      <c r="C102" s="124" t="s">
        <v>788</v>
      </c>
      <c r="D102" s="124" t="s">
        <v>89</v>
      </c>
      <c r="E102" s="125">
        <v>24370</v>
      </c>
      <c r="F102" s="126">
        <v>78.398290000000003</v>
      </c>
      <c r="G102" s="127">
        <v>8.1944800000000005E-3</v>
      </c>
      <c r="H102" s="122" t="s">
        <v>153</v>
      </c>
      <c r="J102" s="2"/>
    </row>
    <row r="103" spans="1:10" x14ac:dyDescent="0.2">
      <c r="A103" s="123">
        <v>97</v>
      </c>
      <c r="B103" s="124" t="s">
        <v>467</v>
      </c>
      <c r="C103" s="124" t="s">
        <v>468</v>
      </c>
      <c r="D103" s="124" t="s">
        <v>48</v>
      </c>
      <c r="E103" s="125">
        <v>31090</v>
      </c>
      <c r="F103" s="126">
        <v>77.75609</v>
      </c>
      <c r="G103" s="127">
        <v>8.1273600000000001E-3</v>
      </c>
      <c r="H103" s="122" t="s">
        <v>153</v>
      </c>
      <c r="J103" s="2"/>
    </row>
    <row r="104" spans="1:10" x14ac:dyDescent="0.2">
      <c r="A104" s="123">
        <v>98</v>
      </c>
      <c r="B104" s="124" t="s">
        <v>383</v>
      </c>
      <c r="C104" s="124" t="s">
        <v>384</v>
      </c>
      <c r="D104" s="124" t="s">
        <v>136</v>
      </c>
      <c r="E104" s="125">
        <v>50250</v>
      </c>
      <c r="F104" s="126">
        <v>76.761899999999997</v>
      </c>
      <c r="G104" s="127">
        <v>8.0234399999999997E-3</v>
      </c>
      <c r="H104" s="122" t="s">
        <v>153</v>
      </c>
      <c r="J104" s="2"/>
    </row>
    <row r="105" spans="1:10" x14ac:dyDescent="0.2">
      <c r="A105" s="123">
        <v>99</v>
      </c>
      <c r="B105" s="124" t="s">
        <v>381</v>
      </c>
      <c r="C105" s="124" t="s">
        <v>382</v>
      </c>
      <c r="D105" s="124" t="s">
        <v>32</v>
      </c>
      <c r="E105" s="125">
        <v>1636</v>
      </c>
      <c r="F105" s="126">
        <v>76.563981999999996</v>
      </c>
      <c r="G105" s="127">
        <v>8.0027599999999994E-3</v>
      </c>
      <c r="H105" s="122" t="s">
        <v>153</v>
      </c>
      <c r="J105" s="2"/>
    </row>
    <row r="106" spans="1:10" x14ac:dyDescent="0.2">
      <c r="A106" s="123">
        <v>100</v>
      </c>
      <c r="B106" s="124" t="s">
        <v>789</v>
      </c>
      <c r="C106" s="124" t="s">
        <v>790</v>
      </c>
      <c r="D106" s="124" t="s">
        <v>19</v>
      </c>
      <c r="E106" s="125">
        <v>12069</v>
      </c>
      <c r="F106" s="126">
        <v>76.282114500000006</v>
      </c>
      <c r="G106" s="127">
        <v>7.9732899999999992E-3</v>
      </c>
      <c r="H106" s="122" t="s">
        <v>153</v>
      </c>
      <c r="J106" s="2"/>
    </row>
    <row r="107" spans="1:10" x14ac:dyDescent="0.2">
      <c r="A107" s="120"/>
      <c r="B107" s="120"/>
      <c r="C107" s="121" t="s">
        <v>152</v>
      </c>
      <c r="D107" s="120"/>
      <c r="E107" s="120" t="s">
        <v>153</v>
      </c>
      <c r="F107" s="128">
        <v>9342.1274899</v>
      </c>
      <c r="G107" s="129">
        <v>0.97647435000000005</v>
      </c>
      <c r="H107" s="122" t="s">
        <v>153</v>
      </c>
      <c r="J107" s="2"/>
    </row>
    <row r="108" spans="1:10" x14ac:dyDescent="0.2">
      <c r="A108" s="120"/>
      <c r="B108" s="120"/>
      <c r="C108" s="130"/>
      <c r="D108" s="120"/>
      <c r="E108" s="120"/>
      <c r="F108" s="131"/>
      <c r="G108" s="131"/>
      <c r="H108" s="122" t="s">
        <v>153</v>
      </c>
      <c r="J108" s="2"/>
    </row>
    <row r="109" spans="1:10" x14ac:dyDescent="0.2">
      <c r="A109" s="120"/>
      <c r="B109" s="120"/>
      <c r="C109" s="121" t="s">
        <v>154</v>
      </c>
      <c r="D109" s="120"/>
      <c r="E109" s="120"/>
      <c r="F109" s="120"/>
      <c r="G109" s="120"/>
      <c r="H109" s="122" t="s">
        <v>153</v>
      </c>
      <c r="J109" s="2"/>
    </row>
    <row r="110" spans="1:10" x14ac:dyDescent="0.2">
      <c r="A110" s="120"/>
      <c r="B110" s="120"/>
      <c r="C110" s="121" t="s">
        <v>152</v>
      </c>
      <c r="D110" s="120"/>
      <c r="E110" s="120" t="s">
        <v>153</v>
      </c>
      <c r="F110" s="132" t="s">
        <v>155</v>
      </c>
      <c r="G110" s="129">
        <v>0</v>
      </c>
      <c r="H110" s="122" t="s">
        <v>153</v>
      </c>
      <c r="J110" s="2"/>
    </row>
    <row r="111" spans="1:10" x14ac:dyDescent="0.2">
      <c r="A111" s="120"/>
      <c r="B111" s="120"/>
      <c r="C111" s="130"/>
      <c r="D111" s="120"/>
      <c r="E111" s="120"/>
      <c r="F111" s="131"/>
      <c r="G111" s="131"/>
      <c r="H111" s="122" t="s">
        <v>153</v>
      </c>
      <c r="J111" s="2"/>
    </row>
    <row r="112" spans="1:10" x14ac:dyDescent="0.2">
      <c r="A112" s="120"/>
      <c r="B112" s="120"/>
      <c r="C112" s="121" t="s">
        <v>156</v>
      </c>
      <c r="D112" s="120"/>
      <c r="E112" s="120"/>
      <c r="F112" s="120"/>
      <c r="G112" s="120"/>
      <c r="H112" s="122" t="s">
        <v>153</v>
      </c>
      <c r="J112" s="2"/>
    </row>
    <row r="113" spans="1:10" x14ac:dyDescent="0.2">
      <c r="A113" s="120"/>
      <c r="B113" s="120"/>
      <c r="C113" s="121" t="s">
        <v>152</v>
      </c>
      <c r="D113" s="120"/>
      <c r="E113" s="120" t="s">
        <v>153</v>
      </c>
      <c r="F113" s="132" t="s">
        <v>155</v>
      </c>
      <c r="G113" s="129">
        <v>0</v>
      </c>
      <c r="H113" s="122" t="s">
        <v>153</v>
      </c>
      <c r="J113" s="2"/>
    </row>
    <row r="114" spans="1:10" x14ac:dyDescent="0.2">
      <c r="A114" s="120"/>
      <c r="B114" s="120"/>
      <c r="C114" s="130"/>
      <c r="D114" s="120"/>
      <c r="E114" s="120"/>
      <c r="F114" s="131"/>
      <c r="G114" s="131"/>
      <c r="H114" s="122" t="s">
        <v>153</v>
      </c>
      <c r="J114" s="2"/>
    </row>
    <row r="115" spans="1:10" x14ac:dyDescent="0.2">
      <c r="A115" s="120"/>
      <c r="B115" s="120"/>
      <c r="C115" s="121" t="s">
        <v>157</v>
      </c>
      <c r="D115" s="120"/>
      <c r="E115" s="120"/>
      <c r="F115" s="120"/>
      <c r="G115" s="120"/>
      <c r="H115" s="122" t="s">
        <v>153</v>
      </c>
      <c r="J115" s="2"/>
    </row>
    <row r="116" spans="1:10" x14ac:dyDescent="0.2">
      <c r="A116" s="120"/>
      <c r="B116" s="120"/>
      <c r="C116" s="121" t="s">
        <v>152</v>
      </c>
      <c r="D116" s="120"/>
      <c r="E116" s="120" t="s">
        <v>153</v>
      </c>
      <c r="F116" s="132" t="s">
        <v>155</v>
      </c>
      <c r="G116" s="129">
        <v>0</v>
      </c>
      <c r="H116" s="122" t="s">
        <v>153</v>
      </c>
      <c r="J116" s="2"/>
    </row>
    <row r="117" spans="1:10" x14ac:dyDescent="0.2">
      <c r="A117" s="120"/>
      <c r="B117" s="120"/>
      <c r="C117" s="130"/>
      <c r="D117" s="120"/>
      <c r="E117" s="120"/>
      <c r="F117" s="131"/>
      <c r="G117" s="131"/>
      <c r="H117" s="122" t="s">
        <v>153</v>
      </c>
      <c r="J117" s="2"/>
    </row>
    <row r="118" spans="1:10" x14ac:dyDescent="0.2">
      <c r="A118" s="120"/>
      <c r="B118" s="120"/>
      <c r="C118" s="121" t="s">
        <v>158</v>
      </c>
      <c r="D118" s="120"/>
      <c r="E118" s="120"/>
      <c r="F118" s="131"/>
      <c r="G118" s="131"/>
      <c r="H118" s="122" t="s">
        <v>153</v>
      </c>
      <c r="J118" s="2"/>
    </row>
    <row r="119" spans="1:10" x14ac:dyDescent="0.2">
      <c r="A119" s="120"/>
      <c r="B119" s="120"/>
      <c r="C119" s="121" t="s">
        <v>152</v>
      </c>
      <c r="D119" s="120"/>
      <c r="E119" s="120" t="s">
        <v>153</v>
      </c>
      <c r="F119" s="132" t="s">
        <v>155</v>
      </c>
      <c r="G119" s="129">
        <v>0</v>
      </c>
      <c r="H119" s="122" t="s">
        <v>153</v>
      </c>
      <c r="J119" s="2"/>
    </row>
    <row r="120" spans="1:10" x14ac:dyDescent="0.2">
      <c r="A120" s="120"/>
      <c r="B120" s="120"/>
      <c r="C120" s="130"/>
      <c r="D120" s="120"/>
      <c r="E120" s="120"/>
      <c r="F120" s="131"/>
      <c r="G120" s="131"/>
      <c r="H120" s="122" t="s">
        <v>153</v>
      </c>
      <c r="J120" s="2"/>
    </row>
    <row r="121" spans="1:10" x14ac:dyDescent="0.2">
      <c r="A121" s="120"/>
      <c r="B121" s="120"/>
      <c r="C121" s="121" t="s">
        <v>159</v>
      </c>
      <c r="D121" s="120"/>
      <c r="E121" s="120"/>
      <c r="F121" s="131"/>
      <c r="G121" s="131"/>
      <c r="H121" s="122" t="s">
        <v>153</v>
      </c>
      <c r="J121" s="2"/>
    </row>
    <row r="122" spans="1:10" x14ac:dyDescent="0.2">
      <c r="A122" s="120"/>
      <c r="B122" s="120"/>
      <c r="C122" s="121" t="s">
        <v>152</v>
      </c>
      <c r="D122" s="120"/>
      <c r="E122" s="120" t="s">
        <v>153</v>
      </c>
      <c r="F122" s="132" t="s">
        <v>155</v>
      </c>
      <c r="G122" s="129">
        <v>0</v>
      </c>
      <c r="H122" s="122" t="s">
        <v>153</v>
      </c>
      <c r="J122" s="2"/>
    </row>
    <row r="123" spans="1:10" x14ac:dyDescent="0.2">
      <c r="A123" s="120"/>
      <c r="B123" s="120"/>
      <c r="C123" s="130"/>
      <c r="D123" s="120"/>
      <c r="E123" s="120"/>
      <c r="F123" s="131"/>
      <c r="G123" s="131"/>
      <c r="H123" s="122" t="s">
        <v>153</v>
      </c>
      <c r="J123" s="2"/>
    </row>
    <row r="124" spans="1:10" x14ac:dyDescent="0.2">
      <c r="A124" s="120"/>
      <c r="B124" s="120"/>
      <c r="C124" s="121" t="s">
        <v>160</v>
      </c>
      <c r="D124" s="120"/>
      <c r="E124" s="120"/>
      <c r="F124" s="128">
        <v>9342.1274899</v>
      </c>
      <c r="G124" s="129">
        <v>0.97647435000000005</v>
      </c>
      <c r="H124" s="122" t="s">
        <v>153</v>
      </c>
      <c r="J124" s="2"/>
    </row>
    <row r="125" spans="1:10" x14ac:dyDescent="0.2">
      <c r="A125" s="120"/>
      <c r="B125" s="120"/>
      <c r="C125" s="130"/>
      <c r="D125" s="120"/>
      <c r="E125" s="120"/>
      <c r="F125" s="131"/>
      <c r="G125" s="131"/>
      <c r="H125" s="122" t="s">
        <v>153</v>
      </c>
      <c r="J125" s="2"/>
    </row>
    <row r="126" spans="1:10" x14ac:dyDescent="0.2">
      <c r="A126" s="120"/>
      <c r="B126" s="120"/>
      <c r="C126" s="121" t="s">
        <v>161</v>
      </c>
      <c r="D126" s="120"/>
      <c r="E126" s="120"/>
      <c r="F126" s="131"/>
      <c r="G126" s="131"/>
      <c r="H126" s="122" t="s">
        <v>153</v>
      </c>
      <c r="J126" s="2"/>
    </row>
    <row r="127" spans="1:10" x14ac:dyDescent="0.2">
      <c r="A127" s="120"/>
      <c r="B127" s="120"/>
      <c r="C127" s="121" t="s">
        <v>10</v>
      </c>
      <c r="D127" s="120"/>
      <c r="E127" s="120"/>
      <c r="F127" s="131"/>
      <c r="G127" s="131"/>
      <c r="H127" s="122" t="s">
        <v>153</v>
      </c>
      <c r="J127" s="2"/>
    </row>
    <row r="128" spans="1:10" x14ac:dyDescent="0.2">
      <c r="A128" s="120"/>
      <c r="B128" s="120"/>
      <c r="C128" s="121" t="s">
        <v>152</v>
      </c>
      <c r="D128" s="120"/>
      <c r="E128" s="120" t="s">
        <v>153</v>
      </c>
      <c r="F128" s="132" t="s">
        <v>155</v>
      </c>
      <c r="G128" s="129">
        <v>0</v>
      </c>
      <c r="H128" s="122" t="s">
        <v>153</v>
      </c>
      <c r="J128" s="2"/>
    </row>
    <row r="129" spans="1:10" x14ac:dyDescent="0.2">
      <c r="A129" s="120"/>
      <c r="B129" s="120"/>
      <c r="C129" s="130"/>
      <c r="D129" s="120"/>
      <c r="E129" s="120"/>
      <c r="F129" s="131"/>
      <c r="G129" s="131"/>
      <c r="H129" s="122" t="s">
        <v>153</v>
      </c>
      <c r="J129" s="2"/>
    </row>
    <row r="130" spans="1:10" x14ac:dyDescent="0.2">
      <c r="A130" s="120"/>
      <c r="B130" s="120"/>
      <c r="C130" s="121" t="s">
        <v>162</v>
      </c>
      <c r="D130" s="120"/>
      <c r="E130" s="120"/>
      <c r="F130" s="120"/>
      <c r="G130" s="120"/>
      <c r="H130" s="122" t="s">
        <v>153</v>
      </c>
      <c r="J130" s="2"/>
    </row>
    <row r="131" spans="1:10" x14ac:dyDescent="0.2">
      <c r="A131" s="120"/>
      <c r="B131" s="120"/>
      <c r="C131" s="121" t="s">
        <v>152</v>
      </c>
      <c r="D131" s="120"/>
      <c r="E131" s="120" t="s">
        <v>153</v>
      </c>
      <c r="F131" s="132" t="s">
        <v>155</v>
      </c>
      <c r="G131" s="129">
        <v>0</v>
      </c>
      <c r="H131" s="122" t="s">
        <v>153</v>
      </c>
      <c r="J131" s="2"/>
    </row>
    <row r="132" spans="1:10" x14ac:dyDescent="0.2">
      <c r="A132" s="120"/>
      <c r="B132" s="120"/>
      <c r="C132" s="130"/>
      <c r="D132" s="120"/>
      <c r="E132" s="120"/>
      <c r="F132" s="131"/>
      <c r="G132" s="131"/>
      <c r="H132" s="122" t="s">
        <v>153</v>
      </c>
      <c r="J132" s="2"/>
    </row>
    <row r="133" spans="1:10" x14ac:dyDescent="0.2">
      <c r="A133" s="120"/>
      <c r="B133" s="120"/>
      <c r="C133" s="121" t="s">
        <v>163</v>
      </c>
      <c r="D133" s="120"/>
      <c r="E133" s="120"/>
      <c r="F133" s="120"/>
      <c r="G133" s="120"/>
      <c r="H133" s="122" t="s">
        <v>153</v>
      </c>
      <c r="J133" s="2"/>
    </row>
    <row r="134" spans="1:10" x14ac:dyDescent="0.2">
      <c r="A134" s="120"/>
      <c r="B134" s="120"/>
      <c r="C134" s="121" t="s">
        <v>152</v>
      </c>
      <c r="D134" s="120"/>
      <c r="E134" s="120" t="s">
        <v>153</v>
      </c>
      <c r="F134" s="132" t="s">
        <v>155</v>
      </c>
      <c r="G134" s="129">
        <v>0</v>
      </c>
      <c r="H134" s="122" t="s">
        <v>153</v>
      </c>
      <c r="J134" s="2"/>
    </row>
    <row r="135" spans="1:10" x14ac:dyDescent="0.2">
      <c r="A135" s="120"/>
      <c r="B135" s="120"/>
      <c r="C135" s="130"/>
      <c r="D135" s="120"/>
      <c r="E135" s="120"/>
      <c r="F135" s="131"/>
      <c r="G135" s="131"/>
      <c r="H135" s="122" t="s">
        <v>153</v>
      </c>
      <c r="J135" s="2"/>
    </row>
    <row r="136" spans="1:10" x14ac:dyDescent="0.2">
      <c r="A136" s="120"/>
      <c r="B136" s="120"/>
      <c r="C136" s="121" t="s">
        <v>164</v>
      </c>
      <c r="D136" s="120"/>
      <c r="E136" s="120"/>
      <c r="F136" s="131"/>
      <c r="G136" s="131"/>
      <c r="H136" s="122" t="s">
        <v>153</v>
      </c>
      <c r="J136" s="2"/>
    </row>
    <row r="137" spans="1:10" x14ac:dyDescent="0.2">
      <c r="A137" s="120"/>
      <c r="B137" s="120"/>
      <c r="C137" s="121" t="s">
        <v>152</v>
      </c>
      <c r="D137" s="120"/>
      <c r="E137" s="120" t="s">
        <v>153</v>
      </c>
      <c r="F137" s="132" t="s">
        <v>155</v>
      </c>
      <c r="G137" s="129">
        <v>0</v>
      </c>
      <c r="H137" s="122" t="s">
        <v>153</v>
      </c>
      <c r="J137" s="2"/>
    </row>
    <row r="138" spans="1:10" x14ac:dyDescent="0.2">
      <c r="A138" s="120"/>
      <c r="B138" s="120"/>
      <c r="C138" s="130"/>
      <c r="D138" s="120"/>
      <c r="E138" s="120"/>
      <c r="F138" s="131"/>
      <c r="G138" s="131"/>
      <c r="H138" s="122" t="s">
        <v>153</v>
      </c>
      <c r="J138" s="2"/>
    </row>
    <row r="139" spans="1:10" x14ac:dyDescent="0.2">
      <c r="A139" s="120"/>
      <c r="B139" s="120"/>
      <c r="C139" s="121" t="s">
        <v>165</v>
      </c>
      <c r="D139" s="120"/>
      <c r="E139" s="120"/>
      <c r="F139" s="128">
        <v>0</v>
      </c>
      <c r="G139" s="129">
        <v>0</v>
      </c>
      <c r="H139" s="122" t="s">
        <v>153</v>
      </c>
      <c r="J139" s="2"/>
    </row>
    <row r="140" spans="1:10" x14ac:dyDescent="0.2">
      <c r="A140" s="120"/>
      <c r="B140" s="120"/>
      <c r="C140" s="130"/>
      <c r="D140" s="120"/>
      <c r="E140" s="120"/>
      <c r="F140" s="131"/>
      <c r="G140" s="131"/>
      <c r="H140" s="122" t="s">
        <v>153</v>
      </c>
      <c r="J140" s="2"/>
    </row>
    <row r="141" spans="1:10" x14ac:dyDescent="0.2">
      <c r="A141" s="120"/>
      <c r="B141" s="120"/>
      <c r="C141" s="121" t="s">
        <v>166</v>
      </c>
      <c r="D141" s="120"/>
      <c r="E141" s="120"/>
      <c r="F141" s="131"/>
      <c r="G141" s="131"/>
      <c r="H141" s="122" t="s">
        <v>153</v>
      </c>
      <c r="J141" s="2"/>
    </row>
    <row r="142" spans="1:10" x14ac:dyDescent="0.2">
      <c r="A142" s="120"/>
      <c r="B142" s="120"/>
      <c r="C142" s="121" t="s">
        <v>167</v>
      </c>
      <c r="D142" s="120"/>
      <c r="E142" s="120"/>
      <c r="F142" s="131"/>
      <c r="G142" s="131"/>
      <c r="H142" s="122" t="s">
        <v>153</v>
      </c>
      <c r="J142" s="2"/>
    </row>
    <row r="143" spans="1:10" x14ac:dyDescent="0.2">
      <c r="A143" s="120"/>
      <c r="B143" s="120"/>
      <c r="C143" s="121" t="s">
        <v>152</v>
      </c>
      <c r="D143" s="120"/>
      <c r="E143" s="120" t="s">
        <v>153</v>
      </c>
      <c r="F143" s="132" t="s">
        <v>155</v>
      </c>
      <c r="G143" s="129">
        <v>0</v>
      </c>
      <c r="H143" s="122" t="s">
        <v>153</v>
      </c>
      <c r="J143" s="2"/>
    </row>
    <row r="144" spans="1:10" x14ac:dyDescent="0.2">
      <c r="A144" s="120"/>
      <c r="B144" s="120"/>
      <c r="C144" s="130"/>
      <c r="D144" s="120"/>
      <c r="E144" s="120"/>
      <c r="F144" s="131"/>
      <c r="G144" s="131"/>
      <c r="H144" s="122" t="s">
        <v>153</v>
      </c>
      <c r="J144" s="2"/>
    </row>
    <row r="145" spans="1:10" x14ac:dyDescent="0.2">
      <c r="A145" s="120"/>
      <c r="B145" s="120"/>
      <c r="C145" s="121" t="s">
        <v>168</v>
      </c>
      <c r="D145" s="120"/>
      <c r="E145" s="120"/>
      <c r="F145" s="131"/>
      <c r="G145" s="131"/>
      <c r="H145" s="122" t="s">
        <v>153</v>
      </c>
      <c r="J145" s="2"/>
    </row>
    <row r="146" spans="1:10" x14ac:dyDescent="0.2">
      <c r="A146" s="120"/>
      <c r="B146" s="120"/>
      <c r="C146" s="121" t="s">
        <v>152</v>
      </c>
      <c r="D146" s="120"/>
      <c r="E146" s="120" t="s">
        <v>153</v>
      </c>
      <c r="F146" s="132" t="s">
        <v>155</v>
      </c>
      <c r="G146" s="129">
        <v>0</v>
      </c>
      <c r="H146" s="122" t="s">
        <v>153</v>
      </c>
      <c r="J146" s="2"/>
    </row>
    <row r="147" spans="1:10" x14ac:dyDescent="0.2">
      <c r="A147" s="120"/>
      <c r="B147" s="120"/>
      <c r="C147" s="130"/>
      <c r="D147" s="120"/>
      <c r="E147" s="120"/>
      <c r="F147" s="131"/>
      <c r="G147" s="131"/>
      <c r="H147" s="122" t="s">
        <v>153</v>
      </c>
      <c r="J147" s="2"/>
    </row>
    <row r="148" spans="1:10" x14ac:dyDescent="0.2">
      <c r="A148" s="120"/>
      <c r="B148" s="120"/>
      <c r="C148" s="121" t="s">
        <v>169</v>
      </c>
      <c r="D148" s="120"/>
      <c r="E148" s="120"/>
      <c r="F148" s="131"/>
      <c r="G148" s="131"/>
      <c r="H148" s="122" t="s">
        <v>153</v>
      </c>
      <c r="J148" s="2"/>
    </row>
    <row r="149" spans="1:10" x14ac:dyDescent="0.2">
      <c r="A149" s="120"/>
      <c r="B149" s="120"/>
      <c r="C149" s="121" t="s">
        <v>152</v>
      </c>
      <c r="D149" s="120"/>
      <c r="E149" s="120" t="s">
        <v>153</v>
      </c>
      <c r="F149" s="132" t="s">
        <v>155</v>
      </c>
      <c r="G149" s="129">
        <v>0</v>
      </c>
      <c r="H149" s="122" t="s">
        <v>153</v>
      </c>
      <c r="J149" s="2"/>
    </row>
    <row r="150" spans="1:10" x14ac:dyDescent="0.2">
      <c r="A150" s="120"/>
      <c r="B150" s="120"/>
      <c r="C150" s="130"/>
      <c r="D150" s="120"/>
      <c r="E150" s="120"/>
      <c r="F150" s="131"/>
      <c r="G150" s="131"/>
      <c r="H150" s="122" t="s">
        <v>153</v>
      </c>
      <c r="J150" s="2"/>
    </row>
    <row r="151" spans="1:10" x14ac:dyDescent="0.2">
      <c r="A151" s="120"/>
      <c r="B151" s="120"/>
      <c r="C151" s="121" t="s">
        <v>170</v>
      </c>
      <c r="D151" s="120"/>
      <c r="E151" s="120"/>
      <c r="F151" s="131"/>
      <c r="G151" s="131"/>
      <c r="H151" s="122" t="s">
        <v>153</v>
      </c>
      <c r="J151" s="2"/>
    </row>
    <row r="152" spans="1:10" x14ac:dyDescent="0.2">
      <c r="A152" s="123">
        <v>1</v>
      </c>
      <c r="B152" s="124"/>
      <c r="C152" s="124" t="s">
        <v>171</v>
      </c>
      <c r="D152" s="124"/>
      <c r="E152" s="133"/>
      <c r="F152" s="126">
        <v>322.47933700200002</v>
      </c>
      <c r="G152" s="127">
        <v>3.3706750000000001E-2</v>
      </c>
      <c r="H152" s="122">
        <v>6.62</v>
      </c>
      <c r="J152" s="2"/>
    </row>
    <row r="153" spans="1:10" x14ac:dyDescent="0.2">
      <c r="A153" s="120"/>
      <c r="B153" s="120"/>
      <c r="C153" s="121" t="s">
        <v>152</v>
      </c>
      <c r="D153" s="120"/>
      <c r="E153" s="120" t="s">
        <v>153</v>
      </c>
      <c r="F153" s="128">
        <v>322.47933700200002</v>
      </c>
      <c r="G153" s="129">
        <v>3.3706750000000001E-2</v>
      </c>
      <c r="H153" s="122" t="s">
        <v>153</v>
      </c>
      <c r="J153" s="2"/>
    </row>
    <row r="154" spans="1:10" x14ac:dyDescent="0.2">
      <c r="A154" s="120"/>
      <c r="B154" s="120"/>
      <c r="C154" s="130"/>
      <c r="D154" s="120"/>
      <c r="E154" s="120"/>
      <c r="F154" s="131"/>
      <c r="G154" s="131"/>
      <c r="H154" s="122" t="s">
        <v>153</v>
      </c>
      <c r="J154" s="2"/>
    </row>
    <row r="155" spans="1:10" x14ac:dyDescent="0.2">
      <c r="A155" s="120"/>
      <c r="B155" s="120"/>
      <c r="C155" s="121" t="s">
        <v>172</v>
      </c>
      <c r="D155" s="120"/>
      <c r="E155" s="120"/>
      <c r="F155" s="128">
        <v>322.47933700200002</v>
      </c>
      <c r="G155" s="129">
        <v>3.3706750000000001E-2</v>
      </c>
      <c r="H155" s="122" t="s">
        <v>153</v>
      </c>
      <c r="J155" s="2"/>
    </row>
    <row r="156" spans="1:10" x14ac:dyDescent="0.2">
      <c r="A156" s="120"/>
      <c r="B156" s="120"/>
      <c r="C156" s="131"/>
      <c r="D156" s="120"/>
      <c r="E156" s="120"/>
      <c r="F156" s="120"/>
      <c r="G156" s="120"/>
      <c r="H156" s="122" t="s">
        <v>153</v>
      </c>
      <c r="J156" s="2"/>
    </row>
    <row r="157" spans="1:10" x14ac:dyDescent="0.2">
      <c r="A157" s="120"/>
      <c r="B157" s="120"/>
      <c r="C157" s="121" t="s">
        <v>173</v>
      </c>
      <c r="D157" s="120"/>
      <c r="E157" s="120"/>
      <c r="F157" s="120"/>
      <c r="G157" s="120"/>
      <c r="H157" s="122" t="s">
        <v>153</v>
      </c>
      <c r="J157" s="2"/>
    </row>
    <row r="158" spans="1:10" x14ac:dyDescent="0.2">
      <c r="A158" s="120"/>
      <c r="B158" s="120"/>
      <c r="C158" s="121" t="s">
        <v>174</v>
      </c>
      <c r="D158" s="120"/>
      <c r="E158" s="120"/>
      <c r="F158" s="120"/>
      <c r="G158" s="120"/>
      <c r="H158" s="122" t="s">
        <v>153</v>
      </c>
      <c r="J158" s="2"/>
    </row>
    <row r="159" spans="1:10" x14ac:dyDescent="0.2">
      <c r="A159" s="120"/>
      <c r="B159" s="120"/>
      <c r="C159" s="121" t="s">
        <v>152</v>
      </c>
      <c r="D159" s="120"/>
      <c r="E159" s="120" t="s">
        <v>153</v>
      </c>
      <c r="F159" s="132" t="s">
        <v>155</v>
      </c>
      <c r="G159" s="129">
        <v>0</v>
      </c>
      <c r="H159" s="122" t="s">
        <v>153</v>
      </c>
      <c r="J159" s="2"/>
    </row>
    <row r="160" spans="1:10" x14ac:dyDescent="0.2">
      <c r="A160" s="120"/>
      <c r="B160" s="120"/>
      <c r="C160" s="130"/>
      <c r="D160" s="120"/>
      <c r="E160" s="120"/>
      <c r="F160" s="131"/>
      <c r="G160" s="131"/>
      <c r="H160" s="122" t="s">
        <v>153</v>
      </c>
      <c r="J160" s="2"/>
    </row>
    <row r="161" spans="1:17" x14ac:dyDescent="0.2">
      <c r="A161" s="120"/>
      <c r="B161" s="120"/>
      <c r="C161" s="121" t="s">
        <v>175</v>
      </c>
      <c r="D161" s="120"/>
      <c r="E161" s="120"/>
      <c r="F161" s="120"/>
      <c r="G161" s="120"/>
      <c r="H161" s="122" t="s">
        <v>153</v>
      </c>
      <c r="J161" s="2"/>
    </row>
    <row r="162" spans="1:17" x14ac:dyDescent="0.2">
      <c r="A162" s="120"/>
      <c r="B162" s="120"/>
      <c r="C162" s="121" t="s">
        <v>176</v>
      </c>
      <c r="D162" s="120"/>
      <c r="E162" s="120"/>
      <c r="F162" s="120"/>
      <c r="G162" s="120"/>
      <c r="H162" s="122" t="s">
        <v>153</v>
      </c>
      <c r="J162" s="2"/>
    </row>
    <row r="163" spans="1:17" x14ac:dyDescent="0.2">
      <c r="A163" s="120"/>
      <c r="B163" s="120"/>
      <c r="C163" s="121" t="s">
        <v>152</v>
      </c>
      <c r="D163" s="120"/>
      <c r="E163" s="120" t="s">
        <v>153</v>
      </c>
      <c r="F163" s="132" t="s">
        <v>155</v>
      </c>
      <c r="G163" s="129">
        <v>0</v>
      </c>
      <c r="H163" s="122" t="s">
        <v>153</v>
      </c>
      <c r="J163" s="2"/>
    </row>
    <row r="164" spans="1:17" x14ac:dyDescent="0.2">
      <c r="A164" s="120"/>
      <c r="B164" s="120"/>
      <c r="C164" s="130"/>
      <c r="D164" s="120"/>
      <c r="E164" s="120"/>
      <c r="F164" s="131"/>
      <c r="G164" s="131"/>
      <c r="H164" s="122" t="s">
        <v>153</v>
      </c>
      <c r="J164" s="2"/>
    </row>
    <row r="165" spans="1:17" ht="25.5" x14ac:dyDescent="0.2">
      <c r="A165" s="120"/>
      <c r="B165" s="120"/>
      <c r="C165" s="121" t="s">
        <v>177</v>
      </c>
      <c r="D165" s="120"/>
      <c r="E165" s="120"/>
      <c r="F165" s="131"/>
      <c r="G165" s="131"/>
      <c r="H165" s="122" t="s">
        <v>153</v>
      </c>
      <c r="J165" s="2"/>
    </row>
    <row r="166" spans="1:17" x14ac:dyDescent="0.2">
      <c r="A166" s="120"/>
      <c r="B166" s="120"/>
      <c r="C166" s="121" t="s">
        <v>152</v>
      </c>
      <c r="D166" s="120"/>
      <c r="E166" s="120" t="s">
        <v>153</v>
      </c>
      <c r="F166" s="132" t="s">
        <v>155</v>
      </c>
      <c r="G166" s="129">
        <v>0</v>
      </c>
      <c r="H166" s="122" t="s">
        <v>153</v>
      </c>
      <c r="J166" s="2"/>
    </row>
    <row r="167" spans="1:17" x14ac:dyDescent="0.2">
      <c r="A167" s="120"/>
      <c r="B167" s="120"/>
      <c r="C167" s="130"/>
      <c r="D167" s="120"/>
      <c r="E167" s="120"/>
      <c r="F167" s="131"/>
      <c r="G167" s="131"/>
      <c r="H167" s="122" t="s">
        <v>153</v>
      </c>
      <c r="J167" s="2"/>
    </row>
    <row r="168" spans="1:17" x14ac:dyDescent="0.2">
      <c r="A168" s="133"/>
      <c r="B168" s="124"/>
      <c r="C168" s="124" t="s">
        <v>178</v>
      </c>
      <c r="D168" s="124"/>
      <c r="E168" s="133"/>
      <c r="F168" s="126">
        <v>-97.403896099999997</v>
      </c>
      <c r="G168" s="127">
        <v>-1.0181020000000001E-2</v>
      </c>
      <c r="H168" s="122" t="s">
        <v>153</v>
      </c>
      <c r="J168" s="2"/>
    </row>
    <row r="169" spans="1:17" x14ac:dyDescent="0.2">
      <c r="A169" s="130"/>
      <c r="B169" s="130"/>
      <c r="C169" s="121" t="s">
        <v>179</v>
      </c>
      <c r="D169" s="131"/>
      <c r="E169" s="131"/>
      <c r="F169" s="128">
        <v>9567.2029308019992</v>
      </c>
      <c r="G169" s="134">
        <v>1.00000008</v>
      </c>
      <c r="H169" s="122" t="s">
        <v>153</v>
      </c>
      <c r="J169" s="2"/>
    </row>
    <row r="170" spans="1:17" x14ac:dyDescent="0.2">
      <c r="A170" s="135"/>
      <c r="B170" s="135"/>
      <c r="C170" s="135"/>
      <c r="D170" s="136"/>
      <c r="E170" s="136"/>
      <c r="F170" s="136"/>
      <c r="G170" s="136"/>
      <c r="J170" s="2"/>
    </row>
    <row r="171" spans="1:17" x14ac:dyDescent="0.2">
      <c r="A171" s="137"/>
      <c r="B171" s="226" t="s">
        <v>863</v>
      </c>
      <c r="C171" s="226"/>
      <c r="D171" s="226"/>
      <c r="E171" s="226"/>
      <c r="F171" s="226"/>
      <c r="G171" s="226"/>
      <c r="H171" s="226"/>
      <c r="J171" s="2"/>
    </row>
    <row r="172" spans="1:17" x14ac:dyDescent="0.2">
      <c r="A172" s="137"/>
      <c r="B172" s="226" t="s">
        <v>864</v>
      </c>
      <c r="C172" s="226"/>
      <c r="D172" s="226"/>
      <c r="E172" s="226"/>
      <c r="F172" s="226"/>
      <c r="G172" s="226"/>
      <c r="H172" s="226"/>
      <c r="J172" s="2"/>
    </row>
    <row r="173" spans="1:17" x14ac:dyDescent="0.2">
      <c r="A173" s="137"/>
      <c r="B173" s="226" t="s">
        <v>865</v>
      </c>
      <c r="C173" s="226"/>
      <c r="D173" s="226"/>
      <c r="E173" s="226"/>
      <c r="F173" s="226"/>
      <c r="G173" s="226"/>
      <c r="H173" s="226"/>
      <c r="J173" s="2"/>
    </row>
    <row r="174" spans="1:17" s="5" customFormat="1" ht="53.25" customHeight="1" x14ac:dyDescent="0.25">
      <c r="A174" s="139"/>
      <c r="B174" s="227" t="s">
        <v>866</v>
      </c>
      <c r="C174" s="227"/>
      <c r="D174" s="227"/>
      <c r="E174" s="227"/>
      <c r="F174" s="227"/>
      <c r="G174" s="227"/>
      <c r="H174" s="227"/>
      <c r="I174"/>
      <c r="J174" s="2"/>
      <c r="K174"/>
      <c r="L174"/>
      <c r="M174"/>
      <c r="N174"/>
      <c r="O174"/>
      <c r="P174"/>
      <c r="Q174"/>
    </row>
    <row r="175" spans="1:17" x14ac:dyDescent="0.2">
      <c r="A175" s="137"/>
      <c r="B175" s="226" t="s">
        <v>867</v>
      </c>
      <c r="C175" s="226"/>
      <c r="D175" s="226"/>
      <c r="E175" s="226"/>
      <c r="F175" s="226"/>
      <c r="G175" s="226"/>
      <c r="H175" s="226"/>
      <c r="J175" s="2"/>
    </row>
    <row r="176" spans="1:17" x14ac:dyDescent="0.2">
      <c r="A176" s="140"/>
      <c r="B176" s="140"/>
      <c r="C176" s="140"/>
      <c r="D176" s="141"/>
      <c r="E176" s="141"/>
      <c r="F176" s="141"/>
      <c r="G176" s="141"/>
      <c r="J176" s="2"/>
    </row>
    <row r="177" spans="1:10" x14ac:dyDescent="0.2">
      <c r="A177" s="140"/>
      <c r="B177" s="228" t="s">
        <v>180</v>
      </c>
      <c r="C177" s="229"/>
      <c r="D177" s="230"/>
      <c r="E177" s="142"/>
      <c r="F177" s="141"/>
      <c r="G177" s="141"/>
      <c r="J177" s="2"/>
    </row>
    <row r="178" spans="1:10" x14ac:dyDescent="0.2">
      <c r="A178" s="140"/>
      <c r="B178" s="223" t="s">
        <v>181</v>
      </c>
      <c r="C178" s="224"/>
      <c r="D178" s="121" t="s">
        <v>182</v>
      </c>
      <c r="E178" s="142"/>
      <c r="F178" s="141"/>
      <c r="G178" s="141"/>
      <c r="J178" s="2"/>
    </row>
    <row r="179" spans="1:10" x14ac:dyDescent="0.2">
      <c r="A179" s="140"/>
      <c r="B179" s="223" t="s">
        <v>183</v>
      </c>
      <c r="C179" s="224"/>
      <c r="D179" s="121" t="s">
        <v>182</v>
      </c>
      <c r="E179" s="142"/>
      <c r="F179" s="141"/>
      <c r="G179" s="141"/>
      <c r="J179" s="2"/>
    </row>
    <row r="180" spans="1:10" x14ac:dyDescent="0.2">
      <c r="A180" s="140"/>
      <c r="B180" s="223" t="s">
        <v>184</v>
      </c>
      <c r="C180" s="224"/>
      <c r="D180" s="131" t="s">
        <v>153</v>
      </c>
      <c r="E180" s="142"/>
      <c r="F180" s="141"/>
      <c r="G180" s="141"/>
      <c r="J180" s="2"/>
    </row>
    <row r="181" spans="1:10" x14ac:dyDescent="0.2">
      <c r="A181" s="144"/>
      <c r="B181" s="145" t="s">
        <v>153</v>
      </c>
      <c r="C181" s="145" t="s">
        <v>870</v>
      </c>
      <c r="D181" s="145" t="s">
        <v>185</v>
      </c>
      <c r="E181" s="144"/>
      <c r="F181" s="144"/>
      <c r="G181" s="144"/>
      <c r="H181" s="144"/>
      <c r="J181" s="2"/>
    </row>
    <row r="182" spans="1:10" x14ac:dyDescent="0.2">
      <c r="A182" s="146"/>
      <c r="B182" s="147" t="s">
        <v>186</v>
      </c>
      <c r="C182" s="148">
        <v>45504</v>
      </c>
      <c r="D182" s="149">
        <v>45535</v>
      </c>
      <c r="E182" s="146"/>
      <c r="F182" s="146"/>
      <c r="G182" s="146"/>
      <c r="J182" s="2"/>
    </row>
    <row r="183" spans="1:10" x14ac:dyDescent="0.2">
      <c r="A183" s="146"/>
      <c r="B183" s="124" t="s">
        <v>187</v>
      </c>
      <c r="C183" s="150">
        <v>190.90289999999999</v>
      </c>
      <c r="D183" s="150">
        <v>192.14660000000001</v>
      </c>
      <c r="E183" s="146"/>
      <c r="F183" s="151"/>
      <c r="G183" s="152"/>
      <c r="J183" s="2"/>
    </row>
    <row r="184" spans="1:10" x14ac:dyDescent="0.2">
      <c r="A184" s="146"/>
      <c r="B184" s="124" t="s">
        <v>926</v>
      </c>
      <c r="C184" s="150">
        <v>96.989699999999999</v>
      </c>
      <c r="D184" s="150">
        <v>97.621499999999997</v>
      </c>
      <c r="E184" s="146"/>
      <c r="F184" s="151"/>
      <c r="G184" s="152"/>
      <c r="J184" s="2"/>
    </row>
    <row r="185" spans="1:10" x14ac:dyDescent="0.2">
      <c r="A185" s="146"/>
      <c r="B185" s="124" t="s">
        <v>188</v>
      </c>
      <c r="C185" s="150">
        <v>182.0744</v>
      </c>
      <c r="D185" s="150">
        <v>183.18729999999999</v>
      </c>
      <c r="E185" s="146"/>
      <c r="F185" s="151"/>
      <c r="G185" s="152"/>
      <c r="J185" s="2"/>
    </row>
    <row r="186" spans="1:10" x14ac:dyDescent="0.2">
      <c r="A186" s="146"/>
      <c r="B186" s="124" t="s">
        <v>927</v>
      </c>
      <c r="C186" s="150">
        <v>92.5077</v>
      </c>
      <c r="D186" s="150">
        <v>93.0732</v>
      </c>
      <c r="E186" s="146"/>
      <c r="F186" s="151"/>
      <c r="G186" s="152"/>
      <c r="J186" s="2"/>
    </row>
    <row r="187" spans="1:10" x14ac:dyDescent="0.2">
      <c r="A187" s="146"/>
      <c r="B187" s="146"/>
      <c r="C187" s="146"/>
      <c r="D187" s="146"/>
      <c r="E187" s="146"/>
      <c r="F187" s="146"/>
      <c r="G187" s="146"/>
      <c r="J187" s="2"/>
    </row>
    <row r="188" spans="1:10" x14ac:dyDescent="0.2">
      <c r="A188" s="144"/>
      <c r="B188" s="221" t="s">
        <v>869</v>
      </c>
      <c r="C188" s="222"/>
      <c r="D188" s="143" t="s">
        <v>182</v>
      </c>
      <c r="E188" s="144"/>
      <c r="F188" s="144"/>
      <c r="G188" s="144"/>
      <c r="J188" s="2"/>
    </row>
    <row r="189" spans="1:10" x14ac:dyDescent="0.2">
      <c r="A189" s="144"/>
      <c r="B189" s="163"/>
      <c r="C189" s="163"/>
      <c r="D189" s="163"/>
      <c r="E189" s="144"/>
      <c r="F189" s="144"/>
      <c r="G189" s="144"/>
      <c r="J189" s="2"/>
    </row>
    <row r="190" spans="1:10" ht="29.1" customHeight="1" x14ac:dyDescent="0.2">
      <c r="A190" s="144"/>
      <c r="B190" s="221" t="s">
        <v>189</v>
      </c>
      <c r="C190" s="222"/>
      <c r="D190" s="143" t="s">
        <v>182</v>
      </c>
      <c r="E190" s="153"/>
      <c r="F190" s="144"/>
      <c r="G190" s="144"/>
      <c r="J190" s="2"/>
    </row>
    <row r="191" spans="1:10" ht="29.1" customHeight="1" x14ac:dyDescent="0.2">
      <c r="A191" s="144"/>
      <c r="B191" s="221" t="s">
        <v>190</v>
      </c>
      <c r="C191" s="222"/>
      <c r="D191" s="143" t="s">
        <v>182</v>
      </c>
      <c r="E191" s="153"/>
      <c r="F191" s="144"/>
      <c r="G191" s="144"/>
      <c r="J191" s="2"/>
    </row>
    <row r="192" spans="1:10" ht="17.100000000000001" customHeight="1" x14ac:dyDescent="0.2">
      <c r="A192" s="144"/>
      <c r="B192" s="221" t="s">
        <v>191</v>
      </c>
      <c r="C192" s="222"/>
      <c r="D192" s="143" t="s">
        <v>182</v>
      </c>
      <c r="E192" s="153"/>
      <c r="F192" s="144"/>
      <c r="G192" s="144"/>
      <c r="J192" s="2"/>
    </row>
    <row r="193" spans="1:10" ht="17.100000000000001" customHeight="1" x14ac:dyDescent="0.2">
      <c r="A193" s="144"/>
      <c r="B193" s="221" t="s">
        <v>192</v>
      </c>
      <c r="C193" s="222"/>
      <c r="D193" s="154">
        <v>0.3666551516308138</v>
      </c>
      <c r="E193" s="144"/>
      <c r="F193" s="138"/>
      <c r="G193" s="155"/>
      <c r="J193" s="2"/>
    </row>
  </sheetData>
  <mergeCells count="17">
    <mergeCell ref="B178:C178"/>
    <mergeCell ref="A1:H1"/>
    <mergeCell ref="A2:H2"/>
    <mergeCell ref="A3:H3"/>
    <mergeCell ref="B171:H171"/>
    <mergeCell ref="B172:H172"/>
    <mergeCell ref="B173:H173"/>
    <mergeCell ref="B174:H174"/>
    <mergeCell ref="B175:H175"/>
    <mergeCell ref="B177:D177"/>
    <mergeCell ref="B179:C179"/>
    <mergeCell ref="B180:C180"/>
    <mergeCell ref="B188:C188"/>
    <mergeCell ref="B192:C192"/>
    <mergeCell ref="B193:C193"/>
    <mergeCell ref="B190:C190"/>
    <mergeCell ref="B191:C191"/>
  </mergeCells>
  <hyperlinks>
    <hyperlink ref="I1" location="Index!B22" display="Index" xr:uid="{BB505E5A-11E1-4E18-B7B2-971CA86DF5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02891-5F14-485F-9F6B-D7CEBCBBCCFE}">
  <sheetPr>
    <outlinePr summaryBelow="0" summaryRight="0"/>
  </sheetPr>
  <dimension ref="A1:Q171"/>
  <sheetViews>
    <sheetView showGridLines="0" workbookViewId="0">
      <selection sqref="A1:H1"/>
    </sheetView>
  </sheetViews>
  <sheetFormatPr defaultRowHeight="12.75" x14ac:dyDescent="0.2"/>
  <cols>
    <col min="1" max="1" width="6.85546875" customWidth="1"/>
    <col min="2" max="2" width="20.5703125" customWidth="1"/>
    <col min="3" max="3" width="36.28515625" customWidth="1"/>
    <col min="4" max="4" width="20.7109375" customWidth="1"/>
    <col min="5" max="6" width="19.140625" customWidth="1"/>
    <col min="7" max="7" width="16.42578125" customWidth="1"/>
    <col min="9" max="9" width="7.7109375" customWidth="1"/>
    <col min="10" max="10" width="50.7109375" style="8" customWidth="1"/>
  </cols>
  <sheetData>
    <row r="1" spans="1:10" ht="15" x14ac:dyDescent="0.2">
      <c r="A1" s="225" t="s">
        <v>0</v>
      </c>
      <c r="B1" s="225"/>
      <c r="C1" s="225"/>
      <c r="D1" s="225"/>
      <c r="E1" s="225"/>
      <c r="F1" s="225"/>
      <c r="G1" s="225"/>
      <c r="H1" s="225"/>
      <c r="I1" s="6" t="s">
        <v>913</v>
      </c>
      <c r="J1" s="2"/>
    </row>
    <row r="2" spans="1:10" ht="15" x14ac:dyDescent="0.2">
      <c r="A2" s="225" t="s">
        <v>791</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ht="25.5" x14ac:dyDescent="0.2">
      <c r="A6" s="120"/>
      <c r="B6" s="120"/>
      <c r="C6" s="121" t="s">
        <v>10</v>
      </c>
      <c r="D6" s="120"/>
      <c r="E6" s="120"/>
      <c r="F6" s="120"/>
      <c r="G6" s="120"/>
      <c r="H6" s="122" t="s">
        <v>153</v>
      </c>
      <c r="J6" s="2"/>
    </row>
    <row r="7" spans="1:10" x14ac:dyDescent="0.2">
      <c r="A7" s="123">
        <v>1</v>
      </c>
      <c r="B7" s="124" t="s">
        <v>342</v>
      </c>
      <c r="C7" s="124" t="s">
        <v>343</v>
      </c>
      <c r="D7" s="124" t="s">
        <v>48</v>
      </c>
      <c r="E7" s="125">
        <v>606077</v>
      </c>
      <c r="F7" s="126">
        <v>9920.8744129999995</v>
      </c>
      <c r="G7" s="127">
        <v>7.0298929999999996E-2</v>
      </c>
      <c r="H7" s="122" t="s">
        <v>153</v>
      </c>
      <c r="J7" s="2"/>
    </row>
    <row r="8" spans="1:10" x14ac:dyDescent="0.2">
      <c r="A8" s="123">
        <v>2</v>
      </c>
      <c r="B8" s="124" t="s">
        <v>46</v>
      </c>
      <c r="C8" s="124" t="s">
        <v>47</v>
      </c>
      <c r="D8" s="124" t="s">
        <v>48</v>
      </c>
      <c r="E8" s="125">
        <v>661000</v>
      </c>
      <c r="F8" s="126">
        <v>8125.0119999999997</v>
      </c>
      <c r="G8" s="127">
        <v>5.7573520000000003E-2</v>
      </c>
      <c r="H8" s="122" t="s">
        <v>153</v>
      </c>
      <c r="J8" s="2"/>
    </row>
    <row r="9" spans="1:10" x14ac:dyDescent="0.2">
      <c r="A9" s="123">
        <v>3</v>
      </c>
      <c r="B9" s="124" t="s">
        <v>20</v>
      </c>
      <c r="C9" s="124" t="s">
        <v>21</v>
      </c>
      <c r="D9" s="124" t="s">
        <v>22</v>
      </c>
      <c r="E9" s="125">
        <v>260000</v>
      </c>
      <c r="F9" s="126">
        <v>7850.05</v>
      </c>
      <c r="G9" s="127">
        <v>5.5625149999999998E-2</v>
      </c>
      <c r="H9" s="122" t="s">
        <v>153</v>
      </c>
      <c r="J9" s="2"/>
    </row>
    <row r="10" spans="1:10" x14ac:dyDescent="0.2">
      <c r="A10" s="123">
        <v>4</v>
      </c>
      <c r="B10" s="124" t="s">
        <v>344</v>
      </c>
      <c r="C10" s="124" t="s">
        <v>345</v>
      </c>
      <c r="D10" s="124" t="s">
        <v>211</v>
      </c>
      <c r="E10" s="125">
        <v>313000</v>
      </c>
      <c r="F10" s="126">
        <v>6083.7809999999999</v>
      </c>
      <c r="G10" s="127">
        <v>4.3109439999999999E-2</v>
      </c>
      <c r="H10" s="122" t="s">
        <v>153</v>
      </c>
      <c r="J10" s="2"/>
    </row>
    <row r="11" spans="1:10" x14ac:dyDescent="0.2">
      <c r="A11" s="123">
        <v>5</v>
      </c>
      <c r="B11" s="124" t="s">
        <v>350</v>
      </c>
      <c r="C11" s="124" t="s">
        <v>351</v>
      </c>
      <c r="D11" s="124" t="s">
        <v>48</v>
      </c>
      <c r="E11" s="125">
        <v>311000</v>
      </c>
      <c r="F11" s="126">
        <v>3655.0275000000001</v>
      </c>
      <c r="G11" s="127">
        <v>2.589938E-2</v>
      </c>
      <c r="H11" s="122" t="s">
        <v>153</v>
      </c>
      <c r="J11" s="2"/>
    </row>
    <row r="12" spans="1:10" ht="25.5" x14ac:dyDescent="0.2">
      <c r="A12" s="123">
        <v>6</v>
      </c>
      <c r="B12" s="124" t="s">
        <v>352</v>
      </c>
      <c r="C12" s="124" t="s">
        <v>353</v>
      </c>
      <c r="D12" s="124" t="s">
        <v>208</v>
      </c>
      <c r="E12" s="125">
        <v>200000</v>
      </c>
      <c r="F12" s="126">
        <v>3643.3</v>
      </c>
      <c r="G12" s="127">
        <v>2.581628E-2</v>
      </c>
      <c r="H12" s="122" t="s">
        <v>153</v>
      </c>
      <c r="J12" s="7"/>
    </row>
    <row r="13" spans="1:10" x14ac:dyDescent="0.2">
      <c r="A13" s="123">
        <v>7</v>
      </c>
      <c r="B13" s="124" t="s">
        <v>54</v>
      </c>
      <c r="C13" s="124" t="s">
        <v>55</v>
      </c>
      <c r="D13" s="124" t="s">
        <v>48</v>
      </c>
      <c r="E13" s="125">
        <v>444000</v>
      </c>
      <c r="F13" s="126">
        <v>3621.2640000000001</v>
      </c>
      <c r="G13" s="127">
        <v>2.5660140000000001E-2</v>
      </c>
      <c r="H13" s="122" t="s">
        <v>153</v>
      </c>
      <c r="J13" s="2"/>
    </row>
    <row r="14" spans="1:10" x14ac:dyDescent="0.2">
      <c r="A14" s="123">
        <v>8</v>
      </c>
      <c r="B14" s="124" t="s">
        <v>11</v>
      </c>
      <c r="C14" s="124" t="s">
        <v>12</v>
      </c>
      <c r="D14" s="124" t="s">
        <v>13</v>
      </c>
      <c r="E14" s="125">
        <v>96021</v>
      </c>
      <c r="F14" s="126">
        <v>3557.2419765</v>
      </c>
      <c r="G14" s="127">
        <v>2.520648E-2</v>
      </c>
      <c r="H14" s="122" t="s">
        <v>153</v>
      </c>
      <c r="J14" s="2"/>
    </row>
    <row r="15" spans="1:10" x14ac:dyDescent="0.2">
      <c r="A15" s="123">
        <v>9</v>
      </c>
      <c r="B15" s="124" t="s">
        <v>479</v>
      </c>
      <c r="C15" s="124" t="s">
        <v>15</v>
      </c>
      <c r="D15" s="124" t="s">
        <v>16</v>
      </c>
      <c r="E15" s="125">
        <v>283000</v>
      </c>
      <c r="F15" s="126">
        <v>3376.8975</v>
      </c>
      <c r="G15" s="127">
        <v>2.3928560000000001E-2</v>
      </c>
      <c r="H15" s="122" t="s">
        <v>153</v>
      </c>
      <c r="J15" s="2"/>
    </row>
    <row r="16" spans="1:10" ht="15" x14ac:dyDescent="0.2">
      <c r="A16" s="123">
        <v>10</v>
      </c>
      <c r="B16" s="124" t="s">
        <v>696</v>
      </c>
      <c r="C16" s="124" t="s">
        <v>697</v>
      </c>
      <c r="D16" s="124" t="s">
        <v>273</v>
      </c>
      <c r="E16" s="125">
        <v>39000</v>
      </c>
      <c r="F16" s="126">
        <v>3248.4659999999999</v>
      </c>
      <c r="G16" s="127">
        <v>2.3018500000000001E-2</v>
      </c>
      <c r="H16" s="122" t="s">
        <v>153</v>
      </c>
      <c r="J16" s="7" t="s">
        <v>1011</v>
      </c>
    </row>
    <row r="17" spans="1:10" x14ac:dyDescent="0.2">
      <c r="A17" s="123">
        <v>11</v>
      </c>
      <c r="B17" s="124" t="s">
        <v>361</v>
      </c>
      <c r="C17" s="124" t="s">
        <v>362</v>
      </c>
      <c r="D17" s="124" t="s">
        <v>273</v>
      </c>
      <c r="E17" s="125">
        <v>288000</v>
      </c>
      <c r="F17" s="126">
        <v>3200.6880000000001</v>
      </c>
      <c r="G17" s="127">
        <v>2.2679950000000001E-2</v>
      </c>
      <c r="H17" s="122" t="s">
        <v>153</v>
      </c>
      <c r="J17" s="2"/>
    </row>
    <row r="18" spans="1:10" x14ac:dyDescent="0.2">
      <c r="A18" s="123">
        <v>12</v>
      </c>
      <c r="B18" s="124" t="s">
        <v>84</v>
      </c>
      <c r="C18" s="124" t="s">
        <v>85</v>
      </c>
      <c r="D18" s="124" t="s">
        <v>86</v>
      </c>
      <c r="E18" s="125">
        <v>63000</v>
      </c>
      <c r="F18" s="126">
        <v>3042.9</v>
      </c>
      <c r="G18" s="127">
        <v>2.156187E-2</v>
      </c>
      <c r="H18" s="122" t="s">
        <v>153</v>
      </c>
      <c r="J18" s="2"/>
    </row>
    <row r="19" spans="1:10" x14ac:dyDescent="0.2">
      <c r="A19" s="123">
        <v>13</v>
      </c>
      <c r="B19" s="124" t="s">
        <v>550</v>
      </c>
      <c r="C19" s="124" t="s">
        <v>551</v>
      </c>
      <c r="D19" s="124" t="s">
        <v>211</v>
      </c>
      <c r="E19" s="125">
        <v>175000</v>
      </c>
      <c r="F19" s="126">
        <v>2863.875</v>
      </c>
      <c r="G19" s="127">
        <v>2.0293309999999998E-2</v>
      </c>
      <c r="H19" s="122" t="s">
        <v>153</v>
      </c>
      <c r="J19" s="2"/>
    </row>
    <row r="20" spans="1:10" x14ac:dyDescent="0.2">
      <c r="A20" s="123">
        <v>14</v>
      </c>
      <c r="B20" s="124" t="s">
        <v>348</v>
      </c>
      <c r="C20" s="124" t="s">
        <v>349</v>
      </c>
      <c r="D20" s="124" t="s">
        <v>211</v>
      </c>
      <c r="E20" s="125">
        <v>61324</v>
      </c>
      <c r="F20" s="126">
        <v>2792.5416500000001</v>
      </c>
      <c r="G20" s="127">
        <v>1.9787840000000001E-2</v>
      </c>
      <c r="H20" s="122" t="s">
        <v>153</v>
      </c>
      <c r="J20" s="2"/>
    </row>
    <row r="21" spans="1:10" x14ac:dyDescent="0.2">
      <c r="A21" s="123">
        <v>15</v>
      </c>
      <c r="B21" s="124" t="s">
        <v>655</v>
      </c>
      <c r="C21" s="124" t="s">
        <v>656</v>
      </c>
      <c r="D21" s="124" t="s">
        <v>89</v>
      </c>
      <c r="E21" s="125">
        <v>32000</v>
      </c>
      <c r="F21" s="126">
        <v>2304.0479999999998</v>
      </c>
      <c r="G21" s="127">
        <v>1.632639E-2</v>
      </c>
      <c r="H21" s="122" t="s">
        <v>153</v>
      </c>
      <c r="J21" s="2"/>
    </row>
    <row r="22" spans="1:10" x14ac:dyDescent="0.2">
      <c r="A22" s="123">
        <v>16</v>
      </c>
      <c r="B22" s="124" t="s">
        <v>467</v>
      </c>
      <c r="C22" s="124" t="s">
        <v>468</v>
      </c>
      <c r="D22" s="124" t="s">
        <v>48</v>
      </c>
      <c r="E22" s="125">
        <v>906000</v>
      </c>
      <c r="F22" s="126">
        <v>2265.9059999999999</v>
      </c>
      <c r="G22" s="127">
        <v>1.605612E-2</v>
      </c>
      <c r="H22" s="122" t="s">
        <v>153</v>
      </c>
      <c r="J22" s="2"/>
    </row>
    <row r="23" spans="1:10" ht="25.5" x14ac:dyDescent="0.2">
      <c r="A23" s="123">
        <v>17</v>
      </c>
      <c r="B23" s="124" t="s">
        <v>23</v>
      </c>
      <c r="C23" s="124" t="s">
        <v>24</v>
      </c>
      <c r="D23" s="124" t="s">
        <v>25</v>
      </c>
      <c r="E23" s="125">
        <v>19000</v>
      </c>
      <c r="F23" s="126">
        <v>2147.3609999999999</v>
      </c>
      <c r="G23" s="127">
        <v>1.521612E-2</v>
      </c>
      <c r="H23" s="122" t="s">
        <v>153</v>
      </c>
      <c r="J23" s="2"/>
    </row>
    <row r="24" spans="1:10" ht="25.5" x14ac:dyDescent="0.2">
      <c r="A24" s="123">
        <v>18</v>
      </c>
      <c r="B24" s="124" t="s">
        <v>281</v>
      </c>
      <c r="C24" s="124" t="s">
        <v>282</v>
      </c>
      <c r="D24" s="124" t="s">
        <v>89</v>
      </c>
      <c r="E24" s="125">
        <v>142000</v>
      </c>
      <c r="F24" s="126">
        <v>2066.9520000000002</v>
      </c>
      <c r="G24" s="127">
        <v>1.4646340000000001E-2</v>
      </c>
      <c r="H24" s="122" t="s">
        <v>153</v>
      </c>
      <c r="J24" s="2"/>
    </row>
    <row r="25" spans="1:10" x14ac:dyDescent="0.2">
      <c r="A25" s="123">
        <v>19</v>
      </c>
      <c r="B25" s="124" t="s">
        <v>234</v>
      </c>
      <c r="C25" s="124" t="s">
        <v>235</v>
      </c>
      <c r="D25" s="124" t="s">
        <v>236</v>
      </c>
      <c r="E25" s="125">
        <v>317000</v>
      </c>
      <c r="F25" s="126">
        <v>2061.451</v>
      </c>
      <c r="G25" s="127">
        <v>1.460736E-2</v>
      </c>
      <c r="H25" s="122" t="s">
        <v>153</v>
      </c>
      <c r="J25" s="2"/>
    </row>
    <row r="26" spans="1:10" x14ac:dyDescent="0.2">
      <c r="A26" s="123">
        <v>20</v>
      </c>
      <c r="B26" s="124" t="s">
        <v>377</v>
      </c>
      <c r="C26" s="124" t="s">
        <v>378</v>
      </c>
      <c r="D26" s="124" t="s">
        <v>374</v>
      </c>
      <c r="E26" s="125">
        <v>73000</v>
      </c>
      <c r="F26" s="126">
        <v>2027.94</v>
      </c>
      <c r="G26" s="127">
        <v>1.43699E-2</v>
      </c>
      <c r="H26" s="122" t="s">
        <v>153</v>
      </c>
      <c r="J26" s="2"/>
    </row>
    <row r="27" spans="1:10" x14ac:dyDescent="0.2">
      <c r="A27" s="123">
        <v>21</v>
      </c>
      <c r="B27" s="124" t="s">
        <v>700</v>
      </c>
      <c r="C27" s="124" t="s">
        <v>701</v>
      </c>
      <c r="D27" s="124" t="s">
        <v>239</v>
      </c>
      <c r="E27" s="125">
        <v>33000</v>
      </c>
      <c r="F27" s="126">
        <v>1977.1289999999999</v>
      </c>
      <c r="G27" s="127">
        <v>1.4009860000000001E-2</v>
      </c>
      <c r="H27" s="122" t="s">
        <v>153</v>
      </c>
      <c r="J27" s="2"/>
    </row>
    <row r="28" spans="1:10" x14ac:dyDescent="0.2">
      <c r="A28" s="123">
        <v>22</v>
      </c>
      <c r="B28" s="124" t="s">
        <v>682</v>
      </c>
      <c r="C28" s="124" t="s">
        <v>683</v>
      </c>
      <c r="D28" s="124" t="s">
        <v>45</v>
      </c>
      <c r="E28" s="125">
        <v>111749</v>
      </c>
      <c r="F28" s="126">
        <v>1904.0912109999999</v>
      </c>
      <c r="G28" s="127">
        <v>1.349232E-2</v>
      </c>
      <c r="H28" s="122" t="s">
        <v>153</v>
      </c>
      <c r="J28" s="2"/>
    </row>
    <row r="29" spans="1:10" x14ac:dyDescent="0.2">
      <c r="A29" s="123">
        <v>23</v>
      </c>
      <c r="B29" s="124" t="s">
        <v>338</v>
      </c>
      <c r="C29" s="124" t="s">
        <v>339</v>
      </c>
      <c r="D29" s="124" t="s">
        <v>273</v>
      </c>
      <c r="E29" s="125">
        <v>15000</v>
      </c>
      <c r="F29" s="126">
        <v>1860.45</v>
      </c>
      <c r="G29" s="127">
        <v>1.318308E-2</v>
      </c>
      <c r="H29" s="122" t="s">
        <v>153</v>
      </c>
      <c r="J29" s="2" t="s">
        <v>1034</v>
      </c>
    </row>
    <row r="30" spans="1:10" x14ac:dyDescent="0.2">
      <c r="A30" s="123">
        <v>24</v>
      </c>
      <c r="B30" s="124" t="s">
        <v>496</v>
      </c>
      <c r="C30" s="124" t="s">
        <v>497</v>
      </c>
      <c r="D30" s="124" t="s">
        <v>89</v>
      </c>
      <c r="E30" s="125">
        <v>187941</v>
      </c>
      <c r="F30" s="126">
        <v>1837.0293045000001</v>
      </c>
      <c r="G30" s="127">
        <v>1.301712E-2</v>
      </c>
      <c r="H30" s="122" t="s">
        <v>153</v>
      </c>
      <c r="J30" s="2"/>
    </row>
    <row r="31" spans="1:10" x14ac:dyDescent="0.2">
      <c r="A31" s="123">
        <v>25</v>
      </c>
      <c r="B31" s="124" t="s">
        <v>132</v>
      </c>
      <c r="C31" s="124" t="s">
        <v>133</v>
      </c>
      <c r="D31" s="124" t="s">
        <v>53</v>
      </c>
      <c r="E31" s="125">
        <v>23000</v>
      </c>
      <c r="F31" s="126">
        <v>1825.2915</v>
      </c>
      <c r="G31" s="127">
        <v>1.293394E-2</v>
      </c>
      <c r="H31" s="122" t="s">
        <v>153</v>
      </c>
      <c r="J31" s="2"/>
    </row>
    <row r="32" spans="1:10" x14ac:dyDescent="0.2">
      <c r="A32" s="123">
        <v>26</v>
      </c>
      <c r="B32" s="124" t="s">
        <v>262</v>
      </c>
      <c r="C32" s="124" t="s">
        <v>263</v>
      </c>
      <c r="D32" s="124" t="s">
        <v>264</v>
      </c>
      <c r="E32" s="125">
        <v>85000</v>
      </c>
      <c r="F32" s="126">
        <v>1742.8824999999999</v>
      </c>
      <c r="G32" s="127">
        <v>1.235E-2</v>
      </c>
      <c r="H32" s="122" t="s">
        <v>153</v>
      </c>
      <c r="J32" s="2"/>
    </row>
    <row r="33" spans="1:10" x14ac:dyDescent="0.2">
      <c r="A33" s="123">
        <v>27</v>
      </c>
      <c r="B33" s="124" t="s">
        <v>244</v>
      </c>
      <c r="C33" s="124" t="s">
        <v>245</v>
      </c>
      <c r="D33" s="124" t="s">
        <v>198</v>
      </c>
      <c r="E33" s="125">
        <v>22000</v>
      </c>
      <c r="F33" s="126">
        <v>1689.336</v>
      </c>
      <c r="G33" s="127">
        <v>1.197057E-2</v>
      </c>
      <c r="H33" s="122" t="s">
        <v>153</v>
      </c>
      <c r="J33" s="2"/>
    </row>
    <row r="34" spans="1:10" ht="25.5" x14ac:dyDescent="0.2">
      <c r="A34" s="123">
        <v>28</v>
      </c>
      <c r="B34" s="124" t="s">
        <v>471</v>
      </c>
      <c r="C34" s="124" t="s">
        <v>472</v>
      </c>
      <c r="D34" s="124" t="s">
        <v>208</v>
      </c>
      <c r="E34" s="125">
        <v>102000</v>
      </c>
      <c r="F34" s="126">
        <v>1687.998</v>
      </c>
      <c r="G34" s="127">
        <v>1.1961090000000001E-2</v>
      </c>
      <c r="H34" s="122" t="s">
        <v>153</v>
      </c>
      <c r="J34" s="2"/>
    </row>
    <row r="35" spans="1:10" x14ac:dyDescent="0.2">
      <c r="A35" s="123">
        <v>29</v>
      </c>
      <c r="B35" s="124" t="s">
        <v>14</v>
      </c>
      <c r="C35" s="124" t="s">
        <v>15</v>
      </c>
      <c r="D35" s="124" t="s">
        <v>16</v>
      </c>
      <c r="E35" s="125">
        <v>105000</v>
      </c>
      <c r="F35" s="126">
        <v>1668.5025000000001</v>
      </c>
      <c r="G35" s="127">
        <v>1.1822940000000001E-2</v>
      </c>
      <c r="H35" s="122" t="s">
        <v>153</v>
      </c>
      <c r="J35" s="2"/>
    </row>
    <row r="36" spans="1:10" x14ac:dyDescent="0.2">
      <c r="A36" s="123">
        <v>30</v>
      </c>
      <c r="B36" s="124" t="s">
        <v>680</v>
      </c>
      <c r="C36" s="124" t="s">
        <v>681</v>
      </c>
      <c r="D36" s="124" t="s">
        <v>38</v>
      </c>
      <c r="E36" s="125">
        <v>225000</v>
      </c>
      <c r="F36" s="126">
        <v>1667.25</v>
      </c>
      <c r="G36" s="127">
        <v>1.1814069999999999E-2</v>
      </c>
      <c r="H36" s="122" t="s">
        <v>153</v>
      </c>
      <c r="J36" s="2"/>
    </row>
    <row r="37" spans="1:10" ht="25.5" x14ac:dyDescent="0.2">
      <c r="A37" s="123">
        <v>31</v>
      </c>
      <c r="B37" s="124" t="s">
        <v>370</v>
      </c>
      <c r="C37" s="124" t="s">
        <v>371</v>
      </c>
      <c r="D37" s="124" t="s">
        <v>208</v>
      </c>
      <c r="E37" s="125">
        <v>104000</v>
      </c>
      <c r="F37" s="126">
        <v>1632.1759999999999</v>
      </c>
      <c r="G37" s="127">
        <v>1.1565539999999999E-2</v>
      </c>
      <c r="H37" s="122" t="s">
        <v>153</v>
      </c>
      <c r="J37" s="2"/>
    </row>
    <row r="38" spans="1:10" x14ac:dyDescent="0.2">
      <c r="A38" s="123">
        <v>32</v>
      </c>
      <c r="B38" s="124" t="s">
        <v>346</v>
      </c>
      <c r="C38" s="124" t="s">
        <v>347</v>
      </c>
      <c r="D38" s="124" t="s">
        <v>198</v>
      </c>
      <c r="E38" s="125">
        <v>619890</v>
      </c>
      <c r="F38" s="126">
        <v>1553.010417</v>
      </c>
      <c r="G38" s="127">
        <v>1.100457E-2</v>
      </c>
      <c r="H38" s="122" t="s">
        <v>153</v>
      </c>
      <c r="J38" s="2"/>
    </row>
    <row r="39" spans="1:10" x14ac:dyDescent="0.2">
      <c r="A39" s="123">
        <v>33</v>
      </c>
      <c r="B39" s="124" t="s">
        <v>41</v>
      </c>
      <c r="C39" s="124" t="s">
        <v>42</v>
      </c>
      <c r="D39" s="124" t="s">
        <v>16</v>
      </c>
      <c r="E39" s="125">
        <v>124000</v>
      </c>
      <c r="F39" s="126">
        <v>1552.5419999999999</v>
      </c>
      <c r="G39" s="127">
        <v>1.1001250000000001E-2</v>
      </c>
      <c r="H39" s="122" t="s">
        <v>153</v>
      </c>
      <c r="J39" s="2"/>
    </row>
    <row r="40" spans="1:10" x14ac:dyDescent="0.2">
      <c r="A40" s="123">
        <v>34</v>
      </c>
      <c r="B40" s="124" t="s">
        <v>722</v>
      </c>
      <c r="C40" s="124" t="s">
        <v>723</v>
      </c>
      <c r="D40" s="124" t="s">
        <v>198</v>
      </c>
      <c r="E40" s="125">
        <v>30000</v>
      </c>
      <c r="F40" s="126">
        <v>1478.2349999999999</v>
      </c>
      <c r="G40" s="127">
        <v>1.047472E-2</v>
      </c>
      <c r="H40" s="122" t="s">
        <v>153</v>
      </c>
      <c r="J40" s="2"/>
    </row>
    <row r="41" spans="1:10" x14ac:dyDescent="0.2">
      <c r="A41" s="123">
        <v>35</v>
      </c>
      <c r="B41" s="124" t="s">
        <v>356</v>
      </c>
      <c r="C41" s="124" t="s">
        <v>357</v>
      </c>
      <c r="D41" s="124" t="s">
        <v>48</v>
      </c>
      <c r="E41" s="125">
        <v>83000</v>
      </c>
      <c r="F41" s="126">
        <v>1478.0640000000001</v>
      </c>
      <c r="G41" s="127">
        <v>1.04735E-2</v>
      </c>
      <c r="H41" s="122" t="s">
        <v>153</v>
      </c>
      <c r="J41" s="2"/>
    </row>
    <row r="42" spans="1:10" x14ac:dyDescent="0.2">
      <c r="A42" s="123">
        <v>36</v>
      </c>
      <c r="B42" s="124" t="s">
        <v>394</v>
      </c>
      <c r="C42" s="124" t="s">
        <v>395</v>
      </c>
      <c r="D42" s="124" t="s">
        <v>45</v>
      </c>
      <c r="E42" s="125">
        <v>40000</v>
      </c>
      <c r="F42" s="126">
        <v>1426.06</v>
      </c>
      <c r="G42" s="127">
        <v>1.0105009999999999E-2</v>
      </c>
      <c r="H42" s="122" t="s">
        <v>153</v>
      </c>
      <c r="J42" s="2"/>
    </row>
    <row r="43" spans="1:10" x14ac:dyDescent="0.2">
      <c r="A43" s="123">
        <v>37</v>
      </c>
      <c r="B43" s="124" t="s">
        <v>201</v>
      </c>
      <c r="C43" s="124" t="s">
        <v>202</v>
      </c>
      <c r="D43" s="124" t="s">
        <v>48</v>
      </c>
      <c r="E43" s="125">
        <v>722000</v>
      </c>
      <c r="F43" s="126">
        <v>1405.7339999999999</v>
      </c>
      <c r="G43" s="127">
        <v>9.9609799999999995E-3</v>
      </c>
      <c r="H43" s="122" t="s">
        <v>153</v>
      </c>
      <c r="J43" s="2"/>
    </row>
    <row r="44" spans="1:10" x14ac:dyDescent="0.2">
      <c r="A44" s="123">
        <v>38</v>
      </c>
      <c r="B44" s="124" t="s">
        <v>363</v>
      </c>
      <c r="C44" s="124" t="s">
        <v>364</v>
      </c>
      <c r="D44" s="124" t="s">
        <v>239</v>
      </c>
      <c r="E44" s="125">
        <v>27000</v>
      </c>
      <c r="F44" s="126">
        <v>1399.356</v>
      </c>
      <c r="G44" s="127">
        <v>9.9157800000000008E-3</v>
      </c>
      <c r="H44" s="122" t="s">
        <v>153</v>
      </c>
      <c r="J44" s="2"/>
    </row>
    <row r="45" spans="1:10" x14ac:dyDescent="0.2">
      <c r="A45" s="123">
        <v>39</v>
      </c>
      <c r="B45" s="124" t="s">
        <v>58</v>
      </c>
      <c r="C45" s="124" t="s">
        <v>59</v>
      </c>
      <c r="D45" s="124" t="s">
        <v>35</v>
      </c>
      <c r="E45" s="125">
        <v>100000</v>
      </c>
      <c r="F45" s="126">
        <v>1334.35</v>
      </c>
      <c r="G45" s="127">
        <v>9.4551500000000007E-3</v>
      </c>
      <c r="H45" s="122" t="s">
        <v>153</v>
      </c>
      <c r="J45" s="2"/>
    </row>
    <row r="46" spans="1:10" ht="25.5" x14ac:dyDescent="0.2">
      <c r="A46" s="123">
        <v>40</v>
      </c>
      <c r="B46" s="124" t="s">
        <v>698</v>
      </c>
      <c r="C46" s="124" t="s">
        <v>699</v>
      </c>
      <c r="D46" s="124" t="s">
        <v>208</v>
      </c>
      <c r="E46" s="125">
        <v>53410</v>
      </c>
      <c r="F46" s="126">
        <v>1328.707275</v>
      </c>
      <c r="G46" s="127">
        <v>9.4151700000000005E-3</v>
      </c>
      <c r="H46" s="122" t="s">
        <v>153</v>
      </c>
      <c r="J46" s="2"/>
    </row>
    <row r="47" spans="1:10" ht="25.5" x14ac:dyDescent="0.2">
      <c r="A47" s="123">
        <v>41</v>
      </c>
      <c r="B47" s="124" t="s">
        <v>368</v>
      </c>
      <c r="C47" s="124" t="s">
        <v>369</v>
      </c>
      <c r="D47" s="124" t="s">
        <v>208</v>
      </c>
      <c r="E47" s="125">
        <v>18000</v>
      </c>
      <c r="F47" s="126">
        <v>1265.643</v>
      </c>
      <c r="G47" s="127">
        <v>8.9683000000000002E-3</v>
      </c>
      <c r="H47" s="122" t="s">
        <v>153</v>
      </c>
      <c r="J47" s="2"/>
    </row>
    <row r="48" spans="1:10" x14ac:dyDescent="0.2">
      <c r="A48" s="123">
        <v>42</v>
      </c>
      <c r="B48" s="124" t="s">
        <v>253</v>
      </c>
      <c r="C48" s="124" t="s">
        <v>254</v>
      </c>
      <c r="D48" s="124" t="s">
        <v>255</v>
      </c>
      <c r="E48" s="125">
        <v>117000</v>
      </c>
      <c r="F48" s="126">
        <v>1257.5744999999999</v>
      </c>
      <c r="G48" s="127">
        <v>8.9111199999999998E-3</v>
      </c>
      <c r="H48" s="122" t="s">
        <v>153</v>
      </c>
      <c r="J48" s="2"/>
    </row>
    <row r="49" spans="1:10" ht="25.5" x14ac:dyDescent="0.2">
      <c r="A49" s="123">
        <v>43</v>
      </c>
      <c r="B49" s="124" t="s">
        <v>473</v>
      </c>
      <c r="C49" s="124" t="s">
        <v>474</v>
      </c>
      <c r="D49" s="124" t="s">
        <v>315</v>
      </c>
      <c r="E49" s="125">
        <v>96522</v>
      </c>
      <c r="F49" s="126">
        <v>1158.4087830000001</v>
      </c>
      <c r="G49" s="127">
        <v>8.2084399999999991E-3</v>
      </c>
      <c r="H49" s="122" t="s">
        <v>153</v>
      </c>
      <c r="J49" s="2"/>
    </row>
    <row r="50" spans="1:10" ht="25.5" x14ac:dyDescent="0.2">
      <c r="A50" s="123">
        <v>44</v>
      </c>
      <c r="B50" s="124" t="s">
        <v>771</v>
      </c>
      <c r="C50" s="124" t="s">
        <v>772</v>
      </c>
      <c r="D50" s="124" t="s">
        <v>250</v>
      </c>
      <c r="E50" s="125">
        <v>36000</v>
      </c>
      <c r="F50" s="126">
        <v>1124.3879999999999</v>
      </c>
      <c r="G50" s="127">
        <v>7.9673699999999997E-3</v>
      </c>
      <c r="H50" s="122" t="s">
        <v>153</v>
      </c>
      <c r="J50" s="2"/>
    </row>
    <row r="51" spans="1:10" ht="25.5" x14ac:dyDescent="0.2">
      <c r="A51" s="123">
        <v>45</v>
      </c>
      <c r="B51" s="124" t="s">
        <v>792</v>
      </c>
      <c r="C51" s="124" t="s">
        <v>793</v>
      </c>
      <c r="D51" s="124" t="s">
        <v>208</v>
      </c>
      <c r="E51" s="125">
        <v>79880</v>
      </c>
      <c r="F51" s="126">
        <v>1106.0584200000001</v>
      </c>
      <c r="G51" s="127">
        <v>7.8374900000000008E-3</v>
      </c>
      <c r="H51" s="122" t="s">
        <v>153</v>
      </c>
      <c r="J51" s="2"/>
    </row>
    <row r="52" spans="1:10" ht="38.25" x14ac:dyDescent="0.2">
      <c r="A52" s="123">
        <v>46</v>
      </c>
      <c r="B52" s="124" t="s">
        <v>794</v>
      </c>
      <c r="C52" s="124" t="s">
        <v>795</v>
      </c>
      <c r="D52" s="124" t="s">
        <v>393</v>
      </c>
      <c r="E52" s="125">
        <v>29000</v>
      </c>
      <c r="F52" s="126">
        <v>1101.5070000000001</v>
      </c>
      <c r="G52" s="127">
        <v>7.8052399999999997E-3</v>
      </c>
      <c r="H52" s="122" t="s">
        <v>153</v>
      </c>
      <c r="J52" s="2"/>
    </row>
    <row r="53" spans="1:10" x14ac:dyDescent="0.2">
      <c r="A53" s="123">
        <v>47</v>
      </c>
      <c r="B53" s="124" t="s">
        <v>383</v>
      </c>
      <c r="C53" s="124" t="s">
        <v>384</v>
      </c>
      <c r="D53" s="124" t="s">
        <v>136</v>
      </c>
      <c r="E53" s="125">
        <v>690000</v>
      </c>
      <c r="F53" s="126">
        <v>1054.0440000000001</v>
      </c>
      <c r="G53" s="127">
        <v>7.4689200000000004E-3</v>
      </c>
      <c r="H53" s="122" t="s">
        <v>153</v>
      </c>
      <c r="J53" s="2"/>
    </row>
    <row r="54" spans="1:10" x14ac:dyDescent="0.2">
      <c r="A54" s="123">
        <v>48</v>
      </c>
      <c r="B54" s="124" t="s">
        <v>64</v>
      </c>
      <c r="C54" s="124" t="s">
        <v>65</v>
      </c>
      <c r="D54" s="124" t="s">
        <v>66</v>
      </c>
      <c r="E54" s="125">
        <v>414000</v>
      </c>
      <c r="F54" s="126">
        <v>984.03660000000002</v>
      </c>
      <c r="G54" s="127">
        <v>6.9728500000000001E-3</v>
      </c>
      <c r="H54" s="122" t="s">
        <v>153</v>
      </c>
      <c r="J54" s="2"/>
    </row>
    <row r="55" spans="1:10" x14ac:dyDescent="0.2">
      <c r="A55" s="123">
        <v>49</v>
      </c>
      <c r="B55" s="124" t="s">
        <v>381</v>
      </c>
      <c r="C55" s="124" t="s">
        <v>382</v>
      </c>
      <c r="D55" s="124" t="s">
        <v>32</v>
      </c>
      <c r="E55" s="125">
        <v>20800</v>
      </c>
      <c r="F55" s="126">
        <v>973.42960000000005</v>
      </c>
      <c r="G55" s="127">
        <v>6.8976799999999998E-3</v>
      </c>
      <c r="H55" s="122" t="s">
        <v>153</v>
      </c>
      <c r="J55" s="2"/>
    </row>
    <row r="56" spans="1:10" x14ac:dyDescent="0.2">
      <c r="A56" s="123">
        <v>50</v>
      </c>
      <c r="B56" s="124" t="s">
        <v>128</v>
      </c>
      <c r="C56" s="124" t="s">
        <v>129</v>
      </c>
      <c r="D56" s="124" t="s">
        <v>86</v>
      </c>
      <c r="E56" s="125">
        <v>231000</v>
      </c>
      <c r="F56" s="126">
        <v>968.58299999999997</v>
      </c>
      <c r="G56" s="127">
        <v>6.8633399999999999E-3</v>
      </c>
      <c r="H56" s="122" t="s">
        <v>153</v>
      </c>
      <c r="J56" s="2"/>
    </row>
    <row r="57" spans="1:10" x14ac:dyDescent="0.2">
      <c r="A57" s="123">
        <v>51</v>
      </c>
      <c r="B57" s="124" t="s">
        <v>796</v>
      </c>
      <c r="C57" s="124" t="s">
        <v>797</v>
      </c>
      <c r="D57" s="124" t="s">
        <v>45</v>
      </c>
      <c r="E57" s="125">
        <v>65000</v>
      </c>
      <c r="F57" s="126">
        <v>944.22249999999997</v>
      </c>
      <c r="G57" s="127">
        <v>6.6907199999999998E-3</v>
      </c>
      <c r="H57" s="122" t="s">
        <v>153</v>
      </c>
      <c r="J57" s="2"/>
    </row>
    <row r="58" spans="1:10" x14ac:dyDescent="0.2">
      <c r="A58" s="123">
        <v>52</v>
      </c>
      <c r="B58" s="124" t="s">
        <v>110</v>
      </c>
      <c r="C58" s="124" t="s">
        <v>111</v>
      </c>
      <c r="D58" s="124" t="s">
        <v>35</v>
      </c>
      <c r="E58" s="125">
        <v>25000</v>
      </c>
      <c r="F58" s="126">
        <v>936.17499999999995</v>
      </c>
      <c r="G58" s="127">
        <v>6.6337000000000002E-3</v>
      </c>
      <c r="H58" s="122" t="s">
        <v>153</v>
      </c>
      <c r="J58" s="2"/>
    </row>
    <row r="59" spans="1:10" x14ac:dyDescent="0.2">
      <c r="A59" s="123">
        <v>53</v>
      </c>
      <c r="B59" s="124" t="s">
        <v>477</v>
      </c>
      <c r="C59" s="124" t="s">
        <v>478</v>
      </c>
      <c r="D59" s="124" t="s">
        <v>48</v>
      </c>
      <c r="E59" s="125">
        <v>60000</v>
      </c>
      <c r="F59" s="126">
        <v>855.15</v>
      </c>
      <c r="G59" s="127">
        <v>6.0595600000000003E-3</v>
      </c>
      <c r="H59" s="122" t="s">
        <v>153</v>
      </c>
      <c r="J59" s="2"/>
    </row>
    <row r="60" spans="1:10" x14ac:dyDescent="0.2">
      <c r="A60" s="123">
        <v>54</v>
      </c>
      <c r="B60" s="124" t="s">
        <v>112</v>
      </c>
      <c r="C60" s="124" t="s">
        <v>113</v>
      </c>
      <c r="D60" s="124" t="s">
        <v>13</v>
      </c>
      <c r="E60" s="125">
        <v>126172</v>
      </c>
      <c r="F60" s="126">
        <v>849.389904</v>
      </c>
      <c r="G60" s="127">
        <v>6.0187399999999999E-3</v>
      </c>
      <c r="H60" s="122" t="s">
        <v>153</v>
      </c>
      <c r="J60" s="2"/>
    </row>
    <row r="61" spans="1:10" x14ac:dyDescent="0.2">
      <c r="A61" s="123">
        <v>55</v>
      </c>
      <c r="B61" s="124" t="s">
        <v>684</v>
      </c>
      <c r="C61" s="124" t="s">
        <v>685</v>
      </c>
      <c r="D61" s="124" t="s">
        <v>278</v>
      </c>
      <c r="E61" s="125">
        <v>14000</v>
      </c>
      <c r="F61" s="126">
        <v>819.73500000000001</v>
      </c>
      <c r="G61" s="127">
        <v>5.8086099999999996E-3</v>
      </c>
      <c r="H61" s="122" t="s">
        <v>153</v>
      </c>
      <c r="J61" s="2"/>
    </row>
    <row r="62" spans="1:10" x14ac:dyDescent="0.2">
      <c r="A62" s="123">
        <v>56</v>
      </c>
      <c r="B62" s="124" t="s">
        <v>267</v>
      </c>
      <c r="C62" s="124" t="s">
        <v>268</v>
      </c>
      <c r="D62" s="124" t="s">
        <v>35</v>
      </c>
      <c r="E62" s="125">
        <v>12000</v>
      </c>
      <c r="F62" s="126">
        <v>817.60799999999995</v>
      </c>
      <c r="G62" s="127">
        <v>5.7935399999999998E-3</v>
      </c>
      <c r="H62" s="122" t="s">
        <v>153</v>
      </c>
      <c r="J62" s="2"/>
    </row>
    <row r="63" spans="1:10" ht="25.5" x14ac:dyDescent="0.2">
      <c r="A63" s="123">
        <v>57</v>
      </c>
      <c r="B63" s="124" t="s">
        <v>798</v>
      </c>
      <c r="C63" s="124" t="s">
        <v>799</v>
      </c>
      <c r="D63" s="124" t="s">
        <v>208</v>
      </c>
      <c r="E63" s="125">
        <v>75951</v>
      </c>
      <c r="F63" s="126">
        <v>815.3719605</v>
      </c>
      <c r="G63" s="127">
        <v>5.7776900000000003E-3</v>
      </c>
      <c r="H63" s="122" t="s">
        <v>153</v>
      </c>
      <c r="J63" s="2"/>
    </row>
    <row r="64" spans="1:10" x14ac:dyDescent="0.2">
      <c r="A64" s="123">
        <v>58</v>
      </c>
      <c r="B64" s="124" t="s">
        <v>372</v>
      </c>
      <c r="C64" s="124" t="s">
        <v>373</v>
      </c>
      <c r="D64" s="124" t="s">
        <v>374</v>
      </c>
      <c r="E64" s="125">
        <v>159000</v>
      </c>
      <c r="F64" s="126">
        <v>798.02099999999996</v>
      </c>
      <c r="G64" s="127">
        <v>5.6547500000000001E-3</v>
      </c>
      <c r="H64" s="122" t="s">
        <v>153</v>
      </c>
      <c r="J64" s="2"/>
    </row>
    <row r="65" spans="1:10" x14ac:dyDescent="0.2">
      <c r="A65" s="123">
        <v>59</v>
      </c>
      <c r="B65" s="124" t="s">
        <v>544</v>
      </c>
      <c r="C65" s="124" t="s">
        <v>545</v>
      </c>
      <c r="D65" s="124" t="s">
        <v>264</v>
      </c>
      <c r="E65" s="125">
        <v>52000</v>
      </c>
      <c r="F65" s="126">
        <v>766.66200000000003</v>
      </c>
      <c r="G65" s="127">
        <v>5.4325399999999996E-3</v>
      </c>
      <c r="H65" s="122" t="s">
        <v>153</v>
      </c>
      <c r="J65" s="2"/>
    </row>
    <row r="66" spans="1:10" x14ac:dyDescent="0.2">
      <c r="A66" s="123">
        <v>60</v>
      </c>
      <c r="B66" s="124" t="s">
        <v>232</v>
      </c>
      <c r="C66" s="124" t="s">
        <v>233</v>
      </c>
      <c r="D66" s="124" t="s">
        <v>22</v>
      </c>
      <c r="E66" s="125">
        <v>180000</v>
      </c>
      <c r="F66" s="126">
        <v>754.29</v>
      </c>
      <c r="G66" s="127">
        <v>5.3448699999999998E-3</v>
      </c>
      <c r="H66" s="122" t="s">
        <v>153</v>
      </c>
      <c r="J66" s="2"/>
    </row>
    <row r="67" spans="1:10" ht="25.5" x14ac:dyDescent="0.2">
      <c r="A67" s="123">
        <v>61</v>
      </c>
      <c r="B67" s="124" t="s">
        <v>707</v>
      </c>
      <c r="C67" s="124" t="s">
        <v>708</v>
      </c>
      <c r="D67" s="124" t="s">
        <v>250</v>
      </c>
      <c r="E67" s="125">
        <v>50000</v>
      </c>
      <c r="F67" s="126">
        <v>746.75</v>
      </c>
      <c r="G67" s="127">
        <v>5.2914399999999997E-3</v>
      </c>
      <c r="H67" s="122" t="s">
        <v>153</v>
      </c>
      <c r="J67" s="2"/>
    </row>
    <row r="68" spans="1:10" x14ac:dyDescent="0.2">
      <c r="A68" s="123">
        <v>62</v>
      </c>
      <c r="B68" s="124" t="s">
        <v>330</v>
      </c>
      <c r="C68" s="124" t="s">
        <v>331</v>
      </c>
      <c r="D68" s="124" t="s">
        <v>255</v>
      </c>
      <c r="E68" s="125">
        <v>99000</v>
      </c>
      <c r="F68" s="126">
        <v>745.61850000000004</v>
      </c>
      <c r="G68" s="127">
        <v>5.2834199999999996E-3</v>
      </c>
      <c r="H68" s="122" t="s">
        <v>153</v>
      </c>
      <c r="J68" s="2"/>
    </row>
    <row r="69" spans="1:10" x14ac:dyDescent="0.2">
      <c r="A69" s="123">
        <v>63</v>
      </c>
      <c r="B69" s="124" t="s">
        <v>126</v>
      </c>
      <c r="C69" s="124" t="s">
        <v>127</v>
      </c>
      <c r="D69" s="124" t="s">
        <v>74</v>
      </c>
      <c r="E69" s="125">
        <v>18000</v>
      </c>
      <c r="F69" s="126">
        <v>709.49699999999996</v>
      </c>
      <c r="G69" s="127">
        <v>5.02747E-3</v>
      </c>
      <c r="H69" s="122" t="s">
        <v>153</v>
      </c>
      <c r="J69" s="2"/>
    </row>
    <row r="70" spans="1:10" x14ac:dyDescent="0.2">
      <c r="A70" s="123">
        <v>64</v>
      </c>
      <c r="B70" s="124" t="s">
        <v>90</v>
      </c>
      <c r="C70" s="124" t="s">
        <v>91</v>
      </c>
      <c r="D70" s="124" t="s">
        <v>92</v>
      </c>
      <c r="E70" s="125">
        <v>47000</v>
      </c>
      <c r="F70" s="126">
        <v>696.49300000000005</v>
      </c>
      <c r="G70" s="127">
        <v>4.93532E-3</v>
      </c>
      <c r="H70" s="122" t="s">
        <v>153</v>
      </c>
      <c r="J70" s="2"/>
    </row>
    <row r="71" spans="1:10" x14ac:dyDescent="0.2">
      <c r="A71" s="123">
        <v>65</v>
      </c>
      <c r="B71" s="124" t="s">
        <v>709</v>
      </c>
      <c r="C71" s="124" t="s">
        <v>710</v>
      </c>
      <c r="D71" s="124" t="s">
        <v>211</v>
      </c>
      <c r="E71" s="125">
        <v>33000</v>
      </c>
      <c r="F71" s="126">
        <v>690.49199999999996</v>
      </c>
      <c r="G71" s="127">
        <v>4.8928000000000001E-3</v>
      </c>
      <c r="H71" s="122" t="s">
        <v>153</v>
      </c>
      <c r="J71" s="2"/>
    </row>
    <row r="72" spans="1:10" x14ac:dyDescent="0.2">
      <c r="A72" s="123">
        <v>66</v>
      </c>
      <c r="B72" s="124" t="s">
        <v>219</v>
      </c>
      <c r="C72" s="124" t="s">
        <v>220</v>
      </c>
      <c r="D72" s="124" t="s">
        <v>71</v>
      </c>
      <c r="E72" s="125">
        <v>38000</v>
      </c>
      <c r="F72" s="126">
        <v>673.49300000000005</v>
      </c>
      <c r="G72" s="127">
        <v>4.7723499999999999E-3</v>
      </c>
      <c r="H72" s="122" t="s">
        <v>153</v>
      </c>
      <c r="J72" s="2"/>
    </row>
    <row r="73" spans="1:10" x14ac:dyDescent="0.2">
      <c r="A73" s="123">
        <v>67</v>
      </c>
      <c r="B73" s="124" t="s">
        <v>800</v>
      </c>
      <c r="C73" s="124" t="s">
        <v>801</v>
      </c>
      <c r="D73" s="124" t="s">
        <v>278</v>
      </c>
      <c r="E73" s="125">
        <v>29000</v>
      </c>
      <c r="F73" s="126">
        <v>665.62249999999995</v>
      </c>
      <c r="G73" s="127">
        <v>4.7165799999999997E-3</v>
      </c>
      <c r="H73" s="122" t="s">
        <v>153</v>
      </c>
      <c r="J73" s="2"/>
    </row>
    <row r="74" spans="1:10" x14ac:dyDescent="0.2">
      <c r="A74" s="123">
        <v>68</v>
      </c>
      <c r="B74" s="124" t="s">
        <v>287</v>
      </c>
      <c r="C74" s="124" t="s">
        <v>288</v>
      </c>
      <c r="D74" s="124" t="s">
        <v>211</v>
      </c>
      <c r="E74" s="125">
        <v>9000</v>
      </c>
      <c r="F74" s="126">
        <v>570.96450000000004</v>
      </c>
      <c r="G74" s="127">
        <v>4.0458300000000003E-3</v>
      </c>
      <c r="H74" s="122" t="s">
        <v>153</v>
      </c>
      <c r="J74" s="2"/>
    </row>
    <row r="75" spans="1:10" x14ac:dyDescent="0.2">
      <c r="A75" s="123">
        <v>69</v>
      </c>
      <c r="B75" s="124" t="s">
        <v>309</v>
      </c>
      <c r="C75" s="124" t="s">
        <v>310</v>
      </c>
      <c r="D75" s="124" t="s">
        <v>45</v>
      </c>
      <c r="E75" s="125">
        <v>39880</v>
      </c>
      <c r="F75" s="126">
        <v>538.71897999999999</v>
      </c>
      <c r="G75" s="127">
        <v>3.8173399999999998E-3</v>
      </c>
      <c r="H75" s="122" t="s">
        <v>153</v>
      </c>
      <c r="J75" s="2"/>
    </row>
    <row r="76" spans="1:10" x14ac:dyDescent="0.2">
      <c r="A76" s="123">
        <v>70</v>
      </c>
      <c r="B76" s="124" t="s">
        <v>411</v>
      </c>
      <c r="C76" s="124" t="s">
        <v>412</v>
      </c>
      <c r="D76" s="124" t="s">
        <v>236</v>
      </c>
      <c r="E76" s="125">
        <v>26000</v>
      </c>
      <c r="F76" s="126">
        <v>433.589</v>
      </c>
      <c r="G76" s="127">
        <v>3.0723999999999999E-3</v>
      </c>
      <c r="H76" s="122" t="s">
        <v>153</v>
      </c>
      <c r="J76" s="2"/>
    </row>
    <row r="77" spans="1:10" ht="25.5" x14ac:dyDescent="0.2">
      <c r="A77" s="123">
        <v>71</v>
      </c>
      <c r="B77" s="124" t="s">
        <v>305</v>
      </c>
      <c r="C77" s="124" t="s">
        <v>306</v>
      </c>
      <c r="D77" s="124" t="s">
        <v>25</v>
      </c>
      <c r="E77" s="125">
        <v>21069</v>
      </c>
      <c r="F77" s="126">
        <v>398.42532449999999</v>
      </c>
      <c r="G77" s="127">
        <v>2.8232299999999999E-3</v>
      </c>
      <c r="H77" s="122" t="s">
        <v>153</v>
      </c>
      <c r="J77" s="2"/>
    </row>
    <row r="78" spans="1:10" ht="25.5" x14ac:dyDescent="0.2">
      <c r="A78" s="123">
        <v>72</v>
      </c>
      <c r="B78" s="124" t="s">
        <v>324</v>
      </c>
      <c r="C78" s="124" t="s">
        <v>325</v>
      </c>
      <c r="D78" s="124" t="s">
        <v>250</v>
      </c>
      <c r="E78" s="125">
        <v>7000</v>
      </c>
      <c r="F78" s="126">
        <v>230.88800000000001</v>
      </c>
      <c r="G78" s="127">
        <v>1.6360599999999999E-3</v>
      </c>
      <c r="H78" s="122" t="s">
        <v>153</v>
      </c>
      <c r="J78" s="2"/>
    </row>
    <row r="79" spans="1:10" x14ac:dyDescent="0.2">
      <c r="A79" s="120"/>
      <c r="B79" s="120"/>
      <c r="C79" s="121" t="s">
        <v>152</v>
      </c>
      <c r="D79" s="120"/>
      <c r="E79" s="120" t="s">
        <v>153</v>
      </c>
      <c r="F79" s="128">
        <f>SUM(F7:F78)</f>
        <v>136754.62181900002</v>
      </c>
      <c r="G79" s="129">
        <f>SUM(G7:G78)</f>
        <v>0.96903795000000026</v>
      </c>
      <c r="H79" s="122" t="s">
        <v>153</v>
      </c>
      <c r="J79" s="2"/>
    </row>
    <row r="80" spans="1:10" x14ac:dyDescent="0.2">
      <c r="A80" s="120"/>
      <c r="B80" s="120"/>
      <c r="C80" s="130"/>
      <c r="D80" s="120"/>
      <c r="E80" s="120"/>
      <c r="F80" s="131"/>
      <c r="G80" s="131"/>
      <c r="H80" s="122" t="s">
        <v>153</v>
      </c>
      <c r="J80" s="2"/>
    </row>
    <row r="81" spans="1:10" x14ac:dyDescent="0.2">
      <c r="A81" s="120"/>
      <c r="B81" s="120"/>
      <c r="C81" s="121" t="s">
        <v>154</v>
      </c>
      <c r="D81" s="120"/>
      <c r="E81" s="120"/>
      <c r="F81" s="120"/>
      <c r="G81" s="120"/>
      <c r="H81" s="122" t="s">
        <v>153</v>
      </c>
      <c r="J81" s="2"/>
    </row>
    <row r="82" spans="1:10" x14ac:dyDescent="0.2">
      <c r="A82" s="120"/>
      <c r="B82" s="120"/>
      <c r="C82" s="121" t="s">
        <v>152</v>
      </c>
      <c r="D82" s="120"/>
      <c r="E82" s="120" t="s">
        <v>153</v>
      </c>
      <c r="F82" s="132" t="s">
        <v>155</v>
      </c>
      <c r="G82" s="129">
        <v>0</v>
      </c>
      <c r="H82" s="122" t="s">
        <v>153</v>
      </c>
      <c r="J82" s="2"/>
    </row>
    <row r="83" spans="1:10" x14ac:dyDescent="0.2">
      <c r="A83" s="120"/>
      <c r="B83" s="120"/>
      <c r="C83" s="130"/>
      <c r="D83" s="120"/>
      <c r="E83" s="120"/>
      <c r="F83" s="131"/>
      <c r="G83" s="131"/>
      <c r="H83" s="122" t="s">
        <v>153</v>
      </c>
      <c r="J83" s="2"/>
    </row>
    <row r="84" spans="1:10" x14ac:dyDescent="0.2">
      <c r="A84" s="120"/>
      <c r="B84" s="120"/>
      <c r="C84" s="121" t="s">
        <v>156</v>
      </c>
      <c r="D84" s="120"/>
      <c r="E84" s="120"/>
      <c r="F84" s="120"/>
      <c r="G84" s="120"/>
      <c r="H84" s="122" t="s">
        <v>153</v>
      </c>
      <c r="J84" s="2"/>
    </row>
    <row r="85" spans="1:10" x14ac:dyDescent="0.2">
      <c r="A85" s="123">
        <v>1</v>
      </c>
      <c r="B85" s="124" t="s">
        <v>554</v>
      </c>
      <c r="C85" s="124" t="s">
        <v>1071</v>
      </c>
      <c r="D85" s="124" t="s">
        <v>236</v>
      </c>
      <c r="E85" s="125">
        <v>374002</v>
      </c>
      <c r="F85" s="126">
        <v>16.0446858</v>
      </c>
      <c r="G85" s="127">
        <v>1.1369E-4</v>
      </c>
      <c r="H85" s="122" t="s">
        <v>153</v>
      </c>
      <c r="J85" s="2"/>
    </row>
    <row r="86" spans="1:10" x14ac:dyDescent="0.2">
      <c r="A86" s="123">
        <v>2</v>
      </c>
      <c r="B86" s="124" t="s">
        <v>736</v>
      </c>
      <c r="C86" s="124" t="s">
        <v>1078</v>
      </c>
      <c r="D86" s="124"/>
      <c r="E86" s="125">
        <v>200000</v>
      </c>
      <c r="F86" s="126">
        <v>1.9999999999999999E-6</v>
      </c>
      <c r="G86" s="133" t="s">
        <v>151</v>
      </c>
      <c r="H86" s="122" t="s">
        <v>153</v>
      </c>
      <c r="J86" s="2"/>
    </row>
    <row r="87" spans="1:10" x14ac:dyDescent="0.2">
      <c r="A87" s="120"/>
      <c r="B87" s="120"/>
      <c r="C87" s="121" t="s">
        <v>152</v>
      </c>
      <c r="D87" s="120"/>
      <c r="E87" s="120" t="s">
        <v>153</v>
      </c>
      <c r="F87" s="128">
        <f>SUM(F85:F86)</f>
        <v>16.044687799999998</v>
      </c>
      <c r="G87" s="129">
        <f>SUM(G85:G86)</f>
        <v>1.1369E-4</v>
      </c>
      <c r="H87" s="122" t="s">
        <v>153</v>
      </c>
      <c r="J87" s="2"/>
    </row>
    <row r="88" spans="1:10" x14ac:dyDescent="0.2">
      <c r="A88" s="120"/>
      <c r="B88" s="120"/>
      <c r="C88" s="130"/>
      <c r="D88" s="120"/>
      <c r="E88" s="120"/>
      <c r="F88" s="131"/>
      <c r="G88" s="131"/>
      <c r="H88" s="122" t="s">
        <v>153</v>
      </c>
      <c r="J88" s="2"/>
    </row>
    <row r="89" spans="1:10" x14ac:dyDescent="0.2">
      <c r="A89" s="120"/>
      <c r="B89" s="120"/>
      <c r="C89" s="121" t="s">
        <v>157</v>
      </c>
      <c r="D89" s="120"/>
      <c r="E89" s="120"/>
      <c r="F89" s="120"/>
      <c r="G89" s="120"/>
      <c r="H89" s="122" t="s">
        <v>153</v>
      </c>
      <c r="J89" s="2"/>
    </row>
    <row r="90" spans="1:10" x14ac:dyDescent="0.2">
      <c r="A90" s="120"/>
      <c r="B90" s="120"/>
      <c r="C90" s="121" t="s">
        <v>152</v>
      </c>
      <c r="D90" s="120"/>
      <c r="E90" s="120" t="s">
        <v>153</v>
      </c>
      <c r="F90" s="132" t="s">
        <v>155</v>
      </c>
      <c r="G90" s="129">
        <v>0</v>
      </c>
      <c r="H90" s="122" t="s">
        <v>153</v>
      </c>
      <c r="J90" s="2"/>
    </row>
    <row r="91" spans="1:10" x14ac:dyDescent="0.2">
      <c r="A91" s="120"/>
      <c r="B91" s="120"/>
      <c r="C91" s="130"/>
      <c r="D91" s="120"/>
      <c r="E91" s="120"/>
      <c r="F91" s="131"/>
      <c r="G91" s="131"/>
      <c r="H91" s="122" t="s">
        <v>153</v>
      </c>
      <c r="J91" s="2"/>
    </row>
    <row r="92" spans="1:10" x14ac:dyDescent="0.2">
      <c r="A92" s="120"/>
      <c r="B92" s="120"/>
      <c r="C92" s="121" t="s">
        <v>158</v>
      </c>
      <c r="D92" s="120"/>
      <c r="E92" s="120"/>
      <c r="F92" s="131"/>
      <c r="G92" s="131"/>
      <c r="H92" s="122" t="s">
        <v>153</v>
      </c>
      <c r="J92" s="2"/>
    </row>
    <row r="93" spans="1:10" x14ac:dyDescent="0.2">
      <c r="A93" s="120"/>
      <c r="B93" s="120"/>
      <c r="C93" s="121" t="s">
        <v>152</v>
      </c>
      <c r="D93" s="120"/>
      <c r="E93" s="120" t="s">
        <v>153</v>
      </c>
      <c r="F93" s="132" t="s">
        <v>155</v>
      </c>
      <c r="G93" s="129">
        <v>0</v>
      </c>
      <c r="H93" s="122" t="s">
        <v>153</v>
      </c>
      <c r="J93" s="2"/>
    </row>
    <row r="94" spans="1:10" x14ac:dyDescent="0.2">
      <c r="A94" s="120"/>
      <c r="B94" s="120"/>
      <c r="C94" s="130"/>
      <c r="D94" s="120"/>
      <c r="E94" s="120"/>
      <c r="F94" s="131"/>
      <c r="G94" s="131"/>
      <c r="H94" s="122" t="s">
        <v>153</v>
      </c>
      <c r="J94" s="2"/>
    </row>
    <row r="95" spans="1:10" x14ac:dyDescent="0.2">
      <c r="A95" s="120"/>
      <c r="B95" s="120"/>
      <c r="C95" s="121" t="s">
        <v>159</v>
      </c>
      <c r="D95" s="120"/>
      <c r="E95" s="120"/>
      <c r="F95" s="131"/>
      <c r="G95" s="131"/>
      <c r="H95" s="122" t="s">
        <v>153</v>
      </c>
      <c r="J95" s="2"/>
    </row>
    <row r="96" spans="1:10" x14ac:dyDescent="0.2">
      <c r="A96" s="120"/>
      <c r="B96" s="120"/>
      <c r="C96" s="121" t="s">
        <v>152</v>
      </c>
      <c r="D96" s="120"/>
      <c r="E96" s="120" t="s">
        <v>153</v>
      </c>
      <c r="F96" s="132" t="s">
        <v>155</v>
      </c>
      <c r="G96" s="129">
        <v>0</v>
      </c>
      <c r="H96" s="122" t="s">
        <v>153</v>
      </c>
      <c r="J96" s="2"/>
    </row>
    <row r="97" spans="1:10" x14ac:dyDescent="0.2">
      <c r="A97" s="120"/>
      <c r="B97" s="120"/>
      <c r="C97" s="130"/>
      <c r="D97" s="120"/>
      <c r="E97" s="120"/>
      <c r="F97" s="131"/>
      <c r="G97" s="131"/>
      <c r="H97" s="122" t="s">
        <v>153</v>
      </c>
      <c r="J97" s="2"/>
    </row>
    <row r="98" spans="1:10" x14ac:dyDescent="0.2">
      <c r="A98" s="120"/>
      <c r="B98" s="120"/>
      <c r="C98" s="121" t="s">
        <v>160</v>
      </c>
      <c r="D98" s="120"/>
      <c r="E98" s="120"/>
      <c r="F98" s="128">
        <v>136770.66650679999</v>
      </c>
      <c r="G98" s="129">
        <v>0.96915163999999998</v>
      </c>
      <c r="H98" s="122" t="s">
        <v>153</v>
      </c>
      <c r="J98" s="2"/>
    </row>
    <row r="99" spans="1:10" x14ac:dyDescent="0.2">
      <c r="A99" s="120"/>
      <c r="B99" s="120"/>
      <c r="C99" s="130"/>
      <c r="D99" s="120"/>
      <c r="E99" s="120"/>
      <c r="F99" s="131"/>
      <c r="G99" s="131"/>
      <c r="H99" s="122" t="s">
        <v>153</v>
      </c>
      <c r="J99" s="2"/>
    </row>
    <row r="100" spans="1:10" x14ac:dyDescent="0.2">
      <c r="A100" s="120"/>
      <c r="B100" s="120"/>
      <c r="C100" s="121" t="s">
        <v>161</v>
      </c>
      <c r="D100" s="120"/>
      <c r="E100" s="120"/>
      <c r="F100" s="131"/>
      <c r="G100" s="131"/>
      <c r="H100" s="122" t="s">
        <v>153</v>
      </c>
      <c r="J100" s="2"/>
    </row>
    <row r="101" spans="1:10" ht="25.5" x14ac:dyDescent="0.2">
      <c r="A101" s="120"/>
      <c r="B101" s="120"/>
      <c r="C101" s="121" t="s">
        <v>10</v>
      </c>
      <c r="D101" s="120"/>
      <c r="E101" s="120"/>
      <c r="F101" s="131"/>
      <c r="G101" s="131"/>
      <c r="H101" s="122" t="s">
        <v>153</v>
      </c>
      <c r="J101" s="2"/>
    </row>
    <row r="102" spans="1:10" x14ac:dyDescent="0.2">
      <c r="A102" s="120"/>
      <c r="B102" s="120"/>
      <c r="C102" s="121" t="s">
        <v>152</v>
      </c>
      <c r="D102" s="120"/>
      <c r="E102" s="120" t="s">
        <v>153</v>
      </c>
      <c r="F102" s="132" t="s">
        <v>155</v>
      </c>
      <c r="G102" s="129">
        <v>0</v>
      </c>
      <c r="H102" s="122" t="s">
        <v>153</v>
      </c>
      <c r="J102" s="2"/>
    </row>
    <row r="103" spans="1:10" x14ac:dyDescent="0.2">
      <c r="A103" s="120"/>
      <c r="B103" s="120"/>
      <c r="C103" s="130"/>
      <c r="D103" s="120"/>
      <c r="E103" s="120"/>
      <c r="F103" s="131"/>
      <c r="G103" s="131"/>
      <c r="H103" s="122" t="s">
        <v>153</v>
      </c>
      <c r="J103" s="2"/>
    </row>
    <row r="104" spans="1:10" x14ac:dyDescent="0.2">
      <c r="A104" s="120"/>
      <c r="B104" s="120"/>
      <c r="C104" s="121" t="s">
        <v>162</v>
      </c>
      <c r="D104" s="120"/>
      <c r="E104" s="120"/>
      <c r="F104" s="120"/>
      <c r="G104" s="120"/>
      <c r="H104" s="122" t="s">
        <v>153</v>
      </c>
      <c r="J104" s="2"/>
    </row>
    <row r="105" spans="1:10" x14ac:dyDescent="0.2">
      <c r="A105" s="120"/>
      <c r="B105" s="120"/>
      <c r="C105" s="121" t="s">
        <v>152</v>
      </c>
      <c r="D105" s="120"/>
      <c r="E105" s="120" t="s">
        <v>153</v>
      </c>
      <c r="F105" s="132" t="s">
        <v>155</v>
      </c>
      <c r="G105" s="129">
        <v>0</v>
      </c>
      <c r="H105" s="122" t="s">
        <v>153</v>
      </c>
      <c r="J105" s="2"/>
    </row>
    <row r="106" spans="1:10" x14ac:dyDescent="0.2">
      <c r="A106" s="120"/>
      <c r="B106" s="120"/>
      <c r="C106" s="130"/>
      <c r="D106" s="120"/>
      <c r="E106" s="120"/>
      <c r="F106" s="131"/>
      <c r="G106" s="131"/>
      <c r="H106" s="122" t="s">
        <v>153</v>
      </c>
      <c r="J106" s="2"/>
    </row>
    <row r="107" spans="1:10" x14ac:dyDescent="0.2">
      <c r="A107" s="120"/>
      <c r="B107" s="120"/>
      <c r="C107" s="121" t="s">
        <v>163</v>
      </c>
      <c r="D107" s="120"/>
      <c r="E107" s="120"/>
      <c r="F107" s="120"/>
      <c r="G107" s="120"/>
      <c r="H107" s="122" t="s">
        <v>153</v>
      </c>
      <c r="J107" s="2"/>
    </row>
    <row r="108" spans="1:10" x14ac:dyDescent="0.2">
      <c r="A108" s="120"/>
      <c r="B108" s="120"/>
      <c r="C108" s="121" t="s">
        <v>152</v>
      </c>
      <c r="D108" s="120"/>
      <c r="E108" s="120" t="s">
        <v>153</v>
      </c>
      <c r="F108" s="132" t="s">
        <v>155</v>
      </c>
      <c r="G108" s="129">
        <v>0</v>
      </c>
      <c r="H108" s="122" t="s">
        <v>153</v>
      </c>
      <c r="J108" s="2"/>
    </row>
    <row r="109" spans="1:10" x14ac:dyDescent="0.2">
      <c r="A109" s="120"/>
      <c r="B109" s="120"/>
      <c r="C109" s="130"/>
      <c r="D109" s="120"/>
      <c r="E109" s="120"/>
      <c r="F109" s="131"/>
      <c r="G109" s="131"/>
      <c r="H109" s="122" t="s">
        <v>153</v>
      </c>
      <c r="J109" s="2"/>
    </row>
    <row r="110" spans="1:10" x14ac:dyDescent="0.2">
      <c r="A110" s="120"/>
      <c r="B110" s="120"/>
      <c r="C110" s="121" t="s">
        <v>164</v>
      </c>
      <c r="D110" s="120"/>
      <c r="E110" s="120"/>
      <c r="F110" s="131"/>
      <c r="G110" s="131"/>
      <c r="H110" s="122" t="s">
        <v>153</v>
      </c>
      <c r="J110" s="2"/>
    </row>
    <row r="111" spans="1:10" x14ac:dyDescent="0.2">
      <c r="A111" s="120"/>
      <c r="B111" s="120"/>
      <c r="C111" s="121" t="s">
        <v>152</v>
      </c>
      <c r="D111" s="120"/>
      <c r="E111" s="120" t="s">
        <v>153</v>
      </c>
      <c r="F111" s="132" t="s">
        <v>155</v>
      </c>
      <c r="G111" s="129">
        <v>0</v>
      </c>
      <c r="H111" s="122" t="s">
        <v>153</v>
      </c>
      <c r="J111" s="2"/>
    </row>
    <row r="112" spans="1:10" x14ac:dyDescent="0.2">
      <c r="A112" s="120"/>
      <c r="B112" s="120"/>
      <c r="C112" s="130"/>
      <c r="D112" s="120"/>
      <c r="E112" s="120"/>
      <c r="F112" s="131"/>
      <c r="G112" s="131"/>
      <c r="H112" s="122" t="s">
        <v>153</v>
      </c>
      <c r="J112" s="2"/>
    </row>
    <row r="113" spans="1:10" x14ac:dyDescent="0.2">
      <c r="A113" s="120"/>
      <c r="B113" s="120"/>
      <c r="C113" s="121" t="s">
        <v>165</v>
      </c>
      <c r="D113" s="120"/>
      <c r="E113" s="120"/>
      <c r="F113" s="128">
        <v>0</v>
      </c>
      <c r="G113" s="129">
        <v>0</v>
      </c>
      <c r="H113" s="122" t="s">
        <v>153</v>
      </c>
      <c r="J113" s="2"/>
    </row>
    <row r="114" spans="1:10" x14ac:dyDescent="0.2">
      <c r="A114" s="120"/>
      <c r="B114" s="120"/>
      <c r="C114" s="130"/>
      <c r="D114" s="120"/>
      <c r="E114" s="120"/>
      <c r="F114" s="131"/>
      <c r="G114" s="131"/>
      <c r="H114" s="122" t="s">
        <v>153</v>
      </c>
      <c r="J114" s="2"/>
    </row>
    <row r="115" spans="1:10" x14ac:dyDescent="0.2">
      <c r="A115" s="120"/>
      <c r="B115" s="120"/>
      <c r="C115" s="121" t="s">
        <v>166</v>
      </c>
      <c r="D115" s="120"/>
      <c r="E115" s="120"/>
      <c r="F115" s="131"/>
      <c r="G115" s="131"/>
      <c r="H115" s="122" t="s">
        <v>153</v>
      </c>
      <c r="J115" s="2"/>
    </row>
    <row r="116" spans="1:10" x14ac:dyDescent="0.2">
      <c r="A116" s="120"/>
      <c r="B116" s="120"/>
      <c r="C116" s="121" t="s">
        <v>167</v>
      </c>
      <c r="D116" s="120"/>
      <c r="E116" s="120"/>
      <c r="F116" s="131"/>
      <c r="G116" s="131"/>
      <c r="H116" s="122" t="s">
        <v>153</v>
      </c>
      <c r="J116" s="2"/>
    </row>
    <row r="117" spans="1:10" x14ac:dyDescent="0.2">
      <c r="A117" s="120"/>
      <c r="B117" s="120"/>
      <c r="C117" s="121" t="s">
        <v>152</v>
      </c>
      <c r="D117" s="120"/>
      <c r="E117" s="120" t="s">
        <v>153</v>
      </c>
      <c r="F117" s="132" t="s">
        <v>155</v>
      </c>
      <c r="G117" s="129">
        <v>0</v>
      </c>
      <c r="H117" s="122" t="s">
        <v>153</v>
      </c>
      <c r="J117" s="2"/>
    </row>
    <row r="118" spans="1:10" x14ac:dyDescent="0.2">
      <c r="A118" s="120"/>
      <c r="B118" s="120"/>
      <c r="C118" s="130"/>
      <c r="D118" s="120"/>
      <c r="E118" s="120"/>
      <c r="F118" s="131"/>
      <c r="G118" s="131"/>
      <c r="H118" s="122" t="s">
        <v>153</v>
      </c>
      <c r="J118" s="2"/>
    </row>
    <row r="119" spans="1:10" x14ac:dyDescent="0.2">
      <c r="A119" s="120"/>
      <c r="B119" s="120"/>
      <c r="C119" s="121" t="s">
        <v>168</v>
      </c>
      <c r="D119" s="120"/>
      <c r="E119" s="120"/>
      <c r="F119" s="131"/>
      <c r="G119" s="131"/>
      <c r="H119" s="122" t="s">
        <v>153</v>
      </c>
      <c r="J119" s="2"/>
    </row>
    <row r="120" spans="1:10" x14ac:dyDescent="0.2">
      <c r="A120" s="120"/>
      <c r="B120" s="120"/>
      <c r="C120" s="121" t="s">
        <v>152</v>
      </c>
      <c r="D120" s="120"/>
      <c r="E120" s="120" t="s">
        <v>153</v>
      </c>
      <c r="F120" s="132" t="s">
        <v>155</v>
      </c>
      <c r="G120" s="129">
        <v>0</v>
      </c>
      <c r="H120" s="122" t="s">
        <v>153</v>
      </c>
      <c r="J120" s="2"/>
    </row>
    <row r="121" spans="1:10" x14ac:dyDescent="0.2">
      <c r="A121" s="120"/>
      <c r="B121" s="120"/>
      <c r="C121" s="130"/>
      <c r="D121" s="120"/>
      <c r="E121" s="120"/>
      <c r="F121" s="131"/>
      <c r="G121" s="131"/>
      <c r="H121" s="122" t="s">
        <v>153</v>
      </c>
      <c r="J121" s="2"/>
    </row>
    <row r="122" spans="1:10" x14ac:dyDescent="0.2">
      <c r="A122" s="120"/>
      <c r="B122" s="120"/>
      <c r="C122" s="121" t="s">
        <v>169</v>
      </c>
      <c r="D122" s="120"/>
      <c r="E122" s="120"/>
      <c r="F122" s="131"/>
      <c r="G122" s="131"/>
      <c r="H122" s="122" t="s">
        <v>153</v>
      </c>
      <c r="J122" s="2"/>
    </row>
    <row r="123" spans="1:10" x14ac:dyDescent="0.2">
      <c r="A123" s="120"/>
      <c r="B123" s="120"/>
      <c r="C123" s="121" t="s">
        <v>152</v>
      </c>
      <c r="D123" s="120"/>
      <c r="E123" s="120" t="s">
        <v>153</v>
      </c>
      <c r="F123" s="132" t="s">
        <v>155</v>
      </c>
      <c r="G123" s="129">
        <v>0</v>
      </c>
      <c r="H123" s="122" t="s">
        <v>153</v>
      </c>
      <c r="J123" s="2"/>
    </row>
    <row r="124" spans="1:10" x14ac:dyDescent="0.2">
      <c r="A124" s="120"/>
      <c r="B124" s="120"/>
      <c r="C124" s="130"/>
      <c r="D124" s="120"/>
      <c r="E124" s="120"/>
      <c r="F124" s="131"/>
      <c r="G124" s="131"/>
      <c r="H124" s="122" t="s">
        <v>153</v>
      </c>
      <c r="J124" s="2"/>
    </row>
    <row r="125" spans="1:10" x14ac:dyDescent="0.2">
      <c r="A125" s="120"/>
      <c r="B125" s="120"/>
      <c r="C125" s="121" t="s">
        <v>170</v>
      </c>
      <c r="D125" s="120"/>
      <c r="E125" s="120"/>
      <c r="F125" s="131"/>
      <c r="G125" s="131"/>
      <c r="H125" s="122" t="s">
        <v>153</v>
      </c>
      <c r="J125" s="2"/>
    </row>
    <row r="126" spans="1:10" x14ac:dyDescent="0.2">
      <c r="A126" s="123">
        <v>1</v>
      </c>
      <c r="B126" s="124"/>
      <c r="C126" s="124" t="s">
        <v>171</v>
      </c>
      <c r="D126" s="124"/>
      <c r="E126" s="133"/>
      <c r="F126" s="126">
        <v>4547.9655885800003</v>
      </c>
      <c r="G126" s="127">
        <v>3.2226709999999999E-2</v>
      </c>
      <c r="H126" s="122">
        <v>6.62</v>
      </c>
      <c r="J126" s="2"/>
    </row>
    <row r="127" spans="1:10" x14ac:dyDescent="0.2">
      <c r="A127" s="120"/>
      <c r="B127" s="120"/>
      <c r="C127" s="121" t="s">
        <v>152</v>
      </c>
      <c r="D127" s="120"/>
      <c r="E127" s="120" t="s">
        <v>153</v>
      </c>
      <c r="F127" s="128">
        <v>4547.9655885800003</v>
      </c>
      <c r="G127" s="129">
        <v>3.2226709999999999E-2</v>
      </c>
      <c r="H127" s="122" t="s">
        <v>153</v>
      </c>
      <c r="J127" s="2"/>
    </row>
    <row r="128" spans="1:10" x14ac:dyDescent="0.2">
      <c r="A128" s="120"/>
      <c r="B128" s="120"/>
      <c r="C128" s="130"/>
      <c r="D128" s="120"/>
      <c r="E128" s="120"/>
      <c r="F128" s="131"/>
      <c r="G128" s="131"/>
      <c r="H128" s="122" t="s">
        <v>153</v>
      </c>
      <c r="J128" s="2"/>
    </row>
    <row r="129" spans="1:10" x14ac:dyDescent="0.2">
      <c r="A129" s="120"/>
      <c r="B129" s="120"/>
      <c r="C129" s="121" t="s">
        <v>172</v>
      </c>
      <c r="D129" s="120"/>
      <c r="E129" s="120"/>
      <c r="F129" s="128">
        <v>4547.9655885800003</v>
      </c>
      <c r="G129" s="129">
        <v>3.2226709999999999E-2</v>
      </c>
      <c r="H129" s="122" t="s">
        <v>153</v>
      </c>
      <c r="J129" s="2"/>
    </row>
    <row r="130" spans="1:10" x14ac:dyDescent="0.2">
      <c r="A130" s="120"/>
      <c r="B130" s="120"/>
      <c r="C130" s="131"/>
      <c r="D130" s="120"/>
      <c r="E130" s="120"/>
      <c r="F130" s="120"/>
      <c r="G130" s="120"/>
      <c r="H130" s="122" t="s">
        <v>153</v>
      </c>
      <c r="J130" s="2"/>
    </row>
    <row r="131" spans="1:10" x14ac:dyDescent="0.2">
      <c r="A131" s="120"/>
      <c r="B131" s="120"/>
      <c r="C131" s="121" t="s">
        <v>173</v>
      </c>
      <c r="D131" s="120"/>
      <c r="E131" s="120"/>
      <c r="F131" s="120"/>
      <c r="G131" s="120"/>
      <c r="H131" s="122" t="s">
        <v>153</v>
      </c>
      <c r="J131" s="2"/>
    </row>
    <row r="132" spans="1:10" x14ac:dyDescent="0.2">
      <c r="A132" s="120"/>
      <c r="B132" s="120"/>
      <c r="C132" s="121" t="s">
        <v>174</v>
      </c>
      <c r="D132" s="120"/>
      <c r="E132" s="120"/>
      <c r="F132" s="120"/>
      <c r="G132" s="120"/>
      <c r="H132" s="122" t="s">
        <v>153</v>
      </c>
      <c r="J132" s="2"/>
    </row>
    <row r="133" spans="1:10" x14ac:dyDescent="0.2">
      <c r="A133" s="120"/>
      <c r="B133" s="120"/>
      <c r="C133" s="121" t="s">
        <v>152</v>
      </c>
      <c r="D133" s="120"/>
      <c r="E133" s="120" t="s">
        <v>153</v>
      </c>
      <c r="F133" s="132" t="s">
        <v>155</v>
      </c>
      <c r="G133" s="129">
        <v>0</v>
      </c>
      <c r="H133" s="122" t="s">
        <v>153</v>
      </c>
      <c r="J133" s="2"/>
    </row>
    <row r="134" spans="1:10" x14ac:dyDescent="0.2">
      <c r="A134" s="120"/>
      <c r="B134" s="120"/>
      <c r="C134" s="130"/>
      <c r="D134" s="120"/>
      <c r="E134" s="120"/>
      <c r="F134" s="131"/>
      <c r="G134" s="131"/>
      <c r="H134" s="122" t="s">
        <v>153</v>
      </c>
      <c r="J134" s="2"/>
    </row>
    <row r="135" spans="1:10" x14ac:dyDescent="0.2">
      <c r="A135" s="120"/>
      <c r="B135" s="120"/>
      <c r="C135" s="121" t="s">
        <v>175</v>
      </c>
      <c r="D135" s="120"/>
      <c r="E135" s="120"/>
      <c r="F135" s="120"/>
      <c r="G135" s="120"/>
      <c r="H135" s="122" t="s">
        <v>153</v>
      </c>
      <c r="J135" s="2"/>
    </row>
    <row r="136" spans="1:10" x14ac:dyDescent="0.2">
      <c r="A136" s="120"/>
      <c r="B136" s="120"/>
      <c r="C136" s="121" t="s">
        <v>176</v>
      </c>
      <c r="D136" s="120"/>
      <c r="E136" s="120"/>
      <c r="F136" s="120"/>
      <c r="G136" s="120"/>
      <c r="H136" s="122" t="s">
        <v>153</v>
      </c>
      <c r="J136" s="2"/>
    </row>
    <row r="137" spans="1:10" x14ac:dyDescent="0.2">
      <c r="A137" s="120"/>
      <c r="B137" s="120"/>
      <c r="C137" s="121" t="s">
        <v>152</v>
      </c>
      <c r="D137" s="120"/>
      <c r="E137" s="120" t="s">
        <v>153</v>
      </c>
      <c r="F137" s="132" t="s">
        <v>155</v>
      </c>
      <c r="G137" s="129">
        <v>0</v>
      </c>
      <c r="H137" s="122" t="s">
        <v>153</v>
      </c>
      <c r="J137" s="2"/>
    </row>
    <row r="138" spans="1:10" x14ac:dyDescent="0.2">
      <c r="A138" s="120"/>
      <c r="B138" s="120"/>
      <c r="C138" s="130"/>
      <c r="D138" s="120"/>
      <c r="E138" s="120"/>
      <c r="F138" s="131"/>
      <c r="G138" s="131"/>
      <c r="H138" s="122" t="s">
        <v>153</v>
      </c>
      <c r="J138" s="2"/>
    </row>
    <row r="139" spans="1:10" ht="25.5" x14ac:dyDescent="0.2">
      <c r="A139" s="120"/>
      <c r="B139" s="120"/>
      <c r="C139" s="121" t="s">
        <v>177</v>
      </c>
      <c r="D139" s="120"/>
      <c r="E139" s="120"/>
      <c r="F139" s="131"/>
      <c r="G139" s="131"/>
      <c r="H139" s="122" t="s">
        <v>153</v>
      </c>
      <c r="J139" s="2"/>
    </row>
    <row r="140" spans="1:10" x14ac:dyDescent="0.2">
      <c r="A140" s="120"/>
      <c r="B140" s="120"/>
      <c r="C140" s="121" t="s">
        <v>152</v>
      </c>
      <c r="D140" s="120"/>
      <c r="E140" s="120" t="s">
        <v>153</v>
      </c>
      <c r="F140" s="132" t="s">
        <v>155</v>
      </c>
      <c r="G140" s="129">
        <v>0</v>
      </c>
      <c r="H140" s="122" t="s">
        <v>153</v>
      </c>
      <c r="J140" s="2"/>
    </row>
    <row r="141" spans="1:10" x14ac:dyDescent="0.2">
      <c r="A141" s="120"/>
      <c r="B141" s="124"/>
      <c r="C141" s="124"/>
      <c r="D141" s="121"/>
      <c r="E141" s="120"/>
      <c r="F141" s="124"/>
      <c r="G141" s="133"/>
      <c r="H141" s="122" t="s">
        <v>153</v>
      </c>
      <c r="J141" s="2"/>
    </row>
    <row r="142" spans="1:10" x14ac:dyDescent="0.2">
      <c r="A142" s="133"/>
      <c r="B142" s="124"/>
      <c r="C142" s="124" t="s">
        <v>178</v>
      </c>
      <c r="D142" s="124"/>
      <c r="E142" s="133"/>
      <c r="F142" s="126">
        <v>-194.51379105999999</v>
      </c>
      <c r="G142" s="127">
        <v>-1.3783199999999999E-3</v>
      </c>
      <c r="H142" s="122" t="s">
        <v>153</v>
      </c>
      <c r="J142" s="2"/>
    </row>
    <row r="143" spans="1:10" x14ac:dyDescent="0.2">
      <c r="A143" s="130"/>
      <c r="B143" s="130"/>
      <c r="C143" s="121" t="s">
        <v>179</v>
      </c>
      <c r="D143" s="131"/>
      <c r="E143" s="131"/>
      <c r="F143" s="128">
        <v>141124.11830432</v>
      </c>
      <c r="G143" s="134">
        <v>1.00000003</v>
      </c>
      <c r="H143" s="122" t="s">
        <v>153</v>
      </c>
      <c r="J143" s="2"/>
    </row>
    <row r="144" spans="1:10" x14ac:dyDescent="0.2">
      <c r="A144" s="135"/>
      <c r="B144" s="135"/>
      <c r="C144" s="135"/>
      <c r="D144" s="136"/>
      <c r="E144" s="136"/>
      <c r="F144" s="136"/>
      <c r="G144" s="136"/>
      <c r="J144" s="2"/>
    </row>
    <row r="145" spans="1:17" x14ac:dyDescent="0.2">
      <c r="A145" s="137"/>
      <c r="B145" s="226" t="s">
        <v>863</v>
      </c>
      <c r="C145" s="226"/>
      <c r="D145" s="226"/>
      <c r="E145" s="226"/>
      <c r="F145" s="226"/>
      <c r="G145" s="226"/>
      <c r="H145" s="226"/>
      <c r="J145" s="2"/>
    </row>
    <row r="146" spans="1:17" x14ac:dyDescent="0.2">
      <c r="A146" s="137"/>
      <c r="B146" s="226" t="s">
        <v>864</v>
      </c>
      <c r="C146" s="226"/>
      <c r="D146" s="226"/>
      <c r="E146" s="226"/>
      <c r="F146" s="226"/>
      <c r="G146" s="226"/>
      <c r="H146" s="226"/>
      <c r="J146" s="2"/>
    </row>
    <row r="147" spans="1:17" x14ac:dyDescent="0.2">
      <c r="A147" s="137"/>
      <c r="B147" s="226" t="s">
        <v>865</v>
      </c>
      <c r="C147" s="226"/>
      <c r="D147" s="226"/>
      <c r="E147" s="226"/>
      <c r="F147" s="226"/>
      <c r="G147" s="226"/>
      <c r="H147" s="226"/>
      <c r="J147" s="2"/>
    </row>
    <row r="148" spans="1:17" s="5" customFormat="1" ht="56.25" customHeight="1" x14ac:dyDescent="0.25">
      <c r="A148" s="139"/>
      <c r="B148" s="227" t="s">
        <v>866</v>
      </c>
      <c r="C148" s="227"/>
      <c r="D148" s="227"/>
      <c r="E148" s="227"/>
      <c r="F148" s="227"/>
      <c r="G148" s="227"/>
      <c r="H148" s="227"/>
      <c r="I148"/>
      <c r="J148" s="2"/>
      <c r="K148"/>
      <c r="L148"/>
      <c r="M148"/>
      <c r="N148"/>
      <c r="O148"/>
      <c r="P148"/>
      <c r="Q148"/>
    </row>
    <row r="149" spans="1:17" x14ac:dyDescent="0.2">
      <c r="A149" s="137"/>
      <c r="B149" s="226" t="s">
        <v>867</v>
      </c>
      <c r="C149" s="226"/>
      <c r="D149" s="226"/>
      <c r="E149" s="226"/>
      <c r="F149" s="226"/>
      <c r="G149" s="226"/>
      <c r="H149" s="226"/>
      <c r="J149" s="2"/>
    </row>
    <row r="150" spans="1:17" x14ac:dyDescent="0.2">
      <c r="A150" s="140"/>
      <c r="B150" s="140"/>
      <c r="C150" s="140"/>
      <c r="D150" s="141"/>
      <c r="E150" s="141"/>
      <c r="F150" s="141"/>
      <c r="G150" s="141"/>
      <c r="J150" s="2"/>
    </row>
    <row r="151" spans="1:17" x14ac:dyDescent="0.2">
      <c r="A151" s="140"/>
      <c r="B151" s="228" t="s">
        <v>180</v>
      </c>
      <c r="C151" s="229"/>
      <c r="D151" s="230"/>
      <c r="E151" s="142"/>
      <c r="F151" s="141"/>
      <c r="G151" s="141"/>
      <c r="J151" s="2"/>
    </row>
    <row r="152" spans="1:17" ht="25.5" customHeight="1" x14ac:dyDescent="0.2">
      <c r="A152" s="137"/>
      <c r="B152" s="221" t="s">
        <v>181</v>
      </c>
      <c r="C152" s="222"/>
      <c r="D152" s="143" t="s">
        <v>943</v>
      </c>
      <c r="E152" s="161"/>
      <c r="F152" s="162"/>
      <c r="G152" s="162"/>
      <c r="J152" s="2"/>
    </row>
    <row r="153" spans="1:17" ht="17.100000000000001" customHeight="1" x14ac:dyDescent="0.2">
      <c r="A153" s="137"/>
      <c r="B153" s="221" t="s">
        <v>939</v>
      </c>
      <c r="C153" s="222"/>
      <c r="D153" s="214" t="str">
        <f>"Rs. "&amp;TEXT(F87,"0.00")&amp;" lacs / 0.01%"</f>
        <v>Rs. 16.04 lacs / 0.01%</v>
      </c>
      <c r="E153" s="161"/>
      <c r="F153" s="162"/>
      <c r="G153" s="162"/>
      <c r="J153" s="2"/>
    </row>
    <row r="154" spans="1:17" x14ac:dyDescent="0.2">
      <c r="A154" s="140"/>
      <c r="B154" s="223" t="s">
        <v>184</v>
      </c>
      <c r="C154" s="224"/>
      <c r="D154" s="131" t="s">
        <v>153</v>
      </c>
      <c r="E154" s="142"/>
      <c r="F154" s="141"/>
      <c r="G154" s="141"/>
      <c r="J154" s="2"/>
    </row>
    <row r="155" spans="1:17" x14ac:dyDescent="0.2">
      <c r="A155" s="144"/>
      <c r="B155" s="145" t="s">
        <v>153</v>
      </c>
      <c r="C155" s="145" t="s">
        <v>870</v>
      </c>
      <c r="D155" s="145" t="s">
        <v>185</v>
      </c>
      <c r="E155" s="144"/>
      <c r="F155" s="144"/>
      <c r="G155" s="144"/>
      <c r="H155" s="144"/>
      <c r="J155" s="2"/>
    </row>
    <row r="156" spans="1:17" x14ac:dyDescent="0.2">
      <c r="A156" s="146"/>
      <c r="B156" s="147" t="s">
        <v>186</v>
      </c>
      <c r="C156" s="148">
        <v>45504</v>
      </c>
      <c r="D156" s="149">
        <v>45535</v>
      </c>
      <c r="E156" s="146"/>
      <c r="F156" s="146"/>
      <c r="G156" s="146"/>
      <c r="J156" s="2"/>
    </row>
    <row r="157" spans="1:17" x14ac:dyDescent="0.2">
      <c r="A157" s="146"/>
      <c r="B157" s="124" t="s">
        <v>187</v>
      </c>
      <c r="C157" s="150">
        <v>534.89949999999999</v>
      </c>
      <c r="D157" s="150">
        <v>543.37980000000005</v>
      </c>
      <c r="E157" s="146"/>
      <c r="F157" s="151"/>
      <c r="G157" s="152"/>
      <c r="J157" s="2"/>
    </row>
    <row r="158" spans="1:17" ht="25.5" x14ac:dyDescent="0.2">
      <c r="A158" s="146"/>
      <c r="B158" s="124" t="s">
        <v>928</v>
      </c>
      <c r="C158" s="150">
        <v>534.36090000000002</v>
      </c>
      <c r="D158" s="150">
        <v>542.83270000000005</v>
      </c>
      <c r="E158" s="146"/>
      <c r="F158" s="151"/>
      <c r="G158" s="152"/>
      <c r="J158" s="2"/>
    </row>
    <row r="159" spans="1:17" x14ac:dyDescent="0.2">
      <c r="A159" s="146"/>
      <c r="B159" s="124" t="s">
        <v>188</v>
      </c>
      <c r="C159" s="150">
        <v>502.93799999999999</v>
      </c>
      <c r="D159" s="150">
        <v>510.673</v>
      </c>
      <c r="E159" s="146"/>
      <c r="F159" s="151"/>
      <c r="G159" s="152"/>
      <c r="J159" s="2"/>
    </row>
    <row r="160" spans="1:17" ht="25.5" x14ac:dyDescent="0.2">
      <c r="A160" s="146"/>
      <c r="B160" s="124" t="s">
        <v>929</v>
      </c>
      <c r="C160" s="150">
        <v>435.04050000000001</v>
      </c>
      <c r="D160" s="150">
        <v>441.73129999999998</v>
      </c>
      <c r="E160" s="146"/>
      <c r="F160" s="151"/>
      <c r="G160" s="152"/>
      <c r="J160" s="2"/>
    </row>
    <row r="161" spans="1:10" x14ac:dyDescent="0.2">
      <c r="A161" s="146"/>
      <c r="B161" s="146"/>
      <c r="C161" s="146"/>
      <c r="D161" s="146"/>
      <c r="E161" s="146"/>
      <c r="F161" s="146"/>
      <c r="G161" s="146"/>
      <c r="J161" s="2"/>
    </row>
    <row r="162" spans="1:10" x14ac:dyDescent="0.2">
      <c r="A162" s="144"/>
      <c r="B162" s="221" t="s">
        <v>869</v>
      </c>
      <c r="C162" s="222"/>
      <c r="D162" s="143" t="s">
        <v>182</v>
      </c>
      <c r="E162" s="144"/>
      <c r="F162" s="144"/>
      <c r="G162" s="144"/>
      <c r="J162" s="2"/>
    </row>
    <row r="163" spans="1:10" x14ac:dyDescent="0.2">
      <c r="A163" s="144"/>
      <c r="B163" s="163"/>
      <c r="C163" s="163"/>
      <c r="D163" s="163"/>
      <c r="E163" s="144"/>
      <c r="F163" s="144"/>
      <c r="G163" s="144"/>
      <c r="J163" s="2"/>
    </row>
    <row r="164" spans="1:10" ht="29.1" customHeight="1" x14ac:dyDescent="0.2">
      <c r="A164" s="144"/>
      <c r="B164" s="221" t="s">
        <v>189</v>
      </c>
      <c r="C164" s="222"/>
      <c r="D164" s="143" t="s">
        <v>182</v>
      </c>
      <c r="E164" s="153"/>
      <c r="F164" s="144"/>
      <c r="G164" s="144"/>
      <c r="J164" s="2"/>
    </row>
    <row r="165" spans="1:10" ht="29.1" customHeight="1" x14ac:dyDescent="0.2">
      <c r="A165" s="144"/>
      <c r="B165" s="221" t="s">
        <v>190</v>
      </c>
      <c r="C165" s="222"/>
      <c r="D165" s="143" t="s">
        <v>182</v>
      </c>
      <c r="E165" s="153"/>
      <c r="F165" s="144"/>
      <c r="G165" s="144"/>
      <c r="J165" s="2"/>
    </row>
    <row r="166" spans="1:10" ht="17.100000000000001" customHeight="1" x14ac:dyDescent="0.2">
      <c r="A166" s="144"/>
      <c r="B166" s="221" t="s">
        <v>191</v>
      </c>
      <c r="C166" s="222"/>
      <c r="D166" s="143" t="s">
        <v>182</v>
      </c>
      <c r="E166" s="153"/>
      <c r="F166" s="144"/>
      <c r="G166" s="144"/>
      <c r="J166" s="2"/>
    </row>
    <row r="167" spans="1:10" ht="17.100000000000001" customHeight="1" x14ac:dyDescent="0.2">
      <c r="A167" s="144"/>
      <c r="B167" s="221" t="s">
        <v>192</v>
      </c>
      <c r="C167" s="222"/>
      <c r="D167" s="154">
        <v>0.20496507156952548</v>
      </c>
      <c r="E167" s="144"/>
      <c r="F167" s="138"/>
      <c r="G167" s="155"/>
      <c r="J167" s="2"/>
    </row>
    <row r="168" spans="1:10" x14ac:dyDescent="0.2">
      <c r="J168" s="2"/>
    </row>
    <row r="169" spans="1:10" ht="13.5" x14ac:dyDescent="0.25">
      <c r="B169" s="209" t="s">
        <v>1062</v>
      </c>
      <c r="C169" s="215"/>
      <c r="D169" s="215"/>
      <c r="E169" s="29"/>
      <c r="F169" s="30"/>
      <c r="J169" s="2"/>
    </row>
    <row r="170" spans="1:10" ht="27" x14ac:dyDescent="0.25">
      <c r="B170" s="216" t="s">
        <v>944</v>
      </c>
      <c r="C170" s="216" t="s">
        <v>945</v>
      </c>
      <c r="D170" s="216" t="s">
        <v>946</v>
      </c>
      <c r="E170" s="216" t="s">
        <v>947</v>
      </c>
      <c r="F170" s="216" t="s">
        <v>948</v>
      </c>
      <c r="J170" s="2"/>
    </row>
    <row r="171" spans="1:10" ht="13.5" x14ac:dyDescent="0.2">
      <c r="B171" s="217" t="s">
        <v>1035</v>
      </c>
      <c r="C171" s="218" t="s">
        <v>1014</v>
      </c>
      <c r="D171" s="31">
        <v>0</v>
      </c>
      <c r="E171" s="32">
        <v>0</v>
      </c>
      <c r="F171" s="219">
        <v>0.54925000000000002</v>
      </c>
    </row>
  </sheetData>
  <mergeCells count="17">
    <mergeCell ref="B152:C152"/>
    <mergeCell ref="A1:H1"/>
    <mergeCell ref="A2:H2"/>
    <mergeCell ref="A3:H3"/>
    <mergeCell ref="B145:H145"/>
    <mergeCell ref="B146:H146"/>
    <mergeCell ref="B147:H147"/>
    <mergeCell ref="B148:H148"/>
    <mergeCell ref="B149:H149"/>
    <mergeCell ref="B151:D151"/>
    <mergeCell ref="B153:C153"/>
    <mergeCell ref="B154:C154"/>
    <mergeCell ref="B162:C162"/>
    <mergeCell ref="B166:C166"/>
    <mergeCell ref="B167:C167"/>
    <mergeCell ref="B164:C164"/>
    <mergeCell ref="B165:C165"/>
  </mergeCells>
  <hyperlinks>
    <hyperlink ref="I1" location="Index!B23" display="Index" xr:uid="{70223D45-B2EF-449A-8098-C7BF4CD338F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BCFF-8299-4628-BBF4-5770AF8A772D}">
  <sheetPr>
    <outlinePr summaryBelow="0" summaryRight="0"/>
  </sheetPr>
  <dimension ref="A1:Q124"/>
  <sheetViews>
    <sheetView showGridLines="0" workbookViewId="0">
      <selection sqref="A1:H1"/>
    </sheetView>
  </sheetViews>
  <sheetFormatPr defaultRowHeight="12.75" x14ac:dyDescent="0.2"/>
  <cols>
    <col min="1" max="1" width="6.85546875" customWidth="1"/>
    <col min="2" max="2" width="20.5703125" customWidth="1"/>
    <col min="3" max="3" width="36.5703125" customWidth="1"/>
    <col min="4" max="4" width="20.5703125" customWidth="1"/>
    <col min="5" max="6" width="19.140625" customWidth="1"/>
    <col min="7" max="7" width="16.42578125"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802</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ht="25.5" x14ac:dyDescent="0.2">
      <c r="A6" s="120"/>
      <c r="B6" s="120"/>
      <c r="C6" s="121" t="s">
        <v>10</v>
      </c>
      <c r="D6" s="120"/>
      <c r="E6" s="120"/>
      <c r="F6" s="120"/>
      <c r="G6" s="120"/>
      <c r="H6" s="122" t="s">
        <v>153</v>
      </c>
      <c r="J6" s="2"/>
    </row>
    <row r="7" spans="1:10" x14ac:dyDescent="0.2">
      <c r="A7" s="123">
        <v>1</v>
      </c>
      <c r="B7" s="124" t="s">
        <v>14</v>
      </c>
      <c r="C7" s="124" t="s">
        <v>15</v>
      </c>
      <c r="D7" s="124" t="s">
        <v>16</v>
      </c>
      <c r="E7" s="125">
        <v>987983</v>
      </c>
      <c r="F7" s="126">
        <v>15699.5438615</v>
      </c>
      <c r="G7" s="127">
        <v>9.6347569999999993E-2</v>
      </c>
      <c r="H7" s="122" t="s">
        <v>153</v>
      </c>
      <c r="J7" s="2"/>
    </row>
    <row r="8" spans="1:10" x14ac:dyDescent="0.2">
      <c r="A8" s="123">
        <v>2</v>
      </c>
      <c r="B8" s="124" t="s">
        <v>372</v>
      </c>
      <c r="C8" s="124" t="s">
        <v>373</v>
      </c>
      <c r="D8" s="124" t="s">
        <v>374</v>
      </c>
      <c r="E8" s="125">
        <v>2991251</v>
      </c>
      <c r="F8" s="126">
        <v>15013.088769</v>
      </c>
      <c r="G8" s="127">
        <v>9.2134820000000006E-2</v>
      </c>
      <c r="H8" s="122" t="s">
        <v>153</v>
      </c>
      <c r="J8" s="2"/>
    </row>
    <row r="9" spans="1:10" x14ac:dyDescent="0.2">
      <c r="A9" s="123">
        <v>3</v>
      </c>
      <c r="B9" s="124" t="s">
        <v>194</v>
      </c>
      <c r="C9" s="124" t="s">
        <v>195</v>
      </c>
      <c r="D9" s="124" t="s">
        <v>45</v>
      </c>
      <c r="E9" s="125">
        <v>2304592</v>
      </c>
      <c r="F9" s="126">
        <v>14177.849984</v>
      </c>
      <c r="G9" s="127">
        <v>8.7008989999999994E-2</v>
      </c>
      <c r="H9" s="122" t="s">
        <v>153</v>
      </c>
      <c r="J9" s="2"/>
    </row>
    <row r="10" spans="1:10" x14ac:dyDescent="0.2">
      <c r="A10" s="123">
        <v>4</v>
      </c>
      <c r="B10" s="124" t="s">
        <v>548</v>
      </c>
      <c r="C10" s="124" t="s">
        <v>549</v>
      </c>
      <c r="D10" s="124" t="s">
        <v>273</v>
      </c>
      <c r="E10" s="125">
        <v>350492</v>
      </c>
      <c r="F10" s="126">
        <v>9832.7025680000006</v>
      </c>
      <c r="G10" s="127">
        <v>6.0342970000000003E-2</v>
      </c>
      <c r="H10" s="122" t="s">
        <v>153</v>
      </c>
      <c r="J10" s="2"/>
    </row>
    <row r="11" spans="1:10" x14ac:dyDescent="0.2">
      <c r="A11" s="123">
        <v>5</v>
      </c>
      <c r="B11" s="124" t="s">
        <v>377</v>
      </c>
      <c r="C11" s="124" t="s">
        <v>378</v>
      </c>
      <c r="D11" s="124" t="s">
        <v>374</v>
      </c>
      <c r="E11" s="125">
        <v>350212</v>
      </c>
      <c r="F11" s="126">
        <v>9728.8893599999992</v>
      </c>
      <c r="G11" s="127">
        <v>5.9705870000000001E-2</v>
      </c>
      <c r="H11" s="122" t="s">
        <v>153</v>
      </c>
      <c r="J11" s="2"/>
    </row>
    <row r="12" spans="1:10" ht="15" x14ac:dyDescent="0.2">
      <c r="A12" s="123">
        <v>6</v>
      </c>
      <c r="B12" s="124" t="s">
        <v>394</v>
      </c>
      <c r="C12" s="124" t="s">
        <v>395</v>
      </c>
      <c r="D12" s="124" t="s">
        <v>45</v>
      </c>
      <c r="E12" s="125">
        <v>255389</v>
      </c>
      <c r="F12" s="126">
        <v>9105.0009334999995</v>
      </c>
      <c r="G12" s="127">
        <v>5.5877089999999997E-2</v>
      </c>
      <c r="H12" s="122" t="s">
        <v>153</v>
      </c>
      <c r="J12" s="7"/>
    </row>
    <row r="13" spans="1:10" x14ac:dyDescent="0.2">
      <c r="A13" s="123">
        <v>7</v>
      </c>
      <c r="B13" s="124" t="s">
        <v>338</v>
      </c>
      <c r="C13" s="124" t="s">
        <v>339</v>
      </c>
      <c r="D13" s="124" t="s">
        <v>273</v>
      </c>
      <c r="E13" s="125">
        <v>64616</v>
      </c>
      <c r="F13" s="126">
        <v>8014.3224799999998</v>
      </c>
      <c r="G13" s="127">
        <v>4.9183629999999999E-2</v>
      </c>
      <c r="H13" s="122" t="s">
        <v>153</v>
      </c>
      <c r="J13" s="2"/>
    </row>
    <row r="14" spans="1:10" x14ac:dyDescent="0.2">
      <c r="A14" s="123">
        <v>8</v>
      </c>
      <c r="B14" s="124" t="s">
        <v>544</v>
      </c>
      <c r="C14" s="124" t="s">
        <v>545</v>
      </c>
      <c r="D14" s="124" t="s">
        <v>264</v>
      </c>
      <c r="E14" s="125">
        <v>480998</v>
      </c>
      <c r="F14" s="126">
        <v>7091.5940129999999</v>
      </c>
      <c r="G14" s="127">
        <v>4.3520870000000003E-2</v>
      </c>
      <c r="H14" s="122" t="s">
        <v>153</v>
      </c>
      <c r="J14" s="2"/>
    </row>
    <row r="15" spans="1:10" x14ac:dyDescent="0.2">
      <c r="A15" s="123">
        <v>9</v>
      </c>
      <c r="B15" s="124" t="s">
        <v>502</v>
      </c>
      <c r="C15" s="124" t="s">
        <v>503</v>
      </c>
      <c r="D15" s="124" t="s">
        <v>504</v>
      </c>
      <c r="E15" s="125">
        <v>766731</v>
      </c>
      <c r="F15" s="126">
        <v>6235.0564919999997</v>
      </c>
      <c r="G15" s="127">
        <v>3.8264329999999999E-2</v>
      </c>
      <c r="H15" s="122" t="s">
        <v>153</v>
      </c>
      <c r="J15" s="2"/>
    </row>
    <row r="16" spans="1:10" x14ac:dyDescent="0.2">
      <c r="A16" s="123">
        <v>10</v>
      </c>
      <c r="B16" s="124" t="s">
        <v>409</v>
      </c>
      <c r="C16" s="124" t="s">
        <v>410</v>
      </c>
      <c r="D16" s="124" t="s">
        <v>45</v>
      </c>
      <c r="E16" s="125">
        <v>246492</v>
      </c>
      <c r="F16" s="126">
        <v>6103.6349039999996</v>
      </c>
      <c r="G16" s="127">
        <v>3.7457799999999999E-2</v>
      </c>
      <c r="H16" s="122" t="s">
        <v>153</v>
      </c>
      <c r="J16" s="2"/>
    </row>
    <row r="17" spans="1:10" x14ac:dyDescent="0.2">
      <c r="A17" s="123">
        <v>11</v>
      </c>
      <c r="B17" s="124" t="s">
        <v>346</v>
      </c>
      <c r="C17" s="124" t="s">
        <v>347</v>
      </c>
      <c r="D17" s="124" t="s">
        <v>198</v>
      </c>
      <c r="E17" s="125">
        <v>2108576</v>
      </c>
      <c r="F17" s="126">
        <v>5282.6154527999997</v>
      </c>
      <c r="G17" s="127">
        <v>3.241923E-2</v>
      </c>
      <c r="H17" s="122" t="s">
        <v>153</v>
      </c>
      <c r="J17" s="2"/>
    </row>
    <row r="18" spans="1:10" x14ac:dyDescent="0.2">
      <c r="A18" s="123">
        <v>12</v>
      </c>
      <c r="B18" s="124" t="s">
        <v>753</v>
      </c>
      <c r="C18" s="124" t="s">
        <v>754</v>
      </c>
      <c r="D18" s="124" t="s">
        <v>216</v>
      </c>
      <c r="E18" s="125">
        <v>68048</v>
      </c>
      <c r="F18" s="126">
        <v>4714.0252</v>
      </c>
      <c r="G18" s="127">
        <v>2.892981E-2</v>
      </c>
      <c r="H18" s="122" t="s">
        <v>153</v>
      </c>
      <c r="J18" s="2"/>
    </row>
    <row r="19" spans="1:10" x14ac:dyDescent="0.2">
      <c r="A19" s="123">
        <v>13</v>
      </c>
      <c r="B19" s="124" t="s">
        <v>747</v>
      </c>
      <c r="C19" s="124" t="s">
        <v>748</v>
      </c>
      <c r="D19" s="124" t="s">
        <v>89</v>
      </c>
      <c r="E19" s="125">
        <v>42124</v>
      </c>
      <c r="F19" s="126">
        <v>4236.7055479999999</v>
      </c>
      <c r="G19" s="127">
        <v>2.6000519999999999E-2</v>
      </c>
      <c r="H19" s="122" t="s">
        <v>153</v>
      </c>
      <c r="J19" s="2" t="s">
        <v>1036</v>
      </c>
    </row>
    <row r="20" spans="1:10" x14ac:dyDescent="0.2">
      <c r="A20" s="123">
        <v>14</v>
      </c>
      <c r="B20" s="124" t="s">
        <v>686</v>
      </c>
      <c r="C20" s="124" t="s">
        <v>687</v>
      </c>
      <c r="D20" s="124" t="s">
        <v>278</v>
      </c>
      <c r="E20" s="125">
        <v>169170</v>
      </c>
      <c r="F20" s="126">
        <v>4230.5187749999996</v>
      </c>
      <c r="G20" s="127">
        <v>2.5962550000000001E-2</v>
      </c>
      <c r="H20" s="122" t="s">
        <v>153</v>
      </c>
      <c r="J20" s="2"/>
    </row>
    <row r="21" spans="1:10" x14ac:dyDescent="0.2">
      <c r="A21" s="123">
        <v>15</v>
      </c>
      <c r="B21" s="124" t="s">
        <v>354</v>
      </c>
      <c r="C21" s="124" t="s">
        <v>355</v>
      </c>
      <c r="D21" s="124" t="s">
        <v>264</v>
      </c>
      <c r="E21" s="125">
        <v>237937</v>
      </c>
      <c r="F21" s="126">
        <v>3571.1964330000001</v>
      </c>
      <c r="G21" s="127">
        <v>2.1916310000000001E-2</v>
      </c>
      <c r="H21" s="122" t="s">
        <v>153</v>
      </c>
      <c r="J21" s="2"/>
    </row>
    <row r="22" spans="1:10" ht="15" x14ac:dyDescent="0.2">
      <c r="A22" s="123">
        <v>16</v>
      </c>
      <c r="B22" s="124" t="s">
        <v>244</v>
      </c>
      <c r="C22" s="124" t="s">
        <v>245</v>
      </c>
      <c r="D22" s="124" t="s">
        <v>198</v>
      </c>
      <c r="E22" s="125">
        <v>43401</v>
      </c>
      <c r="F22" s="126">
        <v>3332.675988</v>
      </c>
      <c r="G22" s="127">
        <v>2.0452519999999998E-2</v>
      </c>
      <c r="H22" s="122" t="s">
        <v>153</v>
      </c>
      <c r="J22" s="7"/>
    </row>
    <row r="23" spans="1:10" x14ac:dyDescent="0.2">
      <c r="A23" s="123">
        <v>17</v>
      </c>
      <c r="B23" s="124" t="s">
        <v>803</v>
      </c>
      <c r="C23" s="124" t="s">
        <v>804</v>
      </c>
      <c r="D23" s="124" t="s">
        <v>198</v>
      </c>
      <c r="E23" s="125">
        <v>1455430</v>
      </c>
      <c r="F23" s="126">
        <v>3264.0928610000001</v>
      </c>
      <c r="G23" s="127">
        <v>2.0031630000000002E-2</v>
      </c>
      <c r="H23" s="122" t="s">
        <v>153</v>
      </c>
      <c r="J23" s="2"/>
    </row>
    <row r="24" spans="1:10" x14ac:dyDescent="0.2">
      <c r="A24" s="123">
        <v>18</v>
      </c>
      <c r="B24" s="124" t="s">
        <v>69</v>
      </c>
      <c r="C24" s="124" t="s">
        <v>70</v>
      </c>
      <c r="D24" s="124" t="s">
        <v>71</v>
      </c>
      <c r="E24" s="125">
        <v>262525</v>
      </c>
      <c r="F24" s="126">
        <v>3162.2448875</v>
      </c>
      <c r="G24" s="127">
        <v>1.9406590000000001E-2</v>
      </c>
      <c r="H24" s="122" t="s">
        <v>153</v>
      </c>
      <c r="J24" s="2"/>
    </row>
    <row r="25" spans="1:10" x14ac:dyDescent="0.2">
      <c r="A25" s="123">
        <v>19</v>
      </c>
      <c r="B25" s="124" t="s">
        <v>684</v>
      </c>
      <c r="C25" s="124" t="s">
        <v>685</v>
      </c>
      <c r="D25" s="124" t="s">
        <v>278</v>
      </c>
      <c r="E25" s="125">
        <v>51578</v>
      </c>
      <c r="F25" s="126">
        <v>3020.020845</v>
      </c>
      <c r="G25" s="127">
        <v>1.8533770000000001E-2</v>
      </c>
      <c r="H25" s="122" t="s">
        <v>153</v>
      </c>
      <c r="J25" s="2"/>
    </row>
    <row r="26" spans="1:10" x14ac:dyDescent="0.2">
      <c r="A26" s="123">
        <v>20</v>
      </c>
      <c r="B26" s="124" t="s">
        <v>546</v>
      </c>
      <c r="C26" s="124" t="s">
        <v>547</v>
      </c>
      <c r="D26" s="124" t="s">
        <v>273</v>
      </c>
      <c r="E26" s="125">
        <v>25666</v>
      </c>
      <c r="F26" s="126">
        <v>2795.4252230000002</v>
      </c>
      <c r="G26" s="127">
        <v>1.7155429999999999E-2</v>
      </c>
      <c r="H26" s="122" t="s">
        <v>153</v>
      </c>
      <c r="J26" s="2"/>
    </row>
    <row r="27" spans="1:10" x14ac:dyDescent="0.2">
      <c r="A27" s="123">
        <v>21</v>
      </c>
      <c r="B27" s="124" t="s">
        <v>122</v>
      </c>
      <c r="C27" s="124" t="s">
        <v>123</v>
      </c>
      <c r="D27" s="124" t="s">
        <v>74</v>
      </c>
      <c r="E27" s="125">
        <v>276870</v>
      </c>
      <c r="F27" s="126">
        <v>2706.5426849999999</v>
      </c>
      <c r="G27" s="127">
        <v>1.660996E-2</v>
      </c>
      <c r="H27" s="122" t="s">
        <v>153</v>
      </c>
      <c r="J27" s="2"/>
    </row>
    <row r="28" spans="1:10" x14ac:dyDescent="0.2">
      <c r="A28" s="123">
        <v>22</v>
      </c>
      <c r="B28" s="124" t="s">
        <v>715</v>
      </c>
      <c r="C28" s="124" t="s">
        <v>716</v>
      </c>
      <c r="D28" s="124" t="s">
        <v>45</v>
      </c>
      <c r="E28" s="125">
        <v>83527</v>
      </c>
      <c r="F28" s="126">
        <v>2611.7222360000001</v>
      </c>
      <c r="G28" s="127">
        <v>1.6028049999999999E-2</v>
      </c>
      <c r="H28" s="122" t="s">
        <v>153</v>
      </c>
      <c r="J28" s="2"/>
    </row>
    <row r="29" spans="1:10" x14ac:dyDescent="0.2">
      <c r="A29" s="123">
        <v>23</v>
      </c>
      <c r="B29" s="124" t="s">
        <v>196</v>
      </c>
      <c r="C29" s="124" t="s">
        <v>197</v>
      </c>
      <c r="D29" s="124" t="s">
        <v>198</v>
      </c>
      <c r="E29" s="125">
        <v>35301</v>
      </c>
      <c r="F29" s="126">
        <v>2527.1103374999998</v>
      </c>
      <c r="G29" s="127">
        <v>1.550879E-2</v>
      </c>
      <c r="H29" s="122" t="s">
        <v>153</v>
      </c>
      <c r="J29" s="2"/>
    </row>
    <row r="30" spans="1:10" x14ac:dyDescent="0.2">
      <c r="A30" s="123">
        <v>24</v>
      </c>
      <c r="B30" s="124" t="s">
        <v>722</v>
      </c>
      <c r="C30" s="124" t="s">
        <v>723</v>
      </c>
      <c r="D30" s="124" t="s">
        <v>198</v>
      </c>
      <c r="E30" s="125">
        <v>47556</v>
      </c>
      <c r="F30" s="126">
        <v>2343.2981220000001</v>
      </c>
      <c r="G30" s="127">
        <v>1.4380739999999999E-2</v>
      </c>
      <c r="H30" s="122" t="s">
        <v>153</v>
      </c>
      <c r="J30" s="2"/>
    </row>
    <row r="31" spans="1:10" x14ac:dyDescent="0.2">
      <c r="A31" s="123">
        <v>25</v>
      </c>
      <c r="B31" s="124" t="s">
        <v>276</v>
      </c>
      <c r="C31" s="124" t="s">
        <v>277</v>
      </c>
      <c r="D31" s="124" t="s">
        <v>278</v>
      </c>
      <c r="E31" s="125">
        <v>151951</v>
      </c>
      <c r="F31" s="126">
        <v>1992.9893159999999</v>
      </c>
      <c r="G31" s="127">
        <v>1.2230909999999999E-2</v>
      </c>
      <c r="H31" s="122" t="s">
        <v>153</v>
      </c>
      <c r="J31" s="2"/>
    </row>
    <row r="32" spans="1:10" x14ac:dyDescent="0.2">
      <c r="A32" s="123">
        <v>26</v>
      </c>
      <c r="B32" s="124" t="s">
        <v>262</v>
      </c>
      <c r="C32" s="124" t="s">
        <v>263</v>
      </c>
      <c r="D32" s="124" t="s">
        <v>264</v>
      </c>
      <c r="E32" s="125">
        <v>82792</v>
      </c>
      <c r="F32" s="126">
        <v>1697.6085639999999</v>
      </c>
      <c r="G32" s="127">
        <v>1.0418169999999999E-2</v>
      </c>
      <c r="H32" s="122" t="s">
        <v>153</v>
      </c>
      <c r="J32" s="2"/>
    </row>
    <row r="33" spans="1:10" x14ac:dyDescent="0.2">
      <c r="A33" s="123">
        <v>27</v>
      </c>
      <c r="B33" s="124" t="s">
        <v>301</v>
      </c>
      <c r="C33" s="124" t="s">
        <v>302</v>
      </c>
      <c r="D33" s="124" t="s">
        <v>236</v>
      </c>
      <c r="E33" s="125">
        <v>766558</v>
      </c>
      <c r="F33" s="126">
        <v>1348.4521778000001</v>
      </c>
      <c r="G33" s="127">
        <v>8.2754100000000004E-3</v>
      </c>
      <c r="H33" s="122" t="s">
        <v>153</v>
      </c>
      <c r="J33" s="2"/>
    </row>
    <row r="34" spans="1:10" x14ac:dyDescent="0.2">
      <c r="A34" s="123">
        <v>28</v>
      </c>
      <c r="B34" s="124" t="s">
        <v>805</v>
      </c>
      <c r="C34" s="124" t="s">
        <v>806</v>
      </c>
      <c r="D34" s="124" t="s">
        <v>45</v>
      </c>
      <c r="E34" s="125">
        <v>257002</v>
      </c>
      <c r="F34" s="126">
        <v>1293.7480680000001</v>
      </c>
      <c r="G34" s="127">
        <v>7.9396899999999992E-3</v>
      </c>
      <c r="H34" s="122" t="s">
        <v>153</v>
      </c>
      <c r="J34" s="2"/>
    </row>
    <row r="35" spans="1:10" x14ac:dyDescent="0.2">
      <c r="A35" s="123">
        <v>29</v>
      </c>
      <c r="B35" s="124" t="s">
        <v>807</v>
      </c>
      <c r="C35" s="124" t="s">
        <v>808</v>
      </c>
      <c r="D35" s="124" t="s">
        <v>367</v>
      </c>
      <c r="E35" s="125">
        <v>228089</v>
      </c>
      <c r="F35" s="126">
        <v>1231.224422</v>
      </c>
      <c r="G35" s="127">
        <v>7.5559800000000003E-3</v>
      </c>
      <c r="H35" s="122" t="s">
        <v>153</v>
      </c>
      <c r="J35" s="2"/>
    </row>
    <row r="36" spans="1:10" x14ac:dyDescent="0.2">
      <c r="A36" s="123">
        <v>30</v>
      </c>
      <c r="B36" s="124" t="s">
        <v>234</v>
      </c>
      <c r="C36" s="124" t="s">
        <v>235</v>
      </c>
      <c r="D36" s="124" t="s">
        <v>236</v>
      </c>
      <c r="E36" s="125">
        <v>151078</v>
      </c>
      <c r="F36" s="126">
        <v>982.46023400000001</v>
      </c>
      <c r="G36" s="127">
        <v>6.0293300000000003E-3</v>
      </c>
      <c r="H36" s="122" t="s">
        <v>153</v>
      </c>
      <c r="J36" s="2"/>
    </row>
    <row r="37" spans="1:10" x14ac:dyDescent="0.2">
      <c r="A37" s="123">
        <v>31</v>
      </c>
      <c r="B37" s="124" t="s">
        <v>251</v>
      </c>
      <c r="C37" s="124" t="s">
        <v>252</v>
      </c>
      <c r="D37" s="124" t="s">
        <v>236</v>
      </c>
      <c r="E37" s="125">
        <v>93809</v>
      </c>
      <c r="F37" s="126">
        <v>783.44586349999997</v>
      </c>
      <c r="G37" s="127">
        <v>4.8079799999999999E-3</v>
      </c>
      <c r="H37" s="122" t="s">
        <v>153</v>
      </c>
      <c r="J37" s="2"/>
    </row>
    <row r="38" spans="1:10" x14ac:dyDescent="0.2">
      <c r="A38" s="120"/>
      <c r="B38" s="120"/>
      <c r="C38" s="121" t="s">
        <v>152</v>
      </c>
      <c r="D38" s="120"/>
      <c r="E38" s="120" t="s">
        <v>153</v>
      </c>
      <c r="F38" s="128">
        <v>158129.80660410001</v>
      </c>
      <c r="G38" s="129">
        <v>0.97043731</v>
      </c>
      <c r="H38" s="122" t="s">
        <v>153</v>
      </c>
      <c r="J38" s="2"/>
    </row>
    <row r="39" spans="1:10" x14ac:dyDescent="0.2">
      <c r="A39" s="120"/>
      <c r="B39" s="120"/>
      <c r="C39" s="130"/>
      <c r="D39" s="120"/>
      <c r="E39" s="120"/>
      <c r="F39" s="131"/>
      <c r="G39" s="131"/>
      <c r="H39" s="122" t="s">
        <v>153</v>
      </c>
      <c r="J39" s="2"/>
    </row>
    <row r="40" spans="1:10" x14ac:dyDescent="0.2">
      <c r="A40" s="120"/>
      <c r="B40" s="120"/>
      <c r="C40" s="121" t="s">
        <v>154</v>
      </c>
      <c r="D40" s="120"/>
      <c r="E40" s="120"/>
      <c r="F40" s="120"/>
      <c r="G40" s="120"/>
      <c r="H40" s="122" t="s">
        <v>153</v>
      </c>
      <c r="J40" s="2"/>
    </row>
    <row r="41" spans="1:10" x14ac:dyDescent="0.2">
      <c r="A41" s="120"/>
      <c r="B41" s="120"/>
      <c r="C41" s="121" t="s">
        <v>152</v>
      </c>
      <c r="D41" s="120"/>
      <c r="E41" s="120" t="s">
        <v>153</v>
      </c>
      <c r="F41" s="132" t="s">
        <v>155</v>
      </c>
      <c r="G41" s="129">
        <v>0</v>
      </c>
      <c r="H41" s="122" t="s">
        <v>153</v>
      </c>
      <c r="J41" s="2"/>
    </row>
    <row r="42" spans="1:10" x14ac:dyDescent="0.2">
      <c r="A42" s="120"/>
      <c r="B42" s="120"/>
      <c r="C42" s="130"/>
      <c r="D42" s="120"/>
      <c r="E42" s="120"/>
      <c r="F42" s="131"/>
      <c r="G42" s="131"/>
      <c r="H42" s="122" t="s">
        <v>153</v>
      </c>
      <c r="J42" s="2"/>
    </row>
    <row r="43" spans="1:10" x14ac:dyDescent="0.2">
      <c r="A43" s="120"/>
      <c r="B43" s="120"/>
      <c r="C43" s="121" t="s">
        <v>156</v>
      </c>
      <c r="D43" s="120"/>
      <c r="E43" s="120"/>
      <c r="F43" s="120"/>
      <c r="G43" s="120"/>
      <c r="H43" s="122" t="s">
        <v>153</v>
      </c>
      <c r="J43" s="2"/>
    </row>
    <row r="44" spans="1:10" x14ac:dyDescent="0.2">
      <c r="A44" s="120"/>
      <c r="B44" s="120"/>
      <c r="C44" s="121" t="s">
        <v>152</v>
      </c>
      <c r="D44" s="120"/>
      <c r="E44" s="120" t="s">
        <v>153</v>
      </c>
      <c r="F44" s="132" t="s">
        <v>155</v>
      </c>
      <c r="G44" s="129">
        <v>0</v>
      </c>
      <c r="H44" s="122" t="s">
        <v>153</v>
      </c>
      <c r="J44" s="2"/>
    </row>
    <row r="45" spans="1:10" x14ac:dyDescent="0.2">
      <c r="A45" s="120"/>
      <c r="B45" s="120"/>
      <c r="C45" s="130"/>
      <c r="D45" s="120"/>
      <c r="E45" s="120"/>
      <c r="F45" s="131"/>
      <c r="G45" s="131"/>
      <c r="H45" s="122" t="s">
        <v>153</v>
      </c>
      <c r="J45" s="2"/>
    </row>
    <row r="46" spans="1:10" x14ac:dyDescent="0.2">
      <c r="A46" s="120"/>
      <c r="B46" s="120"/>
      <c r="C46" s="121" t="s">
        <v>157</v>
      </c>
      <c r="D46" s="120"/>
      <c r="E46" s="120"/>
      <c r="F46" s="120"/>
      <c r="G46" s="120"/>
      <c r="H46" s="122" t="s">
        <v>153</v>
      </c>
      <c r="J46" s="2"/>
    </row>
    <row r="47" spans="1:10" x14ac:dyDescent="0.2">
      <c r="A47" s="120"/>
      <c r="B47" s="120"/>
      <c r="C47" s="121" t="s">
        <v>152</v>
      </c>
      <c r="D47" s="120"/>
      <c r="E47" s="120" t="s">
        <v>153</v>
      </c>
      <c r="F47" s="132" t="s">
        <v>155</v>
      </c>
      <c r="G47" s="129">
        <v>0</v>
      </c>
      <c r="H47" s="122" t="s">
        <v>153</v>
      </c>
      <c r="J47" s="2"/>
    </row>
    <row r="48" spans="1:10" x14ac:dyDescent="0.2">
      <c r="A48" s="120"/>
      <c r="B48" s="120"/>
      <c r="C48" s="130"/>
      <c r="D48" s="120"/>
      <c r="E48" s="120"/>
      <c r="F48" s="131"/>
      <c r="G48" s="131"/>
      <c r="H48" s="122" t="s">
        <v>153</v>
      </c>
      <c r="J48" s="2"/>
    </row>
    <row r="49" spans="1:10" x14ac:dyDescent="0.2">
      <c r="A49" s="120"/>
      <c r="B49" s="120"/>
      <c r="C49" s="121" t="s">
        <v>158</v>
      </c>
      <c r="D49" s="120"/>
      <c r="E49" s="120"/>
      <c r="F49" s="131"/>
      <c r="G49" s="131"/>
      <c r="H49" s="122" t="s">
        <v>153</v>
      </c>
      <c r="J49" s="2"/>
    </row>
    <row r="50" spans="1:10" x14ac:dyDescent="0.2">
      <c r="A50" s="120"/>
      <c r="B50" s="120"/>
      <c r="C50" s="121" t="s">
        <v>152</v>
      </c>
      <c r="D50" s="120"/>
      <c r="E50" s="120" t="s">
        <v>153</v>
      </c>
      <c r="F50" s="132" t="s">
        <v>155</v>
      </c>
      <c r="G50" s="129">
        <v>0</v>
      </c>
      <c r="H50" s="122" t="s">
        <v>153</v>
      </c>
      <c r="J50" s="2"/>
    </row>
    <row r="51" spans="1:10" x14ac:dyDescent="0.2">
      <c r="A51" s="120"/>
      <c r="B51" s="120"/>
      <c r="C51" s="130"/>
      <c r="D51" s="120"/>
      <c r="E51" s="120"/>
      <c r="F51" s="131"/>
      <c r="G51" s="131"/>
      <c r="H51" s="122" t="s">
        <v>153</v>
      </c>
      <c r="J51" s="2"/>
    </row>
    <row r="52" spans="1:10" x14ac:dyDescent="0.2">
      <c r="A52" s="120"/>
      <c r="B52" s="120"/>
      <c r="C52" s="121" t="s">
        <v>159</v>
      </c>
      <c r="D52" s="120"/>
      <c r="E52" s="120"/>
      <c r="F52" s="131"/>
      <c r="G52" s="131"/>
      <c r="H52" s="122" t="s">
        <v>153</v>
      </c>
      <c r="J52" s="2"/>
    </row>
    <row r="53" spans="1:10" x14ac:dyDescent="0.2">
      <c r="A53" s="120"/>
      <c r="B53" s="120"/>
      <c r="C53" s="121" t="s">
        <v>152</v>
      </c>
      <c r="D53" s="120"/>
      <c r="E53" s="120" t="s">
        <v>153</v>
      </c>
      <c r="F53" s="132" t="s">
        <v>155</v>
      </c>
      <c r="G53" s="129">
        <v>0</v>
      </c>
      <c r="H53" s="122" t="s">
        <v>153</v>
      </c>
      <c r="J53" s="2"/>
    </row>
    <row r="54" spans="1:10" x14ac:dyDescent="0.2">
      <c r="A54" s="120"/>
      <c r="B54" s="120"/>
      <c r="C54" s="130"/>
      <c r="D54" s="120"/>
      <c r="E54" s="120"/>
      <c r="F54" s="131"/>
      <c r="G54" s="131"/>
      <c r="H54" s="122" t="s">
        <v>153</v>
      </c>
      <c r="J54" s="2"/>
    </row>
    <row r="55" spans="1:10" x14ac:dyDescent="0.2">
      <c r="A55" s="120"/>
      <c r="B55" s="120"/>
      <c r="C55" s="121" t="s">
        <v>160</v>
      </c>
      <c r="D55" s="120"/>
      <c r="E55" s="120"/>
      <c r="F55" s="128">
        <v>158129.80660410001</v>
      </c>
      <c r="G55" s="129">
        <v>0.97043731</v>
      </c>
      <c r="H55" s="122" t="s">
        <v>153</v>
      </c>
      <c r="J55" s="2"/>
    </row>
    <row r="56" spans="1:10" x14ac:dyDescent="0.2">
      <c r="A56" s="120"/>
      <c r="B56" s="120"/>
      <c r="C56" s="130"/>
      <c r="D56" s="120"/>
      <c r="E56" s="120"/>
      <c r="F56" s="131"/>
      <c r="G56" s="131"/>
      <c r="H56" s="122" t="s">
        <v>153</v>
      </c>
      <c r="J56" s="2"/>
    </row>
    <row r="57" spans="1:10" x14ac:dyDescent="0.2">
      <c r="A57" s="120"/>
      <c r="B57" s="120"/>
      <c r="C57" s="121" t="s">
        <v>161</v>
      </c>
      <c r="D57" s="120"/>
      <c r="E57" s="120"/>
      <c r="F57" s="131"/>
      <c r="G57" s="131"/>
      <c r="H57" s="122" t="s">
        <v>153</v>
      </c>
      <c r="J57" s="2"/>
    </row>
    <row r="58" spans="1:10" ht="25.5" x14ac:dyDescent="0.2">
      <c r="A58" s="120"/>
      <c r="B58" s="120"/>
      <c r="C58" s="121" t="s">
        <v>10</v>
      </c>
      <c r="D58" s="120"/>
      <c r="E58" s="120"/>
      <c r="F58" s="131"/>
      <c r="G58" s="131"/>
      <c r="H58" s="122" t="s">
        <v>153</v>
      </c>
      <c r="J58" s="2"/>
    </row>
    <row r="59" spans="1:10" x14ac:dyDescent="0.2">
      <c r="A59" s="120"/>
      <c r="B59" s="120"/>
      <c r="C59" s="121" t="s">
        <v>152</v>
      </c>
      <c r="D59" s="120"/>
      <c r="E59" s="120" t="s">
        <v>153</v>
      </c>
      <c r="F59" s="132" t="s">
        <v>155</v>
      </c>
      <c r="G59" s="129">
        <v>0</v>
      </c>
      <c r="H59" s="122" t="s">
        <v>153</v>
      </c>
      <c r="J59" s="2"/>
    </row>
    <row r="60" spans="1:10" x14ac:dyDescent="0.2">
      <c r="A60" s="120"/>
      <c r="B60" s="120"/>
      <c r="C60" s="130"/>
      <c r="D60" s="120"/>
      <c r="E60" s="120"/>
      <c r="F60" s="131"/>
      <c r="G60" s="131"/>
      <c r="H60" s="122" t="s">
        <v>153</v>
      </c>
      <c r="J60" s="2"/>
    </row>
    <row r="61" spans="1:10" x14ac:dyDescent="0.2">
      <c r="A61" s="120"/>
      <c r="B61" s="120"/>
      <c r="C61" s="121" t="s">
        <v>162</v>
      </c>
      <c r="D61" s="120"/>
      <c r="E61" s="120"/>
      <c r="F61" s="120"/>
      <c r="G61" s="120"/>
      <c r="H61" s="122" t="s">
        <v>153</v>
      </c>
      <c r="J61" s="2"/>
    </row>
    <row r="62" spans="1:10" x14ac:dyDescent="0.2">
      <c r="A62" s="120"/>
      <c r="B62" s="120"/>
      <c r="C62" s="121" t="s">
        <v>152</v>
      </c>
      <c r="D62" s="120"/>
      <c r="E62" s="120" t="s">
        <v>153</v>
      </c>
      <c r="F62" s="132" t="s">
        <v>155</v>
      </c>
      <c r="G62" s="129">
        <v>0</v>
      </c>
      <c r="H62" s="122" t="s">
        <v>153</v>
      </c>
      <c r="J62" s="2"/>
    </row>
    <row r="63" spans="1:10" x14ac:dyDescent="0.2">
      <c r="A63" s="120"/>
      <c r="B63" s="120"/>
      <c r="C63" s="130"/>
      <c r="D63" s="120"/>
      <c r="E63" s="120"/>
      <c r="F63" s="131"/>
      <c r="G63" s="131"/>
      <c r="H63" s="122" t="s">
        <v>153</v>
      </c>
      <c r="J63" s="2"/>
    </row>
    <row r="64" spans="1:10" x14ac:dyDescent="0.2">
      <c r="A64" s="120"/>
      <c r="B64" s="120"/>
      <c r="C64" s="121" t="s">
        <v>163</v>
      </c>
      <c r="D64" s="120"/>
      <c r="E64" s="120"/>
      <c r="F64" s="120"/>
      <c r="G64" s="120"/>
      <c r="H64" s="122" t="s">
        <v>153</v>
      </c>
      <c r="J64" s="2"/>
    </row>
    <row r="65" spans="1:10" x14ac:dyDescent="0.2">
      <c r="A65" s="120"/>
      <c r="B65" s="120"/>
      <c r="C65" s="121" t="s">
        <v>152</v>
      </c>
      <c r="D65" s="120"/>
      <c r="E65" s="120" t="s">
        <v>153</v>
      </c>
      <c r="F65" s="132" t="s">
        <v>155</v>
      </c>
      <c r="G65" s="129">
        <v>0</v>
      </c>
      <c r="H65" s="122" t="s">
        <v>153</v>
      </c>
      <c r="J65" s="2"/>
    </row>
    <row r="66" spans="1:10" x14ac:dyDescent="0.2">
      <c r="A66" s="120"/>
      <c r="B66" s="120"/>
      <c r="C66" s="130"/>
      <c r="D66" s="120"/>
      <c r="E66" s="120"/>
      <c r="F66" s="131"/>
      <c r="G66" s="131"/>
      <c r="H66" s="122" t="s">
        <v>153</v>
      </c>
      <c r="J66" s="2"/>
    </row>
    <row r="67" spans="1:10" x14ac:dyDescent="0.2">
      <c r="A67" s="120"/>
      <c r="B67" s="120"/>
      <c r="C67" s="121" t="s">
        <v>164</v>
      </c>
      <c r="D67" s="120"/>
      <c r="E67" s="120"/>
      <c r="F67" s="131"/>
      <c r="G67" s="131"/>
      <c r="H67" s="122" t="s">
        <v>153</v>
      </c>
      <c r="J67" s="2"/>
    </row>
    <row r="68" spans="1:10" x14ac:dyDescent="0.2">
      <c r="A68" s="120"/>
      <c r="B68" s="120"/>
      <c r="C68" s="121" t="s">
        <v>152</v>
      </c>
      <c r="D68" s="120"/>
      <c r="E68" s="120" t="s">
        <v>153</v>
      </c>
      <c r="F68" s="132" t="s">
        <v>155</v>
      </c>
      <c r="G68" s="129">
        <v>0</v>
      </c>
      <c r="H68" s="122" t="s">
        <v>153</v>
      </c>
      <c r="J68" s="2"/>
    </row>
    <row r="69" spans="1:10" x14ac:dyDescent="0.2">
      <c r="A69" s="120"/>
      <c r="B69" s="120"/>
      <c r="C69" s="130"/>
      <c r="D69" s="120"/>
      <c r="E69" s="120"/>
      <c r="F69" s="131"/>
      <c r="G69" s="131"/>
      <c r="H69" s="122" t="s">
        <v>153</v>
      </c>
      <c r="J69" s="2"/>
    </row>
    <row r="70" spans="1:10" x14ac:dyDescent="0.2">
      <c r="A70" s="120"/>
      <c r="B70" s="120"/>
      <c r="C70" s="121" t="s">
        <v>165</v>
      </c>
      <c r="D70" s="120"/>
      <c r="E70" s="120"/>
      <c r="F70" s="128">
        <v>0</v>
      </c>
      <c r="G70" s="129">
        <v>0</v>
      </c>
      <c r="H70" s="122" t="s">
        <v>153</v>
      </c>
      <c r="J70" s="2"/>
    </row>
    <row r="71" spans="1:10" x14ac:dyDescent="0.2">
      <c r="A71" s="120"/>
      <c r="B71" s="120"/>
      <c r="C71" s="130"/>
      <c r="D71" s="120"/>
      <c r="E71" s="120"/>
      <c r="F71" s="131"/>
      <c r="G71" s="131"/>
      <c r="H71" s="122" t="s">
        <v>153</v>
      </c>
      <c r="J71" s="2"/>
    </row>
    <row r="72" spans="1:10" x14ac:dyDescent="0.2">
      <c r="A72" s="120"/>
      <c r="B72" s="120"/>
      <c r="C72" s="121" t="s">
        <v>166</v>
      </c>
      <c r="D72" s="120"/>
      <c r="E72" s="120"/>
      <c r="F72" s="131"/>
      <c r="G72" s="131"/>
      <c r="H72" s="122" t="s">
        <v>153</v>
      </c>
      <c r="J72" s="2"/>
    </row>
    <row r="73" spans="1:10" x14ac:dyDescent="0.2">
      <c r="A73" s="120"/>
      <c r="B73" s="120"/>
      <c r="C73" s="121" t="s">
        <v>167</v>
      </c>
      <c r="D73" s="120"/>
      <c r="E73" s="120"/>
      <c r="F73" s="131"/>
      <c r="G73" s="131"/>
      <c r="H73" s="122" t="s">
        <v>153</v>
      </c>
      <c r="J73" s="2"/>
    </row>
    <row r="74" spans="1:10" x14ac:dyDescent="0.2">
      <c r="A74" s="120"/>
      <c r="B74" s="120"/>
      <c r="C74" s="121" t="s">
        <v>152</v>
      </c>
      <c r="D74" s="120"/>
      <c r="E74" s="120" t="s">
        <v>153</v>
      </c>
      <c r="F74" s="132" t="s">
        <v>155</v>
      </c>
      <c r="G74" s="129">
        <v>0</v>
      </c>
      <c r="H74" s="122" t="s">
        <v>153</v>
      </c>
      <c r="J74" s="2"/>
    </row>
    <row r="75" spans="1:10" x14ac:dyDescent="0.2">
      <c r="A75" s="120"/>
      <c r="B75" s="120"/>
      <c r="C75" s="130"/>
      <c r="D75" s="120"/>
      <c r="E75" s="120"/>
      <c r="F75" s="131"/>
      <c r="G75" s="131"/>
      <c r="H75" s="122" t="s">
        <v>153</v>
      </c>
      <c r="J75" s="2"/>
    </row>
    <row r="76" spans="1:10" x14ac:dyDescent="0.2">
      <c r="A76" s="120"/>
      <c r="B76" s="120"/>
      <c r="C76" s="121" t="s">
        <v>168</v>
      </c>
      <c r="D76" s="120"/>
      <c r="E76" s="120"/>
      <c r="F76" s="131"/>
      <c r="G76" s="131"/>
      <c r="H76" s="122" t="s">
        <v>153</v>
      </c>
      <c r="J76" s="2"/>
    </row>
    <row r="77" spans="1:10" x14ac:dyDescent="0.2">
      <c r="A77" s="120"/>
      <c r="B77" s="120"/>
      <c r="C77" s="121" t="s">
        <v>152</v>
      </c>
      <c r="D77" s="120"/>
      <c r="E77" s="120" t="s">
        <v>153</v>
      </c>
      <c r="F77" s="132" t="s">
        <v>155</v>
      </c>
      <c r="G77" s="129">
        <v>0</v>
      </c>
      <c r="H77" s="122" t="s">
        <v>153</v>
      </c>
      <c r="J77" s="2"/>
    </row>
    <row r="78" spans="1:10" x14ac:dyDescent="0.2">
      <c r="A78" s="120"/>
      <c r="B78" s="120"/>
      <c r="C78" s="130"/>
      <c r="D78" s="120"/>
      <c r="E78" s="120"/>
      <c r="F78" s="131"/>
      <c r="G78" s="131"/>
      <c r="H78" s="122" t="s">
        <v>153</v>
      </c>
      <c r="J78" s="2"/>
    </row>
    <row r="79" spans="1:10" x14ac:dyDescent="0.2">
      <c r="A79" s="120"/>
      <c r="B79" s="120"/>
      <c r="C79" s="121" t="s">
        <v>169</v>
      </c>
      <c r="D79" s="120"/>
      <c r="E79" s="120"/>
      <c r="F79" s="131"/>
      <c r="G79" s="131"/>
      <c r="H79" s="122" t="s">
        <v>153</v>
      </c>
      <c r="J79" s="2"/>
    </row>
    <row r="80" spans="1:10" x14ac:dyDescent="0.2">
      <c r="A80" s="120"/>
      <c r="B80" s="120"/>
      <c r="C80" s="121" t="s">
        <v>152</v>
      </c>
      <c r="D80" s="120"/>
      <c r="E80" s="120" t="s">
        <v>153</v>
      </c>
      <c r="F80" s="132" t="s">
        <v>155</v>
      </c>
      <c r="G80" s="129">
        <v>0</v>
      </c>
      <c r="H80" s="122" t="s">
        <v>153</v>
      </c>
      <c r="J80" s="2"/>
    </row>
    <row r="81" spans="1:10" x14ac:dyDescent="0.2">
      <c r="A81" s="120"/>
      <c r="B81" s="120"/>
      <c r="C81" s="130"/>
      <c r="D81" s="120"/>
      <c r="E81" s="120"/>
      <c r="F81" s="131"/>
      <c r="G81" s="131"/>
      <c r="H81" s="122" t="s">
        <v>153</v>
      </c>
      <c r="J81" s="2"/>
    </row>
    <row r="82" spans="1:10" x14ac:dyDescent="0.2">
      <c r="A82" s="120"/>
      <c r="B82" s="120"/>
      <c r="C82" s="121" t="s">
        <v>170</v>
      </c>
      <c r="D82" s="120"/>
      <c r="E82" s="120"/>
      <c r="F82" s="131"/>
      <c r="G82" s="131"/>
      <c r="H82" s="122" t="s">
        <v>153</v>
      </c>
      <c r="J82" s="2"/>
    </row>
    <row r="83" spans="1:10" x14ac:dyDescent="0.2">
      <c r="A83" s="123">
        <v>1</v>
      </c>
      <c r="B83" s="124"/>
      <c r="C83" s="124" t="s">
        <v>171</v>
      </c>
      <c r="D83" s="124"/>
      <c r="E83" s="133"/>
      <c r="F83" s="126">
        <v>5123.645820619</v>
      </c>
      <c r="G83" s="127">
        <v>3.1443640000000002E-2</v>
      </c>
      <c r="H83" s="122">
        <v>6.62</v>
      </c>
      <c r="J83" s="2"/>
    </row>
    <row r="84" spans="1:10" x14ac:dyDescent="0.2">
      <c r="A84" s="120"/>
      <c r="B84" s="120"/>
      <c r="C84" s="121" t="s">
        <v>152</v>
      </c>
      <c r="D84" s="120"/>
      <c r="E84" s="120" t="s">
        <v>153</v>
      </c>
      <c r="F84" s="128">
        <v>5123.645820619</v>
      </c>
      <c r="G84" s="129">
        <v>3.1443640000000002E-2</v>
      </c>
      <c r="H84" s="122" t="s">
        <v>153</v>
      </c>
      <c r="J84" s="2"/>
    </row>
    <row r="85" spans="1:10" x14ac:dyDescent="0.2">
      <c r="A85" s="120"/>
      <c r="B85" s="120"/>
      <c r="C85" s="130"/>
      <c r="D85" s="120"/>
      <c r="E85" s="120"/>
      <c r="F85" s="131"/>
      <c r="G85" s="131"/>
      <c r="H85" s="122" t="s">
        <v>153</v>
      </c>
      <c r="J85" s="2"/>
    </row>
    <row r="86" spans="1:10" x14ac:dyDescent="0.2">
      <c r="A86" s="120"/>
      <c r="B86" s="120"/>
      <c r="C86" s="121" t="s">
        <v>172</v>
      </c>
      <c r="D86" s="120"/>
      <c r="E86" s="120"/>
      <c r="F86" s="128">
        <v>5123.645820619</v>
      </c>
      <c r="G86" s="129">
        <v>3.1443640000000002E-2</v>
      </c>
      <c r="H86" s="122" t="s">
        <v>153</v>
      </c>
      <c r="J86" s="2"/>
    </row>
    <row r="87" spans="1:10" x14ac:dyDescent="0.2">
      <c r="A87" s="120"/>
      <c r="B87" s="120"/>
      <c r="C87" s="131"/>
      <c r="D87" s="120"/>
      <c r="E87" s="120"/>
      <c r="F87" s="120"/>
      <c r="G87" s="120"/>
      <c r="H87" s="122" t="s">
        <v>153</v>
      </c>
      <c r="J87" s="2"/>
    </row>
    <row r="88" spans="1:10" x14ac:dyDescent="0.2">
      <c r="A88" s="120"/>
      <c r="B88" s="120"/>
      <c r="C88" s="121" t="s">
        <v>173</v>
      </c>
      <c r="D88" s="120"/>
      <c r="E88" s="120"/>
      <c r="F88" s="120"/>
      <c r="G88" s="120"/>
      <c r="H88" s="122" t="s">
        <v>153</v>
      </c>
      <c r="J88" s="2"/>
    </row>
    <row r="89" spans="1:10" x14ac:dyDescent="0.2">
      <c r="A89" s="120"/>
      <c r="B89" s="120"/>
      <c r="C89" s="121" t="s">
        <v>174</v>
      </c>
      <c r="D89" s="120"/>
      <c r="E89" s="120"/>
      <c r="F89" s="120"/>
      <c r="G89" s="120"/>
      <c r="H89" s="122" t="s">
        <v>153</v>
      </c>
      <c r="J89" s="2"/>
    </row>
    <row r="90" spans="1:10" x14ac:dyDescent="0.2">
      <c r="A90" s="120"/>
      <c r="B90" s="120"/>
      <c r="C90" s="121" t="s">
        <v>152</v>
      </c>
      <c r="D90" s="120"/>
      <c r="E90" s="120" t="s">
        <v>153</v>
      </c>
      <c r="F90" s="132" t="s">
        <v>155</v>
      </c>
      <c r="G90" s="129">
        <v>0</v>
      </c>
      <c r="H90" s="122" t="s">
        <v>153</v>
      </c>
      <c r="J90" s="2"/>
    </row>
    <row r="91" spans="1:10" x14ac:dyDescent="0.2">
      <c r="A91" s="120"/>
      <c r="B91" s="120"/>
      <c r="C91" s="130"/>
      <c r="D91" s="120"/>
      <c r="E91" s="120"/>
      <c r="F91" s="131"/>
      <c r="G91" s="131"/>
      <c r="H91" s="122" t="s">
        <v>153</v>
      </c>
      <c r="J91" s="2"/>
    </row>
    <row r="92" spans="1:10" x14ac:dyDescent="0.2">
      <c r="A92" s="120"/>
      <c r="B92" s="120"/>
      <c r="C92" s="121" t="s">
        <v>175</v>
      </c>
      <c r="D92" s="120"/>
      <c r="E92" s="120"/>
      <c r="F92" s="120"/>
      <c r="G92" s="120"/>
      <c r="H92" s="122" t="s">
        <v>153</v>
      </c>
      <c r="J92" s="2"/>
    </row>
    <row r="93" spans="1:10" x14ac:dyDescent="0.2">
      <c r="A93" s="120"/>
      <c r="B93" s="120"/>
      <c r="C93" s="121" t="s">
        <v>176</v>
      </c>
      <c r="D93" s="120"/>
      <c r="E93" s="120"/>
      <c r="F93" s="120"/>
      <c r="G93" s="120"/>
      <c r="H93" s="122" t="s">
        <v>153</v>
      </c>
      <c r="J93" s="2"/>
    </row>
    <row r="94" spans="1:10" x14ac:dyDescent="0.2">
      <c r="A94" s="120"/>
      <c r="B94" s="120"/>
      <c r="C94" s="121" t="s">
        <v>152</v>
      </c>
      <c r="D94" s="120"/>
      <c r="E94" s="120" t="s">
        <v>153</v>
      </c>
      <c r="F94" s="132" t="s">
        <v>155</v>
      </c>
      <c r="G94" s="129">
        <v>0</v>
      </c>
      <c r="H94" s="122" t="s">
        <v>153</v>
      </c>
      <c r="J94" s="2"/>
    </row>
    <row r="95" spans="1:10" x14ac:dyDescent="0.2">
      <c r="A95" s="120"/>
      <c r="B95" s="120"/>
      <c r="C95" s="130"/>
      <c r="D95" s="120"/>
      <c r="E95" s="120"/>
      <c r="F95" s="131"/>
      <c r="G95" s="131"/>
      <c r="H95" s="122" t="s">
        <v>153</v>
      </c>
      <c r="J95" s="2"/>
    </row>
    <row r="96" spans="1:10" ht="25.5" x14ac:dyDescent="0.2">
      <c r="A96" s="120"/>
      <c r="B96" s="120"/>
      <c r="C96" s="121" t="s">
        <v>177</v>
      </c>
      <c r="D96" s="120"/>
      <c r="E96" s="120"/>
      <c r="F96" s="131"/>
      <c r="G96" s="131"/>
      <c r="H96" s="122" t="s">
        <v>153</v>
      </c>
      <c r="J96" s="2"/>
    </row>
    <row r="97" spans="1:17" x14ac:dyDescent="0.2">
      <c r="A97" s="120"/>
      <c r="B97" s="120"/>
      <c r="C97" s="121" t="s">
        <v>152</v>
      </c>
      <c r="D97" s="120"/>
      <c r="E97" s="120" t="s">
        <v>153</v>
      </c>
      <c r="F97" s="132" t="s">
        <v>155</v>
      </c>
      <c r="G97" s="129">
        <v>0</v>
      </c>
      <c r="H97" s="122" t="s">
        <v>153</v>
      </c>
      <c r="J97" s="2"/>
    </row>
    <row r="98" spans="1:17" x14ac:dyDescent="0.2">
      <c r="A98" s="120"/>
      <c r="B98" s="120"/>
      <c r="C98" s="130"/>
      <c r="D98" s="120"/>
      <c r="E98" s="120"/>
      <c r="F98" s="131"/>
      <c r="G98" s="131"/>
      <c r="H98" s="122" t="s">
        <v>153</v>
      </c>
      <c r="J98" s="2"/>
    </row>
    <row r="99" spans="1:17" x14ac:dyDescent="0.2">
      <c r="A99" s="133"/>
      <c r="B99" s="124"/>
      <c r="C99" s="124" t="s">
        <v>178</v>
      </c>
      <c r="D99" s="124"/>
      <c r="E99" s="133"/>
      <c r="F99" s="126">
        <v>-306.4953342</v>
      </c>
      <c r="G99" s="127">
        <v>-1.8809499999999999E-3</v>
      </c>
      <c r="H99" s="122" t="s">
        <v>153</v>
      </c>
      <c r="J99" s="2"/>
    </row>
    <row r="100" spans="1:17" x14ac:dyDescent="0.2">
      <c r="A100" s="130"/>
      <c r="B100" s="130"/>
      <c r="C100" s="121" t="s">
        <v>179</v>
      </c>
      <c r="D100" s="131"/>
      <c r="E100" s="131"/>
      <c r="F100" s="128">
        <v>162946.95709051899</v>
      </c>
      <c r="G100" s="134">
        <v>1</v>
      </c>
      <c r="H100" s="122" t="s">
        <v>153</v>
      </c>
      <c r="J100" s="2"/>
    </row>
    <row r="101" spans="1:17" x14ac:dyDescent="0.2">
      <c r="A101" s="135"/>
      <c r="B101" s="135"/>
      <c r="C101" s="135"/>
      <c r="D101" s="136"/>
      <c r="E101" s="136"/>
      <c r="F101" s="136"/>
      <c r="G101" s="136"/>
      <c r="J101" s="2"/>
    </row>
    <row r="102" spans="1:17" x14ac:dyDescent="0.2">
      <c r="A102" s="137"/>
      <c r="B102" s="226" t="s">
        <v>863</v>
      </c>
      <c r="C102" s="226"/>
      <c r="D102" s="226"/>
      <c r="E102" s="226"/>
      <c r="F102" s="226"/>
      <c r="G102" s="226"/>
      <c r="H102" s="226"/>
      <c r="J102" s="2"/>
    </row>
    <row r="103" spans="1:17" x14ac:dyDescent="0.2">
      <c r="A103" s="137"/>
      <c r="B103" s="226" t="s">
        <v>864</v>
      </c>
      <c r="C103" s="226"/>
      <c r="D103" s="226"/>
      <c r="E103" s="226"/>
      <c r="F103" s="226"/>
      <c r="G103" s="226"/>
      <c r="H103" s="226"/>
      <c r="J103" s="2"/>
    </row>
    <row r="104" spans="1:17" x14ac:dyDescent="0.2">
      <c r="A104" s="137"/>
      <c r="B104" s="226" t="s">
        <v>865</v>
      </c>
      <c r="C104" s="226"/>
      <c r="D104" s="226"/>
      <c r="E104" s="226"/>
      <c r="F104" s="226"/>
      <c r="G104" s="226"/>
      <c r="H104" s="226"/>
      <c r="J104" s="2"/>
    </row>
    <row r="105" spans="1:17" s="5" customFormat="1" ht="58.5" customHeight="1" x14ac:dyDescent="0.25">
      <c r="A105" s="139"/>
      <c r="B105" s="227" t="s">
        <v>866</v>
      </c>
      <c r="C105" s="227"/>
      <c r="D105" s="227"/>
      <c r="E105" s="227"/>
      <c r="F105" s="227"/>
      <c r="G105" s="227"/>
      <c r="H105" s="227"/>
      <c r="I105"/>
      <c r="J105" s="2"/>
      <c r="K105"/>
      <c r="L105"/>
      <c r="M105"/>
      <c r="N105"/>
      <c r="O105"/>
      <c r="P105"/>
      <c r="Q105"/>
    </row>
    <row r="106" spans="1:17" x14ac:dyDescent="0.2">
      <c r="A106" s="137"/>
      <c r="B106" s="226" t="s">
        <v>867</v>
      </c>
      <c r="C106" s="226"/>
      <c r="D106" s="226"/>
      <c r="E106" s="226"/>
      <c r="F106" s="226"/>
      <c r="G106" s="226"/>
      <c r="H106" s="226"/>
      <c r="J106" s="2"/>
    </row>
    <row r="107" spans="1:17" x14ac:dyDescent="0.2">
      <c r="A107" s="140"/>
      <c r="B107" s="140"/>
      <c r="C107" s="140"/>
      <c r="D107" s="141"/>
      <c r="E107" s="141"/>
      <c r="F107" s="141"/>
      <c r="G107" s="141"/>
      <c r="J107" s="2"/>
    </row>
    <row r="108" spans="1:17" x14ac:dyDescent="0.2">
      <c r="A108" s="140"/>
      <c r="B108" s="228" t="s">
        <v>180</v>
      </c>
      <c r="C108" s="229"/>
      <c r="D108" s="230"/>
      <c r="E108" s="142"/>
      <c r="F108" s="141"/>
      <c r="G108" s="141"/>
      <c r="J108" s="2"/>
    </row>
    <row r="109" spans="1:17" x14ac:dyDescent="0.2">
      <c r="A109" s="140"/>
      <c r="B109" s="223" t="s">
        <v>181</v>
      </c>
      <c r="C109" s="224"/>
      <c r="D109" s="121" t="s">
        <v>182</v>
      </c>
      <c r="E109" s="142"/>
      <c r="F109" s="141"/>
      <c r="G109" s="141"/>
      <c r="J109" s="2"/>
    </row>
    <row r="110" spans="1:17" x14ac:dyDescent="0.2">
      <c r="A110" s="140"/>
      <c r="B110" s="223" t="s">
        <v>183</v>
      </c>
      <c r="C110" s="224"/>
      <c r="D110" s="121" t="s">
        <v>182</v>
      </c>
      <c r="E110" s="142"/>
      <c r="F110" s="141"/>
      <c r="G110" s="141"/>
      <c r="J110" s="2"/>
    </row>
    <row r="111" spans="1:17" x14ac:dyDescent="0.2">
      <c r="A111" s="140"/>
      <c r="B111" s="223" t="s">
        <v>184</v>
      </c>
      <c r="C111" s="224"/>
      <c r="D111" s="131" t="s">
        <v>153</v>
      </c>
      <c r="E111" s="142"/>
      <c r="F111" s="141"/>
      <c r="G111" s="141"/>
      <c r="J111" s="2"/>
    </row>
    <row r="112" spans="1:17" x14ac:dyDescent="0.2">
      <c r="A112" s="144"/>
      <c r="B112" s="145" t="s">
        <v>153</v>
      </c>
      <c r="C112" s="145" t="s">
        <v>870</v>
      </c>
      <c r="D112" s="145" t="s">
        <v>185</v>
      </c>
      <c r="E112" s="144"/>
      <c r="F112" s="144"/>
      <c r="G112" s="144"/>
      <c r="H112" s="144"/>
      <c r="J112" s="2"/>
    </row>
    <row r="113" spans="1:10" x14ac:dyDescent="0.2">
      <c r="A113" s="146"/>
      <c r="B113" s="147" t="s">
        <v>186</v>
      </c>
      <c r="C113" s="148">
        <v>45504</v>
      </c>
      <c r="D113" s="149">
        <v>45535</v>
      </c>
      <c r="E113" s="146"/>
      <c r="F113" s="146"/>
      <c r="G113" s="146"/>
      <c r="J113" s="2"/>
    </row>
    <row r="114" spans="1:10" x14ac:dyDescent="0.2">
      <c r="A114" s="146"/>
      <c r="B114" s="124" t="s">
        <v>187</v>
      </c>
      <c r="C114" s="150">
        <v>105.4335</v>
      </c>
      <c r="D114" s="150">
        <v>108.78579999999999</v>
      </c>
      <c r="E114" s="146"/>
      <c r="F114" s="151"/>
      <c r="G114" s="152"/>
      <c r="J114" s="2"/>
    </row>
    <row r="115" spans="1:10" x14ac:dyDescent="0.2">
      <c r="A115" s="146"/>
      <c r="B115" s="124" t="s">
        <v>926</v>
      </c>
      <c r="C115" s="150">
        <v>35.109400000000001</v>
      </c>
      <c r="D115" s="150">
        <v>36.225700000000003</v>
      </c>
      <c r="E115" s="146"/>
      <c r="F115" s="151"/>
      <c r="G115" s="152"/>
      <c r="J115" s="2"/>
    </row>
    <row r="116" spans="1:10" x14ac:dyDescent="0.2">
      <c r="A116" s="146"/>
      <c r="B116" s="124" t="s">
        <v>188</v>
      </c>
      <c r="C116" s="150">
        <v>96.981499999999997</v>
      </c>
      <c r="D116" s="150">
        <v>99.992800000000003</v>
      </c>
      <c r="E116" s="146"/>
      <c r="F116" s="151"/>
      <c r="G116" s="152"/>
      <c r="J116" s="2"/>
    </row>
    <row r="117" spans="1:10" x14ac:dyDescent="0.2">
      <c r="A117" s="146"/>
      <c r="B117" s="124" t="s">
        <v>927</v>
      </c>
      <c r="C117" s="150">
        <v>31.760200000000001</v>
      </c>
      <c r="D117" s="150">
        <v>32.746400000000001</v>
      </c>
      <c r="E117" s="146"/>
      <c r="F117" s="151"/>
      <c r="G117" s="152"/>
      <c r="J117" s="2"/>
    </row>
    <row r="118" spans="1:10" x14ac:dyDescent="0.2">
      <c r="A118" s="146"/>
      <c r="B118" s="146"/>
      <c r="C118" s="146"/>
      <c r="D118" s="146"/>
      <c r="E118" s="146"/>
      <c r="F118" s="146"/>
      <c r="G118" s="146"/>
      <c r="J118" s="2"/>
    </row>
    <row r="119" spans="1:10" x14ac:dyDescent="0.2">
      <c r="A119" s="144"/>
      <c r="B119" s="221" t="s">
        <v>869</v>
      </c>
      <c r="C119" s="222"/>
      <c r="D119" s="143" t="s">
        <v>182</v>
      </c>
      <c r="E119" s="144"/>
      <c r="F119" s="144"/>
      <c r="G119" s="144"/>
      <c r="J119" s="2"/>
    </row>
    <row r="120" spans="1:10" x14ac:dyDescent="0.2">
      <c r="A120" s="144"/>
      <c r="B120" s="163"/>
      <c r="C120" s="163"/>
      <c r="D120" s="163"/>
      <c r="E120" s="144"/>
      <c r="F120" s="144"/>
      <c r="G120" s="144"/>
      <c r="J120" s="2"/>
    </row>
    <row r="121" spans="1:10" ht="29.1" customHeight="1" x14ac:dyDescent="0.2">
      <c r="A121" s="144"/>
      <c r="B121" s="221" t="s">
        <v>189</v>
      </c>
      <c r="C121" s="222"/>
      <c r="D121" s="143" t="s">
        <v>182</v>
      </c>
      <c r="E121" s="153"/>
      <c r="F121" s="144"/>
      <c r="G121" s="144"/>
      <c r="J121" s="2"/>
    </row>
    <row r="122" spans="1:10" ht="29.1" customHeight="1" x14ac:dyDescent="0.2">
      <c r="A122" s="144"/>
      <c r="B122" s="221" t="s">
        <v>190</v>
      </c>
      <c r="C122" s="222"/>
      <c r="D122" s="143" t="s">
        <v>182</v>
      </c>
      <c r="E122" s="153"/>
      <c r="F122" s="144"/>
      <c r="G122" s="144"/>
      <c r="J122" s="2"/>
    </row>
    <row r="123" spans="1:10" ht="17.100000000000001" customHeight="1" x14ac:dyDescent="0.2">
      <c r="A123" s="144"/>
      <c r="B123" s="221" t="s">
        <v>191</v>
      </c>
      <c r="C123" s="222"/>
      <c r="D123" s="143" t="s">
        <v>182</v>
      </c>
      <c r="E123" s="153"/>
      <c r="F123" s="144"/>
      <c r="G123" s="144"/>
      <c r="J123" s="2"/>
    </row>
    <row r="124" spans="1:10" ht="17.100000000000001" customHeight="1" x14ac:dyDescent="0.2">
      <c r="A124" s="144"/>
      <c r="B124" s="221" t="s">
        <v>192</v>
      </c>
      <c r="C124" s="222"/>
      <c r="D124" s="154">
        <v>0.2259538648297362</v>
      </c>
      <c r="E124" s="144"/>
      <c r="F124" s="138"/>
      <c r="G124" s="155"/>
      <c r="J124" s="2"/>
    </row>
  </sheetData>
  <mergeCells count="17">
    <mergeCell ref="B109:C109"/>
    <mergeCell ref="A1:H1"/>
    <mergeCell ref="A2:H2"/>
    <mergeCell ref="A3:H3"/>
    <mergeCell ref="B102:H102"/>
    <mergeCell ref="B103:H103"/>
    <mergeCell ref="B104:H104"/>
    <mergeCell ref="B105:H105"/>
    <mergeCell ref="B106:H106"/>
    <mergeCell ref="B108:D108"/>
    <mergeCell ref="B110:C110"/>
    <mergeCell ref="B111:C111"/>
    <mergeCell ref="B119:C119"/>
    <mergeCell ref="B123:C123"/>
    <mergeCell ref="B124:C124"/>
    <mergeCell ref="B121:C121"/>
    <mergeCell ref="B122:C122"/>
  </mergeCells>
  <hyperlinks>
    <hyperlink ref="I1" location="Index!B24" display="Index" xr:uid="{B69161F0-5A59-41B4-8493-1B5C734CFA0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6E69A-0511-4C34-8B83-A208ADEA240E}">
  <sheetPr>
    <outlinePr summaryBelow="0" summaryRight="0"/>
  </sheetPr>
  <dimension ref="A1:Q14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809</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tr">
        <f>IFERROR(VLOOKUP(B5,'[1]Debt Holding Consolidated'!$C$1:$N$65536,12,FALSE),"")</f>
        <v/>
      </c>
      <c r="J5" s="2"/>
    </row>
    <row r="6" spans="1:10" ht="25.5" x14ac:dyDescent="0.2">
      <c r="A6" s="120"/>
      <c r="B6" s="120"/>
      <c r="C6" s="121" t="s">
        <v>10</v>
      </c>
      <c r="D6" s="120"/>
      <c r="E6" s="120"/>
      <c r="F6" s="120"/>
      <c r="G6" s="120"/>
      <c r="H6" s="122" t="str">
        <f>IFERROR(VLOOKUP(B6,'[1]Debt Holding Consolidated'!$C$1:$N$65536,12,FALSE),"")</f>
        <v/>
      </c>
      <c r="J6" s="2"/>
    </row>
    <row r="7" spans="1:10" x14ac:dyDescent="0.2">
      <c r="A7" s="123">
        <v>1</v>
      </c>
      <c r="B7" s="124" t="s">
        <v>14</v>
      </c>
      <c r="C7" s="124" t="s">
        <v>15</v>
      </c>
      <c r="D7" s="124" t="s">
        <v>16</v>
      </c>
      <c r="E7" s="125">
        <v>1980418</v>
      </c>
      <c r="F7" s="126">
        <v>31469.832229</v>
      </c>
      <c r="G7" s="127">
        <v>8.0872810000000003E-2</v>
      </c>
      <c r="H7" s="122" t="str">
        <f>IFERROR(VLOOKUP(B7,'[1]Debt Holding Consolidated'!$C$1:$N$65536,12,FALSE),"")</f>
        <v/>
      </c>
      <c r="J7" s="2"/>
    </row>
    <row r="8" spans="1:10" x14ac:dyDescent="0.2">
      <c r="A8" s="123">
        <v>2</v>
      </c>
      <c r="B8" s="124" t="s">
        <v>342</v>
      </c>
      <c r="C8" s="124" t="s">
        <v>343</v>
      </c>
      <c r="D8" s="124" t="s">
        <v>48</v>
      </c>
      <c r="E8" s="125">
        <v>1239450</v>
      </c>
      <c r="F8" s="126">
        <v>20288.557049999999</v>
      </c>
      <c r="G8" s="127">
        <v>5.2138589999999999E-2</v>
      </c>
      <c r="H8" s="122" t="str">
        <f>IFERROR(VLOOKUP(B8,'[1]Debt Holding Consolidated'!$C$1:$N$65536,12,FALSE),"")</f>
        <v/>
      </c>
      <c r="J8" s="2"/>
    </row>
    <row r="9" spans="1:10" x14ac:dyDescent="0.2">
      <c r="A9" s="123">
        <v>3</v>
      </c>
      <c r="B9" s="124" t="s">
        <v>20</v>
      </c>
      <c r="C9" s="124" t="s">
        <v>21</v>
      </c>
      <c r="D9" s="124" t="s">
        <v>22</v>
      </c>
      <c r="E9" s="125">
        <v>621300</v>
      </c>
      <c r="F9" s="126">
        <v>18758.60025</v>
      </c>
      <c r="G9" s="127">
        <v>4.8206829999999999E-2</v>
      </c>
      <c r="H9" s="122" t="str">
        <f>IFERROR(VLOOKUP(B9,'[1]Debt Holding Consolidated'!$C$1:$N$65536,12,FALSE),"")</f>
        <v/>
      </c>
      <c r="J9" s="2"/>
    </row>
    <row r="10" spans="1:10" x14ac:dyDescent="0.2">
      <c r="A10" s="123">
        <v>4</v>
      </c>
      <c r="B10" s="124" t="s">
        <v>46</v>
      </c>
      <c r="C10" s="124" t="s">
        <v>47</v>
      </c>
      <c r="D10" s="124" t="s">
        <v>48</v>
      </c>
      <c r="E10" s="125">
        <v>1159150</v>
      </c>
      <c r="F10" s="126">
        <v>14248.2718</v>
      </c>
      <c r="G10" s="127">
        <v>3.6615950000000001E-2</v>
      </c>
      <c r="H10" s="122" t="str">
        <f>IFERROR(VLOOKUP(B10,'[1]Debt Holding Consolidated'!$C$1:$N$65536,12,FALSE),"")</f>
        <v/>
      </c>
      <c r="J10" s="2"/>
    </row>
    <row r="11" spans="1:10" x14ac:dyDescent="0.2">
      <c r="A11" s="123">
        <v>5</v>
      </c>
      <c r="B11" s="124" t="s">
        <v>655</v>
      </c>
      <c r="C11" s="124" t="s">
        <v>656</v>
      </c>
      <c r="D11" s="124" t="s">
        <v>89</v>
      </c>
      <c r="E11" s="125">
        <v>195457</v>
      </c>
      <c r="F11" s="126">
        <v>14073.197185499999</v>
      </c>
      <c r="G11" s="127">
        <v>3.6166030000000002E-2</v>
      </c>
      <c r="H11" s="122" t="str">
        <f>IFERROR(VLOOKUP(B11,'[1]Debt Holding Consolidated'!$C$1:$N$65536,12,FALSE),"")</f>
        <v/>
      </c>
      <c r="J11" s="2"/>
    </row>
    <row r="12" spans="1:10" ht="15" x14ac:dyDescent="0.2">
      <c r="A12" s="123">
        <v>6</v>
      </c>
      <c r="B12" s="124" t="s">
        <v>256</v>
      </c>
      <c r="C12" s="124" t="s">
        <v>257</v>
      </c>
      <c r="D12" s="124" t="s">
        <v>89</v>
      </c>
      <c r="E12" s="125">
        <v>849405</v>
      </c>
      <c r="F12" s="126">
        <v>13607.4681</v>
      </c>
      <c r="G12" s="127">
        <v>3.4969180000000002E-2</v>
      </c>
      <c r="H12" s="122" t="str">
        <f>IFERROR(VLOOKUP(B12,'[1]Debt Holding Consolidated'!$C$1:$N$65536,12,FALSE),"")</f>
        <v/>
      </c>
      <c r="J12" s="7"/>
    </row>
    <row r="13" spans="1:10" x14ac:dyDescent="0.2">
      <c r="A13" s="123">
        <v>7</v>
      </c>
      <c r="B13" s="124" t="s">
        <v>350</v>
      </c>
      <c r="C13" s="124" t="s">
        <v>351</v>
      </c>
      <c r="D13" s="124" t="s">
        <v>48</v>
      </c>
      <c r="E13" s="125">
        <v>949004</v>
      </c>
      <c r="F13" s="126">
        <v>11153.16951</v>
      </c>
      <c r="G13" s="127">
        <v>2.8662E-2</v>
      </c>
      <c r="H13" s="122" t="str">
        <f>IFERROR(VLOOKUP(B13,'[1]Debt Holding Consolidated'!$C$1:$N$65536,12,FALSE),"")</f>
        <v/>
      </c>
      <c r="J13" s="2"/>
    </row>
    <row r="14" spans="1:10" ht="25.5" x14ac:dyDescent="0.2">
      <c r="A14" s="123">
        <v>8</v>
      </c>
      <c r="B14" s="124" t="s">
        <v>753</v>
      </c>
      <c r="C14" s="124" t="s">
        <v>754</v>
      </c>
      <c r="D14" s="124" t="s">
        <v>216</v>
      </c>
      <c r="E14" s="125">
        <v>155851</v>
      </c>
      <c r="F14" s="126">
        <v>10796.578025000001</v>
      </c>
      <c r="G14" s="127">
        <v>2.774561E-2</v>
      </c>
      <c r="H14" s="122" t="str">
        <f>IFERROR(VLOOKUP(B14,'[1]Debt Holding Consolidated'!$C$1:$N$65536,12,FALSE),"")</f>
        <v/>
      </c>
      <c r="J14" s="2" t="s">
        <v>1037</v>
      </c>
    </row>
    <row r="15" spans="1:10" ht="25.5" x14ac:dyDescent="0.2">
      <c r="A15" s="123">
        <v>9</v>
      </c>
      <c r="B15" s="124" t="s">
        <v>330</v>
      </c>
      <c r="C15" s="124" t="s">
        <v>331</v>
      </c>
      <c r="D15" s="124" t="s">
        <v>255</v>
      </c>
      <c r="E15" s="125">
        <v>1431993</v>
      </c>
      <c r="F15" s="126">
        <v>10785.0552795</v>
      </c>
      <c r="G15" s="127">
        <v>2.7716000000000001E-2</v>
      </c>
      <c r="H15" s="122" t="str">
        <f>IFERROR(VLOOKUP(B15,'[1]Debt Holding Consolidated'!$C$1:$N$65536,12,FALSE),"")</f>
        <v/>
      </c>
      <c r="J15" s="2"/>
    </row>
    <row r="16" spans="1:10" x14ac:dyDescent="0.2">
      <c r="A16" s="123">
        <v>10</v>
      </c>
      <c r="B16" s="124" t="s">
        <v>477</v>
      </c>
      <c r="C16" s="124" t="s">
        <v>478</v>
      </c>
      <c r="D16" s="124" t="s">
        <v>48</v>
      </c>
      <c r="E16" s="125">
        <v>694951</v>
      </c>
      <c r="F16" s="126">
        <v>9904.7891275000002</v>
      </c>
      <c r="G16" s="127">
        <v>2.5453839999999998E-2</v>
      </c>
      <c r="H16" s="122" t="str">
        <f>IFERROR(VLOOKUP(B16,'[1]Debt Holding Consolidated'!$C$1:$N$65536,12,FALSE),"")</f>
        <v/>
      </c>
      <c r="J16" s="2"/>
    </row>
    <row r="17" spans="1:10" x14ac:dyDescent="0.2">
      <c r="A17" s="123">
        <v>11</v>
      </c>
      <c r="B17" s="124" t="s">
        <v>114</v>
      </c>
      <c r="C17" s="124" t="s">
        <v>115</v>
      </c>
      <c r="D17" s="124" t="s">
        <v>16</v>
      </c>
      <c r="E17" s="125">
        <v>1984792</v>
      </c>
      <c r="F17" s="126">
        <v>9100.2713199999998</v>
      </c>
      <c r="G17" s="127">
        <v>2.338635E-2</v>
      </c>
      <c r="H17" s="122" t="str">
        <f>IFERROR(VLOOKUP(B17,'[1]Debt Holding Consolidated'!$C$1:$N$65536,12,FALSE),"")</f>
        <v/>
      </c>
      <c r="J17" s="2"/>
    </row>
    <row r="18" spans="1:10" x14ac:dyDescent="0.2">
      <c r="A18" s="123">
        <v>12</v>
      </c>
      <c r="B18" s="124" t="s">
        <v>417</v>
      </c>
      <c r="C18" s="124" t="s">
        <v>418</v>
      </c>
      <c r="D18" s="124" t="s">
        <v>48</v>
      </c>
      <c r="E18" s="125">
        <v>18470366</v>
      </c>
      <c r="F18" s="126">
        <v>8110.3377105999998</v>
      </c>
      <c r="G18" s="127">
        <v>2.0842369999999999E-2</v>
      </c>
      <c r="H18" s="122" t="str">
        <f>IFERROR(VLOOKUP(B18,'[1]Debt Holding Consolidated'!$C$1:$N$65536,12,FALSE),"")</f>
        <v/>
      </c>
      <c r="J18" s="2"/>
    </row>
    <row r="19" spans="1:10" x14ac:dyDescent="0.2">
      <c r="A19" s="123">
        <v>13</v>
      </c>
      <c r="B19" s="124" t="s">
        <v>401</v>
      </c>
      <c r="C19" s="124" t="s">
        <v>402</v>
      </c>
      <c r="D19" s="124" t="s">
        <v>403</v>
      </c>
      <c r="E19" s="125">
        <v>453931</v>
      </c>
      <c r="F19" s="126">
        <v>7406.3381959999997</v>
      </c>
      <c r="G19" s="127">
        <v>1.9033189999999998E-2</v>
      </c>
      <c r="H19" s="122" t="str">
        <f>IFERROR(VLOOKUP(B19,'[1]Debt Holding Consolidated'!$C$1:$N$65536,12,FALSE),"")</f>
        <v/>
      </c>
      <c r="J19" s="2"/>
    </row>
    <row r="20" spans="1:10" x14ac:dyDescent="0.2">
      <c r="A20" s="123">
        <v>14</v>
      </c>
      <c r="B20" s="124" t="s">
        <v>287</v>
      </c>
      <c r="C20" s="124" t="s">
        <v>288</v>
      </c>
      <c r="D20" s="124" t="s">
        <v>211</v>
      </c>
      <c r="E20" s="125">
        <v>115379</v>
      </c>
      <c r="F20" s="126">
        <v>7319.7014495000003</v>
      </c>
      <c r="G20" s="127">
        <v>1.8810549999999999E-2</v>
      </c>
      <c r="H20" s="122" t="str">
        <f>IFERROR(VLOOKUP(B20,'[1]Debt Holding Consolidated'!$C$1:$N$65536,12,FALSE),"")</f>
        <v/>
      </c>
      <c r="J20" s="2"/>
    </row>
    <row r="21" spans="1:10" x14ac:dyDescent="0.2">
      <c r="A21" s="123">
        <v>15</v>
      </c>
      <c r="B21" s="124" t="s">
        <v>394</v>
      </c>
      <c r="C21" s="124" t="s">
        <v>395</v>
      </c>
      <c r="D21" s="124" t="s">
        <v>45</v>
      </c>
      <c r="E21" s="125">
        <v>204380</v>
      </c>
      <c r="F21" s="126">
        <v>7286.4535699999997</v>
      </c>
      <c r="G21" s="127">
        <v>1.872511E-2</v>
      </c>
      <c r="H21" s="122" t="str">
        <f>IFERROR(VLOOKUP(B21,'[1]Debt Holding Consolidated'!$C$1:$N$65536,12,FALSE),"")</f>
        <v/>
      </c>
      <c r="J21" s="2"/>
    </row>
    <row r="22" spans="1:10" ht="15" x14ac:dyDescent="0.2">
      <c r="A22" s="123">
        <v>16</v>
      </c>
      <c r="B22" s="124" t="s">
        <v>415</v>
      </c>
      <c r="C22" s="124" t="s">
        <v>416</v>
      </c>
      <c r="D22" s="124" t="s">
        <v>48</v>
      </c>
      <c r="E22" s="125">
        <v>8587852</v>
      </c>
      <c r="F22" s="126">
        <v>6982.7824612000004</v>
      </c>
      <c r="G22" s="127">
        <v>1.7944720000000001E-2</v>
      </c>
      <c r="H22" s="122" t="str">
        <f>IFERROR(VLOOKUP(B22,'[1]Debt Holding Consolidated'!$C$1:$N$65536,12,FALSE),"")</f>
        <v/>
      </c>
      <c r="J22" s="7"/>
    </row>
    <row r="23" spans="1:10" x14ac:dyDescent="0.2">
      <c r="A23" s="123">
        <v>17</v>
      </c>
      <c r="B23" s="124" t="s">
        <v>41</v>
      </c>
      <c r="C23" s="124" t="s">
        <v>42</v>
      </c>
      <c r="D23" s="124" t="s">
        <v>16</v>
      </c>
      <c r="E23" s="125">
        <v>556250</v>
      </c>
      <c r="F23" s="126">
        <v>6964.5281249999998</v>
      </c>
      <c r="G23" s="127">
        <v>1.789781E-2</v>
      </c>
      <c r="H23" s="122" t="str">
        <f>IFERROR(VLOOKUP(B23,'[1]Debt Holding Consolidated'!$C$1:$N$65536,12,FALSE),"")</f>
        <v/>
      </c>
      <c r="J23" s="2"/>
    </row>
    <row r="24" spans="1:10" x14ac:dyDescent="0.2">
      <c r="A24" s="123">
        <v>18</v>
      </c>
      <c r="B24" s="124" t="s">
        <v>363</v>
      </c>
      <c r="C24" s="124" t="s">
        <v>364</v>
      </c>
      <c r="D24" s="124" t="s">
        <v>239</v>
      </c>
      <c r="E24" s="125">
        <v>131177</v>
      </c>
      <c r="F24" s="126">
        <v>6798.6415559999996</v>
      </c>
      <c r="G24" s="127">
        <v>1.7471500000000001E-2</v>
      </c>
      <c r="H24" s="122" t="str">
        <f>IFERROR(VLOOKUP(B24,'[1]Debt Holding Consolidated'!$C$1:$N$65536,12,FALSE),"")</f>
        <v/>
      </c>
      <c r="J24" s="2"/>
    </row>
    <row r="25" spans="1:10" x14ac:dyDescent="0.2">
      <c r="A25" s="123">
        <v>19</v>
      </c>
      <c r="B25" s="124" t="s">
        <v>419</v>
      </c>
      <c r="C25" s="124" t="s">
        <v>420</v>
      </c>
      <c r="D25" s="124" t="s">
        <v>211</v>
      </c>
      <c r="E25" s="125">
        <v>916478</v>
      </c>
      <c r="F25" s="126">
        <v>6760.3999670000003</v>
      </c>
      <c r="G25" s="127">
        <v>1.737323E-2</v>
      </c>
      <c r="H25" s="122" t="str">
        <f>IFERROR(VLOOKUP(B25,'[1]Debt Holding Consolidated'!$C$1:$N$65536,12,FALSE),"")</f>
        <v/>
      </c>
      <c r="J25" s="2"/>
    </row>
    <row r="26" spans="1:10" ht="25.5" x14ac:dyDescent="0.2">
      <c r="A26" s="123">
        <v>20</v>
      </c>
      <c r="B26" s="124" t="s">
        <v>214</v>
      </c>
      <c r="C26" s="124" t="s">
        <v>215</v>
      </c>
      <c r="D26" s="124" t="s">
        <v>216</v>
      </c>
      <c r="E26" s="125">
        <v>1188668</v>
      </c>
      <c r="F26" s="126">
        <v>6559.0700239999996</v>
      </c>
      <c r="G26" s="127">
        <v>1.685584E-2</v>
      </c>
      <c r="H26" s="122" t="str">
        <f>IFERROR(VLOOKUP(B26,'[1]Debt Holding Consolidated'!$C$1:$N$65536,12,FALSE),"")</f>
        <v/>
      </c>
      <c r="J26" s="2" t="s">
        <v>1038</v>
      </c>
    </row>
    <row r="27" spans="1:10" x14ac:dyDescent="0.2">
      <c r="A27" s="123">
        <v>21</v>
      </c>
      <c r="B27" s="124" t="s">
        <v>346</v>
      </c>
      <c r="C27" s="124" t="s">
        <v>347</v>
      </c>
      <c r="D27" s="124" t="s">
        <v>198</v>
      </c>
      <c r="E27" s="125">
        <v>2592662</v>
      </c>
      <c r="F27" s="126">
        <v>6495.3961085999999</v>
      </c>
      <c r="G27" s="127">
        <v>1.6692209999999999E-2</v>
      </c>
      <c r="H27" s="122" t="str">
        <f>IFERROR(VLOOKUP(B27,'[1]Debt Holding Consolidated'!$C$1:$N$65536,12,FALSE),"")</f>
        <v/>
      </c>
      <c r="J27" s="2"/>
    </row>
    <row r="28" spans="1:10" x14ac:dyDescent="0.2">
      <c r="A28" s="123">
        <v>22</v>
      </c>
      <c r="B28" s="124" t="s">
        <v>427</v>
      </c>
      <c r="C28" s="124" t="s">
        <v>428</v>
      </c>
      <c r="D28" s="124" t="s">
        <v>429</v>
      </c>
      <c r="E28" s="125">
        <v>425515</v>
      </c>
      <c r="F28" s="126">
        <v>6444.6374324999997</v>
      </c>
      <c r="G28" s="127">
        <v>1.6561759999999998E-2</v>
      </c>
      <c r="H28" s="122" t="str">
        <f>IFERROR(VLOOKUP(B28,'[1]Debt Holding Consolidated'!$C$1:$N$65536,12,FALSE),"")</f>
        <v/>
      </c>
      <c r="J28" s="2"/>
    </row>
    <row r="29" spans="1:10" x14ac:dyDescent="0.2">
      <c r="A29" s="123">
        <v>23</v>
      </c>
      <c r="B29" s="124" t="s">
        <v>743</v>
      </c>
      <c r="C29" s="124" t="s">
        <v>744</v>
      </c>
      <c r="D29" s="124" t="s">
        <v>211</v>
      </c>
      <c r="E29" s="125">
        <v>102950</v>
      </c>
      <c r="F29" s="126">
        <v>6337.6534750000001</v>
      </c>
      <c r="G29" s="127">
        <v>1.6286829999999999E-2</v>
      </c>
      <c r="H29" s="122" t="str">
        <f>IFERROR(VLOOKUP(B29,'[1]Debt Holding Consolidated'!$C$1:$N$65536,12,FALSE),"")</f>
        <v/>
      </c>
      <c r="J29" s="2"/>
    </row>
    <row r="30" spans="1:10" x14ac:dyDescent="0.2">
      <c r="A30" s="123">
        <v>24</v>
      </c>
      <c r="B30" s="124" t="s">
        <v>413</v>
      </c>
      <c r="C30" s="124" t="s">
        <v>414</v>
      </c>
      <c r="D30" s="124" t="s">
        <v>216</v>
      </c>
      <c r="E30" s="125">
        <v>1552344</v>
      </c>
      <c r="F30" s="126">
        <v>6313.3830479999997</v>
      </c>
      <c r="G30" s="127">
        <v>1.622446E-2</v>
      </c>
      <c r="H30" s="122" t="str">
        <f>IFERROR(VLOOKUP(B30,'[1]Debt Holding Consolidated'!$C$1:$N$65536,12,FALSE),"")</f>
        <v/>
      </c>
      <c r="J30" s="2"/>
    </row>
    <row r="31" spans="1:10" x14ac:dyDescent="0.2">
      <c r="A31" s="123">
        <v>25</v>
      </c>
      <c r="B31" s="124" t="s">
        <v>251</v>
      </c>
      <c r="C31" s="124" t="s">
        <v>252</v>
      </c>
      <c r="D31" s="124" t="s">
        <v>236</v>
      </c>
      <c r="E31" s="125">
        <v>732261</v>
      </c>
      <c r="F31" s="126">
        <v>6115.4777414999999</v>
      </c>
      <c r="G31" s="127">
        <v>1.571587E-2</v>
      </c>
      <c r="H31" s="122" t="str">
        <f>IFERROR(VLOOKUP(B31,'[1]Debt Holding Consolidated'!$C$1:$N$65536,12,FALSE),"")</f>
        <v/>
      </c>
      <c r="J31" s="2"/>
    </row>
    <row r="32" spans="1:10" x14ac:dyDescent="0.2">
      <c r="A32" s="123">
        <v>26</v>
      </c>
      <c r="B32" s="124" t="s">
        <v>244</v>
      </c>
      <c r="C32" s="124" t="s">
        <v>245</v>
      </c>
      <c r="D32" s="124" t="s">
        <v>198</v>
      </c>
      <c r="E32" s="125">
        <v>77583</v>
      </c>
      <c r="F32" s="126">
        <v>5957.4434039999996</v>
      </c>
      <c r="G32" s="127">
        <v>1.530975E-2</v>
      </c>
      <c r="H32" s="122" t="str">
        <f>IFERROR(VLOOKUP(B32,'[1]Debt Holding Consolidated'!$C$1:$N$65536,12,FALSE),"")</f>
        <v/>
      </c>
      <c r="J32" s="2"/>
    </row>
    <row r="33" spans="1:10" x14ac:dyDescent="0.2">
      <c r="A33" s="123">
        <v>27</v>
      </c>
      <c r="B33" s="124" t="s">
        <v>455</v>
      </c>
      <c r="C33" s="124" t="s">
        <v>456</v>
      </c>
      <c r="D33" s="124" t="s">
        <v>71</v>
      </c>
      <c r="E33" s="125">
        <v>157978</v>
      </c>
      <c r="F33" s="126">
        <v>5954.8227319999996</v>
      </c>
      <c r="G33" s="127">
        <v>1.5303010000000001E-2</v>
      </c>
      <c r="H33" s="122" t="str">
        <f>IFERROR(VLOOKUP(B33,'[1]Debt Holding Consolidated'!$C$1:$N$65536,12,FALSE),"")</f>
        <v/>
      </c>
      <c r="J33" s="2"/>
    </row>
    <row r="34" spans="1:10" x14ac:dyDescent="0.2">
      <c r="A34" s="123">
        <v>28</v>
      </c>
      <c r="B34" s="124" t="s">
        <v>443</v>
      </c>
      <c r="C34" s="124" t="s">
        <v>444</v>
      </c>
      <c r="D34" s="124" t="s">
        <v>236</v>
      </c>
      <c r="E34" s="125">
        <v>717133</v>
      </c>
      <c r="F34" s="126">
        <v>5899.8531910000002</v>
      </c>
      <c r="G34" s="127">
        <v>1.516175E-2</v>
      </c>
      <c r="H34" s="122" t="str">
        <f>IFERROR(VLOOKUP(B34,'[1]Debt Holding Consolidated'!$C$1:$N$65536,12,FALSE),"")</f>
        <v/>
      </c>
      <c r="J34" s="2"/>
    </row>
    <row r="35" spans="1:10" x14ac:dyDescent="0.2">
      <c r="A35" s="123">
        <v>29</v>
      </c>
      <c r="B35" s="124" t="s">
        <v>209</v>
      </c>
      <c r="C35" s="124" t="s">
        <v>210</v>
      </c>
      <c r="D35" s="124" t="s">
        <v>211</v>
      </c>
      <c r="E35" s="125">
        <v>106441</v>
      </c>
      <c r="F35" s="126">
        <v>5503.9044485000004</v>
      </c>
      <c r="G35" s="127">
        <v>1.4144220000000001E-2</v>
      </c>
      <c r="H35" s="122" t="str">
        <f>IFERROR(VLOOKUP(B35,'[1]Debt Holding Consolidated'!$C$1:$N$65536,12,FALSE),"")</f>
        <v/>
      </c>
      <c r="J35" s="2"/>
    </row>
    <row r="36" spans="1:10" x14ac:dyDescent="0.2">
      <c r="A36" s="123">
        <v>30</v>
      </c>
      <c r="B36" s="124" t="s">
        <v>396</v>
      </c>
      <c r="C36" s="124" t="s">
        <v>397</v>
      </c>
      <c r="D36" s="124" t="s">
        <v>398</v>
      </c>
      <c r="E36" s="125">
        <v>11684</v>
      </c>
      <c r="F36" s="126">
        <v>4968.1010619999997</v>
      </c>
      <c r="G36" s="127">
        <v>1.2767280000000001E-2</v>
      </c>
      <c r="H36" s="122" t="str">
        <f>IFERROR(VLOOKUP(B36,'[1]Debt Holding Consolidated'!$C$1:$N$65536,12,FALSE),"")</f>
        <v/>
      </c>
      <c r="J36" s="2"/>
    </row>
    <row r="37" spans="1:10" x14ac:dyDescent="0.2">
      <c r="A37" s="123">
        <v>31</v>
      </c>
      <c r="B37" s="124" t="s">
        <v>810</v>
      </c>
      <c r="C37" s="124" t="s">
        <v>811</v>
      </c>
      <c r="D37" s="124" t="s">
        <v>239</v>
      </c>
      <c r="E37" s="125">
        <v>601883</v>
      </c>
      <c r="F37" s="126">
        <v>4957.4093295000002</v>
      </c>
      <c r="G37" s="127">
        <v>1.2739810000000001E-2</v>
      </c>
      <c r="H37" s="122" t="str">
        <f>IFERROR(VLOOKUP(B37,'[1]Debt Holding Consolidated'!$C$1:$N$65536,12,FALSE),"")</f>
        <v/>
      </c>
      <c r="J37" s="2"/>
    </row>
    <row r="38" spans="1:10" x14ac:dyDescent="0.2">
      <c r="A38" s="123">
        <v>32</v>
      </c>
      <c r="B38" s="124" t="s">
        <v>432</v>
      </c>
      <c r="C38" s="124" t="s">
        <v>433</v>
      </c>
      <c r="D38" s="124" t="s">
        <v>239</v>
      </c>
      <c r="E38" s="125">
        <v>190363</v>
      </c>
      <c r="F38" s="126">
        <v>4923.4534505000001</v>
      </c>
      <c r="G38" s="127">
        <v>1.265255E-2</v>
      </c>
      <c r="H38" s="122" t="str">
        <f>IFERROR(VLOOKUP(B38,'[1]Debt Holding Consolidated'!$C$1:$N$65536,12,FALSE),"")</f>
        <v/>
      </c>
      <c r="J38" s="2"/>
    </row>
    <row r="39" spans="1:10" x14ac:dyDescent="0.2">
      <c r="A39" s="123">
        <v>33</v>
      </c>
      <c r="B39" s="124" t="s">
        <v>95</v>
      </c>
      <c r="C39" s="124" t="s">
        <v>96</v>
      </c>
      <c r="D39" s="124" t="s">
        <v>89</v>
      </c>
      <c r="E39" s="125">
        <v>789004</v>
      </c>
      <c r="F39" s="126">
        <v>4889.8522899999998</v>
      </c>
      <c r="G39" s="127">
        <v>1.25662E-2</v>
      </c>
      <c r="H39" s="122" t="str">
        <f>IFERROR(VLOOKUP(B39,'[1]Debt Holding Consolidated'!$C$1:$N$65536,12,FALSE),"")</f>
        <v/>
      </c>
      <c r="J39" s="2"/>
    </row>
    <row r="40" spans="1:10" x14ac:dyDescent="0.2">
      <c r="A40" s="123">
        <v>34</v>
      </c>
      <c r="B40" s="124" t="s">
        <v>496</v>
      </c>
      <c r="C40" s="124" t="s">
        <v>497</v>
      </c>
      <c r="D40" s="124" t="s">
        <v>89</v>
      </c>
      <c r="E40" s="125">
        <v>498711</v>
      </c>
      <c r="F40" s="126">
        <v>4874.6506694999998</v>
      </c>
      <c r="G40" s="127">
        <v>1.2527129999999999E-2</v>
      </c>
      <c r="H40" s="122" t="str">
        <f>IFERROR(VLOOKUP(B40,'[1]Debt Holding Consolidated'!$C$1:$N$65536,12,FALSE),"")</f>
        <v/>
      </c>
      <c r="J40" s="2"/>
    </row>
    <row r="41" spans="1:10" x14ac:dyDescent="0.2">
      <c r="A41" s="123">
        <v>35</v>
      </c>
      <c r="B41" s="124" t="s">
        <v>421</v>
      </c>
      <c r="C41" s="124" t="s">
        <v>422</v>
      </c>
      <c r="D41" s="124" t="s">
        <v>48</v>
      </c>
      <c r="E41" s="125">
        <v>1496154</v>
      </c>
      <c r="F41" s="126">
        <v>4842.3024210000003</v>
      </c>
      <c r="G41" s="127">
        <v>1.2444E-2</v>
      </c>
      <c r="H41" s="122" t="str">
        <f>IFERROR(VLOOKUP(B41,'[1]Debt Holding Consolidated'!$C$1:$N$65536,12,FALSE),"")</f>
        <v/>
      </c>
      <c r="J41" s="2"/>
    </row>
    <row r="42" spans="1:10" x14ac:dyDescent="0.2">
      <c r="A42" s="123">
        <v>36</v>
      </c>
      <c r="B42" s="124" t="s">
        <v>291</v>
      </c>
      <c r="C42" s="124" t="s">
        <v>292</v>
      </c>
      <c r="D42" s="124" t="s">
        <v>89</v>
      </c>
      <c r="E42" s="125">
        <v>265869</v>
      </c>
      <c r="F42" s="126">
        <v>4574.9408174999999</v>
      </c>
      <c r="G42" s="127">
        <v>1.1756920000000001E-2</v>
      </c>
      <c r="H42" s="122" t="str">
        <f>IFERROR(VLOOKUP(B42,'[1]Debt Holding Consolidated'!$C$1:$N$65536,12,FALSE),"")</f>
        <v/>
      </c>
      <c r="J42" s="2"/>
    </row>
    <row r="43" spans="1:10" x14ac:dyDescent="0.2">
      <c r="A43" s="123">
        <v>37</v>
      </c>
      <c r="B43" s="124" t="s">
        <v>411</v>
      </c>
      <c r="C43" s="124" t="s">
        <v>412</v>
      </c>
      <c r="D43" s="124" t="s">
        <v>236</v>
      </c>
      <c r="E43" s="125">
        <v>273508</v>
      </c>
      <c r="F43" s="126">
        <v>4561.1561620000002</v>
      </c>
      <c r="G43" s="127">
        <v>1.1721499999999999E-2</v>
      </c>
      <c r="H43" s="122" t="str">
        <f>IFERROR(VLOOKUP(B43,'[1]Debt Holding Consolidated'!$C$1:$N$65536,12,FALSE),"")</f>
        <v/>
      </c>
      <c r="J43" s="2"/>
    </row>
    <row r="44" spans="1:10" x14ac:dyDescent="0.2">
      <c r="A44" s="123">
        <v>38</v>
      </c>
      <c r="B44" s="124" t="s">
        <v>550</v>
      </c>
      <c r="C44" s="124" t="s">
        <v>551</v>
      </c>
      <c r="D44" s="124" t="s">
        <v>211</v>
      </c>
      <c r="E44" s="125">
        <v>275867</v>
      </c>
      <c r="F44" s="126">
        <v>4514.5634550000004</v>
      </c>
      <c r="G44" s="127">
        <v>1.1601759999999999E-2</v>
      </c>
      <c r="H44" s="122" t="str">
        <f>IFERROR(VLOOKUP(B44,'[1]Debt Holding Consolidated'!$C$1:$N$65536,12,FALSE),"")</f>
        <v/>
      </c>
      <c r="J44" s="2"/>
    </row>
    <row r="45" spans="1:10" ht="25.5" x14ac:dyDescent="0.2">
      <c r="A45" s="123">
        <v>39</v>
      </c>
      <c r="B45" s="124" t="s">
        <v>225</v>
      </c>
      <c r="C45" s="124" t="s">
        <v>226</v>
      </c>
      <c r="D45" s="124" t="s">
        <v>227</v>
      </c>
      <c r="E45" s="125">
        <v>250000</v>
      </c>
      <c r="F45" s="126">
        <v>4430.625</v>
      </c>
      <c r="G45" s="127">
        <v>1.138605E-2</v>
      </c>
      <c r="H45" s="122" t="str">
        <f>IFERROR(VLOOKUP(B45,'[1]Debt Holding Consolidated'!$C$1:$N$65536,12,FALSE),"")</f>
        <v/>
      </c>
      <c r="J45" s="2"/>
    </row>
    <row r="46" spans="1:10" x14ac:dyDescent="0.2">
      <c r="A46" s="123">
        <v>40</v>
      </c>
      <c r="B46" s="124" t="s">
        <v>194</v>
      </c>
      <c r="C46" s="124" t="s">
        <v>195</v>
      </c>
      <c r="D46" s="124" t="s">
        <v>45</v>
      </c>
      <c r="E46" s="125">
        <v>679841</v>
      </c>
      <c r="F46" s="126">
        <v>4182.381832</v>
      </c>
      <c r="G46" s="127">
        <v>1.07481E-2</v>
      </c>
      <c r="H46" s="122" t="str">
        <f>IFERROR(VLOOKUP(B46,'[1]Debt Holding Consolidated'!$C$1:$N$65536,12,FALSE),"")</f>
        <v/>
      </c>
      <c r="J46" s="2"/>
    </row>
    <row r="47" spans="1:10" x14ac:dyDescent="0.2">
      <c r="A47" s="123">
        <v>41</v>
      </c>
      <c r="B47" s="124" t="s">
        <v>500</v>
      </c>
      <c r="C47" s="124" t="s">
        <v>501</v>
      </c>
      <c r="D47" s="124" t="s">
        <v>45</v>
      </c>
      <c r="E47" s="125">
        <v>371803</v>
      </c>
      <c r="F47" s="126">
        <v>4049.3064730000001</v>
      </c>
      <c r="G47" s="127">
        <v>1.040612E-2</v>
      </c>
      <c r="H47" s="122" t="str">
        <f>IFERROR(VLOOKUP(B47,'[1]Debt Holding Consolidated'!$C$1:$N$65536,12,FALSE),"")</f>
        <v/>
      </c>
      <c r="J47" s="2"/>
    </row>
    <row r="48" spans="1:10" x14ac:dyDescent="0.2">
      <c r="A48" s="123">
        <v>42</v>
      </c>
      <c r="B48" s="124" t="s">
        <v>453</v>
      </c>
      <c r="C48" s="124" t="s">
        <v>454</v>
      </c>
      <c r="D48" s="124" t="s">
        <v>86</v>
      </c>
      <c r="E48" s="125">
        <v>353653</v>
      </c>
      <c r="F48" s="126">
        <v>3840.3179270000001</v>
      </c>
      <c r="G48" s="127">
        <v>9.8690500000000007E-3</v>
      </c>
      <c r="H48" s="122" t="str">
        <f>IFERROR(VLOOKUP(B48,'[1]Debt Holding Consolidated'!$C$1:$N$65536,12,FALSE),"")</f>
        <v/>
      </c>
      <c r="J48" s="2"/>
    </row>
    <row r="49" spans="1:10" ht="25.5" x14ac:dyDescent="0.2">
      <c r="A49" s="123">
        <v>43</v>
      </c>
      <c r="B49" s="124" t="s">
        <v>436</v>
      </c>
      <c r="C49" s="124" t="s">
        <v>437</v>
      </c>
      <c r="D49" s="124" t="s">
        <v>438</v>
      </c>
      <c r="E49" s="125">
        <v>941308</v>
      </c>
      <c r="F49" s="126">
        <v>3811.8267460000002</v>
      </c>
      <c r="G49" s="127">
        <v>9.7958300000000002E-3</v>
      </c>
      <c r="H49" s="122" t="str">
        <f>IFERROR(VLOOKUP(B49,'[1]Debt Holding Consolidated'!$C$1:$N$65536,12,FALSE),"")</f>
        <v/>
      </c>
      <c r="J49" s="2"/>
    </row>
    <row r="50" spans="1:10" x14ac:dyDescent="0.2">
      <c r="A50" s="123">
        <v>44</v>
      </c>
      <c r="B50" s="124" t="s">
        <v>128</v>
      </c>
      <c r="C50" s="124" t="s">
        <v>129</v>
      </c>
      <c r="D50" s="124" t="s">
        <v>86</v>
      </c>
      <c r="E50" s="125">
        <v>847110</v>
      </c>
      <c r="F50" s="126">
        <v>3551.9322299999999</v>
      </c>
      <c r="G50" s="127">
        <v>9.1279399999999993E-3</v>
      </c>
      <c r="H50" s="122" t="str">
        <f>IFERROR(VLOOKUP(B50,'[1]Debt Holding Consolidated'!$C$1:$N$65536,12,FALSE),"")</f>
        <v/>
      </c>
      <c r="J50" s="2"/>
    </row>
    <row r="51" spans="1:10" x14ac:dyDescent="0.2">
      <c r="A51" s="123">
        <v>45</v>
      </c>
      <c r="B51" s="124" t="s">
        <v>727</v>
      </c>
      <c r="C51" s="124" t="s">
        <v>728</v>
      </c>
      <c r="D51" s="124" t="s">
        <v>216</v>
      </c>
      <c r="E51" s="125">
        <v>139519</v>
      </c>
      <c r="F51" s="126">
        <v>2985.4275619999999</v>
      </c>
      <c r="G51" s="127">
        <v>7.6721100000000002E-3</v>
      </c>
      <c r="H51" s="122" t="str">
        <f>IFERROR(VLOOKUP(B51,'[1]Debt Holding Consolidated'!$C$1:$N$65536,12,FALSE),"")</f>
        <v/>
      </c>
      <c r="J51" s="2"/>
    </row>
    <row r="52" spans="1:10" x14ac:dyDescent="0.2">
      <c r="A52" s="123">
        <v>46</v>
      </c>
      <c r="B52" s="124" t="s">
        <v>293</v>
      </c>
      <c r="C52" s="124" t="s">
        <v>294</v>
      </c>
      <c r="D52" s="124" t="s">
        <v>239</v>
      </c>
      <c r="E52" s="125">
        <v>96397</v>
      </c>
      <c r="F52" s="126">
        <v>2730.5896204999999</v>
      </c>
      <c r="G52" s="127">
        <v>7.0172100000000003E-3</v>
      </c>
      <c r="H52" s="122" t="str">
        <f>IFERROR(VLOOKUP(B52,'[1]Debt Holding Consolidated'!$C$1:$N$65536,12,FALSE),"")</f>
        <v/>
      </c>
      <c r="J52" s="2"/>
    </row>
    <row r="53" spans="1:10" x14ac:dyDescent="0.2">
      <c r="A53" s="123">
        <v>47</v>
      </c>
      <c r="B53" s="124" t="s">
        <v>522</v>
      </c>
      <c r="C53" s="124" t="s">
        <v>523</v>
      </c>
      <c r="D53" s="124" t="s">
        <v>239</v>
      </c>
      <c r="E53" s="125">
        <v>236039</v>
      </c>
      <c r="F53" s="126">
        <v>2707.0132715</v>
      </c>
      <c r="G53" s="127">
        <v>6.9566200000000002E-3</v>
      </c>
      <c r="H53" s="122" t="str">
        <f>IFERROR(VLOOKUP(B53,'[1]Debt Holding Consolidated'!$C$1:$N$65536,12,FALSE),"")</f>
        <v/>
      </c>
      <c r="J53" s="2"/>
    </row>
    <row r="54" spans="1:10" x14ac:dyDescent="0.2">
      <c r="A54" s="123">
        <v>48</v>
      </c>
      <c r="B54" s="124" t="s">
        <v>449</v>
      </c>
      <c r="C54" s="124" t="s">
        <v>450</v>
      </c>
      <c r="D54" s="124" t="s">
        <v>89</v>
      </c>
      <c r="E54" s="125">
        <v>207221</v>
      </c>
      <c r="F54" s="126">
        <v>2530.2720205000001</v>
      </c>
      <c r="G54" s="127">
        <v>6.50243E-3</v>
      </c>
      <c r="H54" s="122" t="str">
        <f>IFERROR(VLOOKUP(B54,'[1]Debt Holding Consolidated'!$C$1:$N$65536,12,FALSE),"")</f>
        <v/>
      </c>
      <c r="J54" s="2"/>
    </row>
    <row r="55" spans="1:10" x14ac:dyDescent="0.2">
      <c r="A55" s="123">
        <v>49</v>
      </c>
      <c r="B55" s="124" t="s">
        <v>534</v>
      </c>
      <c r="C55" s="124" t="s">
        <v>535</v>
      </c>
      <c r="D55" s="124" t="s">
        <v>255</v>
      </c>
      <c r="E55" s="125">
        <v>361058</v>
      </c>
      <c r="F55" s="126">
        <v>2130.4227289999999</v>
      </c>
      <c r="G55" s="127">
        <v>5.4748699999999997E-3</v>
      </c>
      <c r="H55" s="122" t="str">
        <f>IFERROR(VLOOKUP(B55,'[1]Debt Holding Consolidated'!$C$1:$N$65536,12,FALSE),"")</f>
        <v/>
      </c>
      <c r="J55" s="2"/>
    </row>
    <row r="56" spans="1:10" x14ac:dyDescent="0.2">
      <c r="A56" s="123">
        <v>50</v>
      </c>
      <c r="B56" s="124" t="s">
        <v>279</v>
      </c>
      <c r="C56" s="124" t="s">
        <v>280</v>
      </c>
      <c r="D56" s="124" t="s">
        <v>48</v>
      </c>
      <c r="E56" s="125">
        <v>1650061</v>
      </c>
      <c r="F56" s="126">
        <v>2005.4841394</v>
      </c>
      <c r="G56" s="127">
        <v>5.1538E-3</v>
      </c>
      <c r="H56" s="122" t="str">
        <f>IFERROR(VLOOKUP(B56,'[1]Debt Holding Consolidated'!$C$1:$N$65536,12,FALSE),"")</f>
        <v/>
      </c>
      <c r="J56" s="2"/>
    </row>
    <row r="57" spans="1:10" x14ac:dyDescent="0.2">
      <c r="A57" s="123">
        <v>51</v>
      </c>
      <c r="B57" s="124" t="s">
        <v>812</v>
      </c>
      <c r="C57" s="124" t="s">
        <v>813</v>
      </c>
      <c r="D57" s="124" t="s">
        <v>239</v>
      </c>
      <c r="E57" s="125">
        <v>42806</v>
      </c>
      <c r="F57" s="126">
        <v>1892.2392299999999</v>
      </c>
      <c r="G57" s="127">
        <v>4.8627799999999997E-3</v>
      </c>
      <c r="H57" s="122" t="str">
        <f>IFERROR(VLOOKUP(B57,'[1]Debt Holding Consolidated'!$C$1:$N$65536,12,FALSE),"")</f>
        <v/>
      </c>
      <c r="J57" s="2"/>
    </row>
    <row r="58" spans="1:10" x14ac:dyDescent="0.2">
      <c r="A58" s="123">
        <v>52</v>
      </c>
      <c r="B58" s="124" t="s">
        <v>430</v>
      </c>
      <c r="C58" s="124" t="s">
        <v>431</v>
      </c>
      <c r="D58" s="124" t="s">
        <v>89</v>
      </c>
      <c r="E58" s="125">
        <v>123807</v>
      </c>
      <c r="F58" s="126">
        <v>1069.1353485</v>
      </c>
      <c r="G58" s="127">
        <v>2.7475199999999998E-3</v>
      </c>
      <c r="H58" s="122" t="str">
        <f>IFERROR(VLOOKUP(B58,'[1]Debt Holding Consolidated'!$C$1:$N$65536,12,FALSE),"")</f>
        <v/>
      </c>
      <c r="J58" s="2"/>
    </row>
    <row r="59" spans="1:10" x14ac:dyDescent="0.2">
      <c r="A59" s="120"/>
      <c r="B59" s="120"/>
      <c r="C59" s="121" t="s">
        <v>152</v>
      </c>
      <c r="D59" s="120"/>
      <c r="E59" s="120" t="s">
        <v>153</v>
      </c>
      <c r="F59" s="128">
        <v>368420.01830330002</v>
      </c>
      <c r="G59" s="129">
        <v>0.94678494999999996</v>
      </c>
      <c r="H59" s="122" t="str">
        <f>IFERROR(VLOOKUP(B59,'[1]Debt Holding Consolidated'!$C$1:$N$65536,12,FALSE),"")</f>
        <v/>
      </c>
      <c r="J59" s="2"/>
    </row>
    <row r="60" spans="1:10" x14ac:dyDescent="0.2">
      <c r="A60" s="120"/>
      <c r="B60" s="120"/>
      <c r="C60" s="130"/>
      <c r="D60" s="120"/>
      <c r="E60" s="120"/>
      <c r="F60" s="131"/>
      <c r="G60" s="131"/>
      <c r="H60" s="122" t="str">
        <f>IFERROR(VLOOKUP(B60,'[1]Debt Holding Consolidated'!$C$1:$N$65536,12,FALSE),"")</f>
        <v/>
      </c>
      <c r="J60" s="2"/>
    </row>
    <row r="61" spans="1:10" x14ac:dyDescent="0.2">
      <c r="A61" s="120"/>
      <c r="B61" s="120"/>
      <c r="C61" s="121" t="s">
        <v>154</v>
      </c>
      <c r="D61" s="120"/>
      <c r="E61" s="120"/>
      <c r="F61" s="120"/>
      <c r="G61" s="120"/>
      <c r="H61" s="122" t="str">
        <f>IFERROR(VLOOKUP(B61,'[1]Debt Holding Consolidated'!$C$1:$N$65536,12,FALSE),"")</f>
        <v/>
      </c>
      <c r="J61" s="2"/>
    </row>
    <row r="62" spans="1:10" x14ac:dyDescent="0.2">
      <c r="A62" s="123">
        <v>1</v>
      </c>
      <c r="B62" s="124" t="s">
        <v>814</v>
      </c>
      <c r="C62" s="124" t="s">
        <v>1039</v>
      </c>
      <c r="D62" s="124" t="s">
        <v>236</v>
      </c>
      <c r="E62" s="125">
        <v>37829</v>
      </c>
      <c r="F62" s="126">
        <v>3051.2358639250001</v>
      </c>
      <c r="G62" s="127">
        <v>7.8412199999999994E-3</v>
      </c>
      <c r="H62" s="122" t="str">
        <f>IFERROR(VLOOKUP(B62,'[1]Debt Holding Consolidated'!$C$1:$N$65536,12,FALSE),"")</f>
        <v/>
      </c>
      <c r="J62" s="2"/>
    </row>
    <row r="63" spans="1:10" x14ac:dyDescent="0.2">
      <c r="A63" s="120"/>
      <c r="B63" s="120"/>
      <c r="C63" s="121" t="s">
        <v>152</v>
      </c>
      <c r="D63" s="120"/>
      <c r="E63" s="120" t="s">
        <v>153</v>
      </c>
      <c r="F63" s="128">
        <v>3051.2358639250001</v>
      </c>
      <c r="G63" s="129">
        <v>7.8412199999999994E-3</v>
      </c>
      <c r="H63" s="122" t="str">
        <f>IFERROR(VLOOKUP(B63,'[1]Debt Holding Consolidated'!$C$1:$N$65536,12,FALSE),"")</f>
        <v/>
      </c>
      <c r="J63" s="2"/>
    </row>
    <row r="64" spans="1:10" x14ac:dyDescent="0.2">
      <c r="A64" s="120"/>
      <c r="B64" s="120"/>
      <c r="C64" s="130"/>
      <c r="D64" s="120"/>
      <c r="E64" s="120"/>
      <c r="F64" s="131"/>
      <c r="G64" s="131"/>
      <c r="H64" s="122" t="str">
        <f>IFERROR(VLOOKUP(B64,'[1]Debt Holding Consolidated'!$C$1:$N$65536,12,FALSE),"")</f>
        <v/>
      </c>
      <c r="J64" s="2"/>
    </row>
    <row r="65" spans="1:10" x14ac:dyDescent="0.2">
      <c r="A65" s="120"/>
      <c r="B65" s="120"/>
      <c r="C65" s="121" t="s">
        <v>156</v>
      </c>
      <c r="D65" s="120"/>
      <c r="E65" s="120"/>
      <c r="F65" s="120"/>
      <c r="G65" s="120"/>
      <c r="H65" s="122" t="str">
        <f>IFERROR(VLOOKUP(B65,'[1]Debt Holding Consolidated'!$C$1:$N$65536,12,FALSE),"")</f>
        <v/>
      </c>
      <c r="J65" s="2"/>
    </row>
    <row r="66" spans="1:10" x14ac:dyDescent="0.2">
      <c r="A66" s="120"/>
      <c r="B66" s="120"/>
      <c r="C66" s="121" t="s">
        <v>152</v>
      </c>
      <c r="D66" s="120"/>
      <c r="E66" s="120" t="s">
        <v>153</v>
      </c>
      <c r="F66" s="132" t="s">
        <v>155</v>
      </c>
      <c r="G66" s="129">
        <v>0</v>
      </c>
      <c r="H66" s="122" t="str">
        <f>IFERROR(VLOOKUP(B66,'[1]Debt Holding Consolidated'!$C$1:$N$65536,12,FALSE),"")</f>
        <v/>
      </c>
      <c r="J66" s="2"/>
    </row>
    <row r="67" spans="1:10" x14ac:dyDescent="0.2">
      <c r="A67" s="120"/>
      <c r="B67" s="120"/>
      <c r="C67" s="130"/>
      <c r="D67" s="120"/>
      <c r="E67" s="120"/>
      <c r="F67" s="131"/>
      <c r="G67" s="131"/>
      <c r="H67" s="122" t="str">
        <f>IFERROR(VLOOKUP(B67,'[1]Debt Holding Consolidated'!$C$1:$N$65536,12,FALSE),"")</f>
        <v/>
      </c>
      <c r="J67" s="2"/>
    </row>
    <row r="68" spans="1:10" x14ac:dyDescent="0.2">
      <c r="A68" s="120"/>
      <c r="B68" s="120"/>
      <c r="C68" s="121" t="s">
        <v>157</v>
      </c>
      <c r="D68" s="120"/>
      <c r="E68" s="120"/>
      <c r="F68" s="120"/>
      <c r="G68" s="120"/>
      <c r="H68" s="122" t="str">
        <f>IFERROR(VLOOKUP(B68,'[1]Debt Holding Consolidated'!$C$1:$N$65536,12,FALSE),"")</f>
        <v/>
      </c>
      <c r="J68" s="2"/>
    </row>
    <row r="69" spans="1:10" x14ac:dyDescent="0.2">
      <c r="A69" s="120"/>
      <c r="B69" s="120"/>
      <c r="C69" s="121" t="s">
        <v>152</v>
      </c>
      <c r="D69" s="120"/>
      <c r="E69" s="120" t="s">
        <v>153</v>
      </c>
      <c r="F69" s="132" t="s">
        <v>155</v>
      </c>
      <c r="G69" s="129">
        <v>0</v>
      </c>
      <c r="H69" s="122" t="str">
        <f>IFERROR(VLOOKUP(B69,'[1]Debt Holding Consolidated'!$C$1:$N$65536,12,FALSE),"")</f>
        <v/>
      </c>
      <c r="J69" s="2"/>
    </row>
    <row r="70" spans="1:10" x14ac:dyDescent="0.2">
      <c r="A70" s="120"/>
      <c r="B70" s="120"/>
      <c r="C70" s="130"/>
      <c r="D70" s="120"/>
      <c r="E70" s="120"/>
      <c r="F70" s="131"/>
      <c r="G70" s="131"/>
      <c r="H70" s="122" t="str">
        <f>IFERROR(VLOOKUP(B70,'[1]Debt Holding Consolidated'!$C$1:$N$65536,12,FALSE),"")</f>
        <v/>
      </c>
      <c r="J70" s="2"/>
    </row>
    <row r="71" spans="1:10" x14ac:dyDescent="0.2">
      <c r="A71" s="120"/>
      <c r="B71" s="120"/>
      <c r="C71" s="121" t="s">
        <v>158</v>
      </c>
      <c r="D71" s="120"/>
      <c r="E71" s="120"/>
      <c r="F71" s="131"/>
      <c r="G71" s="131"/>
      <c r="H71" s="122" t="str">
        <f>IFERROR(VLOOKUP(B71,'[1]Debt Holding Consolidated'!$C$1:$N$65536,12,FALSE),"")</f>
        <v/>
      </c>
      <c r="J71" s="2"/>
    </row>
    <row r="72" spans="1:10" x14ac:dyDescent="0.2">
      <c r="A72" s="120"/>
      <c r="B72" s="120"/>
      <c r="C72" s="121" t="s">
        <v>152</v>
      </c>
      <c r="D72" s="120"/>
      <c r="E72" s="120" t="s">
        <v>153</v>
      </c>
      <c r="F72" s="132" t="s">
        <v>155</v>
      </c>
      <c r="G72" s="129">
        <v>0</v>
      </c>
      <c r="H72" s="122" t="str">
        <f>IFERROR(VLOOKUP(B72,'[1]Debt Holding Consolidated'!$C$1:$N$65536,12,FALSE),"")</f>
        <v/>
      </c>
      <c r="J72" s="2"/>
    </row>
    <row r="73" spans="1:10" x14ac:dyDescent="0.2">
      <c r="A73" s="120"/>
      <c r="B73" s="120"/>
      <c r="C73" s="130"/>
      <c r="D73" s="120"/>
      <c r="E73" s="120"/>
      <c r="F73" s="131"/>
      <c r="G73" s="131"/>
      <c r="H73" s="122" t="str">
        <f>IFERROR(VLOOKUP(B73,'[1]Debt Holding Consolidated'!$C$1:$N$65536,12,FALSE),"")</f>
        <v/>
      </c>
      <c r="J73" s="2"/>
    </row>
    <row r="74" spans="1:10" x14ac:dyDescent="0.2">
      <c r="A74" s="120"/>
      <c r="B74" s="120"/>
      <c r="C74" s="121" t="s">
        <v>159</v>
      </c>
      <c r="D74" s="120"/>
      <c r="E74" s="120"/>
      <c r="F74" s="131"/>
      <c r="G74" s="131"/>
      <c r="H74" s="122" t="str">
        <f>IFERROR(VLOOKUP(B74,'[1]Debt Holding Consolidated'!$C$1:$N$65536,12,FALSE),"")</f>
        <v/>
      </c>
      <c r="J74" s="2"/>
    </row>
    <row r="75" spans="1:10" x14ac:dyDescent="0.2">
      <c r="A75" s="120"/>
      <c r="B75" s="120"/>
      <c r="C75" s="121" t="s">
        <v>152</v>
      </c>
      <c r="D75" s="120"/>
      <c r="E75" s="120" t="s">
        <v>153</v>
      </c>
      <c r="F75" s="132" t="s">
        <v>155</v>
      </c>
      <c r="G75" s="129">
        <v>0</v>
      </c>
      <c r="H75" s="122" t="str">
        <f>IFERROR(VLOOKUP(B75,'[1]Debt Holding Consolidated'!$C$1:$N$65536,12,FALSE),"")</f>
        <v/>
      </c>
      <c r="J75" s="2"/>
    </row>
    <row r="76" spans="1:10" x14ac:dyDescent="0.2">
      <c r="A76" s="120"/>
      <c r="B76" s="120"/>
      <c r="C76" s="130"/>
      <c r="D76" s="120"/>
      <c r="E76" s="120"/>
      <c r="F76" s="131"/>
      <c r="G76" s="131"/>
      <c r="H76" s="122" t="str">
        <f>IFERROR(VLOOKUP(B76,'[1]Debt Holding Consolidated'!$C$1:$N$65536,12,FALSE),"")</f>
        <v/>
      </c>
      <c r="J76" s="2"/>
    </row>
    <row r="77" spans="1:10" x14ac:dyDescent="0.2">
      <c r="A77" s="120"/>
      <c r="B77" s="120"/>
      <c r="C77" s="121" t="s">
        <v>160</v>
      </c>
      <c r="D77" s="120"/>
      <c r="E77" s="120"/>
      <c r="F77" s="128">
        <v>371471.25416722498</v>
      </c>
      <c r="G77" s="129">
        <v>0.95462617000000005</v>
      </c>
      <c r="H77" s="122" t="str">
        <f>IFERROR(VLOOKUP(B77,'[1]Debt Holding Consolidated'!$C$1:$N$65536,12,FALSE),"")</f>
        <v/>
      </c>
      <c r="J77" s="2"/>
    </row>
    <row r="78" spans="1:10" x14ac:dyDescent="0.2">
      <c r="A78" s="120"/>
      <c r="B78" s="120"/>
      <c r="C78" s="130"/>
      <c r="D78" s="120"/>
      <c r="E78" s="120"/>
      <c r="F78" s="131"/>
      <c r="G78" s="131"/>
      <c r="H78" s="122" t="str">
        <f>IFERROR(VLOOKUP(B78,'[1]Debt Holding Consolidated'!$C$1:$N$65536,12,FALSE),"")</f>
        <v/>
      </c>
      <c r="J78" s="2"/>
    </row>
    <row r="79" spans="1:10" x14ac:dyDescent="0.2">
      <c r="A79" s="120"/>
      <c r="B79" s="120"/>
      <c r="C79" s="121" t="s">
        <v>161</v>
      </c>
      <c r="D79" s="120"/>
      <c r="E79" s="120"/>
      <c r="F79" s="131"/>
      <c r="G79" s="131"/>
      <c r="H79" s="122" t="str">
        <f>IFERROR(VLOOKUP(B79,'[1]Debt Holding Consolidated'!$C$1:$N$65536,12,FALSE),"")</f>
        <v/>
      </c>
      <c r="J79" s="2"/>
    </row>
    <row r="80" spans="1:10" ht="25.5" x14ac:dyDescent="0.2">
      <c r="A80" s="120"/>
      <c r="B80" s="120"/>
      <c r="C80" s="121" t="s">
        <v>10</v>
      </c>
      <c r="D80" s="120"/>
      <c r="E80" s="120"/>
      <c r="F80" s="131"/>
      <c r="G80" s="131"/>
      <c r="H80" s="122" t="str">
        <f>IFERROR(VLOOKUP(B80,'[1]Debt Holding Consolidated'!$C$1:$N$65536,12,FALSE),"")</f>
        <v/>
      </c>
      <c r="J80" s="2"/>
    </row>
    <row r="81" spans="1:10" x14ac:dyDescent="0.2">
      <c r="A81" s="120"/>
      <c r="B81" s="120"/>
      <c r="C81" s="121" t="s">
        <v>152</v>
      </c>
      <c r="D81" s="120"/>
      <c r="E81" s="120" t="s">
        <v>153</v>
      </c>
      <c r="F81" s="132" t="s">
        <v>155</v>
      </c>
      <c r="G81" s="129">
        <v>0</v>
      </c>
      <c r="H81" s="122" t="str">
        <f>IFERROR(VLOOKUP(B81,'[1]Debt Holding Consolidated'!$C$1:$N$65536,12,FALSE),"")</f>
        <v/>
      </c>
      <c r="J81" s="2"/>
    </row>
    <row r="82" spans="1:10" x14ac:dyDescent="0.2">
      <c r="A82" s="120"/>
      <c r="B82" s="120"/>
      <c r="C82" s="130"/>
      <c r="D82" s="120"/>
      <c r="E82" s="120"/>
      <c r="F82" s="131"/>
      <c r="G82" s="131"/>
      <c r="H82" s="122" t="str">
        <f>IFERROR(VLOOKUP(B82,'[1]Debt Holding Consolidated'!$C$1:$N$65536,12,FALSE),"")</f>
        <v/>
      </c>
      <c r="J82" s="2"/>
    </row>
    <row r="83" spans="1:10" x14ac:dyDescent="0.2">
      <c r="A83" s="120"/>
      <c r="B83" s="120"/>
      <c r="C83" s="121" t="s">
        <v>162</v>
      </c>
      <c r="D83" s="120"/>
      <c r="E83" s="120"/>
      <c r="F83" s="120"/>
      <c r="G83" s="120"/>
      <c r="H83" s="122" t="str">
        <f>IFERROR(VLOOKUP(B83,'[1]Debt Holding Consolidated'!$C$1:$N$65536,12,FALSE),"")</f>
        <v/>
      </c>
      <c r="J83" s="2"/>
    </row>
    <row r="84" spans="1:10" x14ac:dyDescent="0.2">
      <c r="A84" s="120"/>
      <c r="B84" s="120"/>
      <c r="C84" s="121" t="s">
        <v>152</v>
      </c>
      <c r="D84" s="120"/>
      <c r="E84" s="120" t="s">
        <v>153</v>
      </c>
      <c r="F84" s="132" t="s">
        <v>155</v>
      </c>
      <c r="G84" s="129">
        <v>0</v>
      </c>
      <c r="H84" s="122" t="str">
        <f>IFERROR(VLOOKUP(B84,'[1]Debt Holding Consolidated'!$C$1:$N$65536,12,FALSE),"")</f>
        <v/>
      </c>
      <c r="J84" s="2"/>
    </row>
    <row r="85" spans="1:10" x14ac:dyDescent="0.2">
      <c r="A85" s="120"/>
      <c r="B85" s="120"/>
      <c r="C85" s="130"/>
      <c r="D85" s="120"/>
      <c r="E85" s="120"/>
      <c r="F85" s="131"/>
      <c r="G85" s="131"/>
      <c r="H85" s="122" t="str">
        <f>IFERROR(VLOOKUP(B85,'[1]Debt Holding Consolidated'!$C$1:$N$65536,12,FALSE),"")</f>
        <v/>
      </c>
      <c r="J85" s="2"/>
    </row>
    <row r="86" spans="1:10" x14ac:dyDescent="0.2">
      <c r="A86" s="120"/>
      <c r="B86" s="120"/>
      <c r="C86" s="121" t="s">
        <v>163</v>
      </c>
      <c r="D86" s="120"/>
      <c r="E86" s="120"/>
      <c r="F86" s="120"/>
      <c r="G86" s="120"/>
      <c r="H86" s="122" t="str">
        <f>IFERROR(VLOOKUP(B86,'[1]Debt Holding Consolidated'!$C$1:$N$65536,12,FALSE),"")</f>
        <v/>
      </c>
      <c r="J86" s="2"/>
    </row>
    <row r="87" spans="1:10" x14ac:dyDescent="0.2">
      <c r="A87" s="120"/>
      <c r="B87" s="120"/>
      <c r="C87" s="121" t="s">
        <v>152</v>
      </c>
      <c r="D87" s="120"/>
      <c r="E87" s="120" t="s">
        <v>153</v>
      </c>
      <c r="F87" s="132" t="s">
        <v>155</v>
      </c>
      <c r="G87" s="129">
        <v>0</v>
      </c>
      <c r="H87" s="122" t="str">
        <f>IFERROR(VLOOKUP(B87,'[1]Debt Holding Consolidated'!$C$1:$N$65536,12,FALSE),"")</f>
        <v/>
      </c>
      <c r="J87" s="2"/>
    </row>
    <row r="88" spans="1:10" x14ac:dyDescent="0.2">
      <c r="A88" s="120"/>
      <c r="B88" s="120"/>
      <c r="C88" s="130"/>
      <c r="D88" s="120"/>
      <c r="E88" s="120"/>
      <c r="F88" s="131"/>
      <c r="G88" s="131"/>
      <c r="H88" s="122" t="str">
        <f>IFERROR(VLOOKUP(B88,'[1]Debt Holding Consolidated'!$C$1:$N$65536,12,FALSE),"")</f>
        <v/>
      </c>
      <c r="J88" s="2"/>
    </row>
    <row r="89" spans="1:10" x14ac:dyDescent="0.2">
      <c r="A89" s="120"/>
      <c r="B89" s="120"/>
      <c r="C89" s="121" t="s">
        <v>164</v>
      </c>
      <c r="D89" s="120"/>
      <c r="E89" s="120"/>
      <c r="F89" s="131"/>
      <c r="G89" s="131"/>
      <c r="H89" s="122" t="str">
        <f>IFERROR(VLOOKUP(B89,'[1]Debt Holding Consolidated'!$C$1:$N$65536,12,FALSE),"")</f>
        <v/>
      </c>
      <c r="J89" s="2"/>
    </row>
    <row r="90" spans="1:10" x14ac:dyDescent="0.2">
      <c r="A90" s="120"/>
      <c r="B90" s="120"/>
      <c r="C90" s="121" t="s">
        <v>152</v>
      </c>
      <c r="D90" s="120"/>
      <c r="E90" s="120" t="s">
        <v>153</v>
      </c>
      <c r="F90" s="132" t="s">
        <v>155</v>
      </c>
      <c r="G90" s="129">
        <v>0</v>
      </c>
      <c r="H90" s="122" t="str">
        <f>IFERROR(VLOOKUP(B90,'[1]Debt Holding Consolidated'!$C$1:$N$65536,12,FALSE),"")</f>
        <v/>
      </c>
      <c r="J90" s="2"/>
    </row>
    <row r="91" spans="1:10" x14ac:dyDescent="0.2">
      <c r="A91" s="120"/>
      <c r="B91" s="120"/>
      <c r="C91" s="130"/>
      <c r="D91" s="120"/>
      <c r="E91" s="120"/>
      <c r="F91" s="131"/>
      <c r="G91" s="131"/>
      <c r="H91" s="122" t="str">
        <f>IFERROR(VLOOKUP(B91,'[1]Debt Holding Consolidated'!$C$1:$N$65536,12,FALSE),"")</f>
        <v/>
      </c>
      <c r="J91" s="2"/>
    </row>
    <row r="92" spans="1:10" x14ac:dyDescent="0.2">
      <c r="A92" s="120"/>
      <c r="B92" s="120"/>
      <c r="C92" s="121" t="s">
        <v>165</v>
      </c>
      <c r="D92" s="120"/>
      <c r="E92" s="120"/>
      <c r="F92" s="128">
        <v>0</v>
      </c>
      <c r="G92" s="129">
        <v>0</v>
      </c>
      <c r="H92" s="122" t="str">
        <f>IFERROR(VLOOKUP(B92,'[1]Debt Holding Consolidated'!$C$1:$N$65536,12,FALSE),"")</f>
        <v/>
      </c>
      <c r="J92" s="2"/>
    </row>
    <row r="93" spans="1:10" x14ac:dyDescent="0.2">
      <c r="A93" s="120"/>
      <c r="B93" s="120"/>
      <c r="C93" s="130"/>
      <c r="D93" s="120"/>
      <c r="E93" s="120"/>
      <c r="F93" s="131"/>
      <c r="G93" s="131"/>
      <c r="H93" s="122" t="str">
        <f>IFERROR(VLOOKUP(B93,'[1]Debt Holding Consolidated'!$C$1:$N$65536,12,FALSE),"")</f>
        <v/>
      </c>
      <c r="J93" s="2"/>
    </row>
    <row r="94" spans="1:10" x14ac:dyDescent="0.2">
      <c r="A94" s="120"/>
      <c r="B94" s="120"/>
      <c r="C94" s="121" t="s">
        <v>166</v>
      </c>
      <c r="D94" s="120"/>
      <c r="E94" s="120"/>
      <c r="F94" s="131"/>
      <c r="G94" s="131"/>
      <c r="H94" s="122" t="str">
        <f>IFERROR(VLOOKUP(B94,'[1]Debt Holding Consolidated'!$C$1:$N$65536,12,FALSE),"")</f>
        <v/>
      </c>
      <c r="J94" s="2"/>
    </row>
    <row r="95" spans="1:10" x14ac:dyDescent="0.2">
      <c r="A95" s="120"/>
      <c r="B95" s="120"/>
      <c r="C95" s="121" t="s">
        <v>167</v>
      </c>
      <c r="D95" s="120"/>
      <c r="E95" s="120"/>
      <c r="F95" s="131"/>
      <c r="G95" s="131"/>
      <c r="H95" s="122" t="str">
        <f>IFERROR(VLOOKUP(B95,'[1]Debt Holding Consolidated'!$C$1:$N$65536,12,FALSE),"")</f>
        <v/>
      </c>
      <c r="J95" s="2"/>
    </row>
    <row r="96" spans="1:10" x14ac:dyDescent="0.2">
      <c r="A96" s="120"/>
      <c r="B96" s="120"/>
      <c r="C96" s="121" t="s">
        <v>152</v>
      </c>
      <c r="D96" s="120"/>
      <c r="E96" s="120" t="s">
        <v>153</v>
      </c>
      <c r="F96" s="132" t="s">
        <v>155</v>
      </c>
      <c r="G96" s="129">
        <v>0</v>
      </c>
      <c r="H96" s="122" t="str">
        <f>IFERROR(VLOOKUP(B96,'[1]Debt Holding Consolidated'!$C$1:$N$65536,12,FALSE),"")</f>
        <v/>
      </c>
      <c r="J96" s="2"/>
    </row>
    <row r="97" spans="1:10" x14ac:dyDescent="0.2">
      <c r="A97" s="120"/>
      <c r="B97" s="120"/>
      <c r="C97" s="130"/>
      <c r="D97" s="120"/>
      <c r="E97" s="120"/>
      <c r="F97" s="131"/>
      <c r="G97" s="131"/>
      <c r="H97" s="122" t="str">
        <f>IFERROR(VLOOKUP(B97,'[1]Debt Holding Consolidated'!$C$1:$N$65536,12,FALSE),"")</f>
        <v/>
      </c>
      <c r="J97" s="2"/>
    </row>
    <row r="98" spans="1:10" x14ac:dyDescent="0.2">
      <c r="A98" s="120"/>
      <c r="B98" s="120"/>
      <c r="C98" s="121" t="s">
        <v>168</v>
      </c>
      <c r="D98" s="120"/>
      <c r="E98" s="120"/>
      <c r="F98" s="131"/>
      <c r="G98" s="131"/>
      <c r="H98" s="122" t="str">
        <f>IFERROR(VLOOKUP(B98,'[1]Debt Holding Consolidated'!$C$1:$N$65536,12,FALSE),"")</f>
        <v/>
      </c>
      <c r="J98" s="2"/>
    </row>
    <row r="99" spans="1:10" x14ac:dyDescent="0.2">
      <c r="A99" s="120"/>
      <c r="B99" s="120"/>
      <c r="C99" s="121" t="s">
        <v>152</v>
      </c>
      <c r="D99" s="120"/>
      <c r="E99" s="120" t="s">
        <v>153</v>
      </c>
      <c r="F99" s="132" t="s">
        <v>155</v>
      </c>
      <c r="G99" s="129">
        <v>0</v>
      </c>
      <c r="H99" s="122" t="str">
        <f>IFERROR(VLOOKUP(B99,'[1]Debt Holding Consolidated'!$C$1:$N$65536,12,FALSE),"")</f>
        <v/>
      </c>
      <c r="J99" s="2"/>
    </row>
    <row r="100" spans="1:10" x14ac:dyDescent="0.2">
      <c r="A100" s="120"/>
      <c r="B100" s="120"/>
      <c r="C100" s="130"/>
      <c r="D100" s="120"/>
      <c r="E100" s="120"/>
      <c r="F100" s="131"/>
      <c r="G100" s="131"/>
      <c r="H100" s="122" t="str">
        <f>IFERROR(VLOOKUP(B100,'[1]Debt Holding Consolidated'!$C$1:$N$65536,12,FALSE),"")</f>
        <v/>
      </c>
      <c r="J100" s="2"/>
    </row>
    <row r="101" spans="1:10" x14ac:dyDescent="0.2">
      <c r="A101" s="120"/>
      <c r="B101" s="120"/>
      <c r="C101" s="121" t="s">
        <v>169</v>
      </c>
      <c r="D101" s="120"/>
      <c r="E101" s="120"/>
      <c r="F101" s="131"/>
      <c r="G101" s="131"/>
      <c r="H101" s="122" t="str">
        <f>IFERROR(VLOOKUP(B101,'[1]Debt Holding Consolidated'!$C$1:$N$65536,12,FALSE),"")</f>
        <v/>
      </c>
      <c r="J101" s="2"/>
    </row>
    <row r="102" spans="1:10" x14ac:dyDescent="0.2">
      <c r="A102" s="123">
        <v>1</v>
      </c>
      <c r="B102" s="124" t="s">
        <v>663</v>
      </c>
      <c r="C102" s="124" t="s">
        <v>1054</v>
      </c>
      <c r="D102" s="124" t="s">
        <v>541</v>
      </c>
      <c r="E102" s="125">
        <v>2000000</v>
      </c>
      <c r="F102" s="126">
        <v>1985.9939999999999</v>
      </c>
      <c r="G102" s="127">
        <v>5.10371E-3</v>
      </c>
      <c r="H102" s="122">
        <f>IFERROR(VLOOKUP(B102,'[1]Debt Holding Consolidated'!$C$1:$N$65536,12,FALSE),"")</f>
        <v>6.6</v>
      </c>
      <c r="J102" s="2"/>
    </row>
    <row r="103" spans="1:10" x14ac:dyDescent="0.2">
      <c r="A103" s="123">
        <v>2</v>
      </c>
      <c r="B103" s="124" t="s">
        <v>540</v>
      </c>
      <c r="C103" s="124" t="s">
        <v>1049</v>
      </c>
      <c r="D103" s="124" t="s">
        <v>541</v>
      </c>
      <c r="E103" s="125">
        <v>1000000</v>
      </c>
      <c r="F103" s="126">
        <v>957.26900000000001</v>
      </c>
      <c r="G103" s="127">
        <v>2.4600400000000001E-3</v>
      </c>
      <c r="H103" s="122">
        <f>IFERROR(VLOOKUP(B103,'[1]Debt Holding Consolidated'!$C$1:$N$65536,12,FALSE),"")</f>
        <v>6.7050000000000001</v>
      </c>
      <c r="J103" s="2"/>
    </row>
    <row r="104" spans="1:10" x14ac:dyDescent="0.2">
      <c r="A104" s="120"/>
      <c r="B104" s="120"/>
      <c r="C104" s="121" t="s">
        <v>152</v>
      </c>
      <c r="D104" s="120"/>
      <c r="E104" s="120" t="s">
        <v>153</v>
      </c>
      <c r="F104" s="128">
        <v>2943.2629999999999</v>
      </c>
      <c r="G104" s="129">
        <v>7.5637500000000002E-3</v>
      </c>
      <c r="H104" s="122" t="str">
        <f>IFERROR(VLOOKUP(B104,'[1]Debt Holding Consolidated'!$C$1:$N$65536,12,FALSE),"")</f>
        <v/>
      </c>
      <c r="J104" s="2"/>
    </row>
    <row r="105" spans="1:10" x14ac:dyDescent="0.2">
      <c r="A105" s="120"/>
      <c r="B105" s="120"/>
      <c r="C105" s="130"/>
      <c r="D105" s="120"/>
      <c r="E105" s="120"/>
      <c r="F105" s="131"/>
      <c r="G105" s="131"/>
      <c r="H105" s="122" t="str">
        <f>IFERROR(VLOOKUP(B105,'[1]Debt Holding Consolidated'!$C$1:$N$65536,12,FALSE),"")</f>
        <v/>
      </c>
      <c r="J105" s="2"/>
    </row>
    <row r="106" spans="1:10" x14ac:dyDescent="0.2">
      <c r="A106" s="120"/>
      <c r="B106" s="120"/>
      <c r="C106" s="121" t="s">
        <v>170</v>
      </c>
      <c r="D106" s="120"/>
      <c r="E106" s="120"/>
      <c r="F106" s="131"/>
      <c r="G106" s="131"/>
      <c r="H106" s="122" t="str">
        <f>IFERROR(VLOOKUP(B106,'[1]Debt Holding Consolidated'!$C$1:$N$65536,12,FALSE),"")</f>
        <v/>
      </c>
      <c r="J106" s="2"/>
    </row>
    <row r="107" spans="1:10" x14ac:dyDescent="0.2">
      <c r="A107" s="123">
        <v>1</v>
      </c>
      <c r="B107" s="124"/>
      <c r="C107" s="124" t="s">
        <v>171</v>
      </c>
      <c r="D107" s="124"/>
      <c r="E107" s="133"/>
      <c r="F107" s="126">
        <v>2812.030929606</v>
      </c>
      <c r="G107" s="127">
        <v>7.2265000000000003E-3</v>
      </c>
      <c r="H107" s="122">
        <v>6.62</v>
      </c>
      <c r="J107" s="2"/>
    </row>
    <row r="108" spans="1:10" x14ac:dyDescent="0.2">
      <c r="A108" s="120"/>
      <c r="B108" s="120"/>
      <c r="C108" s="121" t="s">
        <v>152</v>
      </c>
      <c r="D108" s="120"/>
      <c r="E108" s="120" t="s">
        <v>153</v>
      </c>
      <c r="F108" s="128">
        <v>2812.030929606</v>
      </c>
      <c r="G108" s="129">
        <v>7.2265000000000003E-3</v>
      </c>
      <c r="H108" s="122" t="str">
        <f>IFERROR(VLOOKUP(B108,'[1]Debt Holding Consolidated'!$C$1:$N$65536,12,FALSE),"")</f>
        <v/>
      </c>
      <c r="J108" s="2"/>
    </row>
    <row r="109" spans="1:10" x14ac:dyDescent="0.2">
      <c r="A109" s="120"/>
      <c r="B109" s="120"/>
      <c r="C109" s="130"/>
      <c r="D109" s="120"/>
      <c r="E109" s="120"/>
      <c r="F109" s="131"/>
      <c r="G109" s="131"/>
      <c r="H109" s="122" t="str">
        <f>IFERROR(VLOOKUP(B109,'[1]Debt Holding Consolidated'!$C$1:$N$65536,12,FALSE),"")</f>
        <v/>
      </c>
      <c r="J109" s="2"/>
    </row>
    <row r="110" spans="1:10" x14ac:dyDescent="0.2">
      <c r="A110" s="120"/>
      <c r="B110" s="120"/>
      <c r="C110" s="121" t="s">
        <v>172</v>
      </c>
      <c r="D110" s="120"/>
      <c r="E110" s="120"/>
      <c r="F110" s="128">
        <v>5755.2939296060003</v>
      </c>
      <c r="G110" s="129">
        <v>1.479025E-2</v>
      </c>
      <c r="H110" s="122" t="str">
        <f>IFERROR(VLOOKUP(B110,'[1]Debt Holding Consolidated'!$C$1:$N$65536,12,FALSE),"")</f>
        <v/>
      </c>
      <c r="J110" s="2"/>
    </row>
    <row r="111" spans="1:10" x14ac:dyDescent="0.2">
      <c r="A111" s="120"/>
      <c r="B111" s="120"/>
      <c r="C111" s="131"/>
      <c r="D111" s="120"/>
      <c r="E111" s="120"/>
      <c r="F111" s="120"/>
      <c r="G111" s="120"/>
      <c r="H111" s="122" t="str">
        <f>IFERROR(VLOOKUP(B111,'[1]Debt Holding Consolidated'!$C$1:$N$65536,12,FALSE),"")</f>
        <v/>
      </c>
      <c r="J111" s="2"/>
    </row>
    <row r="112" spans="1:10" x14ac:dyDescent="0.2">
      <c r="A112" s="120"/>
      <c r="B112" s="120"/>
      <c r="C112" s="121" t="s">
        <v>173</v>
      </c>
      <c r="D112" s="120"/>
      <c r="E112" s="120"/>
      <c r="F112" s="120"/>
      <c r="G112" s="120"/>
      <c r="H112" s="122" t="str">
        <f>IFERROR(VLOOKUP(B112,'[1]Debt Holding Consolidated'!$C$1:$N$65536,12,FALSE),"")</f>
        <v/>
      </c>
      <c r="J112" s="2"/>
    </row>
    <row r="113" spans="1:10" x14ac:dyDescent="0.2">
      <c r="A113" s="120"/>
      <c r="B113" s="120"/>
      <c r="C113" s="121" t="s">
        <v>174</v>
      </c>
      <c r="D113" s="120"/>
      <c r="E113" s="120"/>
      <c r="F113" s="120"/>
      <c r="G113" s="120"/>
      <c r="H113" s="122" t="str">
        <f>IFERROR(VLOOKUP(B113,'[1]Debt Holding Consolidated'!$C$1:$N$65536,12,FALSE),"")</f>
        <v/>
      </c>
      <c r="J113" s="2"/>
    </row>
    <row r="114" spans="1:10" x14ac:dyDescent="0.2">
      <c r="A114" s="120"/>
      <c r="B114" s="120"/>
      <c r="C114" s="121" t="s">
        <v>152</v>
      </c>
      <c r="D114" s="120"/>
      <c r="E114" s="120" t="s">
        <v>153</v>
      </c>
      <c r="F114" s="132" t="s">
        <v>155</v>
      </c>
      <c r="G114" s="129">
        <v>0</v>
      </c>
      <c r="H114" s="122" t="str">
        <f>IFERROR(VLOOKUP(B114,'[1]Debt Holding Consolidated'!$C$1:$N$65536,12,FALSE),"")</f>
        <v/>
      </c>
      <c r="J114" s="2"/>
    </row>
    <row r="115" spans="1:10" x14ac:dyDescent="0.2">
      <c r="A115" s="120"/>
      <c r="B115" s="120"/>
      <c r="C115" s="130"/>
      <c r="D115" s="120"/>
      <c r="E115" s="120"/>
      <c r="F115" s="131"/>
      <c r="G115" s="131"/>
      <c r="H115" s="122" t="str">
        <f>IFERROR(VLOOKUP(B115,'[1]Debt Holding Consolidated'!$C$1:$N$65536,12,FALSE),"")</f>
        <v/>
      </c>
      <c r="J115" s="2"/>
    </row>
    <row r="116" spans="1:10" x14ac:dyDescent="0.2">
      <c r="A116" s="120"/>
      <c r="B116" s="120"/>
      <c r="C116" s="121" t="s">
        <v>175</v>
      </c>
      <c r="D116" s="120"/>
      <c r="E116" s="120"/>
      <c r="F116" s="120"/>
      <c r="G116" s="120"/>
      <c r="H116" s="122" t="str">
        <f>IFERROR(VLOOKUP(B116,'[1]Debt Holding Consolidated'!$C$1:$N$65536,12,FALSE),"")</f>
        <v/>
      </c>
      <c r="J116" s="2"/>
    </row>
    <row r="117" spans="1:10" x14ac:dyDescent="0.2">
      <c r="A117" s="120"/>
      <c r="B117" s="120"/>
      <c r="C117" s="121" t="s">
        <v>176</v>
      </c>
      <c r="D117" s="120"/>
      <c r="E117" s="120"/>
      <c r="F117" s="120"/>
      <c r="G117" s="120"/>
      <c r="H117" s="122" t="str">
        <f>IFERROR(VLOOKUP(B117,'[1]Debt Holding Consolidated'!$C$1:$N$65536,12,FALSE),"")</f>
        <v/>
      </c>
      <c r="J117" s="2"/>
    </row>
    <row r="118" spans="1:10" x14ac:dyDescent="0.2">
      <c r="A118" s="120"/>
      <c r="B118" s="120"/>
      <c r="C118" s="121" t="s">
        <v>152</v>
      </c>
      <c r="D118" s="120"/>
      <c r="E118" s="120" t="s">
        <v>153</v>
      </c>
      <c r="F118" s="132" t="s">
        <v>155</v>
      </c>
      <c r="G118" s="129">
        <v>0</v>
      </c>
      <c r="H118" s="122" t="str">
        <f>IFERROR(VLOOKUP(B118,'[1]Debt Holding Consolidated'!$C$1:$N$65536,12,FALSE),"")</f>
        <v/>
      </c>
      <c r="J118" s="2"/>
    </row>
    <row r="119" spans="1:10" x14ac:dyDescent="0.2">
      <c r="A119" s="120"/>
      <c r="B119" s="120"/>
      <c r="C119" s="130"/>
      <c r="D119" s="120"/>
      <c r="E119" s="120"/>
      <c r="F119" s="131"/>
      <c r="G119" s="131"/>
      <c r="H119" s="122" t="str">
        <f>IFERROR(VLOOKUP(B119,'[1]Debt Holding Consolidated'!$C$1:$N$65536,12,FALSE),"")</f>
        <v/>
      </c>
      <c r="J119" s="2"/>
    </row>
    <row r="120" spans="1:10" ht="25.5" x14ac:dyDescent="0.2">
      <c r="A120" s="120"/>
      <c r="B120" s="120"/>
      <c r="C120" s="121" t="s">
        <v>177</v>
      </c>
      <c r="D120" s="120"/>
      <c r="E120" s="120"/>
      <c r="F120" s="131"/>
      <c r="G120" s="131"/>
      <c r="H120" s="122" t="str">
        <f>IFERROR(VLOOKUP(B120,'[1]Debt Holding Consolidated'!$C$1:$N$65536,12,FALSE),"")</f>
        <v/>
      </c>
      <c r="J120" s="2"/>
    </row>
    <row r="121" spans="1:10" x14ac:dyDescent="0.2">
      <c r="A121" s="120"/>
      <c r="B121" s="120"/>
      <c r="C121" s="121" t="s">
        <v>152</v>
      </c>
      <c r="D121" s="120"/>
      <c r="E121" s="120" t="s">
        <v>153</v>
      </c>
      <c r="F121" s="132" t="s">
        <v>155</v>
      </c>
      <c r="G121" s="129">
        <v>0</v>
      </c>
      <c r="H121" s="122" t="str">
        <f>IFERROR(VLOOKUP(B121,'[1]Debt Holding Consolidated'!$C$1:$N$65536,12,FALSE),"")</f>
        <v/>
      </c>
      <c r="J121" s="2"/>
    </row>
    <row r="122" spans="1:10" x14ac:dyDescent="0.2">
      <c r="A122" s="120"/>
      <c r="B122" s="124"/>
      <c r="C122" s="124"/>
      <c r="D122" s="121"/>
      <c r="E122" s="120"/>
      <c r="F122" s="124"/>
      <c r="G122" s="133"/>
      <c r="H122" s="122" t="str">
        <f>IFERROR(VLOOKUP(B122,'[1]Debt Holding Consolidated'!$C$1:$N$65536,12,FALSE),"")</f>
        <v/>
      </c>
      <c r="J122" s="2"/>
    </row>
    <row r="123" spans="1:10" x14ac:dyDescent="0.2">
      <c r="A123" s="133"/>
      <c r="B123" s="124"/>
      <c r="C123" s="160" t="s">
        <v>942</v>
      </c>
      <c r="D123" s="124"/>
      <c r="E123" s="133"/>
      <c r="F123" s="126">
        <v>11900.92363205</v>
      </c>
      <c r="G123" s="127">
        <v>3.0583610000000001E-2</v>
      </c>
      <c r="H123" s="122" t="str">
        <f>IFERROR(VLOOKUP(B123,'[1]Debt Holding Consolidated'!$C$1:$N$65536,12,FALSE),"")</f>
        <v/>
      </c>
      <c r="J123" s="2"/>
    </row>
    <row r="124" spans="1:10" x14ac:dyDescent="0.2">
      <c r="A124" s="130"/>
      <c r="B124" s="130"/>
      <c r="C124" s="121" t="s">
        <v>179</v>
      </c>
      <c r="D124" s="131"/>
      <c r="E124" s="131"/>
      <c r="F124" s="128">
        <v>389127.47172888101</v>
      </c>
      <c r="G124" s="134">
        <v>1.00000003</v>
      </c>
      <c r="H124" s="122" t="str">
        <f>IFERROR(VLOOKUP(B124,'[1]Debt Holding Consolidated'!$C$1:$N$65536,12,FALSE),"")</f>
        <v/>
      </c>
      <c r="J124" s="2"/>
    </row>
    <row r="125" spans="1:10" x14ac:dyDescent="0.2">
      <c r="A125" s="135"/>
      <c r="B125" s="135"/>
      <c r="C125" s="135"/>
      <c r="D125" s="136"/>
      <c r="E125" s="136"/>
      <c r="F125" s="136"/>
      <c r="G125" s="136"/>
      <c r="J125" s="2"/>
    </row>
    <row r="126" spans="1:10" x14ac:dyDescent="0.2">
      <c r="A126" s="137"/>
      <c r="B126" s="226" t="s">
        <v>863</v>
      </c>
      <c r="C126" s="226"/>
      <c r="D126" s="226"/>
      <c r="E126" s="226"/>
      <c r="F126" s="226"/>
      <c r="G126" s="226"/>
      <c r="H126" s="226"/>
      <c r="J126" s="2"/>
    </row>
    <row r="127" spans="1:10" x14ac:dyDescent="0.2">
      <c r="A127" s="137"/>
      <c r="B127" s="226" t="s">
        <v>864</v>
      </c>
      <c r="C127" s="226"/>
      <c r="D127" s="226"/>
      <c r="E127" s="226"/>
      <c r="F127" s="226"/>
      <c r="G127" s="226"/>
      <c r="H127" s="226"/>
      <c r="J127" s="2"/>
    </row>
    <row r="128" spans="1:10" x14ac:dyDescent="0.2">
      <c r="A128" s="137"/>
      <c r="B128" s="226" t="s">
        <v>865</v>
      </c>
      <c r="C128" s="226"/>
      <c r="D128" s="226"/>
      <c r="E128" s="226"/>
      <c r="F128" s="226"/>
      <c r="G128" s="226"/>
      <c r="H128" s="226"/>
      <c r="J128" s="2"/>
    </row>
    <row r="129" spans="1:17" s="5" customFormat="1" ht="67.5" customHeight="1" x14ac:dyDescent="0.25">
      <c r="A129" s="139"/>
      <c r="B129" s="227" t="s">
        <v>866</v>
      </c>
      <c r="C129" s="227"/>
      <c r="D129" s="227"/>
      <c r="E129" s="227"/>
      <c r="F129" s="227"/>
      <c r="G129" s="227"/>
      <c r="H129" s="227"/>
      <c r="I129"/>
      <c r="J129" s="2"/>
      <c r="K129"/>
      <c r="L129"/>
      <c r="M129"/>
      <c r="N129"/>
      <c r="O129"/>
      <c r="P129"/>
      <c r="Q129"/>
    </row>
    <row r="130" spans="1:17" x14ac:dyDescent="0.2">
      <c r="A130" s="137"/>
      <c r="B130" s="226" t="s">
        <v>867</v>
      </c>
      <c r="C130" s="226"/>
      <c r="D130" s="226"/>
      <c r="E130" s="226"/>
      <c r="F130" s="226"/>
      <c r="G130" s="226"/>
      <c r="H130" s="226"/>
      <c r="J130" s="2"/>
    </row>
    <row r="131" spans="1:17" x14ac:dyDescent="0.2">
      <c r="A131" s="140"/>
      <c r="B131" s="140"/>
      <c r="C131" s="140"/>
      <c r="D131" s="141"/>
      <c r="E131" s="141"/>
      <c r="F131" s="141"/>
      <c r="G131" s="141"/>
      <c r="J131" s="2"/>
    </row>
    <row r="132" spans="1:17" x14ac:dyDescent="0.2">
      <c r="A132" s="140"/>
      <c r="B132" s="228" t="s">
        <v>180</v>
      </c>
      <c r="C132" s="229"/>
      <c r="D132" s="230"/>
      <c r="E132" s="142"/>
      <c r="F132" s="141"/>
      <c r="G132" s="141"/>
      <c r="J132" s="2"/>
    </row>
    <row r="133" spans="1:17" x14ac:dyDescent="0.2">
      <c r="A133" s="140"/>
      <c r="B133" s="223" t="s">
        <v>181</v>
      </c>
      <c r="C133" s="224"/>
      <c r="D133" s="121" t="s">
        <v>182</v>
      </c>
      <c r="E133" s="142"/>
      <c r="F133" s="141"/>
      <c r="G133" s="141"/>
      <c r="J133" s="2"/>
    </row>
    <row r="134" spans="1:17" x14ac:dyDescent="0.2">
      <c r="A134" s="140"/>
      <c r="B134" s="223" t="s">
        <v>183</v>
      </c>
      <c r="C134" s="224"/>
      <c r="D134" s="121" t="s">
        <v>182</v>
      </c>
      <c r="E134" s="142"/>
      <c r="F134" s="141"/>
      <c r="G134" s="141"/>
      <c r="J134" s="2"/>
    </row>
    <row r="135" spans="1:17" x14ac:dyDescent="0.2">
      <c r="A135" s="140"/>
      <c r="B135" s="223" t="s">
        <v>184</v>
      </c>
      <c r="C135" s="224"/>
      <c r="D135" s="131" t="s">
        <v>153</v>
      </c>
      <c r="E135" s="142"/>
      <c r="F135" s="141"/>
      <c r="G135" s="141"/>
      <c r="J135" s="2"/>
    </row>
    <row r="136" spans="1:17" x14ac:dyDescent="0.2">
      <c r="A136" s="144"/>
      <c r="B136" s="145" t="s">
        <v>153</v>
      </c>
      <c r="C136" s="145" t="s">
        <v>870</v>
      </c>
      <c r="D136" s="145" t="s">
        <v>185</v>
      </c>
      <c r="E136" s="144"/>
      <c r="F136" s="144"/>
      <c r="G136" s="144"/>
      <c r="H136" s="144"/>
      <c r="J136" s="2"/>
    </row>
    <row r="137" spans="1:17" x14ac:dyDescent="0.2">
      <c r="A137" s="146"/>
      <c r="B137" s="147" t="s">
        <v>186</v>
      </c>
      <c r="C137" s="148">
        <v>45504</v>
      </c>
      <c r="D137" s="149">
        <v>45535</v>
      </c>
      <c r="E137" s="146"/>
      <c r="F137" s="146"/>
      <c r="G137" s="146"/>
      <c r="J137" s="2"/>
    </row>
    <row r="138" spans="1:17" x14ac:dyDescent="0.2">
      <c r="A138" s="146"/>
      <c r="B138" s="124" t="s">
        <v>187</v>
      </c>
      <c r="C138" s="150">
        <v>33.980499999999999</v>
      </c>
      <c r="D138" s="150">
        <v>35.354100000000003</v>
      </c>
      <c r="E138" s="146"/>
      <c r="F138" s="151"/>
      <c r="G138" s="152"/>
      <c r="J138" s="2"/>
    </row>
    <row r="139" spans="1:17" x14ac:dyDescent="0.2">
      <c r="A139" s="146"/>
      <c r="B139" s="124" t="s">
        <v>926</v>
      </c>
      <c r="C139" s="150">
        <v>25.137899999999998</v>
      </c>
      <c r="D139" s="150">
        <v>26.1541</v>
      </c>
      <c r="E139" s="146"/>
      <c r="F139" s="151"/>
      <c r="G139" s="152"/>
      <c r="J139" s="2"/>
    </row>
    <row r="140" spans="1:17" x14ac:dyDescent="0.2">
      <c r="A140" s="146"/>
      <c r="B140" s="124" t="s">
        <v>188</v>
      </c>
      <c r="C140" s="150">
        <v>31.738700000000001</v>
      </c>
      <c r="D140" s="150">
        <v>32.988599999999998</v>
      </c>
      <c r="E140" s="146"/>
      <c r="F140" s="151"/>
      <c r="G140" s="152"/>
      <c r="J140" s="2"/>
    </row>
    <row r="141" spans="1:17" x14ac:dyDescent="0.2">
      <c r="A141" s="146"/>
      <c r="B141" s="124" t="s">
        <v>927</v>
      </c>
      <c r="C141" s="150">
        <v>23.454799999999999</v>
      </c>
      <c r="D141" s="150">
        <v>24.378399999999999</v>
      </c>
      <c r="E141" s="146"/>
      <c r="F141" s="151"/>
      <c r="G141" s="152"/>
      <c r="J141" s="2"/>
    </row>
    <row r="142" spans="1:17" x14ac:dyDescent="0.2">
      <c r="A142" s="146"/>
      <c r="B142" s="146"/>
      <c r="C142" s="146"/>
      <c r="D142" s="146"/>
      <c r="E142" s="146"/>
      <c r="F142" s="146"/>
      <c r="G142" s="146"/>
      <c r="J142" s="2"/>
    </row>
    <row r="143" spans="1:17" x14ac:dyDescent="0.2">
      <c r="A143" s="144"/>
      <c r="B143" s="221" t="s">
        <v>869</v>
      </c>
      <c r="C143" s="222"/>
      <c r="D143" s="143" t="s">
        <v>182</v>
      </c>
      <c r="E143" s="144"/>
      <c r="F143" s="144"/>
      <c r="G143" s="144"/>
      <c r="J143" s="2"/>
    </row>
    <row r="144" spans="1:17" x14ac:dyDescent="0.2">
      <c r="A144" s="144"/>
      <c r="B144" s="163"/>
      <c r="C144" s="163"/>
      <c r="D144" s="163"/>
      <c r="E144" s="144"/>
      <c r="F144" s="144"/>
      <c r="G144" s="144"/>
      <c r="J144" s="2"/>
    </row>
    <row r="145" spans="1:10" ht="29.1" customHeight="1" x14ac:dyDescent="0.2">
      <c r="A145" s="144"/>
      <c r="B145" s="221" t="s">
        <v>189</v>
      </c>
      <c r="C145" s="222"/>
      <c r="D145" s="143" t="s">
        <v>182</v>
      </c>
      <c r="E145" s="144"/>
      <c r="F145" s="144"/>
      <c r="G145" s="144"/>
      <c r="H145" s="144"/>
      <c r="J145" s="2"/>
    </row>
    <row r="146" spans="1:10" ht="29.1" customHeight="1" x14ac:dyDescent="0.2">
      <c r="A146" s="144"/>
      <c r="B146" s="221" t="s">
        <v>190</v>
      </c>
      <c r="C146" s="222"/>
      <c r="D146" s="220" t="str">
        <f>"Rs. "&amp;TEXT(F62,"0.00")&amp;" Lacs"</f>
        <v>Rs. 3051.24 Lacs</v>
      </c>
      <c r="E146" s="153"/>
      <c r="F146" s="144"/>
      <c r="G146" s="144"/>
      <c r="H146" s="144"/>
      <c r="J146" s="2"/>
    </row>
    <row r="147" spans="1:10" ht="17.100000000000001" customHeight="1" x14ac:dyDescent="0.2">
      <c r="A147" s="144"/>
      <c r="B147" s="221" t="s">
        <v>191</v>
      </c>
      <c r="C147" s="222"/>
      <c r="D147" s="143" t="s">
        <v>182</v>
      </c>
      <c r="E147" s="153"/>
      <c r="F147" s="144"/>
      <c r="G147" s="144"/>
      <c r="H147" s="144"/>
      <c r="J147" s="2"/>
    </row>
    <row r="148" spans="1:10" ht="17.100000000000001" customHeight="1" x14ac:dyDescent="0.2">
      <c r="A148" s="144"/>
      <c r="B148" s="221" t="s">
        <v>192</v>
      </c>
      <c r="C148" s="222"/>
      <c r="D148" s="154">
        <v>0.86971075446484303</v>
      </c>
      <c r="E148" s="144"/>
      <c r="F148" s="138"/>
      <c r="G148" s="155"/>
      <c r="H148" s="155"/>
      <c r="J148" s="2"/>
    </row>
  </sheetData>
  <mergeCells count="17">
    <mergeCell ref="B133:C133"/>
    <mergeCell ref="A1:H1"/>
    <mergeCell ref="A2:H2"/>
    <mergeCell ref="A3:H3"/>
    <mergeCell ref="B126:H126"/>
    <mergeCell ref="B127:H127"/>
    <mergeCell ref="B128:H128"/>
    <mergeCell ref="B129:H129"/>
    <mergeCell ref="B130:H130"/>
    <mergeCell ref="B132:D132"/>
    <mergeCell ref="B134:C134"/>
    <mergeCell ref="B135:C135"/>
    <mergeCell ref="B143:C143"/>
    <mergeCell ref="B147:C147"/>
    <mergeCell ref="B148:C148"/>
    <mergeCell ref="B145:C145"/>
    <mergeCell ref="B146:C146"/>
  </mergeCells>
  <hyperlinks>
    <hyperlink ref="I1" location="Index!B25" display="Index" xr:uid="{BD771A46-F208-46CC-B97F-C318FEDBD46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33FF2-1D11-476F-B981-097FF56B85DB}">
  <sheetPr>
    <outlinePr summaryBelow="0" summaryRight="0"/>
  </sheetPr>
  <dimension ref="A1:Q159"/>
  <sheetViews>
    <sheetView showGridLines="0" workbookViewId="0">
      <selection sqref="A1:H1"/>
    </sheetView>
  </sheetViews>
  <sheetFormatPr defaultRowHeight="12.75" x14ac:dyDescent="0.2"/>
  <cols>
    <col min="1" max="1" width="6.85546875" customWidth="1"/>
    <col min="2" max="2" width="20.5703125" customWidth="1"/>
    <col min="3" max="3" width="38.28515625" customWidth="1"/>
    <col min="4" max="4" width="19.7109375" customWidth="1"/>
    <col min="5" max="6" width="19.140625" customWidth="1"/>
    <col min="7" max="7" width="16.42578125" customWidth="1"/>
    <col min="10" max="10" width="50.7109375" style="8" customWidth="1"/>
  </cols>
  <sheetData>
    <row r="1" spans="1:10" ht="15" x14ac:dyDescent="0.2">
      <c r="A1" s="225" t="s">
        <v>0</v>
      </c>
      <c r="B1" s="225"/>
      <c r="C1" s="225"/>
      <c r="D1" s="225"/>
      <c r="E1" s="225"/>
      <c r="F1" s="225"/>
      <c r="G1" s="225"/>
      <c r="H1" s="225"/>
      <c r="I1" s="16" t="s">
        <v>913</v>
      </c>
      <c r="J1" s="2"/>
    </row>
    <row r="2" spans="1:10" ht="15" x14ac:dyDescent="0.2">
      <c r="A2" s="225" t="s">
        <v>815</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852</v>
      </c>
      <c r="J4" s="2"/>
    </row>
    <row r="5" spans="1:10" x14ac:dyDescent="0.2">
      <c r="A5" s="120"/>
      <c r="B5" s="120"/>
      <c r="C5" s="121" t="s">
        <v>9</v>
      </c>
      <c r="D5" s="120"/>
      <c r="E5" s="120"/>
      <c r="F5" s="120"/>
      <c r="G5" s="120"/>
      <c r="H5" s="122" t="s">
        <v>153</v>
      </c>
      <c r="J5" s="2"/>
    </row>
    <row r="6" spans="1:10" x14ac:dyDescent="0.2">
      <c r="A6" s="120"/>
      <c r="B6" s="120"/>
      <c r="C6" s="121" t="s">
        <v>10</v>
      </c>
      <c r="D6" s="120"/>
      <c r="E6" s="120"/>
      <c r="F6" s="120"/>
      <c r="G6" s="120"/>
      <c r="H6" s="122" t="s">
        <v>153</v>
      </c>
      <c r="J6" s="2"/>
    </row>
    <row r="7" spans="1:10" x14ac:dyDescent="0.2">
      <c r="A7" s="123">
        <v>1</v>
      </c>
      <c r="B7" s="124" t="s">
        <v>342</v>
      </c>
      <c r="C7" s="124" t="s">
        <v>343</v>
      </c>
      <c r="D7" s="124" t="s">
        <v>48</v>
      </c>
      <c r="E7" s="125">
        <v>767171</v>
      </c>
      <c r="F7" s="126">
        <v>12557.822099000001</v>
      </c>
      <c r="G7" s="127">
        <v>7.5017230000000004E-2</v>
      </c>
      <c r="H7" s="122" t="s">
        <v>153</v>
      </c>
      <c r="J7" s="2"/>
    </row>
    <row r="8" spans="1:10" x14ac:dyDescent="0.2">
      <c r="A8" s="123">
        <v>2</v>
      </c>
      <c r="B8" s="124" t="s">
        <v>46</v>
      </c>
      <c r="C8" s="124" t="s">
        <v>47</v>
      </c>
      <c r="D8" s="124" t="s">
        <v>48</v>
      </c>
      <c r="E8" s="125">
        <v>883000</v>
      </c>
      <c r="F8" s="126">
        <v>10853.835999999999</v>
      </c>
      <c r="G8" s="127">
        <v>6.4838049999999994E-2</v>
      </c>
      <c r="H8" s="122" t="s">
        <v>153</v>
      </c>
      <c r="J8" s="2"/>
    </row>
    <row r="9" spans="1:10" x14ac:dyDescent="0.2">
      <c r="A9" s="123">
        <v>3</v>
      </c>
      <c r="B9" s="124" t="s">
        <v>20</v>
      </c>
      <c r="C9" s="124" t="s">
        <v>21</v>
      </c>
      <c r="D9" s="124" t="s">
        <v>22</v>
      </c>
      <c r="E9" s="125">
        <v>320000</v>
      </c>
      <c r="F9" s="126">
        <v>9661.6</v>
      </c>
      <c r="G9" s="127">
        <v>5.771594E-2</v>
      </c>
      <c r="H9" s="122" t="s">
        <v>153</v>
      </c>
      <c r="J9" s="2"/>
    </row>
    <row r="10" spans="1:10" x14ac:dyDescent="0.2">
      <c r="A10" s="123">
        <v>4</v>
      </c>
      <c r="B10" s="124" t="s">
        <v>344</v>
      </c>
      <c r="C10" s="124" t="s">
        <v>345</v>
      </c>
      <c r="D10" s="124" t="s">
        <v>211</v>
      </c>
      <c r="E10" s="125">
        <v>391000</v>
      </c>
      <c r="F10" s="126">
        <v>7599.8670000000002</v>
      </c>
      <c r="G10" s="127">
        <v>4.5399670000000003E-2</v>
      </c>
      <c r="H10" s="122" t="s">
        <v>153</v>
      </c>
      <c r="J10" s="2"/>
    </row>
    <row r="11" spans="1:10" ht="25.5" x14ac:dyDescent="0.2">
      <c r="A11" s="123">
        <v>5</v>
      </c>
      <c r="B11" s="124" t="s">
        <v>352</v>
      </c>
      <c r="C11" s="124" t="s">
        <v>353</v>
      </c>
      <c r="D11" s="124" t="s">
        <v>208</v>
      </c>
      <c r="E11" s="125">
        <v>326000</v>
      </c>
      <c r="F11" s="126">
        <v>5938.5789999999997</v>
      </c>
      <c r="G11" s="127">
        <v>3.5475560000000003E-2</v>
      </c>
      <c r="H11" s="122" t="s">
        <v>153</v>
      </c>
      <c r="J11" s="2"/>
    </row>
    <row r="12" spans="1:10" ht="15" x14ac:dyDescent="0.2">
      <c r="A12" s="123">
        <v>6</v>
      </c>
      <c r="B12" s="124" t="s">
        <v>11</v>
      </c>
      <c r="C12" s="124" t="s">
        <v>12</v>
      </c>
      <c r="D12" s="124" t="s">
        <v>13</v>
      </c>
      <c r="E12" s="125">
        <v>156446</v>
      </c>
      <c r="F12" s="126">
        <v>5795.7767389999999</v>
      </c>
      <c r="G12" s="127">
        <v>3.4622489999999999E-2</v>
      </c>
      <c r="H12" s="122" t="s">
        <v>153</v>
      </c>
      <c r="J12" s="7"/>
    </row>
    <row r="13" spans="1:10" x14ac:dyDescent="0.2">
      <c r="A13" s="123">
        <v>7</v>
      </c>
      <c r="B13" s="124" t="s">
        <v>348</v>
      </c>
      <c r="C13" s="124" t="s">
        <v>349</v>
      </c>
      <c r="D13" s="124" t="s">
        <v>211</v>
      </c>
      <c r="E13" s="125">
        <v>114734</v>
      </c>
      <c r="F13" s="126">
        <v>5224.699525</v>
      </c>
      <c r="G13" s="127">
        <v>3.1211019999999999E-2</v>
      </c>
      <c r="H13" s="122" t="s">
        <v>153</v>
      </c>
      <c r="J13" s="2"/>
    </row>
    <row r="14" spans="1:10" x14ac:dyDescent="0.2">
      <c r="A14" s="123">
        <v>8</v>
      </c>
      <c r="B14" s="124" t="s">
        <v>361</v>
      </c>
      <c r="C14" s="124" t="s">
        <v>362</v>
      </c>
      <c r="D14" s="124" t="s">
        <v>273</v>
      </c>
      <c r="E14" s="125">
        <v>457000</v>
      </c>
      <c r="F14" s="126">
        <v>5078.8694999999998</v>
      </c>
      <c r="G14" s="127">
        <v>3.0339870000000001E-2</v>
      </c>
      <c r="H14" s="122" t="s">
        <v>153</v>
      </c>
      <c r="J14" s="2" t="s">
        <v>1011</v>
      </c>
    </row>
    <row r="15" spans="1:10" x14ac:dyDescent="0.2">
      <c r="A15" s="123">
        <v>9</v>
      </c>
      <c r="B15" s="124" t="s">
        <v>350</v>
      </c>
      <c r="C15" s="124" t="s">
        <v>351</v>
      </c>
      <c r="D15" s="124" t="s">
        <v>48</v>
      </c>
      <c r="E15" s="125">
        <v>419000</v>
      </c>
      <c r="F15" s="126">
        <v>4924.2974999999997</v>
      </c>
      <c r="G15" s="127">
        <v>2.9416500000000002E-2</v>
      </c>
      <c r="H15" s="122" t="s">
        <v>153</v>
      </c>
      <c r="J15" s="2"/>
    </row>
    <row r="16" spans="1:10" x14ac:dyDescent="0.2">
      <c r="A16" s="123">
        <v>10</v>
      </c>
      <c r="B16" s="124" t="s">
        <v>14</v>
      </c>
      <c r="C16" s="124" t="s">
        <v>15</v>
      </c>
      <c r="D16" s="124" t="s">
        <v>16</v>
      </c>
      <c r="E16" s="125">
        <v>304000</v>
      </c>
      <c r="F16" s="126">
        <v>4830.7120000000004</v>
      </c>
      <c r="G16" s="127">
        <v>2.8857440000000002E-2</v>
      </c>
      <c r="H16" s="122" t="s">
        <v>153</v>
      </c>
      <c r="J16" s="2"/>
    </row>
    <row r="17" spans="1:10" x14ac:dyDescent="0.2">
      <c r="A17" s="123">
        <v>11</v>
      </c>
      <c r="B17" s="124" t="s">
        <v>84</v>
      </c>
      <c r="C17" s="124" t="s">
        <v>85</v>
      </c>
      <c r="D17" s="124" t="s">
        <v>86</v>
      </c>
      <c r="E17" s="125">
        <v>100000</v>
      </c>
      <c r="F17" s="126">
        <v>4830</v>
      </c>
      <c r="G17" s="127">
        <v>2.8853190000000001E-2</v>
      </c>
      <c r="H17" s="122" t="s">
        <v>153</v>
      </c>
      <c r="J17" s="2"/>
    </row>
    <row r="18" spans="1:10" x14ac:dyDescent="0.2">
      <c r="A18" s="123">
        <v>12</v>
      </c>
      <c r="B18" s="124" t="s">
        <v>54</v>
      </c>
      <c r="C18" s="124" t="s">
        <v>55</v>
      </c>
      <c r="D18" s="124" t="s">
        <v>48</v>
      </c>
      <c r="E18" s="125">
        <v>545000</v>
      </c>
      <c r="F18" s="126">
        <v>4445.0200000000004</v>
      </c>
      <c r="G18" s="127">
        <v>2.6553420000000001E-2</v>
      </c>
      <c r="H18" s="122" t="s">
        <v>153</v>
      </c>
      <c r="J18" s="2"/>
    </row>
    <row r="19" spans="1:10" x14ac:dyDescent="0.2">
      <c r="A19" s="123">
        <v>13</v>
      </c>
      <c r="B19" s="124" t="s">
        <v>668</v>
      </c>
      <c r="C19" s="124" t="s">
        <v>669</v>
      </c>
      <c r="D19" s="124" t="s">
        <v>89</v>
      </c>
      <c r="E19" s="125">
        <v>176000</v>
      </c>
      <c r="F19" s="126">
        <v>3138.1680000000001</v>
      </c>
      <c r="G19" s="127">
        <v>1.8746619999999999E-2</v>
      </c>
      <c r="H19" s="122" t="s">
        <v>153</v>
      </c>
      <c r="J19" s="2"/>
    </row>
    <row r="20" spans="1:10" x14ac:dyDescent="0.2">
      <c r="A20" s="123">
        <v>14</v>
      </c>
      <c r="B20" s="124" t="s">
        <v>377</v>
      </c>
      <c r="C20" s="124" t="s">
        <v>378</v>
      </c>
      <c r="D20" s="124" t="s">
        <v>374</v>
      </c>
      <c r="E20" s="125">
        <v>103000</v>
      </c>
      <c r="F20" s="126">
        <v>2861.34</v>
      </c>
      <c r="G20" s="127">
        <v>1.7092920000000001E-2</v>
      </c>
      <c r="H20" s="122" t="s">
        <v>153</v>
      </c>
      <c r="J20" s="2"/>
    </row>
    <row r="21" spans="1:10" x14ac:dyDescent="0.2">
      <c r="A21" s="123">
        <v>15</v>
      </c>
      <c r="B21" s="124" t="s">
        <v>234</v>
      </c>
      <c r="C21" s="124" t="s">
        <v>235</v>
      </c>
      <c r="D21" s="124" t="s">
        <v>236</v>
      </c>
      <c r="E21" s="125">
        <v>439000</v>
      </c>
      <c r="F21" s="126">
        <v>2854.817</v>
      </c>
      <c r="G21" s="127">
        <v>1.7053949999999998E-2</v>
      </c>
      <c r="H21" s="122" t="s">
        <v>153</v>
      </c>
      <c r="J21" s="2"/>
    </row>
    <row r="22" spans="1:10" ht="25.5" x14ac:dyDescent="0.2">
      <c r="A22" s="123">
        <v>16</v>
      </c>
      <c r="B22" s="124" t="s">
        <v>23</v>
      </c>
      <c r="C22" s="124" t="s">
        <v>24</v>
      </c>
      <c r="D22" s="124" t="s">
        <v>25</v>
      </c>
      <c r="E22" s="125">
        <v>25000</v>
      </c>
      <c r="F22" s="126">
        <v>2825.4749999999999</v>
      </c>
      <c r="G22" s="127">
        <v>1.6878669999999998E-2</v>
      </c>
      <c r="H22" s="122" t="s">
        <v>153</v>
      </c>
      <c r="J22" s="7"/>
    </row>
    <row r="23" spans="1:10" ht="25.5" x14ac:dyDescent="0.2">
      <c r="A23" s="123">
        <v>17</v>
      </c>
      <c r="B23" s="124" t="s">
        <v>281</v>
      </c>
      <c r="C23" s="124" t="s">
        <v>282</v>
      </c>
      <c r="D23" s="124" t="s">
        <v>89</v>
      </c>
      <c r="E23" s="125">
        <v>181078</v>
      </c>
      <c r="F23" s="126">
        <v>2635.7713680000002</v>
      </c>
      <c r="G23" s="127">
        <v>1.5745430000000001E-2</v>
      </c>
      <c r="H23" s="122" t="s">
        <v>153</v>
      </c>
      <c r="J23" s="2"/>
    </row>
    <row r="24" spans="1:10" x14ac:dyDescent="0.2">
      <c r="A24" s="123">
        <v>18</v>
      </c>
      <c r="B24" s="124" t="s">
        <v>338</v>
      </c>
      <c r="C24" s="124" t="s">
        <v>339</v>
      </c>
      <c r="D24" s="124" t="s">
        <v>273</v>
      </c>
      <c r="E24" s="125">
        <v>21000</v>
      </c>
      <c r="F24" s="126">
        <v>2604.63</v>
      </c>
      <c r="G24" s="127">
        <v>1.5559399999999999E-2</v>
      </c>
      <c r="H24" s="122" t="s">
        <v>153</v>
      </c>
      <c r="J24" s="2"/>
    </row>
    <row r="25" spans="1:10" x14ac:dyDescent="0.2">
      <c r="A25" s="123">
        <v>19</v>
      </c>
      <c r="B25" s="124" t="s">
        <v>132</v>
      </c>
      <c r="C25" s="124" t="s">
        <v>133</v>
      </c>
      <c r="D25" s="124" t="s">
        <v>53</v>
      </c>
      <c r="E25" s="125">
        <v>31000</v>
      </c>
      <c r="F25" s="126">
        <v>2460.1754999999998</v>
      </c>
      <c r="G25" s="127">
        <v>1.469646E-2</v>
      </c>
      <c r="H25" s="122" t="s">
        <v>153</v>
      </c>
      <c r="J25" s="2" t="s">
        <v>1034</v>
      </c>
    </row>
    <row r="26" spans="1:10" x14ac:dyDescent="0.2">
      <c r="A26" s="123">
        <v>20</v>
      </c>
      <c r="B26" s="124" t="s">
        <v>354</v>
      </c>
      <c r="C26" s="124" t="s">
        <v>355</v>
      </c>
      <c r="D26" s="124" t="s">
        <v>264</v>
      </c>
      <c r="E26" s="125">
        <v>161000</v>
      </c>
      <c r="F26" s="126">
        <v>2416.4490000000001</v>
      </c>
      <c r="G26" s="127">
        <v>1.443525E-2</v>
      </c>
      <c r="H26" s="122" t="s">
        <v>153</v>
      </c>
      <c r="J26" s="2"/>
    </row>
    <row r="27" spans="1:10" x14ac:dyDescent="0.2">
      <c r="A27" s="123">
        <v>21</v>
      </c>
      <c r="B27" s="124" t="s">
        <v>106</v>
      </c>
      <c r="C27" s="124" t="s">
        <v>107</v>
      </c>
      <c r="D27" s="124" t="s">
        <v>35</v>
      </c>
      <c r="E27" s="125">
        <v>98000</v>
      </c>
      <c r="F27" s="126">
        <v>2391.69</v>
      </c>
      <c r="G27" s="127">
        <v>1.4287350000000001E-2</v>
      </c>
      <c r="H27" s="122" t="s">
        <v>153</v>
      </c>
      <c r="J27" s="2"/>
    </row>
    <row r="28" spans="1:10" x14ac:dyDescent="0.2">
      <c r="A28" s="123">
        <v>22</v>
      </c>
      <c r="B28" s="124" t="s">
        <v>244</v>
      </c>
      <c r="C28" s="124" t="s">
        <v>245</v>
      </c>
      <c r="D28" s="124" t="s">
        <v>198</v>
      </c>
      <c r="E28" s="125">
        <v>31000</v>
      </c>
      <c r="F28" s="126">
        <v>2380.4279999999999</v>
      </c>
      <c r="G28" s="127">
        <v>1.422007E-2</v>
      </c>
      <c r="H28" s="122" t="s">
        <v>153</v>
      </c>
      <c r="J28" s="2"/>
    </row>
    <row r="29" spans="1:10" x14ac:dyDescent="0.2">
      <c r="A29" s="123">
        <v>23</v>
      </c>
      <c r="B29" s="124" t="s">
        <v>682</v>
      </c>
      <c r="C29" s="124" t="s">
        <v>683</v>
      </c>
      <c r="D29" s="124" t="s">
        <v>45</v>
      </c>
      <c r="E29" s="125">
        <v>138229</v>
      </c>
      <c r="F29" s="126">
        <v>2355.2839309999999</v>
      </c>
      <c r="G29" s="127">
        <v>1.406987E-2</v>
      </c>
      <c r="H29" s="122" t="s">
        <v>153</v>
      </c>
      <c r="J29" s="2"/>
    </row>
    <row r="30" spans="1:10" ht="25.5" x14ac:dyDescent="0.2">
      <c r="A30" s="123">
        <v>24</v>
      </c>
      <c r="B30" s="124" t="s">
        <v>471</v>
      </c>
      <c r="C30" s="124" t="s">
        <v>472</v>
      </c>
      <c r="D30" s="124" t="s">
        <v>208</v>
      </c>
      <c r="E30" s="125">
        <v>139000</v>
      </c>
      <c r="F30" s="126">
        <v>2300.3110000000001</v>
      </c>
      <c r="G30" s="127">
        <v>1.374147E-2</v>
      </c>
      <c r="H30" s="122" t="s">
        <v>153</v>
      </c>
      <c r="J30" s="2"/>
    </row>
    <row r="31" spans="1:10" x14ac:dyDescent="0.2">
      <c r="A31" s="123">
        <v>25</v>
      </c>
      <c r="B31" s="124" t="s">
        <v>550</v>
      </c>
      <c r="C31" s="124" t="s">
        <v>551</v>
      </c>
      <c r="D31" s="124" t="s">
        <v>211</v>
      </c>
      <c r="E31" s="125">
        <v>139000</v>
      </c>
      <c r="F31" s="126">
        <v>2274.7350000000001</v>
      </c>
      <c r="G31" s="127">
        <v>1.358869E-2</v>
      </c>
      <c r="H31" s="122" t="s">
        <v>153</v>
      </c>
      <c r="J31" s="2"/>
    </row>
    <row r="32" spans="1:10" x14ac:dyDescent="0.2">
      <c r="A32" s="123">
        <v>26</v>
      </c>
      <c r="B32" s="124" t="s">
        <v>700</v>
      </c>
      <c r="C32" s="124" t="s">
        <v>701</v>
      </c>
      <c r="D32" s="124" t="s">
        <v>239</v>
      </c>
      <c r="E32" s="125">
        <v>37000</v>
      </c>
      <c r="F32" s="126">
        <v>2216.7809999999999</v>
      </c>
      <c r="G32" s="127">
        <v>1.3242490000000001E-2</v>
      </c>
      <c r="H32" s="122" t="s">
        <v>153</v>
      </c>
      <c r="J32" s="2"/>
    </row>
    <row r="33" spans="1:10" x14ac:dyDescent="0.2">
      <c r="A33" s="123">
        <v>27</v>
      </c>
      <c r="B33" s="124" t="s">
        <v>496</v>
      </c>
      <c r="C33" s="124" t="s">
        <v>497</v>
      </c>
      <c r="D33" s="124" t="s">
        <v>89</v>
      </c>
      <c r="E33" s="125">
        <v>226727</v>
      </c>
      <c r="F33" s="126">
        <v>2216.1430614999999</v>
      </c>
      <c r="G33" s="127">
        <v>1.3238669999999999E-2</v>
      </c>
      <c r="H33" s="122" t="s">
        <v>153</v>
      </c>
      <c r="J33" s="2"/>
    </row>
    <row r="34" spans="1:10" x14ac:dyDescent="0.2">
      <c r="A34" s="123">
        <v>28</v>
      </c>
      <c r="B34" s="124" t="s">
        <v>467</v>
      </c>
      <c r="C34" s="124" t="s">
        <v>468</v>
      </c>
      <c r="D34" s="124" t="s">
        <v>48</v>
      </c>
      <c r="E34" s="125">
        <v>885000</v>
      </c>
      <c r="F34" s="126">
        <v>2213.3850000000002</v>
      </c>
      <c r="G34" s="127">
        <v>1.32222E-2</v>
      </c>
      <c r="H34" s="122" t="s">
        <v>153</v>
      </c>
      <c r="J34" s="2"/>
    </row>
    <row r="35" spans="1:10" ht="25.5" x14ac:dyDescent="0.2">
      <c r="A35" s="123">
        <v>29</v>
      </c>
      <c r="B35" s="124" t="s">
        <v>473</v>
      </c>
      <c r="C35" s="124" t="s">
        <v>474</v>
      </c>
      <c r="D35" s="124" t="s">
        <v>315</v>
      </c>
      <c r="E35" s="125">
        <v>169962</v>
      </c>
      <c r="F35" s="126">
        <v>2039.798943</v>
      </c>
      <c r="G35" s="127">
        <v>1.218524E-2</v>
      </c>
      <c r="H35" s="122" t="s">
        <v>153</v>
      </c>
      <c r="J35" s="2"/>
    </row>
    <row r="36" spans="1:10" x14ac:dyDescent="0.2">
      <c r="A36" s="123">
        <v>30</v>
      </c>
      <c r="B36" s="124" t="s">
        <v>680</v>
      </c>
      <c r="C36" s="124" t="s">
        <v>681</v>
      </c>
      <c r="D36" s="124" t="s">
        <v>38</v>
      </c>
      <c r="E36" s="125">
        <v>274000</v>
      </c>
      <c r="F36" s="126">
        <v>2030.34</v>
      </c>
      <c r="G36" s="127">
        <v>1.2128730000000001E-2</v>
      </c>
      <c r="H36" s="122" t="s">
        <v>153</v>
      </c>
      <c r="J36" s="2"/>
    </row>
    <row r="37" spans="1:10" x14ac:dyDescent="0.2">
      <c r="A37" s="123">
        <v>31</v>
      </c>
      <c r="B37" s="124" t="s">
        <v>134</v>
      </c>
      <c r="C37" s="124" t="s">
        <v>135</v>
      </c>
      <c r="D37" s="124" t="s">
        <v>136</v>
      </c>
      <c r="E37" s="125">
        <v>194000</v>
      </c>
      <c r="F37" s="126">
        <v>1882.576</v>
      </c>
      <c r="G37" s="127">
        <v>1.1246030000000001E-2</v>
      </c>
      <c r="H37" s="122" t="s">
        <v>153</v>
      </c>
      <c r="J37" s="2"/>
    </row>
    <row r="38" spans="1:10" x14ac:dyDescent="0.2">
      <c r="A38" s="123">
        <v>32</v>
      </c>
      <c r="B38" s="124" t="s">
        <v>253</v>
      </c>
      <c r="C38" s="124" t="s">
        <v>254</v>
      </c>
      <c r="D38" s="124" t="s">
        <v>255</v>
      </c>
      <c r="E38" s="125">
        <v>171000</v>
      </c>
      <c r="F38" s="126">
        <v>1837.9935</v>
      </c>
      <c r="G38" s="127">
        <v>1.097971E-2</v>
      </c>
      <c r="H38" s="122" t="s">
        <v>153</v>
      </c>
      <c r="J38" s="2"/>
    </row>
    <row r="39" spans="1:10" x14ac:dyDescent="0.2">
      <c r="A39" s="123">
        <v>33</v>
      </c>
      <c r="B39" s="124" t="s">
        <v>201</v>
      </c>
      <c r="C39" s="124" t="s">
        <v>202</v>
      </c>
      <c r="D39" s="124" t="s">
        <v>48</v>
      </c>
      <c r="E39" s="125">
        <v>923000</v>
      </c>
      <c r="F39" s="126">
        <v>1797.0809999999999</v>
      </c>
      <c r="G39" s="127">
        <v>1.07353E-2</v>
      </c>
      <c r="H39" s="122" t="s">
        <v>153</v>
      </c>
      <c r="J39" s="2"/>
    </row>
    <row r="40" spans="1:10" x14ac:dyDescent="0.2">
      <c r="A40" s="123">
        <v>34</v>
      </c>
      <c r="B40" s="124" t="s">
        <v>394</v>
      </c>
      <c r="C40" s="124" t="s">
        <v>395</v>
      </c>
      <c r="D40" s="124" t="s">
        <v>45</v>
      </c>
      <c r="E40" s="125">
        <v>49000</v>
      </c>
      <c r="F40" s="126">
        <v>1746.9235000000001</v>
      </c>
      <c r="G40" s="127">
        <v>1.0435679999999999E-2</v>
      </c>
      <c r="H40" s="122" t="s">
        <v>153</v>
      </c>
      <c r="J40" s="2"/>
    </row>
    <row r="41" spans="1:10" x14ac:dyDescent="0.2">
      <c r="A41" s="123">
        <v>35</v>
      </c>
      <c r="B41" s="124" t="s">
        <v>722</v>
      </c>
      <c r="C41" s="124" t="s">
        <v>723</v>
      </c>
      <c r="D41" s="124" t="s">
        <v>198</v>
      </c>
      <c r="E41" s="125">
        <v>35000</v>
      </c>
      <c r="F41" s="126">
        <v>1724.6075000000001</v>
      </c>
      <c r="G41" s="127">
        <v>1.030237E-2</v>
      </c>
      <c r="H41" s="122" t="s">
        <v>153</v>
      </c>
      <c r="J41" s="2"/>
    </row>
    <row r="42" spans="1:10" x14ac:dyDescent="0.2">
      <c r="A42" s="123">
        <v>36</v>
      </c>
      <c r="B42" s="124" t="s">
        <v>356</v>
      </c>
      <c r="C42" s="124" t="s">
        <v>357</v>
      </c>
      <c r="D42" s="124" t="s">
        <v>48</v>
      </c>
      <c r="E42" s="125">
        <v>96000</v>
      </c>
      <c r="F42" s="126">
        <v>1709.568</v>
      </c>
      <c r="G42" s="127">
        <v>1.0212519999999999E-2</v>
      </c>
      <c r="H42" s="122" t="s">
        <v>153</v>
      </c>
      <c r="J42" s="2"/>
    </row>
    <row r="43" spans="1:10" x14ac:dyDescent="0.2">
      <c r="A43" s="123">
        <v>37</v>
      </c>
      <c r="B43" s="124" t="s">
        <v>262</v>
      </c>
      <c r="C43" s="124" t="s">
        <v>263</v>
      </c>
      <c r="D43" s="124" t="s">
        <v>264</v>
      </c>
      <c r="E43" s="125">
        <v>79000</v>
      </c>
      <c r="F43" s="126">
        <v>1619.8554999999999</v>
      </c>
      <c r="G43" s="127">
        <v>9.6766000000000005E-3</v>
      </c>
      <c r="H43" s="122" t="s">
        <v>153</v>
      </c>
      <c r="J43" s="2"/>
    </row>
    <row r="44" spans="1:10" ht="25.5" x14ac:dyDescent="0.2">
      <c r="A44" s="123">
        <v>38</v>
      </c>
      <c r="B44" s="124" t="s">
        <v>707</v>
      </c>
      <c r="C44" s="124" t="s">
        <v>708</v>
      </c>
      <c r="D44" s="124" t="s">
        <v>250</v>
      </c>
      <c r="E44" s="125">
        <v>100000</v>
      </c>
      <c r="F44" s="126">
        <v>1493.5</v>
      </c>
      <c r="G44" s="127">
        <v>8.9217900000000006E-3</v>
      </c>
      <c r="H44" s="122" t="s">
        <v>153</v>
      </c>
      <c r="J44" s="2"/>
    </row>
    <row r="45" spans="1:10" x14ac:dyDescent="0.2">
      <c r="A45" s="123">
        <v>39</v>
      </c>
      <c r="B45" s="124" t="s">
        <v>544</v>
      </c>
      <c r="C45" s="124" t="s">
        <v>545</v>
      </c>
      <c r="D45" s="124" t="s">
        <v>264</v>
      </c>
      <c r="E45" s="125">
        <v>96000</v>
      </c>
      <c r="F45" s="126">
        <v>1415.376</v>
      </c>
      <c r="G45" s="127">
        <v>8.4551000000000001E-3</v>
      </c>
      <c r="H45" s="122" t="s">
        <v>153</v>
      </c>
      <c r="J45" s="2"/>
    </row>
    <row r="46" spans="1:10" ht="25.5" x14ac:dyDescent="0.2">
      <c r="A46" s="123">
        <v>40</v>
      </c>
      <c r="B46" s="124" t="s">
        <v>771</v>
      </c>
      <c r="C46" s="124" t="s">
        <v>772</v>
      </c>
      <c r="D46" s="124" t="s">
        <v>250</v>
      </c>
      <c r="E46" s="125">
        <v>45000</v>
      </c>
      <c r="F46" s="126">
        <v>1405.4849999999999</v>
      </c>
      <c r="G46" s="127">
        <v>8.3960100000000006E-3</v>
      </c>
      <c r="H46" s="122" t="s">
        <v>153</v>
      </c>
      <c r="J46" s="2"/>
    </row>
    <row r="47" spans="1:10" x14ac:dyDescent="0.2">
      <c r="A47" s="123">
        <v>41</v>
      </c>
      <c r="B47" s="124" t="s">
        <v>796</v>
      </c>
      <c r="C47" s="124" t="s">
        <v>797</v>
      </c>
      <c r="D47" s="124" t="s">
        <v>45</v>
      </c>
      <c r="E47" s="125">
        <v>96000</v>
      </c>
      <c r="F47" s="126">
        <v>1394.5440000000001</v>
      </c>
      <c r="G47" s="127">
        <v>8.3306500000000002E-3</v>
      </c>
      <c r="H47" s="122" t="s">
        <v>153</v>
      </c>
      <c r="J47" s="2"/>
    </row>
    <row r="48" spans="1:10" x14ac:dyDescent="0.2">
      <c r="A48" s="123">
        <v>42</v>
      </c>
      <c r="B48" s="124" t="s">
        <v>684</v>
      </c>
      <c r="C48" s="124" t="s">
        <v>685</v>
      </c>
      <c r="D48" s="124" t="s">
        <v>278</v>
      </c>
      <c r="E48" s="125">
        <v>22000</v>
      </c>
      <c r="F48" s="126">
        <v>1288.155</v>
      </c>
      <c r="G48" s="127">
        <v>7.6951099999999998E-3</v>
      </c>
      <c r="H48" s="122" t="s">
        <v>153</v>
      </c>
      <c r="J48" s="2"/>
    </row>
    <row r="49" spans="1:10" ht="25.5" x14ac:dyDescent="0.2">
      <c r="A49" s="123">
        <v>43</v>
      </c>
      <c r="B49" s="124" t="s">
        <v>370</v>
      </c>
      <c r="C49" s="124" t="s">
        <v>371</v>
      </c>
      <c r="D49" s="124" t="s">
        <v>208</v>
      </c>
      <c r="E49" s="125">
        <v>82000</v>
      </c>
      <c r="F49" s="126">
        <v>1286.9079999999999</v>
      </c>
      <c r="G49" s="127">
        <v>7.6876599999999998E-3</v>
      </c>
      <c r="H49" s="122" t="s">
        <v>153</v>
      </c>
      <c r="J49" s="2"/>
    </row>
    <row r="50" spans="1:10" x14ac:dyDescent="0.2">
      <c r="A50" s="123">
        <v>44</v>
      </c>
      <c r="B50" s="124" t="s">
        <v>372</v>
      </c>
      <c r="C50" s="124" t="s">
        <v>373</v>
      </c>
      <c r="D50" s="124" t="s">
        <v>374</v>
      </c>
      <c r="E50" s="125">
        <v>240000</v>
      </c>
      <c r="F50" s="126">
        <v>1204.56</v>
      </c>
      <c r="G50" s="127">
        <v>7.19573E-3</v>
      </c>
      <c r="H50" s="122" t="s">
        <v>153</v>
      </c>
      <c r="J50" s="2"/>
    </row>
    <row r="51" spans="1:10" x14ac:dyDescent="0.2">
      <c r="A51" s="123">
        <v>45</v>
      </c>
      <c r="B51" s="124" t="s">
        <v>477</v>
      </c>
      <c r="C51" s="124" t="s">
        <v>478</v>
      </c>
      <c r="D51" s="124" t="s">
        <v>48</v>
      </c>
      <c r="E51" s="125">
        <v>84000</v>
      </c>
      <c r="F51" s="126">
        <v>1197.21</v>
      </c>
      <c r="G51" s="127">
        <v>7.1518299999999996E-3</v>
      </c>
      <c r="H51" s="122" t="s">
        <v>153</v>
      </c>
      <c r="J51" s="2"/>
    </row>
    <row r="52" spans="1:10" x14ac:dyDescent="0.2">
      <c r="A52" s="123">
        <v>46</v>
      </c>
      <c r="B52" s="124" t="s">
        <v>709</v>
      </c>
      <c r="C52" s="124" t="s">
        <v>710</v>
      </c>
      <c r="D52" s="124" t="s">
        <v>211</v>
      </c>
      <c r="E52" s="125">
        <v>57000</v>
      </c>
      <c r="F52" s="126">
        <v>1192.6679999999999</v>
      </c>
      <c r="G52" s="127">
        <v>7.1247000000000003E-3</v>
      </c>
      <c r="H52" s="122" t="s">
        <v>153</v>
      </c>
      <c r="J52" s="2"/>
    </row>
    <row r="53" spans="1:10" x14ac:dyDescent="0.2">
      <c r="A53" s="123">
        <v>47</v>
      </c>
      <c r="B53" s="124" t="s">
        <v>64</v>
      </c>
      <c r="C53" s="124" t="s">
        <v>65</v>
      </c>
      <c r="D53" s="124" t="s">
        <v>66</v>
      </c>
      <c r="E53" s="125">
        <v>498000</v>
      </c>
      <c r="F53" s="126">
        <v>1183.6962000000001</v>
      </c>
      <c r="G53" s="127">
        <v>7.0711000000000003E-3</v>
      </c>
      <c r="H53" s="122" t="s">
        <v>153</v>
      </c>
      <c r="J53" s="2"/>
    </row>
    <row r="54" spans="1:10" x14ac:dyDescent="0.2">
      <c r="A54" s="123">
        <v>48</v>
      </c>
      <c r="B54" s="124" t="s">
        <v>128</v>
      </c>
      <c r="C54" s="124" t="s">
        <v>129</v>
      </c>
      <c r="D54" s="124" t="s">
        <v>86</v>
      </c>
      <c r="E54" s="125">
        <v>277000</v>
      </c>
      <c r="F54" s="126">
        <v>1161.461</v>
      </c>
      <c r="G54" s="127">
        <v>6.9382699999999999E-3</v>
      </c>
      <c r="H54" s="122" t="s">
        <v>153</v>
      </c>
      <c r="J54" s="2"/>
    </row>
    <row r="55" spans="1:10" x14ac:dyDescent="0.2">
      <c r="A55" s="123">
        <v>49</v>
      </c>
      <c r="B55" s="124" t="s">
        <v>346</v>
      </c>
      <c r="C55" s="124" t="s">
        <v>347</v>
      </c>
      <c r="D55" s="124" t="s">
        <v>198</v>
      </c>
      <c r="E55" s="125">
        <v>444000</v>
      </c>
      <c r="F55" s="126">
        <v>1112.3532</v>
      </c>
      <c r="G55" s="127">
        <v>6.6449100000000004E-3</v>
      </c>
      <c r="H55" s="122" t="s">
        <v>153</v>
      </c>
      <c r="J55" s="2"/>
    </row>
    <row r="56" spans="1:10" x14ac:dyDescent="0.2">
      <c r="A56" s="123">
        <v>50</v>
      </c>
      <c r="B56" s="124" t="s">
        <v>800</v>
      </c>
      <c r="C56" s="124" t="s">
        <v>801</v>
      </c>
      <c r="D56" s="124" t="s">
        <v>278</v>
      </c>
      <c r="E56" s="125">
        <v>44000</v>
      </c>
      <c r="F56" s="126">
        <v>1009.91</v>
      </c>
      <c r="G56" s="127">
        <v>6.0329499999999996E-3</v>
      </c>
      <c r="H56" s="122" t="s">
        <v>153</v>
      </c>
      <c r="J56" s="2"/>
    </row>
    <row r="57" spans="1:10" x14ac:dyDescent="0.2">
      <c r="A57" s="123">
        <v>51</v>
      </c>
      <c r="B57" s="124" t="s">
        <v>219</v>
      </c>
      <c r="C57" s="124" t="s">
        <v>220</v>
      </c>
      <c r="D57" s="124" t="s">
        <v>71</v>
      </c>
      <c r="E57" s="125">
        <v>55000</v>
      </c>
      <c r="F57" s="126">
        <v>974.79250000000002</v>
      </c>
      <c r="G57" s="127">
        <v>5.82316E-3</v>
      </c>
      <c r="H57" s="122" t="s">
        <v>153</v>
      </c>
      <c r="J57" s="2"/>
    </row>
    <row r="58" spans="1:10" ht="25.5" x14ac:dyDescent="0.2">
      <c r="A58" s="123">
        <v>52</v>
      </c>
      <c r="B58" s="124" t="s">
        <v>90</v>
      </c>
      <c r="C58" s="124" t="s">
        <v>91</v>
      </c>
      <c r="D58" s="124" t="s">
        <v>92</v>
      </c>
      <c r="E58" s="125">
        <v>64000</v>
      </c>
      <c r="F58" s="126">
        <v>948.41600000000005</v>
      </c>
      <c r="G58" s="127">
        <v>5.6655999999999998E-3</v>
      </c>
      <c r="H58" s="122" t="s">
        <v>153</v>
      </c>
      <c r="J58" s="2"/>
    </row>
    <row r="59" spans="1:10" ht="25.5" x14ac:dyDescent="0.2">
      <c r="A59" s="123">
        <v>53</v>
      </c>
      <c r="B59" s="124" t="s">
        <v>698</v>
      </c>
      <c r="C59" s="124" t="s">
        <v>699</v>
      </c>
      <c r="D59" s="124" t="s">
        <v>208</v>
      </c>
      <c r="E59" s="125">
        <v>38000</v>
      </c>
      <c r="F59" s="126">
        <v>945.34500000000003</v>
      </c>
      <c r="G59" s="127">
        <v>5.6472500000000004E-3</v>
      </c>
      <c r="H59" s="122" t="s">
        <v>153</v>
      </c>
      <c r="J59" s="2"/>
    </row>
    <row r="60" spans="1:10" x14ac:dyDescent="0.2">
      <c r="A60" s="123">
        <v>54</v>
      </c>
      <c r="B60" s="124" t="s">
        <v>267</v>
      </c>
      <c r="C60" s="124" t="s">
        <v>268</v>
      </c>
      <c r="D60" s="124" t="s">
        <v>35</v>
      </c>
      <c r="E60" s="125">
        <v>13672</v>
      </c>
      <c r="F60" s="126">
        <v>931.52804800000001</v>
      </c>
      <c r="G60" s="127">
        <v>5.5647099999999996E-3</v>
      </c>
      <c r="H60" s="122" t="s">
        <v>153</v>
      </c>
      <c r="J60" s="2"/>
    </row>
    <row r="61" spans="1:10" x14ac:dyDescent="0.2">
      <c r="A61" s="123">
        <v>55</v>
      </c>
      <c r="B61" s="124" t="s">
        <v>330</v>
      </c>
      <c r="C61" s="124" t="s">
        <v>331</v>
      </c>
      <c r="D61" s="124" t="s">
        <v>255</v>
      </c>
      <c r="E61" s="125">
        <v>119000</v>
      </c>
      <c r="F61" s="126">
        <v>896.24850000000004</v>
      </c>
      <c r="G61" s="127">
        <v>5.3539599999999996E-3</v>
      </c>
      <c r="H61" s="122" t="s">
        <v>153</v>
      </c>
      <c r="J61" s="2"/>
    </row>
    <row r="62" spans="1:10" x14ac:dyDescent="0.2">
      <c r="A62" s="123">
        <v>56</v>
      </c>
      <c r="B62" s="124" t="s">
        <v>126</v>
      </c>
      <c r="C62" s="124" t="s">
        <v>127</v>
      </c>
      <c r="D62" s="124" t="s">
        <v>74</v>
      </c>
      <c r="E62" s="125">
        <v>22000</v>
      </c>
      <c r="F62" s="126">
        <v>867.16300000000001</v>
      </c>
      <c r="G62" s="127">
        <v>5.1802100000000002E-3</v>
      </c>
      <c r="H62" s="122" t="s">
        <v>153</v>
      </c>
      <c r="J62" s="2"/>
    </row>
    <row r="63" spans="1:10" x14ac:dyDescent="0.2">
      <c r="A63" s="123">
        <v>57</v>
      </c>
      <c r="B63" s="124" t="s">
        <v>411</v>
      </c>
      <c r="C63" s="124" t="s">
        <v>412</v>
      </c>
      <c r="D63" s="124" t="s">
        <v>236</v>
      </c>
      <c r="E63" s="125">
        <v>46000</v>
      </c>
      <c r="F63" s="126">
        <v>767.11900000000003</v>
      </c>
      <c r="G63" s="127">
        <v>4.5825700000000002E-3</v>
      </c>
      <c r="H63" s="122" t="s">
        <v>153</v>
      </c>
      <c r="J63" s="2"/>
    </row>
    <row r="64" spans="1:10" ht="25.5" x14ac:dyDescent="0.2">
      <c r="A64" s="123">
        <v>58</v>
      </c>
      <c r="B64" s="124" t="s">
        <v>324</v>
      </c>
      <c r="C64" s="124" t="s">
        <v>325</v>
      </c>
      <c r="D64" s="124" t="s">
        <v>250</v>
      </c>
      <c r="E64" s="125">
        <v>20000</v>
      </c>
      <c r="F64" s="126">
        <v>659.68</v>
      </c>
      <c r="G64" s="127">
        <v>3.9407599999999997E-3</v>
      </c>
      <c r="H64" s="122" t="s">
        <v>153</v>
      </c>
      <c r="J64" s="2"/>
    </row>
    <row r="65" spans="1:10" x14ac:dyDescent="0.2">
      <c r="A65" s="123">
        <v>59</v>
      </c>
      <c r="B65" s="124" t="s">
        <v>309</v>
      </c>
      <c r="C65" s="124" t="s">
        <v>310</v>
      </c>
      <c r="D65" s="124" t="s">
        <v>45</v>
      </c>
      <c r="E65" s="125">
        <v>48477</v>
      </c>
      <c r="F65" s="126">
        <v>654.85155450000002</v>
      </c>
      <c r="G65" s="127">
        <v>3.9119200000000002E-3</v>
      </c>
      <c r="H65" s="122" t="s">
        <v>153</v>
      </c>
      <c r="J65" s="2"/>
    </row>
    <row r="66" spans="1:10" ht="25.5" x14ac:dyDescent="0.2">
      <c r="A66" s="123">
        <v>60</v>
      </c>
      <c r="B66" s="124" t="s">
        <v>305</v>
      </c>
      <c r="C66" s="124" t="s">
        <v>306</v>
      </c>
      <c r="D66" s="124" t="s">
        <v>25</v>
      </c>
      <c r="E66" s="125">
        <v>32737</v>
      </c>
      <c r="F66" s="126">
        <v>619.07303850000005</v>
      </c>
      <c r="G66" s="127">
        <v>3.6981900000000001E-3</v>
      </c>
      <c r="H66" s="122" t="s">
        <v>153</v>
      </c>
      <c r="J66" s="2"/>
    </row>
    <row r="67" spans="1:10" x14ac:dyDescent="0.2">
      <c r="A67" s="123">
        <v>61</v>
      </c>
      <c r="B67" s="124" t="s">
        <v>287</v>
      </c>
      <c r="C67" s="124" t="s">
        <v>288</v>
      </c>
      <c r="D67" s="124" t="s">
        <v>211</v>
      </c>
      <c r="E67" s="125">
        <v>9000</v>
      </c>
      <c r="F67" s="126">
        <v>570.96450000000004</v>
      </c>
      <c r="G67" s="127">
        <v>3.4107999999999999E-3</v>
      </c>
      <c r="H67" s="122" t="s">
        <v>153</v>
      </c>
      <c r="J67" s="2"/>
    </row>
    <row r="68" spans="1:10" ht="25.5" x14ac:dyDescent="0.2">
      <c r="A68" s="123">
        <v>62</v>
      </c>
      <c r="B68" s="124" t="s">
        <v>798</v>
      </c>
      <c r="C68" s="124" t="s">
        <v>799</v>
      </c>
      <c r="D68" s="124" t="s">
        <v>208</v>
      </c>
      <c r="E68" s="125">
        <v>43972</v>
      </c>
      <c r="F68" s="126">
        <v>472.06140599999998</v>
      </c>
      <c r="G68" s="127">
        <v>2.8199700000000002E-3</v>
      </c>
      <c r="H68" s="122" t="s">
        <v>153</v>
      </c>
      <c r="J68" s="2"/>
    </row>
    <row r="69" spans="1:10" x14ac:dyDescent="0.2">
      <c r="A69" s="123">
        <v>63</v>
      </c>
      <c r="B69" s="124" t="s">
        <v>383</v>
      </c>
      <c r="C69" s="124" t="s">
        <v>384</v>
      </c>
      <c r="D69" s="124" t="s">
        <v>136</v>
      </c>
      <c r="E69" s="125">
        <v>300000</v>
      </c>
      <c r="F69" s="126">
        <v>458.28</v>
      </c>
      <c r="G69" s="127">
        <v>2.7376499999999999E-3</v>
      </c>
      <c r="H69" s="122" t="s">
        <v>153</v>
      </c>
      <c r="J69" s="2"/>
    </row>
    <row r="70" spans="1:10" x14ac:dyDescent="0.2">
      <c r="A70" s="123">
        <v>64</v>
      </c>
      <c r="B70" s="124" t="s">
        <v>363</v>
      </c>
      <c r="C70" s="124" t="s">
        <v>364</v>
      </c>
      <c r="D70" s="124" t="s">
        <v>239</v>
      </c>
      <c r="E70" s="125">
        <v>8719</v>
      </c>
      <c r="F70" s="126">
        <v>451.88833199999999</v>
      </c>
      <c r="G70" s="127">
        <v>2.6994699999999998E-3</v>
      </c>
      <c r="H70" s="122" t="s">
        <v>153</v>
      </c>
      <c r="J70" s="2"/>
    </row>
    <row r="71" spans="1:10" x14ac:dyDescent="0.2">
      <c r="A71" s="123">
        <v>65</v>
      </c>
      <c r="B71" s="124" t="s">
        <v>41</v>
      </c>
      <c r="C71" s="124" t="s">
        <v>42</v>
      </c>
      <c r="D71" s="124" t="s">
        <v>16</v>
      </c>
      <c r="E71" s="125">
        <v>35000</v>
      </c>
      <c r="F71" s="126">
        <v>438.21749999999997</v>
      </c>
      <c r="G71" s="127">
        <v>2.6178E-3</v>
      </c>
      <c r="H71" s="122" t="s">
        <v>153</v>
      </c>
      <c r="J71" s="2"/>
    </row>
    <row r="72" spans="1:10" x14ac:dyDescent="0.2">
      <c r="A72" s="123">
        <v>66</v>
      </c>
      <c r="B72" s="124" t="s">
        <v>232</v>
      </c>
      <c r="C72" s="124" t="s">
        <v>233</v>
      </c>
      <c r="D72" s="124" t="s">
        <v>22</v>
      </c>
      <c r="E72" s="125">
        <v>90000</v>
      </c>
      <c r="F72" s="126">
        <v>377.14499999999998</v>
      </c>
      <c r="G72" s="127">
        <v>2.25297E-3</v>
      </c>
      <c r="H72" s="122" t="s">
        <v>153</v>
      </c>
      <c r="J72" s="2"/>
    </row>
    <row r="73" spans="1:10" x14ac:dyDescent="0.2">
      <c r="A73" s="120"/>
      <c r="B73" s="120"/>
      <c r="C73" s="121" t="s">
        <v>152</v>
      </c>
      <c r="D73" s="120"/>
      <c r="E73" s="120" t="s">
        <v>153</v>
      </c>
      <c r="F73" s="128">
        <v>165654.00594549999</v>
      </c>
      <c r="G73" s="129">
        <v>0.98957487</v>
      </c>
      <c r="H73" s="122" t="s">
        <v>153</v>
      </c>
      <c r="J73" s="2"/>
    </row>
    <row r="74" spans="1:10" x14ac:dyDescent="0.2">
      <c r="A74" s="120"/>
      <c r="B74" s="120"/>
      <c r="C74" s="130"/>
      <c r="D74" s="120"/>
      <c r="E74" s="120"/>
      <c r="F74" s="131"/>
      <c r="G74" s="131"/>
      <c r="H74" s="122" t="s">
        <v>153</v>
      </c>
      <c r="J74" s="2"/>
    </row>
    <row r="75" spans="1:10" x14ac:dyDescent="0.2">
      <c r="A75" s="120"/>
      <c r="B75" s="120"/>
      <c r="C75" s="121" t="s">
        <v>154</v>
      </c>
      <c r="D75" s="120"/>
      <c r="E75" s="120"/>
      <c r="F75" s="120"/>
      <c r="G75" s="120"/>
      <c r="H75" s="122" t="s">
        <v>153</v>
      </c>
      <c r="J75" s="2"/>
    </row>
    <row r="76" spans="1:10" x14ac:dyDescent="0.2">
      <c r="A76" s="120"/>
      <c r="B76" s="120"/>
      <c r="C76" s="121" t="s">
        <v>152</v>
      </c>
      <c r="D76" s="120"/>
      <c r="E76" s="120" t="s">
        <v>153</v>
      </c>
      <c r="F76" s="132" t="s">
        <v>155</v>
      </c>
      <c r="G76" s="129">
        <v>0</v>
      </c>
      <c r="H76" s="122" t="s">
        <v>153</v>
      </c>
      <c r="J76" s="2"/>
    </row>
    <row r="77" spans="1:10" x14ac:dyDescent="0.2">
      <c r="A77" s="120"/>
      <c r="B77" s="120"/>
      <c r="C77" s="130"/>
      <c r="D77" s="120"/>
      <c r="E77" s="120"/>
      <c r="F77" s="131"/>
      <c r="G77" s="131"/>
      <c r="H77" s="122" t="s">
        <v>153</v>
      </c>
      <c r="J77" s="2"/>
    </row>
    <row r="78" spans="1:10" x14ac:dyDescent="0.2">
      <c r="A78" s="120"/>
      <c r="B78" s="120"/>
      <c r="C78" s="121" t="s">
        <v>156</v>
      </c>
      <c r="D78" s="120"/>
      <c r="E78" s="120"/>
      <c r="F78" s="120"/>
      <c r="G78" s="120"/>
      <c r="H78" s="122" t="s">
        <v>153</v>
      </c>
      <c r="J78" s="2"/>
    </row>
    <row r="79" spans="1:10" x14ac:dyDescent="0.2">
      <c r="A79" s="120"/>
      <c r="B79" s="120"/>
      <c r="C79" s="121" t="s">
        <v>152</v>
      </c>
      <c r="D79" s="120"/>
      <c r="E79" s="120" t="s">
        <v>153</v>
      </c>
      <c r="F79" s="132" t="s">
        <v>155</v>
      </c>
      <c r="G79" s="129">
        <v>0</v>
      </c>
      <c r="H79" s="122" t="s">
        <v>153</v>
      </c>
      <c r="J79" s="2"/>
    </row>
    <row r="80" spans="1:10" x14ac:dyDescent="0.2">
      <c r="A80" s="120"/>
      <c r="B80" s="120"/>
      <c r="C80" s="130"/>
      <c r="D80" s="120"/>
      <c r="E80" s="120"/>
      <c r="F80" s="131"/>
      <c r="G80" s="131"/>
      <c r="H80" s="122" t="s">
        <v>153</v>
      </c>
      <c r="J80" s="2"/>
    </row>
    <row r="81" spans="1:10" x14ac:dyDescent="0.2">
      <c r="A81" s="120"/>
      <c r="B81" s="120"/>
      <c r="C81" s="121" t="s">
        <v>157</v>
      </c>
      <c r="D81" s="120"/>
      <c r="E81" s="120"/>
      <c r="F81" s="120"/>
      <c r="G81" s="120"/>
      <c r="H81" s="122" t="s">
        <v>153</v>
      </c>
      <c r="J81" s="2"/>
    </row>
    <row r="82" spans="1:10" x14ac:dyDescent="0.2">
      <c r="A82" s="120"/>
      <c r="B82" s="120"/>
      <c r="C82" s="121" t="s">
        <v>152</v>
      </c>
      <c r="D82" s="120"/>
      <c r="E82" s="120" t="s">
        <v>153</v>
      </c>
      <c r="F82" s="132" t="s">
        <v>155</v>
      </c>
      <c r="G82" s="129">
        <v>0</v>
      </c>
      <c r="H82" s="122" t="s">
        <v>153</v>
      </c>
      <c r="J82" s="2"/>
    </row>
    <row r="83" spans="1:10" x14ac:dyDescent="0.2">
      <c r="A83" s="120"/>
      <c r="B83" s="120"/>
      <c r="C83" s="130"/>
      <c r="D83" s="120"/>
      <c r="E83" s="120"/>
      <c r="F83" s="131"/>
      <c r="G83" s="131"/>
      <c r="H83" s="122" t="s">
        <v>153</v>
      </c>
      <c r="J83" s="2"/>
    </row>
    <row r="84" spans="1:10" x14ac:dyDescent="0.2">
      <c r="A84" s="120"/>
      <c r="B84" s="120"/>
      <c r="C84" s="121" t="s">
        <v>158</v>
      </c>
      <c r="D84" s="120"/>
      <c r="E84" s="120"/>
      <c r="F84" s="131"/>
      <c r="G84" s="131"/>
      <c r="H84" s="122" t="s">
        <v>153</v>
      </c>
      <c r="J84" s="2"/>
    </row>
    <row r="85" spans="1:10" x14ac:dyDescent="0.2">
      <c r="A85" s="120"/>
      <c r="B85" s="120"/>
      <c r="C85" s="121" t="s">
        <v>152</v>
      </c>
      <c r="D85" s="120"/>
      <c r="E85" s="120" t="s">
        <v>153</v>
      </c>
      <c r="F85" s="132" t="s">
        <v>155</v>
      </c>
      <c r="G85" s="129">
        <v>0</v>
      </c>
      <c r="H85" s="122" t="s">
        <v>153</v>
      </c>
      <c r="J85" s="2"/>
    </row>
    <row r="86" spans="1:10" x14ac:dyDescent="0.2">
      <c r="A86" s="120"/>
      <c r="B86" s="120"/>
      <c r="C86" s="130"/>
      <c r="D86" s="120"/>
      <c r="E86" s="120"/>
      <c r="F86" s="131"/>
      <c r="G86" s="131"/>
      <c r="H86" s="122" t="s">
        <v>153</v>
      </c>
      <c r="J86" s="2"/>
    </row>
    <row r="87" spans="1:10" x14ac:dyDescent="0.2">
      <c r="A87" s="120"/>
      <c r="B87" s="120"/>
      <c r="C87" s="121" t="s">
        <v>159</v>
      </c>
      <c r="D87" s="120"/>
      <c r="E87" s="120"/>
      <c r="F87" s="131"/>
      <c r="G87" s="131"/>
      <c r="H87" s="122" t="s">
        <v>153</v>
      </c>
      <c r="J87" s="2"/>
    </row>
    <row r="88" spans="1:10" x14ac:dyDescent="0.2">
      <c r="A88" s="120"/>
      <c r="B88" s="120"/>
      <c r="C88" s="121" t="s">
        <v>152</v>
      </c>
      <c r="D88" s="120"/>
      <c r="E88" s="120" t="s">
        <v>153</v>
      </c>
      <c r="F88" s="132" t="s">
        <v>155</v>
      </c>
      <c r="G88" s="129">
        <v>0</v>
      </c>
      <c r="H88" s="122" t="s">
        <v>153</v>
      </c>
      <c r="J88" s="2"/>
    </row>
    <row r="89" spans="1:10" x14ac:dyDescent="0.2">
      <c r="A89" s="120"/>
      <c r="B89" s="120"/>
      <c r="C89" s="130"/>
      <c r="D89" s="120"/>
      <c r="E89" s="120"/>
      <c r="F89" s="131"/>
      <c r="G89" s="131"/>
      <c r="H89" s="122" t="s">
        <v>153</v>
      </c>
      <c r="J89" s="2"/>
    </row>
    <row r="90" spans="1:10" x14ac:dyDescent="0.2">
      <c r="A90" s="120"/>
      <c r="B90" s="120"/>
      <c r="C90" s="121" t="s">
        <v>160</v>
      </c>
      <c r="D90" s="120"/>
      <c r="E90" s="120"/>
      <c r="F90" s="128">
        <v>165654.00594549999</v>
      </c>
      <c r="G90" s="129">
        <v>0.98957487</v>
      </c>
      <c r="H90" s="122" t="s">
        <v>153</v>
      </c>
      <c r="J90" s="2"/>
    </row>
    <row r="91" spans="1:10" x14ac:dyDescent="0.2">
      <c r="A91" s="120"/>
      <c r="B91" s="120"/>
      <c r="C91" s="130"/>
      <c r="D91" s="120"/>
      <c r="E91" s="120"/>
      <c r="F91" s="131"/>
      <c r="G91" s="131"/>
      <c r="H91" s="122" t="s">
        <v>153</v>
      </c>
      <c r="J91" s="2"/>
    </row>
    <row r="92" spans="1:10" x14ac:dyDescent="0.2">
      <c r="A92" s="120"/>
      <c r="B92" s="120"/>
      <c r="C92" s="121" t="s">
        <v>161</v>
      </c>
      <c r="D92" s="120"/>
      <c r="E92" s="120"/>
      <c r="F92" s="131"/>
      <c r="G92" s="131"/>
      <c r="H92" s="122" t="s">
        <v>153</v>
      </c>
      <c r="J92" s="2"/>
    </row>
    <row r="93" spans="1:10" x14ac:dyDescent="0.2">
      <c r="A93" s="120"/>
      <c r="B93" s="120"/>
      <c r="C93" s="121" t="s">
        <v>10</v>
      </c>
      <c r="D93" s="120"/>
      <c r="E93" s="120"/>
      <c r="F93" s="131"/>
      <c r="G93" s="131"/>
      <c r="H93" s="122" t="s">
        <v>153</v>
      </c>
      <c r="J93" s="2"/>
    </row>
    <row r="94" spans="1:10" x14ac:dyDescent="0.2">
      <c r="A94" s="120"/>
      <c r="B94" s="120"/>
      <c r="C94" s="121" t="s">
        <v>152</v>
      </c>
      <c r="D94" s="120"/>
      <c r="E94" s="120" t="s">
        <v>153</v>
      </c>
      <c r="F94" s="132" t="s">
        <v>155</v>
      </c>
      <c r="G94" s="129">
        <v>0</v>
      </c>
      <c r="H94" s="122" t="s">
        <v>153</v>
      </c>
      <c r="J94" s="2"/>
    </row>
    <row r="95" spans="1:10" x14ac:dyDescent="0.2">
      <c r="A95" s="120"/>
      <c r="B95" s="120"/>
      <c r="C95" s="130"/>
      <c r="D95" s="120"/>
      <c r="E95" s="120"/>
      <c r="F95" s="131"/>
      <c r="G95" s="131"/>
      <c r="H95" s="122" t="s">
        <v>153</v>
      </c>
      <c r="J95" s="2"/>
    </row>
    <row r="96" spans="1:10" x14ac:dyDescent="0.2">
      <c r="A96" s="120"/>
      <c r="B96" s="120"/>
      <c r="C96" s="121" t="s">
        <v>162</v>
      </c>
      <c r="D96" s="120"/>
      <c r="E96" s="120"/>
      <c r="F96" s="120"/>
      <c r="G96" s="120"/>
      <c r="H96" s="122" t="s">
        <v>153</v>
      </c>
      <c r="J96" s="2"/>
    </row>
    <row r="97" spans="1:10" x14ac:dyDescent="0.2">
      <c r="A97" s="120"/>
      <c r="B97" s="120"/>
      <c r="C97" s="121" t="s">
        <v>152</v>
      </c>
      <c r="D97" s="120"/>
      <c r="E97" s="120" t="s">
        <v>153</v>
      </c>
      <c r="F97" s="132" t="s">
        <v>155</v>
      </c>
      <c r="G97" s="129">
        <v>0</v>
      </c>
      <c r="H97" s="122" t="s">
        <v>153</v>
      </c>
      <c r="J97" s="2"/>
    </row>
    <row r="98" spans="1:10" x14ac:dyDescent="0.2">
      <c r="A98" s="120"/>
      <c r="B98" s="120"/>
      <c r="C98" s="130"/>
      <c r="D98" s="120"/>
      <c r="E98" s="120"/>
      <c r="F98" s="131"/>
      <c r="G98" s="131"/>
      <c r="H98" s="122" t="s">
        <v>153</v>
      </c>
      <c r="J98" s="2"/>
    </row>
    <row r="99" spans="1:10" x14ac:dyDescent="0.2">
      <c r="A99" s="120"/>
      <c r="B99" s="120"/>
      <c r="C99" s="121" t="s">
        <v>163</v>
      </c>
      <c r="D99" s="120"/>
      <c r="E99" s="120"/>
      <c r="F99" s="120"/>
      <c r="G99" s="120"/>
      <c r="H99" s="122" t="s">
        <v>153</v>
      </c>
      <c r="J99" s="2"/>
    </row>
    <row r="100" spans="1:10" x14ac:dyDescent="0.2">
      <c r="A100" s="120"/>
      <c r="B100" s="120"/>
      <c r="C100" s="121" t="s">
        <v>152</v>
      </c>
      <c r="D100" s="120"/>
      <c r="E100" s="120" t="s">
        <v>153</v>
      </c>
      <c r="F100" s="132" t="s">
        <v>155</v>
      </c>
      <c r="G100" s="129">
        <v>0</v>
      </c>
      <c r="H100" s="122" t="s">
        <v>153</v>
      </c>
      <c r="J100" s="2"/>
    </row>
    <row r="101" spans="1:10" x14ac:dyDescent="0.2">
      <c r="A101" s="120"/>
      <c r="B101" s="120"/>
      <c r="C101" s="130"/>
      <c r="D101" s="120"/>
      <c r="E101" s="120"/>
      <c r="F101" s="131"/>
      <c r="G101" s="131"/>
      <c r="H101" s="122" t="s">
        <v>153</v>
      </c>
      <c r="J101" s="2"/>
    </row>
    <row r="102" spans="1:10" x14ac:dyDescent="0.2">
      <c r="A102" s="120"/>
      <c r="B102" s="120"/>
      <c r="C102" s="121" t="s">
        <v>164</v>
      </c>
      <c r="D102" s="120"/>
      <c r="E102" s="120"/>
      <c r="F102" s="131"/>
      <c r="G102" s="131"/>
      <c r="H102" s="122" t="s">
        <v>153</v>
      </c>
      <c r="J102" s="2"/>
    </row>
    <row r="103" spans="1:10" x14ac:dyDescent="0.2">
      <c r="A103" s="120"/>
      <c r="B103" s="120"/>
      <c r="C103" s="121" t="s">
        <v>152</v>
      </c>
      <c r="D103" s="120"/>
      <c r="E103" s="120" t="s">
        <v>153</v>
      </c>
      <c r="F103" s="132" t="s">
        <v>155</v>
      </c>
      <c r="G103" s="129">
        <v>0</v>
      </c>
      <c r="H103" s="122" t="s">
        <v>153</v>
      </c>
      <c r="J103" s="2"/>
    </row>
    <row r="104" spans="1:10" x14ac:dyDescent="0.2">
      <c r="A104" s="120"/>
      <c r="B104" s="120"/>
      <c r="C104" s="130"/>
      <c r="D104" s="120"/>
      <c r="E104" s="120"/>
      <c r="F104" s="131"/>
      <c r="G104" s="131"/>
      <c r="H104" s="122" t="s">
        <v>153</v>
      </c>
      <c r="J104" s="2"/>
    </row>
    <row r="105" spans="1:10" x14ac:dyDescent="0.2">
      <c r="A105" s="120"/>
      <c r="B105" s="120"/>
      <c r="C105" s="121" t="s">
        <v>165</v>
      </c>
      <c r="D105" s="120"/>
      <c r="E105" s="120"/>
      <c r="F105" s="128">
        <v>0</v>
      </c>
      <c r="G105" s="129">
        <v>0</v>
      </c>
      <c r="H105" s="122" t="s">
        <v>153</v>
      </c>
      <c r="J105" s="2"/>
    </row>
    <row r="106" spans="1:10" x14ac:dyDescent="0.2">
      <c r="A106" s="120"/>
      <c r="B106" s="120"/>
      <c r="C106" s="130"/>
      <c r="D106" s="120"/>
      <c r="E106" s="120"/>
      <c r="F106" s="131"/>
      <c r="G106" s="131"/>
      <c r="H106" s="122" t="s">
        <v>153</v>
      </c>
      <c r="J106" s="2"/>
    </row>
    <row r="107" spans="1:10" x14ac:dyDescent="0.2">
      <c r="A107" s="120"/>
      <c r="B107" s="120"/>
      <c r="C107" s="121" t="s">
        <v>166</v>
      </c>
      <c r="D107" s="120"/>
      <c r="E107" s="120"/>
      <c r="F107" s="131"/>
      <c r="G107" s="131"/>
      <c r="H107" s="122" t="s">
        <v>153</v>
      </c>
      <c r="J107" s="2"/>
    </row>
    <row r="108" spans="1:10" x14ac:dyDescent="0.2">
      <c r="A108" s="120"/>
      <c r="B108" s="120"/>
      <c r="C108" s="121" t="s">
        <v>167</v>
      </c>
      <c r="D108" s="120"/>
      <c r="E108" s="120"/>
      <c r="F108" s="131"/>
      <c r="G108" s="131"/>
      <c r="H108" s="122" t="s">
        <v>153</v>
      </c>
      <c r="J108" s="2"/>
    </row>
    <row r="109" spans="1:10" x14ac:dyDescent="0.2">
      <c r="A109" s="120"/>
      <c r="B109" s="120"/>
      <c r="C109" s="121" t="s">
        <v>152</v>
      </c>
      <c r="D109" s="120"/>
      <c r="E109" s="120" t="s">
        <v>153</v>
      </c>
      <c r="F109" s="132" t="s">
        <v>155</v>
      </c>
      <c r="G109" s="129">
        <v>0</v>
      </c>
      <c r="H109" s="122" t="s">
        <v>153</v>
      </c>
      <c r="J109" s="2"/>
    </row>
    <row r="110" spans="1:10" x14ac:dyDescent="0.2">
      <c r="A110" s="120"/>
      <c r="B110" s="120"/>
      <c r="C110" s="130"/>
      <c r="D110" s="120"/>
      <c r="E110" s="120"/>
      <c r="F110" s="131"/>
      <c r="G110" s="131"/>
      <c r="H110" s="122" t="s">
        <v>153</v>
      </c>
      <c r="J110" s="2"/>
    </row>
    <row r="111" spans="1:10" x14ac:dyDescent="0.2">
      <c r="A111" s="120"/>
      <c r="B111" s="120"/>
      <c r="C111" s="121" t="s">
        <v>168</v>
      </c>
      <c r="D111" s="120"/>
      <c r="E111" s="120"/>
      <c r="F111" s="131"/>
      <c r="G111" s="131"/>
      <c r="H111" s="122" t="s">
        <v>153</v>
      </c>
      <c r="J111" s="2"/>
    </row>
    <row r="112" spans="1:10" x14ac:dyDescent="0.2">
      <c r="A112" s="120"/>
      <c r="B112" s="120"/>
      <c r="C112" s="121" t="s">
        <v>152</v>
      </c>
      <c r="D112" s="120"/>
      <c r="E112" s="120" t="s">
        <v>153</v>
      </c>
      <c r="F112" s="132" t="s">
        <v>155</v>
      </c>
      <c r="G112" s="129">
        <v>0</v>
      </c>
      <c r="H112" s="122" t="s">
        <v>153</v>
      </c>
      <c r="J112" s="2"/>
    </row>
    <row r="113" spans="1:10" x14ac:dyDescent="0.2">
      <c r="A113" s="120"/>
      <c r="B113" s="120"/>
      <c r="C113" s="130"/>
      <c r="D113" s="120"/>
      <c r="E113" s="120"/>
      <c r="F113" s="131"/>
      <c r="G113" s="131"/>
      <c r="H113" s="122" t="s">
        <v>153</v>
      </c>
      <c r="J113" s="2"/>
    </row>
    <row r="114" spans="1:10" x14ac:dyDescent="0.2">
      <c r="A114" s="120"/>
      <c r="B114" s="120"/>
      <c r="C114" s="121" t="s">
        <v>169</v>
      </c>
      <c r="D114" s="120"/>
      <c r="E114" s="120"/>
      <c r="F114" s="131"/>
      <c r="G114" s="131"/>
      <c r="H114" s="122" t="s">
        <v>153</v>
      </c>
      <c r="J114" s="2"/>
    </row>
    <row r="115" spans="1:10" x14ac:dyDescent="0.2">
      <c r="A115" s="120"/>
      <c r="B115" s="120"/>
      <c r="C115" s="121" t="s">
        <v>152</v>
      </c>
      <c r="D115" s="120"/>
      <c r="E115" s="120" t="s">
        <v>153</v>
      </c>
      <c r="F115" s="132" t="s">
        <v>155</v>
      </c>
      <c r="G115" s="129">
        <v>0</v>
      </c>
      <c r="H115" s="122" t="s">
        <v>153</v>
      </c>
      <c r="J115" s="2"/>
    </row>
    <row r="116" spans="1:10" x14ac:dyDescent="0.2">
      <c r="A116" s="120"/>
      <c r="B116" s="120"/>
      <c r="C116" s="130"/>
      <c r="D116" s="120"/>
      <c r="E116" s="120"/>
      <c r="F116" s="131"/>
      <c r="G116" s="131"/>
      <c r="H116" s="122" t="s">
        <v>153</v>
      </c>
      <c r="J116" s="2"/>
    </row>
    <row r="117" spans="1:10" x14ac:dyDescent="0.2">
      <c r="A117" s="120"/>
      <c r="B117" s="120"/>
      <c r="C117" s="121" t="s">
        <v>170</v>
      </c>
      <c r="D117" s="120"/>
      <c r="E117" s="120"/>
      <c r="F117" s="131"/>
      <c r="G117" s="131"/>
      <c r="H117" s="122" t="s">
        <v>153</v>
      </c>
      <c r="J117" s="2"/>
    </row>
    <row r="118" spans="1:10" x14ac:dyDescent="0.2">
      <c r="A118" s="123">
        <v>1</v>
      </c>
      <c r="B118" s="124"/>
      <c r="C118" s="124" t="s">
        <v>171</v>
      </c>
      <c r="D118" s="124"/>
      <c r="E118" s="133"/>
      <c r="F118" s="126">
        <v>2067.561881094</v>
      </c>
      <c r="G118" s="127">
        <v>1.235109E-2</v>
      </c>
      <c r="H118" s="122">
        <v>6.62</v>
      </c>
      <c r="J118" s="2"/>
    </row>
    <row r="119" spans="1:10" x14ac:dyDescent="0.2">
      <c r="A119" s="120"/>
      <c r="B119" s="120"/>
      <c r="C119" s="121" t="s">
        <v>152</v>
      </c>
      <c r="D119" s="120"/>
      <c r="E119" s="120" t="s">
        <v>153</v>
      </c>
      <c r="F119" s="128">
        <v>2067.561881094</v>
      </c>
      <c r="G119" s="129">
        <v>1.235109E-2</v>
      </c>
      <c r="H119" s="122" t="s">
        <v>153</v>
      </c>
      <c r="J119" s="2"/>
    </row>
    <row r="120" spans="1:10" x14ac:dyDescent="0.2">
      <c r="A120" s="120"/>
      <c r="B120" s="120"/>
      <c r="C120" s="130"/>
      <c r="D120" s="120"/>
      <c r="E120" s="120"/>
      <c r="F120" s="131"/>
      <c r="G120" s="131"/>
      <c r="H120" s="122" t="s">
        <v>153</v>
      </c>
      <c r="J120" s="2"/>
    </row>
    <row r="121" spans="1:10" x14ac:dyDescent="0.2">
      <c r="A121" s="120"/>
      <c r="B121" s="120"/>
      <c r="C121" s="121" t="s">
        <v>172</v>
      </c>
      <c r="D121" s="120"/>
      <c r="E121" s="120"/>
      <c r="F121" s="128">
        <v>2067.561881094</v>
      </c>
      <c r="G121" s="129">
        <v>1.235109E-2</v>
      </c>
      <c r="H121" s="122" t="s">
        <v>153</v>
      </c>
      <c r="J121" s="2"/>
    </row>
    <row r="122" spans="1:10" x14ac:dyDescent="0.2">
      <c r="A122" s="120"/>
      <c r="B122" s="120"/>
      <c r="C122" s="131"/>
      <c r="D122" s="120"/>
      <c r="E122" s="120"/>
      <c r="F122" s="120"/>
      <c r="G122" s="120"/>
      <c r="H122" s="122" t="s">
        <v>153</v>
      </c>
      <c r="J122" s="2"/>
    </row>
    <row r="123" spans="1:10" x14ac:dyDescent="0.2">
      <c r="A123" s="120"/>
      <c r="B123" s="120"/>
      <c r="C123" s="121" t="s">
        <v>173</v>
      </c>
      <c r="D123" s="120"/>
      <c r="E123" s="120"/>
      <c r="F123" s="120"/>
      <c r="G123" s="120"/>
      <c r="H123" s="122" t="s">
        <v>153</v>
      </c>
      <c r="J123" s="2"/>
    </row>
    <row r="124" spans="1:10" x14ac:dyDescent="0.2">
      <c r="A124" s="120"/>
      <c r="B124" s="120"/>
      <c r="C124" s="121" t="s">
        <v>174</v>
      </c>
      <c r="D124" s="120"/>
      <c r="E124" s="120"/>
      <c r="F124" s="120"/>
      <c r="G124" s="120"/>
      <c r="H124" s="122" t="s">
        <v>153</v>
      </c>
      <c r="J124" s="2"/>
    </row>
    <row r="125" spans="1:10" x14ac:dyDescent="0.2">
      <c r="A125" s="120"/>
      <c r="B125" s="120"/>
      <c r="C125" s="121" t="s">
        <v>152</v>
      </c>
      <c r="D125" s="120"/>
      <c r="E125" s="120" t="s">
        <v>153</v>
      </c>
      <c r="F125" s="132" t="s">
        <v>155</v>
      </c>
      <c r="G125" s="129">
        <v>0</v>
      </c>
      <c r="H125" s="122" t="s">
        <v>153</v>
      </c>
      <c r="J125" s="2"/>
    </row>
    <row r="126" spans="1:10" x14ac:dyDescent="0.2">
      <c r="A126" s="120"/>
      <c r="B126" s="120"/>
      <c r="C126" s="130"/>
      <c r="D126" s="120"/>
      <c r="E126" s="120"/>
      <c r="F126" s="131"/>
      <c r="G126" s="131"/>
      <c r="H126" s="122" t="s">
        <v>153</v>
      </c>
      <c r="J126" s="2"/>
    </row>
    <row r="127" spans="1:10" x14ac:dyDescent="0.2">
      <c r="A127" s="120"/>
      <c r="B127" s="120"/>
      <c r="C127" s="121" t="s">
        <v>175</v>
      </c>
      <c r="D127" s="120"/>
      <c r="E127" s="120"/>
      <c r="F127" s="120"/>
      <c r="G127" s="120"/>
      <c r="H127" s="122" t="s">
        <v>153</v>
      </c>
      <c r="J127" s="2"/>
    </row>
    <row r="128" spans="1:10" x14ac:dyDescent="0.2">
      <c r="A128" s="120"/>
      <c r="B128" s="120"/>
      <c r="C128" s="121" t="s">
        <v>176</v>
      </c>
      <c r="D128" s="120"/>
      <c r="E128" s="120"/>
      <c r="F128" s="120"/>
      <c r="G128" s="120"/>
      <c r="H128" s="122" t="s">
        <v>153</v>
      </c>
      <c r="J128" s="2"/>
    </row>
    <row r="129" spans="1:17" x14ac:dyDescent="0.2">
      <c r="A129" s="120"/>
      <c r="B129" s="120"/>
      <c r="C129" s="121" t="s">
        <v>152</v>
      </c>
      <c r="D129" s="120"/>
      <c r="E129" s="120" t="s">
        <v>153</v>
      </c>
      <c r="F129" s="132" t="s">
        <v>155</v>
      </c>
      <c r="G129" s="129">
        <v>0</v>
      </c>
      <c r="H129" s="122" t="s">
        <v>153</v>
      </c>
      <c r="J129" s="2"/>
    </row>
    <row r="130" spans="1:17" x14ac:dyDescent="0.2">
      <c r="A130" s="120"/>
      <c r="B130" s="120"/>
      <c r="C130" s="130"/>
      <c r="D130" s="120"/>
      <c r="E130" s="120"/>
      <c r="F130" s="131"/>
      <c r="G130" s="131"/>
      <c r="H130" s="122" t="s">
        <v>153</v>
      </c>
      <c r="J130" s="2"/>
    </row>
    <row r="131" spans="1:17" ht="25.5" x14ac:dyDescent="0.2">
      <c r="A131" s="120"/>
      <c r="B131" s="120"/>
      <c r="C131" s="121" t="s">
        <v>177</v>
      </c>
      <c r="D131" s="120"/>
      <c r="E131" s="120"/>
      <c r="F131" s="131"/>
      <c r="G131" s="131"/>
      <c r="H131" s="122" t="s">
        <v>153</v>
      </c>
      <c r="J131" s="2"/>
    </row>
    <row r="132" spans="1:17" x14ac:dyDescent="0.2">
      <c r="A132" s="120"/>
      <c r="B132" s="120"/>
      <c r="C132" s="121" t="s">
        <v>152</v>
      </c>
      <c r="D132" s="120"/>
      <c r="E132" s="120" t="s">
        <v>153</v>
      </c>
      <c r="F132" s="132" t="s">
        <v>155</v>
      </c>
      <c r="G132" s="129">
        <v>0</v>
      </c>
      <c r="H132" s="122" t="s">
        <v>153</v>
      </c>
      <c r="J132" s="2"/>
    </row>
    <row r="133" spans="1:17" x14ac:dyDescent="0.2">
      <c r="A133" s="120"/>
      <c r="B133" s="124"/>
      <c r="C133" s="124"/>
      <c r="D133" s="121"/>
      <c r="E133" s="120"/>
      <c r="F133" s="124"/>
      <c r="G133" s="133"/>
      <c r="H133" s="122" t="s">
        <v>153</v>
      </c>
      <c r="J133" s="2"/>
    </row>
    <row r="134" spans="1:17" x14ac:dyDescent="0.2">
      <c r="A134" s="133"/>
      <c r="B134" s="124"/>
      <c r="C134" s="124" t="s">
        <v>178</v>
      </c>
      <c r="D134" s="124"/>
      <c r="E134" s="133"/>
      <c r="F134" s="126">
        <v>-322.39202288000001</v>
      </c>
      <c r="G134" s="127">
        <v>-1.92589E-3</v>
      </c>
      <c r="H134" s="122" t="s">
        <v>153</v>
      </c>
      <c r="J134" s="2"/>
    </row>
    <row r="135" spans="1:17" x14ac:dyDescent="0.2">
      <c r="A135" s="130"/>
      <c r="B135" s="130"/>
      <c r="C135" s="121" t="s">
        <v>179</v>
      </c>
      <c r="D135" s="131"/>
      <c r="E135" s="131"/>
      <c r="F135" s="128">
        <v>167399.175803714</v>
      </c>
      <c r="G135" s="134">
        <v>1.00000007</v>
      </c>
      <c r="H135" s="122" t="s">
        <v>153</v>
      </c>
      <c r="J135" s="2"/>
    </row>
    <row r="136" spans="1:17" x14ac:dyDescent="0.2">
      <c r="A136" s="135"/>
      <c r="B136" s="135"/>
      <c r="C136" s="135"/>
      <c r="D136" s="136"/>
      <c r="E136" s="136"/>
      <c r="F136" s="136"/>
      <c r="G136" s="136"/>
      <c r="J136" s="2"/>
    </row>
    <row r="137" spans="1:17" x14ac:dyDescent="0.2">
      <c r="A137" s="137"/>
      <c r="B137" s="226" t="s">
        <v>863</v>
      </c>
      <c r="C137" s="226"/>
      <c r="D137" s="226"/>
      <c r="E137" s="226"/>
      <c r="F137" s="226"/>
      <c r="G137" s="226"/>
      <c r="H137" s="226"/>
      <c r="J137" s="2"/>
    </row>
    <row r="138" spans="1:17" x14ac:dyDescent="0.2">
      <c r="A138" s="137"/>
      <c r="B138" s="226" t="s">
        <v>864</v>
      </c>
      <c r="C138" s="226"/>
      <c r="D138" s="226"/>
      <c r="E138" s="226"/>
      <c r="F138" s="226"/>
      <c r="G138" s="226"/>
      <c r="H138" s="226"/>
      <c r="J138" s="2"/>
    </row>
    <row r="139" spans="1:17" x14ac:dyDescent="0.2">
      <c r="A139" s="137"/>
      <c r="B139" s="226" t="s">
        <v>865</v>
      </c>
      <c r="C139" s="226"/>
      <c r="D139" s="226"/>
      <c r="E139" s="226"/>
      <c r="F139" s="226"/>
      <c r="G139" s="226"/>
      <c r="H139" s="226"/>
      <c r="J139" s="2"/>
    </row>
    <row r="140" spans="1:17" s="5" customFormat="1" ht="15" x14ac:dyDescent="0.25">
      <c r="A140" s="139"/>
      <c r="B140" s="227" t="s">
        <v>866</v>
      </c>
      <c r="C140" s="227"/>
      <c r="D140" s="227"/>
      <c r="E140" s="227"/>
      <c r="F140" s="227"/>
      <c r="G140" s="227"/>
      <c r="H140" s="227"/>
      <c r="I140"/>
      <c r="J140" s="2"/>
      <c r="K140"/>
      <c r="L140"/>
      <c r="M140"/>
      <c r="N140"/>
      <c r="O140"/>
      <c r="P140"/>
      <c r="Q140"/>
    </row>
    <row r="141" spans="1:17" x14ac:dyDescent="0.2">
      <c r="A141" s="137"/>
      <c r="B141" s="226" t="s">
        <v>867</v>
      </c>
      <c r="C141" s="226"/>
      <c r="D141" s="226"/>
      <c r="E141" s="226"/>
      <c r="F141" s="226"/>
      <c r="G141" s="226"/>
      <c r="H141" s="226"/>
      <c r="J141" s="2"/>
    </row>
    <row r="142" spans="1:17" x14ac:dyDescent="0.2">
      <c r="A142" s="140"/>
      <c r="B142" s="140"/>
      <c r="C142" s="140"/>
      <c r="D142" s="141"/>
      <c r="E142" s="141"/>
      <c r="F142" s="141"/>
      <c r="G142" s="141"/>
      <c r="J142" s="2"/>
    </row>
    <row r="143" spans="1:17" x14ac:dyDescent="0.2">
      <c r="A143" s="140"/>
      <c r="B143" s="228" t="s">
        <v>180</v>
      </c>
      <c r="C143" s="229"/>
      <c r="D143" s="230"/>
      <c r="E143" s="142"/>
      <c r="F143" s="141"/>
      <c r="G143" s="141"/>
      <c r="J143" s="2"/>
    </row>
    <row r="144" spans="1:17" x14ac:dyDescent="0.2">
      <c r="A144" s="140"/>
      <c r="B144" s="223" t="s">
        <v>181</v>
      </c>
      <c r="C144" s="224"/>
      <c r="D144" s="121" t="s">
        <v>182</v>
      </c>
      <c r="E144" s="142"/>
      <c r="F144" s="141"/>
      <c r="G144" s="141"/>
      <c r="J144" s="2"/>
    </row>
    <row r="145" spans="1:10" x14ac:dyDescent="0.2">
      <c r="A145" s="140"/>
      <c r="B145" s="223" t="s">
        <v>183</v>
      </c>
      <c r="C145" s="224"/>
      <c r="D145" s="121" t="s">
        <v>182</v>
      </c>
      <c r="E145" s="142"/>
      <c r="F145" s="141"/>
      <c r="G145" s="141"/>
      <c r="J145" s="2"/>
    </row>
    <row r="146" spans="1:10" x14ac:dyDescent="0.2">
      <c r="A146" s="140"/>
      <c r="B146" s="223" t="s">
        <v>184</v>
      </c>
      <c r="C146" s="224"/>
      <c r="D146" s="131" t="s">
        <v>153</v>
      </c>
      <c r="E146" s="142"/>
      <c r="F146" s="141"/>
      <c r="G146" s="141"/>
      <c r="J146" s="2"/>
    </row>
    <row r="147" spans="1:10" x14ac:dyDescent="0.2">
      <c r="A147" s="144"/>
      <c r="B147" s="145" t="s">
        <v>153</v>
      </c>
      <c r="C147" s="145" t="s">
        <v>870</v>
      </c>
      <c r="D147" s="145" t="s">
        <v>185</v>
      </c>
      <c r="E147" s="144"/>
      <c r="F147" s="144"/>
      <c r="G147" s="144"/>
      <c r="H147" s="144"/>
      <c r="J147" s="2"/>
    </row>
    <row r="148" spans="1:10" x14ac:dyDescent="0.2">
      <c r="A148" s="146"/>
      <c r="B148" s="147" t="s">
        <v>186</v>
      </c>
      <c r="C148" s="148">
        <v>45504</v>
      </c>
      <c r="D148" s="149">
        <v>45535</v>
      </c>
      <c r="E148" s="146"/>
      <c r="F148" s="146"/>
      <c r="G148" s="146"/>
      <c r="J148" s="2"/>
    </row>
    <row r="149" spans="1:10" x14ac:dyDescent="0.2">
      <c r="A149" s="146"/>
      <c r="B149" s="124" t="s">
        <v>187</v>
      </c>
      <c r="C149" s="150">
        <v>231.12819999999999</v>
      </c>
      <c r="D149" s="150">
        <v>234.04830000000001</v>
      </c>
      <c r="E149" s="146"/>
      <c r="F149" s="151"/>
      <c r="G149" s="152"/>
      <c r="J149" s="2"/>
    </row>
    <row r="150" spans="1:10" x14ac:dyDescent="0.2">
      <c r="A150" s="146"/>
      <c r="B150" s="124" t="s">
        <v>926</v>
      </c>
      <c r="C150" s="150">
        <v>21.0137</v>
      </c>
      <c r="D150" s="150">
        <v>21.2791</v>
      </c>
      <c r="E150" s="146"/>
      <c r="F150" s="151"/>
      <c r="G150" s="152"/>
      <c r="J150" s="2"/>
    </row>
    <row r="151" spans="1:10" x14ac:dyDescent="0.2">
      <c r="A151" s="146"/>
      <c r="B151" s="124" t="s">
        <v>188</v>
      </c>
      <c r="C151" s="150">
        <v>219.31309999999999</v>
      </c>
      <c r="D151" s="150">
        <v>221.97839999999999</v>
      </c>
      <c r="E151" s="146"/>
      <c r="F151" s="151"/>
      <c r="G151" s="152"/>
      <c r="J151" s="2"/>
    </row>
    <row r="152" spans="1:10" x14ac:dyDescent="0.2">
      <c r="A152" s="146"/>
      <c r="B152" s="124" t="s">
        <v>927</v>
      </c>
      <c r="C152" s="150">
        <v>17.3842</v>
      </c>
      <c r="D152" s="150">
        <v>17.595500000000001</v>
      </c>
      <c r="E152" s="146"/>
      <c r="F152" s="151"/>
      <c r="G152" s="152"/>
      <c r="J152" s="2"/>
    </row>
    <row r="153" spans="1:10" x14ac:dyDescent="0.2">
      <c r="A153" s="146"/>
      <c r="B153" s="146"/>
      <c r="C153" s="146"/>
      <c r="D153" s="146"/>
      <c r="E153" s="146"/>
      <c r="F153" s="146"/>
      <c r="G153" s="146"/>
      <c r="J153" s="2"/>
    </row>
    <row r="154" spans="1:10" x14ac:dyDescent="0.2">
      <c r="A154" s="146"/>
      <c r="B154" s="223" t="s">
        <v>869</v>
      </c>
      <c r="C154" s="224"/>
      <c r="D154" s="121" t="s">
        <v>182</v>
      </c>
      <c r="E154" s="146"/>
      <c r="F154" s="146"/>
      <c r="G154" s="146"/>
      <c r="J154" s="2"/>
    </row>
    <row r="155" spans="1:10" x14ac:dyDescent="0.2">
      <c r="A155" s="146"/>
      <c r="B155" s="163"/>
      <c r="C155" s="163"/>
      <c r="D155" s="163"/>
      <c r="E155" s="146"/>
      <c r="F155" s="146"/>
      <c r="G155" s="146"/>
      <c r="J155" s="2"/>
    </row>
    <row r="156" spans="1:10" x14ac:dyDescent="0.2">
      <c r="A156" s="144"/>
      <c r="B156" s="221" t="s">
        <v>189</v>
      </c>
      <c r="C156" s="222"/>
      <c r="D156" s="143" t="s">
        <v>182</v>
      </c>
      <c r="E156" s="153"/>
      <c r="F156" s="144"/>
      <c r="G156" s="144"/>
      <c r="J156" s="2"/>
    </row>
    <row r="157" spans="1:10" x14ac:dyDescent="0.2">
      <c r="A157" s="144"/>
      <c r="B157" s="221" t="s">
        <v>190</v>
      </c>
      <c r="C157" s="222"/>
      <c r="D157" s="143" t="s">
        <v>182</v>
      </c>
      <c r="E157" s="153"/>
      <c r="F157" s="144"/>
      <c r="G157" s="144"/>
    </row>
    <row r="158" spans="1:10" x14ac:dyDescent="0.2">
      <c r="A158" s="144"/>
      <c r="B158" s="221" t="s">
        <v>191</v>
      </c>
      <c r="C158" s="222"/>
      <c r="D158" s="143" t="s">
        <v>182</v>
      </c>
      <c r="E158" s="153"/>
      <c r="F158" s="144"/>
      <c r="G158" s="144"/>
    </row>
    <row r="159" spans="1:10" x14ac:dyDescent="0.2">
      <c r="A159" s="144"/>
      <c r="B159" s="221" t="s">
        <v>192</v>
      </c>
      <c r="C159" s="222"/>
      <c r="D159" s="154">
        <v>0.11316470113204012</v>
      </c>
      <c r="E159" s="144"/>
      <c r="F159" s="138"/>
      <c r="G159" s="155"/>
    </row>
  </sheetData>
  <mergeCells count="17">
    <mergeCell ref="B144:C144"/>
    <mergeCell ref="A1:H1"/>
    <mergeCell ref="A2:H2"/>
    <mergeCell ref="A3:H3"/>
    <mergeCell ref="B137:H137"/>
    <mergeCell ref="B138:H138"/>
    <mergeCell ref="B139:H139"/>
    <mergeCell ref="B140:H140"/>
    <mergeCell ref="B141:H141"/>
    <mergeCell ref="B143:D143"/>
    <mergeCell ref="B145:C145"/>
    <mergeCell ref="B146:C146"/>
    <mergeCell ref="B154:C154"/>
    <mergeCell ref="B158:C158"/>
    <mergeCell ref="B159:C159"/>
    <mergeCell ref="B156:C156"/>
    <mergeCell ref="B157:C157"/>
  </mergeCells>
  <hyperlinks>
    <hyperlink ref="I1" location="Index!B26" display="Index" xr:uid="{C14922AE-D0ED-4BAC-80C4-0F57EBCA85F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8EC2-6A23-46D1-8D32-15CCA71AC9B4}">
  <sheetPr>
    <outlinePr summaryBelow="0" summaryRight="0"/>
  </sheetPr>
  <dimension ref="A1:Q14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50.7109375" customWidth="1"/>
  </cols>
  <sheetData>
    <row r="1" spans="1:10" ht="15" x14ac:dyDescent="0.2">
      <c r="A1" s="225" t="s">
        <v>0</v>
      </c>
      <c r="B1" s="225"/>
      <c r="C1" s="225"/>
      <c r="D1" s="225"/>
      <c r="E1" s="225"/>
      <c r="F1" s="225"/>
      <c r="G1" s="225"/>
      <c r="H1" s="225"/>
      <c r="I1" s="16" t="s">
        <v>913</v>
      </c>
      <c r="J1" s="33"/>
    </row>
    <row r="2" spans="1:10" ht="15" x14ac:dyDescent="0.2">
      <c r="A2" s="225" t="s">
        <v>816</v>
      </c>
      <c r="B2" s="225"/>
      <c r="C2" s="225"/>
      <c r="D2" s="225"/>
      <c r="E2" s="225"/>
      <c r="F2" s="225"/>
      <c r="G2" s="225"/>
      <c r="H2" s="225"/>
      <c r="J2" s="3" t="s">
        <v>914</v>
      </c>
    </row>
    <row r="3" spans="1:10" ht="15" x14ac:dyDescent="0.2">
      <c r="A3" s="225" t="s">
        <v>853</v>
      </c>
      <c r="B3" s="225"/>
      <c r="C3" s="225"/>
      <c r="D3" s="225"/>
      <c r="E3" s="225"/>
      <c r="F3" s="225"/>
      <c r="G3" s="225"/>
      <c r="H3" s="225"/>
      <c r="J3" s="33"/>
    </row>
    <row r="4" spans="1:10" s="4" customFormat="1" ht="30" x14ac:dyDescent="0.2">
      <c r="A4" s="118" t="s">
        <v>2</v>
      </c>
      <c r="B4" s="118" t="s">
        <v>3</v>
      </c>
      <c r="C4" s="118" t="s">
        <v>4</v>
      </c>
      <c r="D4" s="118" t="s">
        <v>5</v>
      </c>
      <c r="E4" s="118" t="s">
        <v>6</v>
      </c>
      <c r="F4" s="118" t="s">
        <v>7</v>
      </c>
      <c r="G4" s="118" t="s">
        <v>8</v>
      </c>
      <c r="H4" s="119" t="s">
        <v>852</v>
      </c>
      <c r="J4" s="34"/>
    </row>
    <row r="5" spans="1:10" x14ac:dyDescent="0.2">
      <c r="A5" s="120"/>
      <c r="B5" s="120"/>
      <c r="C5" s="121" t="s">
        <v>9</v>
      </c>
      <c r="D5" s="120"/>
      <c r="E5" s="120"/>
      <c r="F5" s="120"/>
      <c r="G5" s="120"/>
      <c r="H5" s="122" t="s">
        <v>153</v>
      </c>
      <c r="J5" s="33"/>
    </row>
    <row r="6" spans="1:10" ht="25.5" x14ac:dyDescent="0.2">
      <c r="A6" s="120"/>
      <c r="B6" s="120"/>
      <c r="C6" s="121" t="s">
        <v>10</v>
      </c>
      <c r="D6" s="120"/>
      <c r="E6" s="120"/>
      <c r="F6" s="120"/>
      <c r="G6" s="120"/>
      <c r="H6" s="122" t="s">
        <v>153</v>
      </c>
      <c r="J6" s="33"/>
    </row>
    <row r="7" spans="1:10" x14ac:dyDescent="0.2">
      <c r="A7" s="123">
        <v>1</v>
      </c>
      <c r="B7" s="124" t="s">
        <v>342</v>
      </c>
      <c r="C7" s="124" t="s">
        <v>343</v>
      </c>
      <c r="D7" s="124" t="s">
        <v>48</v>
      </c>
      <c r="E7" s="125">
        <v>1839000</v>
      </c>
      <c r="F7" s="126">
        <v>30102.591</v>
      </c>
      <c r="G7" s="127">
        <v>8.2123390000000004E-2</v>
      </c>
      <c r="H7" s="122" t="s">
        <v>153</v>
      </c>
      <c r="J7" s="33"/>
    </row>
    <row r="8" spans="1:10" x14ac:dyDescent="0.2">
      <c r="A8" s="123">
        <v>2</v>
      </c>
      <c r="B8" s="124" t="s">
        <v>46</v>
      </c>
      <c r="C8" s="124" t="s">
        <v>47</v>
      </c>
      <c r="D8" s="124" t="s">
        <v>48</v>
      </c>
      <c r="E8" s="125">
        <v>2365000</v>
      </c>
      <c r="F8" s="126">
        <v>29070.58</v>
      </c>
      <c r="G8" s="127">
        <v>7.9307939999999993E-2</v>
      </c>
      <c r="H8" s="122" t="s">
        <v>153</v>
      </c>
      <c r="J8" s="33"/>
    </row>
    <row r="9" spans="1:10" x14ac:dyDescent="0.2">
      <c r="A9" s="123">
        <v>3</v>
      </c>
      <c r="B9" s="124" t="s">
        <v>20</v>
      </c>
      <c r="C9" s="124" t="s">
        <v>21</v>
      </c>
      <c r="D9" s="124" t="s">
        <v>22</v>
      </c>
      <c r="E9" s="125">
        <v>814000</v>
      </c>
      <c r="F9" s="126">
        <v>24576.695</v>
      </c>
      <c r="G9" s="127">
        <v>6.7048099999999999E-2</v>
      </c>
      <c r="H9" s="122" t="s">
        <v>153</v>
      </c>
      <c r="J9" s="33"/>
    </row>
    <row r="10" spans="1:10" x14ac:dyDescent="0.2">
      <c r="A10" s="123">
        <v>4</v>
      </c>
      <c r="B10" s="124" t="s">
        <v>344</v>
      </c>
      <c r="C10" s="124" t="s">
        <v>345</v>
      </c>
      <c r="D10" s="124" t="s">
        <v>211</v>
      </c>
      <c r="E10" s="125">
        <v>1127000</v>
      </c>
      <c r="F10" s="126">
        <v>21905.499</v>
      </c>
      <c r="G10" s="127">
        <v>5.9760760000000003E-2</v>
      </c>
      <c r="H10" s="122" t="s">
        <v>153</v>
      </c>
      <c r="J10" s="33"/>
    </row>
    <row r="11" spans="1:10" x14ac:dyDescent="0.2">
      <c r="A11" s="123">
        <v>5</v>
      </c>
      <c r="B11" s="124" t="s">
        <v>11</v>
      </c>
      <c r="C11" s="124" t="s">
        <v>12</v>
      </c>
      <c r="D11" s="124" t="s">
        <v>13</v>
      </c>
      <c r="E11" s="125">
        <v>555000</v>
      </c>
      <c r="F11" s="126">
        <v>20560.807499999999</v>
      </c>
      <c r="G11" s="127">
        <v>5.6092290000000003E-2</v>
      </c>
      <c r="H11" s="122" t="s">
        <v>153</v>
      </c>
      <c r="J11" s="33"/>
    </row>
    <row r="12" spans="1:10" ht="15" x14ac:dyDescent="0.2">
      <c r="A12" s="123">
        <v>6</v>
      </c>
      <c r="B12" s="124" t="s">
        <v>14</v>
      </c>
      <c r="C12" s="124" t="s">
        <v>15</v>
      </c>
      <c r="D12" s="124" t="s">
        <v>16</v>
      </c>
      <c r="E12" s="125">
        <v>977000</v>
      </c>
      <c r="F12" s="126">
        <v>15525.0185</v>
      </c>
      <c r="G12" s="127">
        <v>4.2354070000000001E-2</v>
      </c>
      <c r="H12" s="122" t="s">
        <v>153</v>
      </c>
      <c r="J12" s="7"/>
    </row>
    <row r="13" spans="1:10" x14ac:dyDescent="0.2">
      <c r="A13" s="123">
        <v>7</v>
      </c>
      <c r="B13" s="124" t="s">
        <v>54</v>
      </c>
      <c r="C13" s="124" t="s">
        <v>55</v>
      </c>
      <c r="D13" s="124" t="s">
        <v>48</v>
      </c>
      <c r="E13" s="125">
        <v>1717000</v>
      </c>
      <c r="F13" s="126">
        <v>14003.852000000001</v>
      </c>
      <c r="G13" s="127">
        <v>3.8204149999999999E-2</v>
      </c>
      <c r="H13" s="122" t="s">
        <v>153</v>
      </c>
      <c r="J13" s="2"/>
    </row>
    <row r="14" spans="1:10" x14ac:dyDescent="0.2">
      <c r="A14" s="123">
        <v>8</v>
      </c>
      <c r="B14" s="124" t="s">
        <v>350</v>
      </c>
      <c r="C14" s="124" t="s">
        <v>351</v>
      </c>
      <c r="D14" s="124" t="s">
        <v>48</v>
      </c>
      <c r="E14" s="125">
        <v>1109000</v>
      </c>
      <c r="F14" s="126">
        <v>13033.522499999999</v>
      </c>
      <c r="G14" s="127">
        <v>3.555697E-2</v>
      </c>
      <c r="H14" s="122" t="s">
        <v>153</v>
      </c>
      <c r="J14" s="2" t="s">
        <v>1040</v>
      </c>
    </row>
    <row r="15" spans="1:10" ht="25.5" x14ac:dyDescent="0.2">
      <c r="A15" s="123">
        <v>9</v>
      </c>
      <c r="B15" s="124" t="s">
        <v>352</v>
      </c>
      <c r="C15" s="124" t="s">
        <v>353</v>
      </c>
      <c r="D15" s="124" t="s">
        <v>208</v>
      </c>
      <c r="E15" s="125">
        <v>662000</v>
      </c>
      <c r="F15" s="126">
        <v>12059.323</v>
      </c>
      <c r="G15" s="127">
        <v>3.2899240000000003E-2</v>
      </c>
      <c r="H15" s="122" t="s">
        <v>153</v>
      </c>
      <c r="J15" s="33"/>
    </row>
    <row r="16" spans="1:10" x14ac:dyDescent="0.2">
      <c r="A16" s="123">
        <v>10</v>
      </c>
      <c r="B16" s="124" t="s">
        <v>361</v>
      </c>
      <c r="C16" s="124" t="s">
        <v>362</v>
      </c>
      <c r="D16" s="124" t="s">
        <v>273</v>
      </c>
      <c r="E16" s="125">
        <v>977191</v>
      </c>
      <c r="F16" s="126">
        <v>10860.012178499999</v>
      </c>
      <c r="G16" s="127">
        <v>2.9627379999999998E-2</v>
      </c>
      <c r="H16" s="122" t="s">
        <v>153</v>
      </c>
      <c r="J16" s="33"/>
    </row>
    <row r="17" spans="1:10" x14ac:dyDescent="0.2">
      <c r="A17" s="123">
        <v>11</v>
      </c>
      <c r="B17" s="124" t="s">
        <v>348</v>
      </c>
      <c r="C17" s="124" t="s">
        <v>349</v>
      </c>
      <c r="D17" s="124" t="s">
        <v>211</v>
      </c>
      <c r="E17" s="125">
        <v>203752</v>
      </c>
      <c r="F17" s="126">
        <v>9278.3567000000003</v>
      </c>
      <c r="G17" s="127">
        <v>2.5312439999999999E-2</v>
      </c>
      <c r="H17" s="122" t="s">
        <v>153</v>
      </c>
      <c r="J17" s="33"/>
    </row>
    <row r="18" spans="1:10" x14ac:dyDescent="0.2">
      <c r="A18" s="123">
        <v>12</v>
      </c>
      <c r="B18" s="124" t="s">
        <v>17</v>
      </c>
      <c r="C18" s="124" t="s">
        <v>18</v>
      </c>
      <c r="D18" s="124" t="s">
        <v>19</v>
      </c>
      <c r="E18" s="125">
        <v>1967000</v>
      </c>
      <c r="F18" s="126">
        <v>8186.6540000000005</v>
      </c>
      <c r="G18" s="127">
        <v>2.2334150000000001E-2</v>
      </c>
      <c r="H18" s="122" t="s">
        <v>153</v>
      </c>
      <c r="J18" s="33"/>
    </row>
    <row r="19" spans="1:10" x14ac:dyDescent="0.2">
      <c r="A19" s="123">
        <v>13</v>
      </c>
      <c r="B19" s="124" t="s">
        <v>338</v>
      </c>
      <c r="C19" s="124" t="s">
        <v>339</v>
      </c>
      <c r="D19" s="124" t="s">
        <v>273</v>
      </c>
      <c r="E19" s="125">
        <v>66000</v>
      </c>
      <c r="F19" s="126">
        <v>8185.98</v>
      </c>
      <c r="G19" s="127">
        <v>2.2332310000000001E-2</v>
      </c>
      <c r="H19" s="122" t="s">
        <v>153</v>
      </c>
      <c r="J19" s="33"/>
    </row>
    <row r="20" spans="1:10" x14ac:dyDescent="0.2">
      <c r="A20" s="123">
        <v>14</v>
      </c>
      <c r="B20" s="124" t="s">
        <v>84</v>
      </c>
      <c r="C20" s="124" t="s">
        <v>85</v>
      </c>
      <c r="D20" s="124" t="s">
        <v>86</v>
      </c>
      <c r="E20" s="125">
        <v>160000</v>
      </c>
      <c r="F20" s="126">
        <v>7728</v>
      </c>
      <c r="G20" s="127">
        <v>2.108289E-2</v>
      </c>
      <c r="H20" s="122" t="s">
        <v>153</v>
      </c>
      <c r="J20" s="33"/>
    </row>
    <row r="21" spans="1:10" x14ac:dyDescent="0.2">
      <c r="A21" s="123">
        <v>15</v>
      </c>
      <c r="B21" s="124" t="s">
        <v>377</v>
      </c>
      <c r="C21" s="124" t="s">
        <v>378</v>
      </c>
      <c r="D21" s="124" t="s">
        <v>374</v>
      </c>
      <c r="E21" s="125">
        <v>260000</v>
      </c>
      <c r="F21" s="126">
        <v>7222.8</v>
      </c>
      <c r="G21" s="127">
        <v>1.9704639999999999E-2</v>
      </c>
      <c r="H21" s="122" t="s">
        <v>153</v>
      </c>
      <c r="J21" s="33"/>
    </row>
    <row r="22" spans="1:10" ht="15" x14ac:dyDescent="0.2">
      <c r="A22" s="123">
        <v>16</v>
      </c>
      <c r="B22" s="124" t="s">
        <v>354</v>
      </c>
      <c r="C22" s="124" t="s">
        <v>355</v>
      </c>
      <c r="D22" s="124" t="s">
        <v>264</v>
      </c>
      <c r="E22" s="125">
        <v>475000</v>
      </c>
      <c r="F22" s="126">
        <v>7129.2749999999996</v>
      </c>
      <c r="G22" s="127">
        <v>1.9449500000000002E-2</v>
      </c>
      <c r="H22" s="122" t="s">
        <v>153</v>
      </c>
      <c r="J22" s="7"/>
    </row>
    <row r="23" spans="1:10" x14ac:dyDescent="0.2">
      <c r="A23" s="123">
        <v>17</v>
      </c>
      <c r="B23" s="124" t="s">
        <v>668</v>
      </c>
      <c r="C23" s="124" t="s">
        <v>669</v>
      </c>
      <c r="D23" s="124" t="s">
        <v>89</v>
      </c>
      <c r="E23" s="125">
        <v>381000</v>
      </c>
      <c r="F23" s="126">
        <v>6793.4205000000002</v>
      </c>
      <c r="G23" s="127">
        <v>1.8533250000000001E-2</v>
      </c>
      <c r="H23" s="122" t="s">
        <v>153</v>
      </c>
      <c r="J23" s="2"/>
    </row>
    <row r="24" spans="1:10" ht="25.5" x14ac:dyDescent="0.2">
      <c r="A24" s="123">
        <v>18</v>
      </c>
      <c r="B24" s="124" t="s">
        <v>471</v>
      </c>
      <c r="C24" s="124" t="s">
        <v>472</v>
      </c>
      <c r="D24" s="124" t="s">
        <v>208</v>
      </c>
      <c r="E24" s="125">
        <v>401000</v>
      </c>
      <c r="F24" s="126">
        <v>6636.1490000000003</v>
      </c>
      <c r="G24" s="127">
        <v>1.8104189999999999E-2</v>
      </c>
      <c r="H24" s="122" t="s">
        <v>153</v>
      </c>
      <c r="J24" s="33"/>
    </row>
    <row r="25" spans="1:10" x14ac:dyDescent="0.2">
      <c r="A25" s="123">
        <v>19</v>
      </c>
      <c r="B25" s="124" t="s">
        <v>477</v>
      </c>
      <c r="C25" s="124" t="s">
        <v>478</v>
      </c>
      <c r="D25" s="124" t="s">
        <v>48</v>
      </c>
      <c r="E25" s="125">
        <v>398000</v>
      </c>
      <c r="F25" s="126">
        <v>5672.4949999999999</v>
      </c>
      <c r="G25" s="127">
        <v>1.547523E-2</v>
      </c>
      <c r="H25" s="122" t="s">
        <v>153</v>
      </c>
      <c r="J25" s="2"/>
    </row>
    <row r="26" spans="1:10" ht="25.5" x14ac:dyDescent="0.2">
      <c r="A26" s="123">
        <v>20</v>
      </c>
      <c r="B26" s="124" t="s">
        <v>23</v>
      </c>
      <c r="C26" s="124" t="s">
        <v>24</v>
      </c>
      <c r="D26" s="124" t="s">
        <v>25</v>
      </c>
      <c r="E26" s="125">
        <v>50000</v>
      </c>
      <c r="F26" s="126">
        <v>5650.95</v>
      </c>
      <c r="G26" s="127">
        <v>1.541645E-2</v>
      </c>
      <c r="H26" s="122" t="s">
        <v>153</v>
      </c>
      <c r="J26" s="2" t="s">
        <v>1041</v>
      </c>
    </row>
    <row r="27" spans="1:10" x14ac:dyDescent="0.2">
      <c r="A27" s="123">
        <v>21</v>
      </c>
      <c r="B27" s="124" t="s">
        <v>550</v>
      </c>
      <c r="C27" s="124" t="s">
        <v>551</v>
      </c>
      <c r="D27" s="124" t="s">
        <v>211</v>
      </c>
      <c r="E27" s="125">
        <v>337000</v>
      </c>
      <c r="F27" s="126">
        <v>5515.0050000000001</v>
      </c>
      <c r="G27" s="127">
        <v>1.5045579999999999E-2</v>
      </c>
      <c r="H27" s="122" t="s">
        <v>153</v>
      </c>
      <c r="J27" s="33"/>
    </row>
    <row r="28" spans="1:10" x14ac:dyDescent="0.2">
      <c r="A28" s="123">
        <v>22</v>
      </c>
      <c r="B28" s="124" t="s">
        <v>469</v>
      </c>
      <c r="C28" s="124" t="s">
        <v>470</v>
      </c>
      <c r="D28" s="124" t="s">
        <v>211</v>
      </c>
      <c r="E28" s="125">
        <v>285965</v>
      </c>
      <c r="F28" s="126">
        <v>5013.6813625000004</v>
      </c>
      <c r="G28" s="127">
        <v>1.367791E-2</v>
      </c>
      <c r="H28" s="122" t="s">
        <v>153</v>
      </c>
      <c r="J28" s="33"/>
    </row>
    <row r="29" spans="1:10" ht="25.5" x14ac:dyDescent="0.2">
      <c r="A29" s="123">
        <v>23</v>
      </c>
      <c r="B29" s="124" t="s">
        <v>281</v>
      </c>
      <c r="C29" s="124" t="s">
        <v>282</v>
      </c>
      <c r="D29" s="124" t="s">
        <v>89</v>
      </c>
      <c r="E29" s="125">
        <v>322206</v>
      </c>
      <c r="F29" s="126">
        <v>4690.0305360000002</v>
      </c>
      <c r="G29" s="127">
        <v>1.2794949999999999E-2</v>
      </c>
      <c r="H29" s="122" t="s">
        <v>153</v>
      </c>
      <c r="J29" s="33"/>
    </row>
    <row r="30" spans="1:10" x14ac:dyDescent="0.2">
      <c r="A30" s="123">
        <v>24</v>
      </c>
      <c r="B30" s="124" t="s">
        <v>655</v>
      </c>
      <c r="C30" s="124" t="s">
        <v>656</v>
      </c>
      <c r="D30" s="124" t="s">
        <v>89</v>
      </c>
      <c r="E30" s="125">
        <v>63000</v>
      </c>
      <c r="F30" s="126">
        <v>4536.0945000000002</v>
      </c>
      <c r="G30" s="127">
        <v>1.2375000000000001E-2</v>
      </c>
      <c r="H30" s="122" t="s">
        <v>153</v>
      </c>
      <c r="J30" s="33"/>
    </row>
    <row r="31" spans="1:10" x14ac:dyDescent="0.2">
      <c r="A31" s="123">
        <v>25</v>
      </c>
      <c r="B31" s="124" t="s">
        <v>372</v>
      </c>
      <c r="C31" s="124" t="s">
        <v>373</v>
      </c>
      <c r="D31" s="124" t="s">
        <v>374</v>
      </c>
      <c r="E31" s="125">
        <v>885000</v>
      </c>
      <c r="F31" s="126">
        <v>4441.8149999999996</v>
      </c>
      <c r="G31" s="127">
        <v>1.211779E-2</v>
      </c>
      <c r="H31" s="122" t="s">
        <v>153</v>
      </c>
      <c r="J31" s="33"/>
    </row>
    <row r="32" spans="1:10" x14ac:dyDescent="0.2">
      <c r="A32" s="123">
        <v>26</v>
      </c>
      <c r="B32" s="124" t="s">
        <v>41</v>
      </c>
      <c r="C32" s="124" t="s">
        <v>42</v>
      </c>
      <c r="D32" s="124" t="s">
        <v>16</v>
      </c>
      <c r="E32" s="125">
        <v>319000</v>
      </c>
      <c r="F32" s="126">
        <v>3994.0394999999999</v>
      </c>
      <c r="G32" s="127">
        <v>1.089621E-2</v>
      </c>
      <c r="H32" s="122" t="s">
        <v>153</v>
      </c>
      <c r="J32" s="33"/>
    </row>
    <row r="33" spans="1:10" ht="25.5" x14ac:dyDescent="0.2">
      <c r="A33" s="123">
        <v>27</v>
      </c>
      <c r="B33" s="124" t="s">
        <v>90</v>
      </c>
      <c r="C33" s="124" t="s">
        <v>91</v>
      </c>
      <c r="D33" s="124" t="s">
        <v>92</v>
      </c>
      <c r="E33" s="125">
        <v>267000</v>
      </c>
      <c r="F33" s="126">
        <v>3956.6729999999998</v>
      </c>
      <c r="G33" s="127">
        <v>1.079427E-2</v>
      </c>
      <c r="H33" s="122" t="s">
        <v>153</v>
      </c>
      <c r="J33" s="33"/>
    </row>
    <row r="34" spans="1:10" x14ac:dyDescent="0.2">
      <c r="A34" s="123">
        <v>28</v>
      </c>
      <c r="B34" s="124" t="s">
        <v>356</v>
      </c>
      <c r="C34" s="124" t="s">
        <v>357</v>
      </c>
      <c r="D34" s="124" t="s">
        <v>48</v>
      </c>
      <c r="E34" s="125">
        <v>220000</v>
      </c>
      <c r="F34" s="126">
        <v>3917.76</v>
      </c>
      <c r="G34" s="127">
        <v>1.0688110000000001E-2</v>
      </c>
      <c r="H34" s="122" t="s">
        <v>153</v>
      </c>
      <c r="J34" s="33"/>
    </row>
    <row r="35" spans="1:10" x14ac:dyDescent="0.2">
      <c r="A35" s="123">
        <v>29</v>
      </c>
      <c r="B35" s="124" t="s">
        <v>346</v>
      </c>
      <c r="C35" s="124" t="s">
        <v>347</v>
      </c>
      <c r="D35" s="124" t="s">
        <v>198</v>
      </c>
      <c r="E35" s="125">
        <v>1538000</v>
      </c>
      <c r="F35" s="126">
        <v>3853.1514000000002</v>
      </c>
      <c r="G35" s="127">
        <v>1.051185E-2</v>
      </c>
      <c r="H35" s="122" t="s">
        <v>153</v>
      </c>
      <c r="J35" s="33"/>
    </row>
    <row r="36" spans="1:10" ht="25.5" x14ac:dyDescent="0.2">
      <c r="A36" s="123">
        <v>30</v>
      </c>
      <c r="B36" s="124" t="s">
        <v>473</v>
      </c>
      <c r="C36" s="124" t="s">
        <v>474</v>
      </c>
      <c r="D36" s="124" t="s">
        <v>315</v>
      </c>
      <c r="E36" s="125">
        <v>319989</v>
      </c>
      <c r="F36" s="126">
        <v>3840.3479834999998</v>
      </c>
      <c r="G36" s="127">
        <v>1.0476920000000001E-2</v>
      </c>
      <c r="H36" s="122" t="s">
        <v>153</v>
      </c>
      <c r="J36" s="33"/>
    </row>
    <row r="37" spans="1:10" ht="25.5" x14ac:dyDescent="0.2">
      <c r="A37" s="123">
        <v>31</v>
      </c>
      <c r="B37" s="124" t="s">
        <v>368</v>
      </c>
      <c r="C37" s="124" t="s">
        <v>369</v>
      </c>
      <c r="D37" s="124" t="s">
        <v>208</v>
      </c>
      <c r="E37" s="125">
        <v>52000</v>
      </c>
      <c r="F37" s="126">
        <v>3656.3020000000001</v>
      </c>
      <c r="G37" s="127">
        <v>9.9748200000000006E-3</v>
      </c>
      <c r="H37" s="122" t="s">
        <v>153</v>
      </c>
      <c r="J37" s="33"/>
    </row>
    <row r="38" spans="1:10" ht="25.5" x14ac:dyDescent="0.2">
      <c r="A38" s="123">
        <v>32</v>
      </c>
      <c r="B38" s="124" t="s">
        <v>404</v>
      </c>
      <c r="C38" s="124" t="s">
        <v>405</v>
      </c>
      <c r="D38" s="124" t="s">
        <v>25</v>
      </c>
      <c r="E38" s="125">
        <v>134000</v>
      </c>
      <c r="F38" s="126">
        <v>3616.4589999999998</v>
      </c>
      <c r="G38" s="127">
        <v>9.8661200000000008E-3</v>
      </c>
      <c r="H38" s="122" t="s">
        <v>153</v>
      </c>
      <c r="J38" s="33"/>
    </row>
    <row r="39" spans="1:10" x14ac:dyDescent="0.2">
      <c r="A39" s="123">
        <v>33</v>
      </c>
      <c r="B39" s="124" t="s">
        <v>244</v>
      </c>
      <c r="C39" s="124" t="s">
        <v>245</v>
      </c>
      <c r="D39" s="124" t="s">
        <v>198</v>
      </c>
      <c r="E39" s="125">
        <v>47000</v>
      </c>
      <c r="F39" s="126">
        <v>3609.0360000000001</v>
      </c>
      <c r="G39" s="127">
        <v>9.8458699999999996E-3</v>
      </c>
      <c r="H39" s="122" t="s">
        <v>153</v>
      </c>
      <c r="J39" s="33"/>
    </row>
    <row r="40" spans="1:10" x14ac:dyDescent="0.2">
      <c r="A40" s="123">
        <v>34</v>
      </c>
      <c r="B40" s="124" t="s">
        <v>544</v>
      </c>
      <c r="C40" s="124" t="s">
        <v>545</v>
      </c>
      <c r="D40" s="124" t="s">
        <v>264</v>
      </c>
      <c r="E40" s="125">
        <v>237000</v>
      </c>
      <c r="F40" s="126">
        <v>3494.2094999999999</v>
      </c>
      <c r="G40" s="127">
        <v>9.5326100000000004E-3</v>
      </c>
      <c r="H40" s="122" t="s">
        <v>153</v>
      </c>
      <c r="J40" s="33"/>
    </row>
    <row r="41" spans="1:10" x14ac:dyDescent="0.2">
      <c r="A41" s="123">
        <v>35</v>
      </c>
      <c r="B41" s="124" t="s">
        <v>394</v>
      </c>
      <c r="C41" s="124" t="s">
        <v>395</v>
      </c>
      <c r="D41" s="124" t="s">
        <v>45</v>
      </c>
      <c r="E41" s="125">
        <v>95000</v>
      </c>
      <c r="F41" s="126">
        <v>3386.8924999999999</v>
      </c>
      <c r="G41" s="127">
        <v>9.2398399999999992E-3</v>
      </c>
      <c r="H41" s="122" t="s">
        <v>153</v>
      </c>
      <c r="J41" s="33"/>
    </row>
    <row r="42" spans="1:10" x14ac:dyDescent="0.2">
      <c r="A42" s="123">
        <v>36</v>
      </c>
      <c r="B42" s="124" t="s">
        <v>307</v>
      </c>
      <c r="C42" s="124" t="s">
        <v>308</v>
      </c>
      <c r="D42" s="124" t="s">
        <v>74</v>
      </c>
      <c r="E42" s="125">
        <v>493000</v>
      </c>
      <c r="F42" s="126">
        <v>3368.9155000000001</v>
      </c>
      <c r="G42" s="127">
        <v>9.1908000000000007E-3</v>
      </c>
      <c r="H42" s="122" t="s">
        <v>153</v>
      </c>
      <c r="J42" s="33"/>
    </row>
    <row r="43" spans="1:10" x14ac:dyDescent="0.2">
      <c r="A43" s="123">
        <v>37</v>
      </c>
      <c r="B43" s="124" t="s">
        <v>680</v>
      </c>
      <c r="C43" s="124" t="s">
        <v>681</v>
      </c>
      <c r="D43" s="124" t="s">
        <v>38</v>
      </c>
      <c r="E43" s="125">
        <v>437000</v>
      </c>
      <c r="F43" s="126">
        <v>3238.17</v>
      </c>
      <c r="G43" s="127">
        <v>8.8341099999999992E-3</v>
      </c>
      <c r="H43" s="122" t="s">
        <v>153</v>
      </c>
      <c r="J43" s="33"/>
    </row>
    <row r="44" spans="1:10" x14ac:dyDescent="0.2">
      <c r="A44" s="123">
        <v>38</v>
      </c>
      <c r="B44" s="124" t="s">
        <v>722</v>
      </c>
      <c r="C44" s="124" t="s">
        <v>723</v>
      </c>
      <c r="D44" s="124" t="s">
        <v>198</v>
      </c>
      <c r="E44" s="125">
        <v>56000</v>
      </c>
      <c r="F44" s="126">
        <v>2759.3719999999998</v>
      </c>
      <c r="G44" s="127">
        <v>7.5278899999999998E-3</v>
      </c>
      <c r="H44" s="122" t="s">
        <v>153</v>
      </c>
      <c r="J44" s="33"/>
    </row>
    <row r="45" spans="1:10" x14ac:dyDescent="0.2">
      <c r="A45" s="123">
        <v>39</v>
      </c>
      <c r="B45" s="124" t="s">
        <v>465</v>
      </c>
      <c r="C45" s="124" t="s">
        <v>466</v>
      </c>
      <c r="D45" s="124" t="s">
        <v>255</v>
      </c>
      <c r="E45" s="125">
        <v>143000</v>
      </c>
      <c r="F45" s="126">
        <v>2645.9290000000001</v>
      </c>
      <c r="G45" s="127">
        <v>7.2183999999999998E-3</v>
      </c>
      <c r="H45" s="122" t="s">
        <v>153</v>
      </c>
      <c r="J45" s="33"/>
    </row>
    <row r="46" spans="1:10" x14ac:dyDescent="0.2">
      <c r="A46" s="123">
        <v>40</v>
      </c>
      <c r="B46" s="124" t="s">
        <v>358</v>
      </c>
      <c r="C46" s="124" t="s">
        <v>359</v>
      </c>
      <c r="D46" s="124" t="s">
        <v>360</v>
      </c>
      <c r="E46" s="125">
        <v>352868</v>
      </c>
      <c r="F46" s="126">
        <v>2474.8397180000002</v>
      </c>
      <c r="G46" s="127">
        <v>6.7516499999999997E-3</v>
      </c>
      <c r="H46" s="122" t="s">
        <v>153</v>
      </c>
      <c r="J46" s="33"/>
    </row>
    <row r="47" spans="1:10" x14ac:dyDescent="0.2">
      <c r="A47" s="123">
        <v>41</v>
      </c>
      <c r="B47" s="124" t="s">
        <v>725</v>
      </c>
      <c r="C47" s="124" t="s">
        <v>726</v>
      </c>
      <c r="D47" s="124" t="s">
        <v>45</v>
      </c>
      <c r="E47" s="125">
        <v>127000</v>
      </c>
      <c r="F47" s="126">
        <v>2412.1745000000001</v>
      </c>
      <c r="G47" s="127">
        <v>6.5806900000000002E-3</v>
      </c>
      <c r="H47" s="122" t="s">
        <v>153</v>
      </c>
      <c r="J47" s="33"/>
    </row>
    <row r="48" spans="1:10" x14ac:dyDescent="0.2">
      <c r="A48" s="123">
        <v>42</v>
      </c>
      <c r="B48" s="124" t="s">
        <v>684</v>
      </c>
      <c r="C48" s="124" t="s">
        <v>685</v>
      </c>
      <c r="D48" s="124" t="s">
        <v>278</v>
      </c>
      <c r="E48" s="125">
        <v>38000</v>
      </c>
      <c r="F48" s="126">
        <v>2224.9949999999999</v>
      </c>
      <c r="G48" s="127">
        <v>6.0700499999999996E-3</v>
      </c>
      <c r="H48" s="122" t="s">
        <v>153</v>
      </c>
      <c r="J48" s="33"/>
    </row>
    <row r="49" spans="1:10" x14ac:dyDescent="0.2">
      <c r="A49" s="123">
        <v>43</v>
      </c>
      <c r="B49" s="124" t="s">
        <v>64</v>
      </c>
      <c r="C49" s="124" t="s">
        <v>65</v>
      </c>
      <c r="D49" s="124" t="s">
        <v>66</v>
      </c>
      <c r="E49" s="125">
        <v>927000</v>
      </c>
      <c r="F49" s="126">
        <v>2203.3863000000001</v>
      </c>
      <c r="G49" s="127">
        <v>6.0111000000000001E-3</v>
      </c>
      <c r="H49" s="122" t="s">
        <v>153</v>
      </c>
      <c r="J49" s="33"/>
    </row>
    <row r="50" spans="1:10" x14ac:dyDescent="0.2">
      <c r="A50" s="123">
        <v>44</v>
      </c>
      <c r="B50" s="124" t="s">
        <v>95</v>
      </c>
      <c r="C50" s="124" t="s">
        <v>96</v>
      </c>
      <c r="D50" s="124" t="s">
        <v>89</v>
      </c>
      <c r="E50" s="125">
        <v>355000</v>
      </c>
      <c r="F50" s="126">
        <v>2200.1125000000002</v>
      </c>
      <c r="G50" s="127">
        <v>6.0021600000000003E-3</v>
      </c>
      <c r="H50" s="122" t="s">
        <v>153</v>
      </c>
      <c r="J50" s="33"/>
    </row>
    <row r="51" spans="1:10" ht="25.5" x14ac:dyDescent="0.2">
      <c r="A51" s="123">
        <v>45</v>
      </c>
      <c r="B51" s="124" t="s">
        <v>698</v>
      </c>
      <c r="C51" s="124" t="s">
        <v>699</v>
      </c>
      <c r="D51" s="124" t="s">
        <v>208</v>
      </c>
      <c r="E51" s="125">
        <v>83000</v>
      </c>
      <c r="F51" s="126">
        <v>2064.8325</v>
      </c>
      <c r="G51" s="127">
        <v>5.6331100000000002E-3</v>
      </c>
      <c r="H51" s="122" t="s">
        <v>153</v>
      </c>
      <c r="J51" s="33"/>
    </row>
    <row r="52" spans="1:10" x14ac:dyDescent="0.2">
      <c r="A52" s="123">
        <v>46</v>
      </c>
      <c r="B52" s="124" t="s">
        <v>87</v>
      </c>
      <c r="C52" s="124" t="s">
        <v>88</v>
      </c>
      <c r="D52" s="124" t="s">
        <v>89</v>
      </c>
      <c r="E52" s="125">
        <v>370000</v>
      </c>
      <c r="F52" s="126">
        <v>2033.335</v>
      </c>
      <c r="G52" s="127">
        <v>5.5471799999999996E-3</v>
      </c>
      <c r="H52" s="122" t="s">
        <v>153</v>
      </c>
      <c r="J52" s="33"/>
    </row>
    <row r="53" spans="1:10" x14ac:dyDescent="0.2">
      <c r="A53" s="123">
        <v>47</v>
      </c>
      <c r="B53" s="124" t="s">
        <v>232</v>
      </c>
      <c r="C53" s="124" t="s">
        <v>233</v>
      </c>
      <c r="D53" s="124" t="s">
        <v>22</v>
      </c>
      <c r="E53" s="125">
        <v>465000</v>
      </c>
      <c r="F53" s="126">
        <v>1948.5825</v>
      </c>
      <c r="G53" s="127">
        <v>5.3159599999999998E-3</v>
      </c>
      <c r="H53" s="122" t="s">
        <v>153</v>
      </c>
      <c r="J53" s="33"/>
    </row>
    <row r="54" spans="1:10" x14ac:dyDescent="0.2">
      <c r="A54" s="123">
        <v>48</v>
      </c>
      <c r="B54" s="124" t="s">
        <v>26</v>
      </c>
      <c r="C54" s="124" t="s">
        <v>27</v>
      </c>
      <c r="D54" s="124" t="s">
        <v>19</v>
      </c>
      <c r="E54" s="125">
        <v>540000</v>
      </c>
      <c r="F54" s="126">
        <v>1821.96</v>
      </c>
      <c r="G54" s="127">
        <v>4.97052E-3</v>
      </c>
      <c r="H54" s="122" t="s">
        <v>153</v>
      </c>
      <c r="J54" s="33"/>
    </row>
    <row r="55" spans="1:10" x14ac:dyDescent="0.2">
      <c r="A55" s="123">
        <v>49</v>
      </c>
      <c r="B55" s="124" t="s">
        <v>132</v>
      </c>
      <c r="C55" s="124" t="s">
        <v>133</v>
      </c>
      <c r="D55" s="124" t="s">
        <v>53</v>
      </c>
      <c r="E55" s="125">
        <v>18000</v>
      </c>
      <c r="F55" s="126">
        <v>1428.489</v>
      </c>
      <c r="G55" s="127">
        <v>3.8970900000000002E-3</v>
      </c>
      <c r="H55" s="122" t="s">
        <v>153</v>
      </c>
      <c r="J55" s="33"/>
    </row>
    <row r="56" spans="1:10" ht="25.5" x14ac:dyDescent="0.2">
      <c r="A56" s="123">
        <v>50</v>
      </c>
      <c r="B56" s="124" t="s">
        <v>370</v>
      </c>
      <c r="C56" s="124" t="s">
        <v>371</v>
      </c>
      <c r="D56" s="124" t="s">
        <v>208</v>
      </c>
      <c r="E56" s="125">
        <v>91000</v>
      </c>
      <c r="F56" s="126">
        <v>1428.154</v>
      </c>
      <c r="G56" s="127">
        <v>3.89617E-3</v>
      </c>
      <c r="H56" s="122" t="s">
        <v>153</v>
      </c>
      <c r="J56" s="33"/>
    </row>
    <row r="57" spans="1:10" x14ac:dyDescent="0.2">
      <c r="A57" s="123">
        <v>51</v>
      </c>
      <c r="B57" s="124" t="s">
        <v>753</v>
      </c>
      <c r="C57" s="124" t="s">
        <v>754</v>
      </c>
      <c r="D57" s="124" t="s">
        <v>216</v>
      </c>
      <c r="E57" s="125">
        <v>19000</v>
      </c>
      <c r="F57" s="126">
        <v>1316.2249999999999</v>
      </c>
      <c r="G57" s="127">
        <v>3.5908200000000002E-3</v>
      </c>
      <c r="H57" s="122" t="s">
        <v>153</v>
      </c>
      <c r="J57" s="33"/>
    </row>
    <row r="58" spans="1:10" x14ac:dyDescent="0.2">
      <c r="A58" s="123">
        <v>52</v>
      </c>
      <c r="B58" s="124" t="s">
        <v>383</v>
      </c>
      <c r="C58" s="124" t="s">
        <v>384</v>
      </c>
      <c r="D58" s="124" t="s">
        <v>136</v>
      </c>
      <c r="E58" s="125">
        <v>800000</v>
      </c>
      <c r="F58" s="126">
        <v>1222.08</v>
      </c>
      <c r="G58" s="127">
        <v>3.3339799999999998E-3</v>
      </c>
      <c r="H58" s="122" t="s">
        <v>153</v>
      </c>
      <c r="J58" s="33"/>
    </row>
    <row r="59" spans="1:10" ht="25.5" x14ac:dyDescent="0.2">
      <c r="A59" s="123">
        <v>53</v>
      </c>
      <c r="B59" s="124" t="s">
        <v>817</v>
      </c>
      <c r="C59" s="124" t="s">
        <v>818</v>
      </c>
      <c r="D59" s="124" t="s">
        <v>504</v>
      </c>
      <c r="E59" s="125">
        <v>6000</v>
      </c>
      <c r="F59" s="126">
        <v>990.97500000000002</v>
      </c>
      <c r="G59" s="127">
        <v>2.7035000000000002E-3</v>
      </c>
      <c r="H59" s="122" t="s">
        <v>153</v>
      </c>
      <c r="J59" s="33"/>
    </row>
    <row r="60" spans="1:10" x14ac:dyDescent="0.2">
      <c r="A60" s="123">
        <v>54</v>
      </c>
      <c r="B60" s="124" t="s">
        <v>702</v>
      </c>
      <c r="C60" s="124" t="s">
        <v>703</v>
      </c>
      <c r="D60" s="124" t="s">
        <v>255</v>
      </c>
      <c r="E60" s="125">
        <v>110000</v>
      </c>
      <c r="F60" s="126">
        <v>812.57</v>
      </c>
      <c r="G60" s="127">
        <v>2.2167900000000002E-3</v>
      </c>
      <c r="H60" s="122" t="s">
        <v>153</v>
      </c>
      <c r="J60" s="33"/>
    </row>
    <row r="61" spans="1:10" x14ac:dyDescent="0.2">
      <c r="A61" s="123">
        <v>55</v>
      </c>
      <c r="B61" s="124" t="s">
        <v>381</v>
      </c>
      <c r="C61" s="124" t="s">
        <v>382</v>
      </c>
      <c r="D61" s="124" t="s">
        <v>32</v>
      </c>
      <c r="E61" s="125">
        <v>16000</v>
      </c>
      <c r="F61" s="126">
        <v>748.79200000000003</v>
      </c>
      <c r="G61" s="127">
        <v>2.0427900000000001E-3</v>
      </c>
      <c r="H61" s="122" t="s">
        <v>153</v>
      </c>
      <c r="J61" s="33"/>
    </row>
    <row r="62" spans="1:10" ht="25.5" x14ac:dyDescent="0.2">
      <c r="A62" s="123">
        <v>56</v>
      </c>
      <c r="B62" s="124" t="s">
        <v>305</v>
      </c>
      <c r="C62" s="124" t="s">
        <v>306</v>
      </c>
      <c r="D62" s="124" t="s">
        <v>25</v>
      </c>
      <c r="E62" s="125">
        <v>31690</v>
      </c>
      <c r="F62" s="126">
        <v>599.27374499999996</v>
      </c>
      <c r="G62" s="127">
        <v>1.63489E-3</v>
      </c>
      <c r="H62" s="122" t="s">
        <v>153</v>
      </c>
      <c r="J62" s="33"/>
    </row>
    <row r="63" spans="1:10" x14ac:dyDescent="0.2">
      <c r="A63" s="120"/>
      <c r="B63" s="120"/>
      <c r="C63" s="121" t="s">
        <v>152</v>
      </c>
      <c r="D63" s="120"/>
      <c r="E63" s="120" t="s">
        <v>153</v>
      </c>
      <c r="F63" s="128">
        <v>365646.64142350003</v>
      </c>
      <c r="G63" s="129">
        <v>0.99752684000000003</v>
      </c>
      <c r="H63" s="122" t="s">
        <v>153</v>
      </c>
      <c r="J63" s="33"/>
    </row>
    <row r="64" spans="1:10" x14ac:dyDescent="0.2">
      <c r="A64" s="120"/>
      <c r="B64" s="120"/>
      <c r="C64" s="130"/>
      <c r="D64" s="120"/>
      <c r="E64" s="120"/>
      <c r="F64" s="131"/>
      <c r="G64" s="131"/>
      <c r="H64" s="122" t="s">
        <v>153</v>
      </c>
      <c r="J64" s="33"/>
    </row>
    <row r="65" spans="1:10" x14ac:dyDescent="0.2">
      <c r="A65" s="120"/>
      <c r="B65" s="120"/>
      <c r="C65" s="121" t="s">
        <v>154</v>
      </c>
      <c r="D65" s="120"/>
      <c r="E65" s="120"/>
      <c r="F65" s="120"/>
      <c r="G65" s="120"/>
      <c r="H65" s="122" t="s">
        <v>153</v>
      </c>
      <c r="J65" s="33"/>
    </row>
    <row r="66" spans="1:10" x14ac:dyDescent="0.2">
      <c r="A66" s="120"/>
      <c r="B66" s="120"/>
      <c r="C66" s="121" t="s">
        <v>152</v>
      </c>
      <c r="D66" s="120"/>
      <c r="E66" s="120" t="s">
        <v>153</v>
      </c>
      <c r="F66" s="132" t="s">
        <v>155</v>
      </c>
      <c r="G66" s="129">
        <v>0</v>
      </c>
      <c r="H66" s="122" t="s">
        <v>153</v>
      </c>
      <c r="J66" s="33"/>
    </row>
    <row r="67" spans="1:10" x14ac:dyDescent="0.2">
      <c r="A67" s="120"/>
      <c r="B67" s="120"/>
      <c r="C67" s="130"/>
      <c r="D67" s="120"/>
      <c r="E67" s="120"/>
      <c r="F67" s="131"/>
      <c r="G67" s="131"/>
      <c r="H67" s="122" t="s">
        <v>153</v>
      </c>
      <c r="J67" s="33"/>
    </row>
    <row r="68" spans="1:10" x14ac:dyDescent="0.2">
      <c r="A68" s="120"/>
      <c r="B68" s="120"/>
      <c r="C68" s="121" t="s">
        <v>156</v>
      </c>
      <c r="D68" s="120"/>
      <c r="E68" s="120"/>
      <c r="F68" s="120"/>
      <c r="G68" s="120"/>
      <c r="H68" s="122" t="s">
        <v>153</v>
      </c>
      <c r="J68" s="33"/>
    </row>
    <row r="69" spans="1:10" x14ac:dyDescent="0.2">
      <c r="A69" s="120"/>
      <c r="B69" s="120"/>
      <c r="C69" s="121" t="s">
        <v>152</v>
      </c>
      <c r="D69" s="120"/>
      <c r="E69" s="120" t="s">
        <v>153</v>
      </c>
      <c r="F69" s="132" t="s">
        <v>155</v>
      </c>
      <c r="G69" s="129">
        <v>0</v>
      </c>
      <c r="H69" s="122" t="s">
        <v>153</v>
      </c>
      <c r="J69" s="33"/>
    </row>
    <row r="70" spans="1:10" x14ac:dyDescent="0.2">
      <c r="A70" s="120"/>
      <c r="B70" s="120"/>
      <c r="C70" s="130"/>
      <c r="D70" s="120"/>
      <c r="E70" s="120"/>
      <c r="F70" s="131"/>
      <c r="G70" s="131"/>
      <c r="H70" s="122" t="s">
        <v>153</v>
      </c>
      <c r="J70" s="33"/>
    </row>
    <row r="71" spans="1:10" x14ac:dyDescent="0.2">
      <c r="A71" s="120"/>
      <c r="B71" s="120"/>
      <c r="C71" s="121" t="s">
        <v>157</v>
      </c>
      <c r="D71" s="120"/>
      <c r="E71" s="120"/>
      <c r="F71" s="120"/>
      <c r="G71" s="120"/>
      <c r="H71" s="122" t="s">
        <v>153</v>
      </c>
      <c r="J71" s="33"/>
    </row>
    <row r="72" spans="1:10" x14ac:dyDescent="0.2">
      <c r="A72" s="120"/>
      <c r="B72" s="120"/>
      <c r="C72" s="121" t="s">
        <v>152</v>
      </c>
      <c r="D72" s="120"/>
      <c r="E72" s="120" t="s">
        <v>153</v>
      </c>
      <c r="F72" s="132" t="s">
        <v>155</v>
      </c>
      <c r="G72" s="129">
        <v>0</v>
      </c>
      <c r="H72" s="122" t="s">
        <v>153</v>
      </c>
      <c r="J72" s="33"/>
    </row>
    <row r="73" spans="1:10" x14ac:dyDescent="0.2">
      <c r="A73" s="120"/>
      <c r="B73" s="120"/>
      <c r="C73" s="130"/>
      <c r="D73" s="120"/>
      <c r="E73" s="120"/>
      <c r="F73" s="131"/>
      <c r="G73" s="131"/>
      <c r="H73" s="122" t="s">
        <v>153</v>
      </c>
      <c r="J73" s="33"/>
    </row>
    <row r="74" spans="1:10" x14ac:dyDescent="0.2">
      <c r="A74" s="120"/>
      <c r="B74" s="120"/>
      <c r="C74" s="121" t="s">
        <v>158</v>
      </c>
      <c r="D74" s="120"/>
      <c r="E74" s="120"/>
      <c r="F74" s="131"/>
      <c r="G74" s="131"/>
      <c r="H74" s="122" t="s">
        <v>153</v>
      </c>
      <c r="J74" s="33"/>
    </row>
    <row r="75" spans="1:10" x14ac:dyDescent="0.2">
      <c r="A75" s="120"/>
      <c r="B75" s="120"/>
      <c r="C75" s="121" t="s">
        <v>152</v>
      </c>
      <c r="D75" s="120"/>
      <c r="E75" s="120" t="s">
        <v>153</v>
      </c>
      <c r="F75" s="132" t="s">
        <v>155</v>
      </c>
      <c r="G75" s="129">
        <v>0</v>
      </c>
      <c r="H75" s="122" t="s">
        <v>153</v>
      </c>
      <c r="J75" s="33"/>
    </row>
    <row r="76" spans="1:10" x14ac:dyDescent="0.2">
      <c r="A76" s="120"/>
      <c r="B76" s="120"/>
      <c r="C76" s="130"/>
      <c r="D76" s="120"/>
      <c r="E76" s="120"/>
      <c r="F76" s="131"/>
      <c r="G76" s="131"/>
      <c r="H76" s="122" t="s">
        <v>153</v>
      </c>
      <c r="J76" s="33"/>
    </row>
    <row r="77" spans="1:10" x14ac:dyDescent="0.2">
      <c r="A77" s="120"/>
      <c r="B77" s="120"/>
      <c r="C77" s="121" t="s">
        <v>159</v>
      </c>
      <c r="D77" s="120"/>
      <c r="E77" s="120"/>
      <c r="F77" s="131"/>
      <c r="G77" s="131"/>
      <c r="H77" s="122" t="s">
        <v>153</v>
      </c>
      <c r="J77" s="33"/>
    </row>
    <row r="78" spans="1:10" x14ac:dyDescent="0.2">
      <c r="A78" s="120"/>
      <c r="B78" s="120"/>
      <c r="C78" s="121" t="s">
        <v>152</v>
      </c>
      <c r="D78" s="120"/>
      <c r="E78" s="120" t="s">
        <v>153</v>
      </c>
      <c r="F78" s="132" t="s">
        <v>155</v>
      </c>
      <c r="G78" s="129">
        <v>0</v>
      </c>
      <c r="H78" s="122" t="s">
        <v>153</v>
      </c>
      <c r="J78" s="33"/>
    </row>
    <row r="79" spans="1:10" x14ac:dyDescent="0.2">
      <c r="A79" s="120"/>
      <c r="B79" s="120"/>
      <c r="C79" s="130"/>
      <c r="D79" s="120"/>
      <c r="E79" s="120"/>
      <c r="F79" s="131"/>
      <c r="G79" s="131"/>
      <c r="H79" s="122" t="s">
        <v>153</v>
      </c>
      <c r="J79" s="33"/>
    </row>
    <row r="80" spans="1:10" x14ac:dyDescent="0.2">
      <c r="A80" s="120"/>
      <c r="B80" s="120"/>
      <c r="C80" s="121" t="s">
        <v>160</v>
      </c>
      <c r="D80" s="120"/>
      <c r="E80" s="120"/>
      <c r="F80" s="128">
        <v>365646.64142350003</v>
      </c>
      <c r="G80" s="129">
        <v>0.99752684000000003</v>
      </c>
      <c r="H80" s="122" t="s">
        <v>153</v>
      </c>
      <c r="J80" s="33"/>
    </row>
    <row r="81" spans="1:10" x14ac:dyDescent="0.2">
      <c r="A81" s="120"/>
      <c r="B81" s="120"/>
      <c r="C81" s="130"/>
      <c r="D81" s="120"/>
      <c r="E81" s="120"/>
      <c r="F81" s="131"/>
      <c r="G81" s="131"/>
      <c r="H81" s="122" t="s">
        <v>153</v>
      </c>
      <c r="J81" s="33"/>
    </row>
    <row r="82" spans="1:10" x14ac:dyDescent="0.2">
      <c r="A82" s="120"/>
      <c r="B82" s="120"/>
      <c r="C82" s="121" t="s">
        <v>161</v>
      </c>
      <c r="D82" s="120"/>
      <c r="E82" s="120"/>
      <c r="F82" s="131"/>
      <c r="G82" s="131"/>
      <c r="H82" s="122" t="s">
        <v>153</v>
      </c>
      <c r="J82" s="33"/>
    </row>
    <row r="83" spans="1:10" ht="25.5" x14ac:dyDescent="0.2">
      <c r="A83" s="120"/>
      <c r="B83" s="120"/>
      <c r="C83" s="121" t="s">
        <v>10</v>
      </c>
      <c r="D83" s="120"/>
      <c r="E83" s="120"/>
      <c r="F83" s="131"/>
      <c r="G83" s="131"/>
      <c r="H83" s="122" t="s">
        <v>153</v>
      </c>
      <c r="J83" s="33"/>
    </row>
    <row r="84" spans="1:10" x14ac:dyDescent="0.2">
      <c r="A84" s="120"/>
      <c r="B84" s="120"/>
      <c r="C84" s="121" t="s">
        <v>152</v>
      </c>
      <c r="D84" s="120"/>
      <c r="E84" s="120" t="s">
        <v>153</v>
      </c>
      <c r="F84" s="132" t="s">
        <v>155</v>
      </c>
      <c r="G84" s="129">
        <v>0</v>
      </c>
      <c r="H84" s="122" t="s">
        <v>153</v>
      </c>
      <c r="J84" s="33"/>
    </row>
    <row r="85" spans="1:10" x14ac:dyDescent="0.2">
      <c r="A85" s="120"/>
      <c r="B85" s="120"/>
      <c r="C85" s="130"/>
      <c r="D85" s="120"/>
      <c r="E85" s="120"/>
      <c r="F85" s="131"/>
      <c r="G85" s="131"/>
      <c r="H85" s="122" t="s">
        <v>153</v>
      </c>
      <c r="J85" s="33"/>
    </row>
    <row r="86" spans="1:10" x14ac:dyDescent="0.2">
      <c r="A86" s="120"/>
      <c r="B86" s="120"/>
      <c r="C86" s="121" t="s">
        <v>162</v>
      </c>
      <c r="D86" s="120"/>
      <c r="E86" s="120"/>
      <c r="F86" s="120"/>
      <c r="G86" s="120"/>
      <c r="H86" s="122" t="s">
        <v>153</v>
      </c>
      <c r="J86" s="33"/>
    </row>
    <row r="87" spans="1:10" x14ac:dyDescent="0.2">
      <c r="A87" s="120"/>
      <c r="B87" s="120"/>
      <c r="C87" s="121" t="s">
        <v>152</v>
      </c>
      <c r="D87" s="120"/>
      <c r="E87" s="120" t="s">
        <v>153</v>
      </c>
      <c r="F87" s="132" t="s">
        <v>155</v>
      </c>
      <c r="G87" s="129">
        <v>0</v>
      </c>
      <c r="H87" s="122" t="s">
        <v>153</v>
      </c>
      <c r="J87" s="33"/>
    </row>
    <row r="88" spans="1:10" x14ac:dyDescent="0.2">
      <c r="A88" s="120"/>
      <c r="B88" s="120"/>
      <c r="C88" s="130"/>
      <c r="D88" s="120"/>
      <c r="E88" s="120"/>
      <c r="F88" s="131"/>
      <c r="G88" s="131"/>
      <c r="H88" s="122" t="s">
        <v>153</v>
      </c>
      <c r="J88" s="33"/>
    </row>
    <row r="89" spans="1:10" x14ac:dyDescent="0.2">
      <c r="A89" s="120"/>
      <c r="B89" s="120"/>
      <c r="C89" s="121" t="s">
        <v>163</v>
      </c>
      <c r="D89" s="120"/>
      <c r="E89" s="120"/>
      <c r="F89" s="120"/>
      <c r="G89" s="120"/>
      <c r="H89" s="122" t="s">
        <v>153</v>
      </c>
      <c r="J89" s="33"/>
    </row>
    <row r="90" spans="1:10" x14ac:dyDescent="0.2">
      <c r="A90" s="120"/>
      <c r="B90" s="120"/>
      <c r="C90" s="121" t="s">
        <v>152</v>
      </c>
      <c r="D90" s="120"/>
      <c r="E90" s="120" t="s">
        <v>153</v>
      </c>
      <c r="F90" s="132" t="s">
        <v>155</v>
      </c>
      <c r="G90" s="129">
        <v>0</v>
      </c>
      <c r="H90" s="122" t="s">
        <v>153</v>
      </c>
      <c r="J90" s="33"/>
    </row>
    <row r="91" spans="1:10" x14ac:dyDescent="0.2">
      <c r="A91" s="120"/>
      <c r="B91" s="120"/>
      <c r="C91" s="130"/>
      <c r="D91" s="120"/>
      <c r="E91" s="120"/>
      <c r="F91" s="131"/>
      <c r="G91" s="131"/>
      <c r="H91" s="122" t="s">
        <v>153</v>
      </c>
      <c r="J91" s="33"/>
    </row>
    <row r="92" spans="1:10" x14ac:dyDescent="0.2">
      <c r="A92" s="120"/>
      <c r="B92" s="120"/>
      <c r="C92" s="121" t="s">
        <v>164</v>
      </c>
      <c r="D92" s="120"/>
      <c r="E92" s="120"/>
      <c r="F92" s="131"/>
      <c r="G92" s="131"/>
      <c r="H92" s="122" t="s">
        <v>153</v>
      </c>
      <c r="J92" s="33"/>
    </row>
    <row r="93" spans="1:10" x14ac:dyDescent="0.2">
      <c r="A93" s="120"/>
      <c r="B93" s="120"/>
      <c r="C93" s="121" t="s">
        <v>152</v>
      </c>
      <c r="D93" s="120"/>
      <c r="E93" s="120" t="s">
        <v>153</v>
      </c>
      <c r="F93" s="132" t="s">
        <v>155</v>
      </c>
      <c r="G93" s="129">
        <v>0</v>
      </c>
      <c r="H93" s="122" t="s">
        <v>153</v>
      </c>
      <c r="J93" s="33"/>
    </row>
    <row r="94" spans="1:10" x14ac:dyDescent="0.2">
      <c r="A94" s="120"/>
      <c r="B94" s="120"/>
      <c r="C94" s="130"/>
      <c r="D94" s="120"/>
      <c r="E94" s="120"/>
      <c r="F94" s="131"/>
      <c r="G94" s="131"/>
      <c r="H94" s="122" t="s">
        <v>153</v>
      </c>
      <c r="J94" s="33"/>
    </row>
    <row r="95" spans="1:10" x14ac:dyDescent="0.2">
      <c r="A95" s="120"/>
      <c r="B95" s="120"/>
      <c r="C95" s="121" t="s">
        <v>165</v>
      </c>
      <c r="D95" s="120"/>
      <c r="E95" s="120"/>
      <c r="F95" s="128">
        <v>0</v>
      </c>
      <c r="G95" s="129">
        <v>0</v>
      </c>
      <c r="H95" s="122" t="s">
        <v>153</v>
      </c>
      <c r="J95" s="33"/>
    </row>
    <row r="96" spans="1:10" x14ac:dyDescent="0.2">
      <c r="A96" s="120"/>
      <c r="B96" s="120"/>
      <c r="C96" s="130"/>
      <c r="D96" s="120"/>
      <c r="E96" s="120"/>
      <c r="F96" s="131"/>
      <c r="G96" s="131"/>
      <c r="H96" s="122" t="s">
        <v>153</v>
      </c>
      <c r="J96" s="33"/>
    </row>
    <row r="97" spans="1:10" x14ac:dyDescent="0.2">
      <c r="A97" s="120"/>
      <c r="B97" s="120"/>
      <c r="C97" s="121" t="s">
        <v>166</v>
      </c>
      <c r="D97" s="120"/>
      <c r="E97" s="120"/>
      <c r="F97" s="131"/>
      <c r="G97" s="131"/>
      <c r="H97" s="122" t="s">
        <v>153</v>
      </c>
      <c r="J97" s="33"/>
    </row>
    <row r="98" spans="1:10" x14ac:dyDescent="0.2">
      <c r="A98" s="120"/>
      <c r="B98" s="120"/>
      <c r="C98" s="121" t="s">
        <v>167</v>
      </c>
      <c r="D98" s="120"/>
      <c r="E98" s="120"/>
      <c r="F98" s="131"/>
      <c r="G98" s="131"/>
      <c r="H98" s="122" t="s">
        <v>153</v>
      </c>
      <c r="J98" s="33"/>
    </row>
    <row r="99" spans="1:10" x14ac:dyDescent="0.2">
      <c r="A99" s="120"/>
      <c r="B99" s="120"/>
      <c r="C99" s="121" t="s">
        <v>152</v>
      </c>
      <c r="D99" s="120"/>
      <c r="E99" s="120" t="s">
        <v>153</v>
      </c>
      <c r="F99" s="132" t="s">
        <v>155</v>
      </c>
      <c r="G99" s="129">
        <v>0</v>
      </c>
      <c r="H99" s="122" t="s">
        <v>153</v>
      </c>
      <c r="J99" s="33"/>
    </row>
    <row r="100" spans="1:10" x14ac:dyDescent="0.2">
      <c r="A100" s="120"/>
      <c r="B100" s="120"/>
      <c r="C100" s="130"/>
      <c r="D100" s="120"/>
      <c r="E100" s="120"/>
      <c r="F100" s="131"/>
      <c r="G100" s="131"/>
      <c r="H100" s="122" t="s">
        <v>153</v>
      </c>
      <c r="J100" s="33"/>
    </row>
    <row r="101" spans="1:10" x14ac:dyDescent="0.2">
      <c r="A101" s="120"/>
      <c r="B101" s="120"/>
      <c r="C101" s="121" t="s">
        <v>168</v>
      </c>
      <c r="D101" s="120"/>
      <c r="E101" s="120"/>
      <c r="F101" s="131"/>
      <c r="G101" s="131"/>
      <c r="H101" s="122" t="s">
        <v>153</v>
      </c>
      <c r="J101" s="33"/>
    </row>
    <row r="102" spans="1:10" x14ac:dyDescent="0.2">
      <c r="A102" s="120"/>
      <c r="B102" s="120"/>
      <c r="C102" s="121" t="s">
        <v>152</v>
      </c>
      <c r="D102" s="120"/>
      <c r="E102" s="120" t="s">
        <v>153</v>
      </c>
      <c r="F102" s="132" t="s">
        <v>155</v>
      </c>
      <c r="G102" s="129">
        <v>0</v>
      </c>
      <c r="H102" s="122" t="s">
        <v>153</v>
      </c>
      <c r="J102" s="33"/>
    </row>
    <row r="103" spans="1:10" x14ac:dyDescent="0.2">
      <c r="A103" s="120"/>
      <c r="B103" s="120"/>
      <c r="C103" s="130"/>
      <c r="D103" s="120"/>
      <c r="E103" s="120"/>
      <c r="F103" s="131"/>
      <c r="G103" s="131"/>
      <c r="H103" s="122" t="s">
        <v>153</v>
      </c>
      <c r="J103" s="33"/>
    </row>
    <row r="104" spans="1:10" x14ac:dyDescent="0.2">
      <c r="A104" s="120"/>
      <c r="B104" s="120"/>
      <c r="C104" s="121" t="s">
        <v>169</v>
      </c>
      <c r="D104" s="120"/>
      <c r="E104" s="120"/>
      <c r="F104" s="131"/>
      <c r="G104" s="131"/>
      <c r="H104" s="122" t="s">
        <v>153</v>
      </c>
      <c r="J104" s="33"/>
    </row>
    <row r="105" spans="1:10" x14ac:dyDescent="0.2">
      <c r="A105" s="120"/>
      <c r="B105" s="120"/>
      <c r="C105" s="121" t="s">
        <v>152</v>
      </c>
      <c r="D105" s="120"/>
      <c r="E105" s="120" t="s">
        <v>153</v>
      </c>
      <c r="F105" s="132" t="s">
        <v>155</v>
      </c>
      <c r="G105" s="129">
        <v>0</v>
      </c>
      <c r="H105" s="122" t="s">
        <v>153</v>
      </c>
      <c r="J105" s="33"/>
    </row>
    <row r="106" spans="1:10" x14ac:dyDescent="0.2">
      <c r="A106" s="120"/>
      <c r="B106" s="120"/>
      <c r="C106" s="130"/>
      <c r="D106" s="120"/>
      <c r="E106" s="120"/>
      <c r="F106" s="131"/>
      <c r="G106" s="131"/>
      <c r="H106" s="122" t="s">
        <v>153</v>
      </c>
      <c r="J106" s="33"/>
    </row>
    <row r="107" spans="1:10" x14ac:dyDescent="0.2">
      <c r="A107" s="120"/>
      <c r="B107" s="120"/>
      <c r="C107" s="121" t="s">
        <v>170</v>
      </c>
      <c r="D107" s="120"/>
      <c r="E107" s="120"/>
      <c r="F107" s="131"/>
      <c r="G107" s="131"/>
      <c r="H107" s="122" t="s">
        <v>153</v>
      </c>
      <c r="J107" s="33"/>
    </row>
    <row r="108" spans="1:10" x14ac:dyDescent="0.2">
      <c r="A108" s="123">
        <v>1</v>
      </c>
      <c r="B108" s="124"/>
      <c r="C108" s="124" t="s">
        <v>171</v>
      </c>
      <c r="D108" s="124"/>
      <c r="E108" s="133"/>
      <c r="F108" s="126">
        <v>1702.0897466070001</v>
      </c>
      <c r="G108" s="127">
        <v>4.6435000000000001E-3</v>
      </c>
      <c r="H108" s="122">
        <v>6.62</v>
      </c>
      <c r="J108" s="33"/>
    </row>
    <row r="109" spans="1:10" x14ac:dyDescent="0.2">
      <c r="A109" s="120"/>
      <c r="B109" s="120"/>
      <c r="C109" s="121" t="s">
        <v>152</v>
      </c>
      <c r="D109" s="120"/>
      <c r="E109" s="120" t="s">
        <v>153</v>
      </c>
      <c r="F109" s="128">
        <v>1702.0897466070001</v>
      </c>
      <c r="G109" s="129">
        <v>4.6435000000000001E-3</v>
      </c>
      <c r="H109" s="122" t="s">
        <v>153</v>
      </c>
      <c r="J109" s="33"/>
    </row>
    <row r="110" spans="1:10" x14ac:dyDescent="0.2">
      <c r="A110" s="120"/>
      <c r="B110" s="120"/>
      <c r="C110" s="130"/>
      <c r="D110" s="120"/>
      <c r="E110" s="120"/>
      <c r="F110" s="131"/>
      <c r="G110" s="131"/>
      <c r="H110" s="122" t="s">
        <v>153</v>
      </c>
      <c r="J110" s="33"/>
    </row>
    <row r="111" spans="1:10" x14ac:dyDescent="0.2">
      <c r="A111" s="120"/>
      <c r="B111" s="120"/>
      <c r="C111" s="121" t="s">
        <v>172</v>
      </c>
      <c r="D111" s="120"/>
      <c r="E111" s="120"/>
      <c r="F111" s="128">
        <v>1702.0897466070001</v>
      </c>
      <c r="G111" s="129">
        <v>4.6435000000000001E-3</v>
      </c>
      <c r="H111" s="122" t="s">
        <v>153</v>
      </c>
      <c r="J111" s="33"/>
    </row>
    <row r="112" spans="1:10" x14ac:dyDescent="0.2">
      <c r="A112" s="120"/>
      <c r="B112" s="120"/>
      <c r="C112" s="131"/>
      <c r="D112" s="120"/>
      <c r="E112" s="120"/>
      <c r="F112" s="120"/>
      <c r="G112" s="120"/>
      <c r="H112" s="122" t="s">
        <v>153</v>
      </c>
      <c r="J112" s="33"/>
    </row>
    <row r="113" spans="1:10" x14ac:dyDescent="0.2">
      <c r="A113" s="120"/>
      <c r="B113" s="120"/>
      <c r="C113" s="121" t="s">
        <v>173</v>
      </c>
      <c r="D113" s="120"/>
      <c r="E113" s="120"/>
      <c r="F113" s="120"/>
      <c r="G113" s="120"/>
      <c r="H113" s="122" t="s">
        <v>153</v>
      </c>
      <c r="J113" s="33"/>
    </row>
    <row r="114" spans="1:10" x14ac:dyDescent="0.2">
      <c r="A114" s="120"/>
      <c r="B114" s="120"/>
      <c r="C114" s="121" t="s">
        <v>174</v>
      </c>
      <c r="D114" s="120"/>
      <c r="E114" s="120"/>
      <c r="F114" s="120"/>
      <c r="G114" s="120"/>
      <c r="H114" s="122" t="s">
        <v>153</v>
      </c>
      <c r="J114" s="33"/>
    </row>
    <row r="115" spans="1:10" x14ac:dyDescent="0.2">
      <c r="A115" s="120"/>
      <c r="B115" s="120"/>
      <c r="C115" s="121" t="s">
        <v>152</v>
      </c>
      <c r="D115" s="120"/>
      <c r="E115" s="120" t="s">
        <v>153</v>
      </c>
      <c r="F115" s="132" t="s">
        <v>155</v>
      </c>
      <c r="G115" s="129">
        <v>0</v>
      </c>
      <c r="H115" s="122" t="s">
        <v>153</v>
      </c>
      <c r="J115" s="33"/>
    </row>
    <row r="116" spans="1:10" x14ac:dyDescent="0.2">
      <c r="A116" s="120"/>
      <c r="B116" s="120"/>
      <c r="C116" s="130"/>
      <c r="D116" s="120"/>
      <c r="E116" s="120"/>
      <c r="F116" s="131"/>
      <c r="G116" s="131"/>
      <c r="H116" s="122" t="s">
        <v>153</v>
      </c>
      <c r="J116" s="33"/>
    </row>
    <row r="117" spans="1:10" x14ac:dyDescent="0.2">
      <c r="A117" s="120"/>
      <c r="B117" s="120"/>
      <c r="C117" s="121" t="s">
        <v>175</v>
      </c>
      <c r="D117" s="120"/>
      <c r="E117" s="120"/>
      <c r="F117" s="120"/>
      <c r="G117" s="120"/>
      <c r="H117" s="122" t="s">
        <v>153</v>
      </c>
      <c r="J117" s="33"/>
    </row>
    <row r="118" spans="1:10" x14ac:dyDescent="0.2">
      <c r="A118" s="120"/>
      <c r="B118" s="120"/>
      <c r="C118" s="121" t="s">
        <v>176</v>
      </c>
      <c r="D118" s="120"/>
      <c r="E118" s="120"/>
      <c r="F118" s="120"/>
      <c r="G118" s="120"/>
      <c r="H118" s="122" t="s">
        <v>153</v>
      </c>
      <c r="J118" s="33"/>
    </row>
    <row r="119" spans="1:10" x14ac:dyDescent="0.2">
      <c r="A119" s="120"/>
      <c r="B119" s="120"/>
      <c r="C119" s="121" t="s">
        <v>152</v>
      </c>
      <c r="D119" s="120"/>
      <c r="E119" s="120" t="s">
        <v>153</v>
      </c>
      <c r="F119" s="132" t="s">
        <v>155</v>
      </c>
      <c r="G119" s="129">
        <v>0</v>
      </c>
      <c r="H119" s="122" t="s">
        <v>153</v>
      </c>
      <c r="J119" s="33"/>
    </row>
    <row r="120" spans="1:10" x14ac:dyDescent="0.2">
      <c r="A120" s="120"/>
      <c r="B120" s="120"/>
      <c r="C120" s="130"/>
      <c r="D120" s="120"/>
      <c r="E120" s="120"/>
      <c r="F120" s="131"/>
      <c r="G120" s="131"/>
      <c r="H120" s="122" t="s">
        <v>153</v>
      </c>
      <c r="J120" s="33"/>
    </row>
    <row r="121" spans="1:10" ht="25.5" x14ac:dyDescent="0.2">
      <c r="A121" s="120"/>
      <c r="B121" s="120"/>
      <c r="C121" s="121" t="s">
        <v>177</v>
      </c>
      <c r="D121" s="120"/>
      <c r="E121" s="120"/>
      <c r="F121" s="131"/>
      <c r="G121" s="131"/>
      <c r="H121" s="122" t="s">
        <v>153</v>
      </c>
      <c r="J121" s="33"/>
    </row>
    <row r="122" spans="1:10" x14ac:dyDescent="0.2">
      <c r="A122" s="120"/>
      <c r="B122" s="120"/>
      <c r="C122" s="121" t="s">
        <v>152</v>
      </c>
      <c r="D122" s="120"/>
      <c r="E122" s="120" t="s">
        <v>153</v>
      </c>
      <c r="F122" s="132" t="s">
        <v>155</v>
      </c>
      <c r="G122" s="129">
        <v>0</v>
      </c>
      <c r="H122" s="122" t="s">
        <v>153</v>
      </c>
      <c r="J122" s="33"/>
    </row>
    <row r="123" spans="1:10" x14ac:dyDescent="0.2">
      <c r="A123" s="120"/>
      <c r="B123" s="120"/>
      <c r="C123" s="130"/>
      <c r="D123" s="120"/>
      <c r="E123" s="120"/>
      <c r="F123" s="131"/>
      <c r="G123" s="131"/>
      <c r="H123" s="122" t="s">
        <v>153</v>
      </c>
      <c r="J123" s="33"/>
    </row>
    <row r="124" spans="1:10" x14ac:dyDescent="0.2">
      <c r="A124" s="133"/>
      <c r="B124" s="124"/>
      <c r="C124" s="124" t="s">
        <v>178</v>
      </c>
      <c r="D124" s="124"/>
      <c r="E124" s="133"/>
      <c r="F124" s="126">
        <v>-795.53153878000001</v>
      </c>
      <c r="G124" s="127">
        <v>-2.1703E-3</v>
      </c>
      <c r="H124" s="122" t="s">
        <v>153</v>
      </c>
      <c r="J124" s="33"/>
    </row>
    <row r="125" spans="1:10" x14ac:dyDescent="0.2">
      <c r="A125" s="130"/>
      <c r="B125" s="130"/>
      <c r="C125" s="121" t="s">
        <v>179</v>
      </c>
      <c r="D125" s="131"/>
      <c r="E125" s="131"/>
      <c r="F125" s="128">
        <v>366553.19963132701</v>
      </c>
      <c r="G125" s="134">
        <v>1.00000004</v>
      </c>
      <c r="H125" s="122" t="s">
        <v>153</v>
      </c>
      <c r="J125" s="33"/>
    </row>
    <row r="126" spans="1:10" x14ac:dyDescent="0.2">
      <c r="A126" s="135"/>
      <c r="B126" s="135"/>
      <c r="C126" s="135"/>
      <c r="D126" s="136"/>
      <c r="E126" s="136"/>
      <c r="F126" s="136"/>
      <c r="G126" s="136"/>
      <c r="J126" s="2"/>
    </row>
    <row r="127" spans="1:10" x14ac:dyDescent="0.2">
      <c r="A127" s="137"/>
      <c r="B127" s="226" t="s">
        <v>863</v>
      </c>
      <c r="C127" s="226"/>
      <c r="D127" s="226"/>
      <c r="E127" s="226"/>
      <c r="F127" s="226"/>
      <c r="G127" s="226"/>
      <c r="H127" s="226"/>
      <c r="J127" s="2"/>
    </row>
    <row r="128" spans="1:10" x14ac:dyDescent="0.2">
      <c r="A128" s="137"/>
      <c r="B128" s="226" t="s">
        <v>864</v>
      </c>
      <c r="C128" s="226"/>
      <c r="D128" s="226"/>
      <c r="E128" s="226"/>
      <c r="F128" s="226"/>
      <c r="G128" s="226"/>
      <c r="H128" s="226"/>
      <c r="J128" s="2"/>
    </row>
    <row r="129" spans="1:17" x14ac:dyDescent="0.2">
      <c r="A129" s="137"/>
      <c r="B129" s="226" t="s">
        <v>865</v>
      </c>
      <c r="C129" s="226"/>
      <c r="D129" s="226"/>
      <c r="E129" s="226"/>
      <c r="F129" s="226"/>
      <c r="G129" s="226"/>
      <c r="H129" s="226"/>
      <c r="J129" s="2"/>
    </row>
    <row r="130" spans="1:17" s="5" customFormat="1" ht="68.25" customHeight="1" x14ac:dyDescent="0.25">
      <c r="A130" s="139"/>
      <c r="B130" s="227" t="s">
        <v>866</v>
      </c>
      <c r="C130" s="227"/>
      <c r="D130" s="227"/>
      <c r="E130" s="227"/>
      <c r="F130" s="227"/>
      <c r="G130" s="227"/>
      <c r="H130" s="227"/>
      <c r="I130"/>
      <c r="J130" s="2"/>
      <c r="K130"/>
      <c r="L130"/>
      <c r="M130"/>
      <c r="N130"/>
      <c r="O130"/>
      <c r="P130"/>
      <c r="Q130"/>
    </row>
    <row r="131" spans="1:17" x14ac:dyDescent="0.2">
      <c r="A131" s="137"/>
      <c r="B131" s="226" t="s">
        <v>867</v>
      </c>
      <c r="C131" s="226"/>
      <c r="D131" s="226"/>
      <c r="E131" s="226"/>
      <c r="F131" s="226"/>
      <c r="G131" s="226"/>
      <c r="H131" s="226"/>
      <c r="J131" s="33"/>
    </row>
    <row r="132" spans="1:17" x14ac:dyDescent="0.2">
      <c r="A132" s="140"/>
      <c r="B132" s="140"/>
      <c r="C132" s="140"/>
      <c r="D132" s="141"/>
      <c r="E132" s="141"/>
      <c r="F132" s="141"/>
      <c r="G132" s="141"/>
      <c r="J132" s="33"/>
    </row>
    <row r="133" spans="1:17" x14ac:dyDescent="0.2">
      <c r="A133" s="140"/>
      <c r="B133" s="228" t="s">
        <v>180</v>
      </c>
      <c r="C133" s="229"/>
      <c r="D133" s="230"/>
      <c r="E133" s="142"/>
      <c r="F133" s="141"/>
      <c r="G133" s="141"/>
      <c r="J133" s="33"/>
    </row>
    <row r="134" spans="1:17" x14ac:dyDescent="0.2">
      <c r="A134" s="140"/>
      <c r="B134" s="223" t="s">
        <v>181</v>
      </c>
      <c r="C134" s="224"/>
      <c r="D134" s="121" t="s">
        <v>182</v>
      </c>
      <c r="E134" s="142"/>
      <c r="F134" s="141"/>
      <c r="G134" s="141"/>
      <c r="J134" s="33"/>
    </row>
    <row r="135" spans="1:17" x14ac:dyDescent="0.2">
      <c r="A135" s="140"/>
      <c r="B135" s="223" t="s">
        <v>183</v>
      </c>
      <c r="C135" s="224"/>
      <c r="D135" s="121" t="s">
        <v>182</v>
      </c>
      <c r="E135" s="142"/>
      <c r="F135" s="141"/>
      <c r="G135" s="141"/>
      <c r="J135" s="33"/>
    </row>
    <row r="136" spans="1:17" x14ac:dyDescent="0.2">
      <c r="A136" s="140"/>
      <c r="B136" s="223" t="s">
        <v>184</v>
      </c>
      <c r="C136" s="224"/>
      <c r="D136" s="131" t="s">
        <v>153</v>
      </c>
      <c r="E136" s="142"/>
      <c r="F136" s="141"/>
      <c r="G136" s="141"/>
      <c r="J136" s="33"/>
    </row>
    <row r="137" spans="1:17" x14ac:dyDescent="0.2">
      <c r="A137" s="144"/>
      <c r="B137" s="145" t="s">
        <v>153</v>
      </c>
      <c r="C137" s="145" t="s">
        <v>870</v>
      </c>
      <c r="D137" s="145" t="s">
        <v>185</v>
      </c>
      <c r="E137" s="144"/>
      <c r="F137" s="144"/>
      <c r="G137" s="144"/>
      <c r="H137" s="144"/>
      <c r="J137" s="33"/>
    </row>
    <row r="138" spans="1:17" x14ac:dyDescent="0.2">
      <c r="A138" s="146"/>
      <c r="B138" s="147" t="s">
        <v>186</v>
      </c>
      <c r="C138" s="148">
        <v>45504</v>
      </c>
      <c r="D138" s="149">
        <v>45535</v>
      </c>
      <c r="E138" s="146"/>
      <c r="F138" s="146"/>
      <c r="G138" s="146"/>
      <c r="J138" s="2"/>
    </row>
    <row r="139" spans="1:17" x14ac:dyDescent="0.2">
      <c r="A139" s="146"/>
      <c r="B139" s="124" t="s">
        <v>187</v>
      </c>
      <c r="C139" s="150">
        <v>22.845600000000001</v>
      </c>
      <c r="D139" s="150">
        <v>23.244399999999999</v>
      </c>
      <c r="E139" s="146"/>
      <c r="F139" s="151"/>
      <c r="G139" s="152"/>
      <c r="J139" s="33"/>
    </row>
    <row r="140" spans="1:17" x14ac:dyDescent="0.2">
      <c r="A140" s="146"/>
      <c r="B140" s="124" t="s">
        <v>926</v>
      </c>
      <c r="C140" s="150">
        <v>19.4011</v>
      </c>
      <c r="D140" s="150">
        <v>19.739799999999999</v>
      </c>
      <c r="E140" s="146"/>
      <c r="F140" s="151"/>
      <c r="G140" s="152"/>
      <c r="J140" s="33"/>
    </row>
    <row r="141" spans="1:17" x14ac:dyDescent="0.2">
      <c r="A141" s="146"/>
      <c r="B141" s="124" t="s">
        <v>188</v>
      </c>
      <c r="C141" s="150">
        <v>21.5426</v>
      </c>
      <c r="D141" s="150">
        <v>21.8949</v>
      </c>
      <c r="E141" s="146"/>
      <c r="F141" s="151"/>
      <c r="G141" s="152"/>
      <c r="J141" s="33"/>
    </row>
    <row r="142" spans="1:17" x14ac:dyDescent="0.2">
      <c r="A142" s="146"/>
      <c r="B142" s="124" t="s">
        <v>927</v>
      </c>
      <c r="C142" s="150">
        <v>18.277200000000001</v>
      </c>
      <c r="D142" s="150">
        <v>18.5761</v>
      </c>
      <c r="E142" s="146"/>
      <c r="F142" s="151"/>
      <c r="G142" s="152"/>
      <c r="J142" s="33"/>
    </row>
    <row r="143" spans="1:17" x14ac:dyDescent="0.2">
      <c r="A143" s="146"/>
      <c r="B143" s="146"/>
      <c r="C143" s="146"/>
      <c r="D143" s="146"/>
      <c r="E143" s="146"/>
      <c r="F143" s="146"/>
      <c r="G143" s="146"/>
      <c r="J143" s="33"/>
    </row>
    <row r="144" spans="1:17" x14ac:dyDescent="0.2">
      <c r="A144" s="144"/>
      <c r="B144" s="221" t="s">
        <v>869</v>
      </c>
      <c r="C144" s="222"/>
      <c r="D144" s="143" t="s">
        <v>182</v>
      </c>
      <c r="E144" s="144"/>
      <c r="F144" s="144"/>
      <c r="G144" s="144"/>
      <c r="J144" s="33"/>
    </row>
    <row r="145" spans="1:10" x14ac:dyDescent="0.2">
      <c r="A145" s="144"/>
      <c r="B145" s="163"/>
      <c r="C145" s="163"/>
      <c r="D145" s="163"/>
      <c r="E145" s="144"/>
      <c r="F145" s="144"/>
      <c r="G145" s="144"/>
      <c r="J145" s="33"/>
    </row>
    <row r="146" spans="1:10" ht="29.1" customHeight="1" x14ac:dyDescent="0.2">
      <c r="A146" s="144"/>
      <c r="B146" s="221" t="s">
        <v>189</v>
      </c>
      <c r="C146" s="222"/>
      <c r="D146" s="143" t="s">
        <v>182</v>
      </c>
      <c r="E146" s="153"/>
      <c r="F146" s="144"/>
      <c r="G146" s="144"/>
      <c r="J146" s="33"/>
    </row>
    <row r="147" spans="1:10" ht="29.1" customHeight="1" x14ac:dyDescent="0.2">
      <c r="A147" s="144"/>
      <c r="B147" s="221" t="s">
        <v>190</v>
      </c>
      <c r="C147" s="222"/>
      <c r="D147" s="143" t="s">
        <v>182</v>
      </c>
      <c r="E147" s="153"/>
      <c r="F147" s="144"/>
      <c r="G147" s="144"/>
      <c r="J147" s="33"/>
    </row>
    <row r="148" spans="1:10" ht="17.100000000000001" customHeight="1" x14ac:dyDescent="0.2">
      <c r="A148" s="144"/>
      <c r="B148" s="221" t="s">
        <v>191</v>
      </c>
      <c r="C148" s="222"/>
      <c r="D148" s="143" t="s">
        <v>182</v>
      </c>
      <c r="E148" s="153"/>
      <c r="F148" s="144"/>
      <c r="G148" s="144"/>
    </row>
    <row r="149" spans="1:10" ht="17.100000000000001" customHeight="1" x14ac:dyDescent="0.2">
      <c r="A149" s="144"/>
      <c r="B149" s="221" t="s">
        <v>192</v>
      </c>
      <c r="C149" s="222"/>
      <c r="D149" s="154">
        <v>0.13733743517248154</v>
      </c>
      <c r="E149" s="144"/>
      <c r="F149" s="138"/>
      <c r="G149" s="155"/>
    </row>
  </sheetData>
  <mergeCells count="17">
    <mergeCell ref="B134:C134"/>
    <mergeCell ref="A1:H1"/>
    <mergeCell ref="A2:H2"/>
    <mergeCell ref="A3:H3"/>
    <mergeCell ref="B127:H127"/>
    <mergeCell ref="B128:H128"/>
    <mergeCell ref="B129:H129"/>
    <mergeCell ref="B130:H130"/>
    <mergeCell ref="B131:H131"/>
    <mergeCell ref="B133:D133"/>
    <mergeCell ref="B135:C135"/>
    <mergeCell ref="B136:C136"/>
    <mergeCell ref="B144:C144"/>
    <mergeCell ref="B148:C148"/>
    <mergeCell ref="B149:C149"/>
    <mergeCell ref="B146:C146"/>
    <mergeCell ref="B147:C147"/>
  </mergeCells>
  <hyperlinks>
    <hyperlink ref="I1" location="Index!B27" display="Index" xr:uid="{A62E06DD-8B47-466F-BD8F-B708D17659C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3DE9-DF79-436A-9BDB-0E970384B6D9}">
  <sheetPr>
    <outlinePr summaryBelow="0" summaryRight="0"/>
  </sheetPr>
  <dimension ref="A1:Q149"/>
  <sheetViews>
    <sheetView showGridLines="0" workbookViewId="0">
      <selection sqref="A1:H1"/>
    </sheetView>
  </sheetViews>
  <sheetFormatPr defaultRowHeight="12.75" x14ac:dyDescent="0.2"/>
  <cols>
    <col min="1" max="1" width="6.85546875" customWidth="1"/>
    <col min="2" max="2" width="20.5703125" customWidth="1"/>
    <col min="3" max="3" width="35.85546875" customWidth="1"/>
    <col min="4" max="4" width="20" customWidth="1"/>
    <col min="5" max="6" width="19.140625" customWidth="1"/>
    <col min="7" max="7" width="16.42578125" customWidth="1"/>
    <col min="10" max="10" width="50.7109375" customWidth="1"/>
  </cols>
  <sheetData>
    <row r="1" spans="1:10" ht="15" x14ac:dyDescent="0.2">
      <c r="A1" s="225" t="s">
        <v>0</v>
      </c>
      <c r="B1" s="225"/>
      <c r="C1" s="225"/>
      <c r="D1" s="225"/>
      <c r="E1" s="225"/>
      <c r="F1" s="225"/>
      <c r="G1" s="225"/>
      <c r="H1" s="225"/>
      <c r="I1" s="16" t="s">
        <v>913</v>
      </c>
      <c r="J1" s="33"/>
    </row>
    <row r="2" spans="1:10" ht="15" x14ac:dyDescent="0.2">
      <c r="A2" s="225" t="s">
        <v>819</v>
      </c>
      <c r="B2" s="225"/>
      <c r="C2" s="225"/>
      <c r="D2" s="225"/>
      <c r="E2" s="225"/>
      <c r="F2" s="225"/>
      <c r="G2" s="225"/>
      <c r="H2" s="225"/>
      <c r="J2" s="3" t="s">
        <v>914</v>
      </c>
    </row>
    <row r="3" spans="1:10" ht="15" x14ac:dyDescent="0.2">
      <c r="A3" s="225" t="s">
        <v>853</v>
      </c>
      <c r="B3" s="225"/>
      <c r="C3" s="225"/>
      <c r="D3" s="225"/>
      <c r="E3" s="225"/>
      <c r="F3" s="225"/>
      <c r="G3" s="225"/>
      <c r="H3" s="225"/>
      <c r="J3" s="33"/>
    </row>
    <row r="4" spans="1:10" s="4" customFormat="1" ht="30" x14ac:dyDescent="0.2">
      <c r="A4" s="118" t="s">
        <v>2</v>
      </c>
      <c r="B4" s="118" t="s">
        <v>3</v>
      </c>
      <c r="C4" s="118" t="s">
        <v>4</v>
      </c>
      <c r="D4" s="118" t="s">
        <v>5</v>
      </c>
      <c r="E4" s="118" t="s">
        <v>6</v>
      </c>
      <c r="F4" s="118" t="s">
        <v>7</v>
      </c>
      <c r="G4" s="118" t="s">
        <v>8</v>
      </c>
      <c r="H4" s="119" t="s">
        <v>852</v>
      </c>
      <c r="J4" s="34"/>
    </row>
    <row r="5" spans="1:10" x14ac:dyDescent="0.2">
      <c r="A5" s="120"/>
      <c r="B5" s="120"/>
      <c r="C5" s="121" t="s">
        <v>9</v>
      </c>
      <c r="D5" s="120"/>
      <c r="E5" s="120"/>
      <c r="F5" s="120"/>
      <c r="G5" s="120"/>
      <c r="H5" s="122" t="s">
        <v>153</v>
      </c>
      <c r="J5" s="33"/>
    </row>
    <row r="6" spans="1:10" ht="25.5" x14ac:dyDescent="0.2">
      <c r="A6" s="120"/>
      <c r="B6" s="120"/>
      <c r="C6" s="121" t="s">
        <v>10</v>
      </c>
      <c r="D6" s="120"/>
      <c r="E6" s="120"/>
      <c r="F6" s="120"/>
      <c r="G6" s="120"/>
      <c r="H6" s="122" t="s">
        <v>153</v>
      </c>
      <c r="J6" s="33"/>
    </row>
    <row r="7" spans="1:10" x14ac:dyDescent="0.2">
      <c r="A7" s="123">
        <v>1</v>
      </c>
      <c r="B7" s="124" t="s">
        <v>14</v>
      </c>
      <c r="C7" s="124" t="s">
        <v>15</v>
      </c>
      <c r="D7" s="124" t="s">
        <v>16</v>
      </c>
      <c r="E7" s="125">
        <v>470538</v>
      </c>
      <c r="F7" s="126">
        <v>7477.0840889999999</v>
      </c>
      <c r="G7" s="127">
        <v>5.3244079999999999E-2</v>
      </c>
      <c r="H7" s="122" t="s">
        <v>153</v>
      </c>
      <c r="J7" s="33"/>
    </row>
    <row r="8" spans="1:10" x14ac:dyDescent="0.2">
      <c r="A8" s="123">
        <v>2</v>
      </c>
      <c r="B8" s="124" t="s">
        <v>11</v>
      </c>
      <c r="C8" s="124" t="s">
        <v>12</v>
      </c>
      <c r="D8" s="124" t="s">
        <v>13</v>
      </c>
      <c r="E8" s="125">
        <v>194839</v>
      </c>
      <c r="F8" s="126">
        <v>7218.1030135000001</v>
      </c>
      <c r="G8" s="127">
        <v>5.1399880000000002E-2</v>
      </c>
      <c r="H8" s="122" t="s">
        <v>153</v>
      </c>
      <c r="J8" s="33"/>
    </row>
    <row r="9" spans="1:10" x14ac:dyDescent="0.2">
      <c r="A9" s="123">
        <v>3</v>
      </c>
      <c r="B9" s="124" t="s">
        <v>20</v>
      </c>
      <c r="C9" s="124" t="s">
        <v>21</v>
      </c>
      <c r="D9" s="124" t="s">
        <v>22</v>
      </c>
      <c r="E9" s="125">
        <v>222279</v>
      </c>
      <c r="F9" s="126">
        <v>6711.1587074999998</v>
      </c>
      <c r="G9" s="127">
        <v>4.7789949999999998E-2</v>
      </c>
      <c r="H9" s="122" t="s">
        <v>153</v>
      </c>
      <c r="J9" s="33"/>
    </row>
    <row r="10" spans="1:10" x14ac:dyDescent="0.2">
      <c r="A10" s="123">
        <v>4</v>
      </c>
      <c r="B10" s="124" t="s">
        <v>411</v>
      </c>
      <c r="C10" s="124" t="s">
        <v>412</v>
      </c>
      <c r="D10" s="124" t="s">
        <v>236</v>
      </c>
      <c r="E10" s="125">
        <v>275899</v>
      </c>
      <c r="F10" s="126">
        <v>4601.0296735000002</v>
      </c>
      <c r="G10" s="127">
        <v>3.2763790000000001E-2</v>
      </c>
      <c r="H10" s="122" t="s">
        <v>153</v>
      </c>
      <c r="J10" s="33"/>
    </row>
    <row r="11" spans="1:10" x14ac:dyDescent="0.2">
      <c r="A11" s="123">
        <v>5</v>
      </c>
      <c r="B11" s="124" t="s">
        <v>43</v>
      </c>
      <c r="C11" s="124" t="s">
        <v>44</v>
      </c>
      <c r="D11" s="124" t="s">
        <v>45</v>
      </c>
      <c r="E11" s="125">
        <v>97542</v>
      </c>
      <c r="F11" s="126">
        <v>4357.4937659999996</v>
      </c>
      <c r="G11" s="127">
        <v>3.1029569999999999E-2</v>
      </c>
      <c r="H11" s="122" t="s">
        <v>153</v>
      </c>
      <c r="J11" s="33"/>
    </row>
    <row r="12" spans="1:10" ht="15" x14ac:dyDescent="0.2">
      <c r="A12" s="123">
        <v>6</v>
      </c>
      <c r="B12" s="124" t="s">
        <v>702</v>
      </c>
      <c r="C12" s="124" t="s">
        <v>703</v>
      </c>
      <c r="D12" s="124" t="s">
        <v>255</v>
      </c>
      <c r="E12" s="125">
        <v>504673</v>
      </c>
      <c r="F12" s="126">
        <v>3728.0194510000001</v>
      </c>
      <c r="G12" s="127">
        <v>2.6547109999999999E-2</v>
      </c>
      <c r="H12" s="122" t="s">
        <v>153</v>
      </c>
      <c r="J12" s="7"/>
    </row>
    <row r="13" spans="1:10" x14ac:dyDescent="0.2">
      <c r="A13" s="123">
        <v>7</v>
      </c>
      <c r="B13" s="124" t="s">
        <v>346</v>
      </c>
      <c r="C13" s="124" t="s">
        <v>347</v>
      </c>
      <c r="D13" s="124" t="s">
        <v>198</v>
      </c>
      <c r="E13" s="125">
        <v>1423693</v>
      </c>
      <c r="F13" s="126">
        <v>3566.7780729000001</v>
      </c>
      <c r="G13" s="127">
        <v>2.539891E-2</v>
      </c>
      <c r="H13" s="122" t="s">
        <v>153</v>
      </c>
      <c r="J13" s="2"/>
    </row>
    <row r="14" spans="1:10" x14ac:dyDescent="0.2">
      <c r="A14" s="123">
        <v>8</v>
      </c>
      <c r="B14" s="124" t="s">
        <v>358</v>
      </c>
      <c r="C14" s="124" t="s">
        <v>359</v>
      </c>
      <c r="D14" s="124" t="s">
        <v>360</v>
      </c>
      <c r="E14" s="125">
        <v>495412</v>
      </c>
      <c r="F14" s="126">
        <v>3474.5720620000002</v>
      </c>
      <c r="G14" s="127">
        <v>2.4742320000000002E-2</v>
      </c>
      <c r="H14" s="122" t="s">
        <v>153</v>
      </c>
      <c r="J14" s="2" t="s">
        <v>1079</v>
      </c>
    </row>
    <row r="15" spans="1:10" x14ac:dyDescent="0.2">
      <c r="A15" s="123">
        <v>9</v>
      </c>
      <c r="B15" s="124" t="s">
        <v>363</v>
      </c>
      <c r="C15" s="124" t="s">
        <v>364</v>
      </c>
      <c r="D15" s="124" t="s">
        <v>239</v>
      </c>
      <c r="E15" s="125">
        <v>64307</v>
      </c>
      <c r="F15" s="126">
        <v>3332.9031960000002</v>
      </c>
      <c r="G15" s="127">
        <v>2.3733500000000001E-2</v>
      </c>
      <c r="H15" s="122" t="s">
        <v>153</v>
      </c>
      <c r="J15" s="33"/>
    </row>
    <row r="16" spans="1:10" x14ac:dyDescent="0.2">
      <c r="A16" s="123">
        <v>10</v>
      </c>
      <c r="B16" s="124" t="s">
        <v>234</v>
      </c>
      <c r="C16" s="124" t="s">
        <v>235</v>
      </c>
      <c r="D16" s="124" t="s">
        <v>236</v>
      </c>
      <c r="E16" s="125">
        <v>497314</v>
      </c>
      <c r="F16" s="126">
        <v>3234.0329419999998</v>
      </c>
      <c r="G16" s="127">
        <v>2.302945E-2</v>
      </c>
      <c r="H16" s="122" t="s">
        <v>153</v>
      </c>
      <c r="J16" s="33"/>
    </row>
    <row r="17" spans="1:10" x14ac:dyDescent="0.2">
      <c r="A17" s="123">
        <v>11</v>
      </c>
      <c r="B17" s="124" t="s">
        <v>820</v>
      </c>
      <c r="C17" s="124" t="s">
        <v>821</v>
      </c>
      <c r="D17" s="124" t="s">
        <v>216</v>
      </c>
      <c r="E17" s="125">
        <v>241206</v>
      </c>
      <c r="F17" s="126">
        <v>3060.7835369999998</v>
      </c>
      <c r="G17" s="127">
        <v>2.1795740000000001E-2</v>
      </c>
      <c r="H17" s="122" t="s">
        <v>153</v>
      </c>
      <c r="J17" s="33"/>
    </row>
    <row r="18" spans="1:10" x14ac:dyDescent="0.2">
      <c r="A18" s="123">
        <v>12</v>
      </c>
      <c r="B18" s="124" t="s">
        <v>546</v>
      </c>
      <c r="C18" s="124" t="s">
        <v>547</v>
      </c>
      <c r="D18" s="124" t="s">
        <v>273</v>
      </c>
      <c r="E18" s="125">
        <v>27544</v>
      </c>
      <c r="F18" s="126">
        <v>2999.9685319999999</v>
      </c>
      <c r="G18" s="127">
        <v>2.1362679999999998E-2</v>
      </c>
      <c r="H18" s="122" t="s">
        <v>153</v>
      </c>
      <c r="J18" s="33"/>
    </row>
    <row r="19" spans="1:10" x14ac:dyDescent="0.2">
      <c r="A19" s="123">
        <v>13</v>
      </c>
      <c r="B19" s="124" t="s">
        <v>194</v>
      </c>
      <c r="C19" s="124" t="s">
        <v>195</v>
      </c>
      <c r="D19" s="124" t="s">
        <v>45</v>
      </c>
      <c r="E19" s="125">
        <v>468888</v>
      </c>
      <c r="F19" s="126">
        <v>2884.5989760000002</v>
      </c>
      <c r="G19" s="127">
        <v>2.0541139999999999E-2</v>
      </c>
      <c r="H19" s="122" t="s">
        <v>153</v>
      </c>
      <c r="J19" s="33"/>
    </row>
    <row r="20" spans="1:10" x14ac:dyDescent="0.2">
      <c r="A20" s="123">
        <v>14</v>
      </c>
      <c r="B20" s="124" t="s">
        <v>104</v>
      </c>
      <c r="C20" s="124" t="s">
        <v>105</v>
      </c>
      <c r="D20" s="124" t="s">
        <v>35</v>
      </c>
      <c r="E20" s="125">
        <v>218115</v>
      </c>
      <c r="F20" s="126">
        <v>2834.4044250000002</v>
      </c>
      <c r="G20" s="127">
        <v>2.0183699999999999E-2</v>
      </c>
      <c r="H20" s="122" t="s">
        <v>153</v>
      </c>
      <c r="J20" s="33"/>
    </row>
    <row r="21" spans="1:10" x14ac:dyDescent="0.2">
      <c r="A21" s="123">
        <v>15</v>
      </c>
      <c r="B21" s="124" t="s">
        <v>361</v>
      </c>
      <c r="C21" s="124" t="s">
        <v>362</v>
      </c>
      <c r="D21" s="124" t="s">
        <v>273</v>
      </c>
      <c r="E21" s="125">
        <v>248165</v>
      </c>
      <c r="F21" s="126">
        <v>2757.9817275</v>
      </c>
      <c r="G21" s="127">
        <v>1.9639500000000001E-2</v>
      </c>
      <c r="H21" s="122" t="s">
        <v>153</v>
      </c>
      <c r="J21" s="33"/>
    </row>
    <row r="22" spans="1:10" ht="15" x14ac:dyDescent="0.2">
      <c r="A22" s="123">
        <v>16</v>
      </c>
      <c r="B22" s="124" t="s">
        <v>419</v>
      </c>
      <c r="C22" s="124" t="s">
        <v>420</v>
      </c>
      <c r="D22" s="124" t="s">
        <v>211</v>
      </c>
      <c r="E22" s="125">
        <v>351519</v>
      </c>
      <c r="F22" s="126">
        <v>2592.9799035000001</v>
      </c>
      <c r="G22" s="127">
        <v>1.846453E-2</v>
      </c>
      <c r="H22" s="122" t="s">
        <v>153</v>
      </c>
      <c r="J22" s="7"/>
    </row>
    <row r="23" spans="1:10" ht="25.5" x14ac:dyDescent="0.2">
      <c r="A23" s="123">
        <v>17</v>
      </c>
      <c r="B23" s="124" t="s">
        <v>225</v>
      </c>
      <c r="C23" s="124" t="s">
        <v>226</v>
      </c>
      <c r="D23" s="124" t="s">
        <v>227</v>
      </c>
      <c r="E23" s="125">
        <v>142371</v>
      </c>
      <c r="F23" s="126">
        <v>2523.1700474999998</v>
      </c>
      <c r="G23" s="127">
        <v>1.796741E-2</v>
      </c>
      <c r="H23" s="122" t="s">
        <v>153</v>
      </c>
      <c r="J23" s="2"/>
    </row>
    <row r="24" spans="1:10" x14ac:dyDescent="0.2">
      <c r="A24" s="123">
        <v>18</v>
      </c>
      <c r="B24" s="124" t="s">
        <v>283</v>
      </c>
      <c r="C24" s="124" t="s">
        <v>284</v>
      </c>
      <c r="D24" s="124" t="s">
        <v>273</v>
      </c>
      <c r="E24" s="125">
        <v>1973595</v>
      </c>
      <c r="F24" s="126">
        <v>2327.4605835000002</v>
      </c>
      <c r="G24" s="127">
        <v>1.6573770000000002E-2</v>
      </c>
      <c r="H24" s="122" t="s">
        <v>153</v>
      </c>
      <c r="J24" s="33"/>
    </row>
    <row r="25" spans="1:10" x14ac:dyDescent="0.2">
      <c r="A25" s="123">
        <v>19</v>
      </c>
      <c r="B25" s="124" t="s">
        <v>237</v>
      </c>
      <c r="C25" s="124" t="s">
        <v>238</v>
      </c>
      <c r="D25" s="124" t="s">
        <v>239</v>
      </c>
      <c r="E25" s="125">
        <v>53653</v>
      </c>
      <c r="F25" s="126">
        <v>2286.2884625000002</v>
      </c>
      <c r="G25" s="127">
        <v>1.6280590000000001E-2</v>
      </c>
      <c r="H25" s="122" t="s">
        <v>153</v>
      </c>
      <c r="J25" s="2"/>
    </row>
    <row r="26" spans="1:10" x14ac:dyDescent="0.2">
      <c r="A26" s="123">
        <v>20</v>
      </c>
      <c r="B26" s="124" t="s">
        <v>401</v>
      </c>
      <c r="C26" s="124" t="s">
        <v>402</v>
      </c>
      <c r="D26" s="124" t="s">
        <v>403</v>
      </c>
      <c r="E26" s="125">
        <v>139421</v>
      </c>
      <c r="F26" s="126">
        <v>2274.793036</v>
      </c>
      <c r="G26" s="127">
        <v>1.6198730000000001E-2</v>
      </c>
      <c r="H26" s="122" t="s">
        <v>153</v>
      </c>
      <c r="J26" s="2"/>
    </row>
    <row r="27" spans="1:10" x14ac:dyDescent="0.2">
      <c r="A27" s="123">
        <v>21</v>
      </c>
      <c r="B27" s="124" t="s">
        <v>544</v>
      </c>
      <c r="C27" s="124" t="s">
        <v>545</v>
      </c>
      <c r="D27" s="124" t="s">
        <v>264</v>
      </c>
      <c r="E27" s="125">
        <v>145079</v>
      </c>
      <c r="F27" s="126">
        <v>2138.9722364999998</v>
      </c>
      <c r="G27" s="127">
        <v>1.523155E-2</v>
      </c>
      <c r="H27" s="122" t="s">
        <v>153</v>
      </c>
      <c r="J27" s="33"/>
    </row>
    <row r="28" spans="1:10" x14ac:dyDescent="0.2">
      <c r="A28" s="123">
        <v>22</v>
      </c>
      <c r="B28" s="124" t="s">
        <v>492</v>
      </c>
      <c r="C28" s="124" t="s">
        <v>493</v>
      </c>
      <c r="D28" s="124" t="s">
        <v>403</v>
      </c>
      <c r="E28" s="125">
        <v>102548</v>
      </c>
      <c r="F28" s="126">
        <v>2027.63033</v>
      </c>
      <c r="G28" s="127">
        <v>1.4438690000000001E-2</v>
      </c>
      <c r="H28" s="122" t="s">
        <v>153</v>
      </c>
      <c r="J28" s="33"/>
    </row>
    <row r="29" spans="1:10" ht="25.5" x14ac:dyDescent="0.2">
      <c r="A29" s="123">
        <v>23</v>
      </c>
      <c r="B29" s="124" t="s">
        <v>822</v>
      </c>
      <c r="C29" s="124" t="s">
        <v>823</v>
      </c>
      <c r="D29" s="124" t="s">
        <v>239</v>
      </c>
      <c r="E29" s="125">
        <v>182931</v>
      </c>
      <c r="F29" s="126">
        <v>1962.8496299999999</v>
      </c>
      <c r="G29" s="127">
        <v>1.3977389999999999E-2</v>
      </c>
      <c r="H29" s="122" t="s">
        <v>153</v>
      </c>
      <c r="J29" s="33"/>
    </row>
    <row r="30" spans="1:10" x14ac:dyDescent="0.2">
      <c r="A30" s="123">
        <v>24</v>
      </c>
      <c r="B30" s="124" t="s">
        <v>824</v>
      </c>
      <c r="C30" s="124" t="s">
        <v>825</v>
      </c>
      <c r="D30" s="124" t="s">
        <v>198</v>
      </c>
      <c r="E30" s="125">
        <v>862053</v>
      </c>
      <c r="F30" s="126">
        <v>1790.4840810000001</v>
      </c>
      <c r="G30" s="127">
        <v>1.2749979999999999E-2</v>
      </c>
      <c r="H30" s="122" t="s">
        <v>153</v>
      </c>
      <c r="J30" s="33"/>
    </row>
    <row r="31" spans="1:10" x14ac:dyDescent="0.2">
      <c r="A31" s="123">
        <v>25</v>
      </c>
      <c r="B31" s="124" t="s">
        <v>322</v>
      </c>
      <c r="C31" s="124" t="s">
        <v>323</v>
      </c>
      <c r="D31" s="124" t="s">
        <v>53</v>
      </c>
      <c r="E31" s="125">
        <v>2349521</v>
      </c>
      <c r="F31" s="126">
        <v>1781.8767264000001</v>
      </c>
      <c r="G31" s="127">
        <v>1.2688690000000001E-2</v>
      </c>
      <c r="H31" s="122" t="s">
        <v>153</v>
      </c>
      <c r="J31" s="33"/>
    </row>
    <row r="32" spans="1:10" x14ac:dyDescent="0.2">
      <c r="A32" s="123">
        <v>26</v>
      </c>
      <c r="B32" s="124" t="s">
        <v>72</v>
      </c>
      <c r="C32" s="124" t="s">
        <v>73</v>
      </c>
      <c r="D32" s="124" t="s">
        <v>74</v>
      </c>
      <c r="E32" s="125">
        <v>28879</v>
      </c>
      <c r="F32" s="126">
        <v>1743.973931</v>
      </c>
      <c r="G32" s="127">
        <v>1.2418780000000001E-2</v>
      </c>
      <c r="H32" s="122" t="s">
        <v>153</v>
      </c>
      <c r="J32" s="33"/>
    </row>
    <row r="33" spans="1:10" x14ac:dyDescent="0.2">
      <c r="A33" s="123">
        <v>27</v>
      </c>
      <c r="B33" s="124" t="s">
        <v>311</v>
      </c>
      <c r="C33" s="124" t="s">
        <v>312</v>
      </c>
      <c r="D33" s="124" t="s">
        <v>216</v>
      </c>
      <c r="E33" s="125">
        <v>49635</v>
      </c>
      <c r="F33" s="126">
        <v>1696.22649</v>
      </c>
      <c r="G33" s="127">
        <v>1.2078780000000001E-2</v>
      </c>
      <c r="H33" s="122" t="s">
        <v>153</v>
      </c>
      <c r="J33" s="33"/>
    </row>
    <row r="34" spans="1:10" x14ac:dyDescent="0.2">
      <c r="A34" s="123">
        <v>28</v>
      </c>
      <c r="B34" s="124" t="s">
        <v>826</v>
      </c>
      <c r="C34" s="124" t="s">
        <v>827</v>
      </c>
      <c r="D34" s="124" t="s">
        <v>74</v>
      </c>
      <c r="E34" s="125">
        <v>100818</v>
      </c>
      <c r="F34" s="126">
        <v>1533.6938250000001</v>
      </c>
      <c r="G34" s="127">
        <v>1.092139E-2</v>
      </c>
      <c r="H34" s="122" t="s">
        <v>153</v>
      </c>
      <c r="J34" s="33"/>
    </row>
    <row r="35" spans="1:10" x14ac:dyDescent="0.2">
      <c r="A35" s="123">
        <v>29</v>
      </c>
      <c r="B35" s="124" t="s">
        <v>262</v>
      </c>
      <c r="C35" s="124" t="s">
        <v>263</v>
      </c>
      <c r="D35" s="124" t="s">
        <v>264</v>
      </c>
      <c r="E35" s="125">
        <v>72975</v>
      </c>
      <c r="F35" s="126">
        <v>1496.3158874999999</v>
      </c>
      <c r="G35" s="127">
        <v>1.065522E-2</v>
      </c>
      <c r="H35" s="122" t="s">
        <v>153</v>
      </c>
      <c r="J35" s="33"/>
    </row>
    <row r="36" spans="1:10" ht="25.5" x14ac:dyDescent="0.2">
      <c r="A36" s="123">
        <v>30</v>
      </c>
      <c r="B36" s="124" t="s">
        <v>248</v>
      </c>
      <c r="C36" s="124" t="s">
        <v>249</v>
      </c>
      <c r="D36" s="124" t="s">
        <v>250</v>
      </c>
      <c r="E36" s="125">
        <v>50477</v>
      </c>
      <c r="F36" s="126">
        <v>1469.4107085000001</v>
      </c>
      <c r="G36" s="127">
        <v>1.046363E-2</v>
      </c>
      <c r="H36" s="122" t="s">
        <v>153</v>
      </c>
      <c r="J36" s="33"/>
    </row>
    <row r="37" spans="1:10" ht="25.5" x14ac:dyDescent="0.2">
      <c r="A37" s="123">
        <v>31</v>
      </c>
      <c r="B37" s="124" t="s">
        <v>828</v>
      </c>
      <c r="C37" s="124" t="s">
        <v>829</v>
      </c>
      <c r="D37" s="124" t="s">
        <v>83</v>
      </c>
      <c r="E37" s="125">
        <v>182846</v>
      </c>
      <c r="F37" s="126">
        <v>1402.2459739999999</v>
      </c>
      <c r="G37" s="127">
        <v>9.9853500000000005E-3</v>
      </c>
      <c r="H37" s="122" t="s">
        <v>153</v>
      </c>
      <c r="J37" s="33"/>
    </row>
    <row r="38" spans="1:10" x14ac:dyDescent="0.2">
      <c r="A38" s="123">
        <v>32</v>
      </c>
      <c r="B38" s="124" t="s">
        <v>530</v>
      </c>
      <c r="C38" s="124" t="s">
        <v>531</v>
      </c>
      <c r="D38" s="124" t="s">
        <v>45</v>
      </c>
      <c r="E38" s="125">
        <v>152583</v>
      </c>
      <c r="F38" s="126">
        <v>1378.2059475000001</v>
      </c>
      <c r="G38" s="127">
        <v>9.8141600000000006E-3</v>
      </c>
      <c r="H38" s="122" t="s">
        <v>153</v>
      </c>
      <c r="J38" s="33"/>
    </row>
    <row r="39" spans="1:10" x14ac:dyDescent="0.2">
      <c r="A39" s="123">
        <v>33</v>
      </c>
      <c r="B39" s="124" t="s">
        <v>803</v>
      </c>
      <c r="C39" s="124" t="s">
        <v>804</v>
      </c>
      <c r="D39" s="124" t="s">
        <v>198</v>
      </c>
      <c r="E39" s="125">
        <v>556288</v>
      </c>
      <c r="F39" s="126">
        <v>1247.5870976000001</v>
      </c>
      <c r="G39" s="127">
        <v>8.8840299999999994E-3</v>
      </c>
      <c r="H39" s="122" t="s">
        <v>153</v>
      </c>
      <c r="J39" s="33"/>
    </row>
    <row r="40" spans="1:10" x14ac:dyDescent="0.2">
      <c r="A40" s="123">
        <v>34</v>
      </c>
      <c r="B40" s="124" t="s">
        <v>777</v>
      </c>
      <c r="C40" s="124" t="s">
        <v>778</v>
      </c>
      <c r="D40" s="124" t="s">
        <v>74</v>
      </c>
      <c r="E40" s="125">
        <v>3661</v>
      </c>
      <c r="F40" s="126">
        <v>1185.7832559999999</v>
      </c>
      <c r="G40" s="127">
        <v>8.4439300000000005E-3</v>
      </c>
      <c r="H40" s="122" t="s">
        <v>153</v>
      </c>
      <c r="J40" s="33"/>
    </row>
    <row r="41" spans="1:10" x14ac:dyDescent="0.2">
      <c r="A41" s="123">
        <v>35</v>
      </c>
      <c r="B41" s="124" t="s">
        <v>830</v>
      </c>
      <c r="C41" s="124" t="s">
        <v>831</v>
      </c>
      <c r="D41" s="124" t="s">
        <v>35</v>
      </c>
      <c r="E41" s="125">
        <v>222061</v>
      </c>
      <c r="F41" s="126">
        <v>1148.277431</v>
      </c>
      <c r="G41" s="127">
        <v>8.1768499999999994E-3</v>
      </c>
      <c r="H41" s="122" t="s">
        <v>153</v>
      </c>
      <c r="J41" s="33"/>
    </row>
    <row r="42" spans="1:10" x14ac:dyDescent="0.2">
      <c r="A42" s="123">
        <v>36</v>
      </c>
      <c r="B42" s="124" t="s">
        <v>128</v>
      </c>
      <c r="C42" s="124" t="s">
        <v>129</v>
      </c>
      <c r="D42" s="124" t="s">
        <v>86</v>
      </c>
      <c r="E42" s="125">
        <v>269747</v>
      </c>
      <c r="F42" s="126">
        <v>1131.0491709999999</v>
      </c>
      <c r="G42" s="127">
        <v>8.0541699999999994E-3</v>
      </c>
      <c r="H42" s="122" t="s">
        <v>153</v>
      </c>
      <c r="J42" s="33"/>
    </row>
    <row r="43" spans="1:10" x14ac:dyDescent="0.2">
      <c r="A43" s="123">
        <v>37</v>
      </c>
      <c r="B43" s="124" t="s">
        <v>147</v>
      </c>
      <c r="C43" s="124" t="s">
        <v>148</v>
      </c>
      <c r="D43" s="124" t="s">
        <v>66</v>
      </c>
      <c r="E43" s="125">
        <v>212553</v>
      </c>
      <c r="F43" s="126">
        <v>956.48850000000004</v>
      </c>
      <c r="G43" s="127">
        <v>6.8111200000000004E-3</v>
      </c>
      <c r="H43" s="122" t="s">
        <v>153</v>
      </c>
      <c r="J43" s="33"/>
    </row>
    <row r="44" spans="1:10" x14ac:dyDescent="0.2">
      <c r="A44" s="123">
        <v>38</v>
      </c>
      <c r="B44" s="124" t="s">
        <v>727</v>
      </c>
      <c r="C44" s="124" t="s">
        <v>728</v>
      </c>
      <c r="D44" s="124" t="s">
        <v>216</v>
      </c>
      <c r="E44" s="125">
        <v>43287</v>
      </c>
      <c r="F44" s="126">
        <v>926.25522599999999</v>
      </c>
      <c r="G44" s="127">
        <v>6.5958299999999996E-3</v>
      </c>
      <c r="H44" s="122" t="s">
        <v>153</v>
      </c>
      <c r="J44" s="33"/>
    </row>
    <row r="45" spans="1:10" x14ac:dyDescent="0.2">
      <c r="A45" s="123">
        <v>39</v>
      </c>
      <c r="B45" s="124" t="s">
        <v>122</v>
      </c>
      <c r="C45" s="124" t="s">
        <v>123</v>
      </c>
      <c r="D45" s="124" t="s">
        <v>74</v>
      </c>
      <c r="E45" s="125">
        <v>83294</v>
      </c>
      <c r="F45" s="126">
        <v>814.240497</v>
      </c>
      <c r="G45" s="127">
        <v>5.79818E-3</v>
      </c>
      <c r="H45" s="122" t="s">
        <v>153</v>
      </c>
      <c r="J45" s="33"/>
    </row>
    <row r="46" spans="1:10" x14ac:dyDescent="0.2">
      <c r="A46" s="123">
        <v>40</v>
      </c>
      <c r="B46" s="124" t="s">
        <v>120</v>
      </c>
      <c r="C46" s="124" t="s">
        <v>121</v>
      </c>
      <c r="D46" s="124" t="s">
        <v>53</v>
      </c>
      <c r="E46" s="125">
        <v>96177</v>
      </c>
      <c r="F46" s="126">
        <v>669.48809700000004</v>
      </c>
      <c r="G46" s="127">
        <v>4.7673999999999998E-3</v>
      </c>
      <c r="H46" s="122" t="s">
        <v>153</v>
      </c>
      <c r="J46" s="33"/>
    </row>
    <row r="47" spans="1:10" x14ac:dyDescent="0.2">
      <c r="A47" s="123">
        <v>41</v>
      </c>
      <c r="B47" s="124" t="s">
        <v>409</v>
      </c>
      <c r="C47" s="124" t="s">
        <v>410</v>
      </c>
      <c r="D47" s="124" t="s">
        <v>45</v>
      </c>
      <c r="E47" s="125">
        <v>26667</v>
      </c>
      <c r="F47" s="126">
        <v>660.32825400000002</v>
      </c>
      <c r="G47" s="127">
        <v>4.7021800000000002E-3</v>
      </c>
      <c r="H47" s="122" t="s">
        <v>153</v>
      </c>
      <c r="J47" s="33"/>
    </row>
    <row r="48" spans="1:10" x14ac:dyDescent="0.2">
      <c r="A48" s="123">
        <v>42</v>
      </c>
      <c r="B48" s="124" t="s">
        <v>124</v>
      </c>
      <c r="C48" s="124" t="s">
        <v>125</v>
      </c>
      <c r="D48" s="124" t="s">
        <v>35</v>
      </c>
      <c r="E48" s="125">
        <v>269818</v>
      </c>
      <c r="F48" s="126">
        <v>453.1863128</v>
      </c>
      <c r="G48" s="127">
        <v>3.2271299999999999E-3</v>
      </c>
      <c r="H48" s="122" t="s">
        <v>153</v>
      </c>
      <c r="J48" s="33"/>
    </row>
    <row r="49" spans="1:10" x14ac:dyDescent="0.2">
      <c r="A49" s="123">
        <v>43</v>
      </c>
      <c r="B49" s="124" t="s">
        <v>30</v>
      </c>
      <c r="C49" s="124" t="s">
        <v>31</v>
      </c>
      <c r="D49" s="124" t="s">
        <v>32</v>
      </c>
      <c r="E49" s="125">
        <v>139369</v>
      </c>
      <c r="F49" s="126">
        <v>417.131417</v>
      </c>
      <c r="G49" s="127">
        <v>2.9703799999999999E-3</v>
      </c>
      <c r="H49" s="122" t="s">
        <v>153</v>
      </c>
      <c r="J49" s="33"/>
    </row>
    <row r="50" spans="1:10" x14ac:dyDescent="0.2">
      <c r="A50" s="120"/>
      <c r="B50" s="120"/>
      <c r="C50" s="121" t="s">
        <v>152</v>
      </c>
      <c r="D50" s="120"/>
      <c r="E50" s="120" t="s">
        <v>153</v>
      </c>
      <c r="F50" s="128">
        <v>104275.3052307</v>
      </c>
      <c r="G50" s="129">
        <v>0.74254116000000003</v>
      </c>
      <c r="H50" s="122" t="s">
        <v>153</v>
      </c>
      <c r="J50" s="33"/>
    </row>
    <row r="51" spans="1:10" x14ac:dyDescent="0.2">
      <c r="A51" s="120"/>
      <c r="B51" s="120"/>
      <c r="C51" s="130"/>
      <c r="D51" s="120"/>
      <c r="E51" s="120"/>
      <c r="F51" s="131"/>
      <c r="G51" s="131"/>
      <c r="H51" s="122" t="s">
        <v>153</v>
      </c>
      <c r="J51" s="33"/>
    </row>
    <row r="52" spans="1:10" x14ac:dyDescent="0.2">
      <c r="A52" s="120"/>
      <c r="B52" s="120"/>
      <c r="C52" s="121" t="s">
        <v>154</v>
      </c>
      <c r="D52" s="120"/>
      <c r="E52" s="120"/>
      <c r="F52" s="120"/>
      <c r="G52" s="120"/>
      <c r="H52" s="122" t="s">
        <v>153</v>
      </c>
      <c r="J52" s="33"/>
    </row>
    <row r="53" spans="1:10" x14ac:dyDescent="0.2">
      <c r="A53" s="120"/>
      <c r="B53" s="120"/>
      <c r="C53" s="121" t="s">
        <v>152</v>
      </c>
      <c r="D53" s="120"/>
      <c r="E53" s="120" t="s">
        <v>153</v>
      </c>
      <c r="F53" s="132" t="s">
        <v>155</v>
      </c>
      <c r="G53" s="129">
        <v>0</v>
      </c>
      <c r="H53" s="122" t="s">
        <v>153</v>
      </c>
      <c r="J53" s="33"/>
    </row>
    <row r="54" spans="1:10" x14ac:dyDescent="0.2">
      <c r="A54" s="120"/>
      <c r="B54" s="120"/>
      <c r="C54" s="130"/>
      <c r="D54" s="120"/>
      <c r="E54" s="120"/>
      <c r="F54" s="131"/>
      <c r="G54" s="131"/>
      <c r="H54" s="122" t="s">
        <v>153</v>
      </c>
      <c r="J54" s="33"/>
    </row>
    <row r="55" spans="1:10" x14ac:dyDescent="0.2">
      <c r="A55" s="120"/>
      <c r="B55" s="120"/>
      <c r="C55" s="121" t="s">
        <v>156</v>
      </c>
      <c r="D55" s="120"/>
      <c r="E55" s="120"/>
      <c r="F55" s="120"/>
      <c r="G55" s="120"/>
      <c r="H55" s="122" t="s">
        <v>153</v>
      </c>
      <c r="J55" s="33"/>
    </row>
    <row r="56" spans="1:10" x14ac:dyDescent="0.2">
      <c r="A56" s="120"/>
      <c r="B56" s="120"/>
      <c r="C56" s="121" t="s">
        <v>152</v>
      </c>
      <c r="D56" s="120"/>
      <c r="E56" s="120" t="s">
        <v>153</v>
      </c>
      <c r="F56" s="132" t="s">
        <v>155</v>
      </c>
      <c r="G56" s="129">
        <v>0</v>
      </c>
      <c r="H56" s="122" t="s">
        <v>153</v>
      </c>
      <c r="J56" s="33"/>
    </row>
    <row r="57" spans="1:10" x14ac:dyDescent="0.2">
      <c r="A57" s="120"/>
      <c r="B57" s="120"/>
      <c r="C57" s="130"/>
      <c r="D57" s="120"/>
      <c r="E57" s="120"/>
      <c r="F57" s="131"/>
      <c r="G57" s="131"/>
      <c r="H57" s="122" t="s">
        <v>153</v>
      </c>
      <c r="J57" s="33"/>
    </row>
    <row r="58" spans="1:10" x14ac:dyDescent="0.2">
      <c r="A58" s="120"/>
      <c r="B58" s="120"/>
      <c r="C58" s="121" t="s">
        <v>157</v>
      </c>
      <c r="D58" s="120"/>
      <c r="E58" s="120"/>
      <c r="F58" s="120"/>
      <c r="G58" s="120"/>
      <c r="H58" s="122" t="s">
        <v>153</v>
      </c>
      <c r="J58" s="33"/>
    </row>
    <row r="59" spans="1:10" x14ac:dyDescent="0.2">
      <c r="A59" s="120"/>
      <c r="B59" s="120"/>
      <c r="C59" s="121" t="s">
        <v>152</v>
      </c>
      <c r="D59" s="120"/>
      <c r="E59" s="120" t="s">
        <v>153</v>
      </c>
      <c r="F59" s="132" t="s">
        <v>155</v>
      </c>
      <c r="G59" s="129">
        <v>0</v>
      </c>
      <c r="H59" s="122" t="s">
        <v>153</v>
      </c>
      <c r="J59" s="33"/>
    </row>
    <row r="60" spans="1:10" x14ac:dyDescent="0.2">
      <c r="A60" s="120"/>
      <c r="B60" s="120"/>
      <c r="C60" s="130"/>
      <c r="D60" s="120"/>
      <c r="E60" s="120"/>
      <c r="F60" s="131"/>
      <c r="G60" s="131"/>
      <c r="H60" s="122" t="s">
        <v>153</v>
      </c>
      <c r="J60" s="33"/>
    </row>
    <row r="61" spans="1:10" x14ac:dyDescent="0.2">
      <c r="A61" s="120"/>
      <c r="B61" s="120"/>
      <c r="C61" s="121" t="s">
        <v>158</v>
      </c>
      <c r="D61" s="120"/>
      <c r="E61" s="120"/>
      <c r="F61" s="131"/>
      <c r="G61" s="131"/>
      <c r="H61" s="122" t="s">
        <v>153</v>
      </c>
      <c r="J61" s="33"/>
    </row>
    <row r="62" spans="1:10" x14ac:dyDescent="0.2">
      <c r="A62" s="120"/>
      <c r="B62" s="120"/>
      <c r="C62" s="121" t="s">
        <v>152</v>
      </c>
      <c r="D62" s="120"/>
      <c r="E62" s="120" t="s">
        <v>153</v>
      </c>
      <c r="F62" s="132" t="s">
        <v>155</v>
      </c>
      <c r="G62" s="129">
        <v>0</v>
      </c>
      <c r="H62" s="122" t="s">
        <v>153</v>
      </c>
      <c r="J62" s="33"/>
    </row>
    <row r="63" spans="1:10" x14ac:dyDescent="0.2">
      <c r="A63" s="120"/>
      <c r="B63" s="120"/>
      <c r="C63" s="130"/>
      <c r="D63" s="120"/>
      <c r="E63" s="120"/>
      <c r="F63" s="131"/>
      <c r="G63" s="131"/>
      <c r="H63" s="122" t="s">
        <v>153</v>
      </c>
      <c r="J63" s="33"/>
    </row>
    <row r="64" spans="1:10" x14ac:dyDescent="0.2">
      <c r="A64" s="120"/>
      <c r="B64" s="120"/>
      <c r="C64" s="121" t="s">
        <v>159</v>
      </c>
      <c r="D64" s="120"/>
      <c r="E64" s="120"/>
      <c r="F64" s="131"/>
      <c r="G64" s="131"/>
      <c r="H64" s="122" t="s">
        <v>153</v>
      </c>
      <c r="J64" s="33"/>
    </row>
    <row r="65" spans="1:10" x14ac:dyDescent="0.2">
      <c r="A65" s="120"/>
      <c r="B65" s="120"/>
      <c r="C65" s="121" t="s">
        <v>152</v>
      </c>
      <c r="D65" s="120"/>
      <c r="E65" s="120" t="s">
        <v>153</v>
      </c>
      <c r="F65" s="132" t="s">
        <v>155</v>
      </c>
      <c r="G65" s="129">
        <v>0</v>
      </c>
      <c r="H65" s="122" t="s">
        <v>153</v>
      </c>
      <c r="J65" s="33"/>
    </row>
    <row r="66" spans="1:10" x14ac:dyDescent="0.2">
      <c r="A66" s="120"/>
      <c r="B66" s="120"/>
      <c r="C66" s="130"/>
      <c r="D66" s="120"/>
      <c r="E66" s="120"/>
      <c r="F66" s="131"/>
      <c r="G66" s="131"/>
      <c r="H66" s="122" t="s">
        <v>153</v>
      </c>
      <c r="J66" s="33"/>
    </row>
    <row r="67" spans="1:10" x14ac:dyDescent="0.2">
      <c r="A67" s="120"/>
      <c r="B67" s="120"/>
      <c r="C67" s="121" t="s">
        <v>160</v>
      </c>
      <c r="D67" s="120"/>
      <c r="E67" s="120"/>
      <c r="F67" s="128">
        <v>104275.3052307</v>
      </c>
      <c r="G67" s="129">
        <v>0.74254116000000003</v>
      </c>
      <c r="H67" s="122" t="s">
        <v>153</v>
      </c>
      <c r="J67" s="33"/>
    </row>
    <row r="68" spans="1:10" x14ac:dyDescent="0.2">
      <c r="A68" s="120"/>
      <c r="B68" s="120"/>
      <c r="C68" s="130"/>
      <c r="D68" s="120"/>
      <c r="E68" s="120"/>
      <c r="F68" s="131"/>
      <c r="G68" s="131"/>
      <c r="H68" s="122" t="s">
        <v>153</v>
      </c>
      <c r="J68" s="33"/>
    </row>
    <row r="69" spans="1:10" x14ac:dyDescent="0.2">
      <c r="A69" s="120"/>
      <c r="B69" s="120"/>
      <c r="C69" s="121" t="s">
        <v>161</v>
      </c>
      <c r="D69" s="120"/>
      <c r="E69" s="120"/>
      <c r="F69" s="131"/>
      <c r="G69" s="131"/>
      <c r="H69" s="122" t="s">
        <v>153</v>
      </c>
      <c r="J69" s="33"/>
    </row>
    <row r="70" spans="1:10" ht="25.5" x14ac:dyDescent="0.2">
      <c r="A70" s="120"/>
      <c r="B70" s="120"/>
      <c r="C70" s="121" t="s">
        <v>10</v>
      </c>
      <c r="D70" s="120"/>
      <c r="E70" s="120"/>
      <c r="F70" s="131"/>
      <c r="G70" s="131"/>
      <c r="H70" s="122" t="s">
        <v>153</v>
      </c>
      <c r="J70" s="33"/>
    </row>
    <row r="71" spans="1:10" x14ac:dyDescent="0.2">
      <c r="A71" s="120"/>
      <c r="B71" s="120"/>
      <c r="C71" s="121" t="s">
        <v>152</v>
      </c>
      <c r="D71" s="120"/>
      <c r="E71" s="120" t="s">
        <v>153</v>
      </c>
      <c r="F71" s="132" t="s">
        <v>155</v>
      </c>
      <c r="G71" s="129">
        <v>0</v>
      </c>
      <c r="H71" s="122" t="s">
        <v>153</v>
      </c>
      <c r="J71" s="33"/>
    </row>
    <row r="72" spans="1:10" x14ac:dyDescent="0.2">
      <c r="A72" s="120"/>
      <c r="B72" s="120"/>
      <c r="C72" s="130"/>
      <c r="D72" s="120"/>
      <c r="E72" s="120"/>
      <c r="F72" s="131"/>
      <c r="G72" s="131"/>
      <c r="H72" s="122" t="s">
        <v>153</v>
      </c>
      <c r="J72" s="33"/>
    </row>
    <row r="73" spans="1:10" x14ac:dyDescent="0.2">
      <c r="A73" s="120"/>
      <c r="B73" s="120"/>
      <c r="C73" s="121" t="s">
        <v>162</v>
      </c>
      <c r="D73" s="120"/>
      <c r="E73" s="120"/>
      <c r="F73" s="120"/>
      <c r="G73" s="120"/>
      <c r="H73" s="122" t="s">
        <v>153</v>
      </c>
      <c r="J73" s="33"/>
    </row>
    <row r="74" spans="1:10" x14ac:dyDescent="0.2">
      <c r="A74" s="120"/>
      <c r="B74" s="120"/>
      <c r="C74" s="121" t="s">
        <v>152</v>
      </c>
      <c r="D74" s="120"/>
      <c r="E74" s="120" t="s">
        <v>153</v>
      </c>
      <c r="F74" s="132" t="s">
        <v>155</v>
      </c>
      <c r="G74" s="129">
        <v>0</v>
      </c>
      <c r="H74" s="122" t="s">
        <v>153</v>
      </c>
      <c r="J74" s="33"/>
    </row>
    <row r="75" spans="1:10" x14ac:dyDescent="0.2">
      <c r="A75" s="120"/>
      <c r="B75" s="120"/>
      <c r="C75" s="130"/>
      <c r="D75" s="120"/>
      <c r="E75" s="120"/>
      <c r="F75" s="131"/>
      <c r="G75" s="131"/>
      <c r="H75" s="122" t="s">
        <v>153</v>
      </c>
      <c r="J75" s="33"/>
    </row>
    <row r="76" spans="1:10" x14ac:dyDescent="0.2">
      <c r="A76" s="120"/>
      <c r="B76" s="120"/>
      <c r="C76" s="121" t="s">
        <v>163</v>
      </c>
      <c r="D76" s="120"/>
      <c r="E76" s="120"/>
      <c r="F76" s="120"/>
      <c r="G76" s="120"/>
      <c r="H76" s="122" t="s">
        <v>153</v>
      </c>
      <c r="J76" s="33"/>
    </row>
    <row r="77" spans="1:10" x14ac:dyDescent="0.2">
      <c r="A77" s="120"/>
      <c r="B77" s="120"/>
      <c r="C77" s="121" t="s">
        <v>152</v>
      </c>
      <c r="D77" s="120"/>
      <c r="E77" s="120" t="s">
        <v>153</v>
      </c>
      <c r="F77" s="132" t="s">
        <v>155</v>
      </c>
      <c r="G77" s="129">
        <v>0</v>
      </c>
      <c r="H77" s="122" t="s">
        <v>153</v>
      </c>
      <c r="J77" s="33"/>
    </row>
    <row r="78" spans="1:10" x14ac:dyDescent="0.2">
      <c r="A78" s="120"/>
      <c r="B78" s="120"/>
      <c r="C78" s="130"/>
      <c r="D78" s="120"/>
      <c r="E78" s="120"/>
      <c r="F78" s="131"/>
      <c r="G78" s="131"/>
      <c r="H78" s="122" t="s">
        <v>153</v>
      </c>
      <c r="J78" s="33"/>
    </row>
    <row r="79" spans="1:10" x14ac:dyDescent="0.2">
      <c r="A79" s="120"/>
      <c r="B79" s="120"/>
      <c r="C79" s="121" t="s">
        <v>164</v>
      </c>
      <c r="D79" s="120"/>
      <c r="E79" s="120"/>
      <c r="F79" s="131"/>
      <c r="G79" s="131"/>
      <c r="H79" s="122" t="s">
        <v>153</v>
      </c>
      <c r="J79" s="33"/>
    </row>
    <row r="80" spans="1:10" x14ac:dyDescent="0.2">
      <c r="A80" s="120"/>
      <c r="B80" s="120"/>
      <c r="C80" s="121" t="s">
        <v>152</v>
      </c>
      <c r="D80" s="120"/>
      <c r="E80" s="120" t="s">
        <v>153</v>
      </c>
      <c r="F80" s="132" t="s">
        <v>155</v>
      </c>
      <c r="G80" s="129">
        <v>0</v>
      </c>
      <c r="H80" s="122" t="s">
        <v>153</v>
      </c>
      <c r="J80" s="33"/>
    </row>
    <row r="81" spans="1:10" x14ac:dyDescent="0.2">
      <c r="A81" s="120"/>
      <c r="B81" s="120"/>
      <c r="C81" s="130"/>
      <c r="D81" s="120"/>
      <c r="E81" s="120"/>
      <c r="F81" s="131"/>
      <c r="G81" s="131"/>
      <c r="H81" s="122" t="s">
        <v>153</v>
      </c>
      <c r="J81" s="33"/>
    </row>
    <row r="82" spans="1:10" x14ac:dyDescent="0.2">
      <c r="A82" s="120"/>
      <c r="B82" s="120"/>
      <c r="C82" s="121" t="s">
        <v>165</v>
      </c>
      <c r="D82" s="120"/>
      <c r="E82" s="120"/>
      <c r="F82" s="128">
        <v>0</v>
      </c>
      <c r="G82" s="129">
        <v>0</v>
      </c>
      <c r="H82" s="122" t="s">
        <v>153</v>
      </c>
      <c r="J82" s="33"/>
    </row>
    <row r="83" spans="1:10" x14ac:dyDescent="0.2">
      <c r="A83" s="120"/>
      <c r="B83" s="120"/>
      <c r="C83" s="130"/>
      <c r="D83" s="120"/>
      <c r="E83" s="120"/>
      <c r="F83" s="131"/>
      <c r="G83" s="131"/>
      <c r="H83" s="122" t="s">
        <v>153</v>
      </c>
      <c r="J83" s="33"/>
    </row>
    <row r="84" spans="1:10" x14ac:dyDescent="0.2">
      <c r="A84" s="120"/>
      <c r="B84" s="120"/>
      <c r="C84" s="121" t="s">
        <v>166</v>
      </c>
      <c r="D84" s="120"/>
      <c r="E84" s="120"/>
      <c r="F84" s="131"/>
      <c r="G84" s="131"/>
      <c r="H84" s="122" t="s">
        <v>153</v>
      </c>
      <c r="J84" s="33"/>
    </row>
    <row r="85" spans="1:10" x14ac:dyDescent="0.2">
      <c r="A85" s="120"/>
      <c r="B85" s="120"/>
      <c r="C85" s="121" t="s">
        <v>167</v>
      </c>
      <c r="D85" s="120"/>
      <c r="E85" s="120"/>
      <c r="F85" s="131"/>
      <c r="G85" s="131"/>
      <c r="H85" s="122" t="s">
        <v>153</v>
      </c>
      <c r="J85" s="33"/>
    </row>
    <row r="86" spans="1:10" x14ac:dyDescent="0.2">
      <c r="A86" s="120"/>
      <c r="B86" s="120"/>
      <c r="C86" s="121" t="s">
        <v>152</v>
      </c>
      <c r="D86" s="120"/>
      <c r="E86" s="120" t="s">
        <v>153</v>
      </c>
      <c r="F86" s="132" t="s">
        <v>155</v>
      </c>
      <c r="G86" s="129">
        <v>0</v>
      </c>
      <c r="H86" s="122" t="s">
        <v>153</v>
      </c>
      <c r="J86" s="33"/>
    </row>
    <row r="87" spans="1:10" x14ac:dyDescent="0.2">
      <c r="A87" s="120"/>
      <c r="B87" s="120"/>
      <c r="C87" s="130"/>
      <c r="D87" s="120"/>
      <c r="E87" s="120"/>
      <c r="F87" s="131"/>
      <c r="G87" s="131"/>
      <c r="H87" s="122" t="s">
        <v>153</v>
      </c>
      <c r="J87" s="33"/>
    </row>
    <row r="88" spans="1:10" x14ac:dyDescent="0.2">
      <c r="A88" s="120"/>
      <c r="B88" s="120"/>
      <c r="C88" s="121" t="s">
        <v>168</v>
      </c>
      <c r="D88" s="120"/>
      <c r="E88" s="120"/>
      <c r="F88" s="131"/>
      <c r="G88" s="131"/>
      <c r="H88" s="122" t="s">
        <v>153</v>
      </c>
      <c r="J88" s="33"/>
    </row>
    <row r="89" spans="1:10" x14ac:dyDescent="0.2">
      <c r="A89" s="120"/>
      <c r="B89" s="120"/>
      <c r="C89" s="121" t="s">
        <v>152</v>
      </c>
      <c r="D89" s="120"/>
      <c r="E89" s="120" t="s">
        <v>153</v>
      </c>
      <c r="F89" s="132" t="s">
        <v>155</v>
      </c>
      <c r="G89" s="129">
        <v>0</v>
      </c>
      <c r="H89" s="122" t="s">
        <v>153</v>
      </c>
      <c r="J89" s="33"/>
    </row>
    <row r="90" spans="1:10" x14ac:dyDescent="0.2">
      <c r="A90" s="120"/>
      <c r="B90" s="120"/>
      <c r="C90" s="130"/>
      <c r="D90" s="120"/>
      <c r="E90" s="120"/>
      <c r="F90" s="131"/>
      <c r="G90" s="131"/>
      <c r="H90" s="122" t="s">
        <v>153</v>
      </c>
      <c r="J90" s="33"/>
    </row>
    <row r="91" spans="1:10" x14ac:dyDescent="0.2">
      <c r="A91" s="120"/>
      <c r="B91" s="120"/>
      <c r="C91" s="121" t="s">
        <v>169</v>
      </c>
      <c r="D91" s="120"/>
      <c r="E91" s="120"/>
      <c r="F91" s="131"/>
      <c r="G91" s="131"/>
      <c r="H91" s="122" t="s">
        <v>153</v>
      </c>
      <c r="J91" s="33"/>
    </row>
    <row r="92" spans="1:10" x14ac:dyDescent="0.2">
      <c r="A92" s="120"/>
      <c r="B92" s="120"/>
      <c r="C92" s="121" t="s">
        <v>152</v>
      </c>
      <c r="D92" s="120"/>
      <c r="E92" s="120" t="s">
        <v>153</v>
      </c>
      <c r="F92" s="132" t="s">
        <v>155</v>
      </c>
      <c r="G92" s="129">
        <v>0</v>
      </c>
      <c r="H92" s="122" t="s">
        <v>153</v>
      </c>
      <c r="J92" s="33"/>
    </row>
    <row r="93" spans="1:10" x14ac:dyDescent="0.2">
      <c r="A93" s="120"/>
      <c r="B93" s="120"/>
      <c r="C93" s="130"/>
      <c r="D93" s="120"/>
      <c r="E93" s="120"/>
      <c r="F93" s="131"/>
      <c r="G93" s="131"/>
      <c r="H93" s="122" t="s">
        <v>153</v>
      </c>
      <c r="J93" s="33"/>
    </row>
    <row r="94" spans="1:10" x14ac:dyDescent="0.2">
      <c r="A94" s="120"/>
      <c r="B94" s="120"/>
      <c r="C94" s="121" t="s">
        <v>170</v>
      </c>
      <c r="D94" s="120"/>
      <c r="E94" s="120"/>
      <c r="F94" s="131"/>
      <c r="G94" s="131"/>
      <c r="H94" s="122" t="s">
        <v>153</v>
      </c>
      <c r="J94" s="33"/>
    </row>
    <row r="95" spans="1:10" x14ac:dyDescent="0.2">
      <c r="A95" s="123">
        <v>1</v>
      </c>
      <c r="B95" s="124"/>
      <c r="C95" s="124" t="s">
        <v>171</v>
      </c>
      <c r="D95" s="124"/>
      <c r="E95" s="133"/>
      <c r="F95" s="126">
        <v>25577.714340607999</v>
      </c>
      <c r="G95" s="127">
        <v>0.18213809</v>
      </c>
      <c r="H95" s="122">
        <v>6.62</v>
      </c>
      <c r="J95" s="33"/>
    </row>
    <row r="96" spans="1:10" x14ac:dyDescent="0.2">
      <c r="A96" s="120"/>
      <c r="B96" s="120"/>
      <c r="C96" s="121" t="s">
        <v>152</v>
      </c>
      <c r="D96" s="120"/>
      <c r="E96" s="120" t="s">
        <v>153</v>
      </c>
      <c r="F96" s="128">
        <v>25577.714340607999</v>
      </c>
      <c r="G96" s="129">
        <v>0.18213809</v>
      </c>
      <c r="H96" s="122" t="s">
        <v>153</v>
      </c>
      <c r="J96" s="33"/>
    </row>
    <row r="97" spans="1:10" x14ac:dyDescent="0.2">
      <c r="A97" s="120"/>
      <c r="B97" s="120"/>
      <c r="C97" s="130"/>
      <c r="D97" s="120"/>
      <c r="E97" s="120"/>
      <c r="F97" s="131"/>
      <c r="G97" s="131"/>
      <c r="H97" s="122" t="s">
        <v>153</v>
      </c>
      <c r="J97" s="33"/>
    </row>
    <row r="98" spans="1:10" x14ac:dyDescent="0.2">
      <c r="A98" s="120"/>
      <c r="B98" s="120"/>
      <c r="C98" s="121" t="s">
        <v>172</v>
      </c>
      <c r="D98" s="120"/>
      <c r="E98" s="120"/>
      <c r="F98" s="128">
        <v>25577.714340607999</v>
      </c>
      <c r="G98" s="129">
        <v>0.18213809</v>
      </c>
      <c r="H98" s="122" t="s">
        <v>153</v>
      </c>
      <c r="J98" s="33"/>
    </row>
    <row r="99" spans="1:10" x14ac:dyDescent="0.2">
      <c r="A99" s="120"/>
      <c r="B99" s="120"/>
      <c r="C99" s="131"/>
      <c r="D99" s="120"/>
      <c r="E99" s="120"/>
      <c r="F99" s="120"/>
      <c r="G99" s="120"/>
      <c r="H99" s="122" t="s">
        <v>153</v>
      </c>
      <c r="J99" s="33"/>
    </row>
    <row r="100" spans="1:10" x14ac:dyDescent="0.2">
      <c r="A100" s="120"/>
      <c r="B100" s="120"/>
      <c r="C100" s="121" t="s">
        <v>173</v>
      </c>
      <c r="D100" s="120"/>
      <c r="E100" s="120"/>
      <c r="F100" s="120"/>
      <c r="G100" s="120"/>
      <c r="H100" s="122" t="s">
        <v>153</v>
      </c>
      <c r="J100" s="33"/>
    </row>
    <row r="101" spans="1:10" x14ac:dyDescent="0.2">
      <c r="A101" s="120"/>
      <c r="B101" s="120"/>
      <c r="C101" s="121" t="s">
        <v>174</v>
      </c>
      <c r="D101" s="120"/>
      <c r="E101" s="120"/>
      <c r="F101" s="120"/>
      <c r="G101" s="120"/>
      <c r="H101" s="122" t="s">
        <v>153</v>
      </c>
      <c r="J101" s="33"/>
    </row>
    <row r="102" spans="1:10" x14ac:dyDescent="0.2">
      <c r="A102" s="120"/>
      <c r="B102" s="120"/>
      <c r="C102" s="121" t="s">
        <v>152</v>
      </c>
      <c r="D102" s="120"/>
      <c r="E102" s="120" t="s">
        <v>153</v>
      </c>
      <c r="F102" s="132" t="s">
        <v>155</v>
      </c>
      <c r="G102" s="129">
        <v>0</v>
      </c>
      <c r="H102" s="122" t="s">
        <v>153</v>
      </c>
      <c r="J102" s="33"/>
    </row>
    <row r="103" spans="1:10" x14ac:dyDescent="0.2">
      <c r="A103" s="120"/>
      <c r="B103" s="120"/>
      <c r="C103" s="130"/>
      <c r="D103" s="120"/>
      <c r="E103" s="120"/>
      <c r="F103" s="131"/>
      <c r="G103" s="131"/>
      <c r="H103" s="122" t="s">
        <v>153</v>
      </c>
      <c r="J103" s="33"/>
    </row>
    <row r="104" spans="1:10" x14ac:dyDescent="0.2">
      <c r="A104" s="120"/>
      <c r="B104" s="120"/>
      <c r="C104" s="121" t="s">
        <v>175</v>
      </c>
      <c r="D104" s="120"/>
      <c r="E104" s="120"/>
      <c r="F104" s="120"/>
      <c r="G104" s="120"/>
      <c r="H104" s="122" t="s">
        <v>153</v>
      </c>
      <c r="J104" s="33"/>
    </row>
    <row r="105" spans="1:10" x14ac:dyDescent="0.2">
      <c r="A105" s="120"/>
      <c r="B105" s="120"/>
      <c r="C105" s="121" t="s">
        <v>176</v>
      </c>
      <c r="D105" s="120"/>
      <c r="E105" s="120"/>
      <c r="F105" s="120"/>
      <c r="G105" s="120"/>
      <c r="H105" s="122" t="s">
        <v>153</v>
      </c>
      <c r="J105" s="33"/>
    </row>
    <row r="106" spans="1:10" x14ac:dyDescent="0.2">
      <c r="A106" s="120"/>
      <c r="B106" s="120"/>
      <c r="C106" s="121" t="s">
        <v>152</v>
      </c>
      <c r="D106" s="120"/>
      <c r="E106" s="120" t="s">
        <v>153</v>
      </c>
      <c r="F106" s="132" t="s">
        <v>155</v>
      </c>
      <c r="G106" s="129">
        <v>0</v>
      </c>
      <c r="H106" s="122" t="s">
        <v>153</v>
      </c>
      <c r="J106" s="33"/>
    </row>
    <row r="107" spans="1:10" x14ac:dyDescent="0.2">
      <c r="A107" s="120"/>
      <c r="B107" s="120"/>
      <c r="C107" s="130"/>
      <c r="D107" s="120"/>
      <c r="E107" s="120"/>
      <c r="F107" s="131"/>
      <c r="G107" s="131"/>
      <c r="H107" s="122" t="s">
        <v>153</v>
      </c>
      <c r="J107" s="33"/>
    </row>
    <row r="108" spans="1:10" ht="25.5" x14ac:dyDescent="0.2">
      <c r="A108" s="120"/>
      <c r="B108" s="120"/>
      <c r="C108" s="121" t="s">
        <v>177</v>
      </c>
      <c r="D108" s="120"/>
      <c r="E108" s="120"/>
      <c r="F108" s="131"/>
      <c r="G108" s="131"/>
      <c r="H108" s="122" t="s">
        <v>153</v>
      </c>
      <c r="J108" s="33"/>
    </row>
    <row r="109" spans="1:10" x14ac:dyDescent="0.2">
      <c r="A109" s="120"/>
      <c r="B109" s="120"/>
      <c r="C109" s="121" t="s">
        <v>152</v>
      </c>
      <c r="D109" s="120"/>
      <c r="E109" s="120" t="s">
        <v>153</v>
      </c>
      <c r="F109" s="132" t="s">
        <v>155</v>
      </c>
      <c r="G109" s="129">
        <v>0</v>
      </c>
      <c r="H109" s="122" t="s">
        <v>153</v>
      </c>
      <c r="J109" s="33"/>
    </row>
    <row r="110" spans="1:10" x14ac:dyDescent="0.2">
      <c r="A110" s="120"/>
      <c r="B110" s="124"/>
      <c r="C110" s="124"/>
      <c r="D110" s="121"/>
      <c r="E110" s="120"/>
      <c r="F110" s="124"/>
      <c r="G110" s="133"/>
      <c r="H110" s="122" t="s">
        <v>153</v>
      </c>
      <c r="J110" s="33"/>
    </row>
    <row r="111" spans="1:10" x14ac:dyDescent="0.2">
      <c r="A111" s="133"/>
      <c r="B111" s="124"/>
      <c r="C111" s="124" t="s">
        <v>178</v>
      </c>
      <c r="D111" s="124"/>
      <c r="E111" s="133"/>
      <c r="F111" s="126">
        <v>10577.326934250001</v>
      </c>
      <c r="G111" s="127">
        <v>7.5320810000000002E-2</v>
      </c>
      <c r="H111" s="122" t="s">
        <v>153</v>
      </c>
      <c r="J111" s="33"/>
    </row>
    <row r="112" spans="1:10" x14ac:dyDescent="0.2">
      <c r="A112" s="130"/>
      <c r="B112" s="130"/>
      <c r="C112" s="121" t="s">
        <v>179</v>
      </c>
      <c r="D112" s="131"/>
      <c r="E112" s="131"/>
      <c r="F112" s="128">
        <v>140430.346505558</v>
      </c>
      <c r="G112" s="134">
        <v>1.0000000600000001</v>
      </c>
      <c r="H112" s="122" t="s">
        <v>153</v>
      </c>
      <c r="J112" s="33"/>
    </row>
    <row r="113" spans="1:17" x14ac:dyDescent="0.2">
      <c r="A113" s="135"/>
      <c r="B113" s="135"/>
      <c r="C113" s="135"/>
      <c r="D113" s="136"/>
      <c r="E113" s="136"/>
      <c r="F113" s="136"/>
      <c r="G113" s="136"/>
      <c r="J113" s="33"/>
    </row>
    <row r="114" spans="1:17" x14ac:dyDescent="0.2">
      <c r="A114" s="137"/>
      <c r="B114" s="226" t="s">
        <v>863</v>
      </c>
      <c r="C114" s="226"/>
      <c r="D114" s="226"/>
      <c r="E114" s="226"/>
      <c r="F114" s="226"/>
      <c r="G114" s="226"/>
      <c r="H114" s="226"/>
      <c r="J114" s="33"/>
    </row>
    <row r="115" spans="1:17" x14ac:dyDescent="0.2">
      <c r="A115" s="137"/>
      <c r="B115" s="226" t="s">
        <v>864</v>
      </c>
      <c r="C115" s="226"/>
      <c r="D115" s="226"/>
      <c r="E115" s="226"/>
      <c r="F115" s="226"/>
      <c r="G115" s="226"/>
      <c r="H115" s="226"/>
      <c r="J115" s="33"/>
    </row>
    <row r="116" spans="1:17" x14ac:dyDescent="0.2">
      <c r="A116" s="137"/>
      <c r="B116" s="226" t="s">
        <v>865</v>
      </c>
      <c r="C116" s="226"/>
      <c r="D116" s="226"/>
      <c r="E116" s="226"/>
      <c r="F116" s="226"/>
      <c r="G116" s="226"/>
      <c r="H116" s="226"/>
      <c r="J116" s="33"/>
    </row>
    <row r="117" spans="1:17" s="5" customFormat="1" ht="55.5" customHeight="1" x14ac:dyDescent="0.25">
      <c r="A117" s="139"/>
      <c r="B117" s="227" t="s">
        <v>866</v>
      </c>
      <c r="C117" s="227"/>
      <c r="D117" s="227"/>
      <c r="E117" s="227"/>
      <c r="F117" s="227"/>
      <c r="G117" s="227"/>
      <c r="H117" s="227"/>
      <c r="I117"/>
      <c r="J117" s="33"/>
      <c r="K117"/>
      <c r="L117"/>
      <c r="M117"/>
      <c r="N117"/>
      <c r="O117"/>
      <c r="P117"/>
      <c r="Q117"/>
    </row>
    <row r="118" spans="1:17" x14ac:dyDescent="0.2">
      <c r="A118" s="137"/>
      <c r="B118" s="226" t="s">
        <v>867</v>
      </c>
      <c r="C118" s="226"/>
      <c r="D118" s="226"/>
      <c r="E118" s="226"/>
      <c r="F118" s="226"/>
      <c r="G118" s="226"/>
      <c r="H118" s="226"/>
      <c r="J118" s="33"/>
    </row>
    <row r="119" spans="1:17" x14ac:dyDescent="0.2">
      <c r="A119" s="140"/>
      <c r="B119" s="140"/>
      <c r="C119" s="140"/>
      <c r="D119" s="141"/>
      <c r="E119" s="141"/>
      <c r="F119" s="141"/>
      <c r="G119" s="141"/>
      <c r="J119" s="33"/>
    </row>
    <row r="120" spans="1:17" x14ac:dyDescent="0.2">
      <c r="A120" s="140"/>
      <c r="B120" s="228" t="s">
        <v>180</v>
      </c>
      <c r="C120" s="229"/>
      <c r="D120" s="230"/>
      <c r="E120" s="142"/>
      <c r="F120" s="141"/>
      <c r="G120" s="141"/>
      <c r="J120" s="33"/>
    </row>
    <row r="121" spans="1:17" x14ac:dyDescent="0.2">
      <c r="A121" s="140"/>
      <c r="B121" s="223" t="s">
        <v>181</v>
      </c>
      <c r="C121" s="224"/>
      <c r="D121" s="121" t="s">
        <v>182</v>
      </c>
      <c r="E121" s="142"/>
      <c r="F121" s="141"/>
      <c r="G121" s="141"/>
      <c r="J121" s="33"/>
    </row>
    <row r="122" spans="1:17" x14ac:dyDescent="0.2">
      <c r="A122" s="140"/>
      <c r="B122" s="223" t="s">
        <v>183</v>
      </c>
      <c r="C122" s="224"/>
      <c r="D122" s="121" t="s">
        <v>182</v>
      </c>
      <c r="E122" s="142"/>
      <c r="F122" s="141"/>
      <c r="G122" s="141"/>
      <c r="J122" s="33"/>
    </row>
    <row r="123" spans="1:17" x14ac:dyDescent="0.2">
      <c r="A123" s="140"/>
      <c r="B123" s="223" t="s">
        <v>184</v>
      </c>
      <c r="C123" s="224"/>
      <c r="D123" s="131" t="s">
        <v>153</v>
      </c>
      <c r="E123" s="142"/>
      <c r="F123" s="141"/>
      <c r="G123" s="141"/>
      <c r="J123" s="33"/>
    </row>
    <row r="124" spans="1:17" x14ac:dyDescent="0.2">
      <c r="A124" s="144"/>
      <c r="B124" s="145" t="s">
        <v>153</v>
      </c>
      <c r="C124" s="145" t="s">
        <v>870</v>
      </c>
      <c r="D124" s="145" t="s">
        <v>185</v>
      </c>
      <c r="E124" s="144"/>
      <c r="F124" s="144"/>
      <c r="G124" s="144"/>
      <c r="H124" s="144"/>
      <c r="J124" s="33"/>
    </row>
    <row r="125" spans="1:17" x14ac:dyDescent="0.2">
      <c r="A125" s="146"/>
      <c r="B125" s="147" t="s">
        <v>186</v>
      </c>
      <c r="C125" s="148">
        <v>45504</v>
      </c>
      <c r="D125" s="149">
        <v>45535</v>
      </c>
      <c r="E125" s="146"/>
      <c r="F125" s="146"/>
      <c r="G125" s="146"/>
      <c r="J125" s="33"/>
    </row>
    <row r="126" spans="1:17" x14ac:dyDescent="0.2">
      <c r="A126" s="146"/>
      <c r="B126" s="124" t="s">
        <v>187</v>
      </c>
      <c r="C126" s="150">
        <v>10.3216</v>
      </c>
      <c r="D126" s="150">
        <v>10.6691</v>
      </c>
      <c r="E126" s="146"/>
      <c r="F126" s="151"/>
      <c r="G126" s="152"/>
      <c r="J126" s="33"/>
    </row>
    <row r="127" spans="1:17" x14ac:dyDescent="0.2">
      <c r="A127" s="146"/>
      <c r="B127" s="124" t="s">
        <v>926</v>
      </c>
      <c r="C127" s="150">
        <v>10.3216</v>
      </c>
      <c r="D127" s="150">
        <v>10.6691</v>
      </c>
      <c r="E127" s="146"/>
      <c r="F127" s="151"/>
      <c r="G127" s="152"/>
      <c r="J127" s="2"/>
    </row>
    <row r="128" spans="1:17" x14ac:dyDescent="0.2">
      <c r="A128" s="146"/>
      <c r="B128" s="124" t="s">
        <v>188</v>
      </c>
      <c r="C128" s="150">
        <v>10.3042</v>
      </c>
      <c r="D128" s="150">
        <v>10.636100000000001</v>
      </c>
      <c r="E128" s="146"/>
      <c r="F128" s="151"/>
      <c r="G128" s="152"/>
      <c r="J128" s="2"/>
    </row>
    <row r="129" spans="1:10" x14ac:dyDescent="0.2">
      <c r="A129" s="146"/>
      <c r="B129" s="124" t="s">
        <v>927</v>
      </c>
      <c r="C129" s="150">
        <v>10.3042</v>
      </c>
      <c r="D129" s="150">
        <v>10.636100000000001</v>
      </c>
      <c r="E129" s="146"/>
      <c r="F129" s="151"/>
      <c r="G129" s="152"/>
      <c r="J129" s="2"/>
    </row>
    <row r="130" spans="1:10" x14ac:dyDescent="0.2">
      <c r="A130" s="146"/>
      <c r="B130" s="146"/>
      <c r="C130" s="146"/>
      <c r="D130" s="146"/>
      <c r="E130" s="146"/>
      <c r="F130" s="146"/>
      <c r="G130" s="146"/>
      <c r="J130" s="2"/>
    </row>
    <row r="131" spans="1:10" x14ac:dyDescent="0.2">
      <c r="A131" s="144"/>
      <c r="B131" s="221" t="s">
        <v>869</v>
      </c>
      <c r="C131" s="222"/>
      <c r="D131" s="143" t="s">
        <v>182</v>
      </c>
      <c r="E131" s="144"/>
      <c r="F131" s="144"/>
      <c r="G131" s="144"/>
      <c r="J131" s="2"/>
    </row>
    <row r="132" spans="1:10" x14ac:dyDescent="0.2">
      <c r="A132" s="144"/>
      <c r="B132" s="138"/>
      <c r="C132" s="138"/>
      <c r="D132" s="144"/>
      <c r="E132" s="144"/>
      <c r="F132" s="144"/>
      <c r="G132" s="144"/>
      <c r="J132" s="33"/>
    </row>
    <row r="133" spans="1:10" ht="12.75" customHeight="1" x14ac:dyDescent="0.2">
      <c r="A133" s="144"/>
      <c r="B133" s="221" t="s">
        <v>189</v>
      </c>
      <c r="C133" s="222"/>
      <c r="D133" s="143" t="s">
        <v>182</v>
      </c>
      <c r="E133" s="153"/>
      <c r="F133" s="144"/>
      <c r="G133" s="144"/>
      <c r="J133" s="33"/>
    </row>
    <row r="134" spans="1:10" ht="27" customHeight="1" x14ac:dyDescent="0.2">
      <c r="A134" s="144"/>
      <c r="B134" s="221" t="s">
        <v>190</v>
      </c>
      <c r="C134" s="222"/>
      <c r="D134" s="143" t="s">
        <v>182</v>
      </c>
      <c r="E134" s="153"/>
      <c r="F134" s="144"/>
      <c r="G134" s="144"/>
      <c r="J134" s="33"/>
    </row>
    <row r="135" spans="1:10" ht="12.75" customHeight="1" x14ac:dyDescent="0.2">
      <c r="A135" s="144"/>
      <c r="B135" s="221" t="s">
        <v>191</v>
      </c>
      <c r="C135" s="222"/>
      <c r="D135" s="143" t="s">
        <v>182</v>
      </c>
      <c r="E135" s="153"/>
      <c r="F135" s="144"/>
      <c r="G135" s="144"/>
      <c r="J135" s="33"/>
    </row>
    <row r="136" spans="1:10" x14ac:dyDescent="0.2">
      <c r="A136" s="144"/>
      <c r="B136" s="221" t="s">
        <v>192</v>
      </c>
      <c r="C136" s="222"/>
      <c r="D136" s="154">
        <v>1.5286410415207988E-2</v>
      </c>
      <c r="E136" s="144"/>
      <c r="F136" s="138"/>
      <c r="G136" s="155"/>
      <c r="J136" s="33"/>
    </row>
    <row r="137" spans="1:10" x14ac:dyDescent="0.2">
      <c r="J137" s="33"/>
    </row>
    <row r="138" spans="1:10" x14ac:dyDescent="0.2">
      <c r="J138" s="33"/>
    </row>
    <row r="139" spans="1:10" x14ac:dyDescent="0.2">
      <c r="J139" s="33"/>
    </row>
    <row r="140" spans="1:10" x14ac:dyDescent="0.2">
      <c r="J140" s="33"/>
    </row>
    <row r="141" spans="1:10" x14ac:dyDescent="0.2">
      <c r="J141" s="33"/>
    </row>
    <row r="142" spans="1:10" x14ac:dyDescent="0.2">
      <c r="J142" s="33"/>
    </row>
    <row r="143" spans="1:10" x14ac:dyDescent="0.2">
      <c r="J143" s="33"/>
    </row>
    <row r="144" spans="1:10" x14ac:dyDescent="0.2">
      <c r="J144" s="33"/>
    </row>
    <row r="145" spans="10:10" x14ac:dyDescent="0.2">
      <c r="J145" s="33"/>
    </row>
    <row r="146" spans="10:10" x14ac:dyDescent="0.2">
      <c r="J146" s="33"/>
    </row>
    <row r="147" spans="10:10" x14ac:dyDescent="0.2">
      <c r="J147" s="33"/>
    </row>
    <row r="148" spans="10:10" x14ac:dyDescent="0.2">
      <c r="J148" s="33"/>
    </row>
    <row r="149" spans="10:10" x14ac:dyDescent="0.2">
      <c r="J149" s="33"/>
    </row>
  </sheetData>
  <mergeCells count="17">
    <mergeCell ref="B121:C121"/>
    <mergeCell ref="A1:H1"/>
    <mergeCell ref="A2:H2"/>
    <mergeCell ref="A3:H3"/>
    <mergeCell ref="B114:H114"/>
    <mergeCell ref="B115:H115"/>
    <mergeCell ref="B116:H116"/>
    <mergeCell ref="B117:H117"/>
    <mergeCell ref="B118:H118"/>
    <mergeCell ref="B120:D120"/>
    <mergeCell ref="B122:C122"/>
    <mergeCell ref="B123:C123"/>
    <mergeCell ref="B131:C131"/>
    <mergeCell ref="B135:C135"/>
    <mergeCell ref="B136:C136"/>
    <mergeCell ref="B133:C133"/>
    <mergeCell ref="B134:C134"/>
  </mergeCells>
  <hyperlinks>
    <hyperlink ref="I1" location="Index!B28" display="Index" xr:uid="{056399F6-0F68-4945-AC0C-C07237E082C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484E-E9BF-4B68-9A5C-746ECF2B9132}">
  <sheetPr>
    <outlinePr summaryBelow="0" summaryRight="0"/>
  </sheetPr>
  <dimension ref="A1:Q158"/>
  <sheetViews>
    <sheetView showGridLines="0" workbookViewId="0">
      <selection sqref="A1:H1"/>
    </sheetView>
  </sheetViews>
  <sheetFormatPr defaultRowHeight="12.75" x14ac:dyDescent="0.2"/>
  <cols>
    <col min="1" max="1" width="6.85546875" customWidth="1"/>
    <col min="2" max="2" width="20.5703125" customWidth="1"/>
    <col min="3" max="3" width="38.42578125" customWidth="1"/>
    <col min="4" max="4" width="21.5703125" customWidth="1"/>
    <col min="5" max="6" width="19.140625" customWidth="1"/>
    <col min="7" max="7" width="16.42578125" customWidth="1"/>
    <col min="10" max="10" width="50.7109375" customWidth="1"/>
  </cols>
  <sheetData>
    <row r="1" spans="1:10" ht="15" x14ac:dyDescent="0.2">
      <c r="A1" s="225" t="s">
        <v>0</v>
      </c>
      <c r="B1" s="225"/>
      <c r="C1" s="225"/>
      <c r="D1" s="225"/>
      <c r="E1" s="225"/>
      <c r="F1" s="225"/>
      <c r="G1" s="225"/>
      <c r="H1" s="225"/>
      <c r="I1" s="16" t="s">
        <v>913</v>
      </c>
      <c r="J1" s="33"/>
    </row>
    <row r="2" spans="1:10" ht="15" x14ac:dyDescent="0.2">
      <c r="A2" s="225" t="s">
        <v>832</v>
      </c>
      <c r="B2" s="225"/>
      <c r="C2" s="225"/>
      <c r="D2" s="225"/>
      <c r="E2" s="225"/>
      <c r="F2" s="225"/>
      <c r="G2" s="225"/>
      <c r="H2" s="225"/>
      <c r="J2" s="3" t="s">
        <v>914</v>
      </c>
    </row>
    <row r="3" spans="1:10" ht="15" x14ac:dyDescent="0.2">
      <c r="A3" s="225" t="s">
        <v>853</v>
      </c>
      <c r="B3" s="225"/>
      <c r="C3" s="225"/>
      <c r="D3" s="225"/>
      <c r="E3" s="225"/>
      <c r="F3" s="225"/>
      <c r="G3" s="225"/>
      <c r="H3" s="225"/>
      <c r="J3" s="33"/>
    </row>
    <row r="4" spans="1:10" s="4" customFormat="1" ht="30" x14ac:dyDescent="0.2">
      <c r="A4" s="118" t="s">
        <v>2</v>
      </c>
      <c r="B4" s="118" t="s">
        <v>3</v>
      </c>
      <c r="C4" s="118" t="s">
        <v>4</v>
      </c>
      <c r="D4" s="118" t="s">
        <v>5</v>
      </c>
      <c r="E4" s="118" t="s">
        <v>6</v>
      </c>
      <c r="F4" s="118" t="s">
        <v>7</v>
      </c>
      <c r="G4" s="118" t="s">
        <v>8</v>
      </c>
      <c r="H4" s="119" t="s">
        <v>852</v>
      </c>
      <c r="J4" s="34"/>
    </row>
    <row r="5" spans="1:10" x14ac:dyDescent="0.2">
      <c r="A5" s="120"/>
      <c r="B5" s="120"/>
      <c r="C5" s="121" t="s">
        <v>9</v>
      </c>
      <c r="D5" s="120"/>
      <c r="E5" s="120"/>
      <c r="F5" s="120"/>
      <c r="G5" s="120"/>
      <c r="H5" s="122" t="s">
        <v>153</v>
      </c>
      <c r="J5" s="33"/>
    </row>
    <row r="6" spans="1:10" x14ac:dyDescent="0.2">
      <c r="A6" s="120"/>
      <c r="B6" s="120"/>
      <c r="C6" s="121" t="s">
        <v>10</v>
      </c>
      <c r="D6" s="120"/>
      <c r="E6" s="120"/>
      <c r="F6" s="120"/>
      <c r="G6" s="120"/>
      <c r="H6" s="122" t="s">
        <v>153</v>
      </c>
      <c r="J6" s="33"/>
    </row>
    <row r="7" spans="1:10" x14ac:dyDescent="0.2">
      <c r="A7" s="123">
        <v>1</v>
      </c>
      <c r="B7" s="124" t="s">
        <v>342</v>
      </c>
      <c r="C7" s="124" t="s">
        <v>343</v>
      </c>
      <c r="D7" s="124" t="s">
        <v>48</v>
      </c>
      <c r="E7" s="125">
        <v>1055765</v>
      </c>
      <c r="F7" s="126">
        <v>17281.817285000001</v>
      </c>
      <c r="G7" s="127">
        <v>7.7830179999999999E-2</v>
      </c>
      <c r="H7" s="122" t="s">
        <v>153</v>
      </c>
      <c r="J7" s="33"/>
    </row>
    <row r="8" spans="1:10" x14ac:dyDescent="0.2">
      <c r="A8" s="123">
        <v>2</v>
      </c>
      <c r="B8" s="124" t="s">
        <v>20</v>
      </c>
      <c r="C8" s="124" t="s">
        <v>21</v>
      </c>
      <c r="D8" s="124" t="s">
        <v>22</v>
      </c>
      <c r="E8" s="125">
        <v>418000</v>
      </c>
      <c r="F8" s="126">
        <v>12620.465</v>
      </c>
      <c r="G8" s="127">
        <v>5.6837369999999998E-2</v>
      </c>
      <c r="H8" s="122" t="s">
        <v>153</v>
      </c>
      <c r="J8" s="33"/>
    </row>
    <row r="9" spans="1:10" x14ac:dyDescent="0.2">
      <c r="A9" s="123">
        <v>3</v>
      </c>
      <c r="B9" s="124" t="s">
        <v>46</v>
      </c>
      <c r="C9" s="124" t="s">
        <v>47</v>
      </c>
      <c r="D9" s="124" t="s">
        <v>48</v>
      </c>
      <c r="E9" s="125">
        <v>980000</v>
      </c>
      <c r="F9" s="126">
        <v>12046.16</v>
      </c>
      <c r="G9" s="127">
        <v>5.4250939999999997E-2</v>
      </c>
      <c r="H9" s="122" t="s">
        <v>153</v>
      </c>
      <c r="J9" s="33"/>
    </row>
    <row r="10" spans="1:10" x14ac:dyDescent="0.2">
      <c r="A10" s="123">
        <v>4</v>
      </c>
      <c r="B10" s="124" t="s">
        <v>344</v>
      </c>
      <c r="C10" s="124" t="s">
        <v>345</v>
      </c>
      <c r="D10" s="124" t="s">
        <v>211</v>
      </c>
      <c r="E10" s="125">
        <v>538000</v>
      </c>
      <c r="F10" s="126">
        <v>10457.106</v>
      </c>
      <c r="G10" s="127">
        <v>4.7094490000000003E-2</v>
      </c>
      <c r="H10" s="122" t="s">
        <v>153</v>
      </c>
      <c r="J10" s="33"/>
    </row>
    <row r="11" spans="1:10" x14ac:dyDescent="0.2">
      <c r="A11" s="123">
        <v>5</v>
      </c>
      <c r="B11" s="124" t="s">
        <v>11</v>
      </c>
      <c r="C11" s="124" t="s">
        <v>12</v>
      </c>
      <c r="D11" s="124" t="s">
        <v>13</v>
      </c>
      <c r="E11" s="125">
        <v>202401</v>
      </c>
      <c r="F11" s="126">
        <v>7498.2486465000002</v>
      </c>
      <c r="G11" s="127">
        <v>3.3769019999999997E-2</v>
      </c>
      <c r="H11" s="122" t="s">
        <v>153</v>
      </c>
      <c r="J11" s="33"/>
    </row>
    <row r="12" spans="1:10" ht="15" x14ac:dyDescent="0.2">
      <c r="A12" s="123">
        <v>6</v>
      </c>
      <c r="B12" s="124" t="s">
        <v>14</v>
      </c>
      <c r="C12" s="124" t="s">
        <v>15</v>
      </c>
      <c r="D12" s="124" t="s">
        <v>16</v>
      </c>
      <c r="E12" s="125">
        <v>427000</v>
      </c>
      <c r="F12" s="126">
        <v>6785.2434999999996</v>
      </c>
      <c r="G12" s="127">
        <v>3.0557939999999999E-2</v>
      </c>
      <c r="H12" s="122" t="s">
        <v>153</v>
      </c>
      <c r="J12" s="7"/>
    </row>
    <row r="13" spans="1:10" x14ac:dyDescent="0.2">
      <c r="A13" s="123">
        <v>7</v>
      </c>
      <c r="B13" s="124" t="s">
        <v>84</v>
      </c>
      <c r="C13" s="124" t="s">
        <v>85</v>
      </c>
      <c r="D13" s="124" t="s">
        <v>86</v>
      </c>
      <c r="E13" s="125">
        <v>127000</v>
      </c>
      <c r="F13" s="126">
        <v>6134.1</v>
      </c>
      <c r="G13" s="127">
        <v>2.7625460000000001E-2</v>
      </c>
      <c r="H13" s="122" t="s">
        <v>153</v>
      </c>
      <c r="J13" s="35"/>
    </row>
    <row r="14" spans="1:10" x14ac:dyDescent="0.2">
      <c r="A14" s="123">
        <v>8</v>
      </c>
      <c r="B14" s="124" t="s">
        <v>54</v>
      </c>
      <c r="C14" s="124" t="s">
        <v>55</v>
      </c>
      <c r="D14" s="124" t="s">
        <v>48</v>
      </c>
      <c r="E14" s="125">
        <v>716000</v>
      </c>
      <c r="F14" s="126">
        <v>5839.6959999999999</v>
      </c>
      <c r="G14" s="127">
        <v>2.6299579999999999E-2</v>
      </c>
      <c r="H14" s="122" t="s">
        <v>153</v>
      </c>
      <c r="J14" s="35"/>
    </row>
    <row r="15" spans="1:10" x14ac:dyDescent="0.2">
      <c r="A15" s="123">
        <v>9</v>
      </c>
      <c r="B15" s="124" t="s">
        <v>97</v>
      </c>
      <c r="C15" s="124" t="s">
        <v>98</v>
      </c>
      <c r="D15" s="124" t="s">
        <v>53</v>
      </c>
      <c r="E15" s="125">
        <v>791000</v>
      </c>
      <c r="F15" s="126">
        <v>5696.3864999999996</v>
      </c>
      <c r="G15" s="127">
        <v>2.5654179999999999E-2</v>
      </c>
      <c r="H15" s="122" t="s">
        <v>153</v>
      </c>
      <c r="J15" s="35" t="s">
        <v>1028</v>
      </c>
    </row>
    <row r="16" spans="1:10" ht="25.5" x14ac:dyDescent="0.2">
      <c r="A16" s="123">
        <v>10</v>
      </c>
      <c r="B16" s="124" t="s">
        <v>352</v>
      </c>
      <c r="C16" s="124" t="s">
        <v>353</v>
      </c>
      <c r="D16" s="124" t="s">
        <v>208</v>
      </c>
      <c r="E16" s="125">
        <v>305000</v>
      </c>
      <c r="F16" s="126">
        <v>5556.0325000000003</v>
      </c>
      <c r="G16" s="127">
        <v>2.5022079999999999E-2</v>
      </c>
      <c r="H16" s="122" t="s">
        <v>153</v>
      </c>
      <c r="J16" s="33"/>
    </row>
    <row r="17" spans="1:10" x14ac:dyDescent="0.2">
      <c r="A17" s="123">
        <v>11</v>
      </c>
      <c r="B17" s="124" t="s">
        <v>348</v>
      </c>
      <c r="C17" s="124" t="s">
        <v>349</v>
      </c>
      <c r="D17" s="124" t="s">
        <v>211</v>
      </c>
      <c r="E17" s="125">
        <v>117702</v>
      </c>
      <c r="F17" s="126">
        <v>5359.8548250000003</v>
      </c>
      <c r="G17" s="127">
        <v>2.413858E-2</v>
      </c>
      <c r="H17" s="122" t="s">
        <v>153</v>
      </c>
      <c r="J17" s="33"/>
    </row>
    <row r="18" spans="1:10" x14ac:dyDescent="0.2">
      <c r="A18" s="123">
        <v>12</v>
      </c>
      <c r="B18" s="124" t="s">
        <v>372</v>
      </c>
      <c r="C18" s="124" t="s">
        <v>373</v>
      </c>
      <c r="D18" s="124" t="s">
        <v>374</v>
      </c>
      <c r="E18" s="125">
        <v>970000</v>
      </c>
      <c r="F18" s="126">
        <v>4868.43</v>
      </c>
      <c r="G18" s="127">
        <v>2.1925400000000001E-2</v>
      </c>
      <c r="H18" s="122" t="s">
        <v>153</v>
      </c>
      <c r="J18" s="33"/>
    </row>
    <row r="19" spans="1:10" ht="25.5" x14ac:dyDescent="0.2">
      <c r="A19" s="123">
        <v>13</v>
      </c>
      <c r="B19" s="124" t="s">
        <v>23</v>
      </c>
      <c r="C19" s="124" t="s">
        <v>24</v>
      </c>
      <c r="D19" s="124" t="s">
        <v>25</v>
      </c>
      <c r="E19" s="125">
        <v>42000</v>
      </c>
      <c r="F19" s="126">
        <v>4746.7979999999998</v>
      </c>
      <c r="G19" s="127">
        <v>2.137762E-2</v>
      </c>
      <c r="H19" s="122" t="s">
        <v>153</v>
      </c>
      <c r="J19" s="33"/>
    </row>
    <row r="20" spans="1:10" x14ac:dyDescent="0.2">
      <c r="A20" s="123">
        <v>14</v>
      </c>
      <c r="B20" s="124" t="s">
        <v>350</v>
      </c>
      <c r="C20" s="124" t="s">
        <v>351</v>
      </c>
      <c r="D20" s="124" t="s">
        <v>48</v>
      </c>
      <c r="E20" s="125">
        <v>401535</v>
      </c>
      <c r="F20" s="126">
        <v>4719.0400874999996</v>
      </c>
      <c r="G20" s="127">
        <v>2.1252610000000002E-2</v>
      </c>
      <c r="H20" s="122" t="s">
        <v>153</v>
      </c>
      <c r="J20" s="33"/>
    </row>
    <row r="21" spans="1:10" x14ac:dyDescent="0.2">
      <c r="A21" s="123">
        <v>15</v>
      </c>
      <c r="B21" s="124" t="s">
        <v>655</v>
      </c>
      <c r="C21" s="124" t="s">
        <v>656</v>
      </c>
      <c r="D21" s="124" t="s">
        <v>89</v>
      </c>
      <c r="E21" s="125">
        <v>65000</v>
      </c>
      <c r="F21" s="126">
        <v>4680.0974999999999</v>
      </c>
      <c r="G21" s="127">
        <v>2.1077229999999999E-2</v>
      </c>
      <c r="H21" s="122" t="s">
        <v>153</v>
      </c>
      <c r="J21" s="33"/>
    </row>
    <row r="22" spans="1:10" ht="15" x14ac:dyDescent="0.2">
      <c r="A22" s="123">
        <v>16</v>
      </c>
      <c r="B22" s="124" t="s">
        <v>338</v>
      </c>
      <c r="C22" s="124" t="s">
        <v>339</v>
      </c>
      <c r="D22" s="124" t="s">
        <v>273</v>
      </c>
      <c r="E22" s="125">
        <v>36500</v>
      </c>
      <c r="F22" s="126">
        <v>4527.0950000000003</v>
      </c>
      <c r="G22" s="127">
        <v>2.0388170000000001E-2</v>
      </c>
      <c r="H22" s="122" t="s">
        <v>153</v>
      </c>
      <c r="J22" s="7"/>
    </row>
    <row r="23" spans="1:10" x14ac:dyDescent="0.2">
      <c r="A23" s="123">
        <v>17</v>
      </c>
      <c r="B23" s="124" t="s">
        <v>377</v>
      </c>
      <c r="C23" s="124" t="s">
        <v>378</v>
      </c>
      <c r="D23" s="124" t="s">
        <v>374</v>
      </c>
      <c r="E23" s="125">
        <v>140000</v>
      </c>
      <c r="F23" s="126">
        <v>3889.2</v>
      </c>
      <c r="G23" s="127">
        <v>1.7515349999999999E-2</v>
      </c>
      <c r="H23" s="122" t="s">
        <v>153</v>
      </c>
      <c r="J23" s="2"/>
    </row>
    <row r="24" spans="1:10" x14ac:dyDescent="0.2">
      <c r="A24" s="123">
        <v>18</v>
      </c>
      <c r="B24" s="124" t="s">
        <v>550</v>
      </c>
      <c r="C24" s="124" t="s">
        <v>551</v>
      </c>
      <c r="D24" s="124" t="s">
        <v>211</v>
      </c>
      <c r="E24" s="125">
        <v>229000</v>
      </c>
      <c r="F24" s="126">
        <v>3747.585</v>
      </c>
      <c r="G24" s="127">
        <v>1.687758E-2</v>
      </c>
      <c r="H24" s="122" t="s">
        <v>153</v>
      </c>
      <c r="J24" s="2"/>
    </row>
    <row r="25" spans="1:10" ht="25.5" x14ac:dyDescent="0.2">
      <c r="A25" s="123">
        <v>19</v>
      </c>
      <c r="B25" s="124" t="s">
        <v>370</v>
      </c>
      <c r="C25" s="124" t="s">
        <v>371</v>
      </c>
      <c r="D25" s="124" t="s">
        <v>208</v>
      </c>
      <c r="E25" s="125">
        <v>226000</v>
      </c>
      <c r="F25" s="126">
        <v>3546.8440000000001</v>
      </c>
      <c r="G25" s="127">
        <v>1.5973520000000001E-2</v>
      </c>
      <c r="H25" s="122" t="s">
        <v>153</v>
      </c>
      <c r="J25" s="2" t="s">
        <v>1042</v>
      </c>
    </row>
    <row r="26" spans="1:10" x14ac:dyDescent="0.2">
      <c r="A26" s="123">
        <v>20</v>
      </c>
      <c r="B26" s="124" t="s">
        <v>361</v>
      </c>
      <c r="C26" s="124" t="s">
        <v>362</v>
      </c>
      <c r="D26" s="124" t="s">
        <v>273</v>
      </c>
      <c r="E26" s="125">
        <v>318000</v>
      </c>
      <c r="F26" s="126">
        <v>3534.0929999999998</v>
      </c>
      <c r="G26" s="127">
        <v>1.5916099999999999E-2</v>
      </c>
      <c r="H26" s="122" t="s">
        <v>153</v>
      </c>
      <c r="J26" s="33"/>
    </row>
    <row r="27" spans="1:10" ht="25.5" x14ac:dyDescent="0.2">
      <c r="A27" s="123">
        <v>21</v>
      </c>
      <c r="B27" s="124" t="s">
        <v>281</v>
      </c>
      <c r="C27" s="124" t="s">
        <v>282</v>
      </c>
      <c r="D27" s="124" t="s">
        <v>89</v>
      </c>
      <c r="E27" s="125">
        <v>235000</v>
      </c>
      <c r="F27" s="126">
        <v>3420.66</v>
      </c>
      <c r="G27" s="127">
        <v>1.5405240000000001E-2</v>
      </c>
      <c r="H27" s="122" t="s">
        <v>153</v>
      </c>
      <c r="J27" s="33"/>
    </row>
    <row r="28" spans="1:10" x14ac:dyDescent="0.2">
      <c r="A28" s="123">
        <v>22</v>
      </c>
      <c r="B28" s="124" t="s">
        <v>477</v>
      </c>
      <c r="C28" s="124" t="s">
        <v>478</v>
      </c>
      <c r="D28" s="124" t="s">
        <v>48</v>
      </c>
      <c r="E28" s="125">
        <v>240000</v>
      </c>
      <c r="F28" s="126">
        <v>3420.6</v>
      </c>
      <c r="G28" s="127">
        <v>1.540497E-2</v>
      </c>
      <c r="H28" s="122" t="s">
        <v>153</v>
      </c>
      <c r="J28" s="33"/>
    </row>
    <row r="29" spans="1:10" ht="25.5" x14ac:dyDescent="0.2">
      <c r="A29" s="123">
        <v>23</v>
      </c>
      <c r="B29" s="124" t="s">
        <v>471</v>
      </c>
      <c r="C29" s="124" t="s">
        <v>472</v>
      </c>
      <c r="D29" s="124" t="s">
        <v>208</v>
      </c>
      <c r="E29" s="125">
        <v>196000</v>
      </c>
      <c r="F29" s="126">
        <v>3243.6039999999998</v>
      </c>
      <c r="G29" s="127">
        <v>1.460786E-2</v>
      </c>
      <c r="H29" s="122" t="s">
        <v>153</v>
      </c>
      <c r="J29" s="33"/>
    </row>
    <row r="30" spans="1:10" x14ac:dyDescent="0.2">
      <c r="A30" s="123">
        <v>24</v>
      </c>
      <c r="B30" s="124" t="s">
        <v>244</v>
      </c>
      <c r="C30" s="124" t="s">
        <v>245</v>
      </c>
      <c r="D30" s="124" t="s">
        <v>198</v>
      </c>
      <c r="E30" s="125">
        <v>42000</v>
      </c>
      <c r="F30" s="126">
        <v>3225.096</v>
      </c>
      <c r="G30" s="127">
        <v>1.4524499999999999E-2</v>
      </c>
      <c r="H30" s="122" t="s">
        <v>153</v>
      </c>
      <c r="J30" s="33"/>
    </row>
    <row r="31" spans="1:10" x14ac:dyDescent="0.2">
      <c r="A31" s="123">
        <v>25</v>
      </c>
      <c r="B31" s="124" t="s">
        <v>17</v>
      </c>
      <c r="C31" s="124" t="s">
        <v>18</v>
      </c>
      <c r="D31" s="124" t="s">
        <v>19</v>
      </c>
      <c r="E31" s="125">
        <v>770000</v>
      </c>
      <c r="F31" s="126">
        <v>3204.74</v>
      </c>
      <c r="G31" s="127">
        <v>1.4432830000000001E-2</v>
      </c>
      <c r="H31" s="122" t="s">
        <v>153</v>
      </c>
      <c r="J31" s="33"/>
    </row>
    <row r="32" spans="1:10" ht="25.5" x14ac:dyDescent="0.2">
      <c r="A32" s="123">
        <v>26</v>
      </c>
      <c r="B32" s="124" t="s">
        <v>368</v>
      </c>
      <c r="C32" s="124" t="s">
        <v>369</v>
      </c>
      <c r="D32" s="124" t="s">
        <v>208</v>
      </c>
      <c r="E32" s="125">
        <v>42500</v>
      </c>
      <c r="F32" s="126">
        <v>2988.32375</v>
      </c>
      <c r="G32" s="127">
        <v>1.345818E-2</v>
      </c>
      <c r="H32" s="122" t="s">
        <v>153</v>
      </c>
      <c r="J32" s="33"/>
    </row>
    <row r="33" spans="1:10" x14ac:dyDescent="0.2">
      <c r="A33" s="123">
        <v>27</v>
      </c>
      <c r="B33" s="124" t="s">
        <v>524</v>
      </c>
      <c r="C33" s="124" t="s">
        <v>525</v>
      </c>
      <c r="D33" s="124" t="s">
        <v>239</v>
      </c>
      <c r="E33" s="125">
        <v>120000</v>
      </c>
      <c r="F33" s="126">
        <v>2922.78</v>
      </c>
      <c r="G33" s="127">
        <v>1.3162999999999999E-2</v>
      </c>
      <c r="H33" s="122" t="s">
        <v>153</v>
      </c>
      <c r="J33" s="33"/>
    </row>
    <row r="34" spans="1:10" x14ac:dyDescent="0.2">
      <c r="A34" s="123">
        <v>28</v>
      </c>
      <c r="B34" s="124" t="s">
        <v>496</v>
      </c>
      <c r="C34" s="124" t="s">
        <v>497</v>
      </c>
      <c r="D34" s="124" t="s">
        <v>89</v>
      </c>
      <c r="E34" s="125">
        <v>295284</v>
      </c>
      <c r="F34" s="126">
        <v>2886.2534580000001</v>
      </c>
      <c r="G34" s="127">
        <v>1.29985E-2</v>
      </c>
      <c r="H34" s="122" t="s">
        <v>153</v>
      </c>
      <c r="J34" s="33"/>
    </row>
    <row r="35" spans="1:10" x14ac:dyDescent="0.2">
      <c r="A35" s="123">
        <v>29</v>
      </c>
      <c r="B35" s="124" t="s">
        <v>682</v>
      </c>
      <c r="C35" s="124" t="s">
        <v>683</v>
      </c>
      <c r="D35" s="124" t="s">
        <v>45</v>
      </c>
      <c r="E35" s="125">
        <v>167000</v>
      </c>
      <c r="F35" s="126">
        <v>2845.5129999999999</v>
      </c>
      <c r="G35" s="127">
        <v>1.281502E-2</v>
      </c>
      <c r="H35" s="122" t="s">
        <v>153</v>
      </c>
      <c r="J35" s="33"/>
    </row>
    <row r="36" spans="1:10" x14ac:dyDescent="0.2">
      <c r="A36" s="123">
        <v>30</v>
      </c>
      <c r="B36" s="124" t="s">
        <v>700</v>
      </c>
      <c r="C36" s="124" t="s">
        <v>701</v>
      </c>
      <c r="D36" s="124" t="s">
        <v>239</v>
      </c>
      <c r="E36" s="125">
        <v>46000</v>
      </c>
      <c r="F36" s="126">
        <v>2755.998</v>
      </c>
      <c r="G36" s="127">
        <v>1.241188E-2</v>
      </c>
      <c r="H36" s="122" t="s">
        <v>153</v>
      </c>
      <c r="J36" s="33"/>
    </row>
    <row r="37" spans="1:10" x14ac:dyDescent="0.2">
      <c r="A37" s="123">
        <v>31</v>
      </c>
      <c r="B37" s="124" t="s">
        <v>727</v>
      </c>
      <c r="C37" s="124" t="s">
        <v>728</v>
      </c>
      <c r="D37" s="124" t="s">
        <v>216</v>
      </c>
      <c r="E37" s="125">
        <v>127000</v>
      </c>
      <c r="F37" s="126">
        <v>2717.5459999999998</v>
      </c>
      <c r="G37" s="127">
        <v>1.223871E-2</v>
      </c>
      <c r="H37" s="122" t="s">
        <v>153</v>
      </c>
      <c r="J37" s="33"/>
    </row>
    <row r="38" spans="1:10" x14ac:dyDescent="0.2">
      <c r="A38" s="123">
        <v>32</v>
      </c>
      <c r="B38" s="124" t="s">
        <v>680</v>
      </c>
      <c r="C38" s="124" t="s">
        <v>681</v>
      </c>
      <c r="D38" s="124" t="s">
        <v>38</v>
      </c>
      <c r="E38" s="125">
        <v>356000</v>
      </c>
      <c r="F38" s="126">
        <v>2637.96</v>
      </c>
      <c r="G38" s="127">
        <v>1.188028E-2</v>
      </c>
      <c r="H38" s="122" t="s">
        <v>153</v>
      </c>
      <c r="J38" s="33"/>
    </row>
    <row r="39" spans="1:10" x14ac:dyDescent="0.2">
      <c r="A39" s="123">
        <v>33</v>
      </c>
      <c r="B39" s="124" t="s">
        <v>90</v>
      </c>
      <c r="C39" s="124" t="s">
        <v>91</v>
      </c>
      <c r="D39" s="124" t="s">
        <v>92</v>
      </c>
      <c r="E39" s="125">
        <v>175000</v>
      </c>
      <c r="F39" s="126">
        <v>2593.3249999999998</v>
      </c>
      <c r="G39" s="127">
        <v>1.167927E-2</v>
      </c>
      <c r="H39" s="122" t="s">
        <v>153</v>
      </c>
      <c r="J39" s="33"/>
    </row>
    <row r="40" spans="1:10" x14ac:dyDescent="0.2">
      <c r="A40" s="123">
        <v>34</v>
      </c>
      <c r="B40" s="124" t="s">
        <v>383</v>
      </c>
      <c r="C40" s="124" t="s">
        <v>384</v>
      </c>
      <c r="D40" s="124" t="s">
        <v>136</v>
      </c>
      <c r="E40" s="125">
        <v>1625000</v>
      </c>
      <c r="F40" s="126">
        <v>2482.35</v>
      </c>
      <c r="G40" s="127">
        <v>1.117948E-2</v>
      </c>
      <c r="H40" s="122" t="s">
        <v>153</v>
      </c>
      <c r="J40" s="33"/>
    </row>
    <row r="41" spans="1:10" x14ac:dyDescent="0.2">
      <c r="A41" s="123">
        <v>35</v>
      </c>
      <c r="B41" s="124" t="s">
        <v>41</v>
      </c>
      <c r="C41" s="124" t="s">
        <v>42</v>
      </c>
      <c r="D41" s="124" t="s">
        <v>16</v>
      </c>
      <c r="E41" s="125">
        <v>198000</v>
      </c>
      <c r="F41" s="126">
        <v>2479.0590000000002</v>
      </c>
      <c r="G41" s="127">
        <v>1.116466E-2</v>
      </c>
      <c r="H41" s="122" t="s">
        <v>153</v>
      </c>
      <c r="J41" s="33"/>
    </row>
    <row r="42" spans="1:10" x14ac:dyDescent="0.2">
      <c r="A42" s="123">
        <v>36</v>
      </c>
      <c r="B42" s="124" t="s">
        <v>253</v>
      </c>
      <c r="C42" s="124" t="s">
        <v>254</v>
      </c>
      <c r="D42" s="124" t="s">
        <v>255</v>
      </c>
      <c r="E42" s="125">
        <v>226000</v>
      </c>
      <c r="F42" s="126">
        <v>2429.1610000000001</v>
      </c>
      <c r="G42" s="127">
        <v>1.093994E-2</v>
      </c>
      <c r="H42" s="122" t="s">
        <v>153</v>
      </c>
      <c r="J42" s="33"/>
    </row>
    <row r="43" spans="1:10" x14ac:dyDescent="0.2">
      <c r="A43" s="123">
        <v>37</v>
      </c>
      <c r="B43" s="124" t="s">
        <v>346</v>
      </c>
      <c r="C43" s="124" t="s">
        <v>347</v>
      </c>
      <c r="D43" s="124" t="s">
        <v>198</v>
      </c>
      <c r="E43" s="125">
        <v>937000</v>
      </c>
      <c r="F43" s="126">
        <v>2347.4661000000001</v>
      </c>
      <c r="G43" s="127">
        <v>1.057202E-2</v>
      </c>
      <c r="H43" s="122" t="s">
        <v>153</v>
      </c>
      <c r="J43" s="33"/>
    </row>
    <row r="44" spans="1:10" x14ac:dyDescent="0.2">
      <c r="A44" s="123">
        <v>38</v>
      </c>
      <c r="B44" s="124" t="s">
        <v>517</v>
      </c>
      <c r="C44" s="124" t="s">
        <v>518</v>
      </c>
      <c r="D44" s="124" t="s">
        <v>504</v>
      </c>
      <c r="E44" s="125">
        <v>26000</v>
      </c>
      <c r="F44" s="126">
        <v>2310.23</v>
      </c>
      <c r="G44" s="127">
        <v>1.040432E-2</v>
      </c>
      <c r="H44" s="122" t="s">
        <v>153</v>
      </c>
      <c r="J44" s="33"/>
    </row>
    <row r="45" spans="1:10" x14ac:dyDescent="0.2">
      <c r="A45" s="123">
        <v>39</v>
      </c>
      <c r="B45" s="124" t="s">
        <v>394</v>
      </c>
      <c r="C45" s="124" t="s">
        <v>395</v>
      </c>
      <c r="D45" s="124" t="s">
        <v>45</v>
      </c>
      <c r="E45" s="125">
        <v>64000</v>
      </c>
      <c r="F45" s="126">
        <v>2281.6959999999999</v>
      </c>
      <c r="G45" s="127">
        <v>1.027582E-2</v>
      </c>
      <c r="H45" s="122" t="s">
        <v>153</v>
      </c>
      <c r="J45" s="33"/>
    </row>
    <row r="46" spans="1:10" x14ac:dyDescent="0.2">
      <c r="A46" s="123">
        <v>40</v>
      </c>
      <c r="B46" s="124" t="s">
        <v>722</v>
      </c>
      <c r="C46" s="124" t="s">
        <v>723</v>
      </c>
      <c r="D46" s="124" t="s">
        <v>198</v>
      </c>
      <c r="E46" s="125">
        <v>45000</v>
      </c>
      <c r="F46" s="126">
        <v>2217.3525</v>
      </c>
      <c r="G46" s="127">
        <v>9.9860399999999998E-3</v>
      </c>
      <c r="H46" s="122" t="s">
        <v>153</v>
      </c>
      <c r="J46" s="33"/>
    </row>
    <row r="47" spans="1:10" ht="25.5" x14ac:dyDescent="0.2">
      <c r="A47" s="123">
        <v>41</v>
      </c>
      <c r="B47" s="124" t="s">
        <v>771</v>
      </c>
      <c r="C47" s="124" t="s">
        <v>772</v>
      </c>
      <c r="D47" s="124" t="s">
        <v>250</v>
      </c>
      <c r="E47" s="125">
        <v>70000</v>
      </c>
      <c r="F47" s="126">
        <v>2186.31</v>
      </c>
      <c r="G47" s="127">
        <v>9.8462399999999992E-3</v>
      </c>
      <c r="H47" s="122" t="s">
        <v>153</v>
      </c>
      <c r="J47" s="33"/>
    </row>
    <row r="48" spans="1:10" ht="25.5" x14ac:dyDescent="0.2">
      <c r="A48" s="123">
        <v>42</v>
      </c>
      <c r="B48" s="124" t="s">
        <v>305</v>
      </c>
      <c r="C48" s="124" t="s">
        <v>306</v>
      </c>
      <c r="D48" s="124" t="s">
        <v>25</v>
      </c>
      <c r="E48" s="125">
        <v>110137</v>
      </c>
      <c r="F48" s="126">
        <v>2082.7457384999998</v>
      </c>
      <c r="G48" s="127">
        <v>9.3798300000000005E-3</v>
      </c>
      <c r="H48" s="122" t="s">
        <v>153</v>
      </c>
      <c r="J48" s="33"/>
    </row>
    <row r="49" spans="1:10" x14ac:dyDescent="0.2">
      <c r="A49" s="123">
        <v>43</v>
      </c>
      <c r="B49" s="124" t="s">
        <v>363</v>
      </c>
      <c r="C49" s="124" t="s">
        <v>364</v>
      </c>
      <c r="D49" s="124" t="s">
        <v>239</v>
      </c>
      <c r="E49" s="125">
        <v>39000</v>
      </c>
      <c r="F49" s="126">
        <v>2021.2919999999999</v>
      </c>
      <c r="G49" s="127">
        <v>9.1030699999999996E-3</v>
      </c>
      <c r="H49" s="122" t="s">
        <v>153</v>
      </c>
      <c r="J49" s="33"/>
    </row>
    <row r="50" spans="1:10" x14ac:dyDescent="0.2">
      <c r="A50" s="123">
        <v>44</v>
      </c>
      <c r="B50" s="124" t="s">
        <v>356</v>
      </c>
      <c r="C50" s="124" t="s">
        <v>357</v>
      </c>
      <c r="D50" s="124" t="s">
        <v>48</v>
      </c>
      <c r="E50" s="125">
        <v>110000</v>
      </c>
      <c r="F50" s="126">
        <v>1958.88</v>
      </c>
      <c r="G50" s="127">
        <v>8.82199E-3</v>
      </c>
      <c r="H50" s="122" t="s">
        <v>153</v>
      </c>
      <c r="J50" s="33"/>
    </row>
    <row r="51" spans="1:10" x14ac:dyDescent="0.2">
      <c r="A51" s="123">
        <v>45</v>
      </c>
      <c r="B51" s="124" t="s">
        <v>26</v>
      </c>
      <c r="C51" s="124" t="s">
        <v>27</v>
      </c>
      <c r="D51" s="124" t="s">
        <v>19</v>
      </c>
      <c r="E51" s="125">
        <v>560000</v>
      </c>
      <c r="F51" s="126">
        <v>1889.44</v>
      </c>
      <c r="G51" s="127">
        <v>8.5092599999999994E-3</v>
      </c>
      <c r="H51" s="122" t="s">
        <v>153</v>
      </c>
      <c r="J51" s="33"/>
    </row>
    <row r="52" spans="1:10" x14ac:dyDescent="0.2">
      <c r="A52" s="123">
        <v>46</v>
      </c>
      <c r="B52" s="124" t="s">
        <v>234</v>
      </c>
      <c r="C52" s="124" t="s">
        <v>235</v>
      </c>
      <c r="D52" s="124" t="s">
        <v>236</v>
      </c>
      <c r="E52" s="125">
        <v>285000</v>
      </c>
      <c r="F52" s="126">
        <v>1853.355</v>
      </c>
      <c r="G52" s="127">
        <v>8.34675E-3</v>
      </c>
      <c r="H52" s="122" t="s">
        <v>153</v>
      </c>
      <c r="J52" s="33"/>
    </row>
    <row r="53" spans="1:10" x14ac:dyDescent="0.2">
      <c r="A53" s="123">
        <v>47</v>
      </c>
      <c r="B53" s="124" t="s">
        <v>201</v>
      </c>
      <c r="C53" s="124" t="s">
        <v>202</v>
      </c>
      <c r="D53" s="124" t="s">
        <v>48</v>
      </c>
      <c r="E53" s="125">
        <v>865456</v>
      </c>
      <c r="F53" s="126">
        <v>1685.0428320000001</v>
      </c>
      <c r="G53" s="127">
        <v>7.5887400000000001E-3</v>
      </c>
      <c r="H53" s="122" t="s">
        <v>153</v>
      </c>
      <c r="J53" s="33"/>
    </row>
    <row r="54" spans="1:10" x14ac:dyDescent="0.2">
      <c r="A54" s="123">
        <v>48</v>
      </c>
      <c r="B54" s="124" t="s">
        <v>64</v>
      </c>
      <c r="C54" s="124" t="s">
        <v>65</v>
      </c>
      <c r="D54" s="124" t="s">
        <v>66</v>
      </c>
      <c r="E54" s="125">
        <v>651000</v>
      </c>
      <c r="F54" s="126">
        <v>1547.3619000000001</v>
      </c>
      <c r="G54" s="127">
        <v>6.9686799999999997E-3</v>
      </c>
      <c r="H54" s="122" t="s">
        <v>153</v>
      </c>
      <c r="J54" s="33"/>
    </row>
    <row r="55" spans="1:10" x14ac:dyDescent="0.2">
      <c r="A55" s="123">
        <v>49</v>
      </c>
      <c r="B55" s="124" t="s">
        <v>128</v>
      </c>
      <c r="C55" s="124" t="s">
        <v>129</v>
      </c>
      <c r="D55" s="124" t="s">
        <v>86</v>
      </c>
      <c r="E55" s="125">
        <v>364000</v>
      </c>
      <c r="F55" s="126">
        <v>1526.252</v>
      </c>
      <c r="G55" s="127">
        <v>6.8736099999999996E-3</v>
      </c>
      <c r="H55" s="122" t="s">
        <v>153</v>
      </c>
      <c r="J55" s="33"/>
    </row>
    <row r="56" spans="1:10" x14ac:dyDescent="0.2">
      <c r="A56" s="123">
        <v>50</v>
      </c>
      <c r="B56" s="124" t="s">
        <v>110</v>
      </c>
      <c r="C56" s="124" t="s">
        <v>111</v>
      </c>
      <c r="D56" s="124" t="s">
        <v>35</v>
      </c>
      <c r="E56" s="125">
        <v>38000</v>
      </c>
      <c r="F56" s="126">
        <v>1422.9860000000001</v>
      </c>
      <c r="G56" s="127">
        <v>6.4085399999999999E-3</v>
      </c>
      <c r="H56" s="122" t="s">
        <v>153</v>
      </c>
      <c r="J56" s="33"/>
    </row>
    <row r="57" spans="1:10" x14ac:dyDescent="0.2">
      <c r="A57" s="123">
        <v>51</v>
      </c>
      <c r="B57" s="124" t="s">
        <v>122</v>
      </c>
      <c r="C57" s="124" t="s">
        <v>123</v>
      </c>
      <c r="D57" s="124" t="s">
        <v>74</v>
      </c>
      <c r="E57" s="125">
        <v>145000</v>
      </c>
      <c r="F57" s="126">
        <v>1417.4475</v>
      </c>
      <c r="G57" s="127">
        <v>6.3835999999999997E-3</v>
      </c>
      <c r="H57" s="122" t="s">
        <v>153</v>
      </c>
      <c r="J57" s="33"/>
    </row>
    <row r="58" spans="1:10" x14ac:dyDescent="0.2">
      <c r="A58" s="123">
        <v>52</v>
      </c>
      <c r="B58" s="124" t="s">
        <v>262</v>
      </c>
      <c r="C58" s="124" t="s">
        <v>263</v>
      </c>
      <c r="D58" s="124" t="s">
        <v>264</v>
      </c>
      <c r="E58" s="125">
        <v>64000</v>
      </c>
      <c r="F58" s="126">
        <v>1312.288</v>
      </c>
      <c r="G58" s="127">
        <v>5.9100000000000003E-3</v>
      </c>
      <c r="H58" s="122" t="s">
        <v>153</v>
      </c>
      <c r="J58" s="33"/>
    </row>
    <row r="59" spans="1:10" ht="25.5" x14ac:dyDescent="0.2">
      <c r="A59" s="123">
        <v>53</v>
      </c>
      <c r="B59" s="124" t="s">
        <v>698</v>
      </c>
      <c r="C59" s="124" t="s">
        <v>699</v>
      </c>
      <c r="D59" s="124" t="s">
        <v>208</v>
      </c>
      <c r="E59" s="125">
        <v>51000</v>
      </c>
      <c r="F59" s="126">
        <v>1268.7525000000001</v>
      </c>
      <c r="G59" s="127">
        <v>5.7139399999999998E-3</v>
      </c>
      <c r="H59" s="122" t="s">
        <v>153</v>
      </c>
      <c r="J59" s="33"/>
    </row>
    <row r="60" spans="1:10" x14ac:dyDescent="0.2">
      <c r="A60" s="123">
        <v>54</v>
      </c>
      <c r="B60" s="124" t="s">
        <v>536</v>
      </c>
      <c r="C60" s="124" t="s">
        <v>537</v>
      </c>
      <c r="D60" s="124" t="s">
        <v>86</v>
      </c>
      <c r="E60" s="125">
        <v>104000</v>
      </c>
      <c r="F60" s="126">
        <v>1174.8879999999999</v>
      </c>
      <c r="G60" s="127">
        <v>5.2912100000000002E-3</v>
      </c>
      <c r="H60" s="122" t="s">
        <v>153</v>
      </c>
      <c r="J60" s="33"/>
    </row>
    <row r="61" spans="1:10" x14ac:dyDescent="0.2">
      <c r="A61" s="123">
        <v>55</v>
      </c>
      <c r="B61" s="124" t="s">
        <v>330</v>
      </c>
      <c r="C61" s="124" t="s">
        <v>331</v>
      </c>
      <c r="D61" s="124" t="s">
        <v>255</v>
      </c>
      <c r="E61" s="125">
        <v>155000</v>
      </c>
      <c r="F61" s="126">
        <v>1167.3824999999999</v>
      </c>
      <c r="G61" s="127">
        <v>5.2574099999999997E-3</v>
      </c>
      <c r="H61" s="122" t="s">
        <v>153</v>
      </c>
      <c r="J61" s="33"/>
    </row>
    <row r="62" spans="1:10" x14ac:dyDescent="0.2">
      <c r="A62" s="123">
        <v>56</v>
      </c>
      <c r="B62" s="124" t="s">
        <v>447</v>
      </c>
      <c r="C62" s="124" t="s">
        <v>448</v>
      </c>
      <c r="D62" s="124" t="s">
        <v>45</v>
      </c>
      <c r="E62" s="125">
        <v>119455</v>
      </c>
      <c r="F62" s="126">
        <v>1152.2032025000001</v>
      </c>
      <c r="G62" s="127">
        <v>5.1890499999999997E-3</v>
      </c>
      <c r="H62" s="122" t="s">
        <v>153</v>
      </c>
      <c r="J62" s="33"/>
    </row>
    <row r="63" spans="1:10" ht="25.5" x14ac:dyDescent="0.2">
      <c r="A63" s="123">
        <v>57</v>
      </c>
      <c r="B63" s="124" t="s">
        <v>798</v>
      </c>
      <c r="C63" s="124" t="s">
        <v>799</v>
      </c>
      <c r="D63" s="124" t="s">
        <v>208</v>
      </c>
      <c r="E63" s="125">
        <v>87944</v>
      </c>
      <c r="F63" s="126">
        <v>944.12281199999995</v>
      </c>
      <c r="G63" s="127">
        <v>4.2519400000000001E-3</v>
      </c>
      <c r="H63" s="122" t="s">
        <v>153</v>
      </c>
      <c r="J63" s="33"/>
    </row>
    <row r="64" spans="1:10" x14ac:dyDescent="0.2">
      <c r="A64" s="123">
        <v>58</v>
      </c>
      <c r="B64" s="124" t="s">
        <v>309</v>
      </c>
      <c r="C64" s="124" t="s">
        <v>310</v>
      </c>
      <c r="D64" s="124" t="s">
        <v>45</v>
      </c>
      <c r="E64" s="125">
        <v>63470</v>
      </c>
      <c r="F64" s="126">
        <v>857.38449500000002</v>
      </c>
      <c r="G64" s="127">
        <v>3.8613100000000002E-3</v>
      </c>
      <c r="H64" s="122" t="s">
        <v>153</v>
      </c>
      <c r="J64" s="33"/>
    </row>
    <row r="65" spans="1:10" x14ac:dyDescent="0.2">
      <c r="A65" s="123">
        <v>59</v>
      </c>
      <c r="B65" s="124" t="s">
        <v>126</v>
      </c>
      <c r="C65" s="124" t="s">
        <v>127</v>
      </c>
      <c r="D65" s="124" t="s">
        <v>74</v>
      </c>
      <c r="E65" s="125">
        <v>21000</v>
      </c>
      <c r="F65" s="126">
        <v>827.74649999999997</v>
      </c>
      <c r="G65" s="127">
        <v>3.7278300000000001E-3</v>
      </c>
      <c r="H65" s="122" t="s">
        <v>153</v>
      </c>
      <c r="J65" s="33"/>
    </row>
    <row r="66" spans="1:10" x14ac:dyDescent="0.2">
      <c r="A66" s="123">
        <v>60</v>
      </c>
      <c r="B66" s="124" t="s">
        <v>711</v>
      </c>
      <c r="C66" s="124" t="s">
        <v>712</v>
      </c>
      <c r="D66" s="124" t="s">
        <v>403</v>
      </c>
      <c r="E66" s="125">
        <v>77000</v>
      </c>
      <c r="F66" s="126">
        <v>820.51199999999994</v>
      </c>
      <c r="G66" s="127">
        <v>3.6952500000000002E-3</v>
      </c>
      <c r="H66" s="122" t="s">
        <v>153</v>
      </c>
      <c r="J66" s="33"/>
    </row>
    <row r="67" spans="1:10" x14ac:dyDescent="0.2">
      <c r="A67" s="123">
        <v>61</v>
      </c>
      <c r="B67" s="124" t="s">
        <v>833</v>
      </c>
      <c r="C67" s="124" t="s">
        <v>834</v>
      </c>
      <c r="D67" s="124" t="s">
        <v>89</v>
      </c>
      <c r="E67" s="125">
        <v>34732</v>
      </c>
      <c r="F67" s="126">
        <v>608.24414999999999</v>
      </c>
      <c r="G67" s="127">
        <v>2.7392800000000002E-3</v>
      </c>
      <c r="H67" s="122" t="s">
        <v>153</v>
      </c>
      <c r="J67" s="33"/>
    </row>
    <row r="68" spans="1:10" x14ac:dyDescent="0.2">
      <c r="A68" s="123">
        <v>62</v>
      </c>
      <c r="B68" s="124" t="s">
        <v>796</v>
      </c>
      <c r="C68" s="124" t="s">
        <v>797</v>
      </c>
      <c r="D68" s="124" t="s">
        <v>45</v>
      </c>
      <c r="E68" s="125">
        <v>40000</v>
      </c>
      <c r="F68" s="126">
        <v>581.05999999999995</v>
      </c>
      <c r="G68" s="127">
        <v>2.6168599999999999E-3</v>
      </c>
      <c r="H68" s="122" t="s">
        <v>153</v>
      </c>
      <c r="J68" s="33"/>
    </row>
    <row r="69" spans="1:10" ht="25.5" x14ac:dyDescent="0.2">
      <c r="A69" s="123">
        <v>63</v>
      </c>
      <c r="B69" s="124" t="s">
        <v>141</v>
      </c>
      <c r="C69" s="124" t="s">
        <v>142</v>
      </c>
      <c r="D69" s="124" t="s">
        <v>25</v>
      </c>
      <c r="E69" s="125">
        <v>250000</v>
      </c>
      <c r="F69" s="126">
        <v>522.125</v>
      </c>
      <c r="G69" s="127">
        <v>2.3514400000000002E-3</v>
      </c>
      <c r="H69" s="122" t="s">
        <v>153</v>
      </c>
      <c r="J69" s="33"/>
    </row>
    <row r="70" spans="1:10" x14ac:dyDescent="0.2">
      <c r="A70" s="123">
        <v>64</v>
      </c>
      <c r="B70" s="124" t="s">
        <v>267</v>
      </c>
      <c r="C70" s="124" t="s">
        <v>268</v>
      </c>
      <c r="D70" s="124" t="s">
        <v>35</v>
      </c>
      <c r="E70" s="125">
        <v>7000</v>
      </c>
      <c r="F70" s="126">
        <v>476.93799999999999</v>
      </c>
      <c r="G70" s="127">
        <v>2.1479300000000002E-3</v>
      </c>
      <c r="H70" s="122" t="s">
        <v>153</v>
      </c>
      <c r="J70" s="33"/>
    </row>
    <row r="71" spans="1:10" x14ac:dyDescent="0.2">
      <c r="A71" s="123">
        <v>65</v>
      </c>
      <c r="B71" s="124" t="s">
        <v>494</v>
      </c>
      <c r="C71" s="124" t="s">
        <v>495</v>
      </c>
      <c r="D71" s="124" t="s">
        <v>74</v>
      </c>
      <c r="E71" s="125">
        <v>10904</v>
      </c>
      <c r="F71" s="126">
        <v>300.54695199999998</v>
      </c>
      <c r="G71" s="127">
        <v>1.3535400000000001E-3</v>
      </c>
      <c r="H71" s="122" t="s">
        <v>153</v>
      </c>
      <c r="J71" s="33"/>
    </row>
    <row r="72" spans="1:10" x14ac:dyDescent="0.2">
      <c r="A72" s="120"/>
      <c r="B72" s="120"/>
      <c r="C72" s="121" t="s">
        <v>152</v>
      </c>
      <c r="D72" s="120"/>
      <c r="E72" s="120" t="s">
        <v>153</v>
      </c>
      <c r="F72" s="128">
        <v>220549.313734</v>
      </c>
      <c r="G72" s="129">
        <v>0.99326322</v>
      </c>
      <c r="H72" s="122" t="s">
        <v>153</v>
      </c>
      <c r="J72" s="33"/>
    </row>
    <row r="73" spans="1:10" x14ac:dyDescent="0.2">
      <c r="A73" s="120"/>
      <c r="B73" s="120"/>
      <c r="C73" s="130"/>
      <c r="D73" s="120"/>
      <c r="E73" s="120"/>
      <c r="F73" s="131"/>
      <c r="G73" s="131"/>
      <c r="H73" s="122" t="s">
        <v>153</v>
      </c>
      <c r="J73" s="33"/>
    </row>
    <row r="74" spans="1:10" x14ac:dyDescent="0.2">
      <c r="A74" s="120"/>
      <c r="B74" s="120"/>
      <c r="C74" s="121" t="s">
        <v>154</v>
      </c>
      <c r="D74" s="120"/>
      <c r="E74" s="120"/>
      <c r="F74" s="120"/>
      <c r="G74" s="120"/>
      <c r="H74" s="122" t="s">
        <v>153</v>
      </c>
      <c r="J74" s="33"/>
    </row>
    <row r="75" spans="1:10" x14ac:dyDescent="0.2">
      <c r="A75" s="120"/>
      <c r="B75" s="120"/>
      <c r="C75" s="121" t="s">
        <v>152</v>
      </c>
      <c r="D75" s="120"/>
      <c r="E75" s="120" t="s">
        <v>153</v>
      </c>
      <c r="F75" s="132" t="s">
        <v>155</v>
      </c>
      <c r="G75" s="129">
        <v>0</v>
      </c>
      <c r="H75" s="122" t="s">
        <v>153</v>
      </c>
      <c r="J75" s="33"/>
    </row>
    <row r="76" spans="1:10" x14ac:dyDescent="0.2">
      <c r="A76" s="120"/>
      <c r="B76" s="120"/>
      <c r="C76" s="130"/>
      <c r="D76" s="120"/>
      <c r="E76" s="120"/>
      <c r="F76" s="131"/>
      <c r="G76" s="131"/>
      <c r="H76" s="122" t="s">
        <v>153</v>
      </c>
      <c r="J76" s="33"/>
    </row>
    <row r="77" spans="1:10" x14ac:dyDescent="0.2">
      <c r="A77" s="120"/>
      <c r="B77" s="120"/>
      <c r="C77" s="121" t="s">
        <v>156</v>
      </c>
      <c r="D77" s="120"/>
      <c r="E77" s="120"/>
      <c r="F77" s="120"/>
      <c r="G77" s="120"/>
      <c r="H77" s="122" t="s">
        <v>153</v>
      </c>
      <c r="J77" s="33"/>
    </row>
    <row r="78" spans="1:10" x14ac:dyDescent="0.2">
      <c r="A78" s="120"/>
      <c r="B78" s="120"/>
      <c r="C78" s="121" t="s">
        <v>152</v>
      </c>
      <c r="D78" s="120"/>
      <c r="E78" s="120" t="s">
        <v>153</v>
      </c>
      <c r="F78" s="132" t="s">
        <v>155</v>
      </c>
      <c r="G78" s="129">
        <v>0</v>
      </c>
      <c r="H78" s="122" t="s">
        <v>153</v>
      </c>
      <c r="J78" s="33"/>
    </row>
    <row r="79" spans="1:10" x14ac:dyDescent="0.2">
      <c r="A79" s="120"/>
      <c r="B79" s="120"/>
      <c r="C79" s="130"/>
      <c r="D79" s="120"/>
      <c r="E79" s="120"/>
      <c r="F79" s="131"/>
      <c r="G79" s="131"/>
      <c r="H79" s="122" t="s">
        <v>153</v>
      </c>
      <c r="J79" s="33"/>
    </row>
    <row r="80" spans="1:10" x14ac:dyDescent="0.2">
      <c r="A80" s="120"/>
      <c r="B80" s="120"/>
      <c r="C80" s="121" t="s">
        <v>157</v>
      </c>
      <c r="D80" s="120"/>
      <c r="E80" s="120"/>
      <c r="F80" s="120"/>
      <c r="G80" s="120"/>
      <c r="H80" s="122" t="s">
        <v>153</v>
      </c>
      <c r="J80" s="33"/>
    </row>
    <row r="81" spans="1:10" x14ac:dyDescent="0.2">
      <c r="A81" s="120"/>
      <c r="B81" s="120"/>
      <c r="C81" s="121" t="s">
        <v>152</v>
      </c>
      <c r="D81" s="120"/>
      <c r="E81" s="120" t="s">
        <v>153</v>
      </c>
      <c r="F81" s="132" t="s">
        <v>155</v>
      </c>
      <c r="G81" s="129">
        <v>0</v>
      </c>
      <c r="H81" s="122" t="s">
        <v>153</v>
      </c>
      <c r="J81" s="33"/>
    </row>
    <row r="82" spans="1:10" x14ac:dyDescent="0.2">
      <c r="A82" s="120"/>
      <c r="B82" s="120"/>
      <c r="C82" s="130"/>
      <c r="D82" s="120"/>
      <c r="E82" s="120"/>
      <c r="F82" s="131"/>
      <c r="G82" s="131"/>
      <c r="H82" s="122" t="s">
        <v>153</v>
      </c>
      <c r="J82" s="33"/>
    </row>
    <row r="83" spans="1:10" x14ac:dyDescent="0.2">
      <c r="A83" s="120"/>
      <c r="B83" s="120"/>
      <c r="C83" s="121" t="s">
        <v>158</v>
      </c>
      <c r="D83" s="120"/>
      <c r="E83" s="120"/>
      <c r="F83" s="131"/>
      <c r="G83" s="131"/>
      <c r="H83" s="122" t="s">
        <v>153</v>
      </c>
      <c r="J83" s="33"/>
    </row>
    <row r="84" spans="1:10" x14ac:dyDescent="0.2">
      <c r="A84" s="120"/>
      <c r="B84" s="120"/>
      <c r="C84" s="121" t="s">
        <v>152</v>
      </c>
      <c r="D84" s="120"/>
      <c r="E84" s="120" t="s">
        <v>153</v>
      </c>
      <c r="F84" s="132" t="s">
        <v>155</v>
      </c>
      <c r="G84" s="129">
        <v>0</v>
      </c>
      <c r="H84" s="122" t="s">
        <v>153</v>
      </c>
      <c r="J84" s="33"/>
    </row>
    <row r="85" spans="1:10" x14ac:dyDescent="0.2">
      <c r="A85" s="120"/>
      <c r="B85" s="120"/>
      <c r="C85" s="130"/>
      <c r="D85" s="120"/>
      <c r="E85" s="120"/>
      <c r="F85" s="131"/>
      <c r="G85" s="131"/>
      <c r="H85" s="122" t="s">
        <v>153</v>
      </c>
      <c r="J85" s="33"/>
    </row>
    <row r="86" spans="1:10" x14ac:dyDescent="0.2">
      <c r="A86" s="120"/>
      <c r="B86" s="120"/>
      <c r="C86" s="121" t="s">
        <v>159</v>
      </c>
      <c r="D86" s="120"/>
      <c r="E86" s="120"/>
      <c r="F86" s="131"/>
      <c r="G86" s="131"/>
      <c r="H86" s="122" t="s">
        <v>153</v>
      </c>
      <c r="J86" s="33"/>
    </row>
    <row r="87" spans="1:10" x14ac:dyDescent="0.2">
      <c r="A87" s="120"/>
      <c r="B87" s="120"/>
      <c r="C87" s="121" t="s">
        <v>152</v>
      </c>
      <c r="D87" s="120"/>
      <c r="E87" s="120" t="s">
        <v>153</v>
      </c>
      <c r="F87" s="132" t="s">
        <v>155</v>
      </c>
      <c r="G87" s="129">
        <v>0</v>
      </c>
      <c r="H87" s="122" t="s">
        <v>153</v>
      </c>
      <c r="J87" s="33"/>
    </row>
    <row r="88" spans="1:10" x14ac:dyDescent="0.2">
      <c r="A88" s="120"/>
      <c r="B88" s="120"/>
      <c r="C88" s="130"/>
      <c r="D88" s="120"/>
      <c r="E88" s="120"/>
      <c r="F88" s="131"/>
      <c r="G88" s="131"/>
      <c r="H88" s="122" t="s">
        <v>153</v>
      </c>
      <c r="J88" s="33"/>
    </row>
    <row r="89" spans="1:10" x14ac:dyDescent="0.2">
      <c r="A89" s="120"/>
      <c r="B89" s="120"/>
      <c r="C89" s="121" t="s">
        <v>160</v>
      </c>
      <c r="D89" s="120"/>
      <c r="E89" s="120"/>
      <c r="F89" s="128">
        <v>220549.313734</v>
      </c>
      <c r="G89" s="129">
        <v>0.99326322</v>
      </c>
      <c r="H89" s="122" t="s">
        <v>153</v>
      </c>
      <c r="J89" s="33"/>
    </row>
    <row r="90" spans="1:10" x14ac:dyDescent="0.2">
      <c r="A90" s="120"/>
      <c r="B90" s="120"/>
      <c r="C90" s="130"/>
      <c r="D90" s="120"/>
      <c r="E90" s="120"/>
      <c r="F90" s="131"/>
      <c r="G90" s="131"/>
      <c r="H90" s="122" t="s">
        <v>153</v>
      </c>
      <c r="J90" s="33"/>
    </row>
    <row r="91" spans="1:10" x14ac:dyDescent="0.2">
      <c r="A91" s="120"/>
      <c r="B91" s="120"/>
      <c r="C91" s="121" t="s">
        <v>161</v>
      </c>
      <c r="D91" s="120"/>
      <c r="E91" s="120"/>
      <c r="F91" s="131"/>
      <c r="G91" s="131"/>
      <c r="H91" s="122" t="s">
        <v>153</v>
      </c>
      <c r="J91" s="33"/>
    </row>
    <row r="92" spans="1:10" x14ac:dyDescent="0.2">
      <c r="A92" s="120"/>
      <c r="B92" s="120"/>
      <c r="C92" s="121" t="s">
        <v>10</v>
      </c>
      <c r="D92" s="120"/>
      <c r="E92" s="120"/>
      <c r="F92" s="131"/>
      <c r="G92" s="131"/>
      <c r="H92" s="122" t="s">
        <v>153</v>
      </c>
      <c r="J92" s="33"/>
    </row>
    <row r="93" spans="1:10" x14ac:dyDescent="0.2">
      <c r="A93" s="120"/>
      <c r="B93" s="120"/>
      <c r="C93" s="121" t="s">
        <v>152</v>
      </c>
      <c r="D93" s="120"/>
      <c r="E93" s="120" t="s">
        <v>153</v>
      </c>
      <c r="F93" s="132" t="s">
        <v>155</v>
      </c>
      <c r="G93" s="129">
        <v>0</v>
      </c>
      <c r="H93" s="122" t="s">
        <v>153</v>
      </c>
      <c r="J93" s="33"/>
    </row>
    <row r="94" spans="1:10" x14ac:dyDescent="0.2">
      <c r="A94" s="120"/>
      <c r="B94" s="120"/>
      <c r="C94" s="130"/>
      <c r="D94" s="120"/>
      <c r="E94" s="120"/>
      <c r="F94" s="131"/>
      <c r="G94" s="131"/>
      <c r="H94" s="122" t="s">
        <v>153</v>
      </c>
      <c r="J94" s="33"/>
    </row>
    <row r="95" spans="1:10" x14ac:dyDescent="0.2">
      <c r="A95" s="120"/>
      <c r="B95" s="120"/>
      <c r="C95" s="121" t="s">
        <v>162</v>
      </c>
      <c r="D95" s="120"/>
      <c r="E95" s="120"/>
      <c r="F95" s="120"/>
      <c r="G95" s="120"/>
      <c r="H95" s="122" t="s">
        <v>153</v>
      </c>
      <c r="J95" s="33"/>
    </row>
    <row r="96" spans="1:10" x14ac:dyDescent="0.2">
      <c r="A96" s="120"/>
      <c r="B96" s="120"/>
      <c r="C96" s="121" t="s">
        <v>152</v>
      </c>
      <c r="D96" s="120"/>
      <c r="E96" s="120" t="s">
        <v>153</v>
      </c>
      <c r="F96" s="132" t="s">
        <v>155</v>
      </c>
      <c r="G96" s="129">
        <v>0</v>
      </c>
      <c r="H96" s="122" t="s">
        <v>153</v>
      </c>
      <c r="J96" s="33"/>
    </row>
    <row r="97" spans="1:10" x14ac:dyDescent="0.2">
      <c r="A97" s="120"/>
      <c r="B97" s="120"/>
      <c r="C97" s="130"/>
      <c r="D97" s="120"/>
      <c r="E97" s="120"/>
      <c r="F97" s="131"/>
      <c r="G97" s="131"/>
      <c r="H97" s="122" t="s">
        <v>153</v>
      </c>
      <c r="J97" s="33"/>
    </row>
    <row r="98" spans="1:10" x14ac:dyDescent="0.2">
      <c r="A98" s="120"/>
      <c r="B98" s="120"/>
      <c r="C98" s="121" t="s">
        <v>163</v>
      </c>
      <c r="D98" s="120"/>
      <c r="E98" s="120"/>
      <c r="F98" s="120"/>
      <c r="G98" s="120"/>
      <c r="H98" s="122" t="s">
        <v>153</v>
      </c>
      <c r="J98" s="33"/>
    </row>
    <row r="99" spans="1:10" x14ac:dyDescent="0.2">
      <c r="A99" s="120"/>
      <c r="B99" s="120"/>
      <c r="C99" s="121" t="s">
        <v>152</v>
      </c>
      <c r="D99" s="120"/>
      <c r="E99" s="120" t="s">
        <v>153</v>
      </c>
      <c r="F99" s="132" t="s">
        <v>155</v>
      </c>
      <c r="G99" s="129">
        <v>0</v>
      </c>
      <c r="H99" s="122" t="s">
        <v>153</v>
      </c>
      <c r="J99" s="33"/>
    </row>
    <row r="100" spans="1:10" x14ac:dyDescent="0.2">
      <c r="A100" s="120"/>
      <c r="B100" s="120"/>
      <c r="C100" s="130"/>
      <c r="D100" s="120"/>
      <c r="E100" s="120"/>
      <c r="F100" s="131"/>
      <c r="G100" s="131"/>
      <c r="H100" s="122" t="s">
        <v>153</v>
      </c>
      <c r="J100" s="33"/>
    </row>
    <row r="101" spans="1:10" x14ac:dyDescent="0.2">
      <c r="A101" s="120"/>
      <c r="B101" s="120"/>
      <c r="C101" s="121" t="s">
        <v>164</v>
      </c>
      <c r="D101" s="120"/>
      <c r="E101" s="120"/>
      <c r="F101" s="131"/>
      <c r="G101" s="131"/>
      <c r="H101" s="122" t="s">
        <v>153</v>
      </c>
      <c r="J101" s="33"/>
    </row>
    <row r="102" spans="1:10" x14ac:dyDescent="0.2">
      <c r="A102" s="120"/>
      <c r="B102" s="120"/>
      <c r="C102" s="121" t="s">
        <v>152</v>
      </c>
      <c r="D102" s="120"/>
      <c r="E102" s="120" t="s">
        <v>153</v>
      </c>
      <c r="F102" s="132" t="s">
        <v>155</v>
      </c>
      <c r="G102" s="129">
        <v>0</v>
      </c>
      <c r="H102" s="122" t="s">
        <v>153</v>
      </c>
      <c r="J102" s="33"/>
    </row>
    <row r="103" spans="1:10" x14ac:dyDescent="0.2">
      <c r="A103" s="120"/>
      <c r="B103" s="120"/>
      <c r="C103" s="130"/>
      <c r="D103" s="120"/>
      <c r="E103" s="120"/>
      <c r="F103" s="131"/>
      <c r="G103" s="131"/>
      <c r="H103" s="122" t="s">
        <v>153</v>
      </c>
      <c r="J103" s="33"/>
    </row>
    <row r="104" spans="1:10" x14ac:dyDescent="0.2">
      <c r="A104" s="120"/>
      <c r="B104" s="120"/>
      <c r="C104" s="121" t="s">
        <v>165</v>
      </c>
      <c r="D104" s="120"/>
      <c r="E104" s="120"/>
      <c r="F104" s="128">
        <v>0</v>
      </c>
      <c r="G104" s="129">
        <v>0</v>
      </c>
      <c r="H104" s="122" t="s">
        <v>153</v>
      </c>
      <c r="J104" s="33"/>
    </row>
    <row r="105" spans="1:10" x14ac:dyDescent="0.2">
      <c r="A105" s="120"/>
      <c r="B105" s="120"/>
      <c r="C105" s="130"/>
      <c r="D105" s="120"/>
      <c r="E105" s="120"/>
      <c r="F105" s="131"/>
      <c r="G105" s="131"/>
      <c r="H105" s="122" t="s">
        <v>153</v>
      </c>
      <c r="J105" s="33"/>
    </row>
    <row r="106" spans="1:10" x14ac:dyDescent="0.2">
      <c r="A106" s="120"/>
      <c r="B106" s="120"/>
      <c r="C106" s="121" t="s">
        <v>166</v>
      </c>
      <c r="D106" s="120"/>
      <c r="E106" s="120"/>
      <c r="F106" s="131"/>
      <c r="G106" s="131"/>
      <c r="H106" s="122" t="s">
        <v>153</v>
      </c>
      <c r="J106" s="33"/>
    </row>
    <row r="107" spans="1:10" x14ac:dyDescent="0.2">
      <c r="A107" s="120"/>
      <c r="B107" s="120"/>
      <c r="C107" s="121" t="s">
        <v>167</v>
      </c>
      <c r="D107" s="120"/>
      <c r="E107" s="120"/>
      <c r="F107" s="131"/>
      <c r="G107" s="131"/>
      <c r="H107" s="122" t="s">
        <v>153</v>
      </c>
      <c r="J107" s="33"/>
    </row>
    <row r="108" spans="1:10" x14ac:dyDescent="0.2">
      <c r="A108" s="120"/>
      <c r="B108" s="120"/>
      <c r="C108" s="121" t="s">
        <v>152</v>
      </c>
      <c r="D108" s="120"/>
      <c r="E108" s="120" t="s">
        <v>153</v>
      </c>
      <c r="F108" s="132" t="s">
        <v>155</v>
      </c>
      <c r="G108" s="129">
        <v>0</v>
      </c>
      <c r="H108" s="122" t="s">
        <v>153</v>
      </c>
      <c r="J108" s="33"/>
    </row>
    <row r="109" spans="1:10" x14ac:dyDescent="0.2">
      <c r="A109" s="120"/>
      <c r="B109" s="120"/>
      <c r="C109" s="130"/>
      <c r="D109" s="120"/>
      <c r="E109" s="120"/>
      <c r="F109" s="131"/>
      <c r="G109" s="131"/>
      <c r="H109" s="122" t="s">
        <v>153</v>
      </c>
      <c r="J109" s="33"/>
    </row>
    <row r="110" spans="1:10" x14ac:dyDescent="0.2">
      <c r="A110" s="120"/>
      <c r="B110" s="120"/>
      <c r="C110" s="121" t="s">
        <v>168</v>
      </c>
      <c r="D110" s="120"/>
      <c r="E110" s="120"/>
      <c r="F110" s="131"/>
      <c r="G110" s="131"/>
      <c r="H110" s="122" t="s">
        <v>153</v>
      </c>
      <c r="J110" s="33"/>
    </row>
    <row r="111" spans="1:10" x14ac:dyDescent="0.2">
      <c r="A111" s="120"/>
      <c r="B111" s="120"/>
      <c r="C111" s="121" t="s">
        <v>152</v>
      </c>
      <c r="D111" s="120"/>
      <c r="E111" s="120" t="s">
        <v>153</v>
      </c>
      <c r="F111" s="132" t="s">
        <v>155</v>
      </c>
      <c r="G111" s="129">
        <v>0</v>
      </c>
      <c r="H111" s="122" t="s">
        <v>153</v>
      </c>
      <c r="J111" s="33"/>
    </row>
    <row r="112" spans="1:10" x14ac:dyDescent="0.2">
      <c r="A112" s="120"/>
      <c r="B112" s="120"/>
      <c r="C112" s="130"/>
      <c r="D112" s="120"/>
      <c r="E112" s="120"/>
      <c r="F112" s="131"/>
      <c r="G112" s="131"/>
      <c r="H112" s="122" t="s">
        <v>153</v>
      </c>
      <c r="J112" s="33"/>
    </row>
    <row r="113" spans="1:10" x14ac:dyDescent="0.2">
      <c r="A113" s="120"/>
      <c r="B113" s="120"/>
      <c r="C113" s="121" t="s">
        <v>169</v>
      </c>
      <c r="D113" s="120"/>
      <c r="E113" s="120"/>
      <c r="F113" s="131"/>
      <c r="G113" s="131"/>
      <c r="H113" s="122" t="s">
        <v>153</v>
      </c>
      <c r="J113" s="33"/>
    </row>
    <row r="114" spans="1:10" x14ac:dyDescent="0.2">
      <c r="A114" s="120"/>
      <c r="B114" s="120"/>
      <c r="C114" s="121" t="s">
        <v>152</v>
      </c>
      <c r="D114" s="120"/>
      <c r="E114" s="120" t="s">
        <v>153</v>
      </c>
      <c r="F114" s="132" t="s">
        <v>155</v>
      </c>
      <c r="G114" s="129">
        <v>0</v>
      </c>
      <c r="H114" s="122" t="s">
        <v>153</v>
      </c>
      <c r="J114" s="33"/>
    </row>
    <row r="115" spans="1:10" x14ac:dyDescent="0.2">
      <c r="A115" s="120"/>
      <c r="B115" s="120"/>
      <c r="C115" s="130"/>
      <c r="D115" s="120"/>
      <c r="E115" s="120"/>
      <c r="F115" s="131"/>
      <c r="G115" s="131"/>
      <c r="H115" s="122" t="s">
        <v>153</v>
      </c>
      <c r="J115" s="33"/>
    </row>
    <row r="116" spans="1:10" x14ac:dyDescent="0.2">
      <c r="A116" s="120"/>
      <c r="B116" s="120"/>
      <c r="C116" s="121" t="s">
        <v>170</v>
      </c>
      <c r="D116" s="120"/>
      <c r="E116" s="120"/>
      <c r="F116" s="131"/>
      <c r="G116" s="131"/>
      <c r="H116" s="122" t="s">
        <v>153</v>
      </c>
      <c r="J116" s="33"/>
    </row>
    <row r="117" spans="1:10" x14ac:dyDescent="0.2">
      <c r="A117" s="123">
        <v>1</v>
      </c>
      <c r="B117" s="124"/>
      <c r="C117" s="124" t="s">
        <v>171</v>
      </c>
      <c r="D117" s="124"/>
      <c r="E117" s="133"/>
      <c r="F117" s="126">
        <v>2042.9535626039999</v>
      </c>
      <c r="G117" s="127">
        <v>9.2006199999999996E-3</v>
      </c>
      <c r="H117" s="122">
        <v>6.62</v>
      </c>
      <c r="J117" s="33"/>
    </row>
    <row r="118" spans="1:10" x14ac:dyDescent="0.2">
      <c r="A118" s="120"/>
      <c r="B118" s="120"/>
      <c r="C118" s="121" t="s">
        <v>152</v>
      </c>
      <c r="D118" s="120"/>
      <c r="E118" s="120" t="s">
        <v>153</v>
      </c>
      <c r="F118" s="128">
        <v>2042.9535626039999</v>
      </c>
      <c r="G118" s="129">
        <v>9.2006199999999996E-3</v>
      </c>
      <c r="H118" s="122" t="s">
        <v>153</v>
      </c>
      <c r="J118" s="33"/>
    </row>
    <row r="119" spans="1:10" x14ac:dyDescent="0.2">
      <c r="A119" s="120"/>
      <c r="B119" s="120"/>
      <c r="C119" s="130"/>
      <c r="D119" s="120"/>
      <c r="E119" s="120"/>
      <c r="F119" s="131"/>
      <c r="G119" s="131"/>
      <c r="H119" s="122" t="s">
        <v>153</v>
      </c>
      <c r="J119" s="33"/>
    </row>
    <row r="120" spans="1:10" x14ac:dyDescent="0.2">
      <c r="A120" s="120"/>
      <c r="B120" s="120"/>
      <c r="C120" s="121" t="s">
        <v>172</v>
      </c>
      <c r="D120" s="120"/>
      <c r="E120" s="120"/>
      <c r="F120" s="128">
        <v>2042.9535626039999</v>
      </c>
      <c r="G120" s="129">
        <v>9.2006199999999996E-3</v>
      </c>
      <c r="H120" s="122" t="s">
        <v>153</v>
      </c>
      <c r="J120" s="33"/>
    </row>
    <row r="121" spans="1:10" x14ac:dyDescent="0.2">
      <c r="A121" s="120"/>
      <c r="B121" s="120"/>
      <c r="C121" s="131"/>
      <c r="D121" s="120"/>
      <c r="E121" s="120"/>
      <c r="F121" s="120"/>
      <c r="G121" s="120"/>
      <c r="H121" s="122" t="s">
        <v>153</v>
      </c>
      <c r="J121" s="33"/>
    </row>
    <row r="122" spans="1:10" x14ac:dyDescent="0.2">
      <c r="A122" s="120"/>
      <c r="B122" s="120"/>
      <c r="C122" s="121" t="s">
        <v>173</v>
      </c>
      <c r="D122" s="120"/>
      <c r="E122" s="120"/>
      <c r="F122" s="120"/>
      <c r="G122" s="120"/>
      <c r="H122" s="122" t="s">
        <v>153</v>
      </c>
      <c r="J122" s="33"/>
    </row>
    <row r="123" spans="1:10" x14ac:dyDescent="0.2">
      <c r="A123" s="120"/>
      <c r="B123" s="120"/>
      <c r="C123" s="121" t="s">
        <v>174</v>
      </c>
      <c r="D123" s="120"/>
      <c r="E123" s="120"/>
      <c r="F123" s="120"/>
      <c r="G123" s="120"/>
      <c r="H123" s="122" t="s">
        <v>153</v>
      </c>
      <c r="J123" s="33"/>
    </row>
    <row r="124" spans="1:10" x14ac:dyDescent="0.2">
      <c r="A124" s="120"/>
      <c r="B124" s="120"/>
      <c r="C124" s="121" t="s">
        <v>152</v>
      </c>
      <c r="D124" s="120"/>
      <c r="E124" s="120" t="s">
        <v>153</v>
      </c>
      <c r="F124" s="132" t="s">
        <v>155</v>
      </c>
      <c r="G124" s="129">
        <v>0</v>
      </c>
      <c r="H124" s="122" t="s">
        <v>153</v>
      </c>
      <c r="J124" s="33"/>
    </row>
    <row r="125" spans="1:10" x14ac:dyDescent="0.2">
      <c r="A125" s="120"/>
      <c r="B125" s="120"/>
      <c r="C125" s="130"/>
      <c r="D125" s="120"/>
      <c r="E125" s="120"/>
      <c r="F125" s="131"/>
      <c r="G125" s="131"/>
      <c r="H125" s="122" t="s">
        <v>153</v>
      </c>
      <c r="J125" s="33"/>
    </row>
    <row r="126" spans="1:10" x14ac:dyDescent="0.2">
      <c r="A126" s="120"/>
      <c r="B126" s="120"/>
      <c r="C126" s="121" t="s">
        <v>175</v>
      </c>
      <c r="D126" s="120"/>
      <c r="E126" s="120"/>
      <c r="F126" s="120"/>
      <c r="G126" s="120"/>
      <c r="H126" s="122" t="s">
        <v>153</v>
      </c>
      <c r="J126" s="33"/>
    </row>
    <row r="127" spans="1:10" x14ac:dyDescent="0.2">
      <c r="A127" s="120"/>
      <c r="B127" s="120"/>
      <c r="C127" s="121" t="s">
        <v>176</v>
      </c>
      <c r="D127" s="120"/>
      <c r="E127" s="120"/>
      <c r="F127" s="120"/>
      <c r="G127" s="120"/>
      <c r="H127" s="122" t="s">
        <v>153</v>
      </c>
      <c r="J127" s="33"/>
    </row>
    <row r="128" spans="1:10" x14ac:dyDescent="0.2">
      <c r="A128" s="120"/>
      <c r="B128" s="120"/>
      <c r="C128" s="121" t="s">
        <v>152</v>
      </c>
      <c r="D128" s="120"/>
      <c r="E128" s="120" t="s">
        <v>153</v>
      </c>
      <c r="F128" s="132" t="s">
        <v>155</v>
      </c>
      <c r="G128" s="129">
        <v>0</v>
      </c>
      <c r="H128" s="122" t="s">
        <v>153</v>
      </c>
      <c r="J128" s="33"/>
    </row>
    <row r="129" spans="1:17" x14ac:dyDescent="0.2">
      <c r="A129" s="120"/>
      <c r="B129" s="120"/>
      <c r="C129" s="130"/>
      <c r="D129" s="120"/>
      <c r="E129" s="120"/>
      <c r="F129" s="131"/>
      <c r="G129" s="131"/>
      <c r="H129" s="122" t="s">
        <v>153</v>
      </c>
      <c r="J129" s="33"/>
    </row>
    <row r="130" spans="1:17" ht="25.5" x14ac:dyDescent="0.2">
      <c r="A130" s="120"/>
      <c r="B130" s="120"/>
      <c r="C130" s="121" t="s">
        <v>177</v>
      </c>
      <c r="D130" s="120"/>
      <c r="E130" s="120"/>
      <c r="F130" s="131"/>
      <c r="G130" s="131"/>
      <c r="H130" s="122" t="s">
        <v>153</v>
      </c>
      <c r="J130" s="33"/>
    </row>
    <row r="131" spans="1:17" x14ac:dyDescent="0.2">
      <c r="A131" s="120"/>
      <c r="B131" s="120"/>
      <c r="C131" s="121" t="s">
        <v>152</v>
      </c>
      <c r="D131" s="120"/>
      <c r="E131" s="120" t="s">
        <v>153</v>
      </c>
      <c r="F131" s="132" t="s">
        <v>155</v>
      </c>
      <c r="G131" s="129">
        <v>0</v>
      </c>
      <c r="H131" s="122" t="s">
        <v>153</v>
      </c>
      <c r="J131" s="33"/>
    </row>
    <row r="132" spans="1:17" x14ac:dyDescent="0.2">
      <c r="A132" s="120"/>
      <c r="B132" s="120"/>
      <c r="C132" s="130"/>
      <c r="D132" s="120"/>
      <c r="E132" s="120"/>
      <c r="F132" s="131"/>
      <c r="G132" s="131"/>
      <c r="H132" s="122" t="s">
        <v>153</v>
      </c>
      <c r="J132" s="33"/>
    </row>
    <row r="133" spans="1:17" x14ac:dyDescent="0.2">
      <c r="A133" s="133"/>
      <c r="B133" s="124"/>
      <c r="C133" s="124" t="s">
        <v>178</v>
      </c>
      <c r="D133" s="124"/>
      <c r="E133" s="133"/>
      <c r="F133" s="126">
        <v>-547.07274788999996</v>
      </c>
      <c r="G133" s="127">
        <v>-2.46379E-3</v>
      </c>
      <c r="H133" s="122" t="s">
        <v>153</v>
      </c>
      <c r="J133" s="2"/>
    </row>
    <row r="134" spans="1:17" x14ac:dyDescent="0.2">
      <c r="A134" s="130"/>
      <c r="B134" s="130"/>
      <c r="C134" s="121" t="s">
        <v>179</v>
      </c>
      <c r="D134" s="131"/>
      <c r="E134" s="131"/>
      <c r="F134" s="128">
        <v>222045.194548714</v>
      </c>
      <c r="G134" s="134">
        <v>1.0000000499999999</v>
      </c>
      <c r="H134" s="122" t="s">
        <v>153</v>
      </c>
      <c r="J134" s="2"/>
    </row>
    <row r="135" spans="1:17" x14ac:dyDescent="0.2">
      <c r="A135" s="135"/>
      <c r="B135" s="135"/>
      <c r="C135" s="135"/>
      <c r="D135" s="136"/>
      <c r="E135" s="136"/>
      <c r="F135" s="136"/>
      <c r="G135" s="136"/>
      <c r="J135" s="2"/>
    </row>
    <row r="136" spans="1:17" x14ac:dyDescent="0.2">
      <c r="A136" s="137"/>
      <c r="B136" s="226" t="s">
        <v>863</v>
      </c>
      <c r="C136" s="226"/>
      <c r="D136" s="226"/>
      <c r="E136" s="226"/>
      <c r="F136" s="226"/>
      <c r="G136" s="226"/>
      <c r="H136" s="226"/>
      <c r="J136" s="2"/>
    </row>
    <row r="137" spans="1:17" x14ac:dyDescent="0.2">
      <c r="A137" s="137"/>
      <c r="B137" s="226" t="s">
        <v>864</v>
      </c>
      <c r="C137" s="226"/>
      <c r="D137" s="226"/>
      <c r="E137" s="226"/>
      <c r="F137" s="226"/>
      <c r="G137" s="226"/>
      <c r="H137" s="226"/>
      <c r="J137" s="2"/>
    </row>
    <row r="138" spans="1:17" x14ac:dyDescent="0.2">
      <c r="A138" s="137"/>
      <c r="B138" s="226" t="s">
        <v>865</v>
      </c>
      <c r="C138" s="226"/>
      <c r="D138" s="226"/>
      <c r="E138" s="226"/>
      <c r="F138" s="226"/>
      <c r="G138" s="226"/>
      <c r="H138" s="226"/>
      <c r="J138" s="33"/>
    </row>
    <row r="139" spans="1:17" s="5" customFormat="1" ht="56.25" customHeight="1" x14ac:dyDescent="0.25">
      <c r="A139" s="139"/>
      <c r="B139" s="227" t="s">
        <v>866</v>
      </c>
      <c r="C139" s="227"/>
      <c r="D139" s="227"/>
      <c r="E139" s="227"/>
      <c r="F139" s="227"/>
      <c r="G139" s="227"/>
      <c r="H139" s="227"/>
      <c r="I139"/>
      <c r="J139" s="33"/>
      <c r="K139"/>
      <c r="L139"/>
      <c r="M139"/>
      <c r="N139"/>
      <c r="O139"/>
      <c r="P139"/>
      <c r="Q139"/>
    </row>
    <row r="140" spans="1:17" x14ac:dyDescent="0.2">
      <c r="A140" s="137"/>
      <c r="B140" s="226" t="s">
        <v>867</v>
      </c>
      <c r="C140" s="226"/>
      <c r="D140" s="226"/>
      <c r="E140" s="226"/>
      <c r="F140" s="226"/>
      <c r="G140" s="226"/>
      <c r="H140" s="226"/>
      <c r="J140" s="33"/>
    </row>
    <row r="141" spans="1:17" x14ac:dyDescent="0.2">
      <c r="A141" s="140"/>
      <c r="B141" s="140"/>
      <c r="C141" s="140"/>
      <c r="D141" s="141"/>
      <c r="E141" s="141"/>
      <c r="F141" s="141"/>
      <c r="G141" s="141"/>
      <c r="J141" s="33"/>
    </row>
    <row r="142" spans="1:17" x14ac:dyDescent="0.2">
      <c r="A142" s="140"/>
      <c r="B142" s="228" t="s">
        <v>180</v>
      </c>
      <c r="C142" s="229"/>
      <c r="D142" s="230"/>
      <c r="E142" s="142"/>
      <c r="F142" s="141"/>
      <c r="G142" s="141"/>
      <c r="J142" s="33"/>
    </row>
    <row r="143" spans="1:17" x14ac:dyDescent="0.2">
      <c r="A143" s="140"/>
      <c r="B143" s="223" t="s">
        <v>181</v>
      </c>
      <c r="C143" s="224"/>
      <c r="D143" s="121" t="s">
        <v>182</v>
      </c>
      <c r="E143" s="142"/>
      <c r="F143" s="141"/>
      <c r="G143" s="141"/>
      <c r="J143" s="33"/>
    </row>
    <row r="144" spans="1:17" x14ac:dyDescent="0.2">
      <c r="A144" s="140"/>
      <c r="B144" s="223" t="s">
        <v>183</v>
      </c>
      <c r="C144" s="224"/>
      <c r="D144" s="121" t="s">
        <v>182</v>
      </c>
      <c r="E144" s="142"/>
      <c r="F144" s="141"/>
      <c r="G144" s="141"/>
      <c r="J144" s="33"/>
    </row>
    <row r="145" spans="1:10" x14ac:dyDescent="0.2">
      <c r="A145" s="140"/>
      <c r="B145" s="223" t="s">
        <v>184</v>
      </c>
      <c r="C145" s="224"/>
      <c r="D145" s="131" t="s">
        <v>153</v>
      </c>
      <c r="E145" s="142"/>
      <c r="F145" s="141"/>
      <c r="G145" s="141"/>
      <c r="J145" s="33"/>
    </row>
    <row r="146" spans="1:10" x14ac:dyDescent="0.2">
      <c r="A146" s="144"/>
      <c r="B146" s="145" t="s">
        <v>153</v>
      </c>
      <c r="C146" s="145" t="s">
        <v>870</v>
      </c>
      <c r="D146" s="145" t="s">
        <v>185</v>
      </c>
      <c r="E146" s="144"/>
      <c r="F146" s="144"/>
      <c r="G146" s="144"/>
      <c r="H146" s="144"/>
      <c r="J146" s="33"/>
    </row>
    <row r="147" spans="1:10" x14ac:dyDescent="0.2">
      <c r="A147" s="146"/>
      <c r="B147" s="147" t="s">
        <v>186</v>
      </c>
      <c r="C147" s="148">
        <v>45504</v>
      </c>
      <c r="D147" s="149">
        <v>45535</v>
      </c>
      <c r="E147" s="146"/>
      <c r="F147" s="146"/>
      <c r="G147" s="146"/>
      <c r="J147" s="2"/>
    </row>
    <row r="148" spans="1:10" x14ac:dyDescent="0.2">
      <c r="A148" s="146"/>
      <c r="B148" s="124" t="s">
        <v>187</v>
      </c>
      <c r="C148" s="150">
        <v>14.8147</v>
      </c>
      <c r="D148" s="150">
        <v>15.2324</v>
      </c>
      <c r="E148" s="146"/>
      <c r="F148" s="151"/>
      <c r="G148" s="152"/>
      <c r="J148" s="33"/>
    </row>
    <row r="149" spans="1:10" x14ac:dyDescent="0.2">
      <c r="A149" s="146"/>
      <c r="B149" s="124" t="s">
        <v>926</v>
      </c>
      <c r="C149" s="150">
        <v>14.814299999999999</v>
      </c>
      <c r="D149" s="150">
        <v>15.231999999999999</v>
      </c>
      <c r="E149" s="146"/>
      <c r="F149" s="151"/>
      <c r="G149" s="152"/>
      <c r="J149" s="33"/>
    </row>
    <row r="150" spans="1:10" x14ac:dyDescent="0.2">
      <c r="A150" s="146"/>
      <c r="B150" s="124" t="s">
        <v>188</v>
      </c>
      <c r="C150" s="150">
        <v>14.352399999999999</v>
      </c>
      <c r="D150" s="150">
        <v>14.7394</v>
      </c>
      <c r="E150" s="146"/>
      <c r="F150" s="151"/>
      <c r="G150" s="152"/>
      <c r="J150" s="33"/>
    </row>
    <row r="151" spans="1:10" x14ac:dyDescent="0.2">
      <c r="A151" s="146"/>
      <c r="B151" s="124" t="s">
        <v>927</v>
      </c>
      <c r="C151" s="150">
        <v>14.3522</v>
      </c>
      <c r="D151" s="150">
        <v>14.7392</v>
      </c>
      <c r="E151" s="146"/>
      <c r="F151" s="151"/>
      <c r="G151" s="152"/>
      <c r="J151" s="33"/>
    </row>
    <row r="152" spans="1:10" x14ac:dyDescent="0.2">
      <c r="A152" s="146"/>
      <c r="B152" s="146"/>
      <c r="C152" s="146"/>
      <c r="D152" s="146"/>
      <c r="E152" s="146"/>
      <c r="F152" s="146"/>
      <c r="G152" s="146"/>
      <c r="J152" s="33"/>
    </row>
    <row r="153" spans="1:10" x14ac:dyDescent="0.2">
      <c r="A153" s="144"/>
      <c r="B153" s="221" t="s">
        <v>869</v>
      </c>
      <c r="C153" s="222"/>
      <c r="D153" s="143" t="s">
        <v>182</v>
      </c>
      <c r="E153" s="144"/>
      <c r="F153" s="144"/>
      <c r="G153" s="144"/>
      <c r="J153" s="33"/>
    </row>
    <row r="154" spans="1:10" x14ac:dyDescent="0.2">
      <c r="A154" s="144"/>
      <c r="B154" s="163"/>
      <c r="C154" s="163"/>
      <c r="D154" s="163"/>
      <c r="E154" s="144"/>
      <c r="F154" s="144"/>
      <c r="G154" s="144"/>
      <c r="J154" s="33"/>
    </row>
    <row r="155" spans="1:10" ht="29.1" customHeight="1" x14ac:dyDescent="0.2">
      <c r="A155" s="144"/>
      <c r="B155" s="221" t="s">
        <v>189</v>
      </c>
      <c r="C155" s="222"/>
      <c r="D155" s="143" t="s">
        <v>182</v>
      </c>
      <c r="E155" s="153"/>
      <c r="F155" s="144"/>
      <c r="G155" s="144"/>
      <c r="J155" s="33"/>
    </row>
    <row r="156" spans="1:10" ht="29.1" customHeight="1" x14ac:dyDescent="0.2">
      <c r="A156" s="144"/>
      <c r="B156" s="221" t="s">
        <v>190</v>
      </c>
      <c r="C156" s="222"/>
      <c r="D156" s="143" t="s">
        <v>182</v>
      </c>
      <c r="E156" s="153"/>
      <c r="F156" s="144"/>
      <c r="G156" s="144"/>
      <c r="J156" s="33"/>
    </row>
    <row r="157" spans="1:10" ht="17.100000000000001" customHeight="1" x14ac:dyDescent="0.2">
      <c r="A157" s="144"/>
      <c r="B157" s="221" t="s">
        <v>191</v>
      </c>
      <c r="C157" s="222"/>
      <c r="D157" s="143" t="s">
        <v>182</v>
      </c>
      <c r="E157" s="153"/>
      <c r="F157" s="144"/>
      <c r="G157" s="144"/>
      <c r="J157" s="33"/>
    </row>
    <row r="158" spans="1:10" ht="17.100000000000001" customHeight="1" x14ac:dyDescent="0.2">
      <c r="A158" s="144"/>
      <c r="B158" s="221" t="s">
        <v>192</v>
      </c>
      <c r="C158" s="222"/>
      <c r="D158" s="154">
        <v>0.18981313202196723</v>
      </c>
      <c r="E158" s="144"/>
      <c r="F158" s="138"/>
      <c r="G158" s="155"/>
    </row>
  </sheetData>
  <mergeCells count="17">
    <mergeCell ref="B143:C143"/>
    <mergeCell ref="A1:H1"/>
    <mergeCell ref="A2:H2"/>
    <mergeCell ref="A3:H3"/>
    <mergeCell ref="B136:H136"/>
    <mergeCell ref="B137:H137"/>
    <mergeCell ref="B138:H138"/>
    <mergeCell ref="B139:H139"/>
    <mergeCell ref="B140:H140"/>
    <mergeCell ref="B142:D142"/>
    <mergeCell ref="B144:C144"/>
    <mergeCell ref="B145:C145"/>
    <mergeCell ref="B153:C153"/>
    <mergeCell ref="B157:C157"/>
    <mergeCell ref="B158:C158"/>
    <mergeCell ref="B155:C155"/>
    <mergeCell ref="B156:C156"/>
  </mergeCells>
  <hyperlinks>
    <hyperlink ref="I1" location="Index!B28" display="Index" xr:uid="{9622E646-FABC-4E3D-8E49-0617B6C8602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33E1-B1BD-45A6-B459-70DE8DCB939A}">
  <sheetPr>
    <outlinePr summaryBelow="0" summaryRight="0"/>
  </sheetPr>
  <dimension ref="A1:Q123"/>
  <sheetViews>
    <sheetView showGridLines="0" workbookViewId="0">
      <selection sqref="A1:H1"/>
    </sheetView>
  </sheetViews>
  <sheetFormatPr defaultRowHeight="12.75" x14ac:dyDescent="0.2"/>
  <cols>
    <col min="1" max="1" width="6.85546875" customWidth="1"/>
    <col min="2" max="2" width="20.5703125" customWidth="1"/>
    <col min="3" max="3" width="40.42578125" customWidth="1"/>
    <col min="4" max="4" width="19" customWidth="1"/>
    <col min="5" max="6" width="19.140625" customWidth="1"/>
    <col min="7" max="7" width="16.42578125" customWidth="1"/>
    <col min="10" max="10" width="50.7109375" style="4" customWidth="1"/>
  </cols>
  <sheetData>
    <row r="1" spans="1:10" ht="15" x14ac:dyDescent="0.2">
      <c r="A1" s="225" t="s">
        <v>0</v>
      </c>
      <c r="B1" s="225"/>
      <c r="C1" s="225"/>
      <c r="D1" s="225"/>
      <c r="E1" s="225"/>
      <c r="F1" s="225"/>
      <c r="G1" s="225"/>
      <c r="H1" s="225"/>
      <c r="I1" s="16" t="s">
        <v>913</v>
      </c>
      <c r="J1" s="34"/>
    </row>
    <row r="2" spans="1:10" ht="15" x14ac:dyDescent="0.2">
      <c r="A2" s="225" t="s">
        <v>835</v>
      </c>
      <c r="B2" s="225"/>
      <c r="C2" s="225"/>
      <c r="D2" s="225"/>
      <c r="E2" s="225"/>
      <c r="F2" s="225"/>
      <c r="G2" s="225"/>
      <c r="H2" s="225"/>
      <c r="J2" s="3" t="s">
        <v>914</v>
      </c>
    </row>
    <row r="3" spans="1:10" ht="15" x14ac:dyDescent="0.2">
      <c r="A3" s="225" t="s">
        <v>853</v>
      </c>
      <c r="B3" s="225"/>
      <c r="C3" s="225"/>
      <c r="D3" s="225"/>
      <c r="E3" s="225"/>
      <c r="F3" s="225"/>
      <c r="G3" s="225"/>
      <c r="H3" s="225"/>
      <c r="J3" s="34"/>
    </row>
    <row r="4" spans="1:10" s="4" customFormat="1" ht="30" x14ac:dyDescent="0.2">
      <c r="A4" s="118" t="s">
        <v>2</v>
      </c>
      <c r="B4" s="118" t="s">
        <v>3</v>
      </c>
      <c r="C4" s="118" t="s">
        <v>4</v>
      </c>
      <c r="D4" s="118" t="s">
        <v>5</v>
      </c>
      <c r="E4" s="118" t="s">
        <v>6</v>
      </c>
      <c r="F4" s="118" t="s">
        <v>7</v>
      </c>
      <c r="G4" s="118" t="s">
        <v>8</v>
      </c>
      <c r="H4" s="119" t="s">
        <v>852</v>
      </c>
      <c r="J4" s="34"/>
    </row>
    <row r="5" spans="1:10" x14ac:dyDescent="0.2">
      <c r="A5" s="120"/>
      <c r="B5" s="120"/>
      <c r="C5" s="121" t="s">
        <v>9</v>
      </c>
      <c r="D5" s="120"/>
      <c r="E5" s="120"/>
      <c r="F5" s="120"/>
      <c r="G5" s="120"/>
      <c r="H5" s="122" t="str">
        <f>IFERROR(VLOOKUP(B5,'[1]Debt Holding Consolidated'!$C$1:$N$65536,12,FALSE),"")</f>
        <v/>
      </c>
      <c r="J5" s="34"/>
    </row>
    <row r="6" spans="1:10" x14ac:dyDescent="0.2">
      <c r="A6" s="120"/>
      <c r="B6" s="120"/>
      <c r="C6" s="121" t="s">
        <v>10</v>
      </c>
      <c r="D6" s="120"/>
      <c r="E6" s="120"/>
      <c r="F6" s="120"/>
      <c r="G6" s="120"/>
      <c r="H6" s="122" t="str">
        <f>IFERROR(VLOOKUP(B6,'[1]Debt Holding Consolidated'!$C$1:$N$65536,12,FALSE),"")</f>
        <v/>
      </c>
      <c r="J6" s="34"/>
    </row>
    <row r="7" spans="1:10" x14ac:dyDescent="0.2">
      <c r="A7" s="123">
        <v>1</v>
      </c>
      <c r="B7" s="124" t="s">
        <v>342</v>
      </c>
      <c r="C7" s="124" t="s">
        <v>343</v>
      </c>
      <c r="D7" s="124" t="s">
        <v>48</v>
      </c>
      <c r="E7" s="125">
        <v>1215731</v>
      </c>
      <c r="F7" s="126">
        <v>19900.300738999998</v>
      </c>
      <c r="G7" s="127">
        <v>0.13779382000000001</v>
      </c>
      <c r="H7" s="122" t="str">
        <f>IFERROR(VLOOKUP(B7,'[1]Debt Holding Consolidated'!$C$1:$N$65536,12,FALSE),"")</f>
        <v/>
      </c>
      <c r="J7" s="34"/>
    </row>
    <row r="8" spans="1:10" x14ac:dyDescent="0.2">
      <c r="A8" s="123">
        <v>2</v>
      </c>
      <c r="B8" s="124" t="s">
        <v>350</v>
      </c>
      <c r="C8" s="124" t="s">
        <v>351</v>
      </c>
      <c r="D8" s="124" t="s">
        <v>48</v>
      </c>
      <c r="E8" s="125">
        <v>1135593</v>
      </c>
      <c r="F8" s="126">
        <v>13346.056732499999</v>
      </c>
      <c r="G8" s="127">
        <v>9.2410870000000006E-2</v>
      </c>
      <c r="H8" s="122" t="str">
        <f>IFERROR(VLOOKUP(B8,'[1]Debt Holding Consolidated'!$C$1:$N$65536,12,FALSE),"")</f>
        <v/>
      </c>
      <c r="J8" s="34"/>
    </row>
    <row r="9" spans="1:10" x14ac:dyDescent="0.2">
      <c r="A9" s="123">
        <v>3</v>
      </c>
      <c r="B9" s="124" t="s">
        <v>46</v>
      </c>
      <c r="C9" s="124" t="s">
        <v>47</v>
      </c>
      <c r="D9" s="124" t="s">
        <v>48</v>
      </c>
      <c r="E9" s="125">
        <v>955075</v>
      </c>
      <c r="F9" s="126">
        <v>11739.7819</v>
      </c>
      <c r="G9" s="127">
        <v>8.1288689999999997E-2</v>
      </c>
      <c r="H9" s="122" t="str">
        <f>IFERROR(VLOOKUP(B9,'[1]Debt Holding Consolidated'!$C$1:$N$65536,12,FALSE),"")</f>
        <v/>
      </c>
      <c r="J9" s="34"/>
    </row>
    <row r="10" spans="1:10" x14ac:dyDescent="0.2">
      <c r="A10" s="123">
        <v>4</v>
      </c>
      <c r="B10" s="124" t="s">
        <v>54</v>
      </c>
      <c r="C10" s="124" t="s">
        <v>55</v>
      </c>
      <c r="D10" s="124" t="s">
        <v>48</v>
      </c>
      <c r="E10" s="125">
        <v>885294</v>
      </c>
      <c r="F10" s="126">
        <v>7220.457864</v>
      </c>
      <c r="G10" s="127">
        <v>4.9995949999999997E-2</v>
      </c>
      <c r="H10" s="122" t="str">
        <f>IFERROR(VLOOKUP(B10,'[1]Debt Holding Consolidated'!$C$1:$N$65536,12,FALSE),"")</f>
        <v/>
      </c>
      <c r="J10" s="34"/>
    </row>
    <row r="11" spans="1:10" x14ac:dyDescent="0.2">
      <c r="A11" s="123">
        <v>5</v>
      </c>
      <c r="B11" s="124" t="s">
        <v>256</v>
      </c>
      <c r="C11" s="124" t="s">
        <v>257</v>
      </c>
      <c r="D11" s="124" t="s">
        <v>89</v>
      </c>
      <c r="E11" s="125">
        <v>431376</v>
      </c>
      <c r="F11" s="126">
        <v>6910.6435199999996</v>
      </c>
      <c r="G11" s="127">
        <v>4.7850730000000001E-2</v>
      </c>
      <c r="H11" s="122" t="str">
        <f>IFERROR(VLOOKUP(B11,'[1]Debt Holding Consolidated'!$C$1:$N$65536,12,FALSE),"")</f>
        <v/>
      </c>
      <c r="J11" s="34"/>
    </row>
    <row r="12" spans="1:10" x14ac:dyDescent="0.2">
      <c r="A12" s="123">
        <v>6</v>
      </c>
      <c r="B12" s="124" t="s">
        <v>810</v>
      </c>
      <c r="C12" s="124" t="s">
        <v>811</v>
      </c>
      <c r="D12" s="124" t="s">
        <v>239</v>
      </c>
      <c r="E12" s="125">
        <v>778252</v>
      </c>
      <c r="F12" s="126">
        <v>6410.0725979999997</v>
      </c>
      <c r="G12" s="127">
        <v>4.4384670000000001E-2</v>
      </c>
      <c r="H12" s="122" t="str">
        <f>IFERROR(VLOOKUP(B12,'[1]Debt Holding Consolidated'!$C$1:$N$65536,12,FALSE),"")</f>
        <v/>
      </c>
      <c r="J12" s="34"/>
    </row>
    <row r="13" spans="1:10" x14ac:dyDescent="0.2">
      <c r="A13" s="123">
        <v>7</v>
      </c>
      <c r="B13" s="124" t="s">
        <v>242</v>
      </c>
      <c r="C13" s="124" t="s">
        <v>243</v>
      </c>
      <c r="D13" s="124" t="s">
        <v>89</v>
      </c>
      <c r="E13" s="125">
        <v>188623</v>
      </c>
      <c r="F13" s="126">
        <v>6044.424035</v>
      </c>
      <c r="G13" s="127">
        <v>4.1852849999999997E-2</v>
      </c>
      <c r="H13" s="122" t="str">
        <f>IFERROR(VLOOKUP(B13,'[1]Debt Holding Consolidated'!$C$1:$N$65536,12,FALSE),"")</f>
        <v/>
      </c>
      <c r="J13" s="34"/>
    </row>
    <row r="14" spans="1:10" x14ac:dyDescent="0.2">
      <c r="A14" s="123">
        <v>8</v>
      </c>
      <c r="B14" s="124" t="s">
        <v>477</v>
      </c>
      <c r="C14" s="124" t="s">
        <v>478</v>
      </c>
      <c r="D14" s="124" t="s">
        <v>48</v>
      </c>
      <c r="E14" s="125">
        <v>397378</v>
      </c>
      <c r="F14" s="126">
        <v>5663.6299449999997</v>
      </c>
      <c r="G14" s="127">
        <v>3.9216149999999998E-2</v>
      </c>
      <c r="H14" s="122" t="str">
        <f>IFERROR(VLOOKUP(B14,'[1]Debt Holding Consolidated'!$C$1:$N$65536,12,FALSE),"")</f>
        <v/>
      </c>
      <c r="J14" s="34"/>
    </row>
    <row r="15" spans="1:10" x14ac:dyDescent="0.2">
      <c r="A15" s="123">
        <v>9</v>
      </c>
      <c r="B15" s="124" t="s">
        <v>415</v>
      </c>
      <c r="C15" s="124" t="s">
        <v>416</v>
      </c>
      <c r="D15" s="124" t="s">
        <v>48</v>
      </c>
      <c r="E15" s="125">
        <v>6736696</v>
      </c>
      <c r="F15" s="126">
        <v>5477.6075176000004</v>
      </c>
      <c r="G15" s="127">
        <v>3.7928089999999998E-2</v>
      </c>
      <c r="H15" s="122" t="str">
        <f>IFERROR(VLOOKUP(B15,'[1]Debt Holding Consolidated'!$C$1:$N$65536,12,FALSE),"")</f>
        <v/>
      </c>
      <c r="J15" s="34"/>
    </row>
    <row r="16" spans="1:10" x14ac:dyDescent="0.2">
      <c r="A16" s="123">
        <v>10</v>
      </c>
      <c r="B16" s="124" t="s">
        <v>655</v>
      </c>
      <c r="C16" s="124" t="s">
        <v>656</v>
      </c>
      <c r="D16" s="124" t="s">
        <v>89</v>
      </c>
      <c r="E16" s="125">
        <v>74802</v>
      </c>
      <c r="F16" s="126">
        <v>5385.8562030000003</v>
      </c>
      <c r="G16" s="127">
        <v>3.7292789999999999E-2</v>
      </c>
      <c r="H16" s="122" t="str">
        <f>IFERROR(VLOOKUP(B16,'[1]Debt Holding Consolidated'!$C$1:$N$65536,12,FALSE),"")</f>
        <v/>
      </c>
      <c r="J16" s="2" t="s">
        <v>1043</v>
      </c>
    </row>
    <row r="17" spans="1:10" x14ac:dyDescent="0.2">
      <c r="A17" s="123">
        <v>11</v>
      </c>
      <c r="B17" s="124" t="s">
        <v>467</v>
      </c>
      <c r="C17" s="124" t="s">
        <v>468</v>
      </c>
      <c r="D17" s="124" t="s">
        <v>48</v>
      </c>
      <c r="E17" s="125">
        <v>2143196</v>
      </c>
      <c r="F17" s="126">
        <v>5360.1331959999998</v>
      </c>
      <c r="G17" s="127">
        <v>3.7114679999999997E-2</v>
      </c>
      <c r="H17" s="122" t="str">
        <f>IFERROR(VLOOKUP(B17,'[1]Debt Holding Consolidated'!$C$1:$N$65536,12,FALSE),"")</f>
        <v/>
      </c>
      <c r="J17" s="34"/>
    </row>
    <row r="18" spans="1:10" x14ac:dyDescent="0.2">
      <c r="A18" s="123">
        <v>12</v>
      </c>
      <c r="B18" s="124" t="s">
        <v>417</v>
      </c>
      <c r="C18" s="124" t="s">
        <v>418</v>
      </c>
      <c r="D18" s="124" t="s">
        <v>48</v>
      </c>
      <c r="E18" s="125">
        <v>11862990</v>
      </c>
      <c r="F18" s="126">
        <v>5209.0389089999999</v>
      </c>
      <c r="G18" s="127">
        <v>3.6068469999999998E-2</v>
      </c>
      <c r="H18" s="122" t="str">
        <f>IFERROR(VLOOKUP(B18,'[1]Debt Holding Consolidated'!$C$1:$N$65536,12,FALSE),"")</f>
        <v/>
      </c>
      <c r="J18" s="34"/>
    </row>
    <row r="19" spans="1:10" x14ac:dyDescent="0.2">
      <c r="A19" s="123">
        <v>13</v>
      </c>
      <c r="B19" s="124" t="s">
        <v>421</v>
      </c>
      <c r="C19" s="124" t="s">
        <v>422</v>
      </c>
      <c r="D19" s="124" t="s">
        <v>48</v>
      </c>
      <c r="E19" s="125">
        <v>1599400</v>
      </c>
      <c r="F19" s="126">
        <v>5176.4580999999998</v>
      </c>
      <c r="G19" s="127">
        <v>3.5842869999999999E-2</v>
      </c>
      <c r="H19" s="122" t="str">
        <f>IFERROR(VLOOKUP(B19,'[1]Debt Holding Consolidated'!$C$1:$N$65536,12,FALSE),"")</f>
        <v/>
      </c>
      <c r="J19" s="34"/>
    </row>
    <row r="20" spans="1:10" x14ac:dyDescent="0.2">
      <c r="A20" s="123">
        <v>14</v>
      </c>
      <c r="B20" s="124" t="s">
        <v>95</v>
      </c>
      <c r="C20" s="124" t="s">
        <v>96</v>
      </c>
      <c r="D20" s="124" t="s">
        <v>89</v>
      </c>
      <c r="E20" s="125">
        <v>752875</v>
      </c>
      <c r="F20" s="126">
        <v>4665.9428125000004</v>
      </c>
      <c r="G20" s="127">
        <v>3.2307959999999997E-2</v>
      </c>
      <c r="H20" s="122" t="str">
        <f>IFERROR(VLOOKUP(B20,'[1]Debt Holding Consolidated'!$C$1:$N$65536,12,FALSE),"")</f>
        <v/>
      </c>
      <c r="J20" s="34"/>
    </row>
    <row r="21" spans="1:10" x14ac:dyDescent="0.2">
      <c r="A21" s="123">
        <v>15</v>
      </c>
      <c r="B21" s="124" t="s">
        <v>87</v>
      </c>
      <c r="C21" s="124" t="s">
        <v>88</v>
      </c>
      <c r="D21" s="124" t="s">
        <v>89</v>
      </c>
      <c r="E21" s="125">
        <v>754580</v>
      </c>
      <c r="F21" s="126">
        <v>4146.79439</v>
      </c>
      <c r="G21" s="127">
        <v>2.8713269999999999E-2</v>
      </c>
      <c r="H21" s="122" t="str">
        <f>IFERROR(VLOOKUP(B21,'[1]Debt Holding Consolidated'!$C$1:$N$65536,12,FALSE),"")</f>
        <v/>
      </c>
      <c r="J21" s="34"/>
    </row>
    <row r="22" spans="1:10" ht="15" x14ac:dyDescent="0.2">
      <c r="A22" s="123">
        <v>16</v>
      </c>
      <c r="B22" s="124" t="s">
        <v>449</v>
      </c>
      <c r="C22" s="124" t="s">
        <v>450</v>
      </c>
      <c r="D22" s="124" t="s">
        <v>89</v>
      </c>
      <c r="E22" s="125">
        <v>293597</v>
      </c>
      <c r="F22" s="126">
        <v>3584.9661685000001</v>
      </c>
      <c r="G22" s="127">
        <v>2.4823049999999999E-2</v>
      </c>
      <c r="H22" s="122" t="str">
        <f>IFERROR(VLOOKUP(B22,'[1]Debt Holding Consolidated'!$C$1:$N$65536,12,FALSE),"")</f>
        <v/>
      </c>
      <c r="J22" s="7"/>
    </row>
    <row r="23" spans="1:10" x14ac:dyDescent="0.2">
      <c r="A23" s="123">
        <v>17</v>
      </c>
      <c r="B23" s="124" t="s">
        <v>330</v>
      </c>
      <c r="C23" s="124" t="s">
        <v>331</v>
      </c>
      <c r="D23" s="124" t="s">
        <v>255</v>
      </c>
      <c r="E23" s="125">
        <v>438147</v>
      </c>
      <c r="F23" s="126">
        <v>3299.9041305000001</v>
      </c>
      <c r="G23" s="127">
        <v>2.284922E-2</v>
      </c>
      <c r="H23" s="122" t="str">
        <f>IFERROR(VLOOKUP(B23,'[1]Debt Holding Consolidated'!$C$1:$N$65536,12,FALSE),"")</f>
        <v/>
      </c>
      <c r="J23" s="34"/>
    </row>
    <row r="24" spans="1:10" x14ac:dyDescent="0.2">
      <c r="A24" s="123">
        <v>18</v>
      </c>
      <c r="B24" s="124" t="s">
        <v>511</v>
      </c>
      <c r="C24" s="124" t="s">
        <v>512</v>
      </c>
      <c r="D24" s="124" t="s">
        <v>48</v>
      </c>
      <c r="E24" s="125">
        <v>2667105</v>
      </c>
      <c r="F24" s="126">
        <v>3140.2494270000002</v>
      </c>
      <c r="G24" s="127">
        <v>2.1743740000000001E-2</v>
      </c>
      <c r="H24" s="122" t="str">
        <f>IFERROR(VLOOKUP(B24,'[1]Debt Holding Consolidated'!$C$1:$N$65536,12,FALSE),"")</f>
        <v/>
      </c>
      <c r="J24" s="34"/>
    </row>
    <row r="25" spans="1:10" x14ac:dyDescent="0.2">
      <c r="A25" s="123">
        <v>19</v>
      </c>
      <c r="B25" s="124" t="s">
        <v>515</v>
      </c>
      <c r="C25" s="124" t="s">
        <v>516</v>
      </c>
      <c r="D25" s="124" t="s">
        <v>48</v>
      </c>
      <c r="E25" s="125">
        <v>1164816</v>
      </c>
      <c r="F25" s="126">
        <v>2649.3739919999998</v>
      </c>
      <c r="G25" s="127">
        <v>1.8344820000000001E-2</v>
      </c>
      <c r="H25" s="122" t="str">
        <f>IFERROR(VLOOKUP(B25,'[1]Debt Holding Consolidated'!$C$1:$N$65536,12,FALSE),"")</f>
        <v/>
      </c>
      <c r="J25" s="34"/>
    </row>
    <row r="26" spans="1:10" x14ac:dyDescent="0.2">
      <c r="A26" s="123">
        <v>20</v>
      </c>
      <c r="B26" s="124" t="s">
        <v>291</v>
      </c>
      <c r="C26" s="124" t="s">
        <v>292</v>
      </c>
      <c r="D26" s="124" t="s">
        <v>89</v>
      </c>
      <c r="E26" s="125">
        <v>121433</v>
      </c>
      <c r="F26" s="126">
        <v>2089.5583474999999</v>
      </c>
      <c r="G26" s="127">
        <v>1.446854E-2</v>
      </c>
      <c r="H26" s="122" t="str">
        <f>IFERROR(VLOOKUP(B26,'[1]Debt Holding Consolidated'!$C$1:$N$65536,12,FALSE),"")</f>
        <v/>
      </c>
      <c r="J26" s="34"/>
    </row>
    <row r="27" spans="1:10" x14ac:dyDescent="0.2">
      <c r="A27" s="123">
        <v>21</v>
      </c>
      <c r="B27" s="124" t="s">
        <v>496</v>
      </c>
      <c r="C27" s="124" t="s">
        <v>497</v>
      </c>
      <c r="D27" s="124" t="s">
        <v>89</v>
      </c>
      <c r="E27" s="125">
        <v>209712</v>
      </c>
      <c r="F27" s="126">
        <v>2049.8299440000001</v>
      </c>
      <c r="G27" s="127">
        <v>1.419345E-2</v>
      </c>
      <c r="H27" s="122" t="str">
        <f>IFERROR(VLOOKUP(B27,'[1]Debt Holding Consolidated'!$C$1:$N$65536,12,FALSE),"")</f>
        <v/>
      </c>
      <c r="J27" s="34"/>
    </row>
    <row r="28" spans="1:10" x14ac:dyDescent="0.2">
      <c r="A28" s="123">
        <v>22</v>
      </c>
      <c r="B28" s="124" t="s">
        <v>363</v>
      </c>
      <c r="C28" s="124" t="s">
        <v>364</v>
      </c>
      <c r="D28" s="124" t="s">
        <v>239</v>
      </c>
      <c r="E28" s="125">
        <v>33012</v>
      </c>
      <c r="F28" s="126">
        <v>1710.9459360000001</v>
      </c>
      <c r="G28" s="127">
        <v>1.184695E-2</v>
      </c>
      <c r="H28" s="122" t="str">
        <f>IFERROR(VLOOKUP(B28,'[1]Debt Holding Consolidated'!$C$1:$N$65536,12,FALSE),"")</f>
        <v/>
      </c>
      <c r="J28" s="34"/>
    </row>
    <row r="29" spans="1:10" ht="25.5" x14ac:dyDescent="0.2">
      <c r="A29" s="123">
        <v>23</v>
      </c>
      <c r="B29" s="124" t="s">
        <v>225</v>
      </c>
      <c r="C29" s="124" t="s">
        <v>226</v>
      </c>
      <c r="D29" s="124" t="s">
        <v>227</v>
      </c>
      <c r="E29" s="125">
        <v>95000</v>
      </c>
      <c r="F29" s="126">
        <v>1683.6375</v>
      </c>
      <c r="G29" s="127">
        <v>1.1657860000000001E-2</v>
      </c>
      <c r="H29" s="122" t="str">
        <f>IFERROR(VLOOKUP(B29,'[1]Debt Holding Consolidated'!$C$1:$N$65536,12,FALSE),"")</f>
        <v/>
      </c>
      <c r="J29" s="34"/>
    </row>
    <row r="30" spans="1:10" x14ac:dyDescent="0.2">
      <c r="A30" s="123">
        <v>24</v>
      </c>
      <c r="B30" s="124" t="s">
        <v>293</v>
      </c>
      <c r="C30" s="124" t="s">
        <v>294</v>
      </c>
      <c r="D30" s="124" t="s">
        <v>239</v>
      </c>
      <c r="E30" s="125">
        <v>52030</v>
      </c>
      <c r="F30" s="126">
        <v>1473.8277949999999</v>
      </c>
      <c r="G30" s="127">
        <v>1.020509E-2</v>
      </c>
      <c r="H30" s="122" t="str">
        <f>IFERROR(VLOOKUP(B30,'[1]Debt Holding Consolidated'!$C$1:$N$65536,12,FALSE),"")</f>
        <v/>
      </c>
      <c r="J30" s="34"/>
    </row>
    <row r="31" spans="1:10" x14ac:dyDescent="0.2">
      <c r="A31" s="123">
        <v>25</v>
      </c>
      <c r="B31" s="124" t="s">
        <v>432</v>
      </c>
      <c r="C31" s="124" t="s">
        <v>433</v>
      </c>
      <c r="D31" s="124" t="s">
        <v>239</v>
      </c>
      <c r="E31" s="125">
        <v>51827</v>
      </c>
      <c r="F31" s="126">
        <v>1340.4276144999999</v>
      </c>
      <c r="G31" s="127">
        <v>9.2814000000000004E-3</v>
      </c>
      <c r="H31" s="122" t="str">
        <f>IFERROR(VLOOKUP(B31,'[1]Debt Holding Consolidated'!$C$1:$N$65536,12,FALSE),"")</f>
        <v/>
      </c>
      <c r="J31" s="34"/>
    </row>
    <row r="32" spans="1:10" x14ac:dyDescent="0.2">
      <c r="A32" s="123">
        <v>26</v>
      </c>
      <c r="B32" s="124" t="s">
        <v>279</v>
      </c>
      <c r="C32" s="124" t="s">
        <v>280</v>
      </c>
      <c r="D32" s="124" t="s">
        <v>48</v>
      </c>
      <c r="E32" s="125">
        <v>944001</v>
      </c>
      <c r="F32" s="126">
        <v>1147.3388153999999</v>
      </c>
      <c r="G32" s="127">
        <v>7.9444100000000007E-3</v>
      </c>
      <c r="H32" s="122" t="str">
        <f>IFERROR(VLOOKUP(B32,'[1]Debt Holding Consolidated'!$C$1:$N$65536,12,FALSE),"")</f>
        <v/>
      </c>
      <c r="J32" s="34"/>
    </row>
    <row r="33" spans="1:10" x14ac:dyDescent="0.2">
      <c r="A33" s="123">
        <v>27</v>
      </c>
      <c r="B33" s="124" t="s">
        <v>430</v>
      </c>
      <c r="C33" s="124" t="s">
        <v>431</v>
      </c>
      <c r="D33" s="124" t="s">
        <v>89</v>
      </c>
      <c r="E33" s="125">
        <v>83306</v>
      </c>
      <c r="F33" s="126">
        <v>719.38896299999999</v>
      </c>
      <c r="G33" s="127">
        <v>4.9811999999999999E-3</v>
      </c>
      <c r="H33" s="122" t="str">
        <f>IFERROR(VLOOKUP(B33,'[1]Debt Holding Consolidated'!$C$1:$N$65536,12,FALSE),"")</f>
        <v/>
      </c>
      <c r="J33" s="34"/>
    </row>
    <row r="34" spans="1:10" x14ac:dyDescent="0.2">
      <c r="A34" s="120"/>
      <c r="B34" s="120"/>
      <c r="C34" s="121" t="s">
        <v>152</v>
      </c>
      <c r="D34" s="120"/>
      <c r="E34" s="120" t="s">
        <v>153</v>
      </c>
      <c r="F34" s="128">
        <v>137546.64709499999</v>
      </c>
      <c r="G34" s="129">
        <v>0.95240159000000002</v>
      </c>
      <c r="H34" s="122" t="str">
        <f>IFERROR(VLOOKUP(B34,'[1]Debt Holding Consolidated'!$C$1:$N$65536,12,FALSE),"")</f>
        <v/>
      </c>
      <c r="J34" s="34"/>
    </row>
    <row r="35" spans="1:10" x14ac:dyDescent="0.2">
      <c r="A35" s="120"/>
      <c r="B35" s="120"/>
      <c r="C35" s="130"/>
      <c r="D35" s="120"/>
      <c r="E35" s="120"/>
      <c r="F35" s="131"/>
      <c r="G35" s="131"/>
      <c r="H35" s="122" t="str">
        <f>IFERROR(VLOOKUP(B35,'[1]Debt Holding Consolidated'!$C$1:$N$65536,12,FALSE),"")</f>
        <v/>
      </c>
      <c r="J35" s="34"/>
    </row>
    <row r="36" spans="1:10" x14ac:dyDescent="0.2">
      <c r="A36" s="120"/>
      <c r="B36" s="120"/>
      <c r="C36" s="121" t="s">
        <v>154</v>
      </c>
      <c r="D36" s="120"/>
      <c r="E36" s="120"/>
      <c r="F36" s="120"/>
      <c r="G36" s="120"/>
      <c r="H36" s="122" t="str">
        <f>IFERROR(VLOOKUP(B36,'[1]Debt Holding Consolidated'!$C$1:$N$65536,12,FALSE),"")</f>
        <v/>
      </c>
      <c r="J36" s="34"/>
    </row>
    <row r="37" spans="1:10" x14ac:dyDescent="0.2">
      <c r="A37" s="120"/>
      <c r="B37" s="120"/>
      <c r="C37" s="121" t="s">
        <v>152</v>
      </c>
      <c r="D37" s="120"/>
      <c r="E37" s="120" t="s">
        <v>153</v>
      </c>
      <c r="F37" s="132" t="s">
        <v>155</v>
      </c>
      <c r="G37" s="129">
        <v>0</v>
      </c>
      <c r="H37" s="122" t="str">
        <f>IFERROR(VLOOKUP(B37,'[1]Debt Holding Consolidated'!$C$1:$N$65536,12,FALSE),"")</f>
        <v/>
      </c>
      <c r="J37" s="34"/>
    </row>
    <row r="38" spans="1:10" x14ac:dyDescent="0.2">
      <c r="A38" s="120"/>
      <c r="B38" s="120"/>
      <c r="C38" s="130"/>
      <c r="D38" s="120"/>
      <c r="E38" s="120"/>
      <c r="F38" s="131"/>
      <c r="G38" s="131"/>
      <c r="H38" s="122" t="str">
        <f>IFERROR(VLOOKUP(B38,'[1]Debt Holding Consolidated'!$C$1:$N$65536,12,FALSE),"")</f>
        <v/>
      </c>
      <c r="J38" s="34"/>
    </row>
    <row r="39" spans="1:10" x14ac:dyDescent="0.2">
      <c r="A39" s="120"/>
      <c r="B39" s="120"/>
      <c r="C39" s="121" t="s">
        <v>156</v>
      </c>
      <c r="D39" s="120"/>
      <c r="E39" s="120"/>
      <c r="F39" s="120"/>
      <c r="G39" s="120"/>
      <c r="H39" s="122" t="str">
        <f>IFERROR(VLOOKUP(B39,'[1]Debt Holding Consolidated'!$C$1:$N$65536,12,FALSE),"")</f>
        <v/>
      </c>
      <c r="J39" s="34"/>
    </row>
    <row r="40" spans="1:10" x14ac:dyDescent="0.2">
      <c r="A40" s="120"/>
      <c r="B40" s="120"/>
      <c r="C40" s="121" t="s">
        <v>152</v>
      </c>
      <c r="D40" s="120"/>
      <c r="E40" s="120" t="s">
        <v>153</v>
      </c>
      <c r="F40" s="132" t="s">
        <v>155</v>
      </c>
      <c r="G40" s="129">
        <v>0</v>
      </c>
      <c r="H40" s="122" t="str">
        <f>IFERROR(VLOOKUP(B40,'[1]Debt Holding Consolidated'!$C$1:$N$65536,12,FALSE),"")</f>
        <v/>
      </c>
      <c r="J40" s="34"/>
    </row>
    <row r="41" spans="1:10" x14ac:dyDescent="0.2">
      <c r="A41" s="120"/>
      <c r="B41" s="120"/>
      <c r="C41" s="130"/>
      <c r="D41" s="120"/>
      <c r="E41" s="120"/>
      <c r="F41" s="131"/>
      <c r="G41" s="131"/>
      <c r="H41" s="122" t="str">
        <f>IFERROR(VLOOKUP(B41,'[1]Debt Holding Consolidated'!$C$1:$N$65536,12,FALSE),"")</f>
        <v/>
      </c>
      <c r="J41" s="34"/>
    </row>
    <row r="42" spans="1:10" x14ac:dyDescent="0.2">
      <c r="A42" s="120"/>
      <c r="B42" s="120"/>
      <c r="C42" s="121" t="s">
        <v>157</v>
      </c>
      <c r="D42" s="120"/>
      <c r="E42" s="120"/>
      <c r="F42" s="120"/>
      <c r="G42" s="120"/>
      <c r="H42" s="122" t="str">
        <f>IFERROR(VLOOKUP(B42,'[1]Debt Holding Consolidated'!$C$1:$N$65536,12,FALSE),"")</f>
        <v/>
      </c>
      <c r="J42" s="34"/>
    </row>
    <row r="43" spans="1:10" x14ac:dyDescent="0.2">
      <c r="A43" s="120"/>
      <c r="B43" s="120"/>
      <c r="C43" s="121" t="s">
        <v>152</v>
      </c>
      <c r="D43" s="120"/>
      <c r="E43" s="120" t="s">
        <v>153</v>
      </c>
      <c r="F43" s="132" t="s">
        <v>155</v>
      </c>
      <c r="G43" s="129">
        <v>0</v>
      </c>
      <c r="H43" s="122" t="str">
        <f>IFERROR(VLOOKUP(B43,'[1]Debt Holding Consolidated'!$C$1:$N$65536,12,FALSE),"")</f>
        <v/>
      </c>
      <c r="J43" s="34"/>
    </row>
    <row r="44" spans="1:10" x14ac:dyDescent="0.2">
      <c r="A44" s="120"/>
      <c r="B44" s="120"/>
      <c r="C44" s="130"/>
      <c r="D44" s="120"/>
      <c r="E44" s="120"/>
      <c r="F44" s="131"/>
      <c r="G44" s="131"/>
      <c r="H44" s="122" t="str">
        <f>IFERROR(VLOOKUP(B44,'[1]Debt Holding Consolidated'!$C$1:$N$65536,12,FALSE),"")</f>
        <v/>
      </c>
      <c r="J44" s="34"/>
    </row>
    <row r="45" spans="1:10" x14ac:dyDescent="0.2">
      <c r="A45" s="120"/>
      <c r="B45" s="120"/>
      <c r="C45" s="121" t="s">
        <v>158</v>
      </c>
      <c r="D45" s="120"/>
      <c r="E45" s="120"/>
      <c r="F45" s="131"/>
      <c r="G45" s="131"/>
      <c r="H45" s="122" t="str">
        <f>IFERROR(VLOOKUP(B45,'[1]Debt Holding Consolidated'!$C$1:$N$65536,12,FALSE),"")</f>
        <v/>
      </c>
      <c r="J45" s="34"/>
    </row>
    <row r="46" spans="1:10" x14ac:dyDescent="0.2">
      <c r="A46" s="120"/>
      <c r="B46" s="120"/>
      <c r="C46" s="121" t="s">
        <v>152</v>
      </c>
      <c r="D46" s="120"/>
      <c r="E46" s="120" t="s">
        <v>153</v>
      </c>
      <c r="F46" s="132" t="s">
        <v>155</v>
      </c>
      <c r="G46" s="129">
        <v>0</v>
      </c>
      <c r="H46" s="122" t="str">
        <f>IFERROR(VLOOKUP(B46,'[1]Debt Holding Consolidated'!$C$1:$N$65536,12,FALSE),"")</f>
        <v/>
      </c>
      <c r="J46" s="34"/>
    </row>
    <row r="47" spans="1:10" x14ac:dyDescent="0.2">
      <c r="A47" s="120"/>
      <c r="B47" s="120"/>
      <c r="C47" s="130"/>
      <c r="D47" s="120"/>
      <c r="E47" s="120"/>
      <c r="F47" s="131"/>
      <c r="G47" s="131"/>
      <c r="H47" s="122" t="str">
        <f>IFERROR(VLOOKUP(B47,'[1]Debt Holding Consolidated'!$C$1:$N$65536,12,FALSE),"")</f>
        <v/>
      </c>
      <c r="J47" s="34"/>
    </row>
    <row r="48" spans="1:10" x14ac:dyDescent="0.2">
      <c r="A48" s="120"/>
      <c r="B48" s="120"/>
      <c r="C48" s="121" t="s">
        <v>159</v>
      </c>
      <c r="D48" s="120"/>
      <c r="E48" s="120"/>
      <c r="F48" s="131"/>
      <c r="G48" s="131"/>
      <c r="H48" s="122" t="str">
        <f>IFERROR(VLOOKUP(B48,'[1]Debt Holding Consolidated'!$C$1:$N$65536,12,FALSE),"")</f>
        <v/>
      </c>
      <c r="J48" s="34"/>
    </row>
    <row r="49" spans="1:10" x14ac:dyDescent="0.2">
      <c r="A49" s="120"/>
      <c r="B49" s="120"/>
      <c r="C49" s="121" t="s">
        <v>152</v>
      </c>
      <c r="D49" s="120"/>
      <c r="E49" s="120" t="s">
        <v>153</v>
      </c>
      <c r="F49" s="132" t="s">
        <v>155</v>
      </c>
      <c r="G49" s="129">
        <v>0</v>
      </c>
      <c r="H49" s="122" t="str">
        <f>IFERROR(VLOOKUP(B49,'[1]Debt Holding Consolidated'!$C$1:$N$65536,12,FALSE),"")</f>
        <v/>
      </c>
      <c r="J49" s="34"/>
    </row>
    <row r="50" spans="1:10" x14ac:dyDescent="0.2">
      <c r="A50" s="120"/>
      <c r="B50" s="120"/>
      <c r="C50" s="130"/>
      <c r="D50" s="120"/>
      <c r="E50" s="120"/>
      <c r="F50" s="131"/>
      <c r="G50" s="131"/>
      <c r="H50" s="122" t="str">
        <f>IFERROR(VLOOKUP(B50,'[1]Debt Holding Consolidated'!$C$1:$N$65536,12,FALSE),"")</f>
        <v/>
      </c>
      <c r="J50" s="34"/>
    </row>
    <row r="51" spans="1:10" x14ac:dyDescent="0.2">
      <c r="A51" s="120"/>
      <c r="B51" s="120"/>
      <c r="C51" s="121" t="s">
        <v>160</v>
      </c>
      <c r="D51" s="120"/>
      <c r="E51" s="120"/>
      <c r="F51" s="128">
        <v>137546.64709499999</v>
      </c>
      <c r="G51" s="129">
        <v>0.95240159000000002</v>
      </c>
      <c r="H51" s="122" t="str">
        <f>IFERROR(VLOOKUP(B51,'[1]Debt Holding Consolidated'!$C$1:$N$65536,12,FALSE),"")</f>
        <v/>
      </c>
      <c r="J51" s="34"/>
    </row>
    <row r="52" spans="1:10" x14ac:dyDescent="0.2">
      <c r="A52" s="120"/>
      <c r="B52" s="120"/>
      <c r="C52" s="130"/>
      <c r="D52" s="120"/>
      <c r="E52" s="120"/>
      <c r="F52" s="131"/>
      <c r="G52" s="131"/>
      <c r="H52" s="122" t="str">
        <f>IFERROR(VLOOKUP(B52,'[1]Debt Holding Consolidated'!$C$1:$N$65536,12,FALSE),"")</f>
        <v/>
      </c>
      <c r="J52" s="34"/>
    </row>
    <row r="53" spans="1:10" x14ac:dyDescent="0.2">
      <c r="A53" s="120"/>
      <c r="B53" s="120"/>
      <c r="C53" s="121" t="s">
        <v>161</v>
      </c>
      <c r="D53" s="120"/>
      <c r="E53" s="120"/>
      <c r="F53" s="131"/>
      <c r="G53" s="131"/>
      <c r="H53" s="122" t="str">
        <f>IFERROR(VLOOKUP(B53,'[1]Debt Holding Consolidated'!$C$1:$N$65536,12,FALSE),"")</f>
        <v/>
      </c>
      <c r="J53" s="34"/>
    </row>
    <row r="54" spans="1:10" x14ac:dyDescent="0.2">
      <c r="A54" s="120"/>
      <c r="B54" s="120"/>
      <c r="C54" s="121" t="s">
        <v>10</v>
      </c>
      <c r="D54" s="120"/>
      <c r="E54" s="120"/>
      <c r="F54" s="131"/>
      <c r="G54" s="131"/>
      <c r="H54" s="122" t="str">
        <f>IFERROR(VLOOKUP(B54,'[1]Debt Holding Consolidated'!$C$1:$N$65536,12,FALSE),"")</f>
        <v/>
      </c>
      <c r="J54" s="34"/>
    </row>
    <row r="55" spans="1:10" x14ac:dyDescent="0.2">
      <c r="A55" s="120"/>
      <c r="B55" s="120"/>
      <c r="C55" s="121" t="s">
        <v>152</v>
      </c>
      <c r="D55" s="120"/>
      <c r="E55" s="120" t="s">
        <v>153</v>
      </c>
      <c r="F55" s="132" t="s">
        <v>155</v>
      </c>
      <c r="G55" s="129">
        <v>0</v>
      </c>
      <c r="H55" s="122" t="str">
        <f>IFERROR(VLOOKUP(B55,'[1]Debt Holding Consolidated'!$C$1:$N$65536,12,FALSE),"")</f>
        <v/>
      </c>
      <c r="J55" s="34"/>
    </row>
    <row r="56" spans="1:10" x14ac:dyDescent="0.2">
      <c r="A56" s="120"/>
      <c r="B56" s="120"/>
      <c r="C56" s="130"/>
      <c r="D56" s="120"/>
      <c r="E56" s="120"/>
      <c r="F56" s="131"/>
      <c r="G56" s="131"/>
      <c r="H56" s="122" t="str">
        <f>IFERROR(VLOOKUP(B56,'[1]Debt Holding Consolidated'!$C$1:$N$65536,12,FALSE),"")</f>
        <v/>
      </c>
      <c r="J56" s="34"/>
    </row>
    <row r="57" spans="1:10" x14ac:dyDescent="0.2">
      <c r="A57" s="120"/>
      <c r="B57" s="120"/>
      <c r="C57" s="121" t="s">
        <v>162</v>
      </c>
      <c r="D57" s="120"/>
      <c r="E57" s="120"/>
      <c r="F57" s="120"/>
      <c r="G57" s="120"/>
      <c r="H57" s="122" t="str">
        <f>IFERROR(VLOOKUP(B57,'[1]Debt Holding Consolidated'!$C$1:$N$65536,12,FALSE),"")</f>
        <v/>
      </c>
      <c r="J57" s="34"/>
    </row>
    <row r="58" spans="1:10" x14ac:dyDescent="0.2">
      <c r="A58" s="120"/>
      <c r="B58" s="120"/>
      <c r="C58" s="121" t="s">
        <v>152</v>
      </c>
      <c r="D58" s="120"/>
      <c r="E58" s="120" t="s">
        <v>153</v>
      </c>
      <c r="F58" s="132" t="s">
        <v>155</v>
      </c>
      <c r="G58" s="129">
        <v>0</v>
      </c>
      <c r="H58" s="122" t="str">
        <f>IFERROR(VLOOKUP(B58,'[1]Debt Holding Consolidated'!$C$1:$N$65536,12,FALSE),"")</f>
        <v/>
      </c>
      <c r="J58" s="34"/>
    </row>
    <row r="59" spans="1:10" x14ac:dyDescent="0.2">
      <c r="A59" s="120"/>
      <c r="B59" s="120"/>
      <c r="C59" s="130"/>
      <c r="D59" s="120"/>
      <c r="E59" s="120"/>
      <c r="F59" s="131"/>
      <c r="G59" s="131"/>
      <c r="H59" s="122" t="str">
        <f>IFERROR(VLOOKUP(B59,'[1]Debt Holding Consolidated'!$C$1:$N$65536,12,FALSE),"")</f>
        <v/>
      </c>
      <c r="J59" s="34"/>
    </row>
    <row r="60" spans="1:10" x14ac:dyDescent="0.2">
      <c r="A60" s="120"/>
      <c r="B60" s="120"/>
      <c r="C60" s="121" t="s">
        <v>163</v>
      </c>
      <c r="D60" s="120"/>
      <c r="E60" s="120"/>
      <c r="F60" s="120"/>
      <c r="G60" s="120"/>
      <c r="H60" s="122" t="str">
        <f>IFERROR(VLOOKUP(B60,'[1]Debt Holding Consolidated'!$C$1:$N$65536,12,FALSE),"")</f>
        <v/>
      </c>
      <c r="J60" s="34"/>
    </row>
    <row r="61" spans="1:10" x14ac:dyDescent="0.2">
      <c r="A61" s="120"/>
      <c r="B61" s="120"/>
      <c r="C61" s="121" t="s">
        <v>152</v>
      </c>
      <c r="D61" s="120"/>
      <c r="E61" s="120" t="s">
        <v>153</v>
      </c>
      <c r="F61" s="132" t="s">
        <v>155</v>
      </c>
      <c r="G61" s="129">
        <v>0</v>
      </c>
      <c r="H61" s="122" t="str">
        <f>IFERROR(VLOOKUP(B61,'[1]Debt Holding Consolidated'!$C$1:$N$65536,12,FALSE),"")</f>
        <v/>
      </c>
      <c r="J61" s="34"/>
    </row>
    <row r="62" spans="1:10" x14ac:dyDescent="0.2">
      <c r="A62" s="120"/>
      <c r="B62" s="120"/>
      <c r="C62" s="130"/>
      <c r="D62" s="120"/>
      <c r="E62" s="120"/>
      <c r="F62" s="131"/>
      <c r="G62" s="131"/>
      <c r="H62" s="122" t="str">
        <f>IFERROR(VLOOKUP(B62,'[1]Debt Holding Consolidated'!$C$1:$N$65536,12,FALSE),"")</f>
        <v/>
      </c>
      <c r="J62" s="34"/>
    </row>
    <row r="63" spans="1:10" x14ac:dyDescent="0.2">
      <c r="A63" s="120"/>
      <c r="B63" s="120"/>
      <c r="C63" s="121" t="s">
        <v>164</v>
      </c>
      <c r="D63" s="120"/>
      <c r="E63" s="120"/>
      <c r="F63" s="131"/>
      <c r="G63" s="131"/>
      <c r="H63" s="122" t="str">
        <f>IFERROR(VLOOKUP(B63,'[1]Debt Holding Consolidated'!$C$1:$N$65536,12,FALSE),"")</f>
        <v/>
      </c>
      <c r="J63" s="34"/>
    </row>
    <row r="64" spans="1:10" x14ac:dyDescent="0.2">
      <c r="A64" s="120"/>
      <c r="B64" s="120"/>
      <c r="C64" s="121" t="s">
        <v>152</v>
      </c>
      <c r="D64" s="120"/>
      <c r="E64" s="120" t="s">
        <v>153</v>
      </c>
      <c r="F64" s="132" t="s">
        <v>155</v>
      </c>
      <c r="G64" s="129">
        <v>0</v>
      </c>
      <c r="H64" s="122" t="str">
        <f>IFERROR(VLOOKUP(B64,'[1]Debt Holding Consolidated'!$C$1:$N$65536,12,FALSE),"")</f>
        <v/>
      </c>
      <c r="J64" s="34"/>
    </row>
    <row r="65" spans="1:10" x14ac:dyDescent="0.2">
      <c r="A65" s="120"/>
      <c r="B65" s="120"/>
      <c r="C65" s="130"/>
      <c r="D65" s="120"/>
      <c r="E65" s="120"/>
      <c r="F65" s="131"/>
      <c r="G65" s="131"/>
      <c r="H65" s="122" t="str">
        <f>IFERROR(VLOOKUP(B65,'[1]Debt Holding Consolidated'!$C$1:$N$65536,12,FALSE),"")</f>
        <v/>
      </c>
      <c r="J65" s="34"/>
    </row>
    <row r="66" spans="1:10" x14ac:dyDescent="0.2">
      <c r="A66" s="120"/>
      <c r="B66" s="120"/>
      <c r="C66" s="121" t="s">
        <v>165</v>
      </c>
      <c r="D66" s="120"/>
      <c r="E66" s="120"/>
      <c r="F66" s="128">
        <v>0</v>
      </c>
      <c r="G66" s="129">
        <v>0</v>
      </c>
      <c r="H66" s="122" t="str">
        <f>IFERROR(VLOOKUP(B66,'[1]Debt Holding Consolidated'!$C$1:$N$65536,12,FALSE),"")</f>
        <v/>
      </c>
      <c r="J66" s="34"/>
    </row>
    <row r="67" spans="1:10" x14ac:dyDescent="0.2">
      <c r="A67" s="120"/>
      <c r="B67" s="120"/>
      <c r="C67" s="130"/>
      <c r="D67" s="120"/>
      <c r="E67" s="120"/>
      <c r="F67" s="131"/>
      <c r="G67" s="131"/>
      <c r="H67" s="122" t="str">
        <f>IFERROR(VLOOKUP(B67,'[1]Debt Holding Consolidated'!$C$1:$N$65536,12,FALSE),"")</f>
        <v/>
      </c>
      <c r="J67" s="34"/>
    </row>
    <row r="68" spans="1:10" x14ac:dyDescent="0.2">
      <c r="A68" s="120"/>
      <c r="B68" s="120"/>
      <c r="C68" s="121" t="s">
        <v>166</v>
      </c>
      <c r="D68" s="120"/>
      <c r="E68" s="120"/>
      <c r="F68" s="131"/>
      <c r="G68" s="131"/>
      <c r="H68" s="122" t="str">
        <f>IFERROR(VLOOKUP(B68,'[1]Debt Holding Consolidated'!$C$1:$N$65536,12,FALSE),"")</f>
        <v/>
      </c>
      <c r="J68" s="34"/>
    </row>
    <row r="69" spans="1:10" x14ac:dyDescent="0.2">
      <c r="A69" s="120"/>
      <c r="B69" s="120"/>
      <c r="C69" s="121" t="s">
        <v>167</v>
      </c>
      <c r="D69" s="120"/>
      <c r="E69" s="120"/>
      <c r="F69" s="131"/>
      <c r="G69" s="131"/>
      <c r="H69" s="122" t="str">
        <f>IFERROR(VLOOKUP(B69,'[1]Debt Holding Consolidated'!$C$1:$N$65536,12,FALSE),"")</f>
        <v/>
      </c>
      <c r="J69" s="34"/>
    </row>
    <row r="70" spans="1:10" x14ac:dyDescent="0.2">
      <c r="A70" s="120"/>
      <c r="B70" s="120"/>
      <c r="C70" s="121" t="s">
        <v>152</v>
      </c>
      <c r="D70" s="120"/>
      <c r="E70" s="120" t="s">
        <v>153</v>
      </c>
      <c r="F70" s="132" t="s">
        <v>155</v>
      </c>
      <c r="G70" s="129">
        <v>0</v>
      </c>
      <c r="H70" s="122" t="str">
        <f>IFERROR(VLOOKUP(B70,'[1]Debt Holding Consolidated'!$C$1:$N$65536,12,FALSE),"")</f>
        <v/>
      </c>
      <c r="J70" s="34"/>
    </row>
    <row r="71" spans="1:10" x14ac:dyDescent="0.2">
      <c r="A71" s="120"/>
      <c r="B71" s="120"/>
      <c r="C71" s="130"/>
      <c r="D71" s="120"/>
      <c r="E71" s="120"/>
      <c r="F71" s="131"/>
      <c r="G71" s="131"/>
      <c r="H71" s="122" t="str">
        <f>IFERROR(VLOOKUP(B71,'[1]Debt Holding Consolidated'!$C$1:$N$65536,12,FALSE),"")</f>
        <v/>
      </c>
      <c r="J71" s="34"/>
    </row>
    <row r="72" spans="1:10" x14ac:dyDescent="0.2">
      <c r="A72" s="120"/>
      <c r="B72" s="120"/>
      <c r="C72" s="121" t="s">
        <v>168</v>
      </c>
      <c r="D72" s="120"/>
      <c r="E72" s="120"/>
      <c r="F72" s="131"/>
      <c r="G72" s="131"/>
      <c r="H72" s="122" t="str">
        <f>IFERROR(VLOOKUP(B72,'[1]Debt Holding Consolidated'!$C$1:$N$65536,12,FALSE),"")</f>
        <v/>
      </c>
      <c r="J72" s="34"/>
    </row>
    <row r="73" spans="1:10" x14ac:dyDescent="0.2">
      <c r="A73" s="120"/>
      <c r="B73" s="120"/>
      <c r="C73" s="121" t="s">
        <v>152</v>
      </c>
      <c r="D73" s="120"/>
      <c r="E73" s="120" t="s">
        <v>153</v>
      </c>
      <c r="F73" s="132" t="s">
        <v>155</v>
      </c>
      <c r="G73" s="129">
        <v>0</v>
      </c>
      <c r="H73" s="122" t="str">
        <f>IFERROR(VLOOKUP(B73,'[1]Debt Holding Consolidated'!$C$1:$N$65536,12,FALSE),"")</f>
        <v/>
      </c>
      <c r="J73" s="34"/>
    </row>
    <row r="74" spans="1:10" x14ac:dyDescent="0.2">
      <c r="A74" s="120"/>
      <c r="B74" s="120"/>
      <c r="C74" s="130"/>
      <c r="D74" s="120"/>
      <c r="E74" s="120"/>
      <c r="F74" s="131"/>
      <c r="G74" s="131"/>
      <c r="H74" s="122" t="str">
        <f>IFERROR(VLOOKUP(B74,'[1]Debt Holding Consolidated'!$C$1:$N$65536,12,FALSE),"")</f>
        <v/>
      </c>
      <c r="J74" s="34"/>
    </row>
    <row r="75" spans="1:10" x14ac:dyDescent="0.2">
      <c r="A75" s="120"/>
      <c r="B75" s="120"/>
      <c r="C75" s="121" t="s">
        <v>169</v>
      </c>
      <c r="D75" s="120"/>
      <c r="E75" s="120"/>
      <c r="F75" s="131"/>
      <c r="G75" s="131"/>
      <c r="H75" s="122" t="str">
        <f>IFERROR(VLOOKUP(B75,'[1]Debt Holding Consolidated'!$C$1:$N$65536,12,FALSE),"")</f>
        <v/>
      </c>
      <c r="J75" s="34"/>
    </row>
    <row r="76" spans="1:10" x14ac:dyDescent="0.2">
      <c r="A76" s="123">
        <v>1</v>
      </c>
      <c r="B76" s="124" t="s">
        <v>663</v>
      </c>
      <c r="C76" s="124" t="s">
        <v>1054</v>
      </c>
      <c r="D76" s="124" t="s">
        <v>541</v>
      </c>
      <c r="E76" s="125">
        <v>500000</v>
      </c>
      <c r="F76" s="126">
        <v>496.49849999999998</v>
      </c>
      <c r="G76" s="127">
        <v>3.43786E-3</v>
      </c>
      <c r="H76" s="122">
        <f>IFERROR(VLOOKUP(B76,'[1]Debt Holding Consolidated'!$C$1:$N$65536,12,FALSE),"")</f>
        <v>6.6</v>
      </c>
      <c r="J76" s="34"/>
    </row>
    <row r="77" spans="1:10" x14ac:dyDescent="0.2">
      <c r="A77" s="120"/>
      <c r="B77" s="120"/>
      <c r="C77" s="121" t="s">
        <v>152</v>
      </c>
      <c r="D77" s="120"/>
      <c r="E77" s="120" t="s">
        <v>153</v>
      </c>
      <c r="F77" s="128">
        <v>496.49849999999998</v>
      </c>
      <c r="G77" s="129">
        <v>3.43786E-3</v>
      </c>
      <c r="H77" s="122" t="str">
        <f>IFERROR(VLOOKUP(B77,'[1]Debt Holding Consolidated'!$C$1:$N$65536,12,FALSE),"")</f>
        <v/>
      </c>
      <c r="J77" s="34"/>
    </row>
    <row r="78" spans="1:10" x14ac:dyDescent="0.2">
      <c r="A78" s="120"/>
      <c r="B78" s="120"/>
      <c r="C78" s="130"/>
      <c r="D78" s="120"/>
      <c r="E78" s="120"/>
      <c r="F78" s="131"/>
      <c r="G78" s="131"/>
      <c r="H78" s="122" t="str">
        <f>IFERROR(VLOOKUP(B78,'[1]Debt Holding Consolidated'!$C$1:$N$65536,12,FALSE),"")</f>
        <v/>
      </c>
      <c r="J78" s="34"/>
    </row>
    <row r="79" spans="1:10" x14ac:dyDescent="0.2">
      <c r="A79" s="120"/>
      <c r="B79" s="120"/>
      <c r="C79" s="121" t="s">
        <v>170</v>
      </c>
      <c r="D79" s="120"/>
      <c r="E79" s="120"/>
      <c r="F79" s="131"/>
      <c r="G79" s="131"/>
      <c r="H79" s="122" t="str">
        <f>IFERROR(VLOOKUP(B79,'[1]Debt Holding Consolidated'!$C$1:$N$65536,12,FALSE),"")</f>
        <v/>
      </c>
      <c r="J79" s="34"/>
    </row>
    <row r="80" spans="1:10" x14ac:dyDescent="0.2">
      <c r="A80" s="123">
        <v>1</v>
      </c>
      <c r="B80" s="124"/>
      <c r="C80" s="124" t="s">
        <v>171</v>
      </c>
      <c r="D80" s="124"/>
      <c r="E80" s="133"/>
      <c r="F80" s="126">
        <v>6272.6120456890003</v>
      </c>
      <c r="G80" s="127">
        <v>4.3432869999999998E-2</v>
      </c>
      <c r="H80" s="122">
        <v>6.62</v>
      </c>
      <c r="J80" s="34"/>
    </row>
    <row r="81" spans="1:10" x14ac:dyDescent="0.2">
      <c r="A81" s="120"/>
      <c r="B81" s="120"/>
      <c r="C81" s="121" t="s">
        <v>152</v>
      </c>
      <c r="D81" s="120"/>
      <c r="E81" s="120" t="s">
        <v>153</v>
      </c>
      <c r="F81" s="128">
        <v>6272.6120456890003</v>
      </c>
      <c r="G81" s="129">
        <v>4.3432869999999998E-2</v>
      </c>
      <c r="H81" s="122" t="str">
        <f>IFERROR(VLOOKUP(B81,'[1]Debt Holding Consolidated'!$C$1:$N$65536,12,FALSE),"")</f>
        <v/>
      </c>
      <c r="J81" s="34"/>
    </row>
    <row r="82" spans="1:10" x14ac:dyDescent="0.2">
      <c r="A82" s="120"/>
      <c r="B82" s="120"/>
      <c r="C82" s="130"/>
      <c r="D82" s="120"/>
      <c r="E82" s="120"/>
      <c r="F82" s="131"/>
      <c r="G82" s="131"/>
      <c r="H82" s="122" t="str">
        <f>IFERROR(VLOOKUP(B82,'[1]Debt Holding Consolidated'!$C$1:$N$65536,12,FALSE),"")</f>
        <v/>
      </c>
      <c r="J82" s="34"/>
    </row>
    <row r="83" spans="1:10" x14ac:dyDescent="0.2">
      <c r="A83" s="120"/>
      <c r="B83" s="120"/>
      <c r="C83" s="121" t="s">
        <v>172</v>
      </c>
      <c r="D83" s="120"/>
      <c r="E83" s="120"/>
      <c r="F83" s="128">
        <v>6769.110545689</v>
      </c>
      <c r="G83" s="129">
        <v>4.6870729999999999E-2</v>
      </c>
      <c r="H83" s="122" t="str">
        <f>IFERROR(VLOOKUP(B83,'[1]Debt Holding Consolidated'!$C$1:$N$65536,12,FALSE),"")</f>
        <v/>
      </c>
      <c r="J83" s="34"/>
    </row>
    <row r="84" spans="1:10" x14ac:dyDescent="0.2">
      <c r="A84" s="120"/>
      <c r="B84" s="120"/>
      <c r="C84" s="131"/>
      <c r="D84" s="120"/>
      <c r="E84" s="120"/>
      <c r="F84" s="120"/>
      <c r="G84" s="120"/>
      <c r="H84" s="122" t="str">
        <f>IFERROR(VLOOKUP(B84,'[1]Debt Holding Consolidated'!$C$1:$N$65536,12,FALSE),"")</f>
        <v/>
      </c>
      <c r="J84" s="34"/>
    </row>
    <row r="85" spans="1:10" x14ac:dyDescent="0.2">
      <c r="A85" s="120"/>
      <c r="B85" s="120"/>
      <c r="C85" s="121" t="s">
        <v>173</v>
      </c>
      <c r="D85" s="120"/>
      <c r="E85" s="120"/>
      <c r="F85" s="120"/>
      <c r="G85" s="120"/>
      <c r="H85" s="122" t="str">
        <f>IFERROR(VLOOKUP(B85,'[1]Debt Holding Consolidated'!$C$1:$N$65536,12,FALSE),"")</f>
        <v/>
      </c>
      <c r="J85" s="34"/>
    </row>
    <row r="86" spans="1:10" x14ac:dyDescent="0.2">
      <c r="A86" s="120"/>
      <c r="B86" s="120"/>
      <c r="C86" s="121" t="s">
        <v>174</v>
      </c>
      <c r="D86" s="120"/>
      <c r="E86" s="120"/>
      <c r="F86" s="120"/>
      <c r="G86" s="120"/>
      <c r="H86" s="122" t="str">
        <f>IFERROR(VLOOKUP(B86,'[1]Debt Holding Consolidated'!$C$1:$N$65536,12,FALSE),"")</f>
        <v/>
      </c>
      <c r="J86" s="34"/>
    </row>
    <row r="87" spans="1:10" x14ac:dyDescent="0.2">
      <c r="A87" s="120"/>
      <c r="B87" s="120"/>
      <c r="C87" s="121" t="s">
        <v>152</v>
      </c>
      <c r="D87" s="120"/>
      <c r="E87" s="120" t="s">
        <v>153</v>
      </c>
      <c r="F87" s="132" t="s">
        <v>155</v>
      </c>
      <c r="G87" s="129">
        <v>0</v>
      </c>
      <c r="H87" s="122" t="str">
        <f>IFERROR(VLOOKUP(B87,'[1]Debt Holding Consolidated'!$C$1:$N$65536,12,FALSE),"")</f>
        <v/>
      </c>
      <c r="J87" s="34"/>
    </row>
    <row r="88" spans="1:10" x14ac:dyDescent="0.2">
      <c r="A88" s="120"/>
      <c r="B88" s="120"/>
      <c r="C88" s="130"/>
      <c r="D88" s="120"/>
      <c r="E88" s="120"/>
      <c r="F88" s="131"/>
      <c r="G88" s="131"/>
      <c r="H88" s="122" t="str">
        <f>IFERROR(VLOOKUP(B88,'[1]Debt Holding Consolidated'!$C$1:$N$65536,12,FALSE),"")</f>
        <v/>
      </c>
      <c r="J88" s="34"/>
    </row>
    <row r="89" spans="1:10" x14ac:dyDescent="0.2">
      <c r="A89" s="120"/>
      <c r="B89" s="120"/>
      <c r="C89" s="121" t="s">
        <v>175</v>
      </c>
      <c r="D89" s="120"/>
      <c r="E89" s="120"/>
      <c r="F89" s="120"/>
      <c r="G89" s="120"/>
      <c r="H89" s="122" t="str">
        <f>IFERROR(VLOOKUP(B89,'[1]Debt Holding Consolidated'!$C$1:$N$65536,12,FALSE),"")</f>
        <v/>
      </c>
      <c r="J89" s="34"/>
    </row>
    <row r="90" spans="1:10" x14ac:dyDescent="0.2">
      <c r="A90" s="120"/>
      <c r="B90" s="120"/>
      <c r="C90" s="121" t="s">
        <v>176</v>
      </c>
      <c r="D90" s="120"/>
      <c r="E90" s="120"/>
      <c r="F90" s="120"/>
      <c r="G90" s="120"/>
      <c r="H90" s="122" t="str">
        <f>IFERROR(VLOOKUP(B90,'[1]Debt Holding Consolidated'!$C$1:$N$65536,12,FALSE),"")</f>
        <v/>
      </c>
      <c r="J90" s="34"/>
    </row>
    <row r="91" spans="1:10" x14ac:dyDescent="0.2">
      <c r="A91" s="120"/>
      <c r="B91" s="120"/>
      <c r="C91" s="121" t="s">
        <v>152</v>
      </c>
      <c r="D91" s="120"/>
      <c r="E91" s="120" t="s">
        <v>153</v>
      </c>
      <c r="F91" s="132" t="s">
        <v>155</v>
      </c>
      <c r="G91" s="129">
        <v>0</v>
      </c>
      <c r="H91" s="122" t="str">
        <f>IFERROR(VLOOKUP(B91,'[1]Debt Holding Consolidated'!$C$1:$N$65536,12,FALSE),"")</f>
        <v/>
      </c>
      <c r="J91" s="34"/>
    </row>
    <row r="92" spans="1:10" x14ac:dyDescent="0.2">
      <c r="A92" s="120"/>
      <c r="B92" s="120"/>
      <c r="C92" s="130"/>
      <c r="D92" s="120"/>
      <c r="E92" s="120"/>
      <c r="F92" s="131"/>
      <c r="G92" s="131"/>
      <c r="H92" s="122" t="str">
        <f>IFERROR(VLOOKUP(B92,'[1]Debt Holding Consolidated'!$C$1:$N$65536,12,FALSE),"")</f>
        <v/>
      </c>
      <c r="J92" s="34"/>
    </row>
    <row r="93" spans="1:10" x14ac:dyDescent="0.2">
      <c r="A93" s="120"/>
      <c r="B93" s="120"/>
      <c r="C93" s="121" t="s">
        <v>177</v>
      </c>
      <c r="D93" s="120"/>
      <c r="E93" s="120"/>
      <c r="F93" s="131"/>
      <c r="G93" s="131"/>
      <c r="H93" s="122" t="str">
        <f>IFERROR(VLOOKUP(B93,'[1]Debt Holding Consolidated'!$C$1:$N$65536,12,FALSE),"")</f>
        <v/>
      </c>
      <c r="J93" s="34"/>
    </row>
    <row r="94" spans="1:10" x14ac:dyDescent="0.2">
      <c r="A94" s="120"/>
      <c r="B94" s="120"/>
      <c r="C94" s="121" t="s">
        <v>152</v>
      </c>
      <c r="D94" s="120"/>
      <c r="E94" s="120" t="s">
        <v>153</v>
      </c>
      <c r="F94" s="132" t="s">
        <v>155</v>
      </c>
      <c r="G94" s="129">
        <v>0</v>
      </c>
      <c r="H94" s="122" t="str">
        <f>IFERROR(VLOOKUP(B94,'[1]Debt Holding Consolidated'!$C$1:$N$65536,12,FALSE),"")</f>
        <v/>
      </c>
      <c r="J94" s="34"/>
    </row>
    <row r="95" spans="1:10" x14ac:dyDescent="0.2">
      <c r="A95" s="120"/>
      <c r="B95" s="120"/>
      <c r="C95" s="130"/>
      <c r="D95" s="120"/>
      <c r="E95" s="120"/>
      <c r="F95" s="131"/>
      <c r="G95" s="131"/>
      <c r="H95" s="122" t="str">
        <f>IFERROR(VLOOKUP(B95,'[1]Debt Holding Consolidated'!$C$1:$N$65536,12,FALSE),"")</f>
        <v/>
      </c>
      <c r="J95" s="34"/>
    </row>
    <row r="96" spans="1:10" x14ac:dyDescent="0.2">
      <c r="A96" s="133"/>
      <c r="B96" s="124"/>
      <c r="C96" s="160" t="s">
        <v>1080</v>
      </c>
      <c r="D96" s="124"/>
      <c r="E96" s="133"/>
      <c r="F96" s="126">
        <v>105.09824635</v>
      </c>
      <c r="G96" s="127">
        <v>7.2771999999999995E-4</v>
      </c>
      <c r="H96" s="122" t="str">
        <f>IFERROR(VLOOKUP(B96,'[1]Debt Holding Consolidated'!$C$1:$N$65536,12,FALSE),"")</f>
        <v/>
      </c>
      <c r="J96" s="2"/>
    </row>
    <row r="97" spans="1:17" x14ac:dyDescent="0.2">
      <c r="A97" s="130"/>
      <c r="B97" s="130"/>
      <c r="C97" s="121" t="s">
        <v>179</v>
      </c>
      <c r="D97" s="131"/>
      <c r="E97" s="131"/>
      <c r="F97" s="128">
        <v>144420.85588703901</v>
      </c>
      <c r="G97" s="134">
        <v>1.00000004</v>
      </c>
      <c r="H97" s="122" t="str">
        <f>IFERROR(VLOOKUP(B97,'[1]Debt Holding Consolidated'!$C$1:$N$65536,12,FALSE),"")</f>
        <v/>
      </c>
      <c r="J97" s="2"/>
    </row>
    <row r="98" spans="1:17" x14ac:dyDescent="0.2">
      <c r="A98" s="135"/>
      <c r="B98" s="135"/>
      <c r="C98" s="135"/>
      <c r="D98" s="136"/>
      <c r="E98" s="136"/>
      <c r="F98" s="136"/>
      <c r="G98" s="136"/>
      <c r="J98" s="2"/>
    </row>
    <row r="99" spans="1:17" x14ac:dyDescent="0.2">
      <c r="A99" s="137"/>
      <c r="B99" s="226" t="s">
        <v>863</v>
      </c>
      <c r="C99" s="226"/>
      <c r="D99" s="226"/>
      <c r="E99" s="226"/>
      <c r="F99" s="226"/>
      <c r="G99" s="226"/>
      <c r="H99" s="226"/>
      <c r="J99" s="2"/>
    </row>
    <row r="100" spans="1:17" x14ac:dyDescent="0.2">
      <c r="A100" s="137"/>
      <c r="B100" s="226" t="s">
        <v>864</v>
      </c>
      <c r="C100" s="226"/>
      <c r="D100" s="226"/>
      <c r="E100" s="226"/>
      <c r="F100" s="226"/>
      <c r="G100" s="226"/>
      <c r="H100" s="226"/>
      <c r="J100" s="34"/>
    </row>
    <row r="101" spans="1:17" x14ac:dyDescent="0.2">
      <c r="A101" s="137"/>
      <c r="B101" s="226" t="s">
        <v>865</v>
      </c>
      <c r="C101" s="226"/>
      <c r="D101" s="226"/>
      <c r="E101" s="226"/>
      <c r="F101" s="226"/>
      <c r="G101" s="226"/>
      <c r="H101" s="226"/>
      <c r="J101" s="34"/>
    </row>
    <row r="102" spans="1:17" s="5" customFormat="1" ht="54" customHeight="1" x14ac:dyDescent="0.25">
      <c r="A102" s="139"/>
      <c r="B102" s="227" t="s">
        <v>866</v>
      </c>
      <c r="C102" s="227"/>
      <c r="D102" s="227"/>
      <c r="E102" s="227"/>
      <c r="F102" s="227"/>
      <c r="G102" s="227"/>
      <c r="H102" s="227"/>
      <c r="I102"/>
      <c r="J102" s="34"/>
      <c r="K102"/>
      <c r="L102"/>
      <c r="M102"/>
      <c r="N102"/>
      <c r="O102"/>
      <c r="P102"/>
      <c r="Q102"/>
    </row>
    <row r="103" spans="1:17" x14ac:dyDescent="0.2">
      <c r="A103" s="137"/>
      <c r="B103" s="226" t="s">
        <v>867</v>
      </c>
      <c r="C103" s="226"/>
      <c r="D103" s="226"/>
      <c r="E103" s="226"/>
      <c r="F103" s="226"/>
      <c r="G103" s="226"/>
      <c r="H103" s="226"/>
      <c r="J103" s="34"/>
    </row>
    <row r="104" spans="1:17" x14ac:dyDescent="0.2">
      <c r="A104" s="140"/>
      <c r="B104" s="233" t="s">
        <v>153</v>
      </c>
      <c r="C104" s="233"/>
      <c r="D104" s="233"/>
      <c r="E104" s="233"/>
      <c r="F104" s="233"/>
      <c r="G104" s="141"/>
      <c r="J104" s="34"/>
    </row>
    <row r="105" spans="1:17" x14ac:dyDescent="0.2">
      <c r="A105" s="140"/>
      <c r="B105" s="228" t="s">
        <v>180</v>
      </c>
      <c r="C105" s="229"/>
      <c r="D105" s="230"/>
      <c r="E105" s="142"/>
      <c r="F105" s="141"/>
      <c r="G105" s="141"/>
      <c r="J105" s="34"/>
    </row>
    <row r="106" spans="1:17" x14ac:dyDescent="0.2">
      <c r="A106" s="140"/>
      <c r="B106" s="223" t="s">
        <v>181</v>
      </c>
      <c r="C106" s="224"/>
      <c r="D106" s="121" t="s">
        <v>182</v>
      </c>
      <c r="E106" s="142"/>
      <c r="F106" s="141"/>
      <c r="G106" s="141"/>
      <c r="J106" s="34"/>
    </row>
    <row r="107" spans="1:17" x14ac:dyDescent="0.2">
      <c r="A107" s="140"/>
      <c r="B107" s="223" t="s">
        <v>183</v>
      </c>
      <c r="C107" s="224"/>
      <c r="D107" s="121" t="s">
        <v>182</v>
      </c>
      <c r="E107" s="142"/>
      <c r="F107" s="141"/>
      <c r="G107" s="141"/>
      <c r="J107" s="34"/>
    </row>
    <row r="108" spans="1:17" x14ac:dyDescent="0.2">
      <c r="A108" s="140"/>
      <c r="B108" s="223" t="s">
        <v>184</v>
      </c>
      <c r="C108" s="224"/>
      <c r="D108" s="131" t="s">
        <v>153</v>
      </c>
      <c r="E108" s="142"/>
      <c r="F108" s="141"/>
      <c r="G108" s="141"/>
      <c r="J108" s="34"/>
    </row>
    <row r="109" spans="1:17" x14ac:dyDescent="0.2">
      <c r="A109" s="144"/>
      <c r="B109" s="145" t="s">
        <v>153</v>
      </c>
      <c r="C109" s="145" t="s">
        <v>870</v>
      </c>
      <c r="D109" s="145" t="s">
        <v>185</v>
      </c>
      <c r="E109" s="144"/>
      <c r="F109" s="144"/>
      <c r="G109" s="144"/>
      <c r="H109" s="144"/>
      <c r="J109" s="34"/>
    </row>
    <row r="110" spans="1:17" x14ac:dyDescent="0.2">
      <c r="A110" s="146"/>
      <c r="B110" s="147" t="s">
        <v>186</v>
      </c>
      <c r="C110" s="148">
        <v>45504</v>
      </c>
      <c r="D110" s="149">
        <v>45535</v>
      </c>
      <c r="E110" s="146"/>
      <c r="F110" s="146"/>
      <c r="G110" s="146"/>
      <c r="J110" s="2"/>
    </row>
    <row r="111" spans="1:17" x14ac:dyDescent="0.2">
      <c r="A111" s="146"/>
      <c r="B111" s="124" t="s">
        <v>187</v>
      </c>
      <c r="C111" s="150">
        <v>109.37990000000001</v>
      </c>
      <c r="D111" s="150">
        <v>111.01390000000001</v>
      </c>
      <c r="E111" s="146"/>
      <c r="F111" s="151"/>
      <c r="G111" s="152"/>
      <c r="J111" s="34"/>
    </row>
    <row r="112" spans="1:17" x14ac:dyDescent="0.2">
      <c r="A112" s="146"/>
      <c r="B112" s="124" t="s">
        <v>926</v>
      </c>
      <c r="C112" s="150">
        <v>37.181800000000003</v>
      </c>
      <c r="D112" s="150">
        <v>37.737200000000001</v>
      </c>
      <c r="E112" s="146"/>
      <c r="F112" s="151"/>
      <c r="G112" s="152"/>
      <c r="J112" s="34"/>
    </row>
    <row r="113" spans="1:10" ht="25.5" x14ac:dyDescent="0.2">
      <c r="A113" s="146"/>
      <c r="B113" s="124" t="s">
        <v>836</v>
      </c>
      <c r="C113" s="150">
        <v>112.46259999999999</v>
      </c>
      <c r="D113" s="150">
        <v>114.1427</v>
      </c>
      <c r="E113" s="146"/>
      <c r="F113" s="151"/>
      <c r="G113" s="152"/>
      <c r="J113" s="34"/>
    </row>
    <row r="114" spans="1:10" ht="25.5" x14ac:dyDescent="0.2">
      <c r="A114" s="146"/>
      <c r="B114" s="124" t="s">
        <v>934</v>
      </c>
      <c r="C114" s="150">
        <v>37.824100000000001</v>
      </c>
      <c r="D114" s="150">
        <v>38.389299999999999</v>
      </c>
      <c r="E114" s="146"/>
      <c r="F114" s="151"/>
      <c r="G114" s="152"/>
      <c r="J114" s="34"/>
    </row>
    <row r="115" spans="1:10" x14ac:dyDescent="0.2">
      <c r="A115" s="146"/>
      <c r="B115" s="124" t="s">
        <v>188</v>
      </c>
      <c r="C115" s="150">
        <v>98.180499999999995</v>
      </c>
      <c r="D115" s="150">
        <v>99.533000000000001</v>
      </c>
      <c r="E115" s="146"/>
      <c r="F115" s="151"/>
      <c r="G115" s="152"/>
      <c r="J115" s="34"/>
    </row>
    <row r="116" spans="1:10" x14ac:dyDescent="0.2">
      <c r="A116" s="146"/>
      <c r="B116" s="124" t="s">
        <v>927</v>
      </c>
      <c r="C116" s="150">
        <v>32.830500000000001</v>
      </c>
      <c r="D116" s="150">
        <v>33.282699999999998</v>
      </c>
      <c r="E116" s="146"/>
      <c r="F116" s="151"/>
      <c r="G116" s="152"/>
      <c r="J116" s="34"/>
    </row>
    <row r="117" spans="1:10" x14ac:dyDescent="0.2">
      <c r="A117" s="146"/>
      <c r="B117" s="146"/>
      <c r="C117" s="146"/>
      <c r="D117" s="146"/>
      <c r="E117" s="146"/>
      <c r="F117" s="146"/>
      <c r="G117" s="146"/>
      <c r="J117" s="34"/>
    </row>
    <row r="118" spans="1:10" x14ac:dyDescent="0.2">
      <c r="A118" s="144"/>
      <c r="B118" s="221" t="s">
        <v>869</v>
      </c>
      <c r="C118" s="222"/>
      <c r="D118" s="143" t="s">
        <v>182</v>
      </c>
      <c r="E118" s="144"/>
      <c r="F118" s="144"/>
      <c r="G118" s="144"/>
      <c r="J118" s="34"/>
    </row>
    <row r="119" spans="1:10" x14ac:dyDescent="0.2">
      <c r="A119" s="144"/>
      <c r="B119" s="163"/>
      <c r="C119" s="163"/>
      <c r="D119" s="163"/>
      <c r="E119" s="144"/>
      <c r="F119" s="144"/>
      <c r="G119" s="144"/>
    </row>
    <row r="120" spans="1:10" ht="29.1" customHeight="1" x14ac:dyDescent="0.2">
      <c r="A120" s="144"/>
      <c r="B120" s="221" t="s">
        <v>189</v>
      </c>
      <c r="C120" s="222"/>
      <c r="D120" s="143" t="s">
        <v>182</v>
      </c>
      <c r="E120" s="153"/>
      <c r="F120" s="144"/>
      <c r="G120" s="144"/>
    </row>
    <row r="121" spans="1:10" ht="29.1" customHeight="1" x14ac:dyDescent="0.2">
      <c r="A121" s="144"/>
      <c r="B121" s="221" t="s">
        <v>190</v>
      </c>
      <c r="C121" s="222"/>
      <c r="D121" s="143" t="s">
        <v>182</v>
      </c>
      <c r="E121" s="153"/>
      <c r="F121" s="144"/>
      <c r="G121" s="144"/>
    </row>
    <row r="122" spans="1:10" ht="17.100000000000001" customHeight="1" x14ac:dyDescent="0.2">
      <c r="A122" s="144"/>
      <c r="B122" s="221" t="s">
        <v>191</v>
      </c>
      <c r="C122" s="222"/>
      <c r="D122" s="143" t="s">
        <v>182</v>
      </c>
      <c r="E122" s="153"/>
      <c r="F122" s="144"/>
      <c r="G122" s="144"/>
    </row>
    <row r="123" spans="1:10" ht="17.100000000000001" customHeight="1" x14ac:dyDescent="0.2">
      <c r="A123" s="144"/>
      <c r="B123" s="221" t="s">
        <v>192</v>
      </c>
      <c r="C123" s="222"/>
      <c r="D123" s="154">
        <v>0.7481426486355327</v>
      </c>
      <c r="E123" s="144"/>
      <c r="F123" s="138"/>
      <c r="G123" s="155"/>
    </row>
  </sheetData>
  <mergeCells count="18">
    <mergeCell ref="B106:C106"/>
    <mergeCell ref="A1:H1"/>
    <mergeCell ref="A2:H2"/>
    <mergeCell ref="A3:H3"/>
    <mergeCell ref="B99:H99"/>
    <mergeCell ref="B100:H100"/>
    <mergeCell ref="B101:H101"/>
    <mergeCell ref="B102:H102"/>
    <mergeCell ref="B103:H103"/>
    <mergeCell ref="B104:F104"/>
    <mergeCell ref="B105:D105"/>
    <mergeCell ref="B107:C107"/>
    <mergeCell ref="B108:C108"/>
    <mergeCell ref="B118:C118"/>
    <mergeCell ref="B122:C122"/>
    <mergeCell ref="B123:C123"/>
    <mergeCell ref="B120:C120"/>
    <mergeCell ref="B121:C121"/>
  </mergeCells>
  <hyperlinks>
    <hyperlink ref="I1" location="Index!B29" display="Index" xr:uid="{56C49529-C125-4A81-A92F-A1FC901476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3BF95-D598-4C06-93D7-4C831991E42A}">
  <sheetPr>
    <outlinePr summaryBelow="0" summaryRight="0"/>
  </sheetPr>
  <dimension ref="A1:Q187"/>
  <sheetViews>
    <sheetView showGridLines="0" workbookViewId="0">
      <selection sqref="A1:H1"/>
    </sheetView>
  </sheetViews>
  <sheetFormatPr defaultRowHeight="12.75" x14ac:dyDescent="0.2"/>
  <cols>
    <col min="1" max="1" width="6.85546875" customWidth="1"/>
    <col min="2" max="2" width="20.5703125" customWidth="1"/>
    <col min="3" max="3" width="45.42578125" customWidth="1"/>
    <col min="4" max="4" width="21.42578125" customWidth="1"/>
    <col min="5" max="6" width="19.140625" customWidth="1"/>
    <col min="7" max="7" width="16.42578125" customWidth="1"/>
    <col min="9" max="9" width="8.140625" customWidth="1"/>
    <col min="10" max="10" width="50.7109375" style="8" customWidth="1"/>
  </cols>
  <sheetData>
    <row r="1" spans="1:10" ht="15" x14ac:dyDescent="0.2">
      <c r="A1" s="225" t="s">
        <v>0</v>
      </c>
      <c r="B1" s="225"/>
      <c r="C1" s="225"/>
      <c r="D1" s="225"/>
      <c r="E1" s="225"/>
      <c r="F1" s="225"/>
      <c r="G1" s="225"/>
      <c r="H1" s="225"/>
      <c r="I1" s="1" t="s">
        <v>913</v>
      </c>
      <c r="J1" s="2"/>
    </row>
    <row r="2" spans="1:10" ht="15" x14ac:dyDescent="0.2">
      <c r="A2" s="225" t="s">
        <v>837</v>
      </c>
      <c r="B2" s="225"/>
      <c r="C2" s="225"/>
      <c r="D2" s="225"/>
      <c r="E2" s="225"/>
      <c r="F2" s="225"/>
      <c r="G2" s="225"/>
      <c r="H2" s="225"/>
      <c r="J2" s="3" t="s">
        <v>914</v>
      </c>
    </row>
    <row r="3" spans="1:10" ht="15" x14ac:dyDescent="0.2">
      <c r="A3" s="225" t="s">
        <v>853</v>
      </c>
      <c r="B3" s="225"/>
      <c r="C3" s="225"/>
      <c r="D3" s="225"/>
      <c r="E3" s="225"/>
      <c r="F3" s="225"/>
      <c r="G3" s="225"/>
      <c r="H3" s="225"/>
      <c r="J3" s="2"/>
    </row>
    <row r="4" spans="1:10" s="4" customFormat="1" ht="30" x14ac:dyDescent="0.2">
      <c r="A4" s="118" t="s">
        <v>2</v>
      </c>
      <c r="B4" s="118" t="s">
        <v>3</v>
      </c>
      <c r="C4" s="118" t="s">
        <v>4</v>
      </c>
      <c r="D4" s="118" t="s">
        <v>5</v>
      </c>
      <c r="E4" s="118" t="s">
        <v>6</v>
      </c>
      <c r="F4" s="118" t="s">
        <v>7</v>
      </c>
      <c r="G4" s="118" t="s">
        <v>8</v>
      </c>
      <c r="H4" s="119" t="s">
        <v>851</v>
      </c>
      <c r="J4" s="2"/>
    </row>
    <row r="5" spans="1:10" x14ac:dyDescent="0.2">
      <c r="A5" s="120"/>
      <c r="B5" s="120"/>
      <c r="C5" s="121" t="s">
        <v>9</v>
      </c>
      <c r="D5" s="120"/>
      <c r="E5" s="120"/>
      <c r="F5" s="120"/>
      <c r="G5" s="120"/>
      <c r="H5" s="122" t="str">
        <f>IFERROR(VLOOKUP(B5,'[1]Debt Holding Consolidated'!$C$1:$N$65536,12,FALSE),"")</f>
        <v/>
      </c>
      <c r="J5" s="2"/>
    </row>
    <row r="6" spans="1:10" x14ac:dyDescent="0.2">
      <c r="A6" s="120"/>
      <c r="B6" s="120"/>
      <c r="C6" s="121" t="s">
        <v>10</v>
      </c>
      <c r="D6" s="120"/>
      <c r="E6" s="120"/>
      <c r="F6" s="120"/>
      <c r="G6" s="120"/>
      <c r="H6" s="122" t="str">
        <f>IFERROR(VLOOKUP(B6,'[1]Debt Holding Consolidated'!$C$1:$N$65536,12,FALSE),"")</f>
        <v/>
      </c>
      <c r="J6" s="2"/>
    </row>
    <row r="7" spans="1:10" x14ac:dyDescent="0.2">
      <c r="A7" s="123">
        <v>1</v>
      </c>
      <c r="B7" s="124" t="s">
        <v>20</v>
      </c>
      <c r="C7" s="124" t="s">
        <v>21</v>
      </c>
      <c r="D7" s="124" t="s">
        <v>22</v>
      </c>
      <c r="E7" s="125">
        <v>340522</v>
      </c>
      <c r="F7" s="126">
        <v>10281.210485</v>
      </c>
      <c r="G7" s="127">
        <v>4.3233399999999998E-2</v>
      </c>
      <c r="H7" s="122" t="str">
        <f>IFERROR(VLOOKUP(B7,'[1]Debt Holding Consolidated'!$C$1:$N$65536,12,FALSE),"")</f>
        <v/>
      </c>
      <c r="J7" s="2"/>
    </row>
    <row r="8" spans="1:10" x14ac:dyDescent="0.2">
      <c r="A8" s="123">
        <v>2</v>
      </c>
      <c r="B8" s="124" t="s">
        <v>344</v>
      </c>
      <c r="C8" s="124" t="s">
        <v>345</v>
      </c>
      <c r="D8" s="124" t="s">
        <v>211</v>
      </c>
      <c r="E8" s="125">
        <v>472818</v>
      </c>
      <c r="F8" s="126">
        <v>9190.163466</v>
      </c>
      <c r="G8" s="127">
        <v>3.8645449999999998E-2</v>
      </c>
      <c r="H8" s="122" t="str">
        <f>IFERROR(VLOOKUP(B8,'[1]Debt Holding Consolidated'!$C$1:$N$65536,12,FALSE),"")</f>
        <v/>
      </c>
      <c r="J8" s="2"/>
    </row>
    <row r="9" spans="1:10" x14ac:dyDescent="0.2">
      <c r="A9" s="123">
        <v>3</v>
      </c>
      <c r="B9" s="124" t="s">
        <v>14</v>
      </c>
      <c r="C9" s="124" t="s">
        <v>15</v>
      </c>
      <c r="D9" s="124" t="s">
        <v>16</v>
      </c>
      <c r="E9" s="125">
        <v>529709</v>
      </c>
      <c r="F9" s="126">
        <v>8417.3408645</v>
      </c>
      <c r="G9" s="127">
        <v>3.5395660000000002E-2</v>
      </c>
      <c r="H9" s="122" t="str">
        <f>IFERROR(VLOOKUP(B9,'[1]Debt Holding Consolidated'!$C$1:$N$65536,12,FALSE),"")</f>
        <v/>
      </c>
      <c r="J9" s="2"/>
    </row>
    <row r="10" spans="1:10" x14ac:dyDescent="0.2">
      <c r="A10" s="123">
        <v>4</v>
      </c>
      <c r="B10" s="124" t="s">
        <v>342</v>
      </c>
      <c r="C10" s="124" t="s">
        <v>343</v>
      </c>
      <c r="D10" s="124" t="s">
        <v>48</v>
      </c>
      <c r="E10" s="125">
        <v>490613</v>
      </c>
      <c r="F10" s="126">
        <v>8030.8441970000003</v>
      </c>
      <c r="G10" s="127">
        <v>3.3770410000000001E-2</v>
      </c>
      <c r="H10" s="122" t="str">
        <f>IFERROR(VLOOKUP(B10,'[1]Debt Holding Consolidated'!$C$1:$N$65536,12,FALSE),"")</f>
        <v/>
      </c>
      <c r="J10" s="2"/>
    </row>
    <row r="11" spans="1:10" x14ac:dyDescent="0.2">
      <c r="A11" s="123">
        <v>5</v>
      </c>
      <c r="B11" s="124" t="s">
        <v>548</v>
      </c>
      <c r="C11" s="124" t="s">
        <v>549</v>
      </c>
      <c r="D11" s="124" t="s">
        <v>273</v>
      </c>
      <c r="E11" s="125">
        <v>282243</v>
      </c>
      <c r="F11" s="126">
        <v>7918.0451220000004</v>
      </c>
      <c r="G11" s="127">
        <v>3.3296079999999999E-2</v>
      </c>
      <c r="H11" s="122" t="str">
        <f>IFERROR(VLOOKUP(B11,'[1]Debt Holding Consolidated'!$C$1:$N$65536,12,FALSE),"")</f>
        <v/>
      </c>
      <c r="J11" s="2"/>
    </row>
    <row r="12" spans="1:10" ht="15" x14ac:dyDescent="0.2">
      <c r="A12" s="123">
        <v>6</v>
      </c>
      <c r="B12" s="124" t="s">
        <v>11</v>
      </c>
      <c r="C12" s="124" t="s">
        <v>12</v>
      </c>
      <c r="D12" s="124" t="s">
        <v>13</v>
      </c>
      <c r="E12" s="125">
        <v>211893</v>
      </c>
      <c r="F12" s="126">
        <v>7849.8940245000003</v>
      </c>
      <c r="G12" s="127">
        <v>3.3009499999999997E-2</v>
      </c>
      <c r="H12" s="122" t="str">
        <f>IFERROR(VLOOKUP(B12,'[1]Debt Holding Consolidated'!$C$1:$N$65536,12,FALSE),"")</f>
        <v/>
      </c>
      <c r="J12" s="7"/>
    </row>
    <row r="13" spans="1:10" x14ac:dyDescent="0.2">
      <c r="A13" s="123">
        <v>7</v>
      </c>
      <c r="B13" s="124" t="s">
        <v>350</v>
      </c>
      <c r="C13" s="124" t="s">
        <v>351</v>
      </c>
      <c r="D13" s="124" t="s">
        <v>48</v>
      </c>
      <c r="E13" s="125">
        <v>478536</v>
      </c>
      <c r="F13" s="126">
        <v>5623.9943400000002</v>
      </c>
      <c r="G13" s="127">
        <v>2.3649389999999999E-2</v>
      </c>
      <c r="H13" s="122" t="str">
        <f>IFERROR(VLOOKUP(B13,'[1]Debt Holding Consolidated'!$C$1:$N$65536,12,FALSE),"")</f>
        <v/>
      </c>
      <c r="J13" s="2"/>
    </row>
    <row r="14" spans="1:10" ht="45" x14ac:dyDescent="0.2">
      <c r="A14" s="123">
        <v>8</v>
      </c>
      <c r="B14" s="124" t="s">
        <v>348</v>
      </c>
      <c r="C14" s="124" t="s">
        <v>349</v>
      </c>
      <c r="D14" s="124" t="s">
        <v>211</v>
      </c>
      <c r="E14" s="125">
        <v>107864</v>
      </c>
      <c r="F14" s="126">
        <v>4911.8568999999998</v>
      </c>
      <c r="G14" s="127">
        <v>2.0654789999999999E-2</v>
      </c>
      <c r="H14" s="122" t="str">
        <f>IFERROR(VLOOKUP(B14,'[1]Debt Holding Consolidated'!$C$1:$N$65536,12,FALSE),"")</f>
        <v/>
      </c>
      <c r="J14" s="2" t="s">
        <v>1044</v>
      </c>
    </row>
    <row r="15" spans="1:10" x14ac:dyDescent="0.2">
      <c r="A15" s="123">
        <v>9</v>
      </c>
      <c r="B15" s="124" t="s">
        <v>114</v>
      </c>
      <c r="C15" s="124" t="s">
        <v>115</v>
      </c>
      <c r="D15" s="124" t="s">
        <v>16</v>
      </c>
      <c r="E15" s="125">
        <v>942804</v>
      </c>
      <c r="F15" s="126">
        <v>4322.7563399999999</v>
      </c>
      <c r="G15" s="127">
        <v>1.8177570000000001E-2</v>
      </c>
      <c r="H15" s="122" t="str">
        <f>IFERROR(VLOOKUP(B15,'[1]Debt Holding Consolidated'!$C$1:$N$65536,12,FALSE),"")</f>
        <v/>
      </c>
      <c r="J15" s="2"/>
    </row>
    <row r="16" spans="1:10" x14ac:dyDescent="0.2">
      <c r="A16" s="123">
        <v>10</v>
      </c>
      <c r="B16" s="124" t="s">
        <v>810</v>
      </c>
      <c r="C16" s="124" t="s">
        <v>811</v>
      </c>
      <c r="D16" s="124" t="s">
        <v>239</v>
      </c>
      <c r="E16" s="125">
        <v>522101</v>
      </c>
      <c r="F16" s="126">
        <v>4300.2848864999996</v>
      </c>
      <c r="G16" s="127">
        <v>1.8083080000000001E-2</v>
      </c>
      <c r="H16" s="122" t="str">
        <f>IFERROR(VLOOKUP(B16,'[1]Debt Holding Consolidated'!$C$1:$N$65536,12,FALSE),"")</f>
        <v/>
      </c>
      <c r="J16" s="2"/>
    </row>
    <row r="17" spans="1:10" x14ac:dyDescent="0.2">
      <c r="A17" s="123">
        <v>11</v>
      </c>
      <c r="B17" s="124" t="s">
        <v>477</v>
      </c>
      <c r="C17" s="124" t="s">
        <v>478</v>
      </c>
      <c r="D17" s="124" t="s">
        <v>48</v>
      </c>
      <c r="E17" s="125">
        <v>275643</v>
      </c>
      <c r="F17" s="126">
        <v>3928.6018574999998</v>
      </c>
      <c r="G17" s="127">
        <v>1.6520119999999999E-2</v>
      </c>
      <c r="H17" s="122" t="str">
        <f>IFERROR(VLOOKUP(B17,'[1]Debt Holding Consolidated'!$C$1:$N$65536,12,FALSE),"")</f>
        <v/>
      </c>
      <c r="J17" s="2"/>
    </row>
    <row r="18" spans="1:10" x14ac:dyDescent="0.2">
      <c r="A18" s="123">
        <v>12</v>
      </c>
      <c r="B18" s="124" t="s">
        <v>361</v>
      </c>
      <c r="C18" s="124" t="s">
        <v>362</v>
      </c>
      <c r="D18" s="124" t="s">
        <v>273</v>
      </c>
      <c r="E18" s="125">
        <v>330507</v>
      </c>
      <c r="F18" s="126">
        <v>3673.0895445000001</v>
      </c>
      <c r="G18" s="127">
        <v>1.544567E-2</v>
      </c>
      <c r="H18" s="122" t="str">
        <f>IFERROR(VLOOKUP(B18,'[1]Debt Holding Consolidated'!$C$1:$N$65536,12,FALSE),"")</f>
        <v/>
      </c>
      <c r="J18" s="2"/>
    </row>
    <row r="19" spans="1:10" x14ac:dyDescent="0.2">
      <c r="A19" s="123">
        <v>13</v>
      </c>
      <c r="B19" s="124" t="s">
        <v>54</v>
      </c>
      <c r="C19" s="124" t="s">
        <v>55</v>
      </c>
      <c r="D19" s="124" t="s">
        <v>48</v>
      </c>
      <c r="E19" s="125">
        <v>403297</v>
      </c>
      <c r="F19" s="126">
        <v>3289.290332</v>
      </c>
      <c r="G19" s="127">
        <v>1.383176E-2</v>
      </c>
      <c r="H19" s="122" t="str">
        <f>IFERROR(VLOOKUP(B19,'[1]Debt Holding Consolidated'!$C$1:$N$65536,12,FALSE),"")</f>
        <v/>
      </c>
      <c r="J19" s="2"/>
    </row>
    <row r="20" spans="1:10" x14ac:dyDescent="0.2">
      <c r="A20" s="123">
        <v>14</v>
      </c>
      <c r="B20" s="124" t="s">
        <v>372</v>
      </c>
      <c r="C20" s="124" t="s">
        <v>373</v>
      </c>
      <c r="D20" s="124" t="s">
        <v>374</v>
      </c>
      <c r="E20" s="125">
        <v>643989</v>
      </c>
      <c r="F20" s="126">
        <v>3232.1807910000002</v>
      </c>
      <c r="G20" s="127">
        <v>1.359161E-2</v>
      </c>
      <c r="H20" s="122" t="str">
        <f>IFERROR(VLOOKUP(B20,'[1]Debt Holding Consolidated'!$C$1:$N$65536,12,FALSE),"")</f>
        <v/>
      </c>
      <c r="J20" s="2"/>
    </row>
    <row r="21" spans="1:10" x14ac:dyDescent="0.2">
      <c r="A21" s="123">
        <v>15</v>
      </c>
      <c r="B21" s="124" t="s">
        <v>242</v>
      </c>
      <c r="C21" s="124" t="s">
        <v>243</v>
      </c>
      <c r="D21" s="124" t="s">
        <v>89</v>
      </c>
      <c r="E21" s="125">
        <v>99900</v>
      </c>
      <c r="F21" s="126">
        <v>3201.2955000000002</v>
      </c>
      <c r="G21" s="127">
        <v>1.346173E-2</v>
      </c>
      <c r="H21" s="122" t="str">
        <f>IFERROR(VLOOKUP(B21,'[1]Debt Holding Consolidated'!$C$1:$N$65536,12,FALSE),"")</f>
        <v/>
      </c>
      <c r="J21" s="2"/>
    </row>
    <row r="22" spans="1:10" ht="15" x14ac:dyDescent="0.2">
      <c r="A22" s="123">
        <v>16</v>
      </c>
      <c r="B22" s="124" t="s">
        <v>346</v>
      </c>
      <c r="C22" s="124" t="s">
        <v>347</v>
      </c>
      <c r="D22" s="124" t="s">
        <v>198</v>
      </c>
      <c r="E22" s="125">
        <v>1218834</v>
      </c>
      <c r="F22" s="126">
        <v>3053.5448201999998</v>
      </c>
      <c r="G22" s="127">
        <v>1.284043E-2</v>
      </c>
      <c r="H22" s="122" t="str">
        <f>IFERROR(VLOOKUP(B22,'[1]Debt Holding Consolidated'!$C$1:$N$65536,12,FALSE),"")</f>
        <v/>
      </c>
      <c r="J22" s="7"/>
    </row>
    <row r="23" spans="1:10" x14ac:dyDescent="0.2">
      <c r="A23" s="123">
        <v>17</v>
      </c>
      <c r="B23" s="124" t="s">
        <v>655</v>
      </c>
      <c r="C23" s="124" t="s">
        <v>656</v>
      </c>
      <c r="D23" s="124" t="s">
        <v>89</v>
      </c>
      <c r="E23" s="125">
        <v>41893</v>
      </c>
      <c r="F23" s="126">
        <v>3016.3588395000002</v>
      </c>
      <c r="G23" s="127">
        <v>1.268406E-2</v>
      </c>
      <c r="H23" s="122" t="str">
        <f>IFERROR(VLOOKUP(B23,'[1]Debt Holding Consolidated'!$C$1:$N$65536,12,FALSE),"")</f>
        <v/>
      </c>
      <c r="J23" s="2"/>
    </row>
    <row r="24" spans="1:10" x14ac:dyDescent="0.2">
      <c r="A24" s="123">
        <v>18</v>
      </c>
      <c r="B24" s="124" t="s">
        <v>550</v>
      </c>
      <c r="C24" s="124" t="s">
        <v>551</v>
      </c>
      <c r="D24" s="124" t="s">
        <v>211</v>
      </c>
      <c r="E24" s="125">
        <v>181865</v>
      </c>
      <c r="F24" s="126">
        <v>2976.2207250000001</v>
      </c>
      <c r="G24" s="127">
        <v>1.251527E-2</v>
      </c>
      <c r="H24" s="122" t="str">
        <f>IFERROR(VLOOKUP(B24,'[1]Debt Holding Consolidated'!$C$1:$N$65536,12,FALSE),"")</f>
        <v/>
      </c>
      <c r="J24" s="2"/>
    </row>
    <row r="25" spans="1:10" x14ac:dyDescent="0.2">
      <c r="A25" s="123">
        <v>19</v>
      </c>
      <c r="B25" s="124" t="s">
        <v>64</v>
      </c>
      <c r="C25" s="124" t="s">
        <v>65</v>
      </c>
      <c r="D25" s="124" t="s">
        <v>66</v>
      </c>
      <c r="E25" s="125">
        <v>1160050</v>
      </c>
      <c r="F25" s="126">
        <v>2757.3228450000001</v>
      </c>
      <c r="G25" s="127">
        <v>1.1594790000000001E-2</v>
      </c>
      <c r="H25" s="122" t="str">
        <f>IFERROR(VLOOKUP(B25,'[1]Debt Holding Consolidated'!$C$1:$N$65536,12,FALSE),"")</f>
        <v/>
      </c>
      <c r="J25" s="2"/>
    </row>
    <row r="26" spans="1:10" x14ac:dyDescent="0.2">
      <c r="A26" s="123">
        <v>20</v>
      </c>
      <c r="B26" s="124" t="s">
        <v>383</v>
      </c>
      <c r="C26" s="124" t="s">
        <v>384</v>
      </c>
      <c r="D26" s="124" t="s">
        <v>136</v>
      </c>
      <c r="E26" s="125">
        <v>1735968</v>
      </c>
      <c r="F26" s="126">
        <v>2651.8647168000002</v>
      </c>
      <c r="G26" s="127">
        <v>1.1151329999999999E-2</v>
      </c>
      <c r="H26" s="122" t="str">
        <f>IFERROR(VLOOKUP(B26,'[1]Debt Holding Consolidated'!$C$1:$N$65536,12,FALSE),"")</f>
        <v/>
      </c>
      <c r="J26" s="2"/>
    </row>
    <row r="27" spans="1:10" ht="25.5" x14ac:dyDescent="0.2">
      <c r="A27" s="123">
        <v>21</v>
      </c>
      <c r="B27" s="124" t="s">
        <v>352</v>
      </c>
      <c r="C27" s="124" t="s">
        <v>353</v>
      </c>
      <c r="D27" s="124" t="s">
        <v>208</v>
      </c>
      <c r="E27" s="125">
        <v>136432</v>
      </c>
      <c r="F27" s="126">
        <v>2485.3135280000001</v>
      </c>
      <c r="G27" s="127">
        <v>1.045096E-2</v>
      </c>
      <c r="H27" s="122" t="str">
        <f>IFERROR(VLOOKUP(B27,'[1]Debt Holding Consolidated'!$C$1:$N$65536,12,FALSE),"")</f>
        <v/>
      </c>
      <c r="J27" s="2"/>
    </row>
    <row r="28" spans="1:10" ht="25.5" x14ac:dyDescent="0.2">
      <c r="A28" s="123">
        <v>22</v>
      </c>
      <c r="B28" s="124" t="s">
        <v>230</v>
      </c>
      <c r="C28" s="124" t="s">
        <v>231</v>
      </c>
      <c r="D28" s="124" t="s">
        <v>208</v>
      </c>
      <c r="E28" s="125">
        <v>39723</v>
      </c>
      <c r="F28" s="126">
        <v>2451.0481304999998</v>
      </c>
      <c r="G28" s="127">
        <v>1.0306869999999999E-2</v>
      </c>
      <c r="H28" s="122" t="str">
        <f>IFERROR(VLOOKUP(B28,'[1]Debt Holding Consolidated'!$C$1:$N$65536,12,FALSE),"")</f>
        <v/>
      </c>
      <c r="J28" s="2"/>
    </row>
    <row r="29" spans="1:10" x14ac:dyDescent="0.2">
      <c r="A29" s="123">
        <v>23</v>
      </c>
      <c r="B29" s="124" t="s">
        <v>279</v>
      </c>
      <c r="C29" s="124" t="s">
        <v>280</v>
      </c>
      <c r="D29" s="124" t="s">
        <v>48</v>
      </c>
      <c r="E29" s="125">
        <v>2004174</v>
      </c>
      <c r="F29" s="126">
        <v>2435.8730796</v>
      </c>
      <c r="G29" s="127">
        <v>1.024306E-2</v>
      </c>
      <c r="H29" s="122" t="str">
        <f>IFERROR(VLOOKUP(B29,'[1]Debt Holding Consolidated'!$C$1:$N$65536,12,FALSE),"")</f>
        <v/>
      </c>
      <c r="J29" s="2"/>
    </row>
    <row r="30" spans="1:10" x14ac:dyDescent="0.2">
      <c r="A30" s="123">
        <v>24</v>
      </c>
      <c r="B30" s="124" t="s">
        <v>101</v>
      </c>
      <c r="C30" s="124" t="s">
        <v>102</v>
      </c>
      <c r="D30" s="124" t="s">
        <v>103</v>
      </c>
      <c r="E30" s="125">
        <v>463177</v>
      </c>
      <c r="F30" s="126">
        <v>2431.4476614999999</v>
      </c>
      <c r="G30" s="127">
        <v>1.022445E-2</v>
      </c>
      <c r="H30" s="122" t="str">
        <f>IFERROR(VLOOKUP(B30,'[1]Debt Holding Consolidated'!$C$1:$N$65536,12,FALSE),"")</f>
        <v/>
      </c>
      <c r="J30" s="2"/>
    </row>
    <row r="31" spans="1:10" x14ac:dyDescent="0.2">
      <c r="A31" s="123">
        <v>25</v>
      </c>
      <c r="B31" s="124" t="s">
        <v>415</v>
      </c>
      <c r="C31" s="124" t="s">
        <v>416</v>
      </c>
      <c r="D31" s="124" t="s">
        <v>48</v>
      </c>
      <c r="E31" s="125">
        <v>2956670</v>
      </c>
      <c r="F31" s="126">
        <v>2404.0683770000001</v>
      </c>
      <c r="G31" s="127">
        <v>1.010932E-2</v>
      </c>
      <c r="H31" s="122" t="str">
        <f>IFERROR(VLOOKUP(B31,'[1]Debt Holding Consolidated'!$C$1:$N$65536,12,FALSE),"")</f>
        <v/>
      </c>
      <c r="J31" s="2"/>
    </row>
    <row r="32" spans="1:10" x14ac:dyDescent="0.2">
      <c r="A32" s="123">
        <v>26</v>
      </c>
      <c r="B32" s="124" t="s">
        <v>194</v>
      </c>
      <c r="C32" s="124" t="s">
        <v>195</v>
      </c>
      <c r="D32" s="124" t="s">
        <v>45</v>
      </c>
      <c r="E32" s="125">
        <v>388707</v>
      </c>
      <c r="F32" s="126">
        <v>2391.325464</v>
      </c>
      <c r="G32" s="127">
        <v>1.0055730000000001E-2</v>
      </c>
      <c r="H32" s="122" t="str">
        <f>IFERROR(VLOOKUP(B32,'[1]Debt Holding Consolidated'!$C$1:$N$65536,12,FALSE),"")</f>
        <v/>
      </c>
      <c r="J32" s="2"/>
    </row>
    <row r="33" spans="1:10" x14ac:dyDescent="0.2">
      <c r="A33" s="123">
        <v>27</v>
      </c>
      <c r="B33" s="124" t="s">
        <v>417</v>
      </c>
      <c r="C33" s="124" t="s">
        <v>418</v>
      </c>
      <c r="D33" s="124" t="s">
        <v>48</v>
      </c>
      <c r="E33" s="125">
        <v>5324759</v>
      </c>
      <c r="F33" s="126">
        <v>2338.1016768999998</v>
      </c>
      <c r="G33" s="127">
        <v>9.8319199999999992E-3</v>
      </c>
      <c r="H33" s="122" t="str">
        <f>IFERROR(VLOOKUP(B33,'[1]Debt Holding Consolidated'!$C$1:$N$65536,12,FALSE),"")</f>
        <v/>
      </c>
      <c r="J33" s="2"/>
    </row>
    <row r="34" spans="1:10" x14ac:dyDescent="0.2">
      <c r="A34" s="123">
        <v>28</v>
      </c>
      <c r="B34" s="124" t="s">
        <v>338</v>
      </c>
      <c r="C34" s="124" t="s">
        <v>339</v>
      </c>
      <c r="D34" s="124" t="s">
        <v>273</v>
      </c>
      <c r="E34" s="125">
        <v>18479</v>
      </c>
      <c r="F34" s="126">
        <v>2291.95037</v>
      </c>
      <c r="G34" s="127">
        <v>9.6378499999999999E-3</v>
      </c>
      <c r="H34" s="122" t="str">
        <f>IFERROR(VLOOKUP(B34,'[1]Debt Holding Consolidated'!$C$1:$N$65536,12,FALSE),"")</f>
        <v/>
      </c>
      <c r="J34" s="2"/>
    </row>
    <row r="35" spans="1:10" x14ac:dyDescent="0.2">
      <c r="A35" s="123">
        <v>29</v>
      </c>
      <c r="B35" s="124" t="s">
        <v>377</v>
      </c>
      <c r="C35" s="124" t="s">
        <v>378</v>
      </c>
      <c r="D35" s="124" t="s">
        <v>374</v>
      </c>
      <c r="E35" s="125">
        <v>81793</v>
      </c>
      <c r="F35" s="126">
        <v>2272.2095399999998</v>
      </c>
      <c r="G35" s="127">
        <v>9.5548400000000002E-3</v>
      </c>
      <c r="H35" s="122" t="str">
        <f>IFERROR(VLOOKUP(B35,'[1]Debt Holding Consolidated'!$C$1:$N$65536,12,FALSE),"")</f>
        <v/>
      </c>
      <c r="J35" s="2"/>
    </row>
    <row r="36" spans="1:10" x14ac:dyDescent="0.2">
      <c r="A36" s="123">
        <v>30</v>
      </c>
      <c r="B36" s="124" t="s">
        <v>87</v>
      </c>
      <c r="C36" s="124" t="s">
        <v>88</v>
      </c>
      <c r="D36" s="124" t="s">
        <v>89</v>
      </c>
      <c r="E36" s="125">
        <v>406125</v>
      </c>
      <c r="F36" s="126">
        <v>2231.8599374999999</v>
      </c>
      <c r="G36" s="127">
        <v>9.38517E-3</v>
      </c>
      <c r="H36" s="122" t="str">
        <f>IFERROR(VLOOKUP(B36,'[1]Debt Holding Consolidated'!$C$1:$N$65536,12,FALSE),"")</f>
        <v/>
      </c>
      <c r="J36" s="2"/>
    </row>
    <row r="37" spans="1:10" x14ac:dyDescent="0.2">
      <c r="A37" s="123">
        <v>31</v>
      </c>
      <c r="B37" s="124" t="s">
        <v>95</v>
      </c>
      <c r="C37" s="124" t="s">
        <v>96</v>
      </c>
      <c r="D37" s="124" t="s">
        <v>89</v>
      </c>
      <c r="E37" s="125">
        <v>336975</v>
      </c>
      <c r="F37" s="126">
        <v>2088.4025624999999</v>
      </c>
      <c r="G37" s="127">
        <v>8.7819200000000004E-3</v>
      </c>
      <c r="H37" s="122" t="str">
        <f>IFERROR(VLOOKUP(B37,'[1]Debt Holding Consolidated'!$C$1:$N$65536,12,FALSE),"")</f>
        <v/>
      </c>
      <c r="J37" s="2"/>
    </row>
    <row r="38" spans="1:10" x14ac:dyDescent="0.2">
      <c r="A38" s="123">
        <v>32</v>
      </c>
      <c r="B38" s="124" t="s">
        <v>375</v>
      </c>
      <c r="C38" s="124" t="s">
        <v>376</v>
      </c>
      <c r="D38" s="124" t="s">
        <v>273</v>
      </c>
      <c r="E38" s="125">
        <v>38234</v>
      </c>
      <c r="F38" s="126">
        <v>2085.8176360000002</v>
      </c>
      <c r="G38" s="127">
        <v>8.7710500000000007E-3</v>
      </c>
      <c r="H38" s="122" t="str">
        <f>IFERROR(VLOOKUP(B38,'[1]Debt Holding Consolidated'!$C$1:$N$65536,12,FALSE),"")</f>
        <v/>
      </c>
      <c r="J38" s="2"/>
    </row>
    <row r="39" spans="1:10" x14ac:dyDescent="0.2">
      <c r="A39" s="123">
        <v>33</v>
      </c>
      <c r="B39" s="124" t="s">
        <v>28</v>
      </c>
      <c r="C39" s="124" t="s">
        <v>29</v>
      </c>
      <c r="D39" s="124" t="s">
        <v>22</v>
      </c>
      <c r="E39" s="125">
        <v>563014</v>
      </c>
      <c r="F39" s="126">
        <v>2013.619571</v>
      </c>
      <c r="G39" s="127">
        <v>8.4674499999999996E-3</v>
      </c>
      <c r="H39" s="122" t="str">
        <f>IFERROR(VLOOKUP(B39,'[1]Debt Holding Consolidated'!$C$1:$N$65536,12,FALSE),"")</f>
        <v/>
      </c>
      <c r="J39" s="2"/>
    </row>
    <row r="40" spans="1:10" x14ac:dyDescent="0.2">
      <c r="A40" s="123">
        <v>34</v>
      </c>
      <c r="B40" s="124" t="s">
        <v>358</v>
      </c>
      <c r="C40" s="124" t="s">
        <v>359</v>
      </c>
      <c r="D40" s="124" t="s">
        <v>360</v>
      </c>
      <c r="E40" s="125">
        <v>285600</v>
      </c>
      <c r="F40" s="126">
        <v>2003.0555999999999</v>
      </c>
      <c r="G40" s="127">
        <v>8.4230299999999998E-3</v>
      </c>
      <c r="H40" s="122" t="str">
        <f>IFERROR(VLOOKUP(B40,'[1]Debt Holding Consolidated'!$C$1:$N$65536,12,FALSE),"")</f>
        <v/>
      </c>
      <c r="J40" s="2"/>
    </row>
    <row r="41" spans="1:10" x14ac:dyDescent="0.2">
      <c r="A41" s="123">
        <v>35</v>
      </c>
      <c r="B41" s="124" t="s">
        <v>271</v>
      </c>
      <c r="C41" s="124" t="s">
        <v>272</v>
      </c>
      <c r="D41" s="124" t="s">
        <v>273</v>
      </c>
      <c r="E41" s="125">
        <v>66850</v>
      </c>
      <c r="F41" s="126">
        <v>1880.6910499999999</v>
      </c>
      <c r="G41" s="127">
        <v>7.9084700000000008E-3</v>
      </c>
      <c r="H41" s="122" t="str">
        <f>IFERROR(VLOOKUP(B41,'[1]Debt Holding Consolidated'!$C$1:$N$65536,12,FALSE),"")</f>
        <v/>
      </c>
      <c r="J41" s="2"/>
    </row>
    <row r="42" spans="1:10" x14ac:dyDescent="0.2">
      <c r="A42" s="123">
        <v>36</v>
      </c>
      <c r="B42" s="124" t="s">
        <v>686</v>
      </c>
      <c r="C42" s="124" t="s">
        <v>687</v>
      </c>
      <c r="D42" s="124" t="s">
        <v>278</v>
      </c>
      <c r="E42" s="125">
        <v>71472</v>
      </c>
      <c r="F42" s="126">
        <v>1787.3360399999999</v>
      </c>
      <c r="G42" s="127">
        <v>7.5159099999999998E-3</v>
      </c>
      <c r="H42" s="122" t="str">
        <f>IFERROR(VLOOKUP(B42,'[1]Debt Holding Consolidated'!$C$1:$N$65536,12,FALSE),"")</f>
        <v/>
      </c>
      <c r="J42" s="2"/>
    </row>
    <row r="43" spans="1:10" x14ac:dyDescent="0.2">
      <c r="A43" s="123">
        <v>37</v>
      </c>
      <c r="B43" s="124" t="s">
        <v>469</v>
      </c>
      <c r="C43" s="124" t="s">
        <v>470</v>
      </c>
      <c r="D43" s="124" t="s">
        <v>211</v>
      </c>
      <c r="E43" s="125">
        <v>101081</v>
      </c>
      <c r="F43" s="126">
        <v>1772.2026324999999</v>
      </c>
      <c r="G43" s="127">
        <v>7.4522700000000004E-3</v>
      </c>
      <c r="H43" s="122" t="str">
        <f>IFERROR(VLOOKUP(B43,'[1]Debt Holding Consolidated'!$C$1:$N$65536,12,FALSE),"")</f>
        <v/>
      </c>
      <c r="J43" s="2"/>
    </row>
    <row r="44" spans="1:10" ht="25.5" x14ac:dyDescent="0.2">
      <c r="A44" s="123">
        <v>38</v>
      </c>
      <c r="B44" s="124" t="s">
        <v>203</v>
      </c>
      <c r="C44" s="124" t="s">
        <v>204</v>
      </c>
      <c r="D44" s="124" t="s">
        <v>205</v>
      </c>
      <c r="E44" s="125">
        <v>92591</v>
      </c>
      <c r="F44" s="126">
        <v>1627.9812575000001</v>
      </c>
      <c r="G44" s="127">
        <v>6.8458099999999999E-3</v>
      </c>
      <c r="H44" s="122" t="str">
        <f>IFERROR(VLOOKUP(B44,'[1]Debt Holding Consolidated'!$C$1:$N$65536,12,FALSE),"")</f>
        <v/>
      </c>
      <c r="J44" s="2"/>
    </row>
    <row r="45" spans="1:10" ht="25.5" x14ac:dyDescent="0.2">
      <c r="A45" s="123">
        <v>39</v>
      </c>
      <c r="B45" s="124" t="s">
        <v>206</v>
      </c>
      <c r="C45" s="124" t="s">
        <v>207</v>
      </c>
      <c r="D45" s="124" t="s">
        <v>208</v>
      </c>
      <c r="E45" s="125">
        <v>68182</v>
      </c>
      <c r="F45" s="126">
        <v>1527.4131640000001</v>
      </c>
      <c r="G45" s="127">
        <v>6.4229100000000004E-3</v>
      </c>
      <c r="H45" s="122" t="str">
        <f>IFERROR(VLOOKUP(B45,'[1]Debt Holding Consolidated'!$C$1:$N$65536,12,FALSE),"")</f>
        <v/>
      </c>
      <c r="J45" s="2"/>
    </row>
    <row r="46" spans="1:10" ht="25.5" x14ac:dyDescent="0.2">
      <c r="A46" s="123">
        <v>40</v>
      </c>
      <c r="B46" s="124" t="s">
        <v>23</v>
      </c>
      <c r="C46" s="124" t="s">
        <v>24</v>
      </c>
      <c r="D46" s="124" t="s">
        <v>25</v>
      </c>
      <c r="E46" s="125">
        <v>13390</v>
      </c>
      <c r="F46" s="126">
        <v>1513.3244099999999</v>
      </c>
      <c r="G46" s="127">
        <v>6.3636600000000001E-3</v>
      </c>
      <c r="H46" s="122" t="str">
        <f>IFERROR(VLOOKUP(B46,'[1]Debt Holding Consolidated'!$C$1:$N$65536,12,FALSE),"")</f>
        <v/>
      </c>
      <c r="J46" s="2"/>
    </row>
    <row r="47" spans="1:10" ht="25.5" x14ac:dyDescent="0.2">
      <c r="A47" s="123">
        <v>41</v>
      </c>
      <c r="B47" s="124" t="s">
        <v>141</v>
      </c>
      <c r="C47" s="124" t="s">
        <v>142</v>
      </c>
      <c r="D47" s="124" t="s">
        <v>25</v>
      </c>
      <c r="E47" s="125">
        <v>660253</v>
      </c>
      <c r="F47" s="126">
        <v>1378.9383905</v>
      </c>
      <c r="G47" s="127">
        <v>5.7985600000000003E-3</v>
      </c>
      <c r="H47" s="122" t="str">
        <f>IFERROR(VLOOKUP(B47,'[1]Debt Holding Consolidated'!$C$1:$N$65536,12,FALSE),"")</f>
        <v/>
      </c>
      <c r="J47" s="2"/>
    </row>
    <row r="48" spans="1:10" x14ac:dyDescent="0.2">
      <c r="A48" s="123">
        <v>42</v>
      </c>
      <c r="B48" s="124" t="s">
        <v>432</v>
      </c>
      <c r="C48" s="124" t="s">
        <v>433</v>
      </c>
      <c r="D48" s="124" t="s">
        <v>239</v>
      </c>
      <c r="E48" s="125">
        <v>52790</v>
      </c>
      <c r="F48" s="126">
        <v>1365.334165</v>
      </c>
      <c r="G48" s="127">
        <v>5.7413500000000001E-3</v>
      </c>
      <c r="H48" s="122" t="str">
        <f>IFERROR(VLOOKUP(B48,'[1]Debt Holding Consolidated'!$C$1:$N$65536,12,FALSE),"")</f>
        <v/>
      </c>
      <c r="J48" s="2"/>
    </row>
    <row r="49" spans="1:10" x14ac:dyDescent="0.2">
      <c r="A49" s="123">
        <v>43</v>
      </c>
      <c r="B49" s="124" t="s">
        <v>269</v>
      </c>
      <c r="C49" s="124" t="s">
        <v>270</v>
      </c>
      <c r="D49" s="124" t="s">
        <v>74</v>
      </c>
      <c r="E49" s="125">
        <v>235313</v>
      </c>
      <c r="F49" s="126">
        <v>1159.8577769999999</v>
      </c>
      <c r="G49" s="127">
        <v>4.8773000000000002E-3</v>
      </c>
      <c r="H49" s="122" t="str">
        <f>IFERROR(VLOOKUP(B49,'[1]Debt Holding Consolidated'!$C$1:$N$65536,12,FALSE),"")</f>
        <v/>
      </c>
      <c r="J49" s="2"/>
    </row>
    <row r="50" spans="1:10" x14ac:dyDescent="0.2">
      <c r="A50" s="123">
        <v>44</v>
      </c>
      <c r="B50" s="124" t="s">
        <v>110</v>
      </c>
      <c r="C50" s="124" t="s">
        <v>111</v>
      </c>
      <c r="D50" s="124" t="s">
        <v>35</v>
      </c>
      <c r="E50" s="125">
        <v>28964</v>
      </c>
      <c r="F50" s="126">
        <v>1084.614908</v>
      </c>
      <c r="G50" s="127">
        <v>4.5608999999999997E-3</v>
      </c>
      <c r="H50" s="122" t="str">
        <f>IFERROR(VLOOKUP(B50,'[1]Debt Holding Consolidated'!$C$1:$N$65536,12,FALSE),"")</f>
        <v/>
      </c>
      <c r="J50" s="2"/>
    </row>
    <row r="51" spans="1:10" x14ac:dyDescent="0.2">
      <c r="A51" s="123">
        <v>45</v>
      </c>
      <c r="B51" s="124" t="s">
        <v>381</v>
      </c>
      <c r="C51" s="124" t="s">
        <v>382</v>
      </c>
      <c r="D51" s="124" t="s">
        <v>32</v>
      </c>
      <c r="E51" s="125">
        <v>22500</v>
      </c>
      <c r="F51" s="126">
        <v>1052.98875</v>
      </c>
      <c r="G51" s="127">
        <v>4.4279100000000002E-3</v>
      </c>
      <c r="H51" s="122" t="str">
        <f>IFERROR(VLOOKUP(B51,'[1]Debt Holding Consolidated'!$C$1:$N$65536,12,FALSE),"")</f>
        <v/>
      </c>
      <c r="J51" s="2"/>
    </row>
    <row r="52" spans="1:10" x14ac:dyDescent="0.2">
      <c r="A52" s="123">
        <v>46</v>
      </c>
      <c r="B52" s="124" t="s">
        <v>715</v>
      </c>
      <c r="C52" s="124" t="s">
        <v>716</v>
      </c>
      <c r="D52" s="124" t="s">
        <v>45</v>
      </c>
      <c r="E52" s="125">
        <v>33200</v>
      </c>
      <c r="F52" s="126">
        <v>1038.0976000000001</v>
      </c>
      <c r="G52" s="127">
        <v>4.36529E-3</v>
      </c>
      <c r="H52" s="122" t="str">
        <f>IFERROR(VLOOKUP(B52,'[1]Debt Holding Consolidated'!$C$1:$N$65536,12,FALSE),"")</f>
        <v/>
      </c>
      <c r="J52" s="2"/>
    </row>
    <row r="53" spans="1:10" x14ac:dyDescent="0.2">
      <c r="A53" s="123">
        <v>47</v>
      </c>
      <c r="B53" s="124" t="s">
        <v>84</v>
      </c>
      <c r="C53" s="124" t="s">
        <v>85</v>
      </c>
      <c r="D53" s="124" t="s">
        <v>86</v>
      </c>
      <c r="E53" s="125">
        <v>21091</v>
      </c>
      <c r="F53" s="126">
        <v>1018.6953</v>
      </c>
      <c r="G53" s="127">
        <v>4.2836999999999997E-3</v>
      </c>
      <c r="H53" s="122" t="str">
        <f>IFERROR(VLOOKUP(B53,'[1]Debt Holding Consolidated'!$C$1:$N$65536,12,FALSE),"")</f>
        <v/>
      </c>
      <c r="J53" s="2"/>
    </row>
    <row r="54" spans="1:10" x14ac:dyDescent="0.2">
      <c r="A54" s="123">
        <v>48</v>
      </c>
      <c r="B54" s="124" t="s">
        <v>244</v>
      </c>
      <c r="C54" s="124" t="s">
        <v>245</v>
      </c>
      <c r="D54" s="124" t="s">
        <v>198</v>
      </c>
      <c r="E54" s="125">
        <v>12300</v>
      </c>
      <c r="F54" s="126">
        <v>944.49239999999998</v>
      </c>
      <c r="G54" s="127">
        <v>3.9716700000000001E-3</v>
      </c>
      <c r="H54" s="122" t="str">
        <f>IFERROR(VLOOKUP(B54,'[1]Debt Holding Consolidated'!$C$1:$N$65536,12,FALSE),"")</f>
        <v/>
      </c>
      <c r="J54" s="2"/>
    </row>
    <row r="55" spans="1:10" x14ac:dyDescent="0.2">
      <c r="A55" s="123">
        <v>49</v>
      </c>
      <c r="B55" s="124" t="s">
        <v>287</v>
      </c>
      <c r="C55" s="124" t="s">
        <v>288</v>
      </c>
      <c r="D55" s="124" t="s">
        <v>211</v>
      </c>
      <c r="E55" s="125">
        <v>14498</v>
      </c>
      <c r="F55" s="126">
        <v>919.76036899999997</v>
      </c>
      <c r="G55" s="127">
        <v>3.8676700000000001E-3</v>
      </c>
      <c r="H55" s="122" t="str">
        <f>IFERROR(VLOOKUP(B55,'[1]Debt Holding Consolidated'!$C$1:$N$65536,12,FALSE),"")</f>
        <v/>
      </c>
      <c r="J55" s="2"/>
    </row>
    <row r="56" spans="1:10" x14ac:dyDescent="0.2">
      <c r="A56" s="123">
        <v>50</v>
      </c>
      <c r="B56" s="124" t="s">
        <v>394</v>
      </c>
      <c r="C56" s="124" t="s">
        <v>395</v>
      </c>
      <c r="D56" s="124" t="s">
        <v>45</v>
      </c>
      <c r="E56" s="125">
        <v>22770</v>
      </c>
      <c r="F56" s="126">
        <v>811.78465500000004</v>
      </c>
      <c r="G56" s="127">
        <v>3.41363E-3</v>
      </c>
      <c r="H56" s="122" t="str">
        <f>IFERROR(VLOOKUP(B56,'[1]Debt Holding Consolidated'!$C$1:$N$65536,12,FALSE),"")</f>
        <v/>
      </c>
      <c r="J56" s="2"/>
    </row>
    <row r="57" spans="1:10" x14ac:dyDescent="0.2">
      <c r="A57" s="123">
        <v>51</v>
      </c>
      <c r="B57" s="124" t="s">
        <v>46</v>
      </c>
      <c r="C57" s="124" t="s">
        <v>47</v>
      </c>
      <c r="D57" s="124" t="s">
        <v>48</v>
      </c>
      <c r="E57" s="125">
        <v>63700</v>
      </c>
      <c r="F57" s="126">
        <v>783.00040000000001</v>
      </c>
      <c r="G57" s="127">
        <v>3.2925900000000002E-3</v>
      </c>
      <c r="H57" s="122" t="str">
        <f>IFERROR(VLOOKUP(B57,'[1]Debt Holding Consolidated'!$C$1:$N$65536,12,FALSE),"")</f>
        <v/>
      </c>
      <c r="J57" s="2"/>
    </row>
    <row r="58" spans="1:10" x14ac:dyDescent="0.2">
      <c r="A58" s="123">
        <v>52</v>
      </c>
      <c r="B58" s="124" t="s">
        <v>17</v>
      </c>
      <c r="C58" s="124" t="s">
        <v>18</v>
      </c>
      <c r="D58" s="124" t="s">
        <v>19</v>
      </c>
      <c r="E58" s="125">
        <v>66000</v>
      </c>
      <c r="F58" s="126">
        <v>274.69200000000001</v>
      </c>
      <c r="G58" s="127">
        <v>1.1551000000000001E-3</v>
      </c>
      <c r="H58" s="122" t="str">
        <f>IFERROR(VLOOKUP(B58,'[1]Debt Holding Consolidated'!$C$1:$N$65536,12,FALSE),"")</f>
        <v/>
      </c>
      <c r="J58" s="2"/>
    </row>
    <row r="59" spans="1:10" x14ac:dyDescent="0.2">
      <c r="A59" s="123">
        <v>53</v>
      </c>
      <c r="B59" s="124" t="s">
        <v>30</v>
      </c>
      <c r="C59" s="124" t="s">
        <v>31</v>
      </c>
      <c r="D59" s="124" t="s">
        <v>32</v>
      </c>
      <c r="E59" s="125">
        <v>28500</v>
      </c>
      <c r="F59" s="126">
        <v>85.3005</v>
      </c>
      <c r="G59" s="127">
        <v>3.5869999999999999E-4</v>
      </c>
      <c r="H59" s="122" t="str">
        <f>IFERROR(VLOOKUP(B59,'[1]Debt Holding Consolidated'!$C$1:$N$65536,12,FALSE),"")</f>
        <v/>
      </c>
      <c r="J59" s="2"/>
    </row>
    <row r="60" spans="1:10" x14ac:dyDescent="0.2">
      <c r="A60" s="123">
        <v>54</v>
      </c>
      <c r="B60" s="124" t="s">
        <v>406</v>
      </c>
      <c r="C60" s="124" t="s">
        <v>407</v>
      </c>
      <c r="D60" s="124" t="s">
        <v>48</v>
      </c>
      <c r="E60" s="125">
        <v>13500</v>
      </c>
      <c r="F60" s="126">
        <v>15.05655</v>
      </c>
      <c r="G60" s="127">
        <v>6.3310000000000002E-5</v>
      </c>
      <c r="H60" s="122" t="str">
        <f>IFERROR(VLOOKUP(B60,'[1]Debt Holding Consolidated'!$C$1:$N$65536,12,FALSE),"")</f>
        <v/>
      </c>
      <c r="J60" s="2"/>
    </row>
    <row r="61" spans="1:10" x14ac:dyDescent="0.2">
      <c r="A61" s="120"/>
      <c r="B61" s="120"/>
      <c r="C61" s="121" t="s">
        <v>152</v>
      </c>
      <c r="D61" s="120"/>
      <c r="E61" s="120" t="s">
        <v>153</v>
      </c>
      <c r="F61" s="128">
        <v>156591.81604999999</v>
      </c>
      <c r="G61" s="129">
        <v>0.65848242999999995</v>
      </c>
      <c r="H61" s="122" t="str">
        <f>IFERROR(VLOOKUP(B61,'[1]Debt Holding Consolidated'!$C$1:$N$65536,12,FALSE),"")</f>
        <v/>
      </c>
      <c r="J61" s="2"/>
    </row>
    <row r="62" spans="1:10" x14ac:dyDescent="0.2">
      <c r="A62" s="120"/>
      <c r="B62" s="120"/>
      <c r="C62" s="130"/>
      <c r="D62" s="120"/>
      <c r="E62" s="120"/>
      <c r="F62" s="131"/>
      <c r="G62" s="131"/>
      <c r="H62" s="122" t="str">
        <f>IFERROR(VLOOKUP(B62,'[1]Debt Holding Consolidated'!$C$1:$N$65536,12,FALSE),"")</f>
        <v/>
      </c>
      <c r="J62" s="2"/>
    </row>
    <row r="63" spans="1:10" x14ac:dyDescent="0.2">
      <c r="A63" s="120"/>
      <c r="B63" s="120"/>
      <c r="C63" s="121" t="s">
        <v>154</v>
      </c>
      <c r="D63" s="120"/>
      <c r="E63" s="120"/>
      <c r="F63" s="120"/>
      <c r="G63" s="120"/>
      <c r="H63" s="122" t="str">
        <f>IFERROR(VLOOKUP(B63,'[1]Debt Holding Consolidated'!$C$1:$N$65536,12,FALSE),"")</f>
        <v/>
      </c>
      <c r="J63" s="2"/>
    </row>
    <row r="64" spans="1:10" x14ac:dyDescent="0.2">
      <c r="A64" s="120"/>
      <c r="B64" s="120"/>
      <c r="C64" s="121" t="s">
        <v>152</v>
      </c>
      <c r="D64" s="120"/>
      <c r="E64" s="120" t="s">
        <v>153</v>
      </c>
      <c r="F64" s="132" t="s">
        <v>155</v>
      </c>
      <c r="G64" s="129">
        <v>0</v>
      </c>
      <c r="H64" s="122" t="str">
        <f>IFERROR(VLOOKUP(B64,'[1]Debt Holding Consolidated'!$C$1:$N$65536,12,FALSE),"")</f>
        <v/>
      </c>
      <c r="J64" s="2"/>
    </row>
    <row r="65" spans="1:10" x14ac:dyDescent="0.2">
      <c r="A65" s="120"/>
      <c r="B65" s="120"/>
      <c r="C65" s="130"/>
      <c r="D65" s="120"/>
      <c r="E65" s="120"/>
      <c r="F65" s="131"/>
      <c r="G65" s="131"/>
      <c r="H65" s="122" t="str">
        <f>IFERROR(VLOOKUP(B65,'[1]Debt Holding Consolidated'!$C$1:$N$65536,12,FALSE),"")</f>
        <v/>
      </c>
      <c r="J65" s="2"/>
    </row>
    <row r="66" spans="1:10" x14ac:dyDescent="0.2">
      <c r="A66" s="120"/>
      <c r="B66" s="120"/>
      <c r="C66" s="121" t="s">
        <v>156</v>
      </c>
      <c r="D66" s="120"/>
      <c r="E66" s="120"/>
      <c r="F66" s="120"/>
      <c r="G66" s="120"/>
      <c r="H66" s="122" t="str">
        <f>IFERROR(VLOOKUP(B66,'[1]Debt Holding Consolidated'!$C$1:$N$65536,12,FALSE),"")</f>
        <v/>
      </c>
      <c r="J66" s="2"/>
    </row>
    <row r="67" spans="1:10" x14ac:dyDescent="0.2">
      <c r="A67" s="120"/>
      <c r="B67" s="120"/>
      <c r="C67" s="121" t="s">
        <v>152</v>
      </c>
      <c r="D67" s="120"/>
      <c r="E67" s="120" t="s">
        <v>153</v>
      </c>
      <c r="F67" s="132" t="s">
        <v>155</v>
      </c>
      <c r="G67" s="129">
        <v>0</v>
      </c>
      <c r="H67" s="122" t="str">
        <f>IFERROR(VLOOKUP(B67,'[1]Debt Holding Consolidated'!$C$1:$N$65536,12,FALSE),"")</f>
        <v/>
      </c>
      <c r="J67" s="2"/>
    </row>
    <row r="68" spans="1:10" x14ac:dyDescent="0.2">
      <c r="A68" s="120"/>
      <c r="B68" s="120"/>
      <c r="C68" s="130"/>
      <c r="D68" s="120"/>
      <c r="E68" s="120"/>
      <c r="F68" s="131"/>
      <c r="G68" s="131"/>
      <c r="H68" s="122" t="str">
        <f>IFERROR(VLOOKUP(B68,'[1]Debt Holding Consolidated'!$C$1:$N$65536,12,FALSE),"")</f>
        <v/>
      </c>
      <c r="J68" s="2"/>
    </row>
    <row r="69" spans="1:10" x14ac:dyDescent="0.2">
      <c r="A69" s="120"/>
      <c r="B69" s="120"/>
      <c r="C69" s="121" t="s">
        <v>157</v>
      </c>
      <c r="D69" s="120"/>
      <c r="E69" s="120"/>
      <c r="F69" s="120"/>
      <c r="G69" s="120"/>
      <c r="H69" s="122" t="str">
        <f>IFERROR(VLOOKUP(B69,'[1]Debt Holding Consolidated'!$C$1:$N$65536,12,FALSE),"")</f>
        <v/>
      </c>
      <c r="J69" s="2"/>
    </row>
    <row r="70" spans="1:10" x14ac:dyDescent="0.2">
      <c r="A70" s="120"/>
      <c r="B70" s="120"/>
      <c r="C70" s="121" t="s">
        <v>152</v>
      </c>
      <c r="D70" s="120"/>
      <c r="E70" s="120" t="s">
        <v>153</v>
      </c>
      <c r="F70" s="132" t="s">
        <v>155</v>
      </c>
      <c r="G70" s="129">
        <v>0</v>
      </c>
      <c r="H70" s="122" t="str">
        <f>IFERROR(VLOOKUP(B70,'[1]Debt Holding Consolidated'!$C$1:$N$65536,12,FALSE),"")</f>
        <v/>
      </c>
      <c r="J70" s="2"/>
    </row>
    <row r="71" spans="1:10" x14ac:dyDescent="0.2">
      <c r="A71" s="120"/>
      <c r="B71" s="120"/>
      <c r="C71" s="130"/>
      <c r="D71" s="120"/>
      <c r="E71" s="120"/>
      <c r="F71" s="131"/>
      <c r="G71" s="131"/>
      <c r="H71" s="122" t="str">
        <f>IFERROR(VLOOKUP(B71,'[1]Debt Holding Consolidated'!$C$1:$N$65536,12,FALSE),"")</f>
        <v/>
      </c>
      <c r="J71" s="2"/>
    </row>
    <row r="72" spans="1:10" x14ac:dyDescent="0.2">
      <c r="A72" s="120"/>
      <c r="B72" s="120"/>
      <c r="C72" s="121" t="s">
        <v>158</v>
      </c>
      <c r="D72" s="120"/>
      <c r="E72" s="120"/>
      <c r="F72" s="131"/>
      <c r="G72" s="131"/>
      <c r="H72" s="122" t="str">
        <f>IFERROR(VLOOKUP(B72,'[1]Debt Holding Consolidated'!$C$1:$N$65536,12,FALSE),"")</f>
        <v/>
      </c>
      <c r="J72" s="2"/>
    </row>
    <row r="73" spans="1:10" x14ac:dyDescent="0.2">
      <c r="A73" s="120"/>
      <c r="B73" s="120"/>
      <c r="C73" s="121" t="s">
        <v>152</v>
      </c>
      <c r="D73" s="120"/>
      <c r="E73" s="120" t="s">
        <v>153</v>
      </c>
      <c r="F73" s="132" t="s">
        <v>155</v>
      </c>
      <c r="G73" s="129">
        <v>0</v>
      </c>
      <c r="H73" s="122" t="str">
        <f>IFERROR(VLOOKUP(B73,'[1]Debt Holding Consolidated'!$C$1:$N$65536,12,FALSE),"")</f>
        <v/>
      </c>
      <c r="J73" s="2"/>
    </row>
    <row r="74" spans="1:10" x14ac:dyDescent="0.2">
      <c r="A74" s="120"/>
      <c r="B74" s="120"/>
      <c r="C74" s="130"/>
      <c r="D74" s="120"/>
      <c r="E74" s="120"/>
      <c r="F74" s="131"/>
      <c r="G74" s="131"/>
      <c r="H74" s="122" t="str">
        <f>IFERROR(VLOOKUP(B74,'[1]Debt Holding Consolidated'!$C$1:$N$65536,12,FALSE),"")</f>
        <v/>
      </c>
      <c r="J74" s="2"/>
    </row>
    <row r="75" spans="1:10" x14ac:dyDescent="0.2">
      <c r="A75" s="120"/>
      <c r="B75" s="120"/>
      <c r="C75" s="121" t="s">
        <v>159</v>
      </c>
      <c r="D75" s="120"/>
      <c r="E75" s="120"/>
      <c r="F75" s="131"/>
      <c r="G75" s="131"/>
      <c r="H75" s="122" t="str">
        <f>IFERROR(VLOOKUP(B75,'[1]Debt Holding Consolidated'!$C$1:$N$65536,12,FALSE),"")</f>
        <v/>
      </c>
      <c r="J75" s="2"/>
    </row>
    <row r="76" spans="1:10" x14ac:dyDescent="0.2">
      <c r="A76" s="123">
        <v>1</v>
      </c>
      <c r="B76" s="124"/>
      <c r="C76" s="124" t="s">
        <v>984</v>
      </c>
      <c r="D76" s="124" t="s">
        <v>539</v>
      </c>
      <c r="E76" s="125">
        <v>-13500</v>
      </c>
      <c r="F76" s="126">
        <v>-15.1281</v>
      </c>
      <c r="G76" s="127">
        <f>F76/$F$151</f>
        <v>-6.3614993476148005E-5</v>
      </c>
      <c r="H76" s="122" t="str">
        <f>IFERROR(VLOOKUP(B76,'[1]Debt Holding Consolidated'!$C$1:$N$65536,12,FALSE),"")</f>
        <v/>
      </c>
      <c r="J76" s="2"/>
    </row>
    <row r="77" spans="1:10" x14ac:dyDescent="0.2">
      <c r="A77" s="123">
        <v>2</v>
      </c>
      <c r="B77" s="124"/>
      <c r="C77" s="124" t="s">
        <v>1045</v>
      </c>
      <c r="D77" s="124" t="s">
        <v>539</v>
      </c>
      <c r="E77" s="125">
        <v>-28500</v>
      </c>
      <c r="F77" s="126">
        <v>-85.671000000000006</v>
      </c>
      <c r="G77" s="127">
        <f t="shared" ref="G77:G91" si="0">F77/$F$151</f>
        <v>-3.6025410369412394E-4</v>
      </c>
      <c r="H77" s="122" t="str">
        <f>IFERROR(VLOOKUP(B77,'[1]Debt Holding Consolidated'!$C$1:$N$65536,12,FALSE),"")</f>
        <v/>
      </c>
      <c r="J77" s="2"/>
    </row>
    <row r="78" spans="1:10" x14ac:dyDescent="0.2">
      <c r="A78" s="123">
        <v>3</v>
      </c>
      <c r="B78" s="124"/>
      <c r="C78" s="124" t="s">
        <v>978</v>
      </c>
      <c r="D78" s="124" t="s">
        <v>539</v>
      </c>
      <c r="E78" s="125">
        <v>-2000</v>
      </c>
      <c r="F78" s="126">
        <v>-144.92500000000001</v>
      </c>
      <c r="G78" s="127">
        <f t="shared" si="0"/>
        <v>-6.0942239471782644E-4</v>
      </c>
      <c r="H78" s="122" t="str">
        <f>IFERROR(VLOOKUP(B78,'[1]Debt Holding Consolidated'!$C$1:$N$65536,12,FALSE),"")</f>
        <v/>
      </c>
      <c r="J78" s="2"/>
    </row>
    <row r="79" spans="1:10" x14ac:dyDescent="0.2">
      <c r="A79" s="123">
        <v>4</v>
      </c>
      <c r="B79" s="124"/>
      <c r="C79" s="124" t="s">
        <v>1046</v>
      </c>
      <c r="D79" s="124" t="s">
        <v>539</v>
      </c>
      <c r="E79" s="125">
        <v>-6300</v>
      </c>
      <c r="F79" s="126">
        <v>-202.70249999999999</v>
      </c>
      <c r="G79" s="127">
        <f t="shared" si="0"/>
        <v>-8.5238187314328232E-4</v>
      </c>
      <c r="H79" s="122" t="str">
        <f>IFERROR(VLOOKUP(B79,'[1]Debt Holding Consolidated'!$C$1:$N$65536,12,FALSE),"")</f>
        <v/>
      </c>
      <c r="J79" s="2"/>
    </row>
    <row r="80" spans="1:10" x14ac:dyDescent="0.2">
      <c r="A80" s="123">
        <v>5</v>
      </c>
      <c r="B80" s="124"/>
      <c r="C80" s="124" t="s">
        <v>979</v>
      </c>
      <c r="D80" s="124" t="s">
        <v>539</v>
      </c>
      <c r="E80" s="125">
        <v>-26250</v>
      </c>
      <c r="F80" s="126">
        <v>-215.52562499999999</v>
      </c>
      <c r="G80" s="127">
        <f t="shared" si="0"/>
        <v>-9.0630424364710176E-4</v>
      </c>
      <c r="H80" s="122" t="str">
        <f>IFERROR(VLOOKUP(B80,'[1]Debt Holding Consolidated'!$C$1:$N$65536,12,FALSE),"")</f>
        <v/>
      </c>
      <c r="J80" s="2"/>
    </row>
    <row r="81" spans="1:10" x14ac:dyDescent="0.2">
      <c r="A81" s="123">
        <v>6</v>
      </c>
      <c r="B81" s="124"/>
      <c r="C81" s="124" t="s">
        <v>1009</v>
      </c>
      <c r="D81" s="124" t="s">
        <v>539</v>
      </c>
      <c r="E81" s="125">
        <v>-17500</v>
      </c>
      <c r="F81" s="126">
        <v>-250.6525</v>
      </c>
      <c r="G81" s="127">
        <f t="shared" si="0"/>
        <v>-1.0540158481422114E-3</v>
      </c>
      <c r="H81" s="122" t="str">
        <f>IFERROR(VLOOKUP(B81,'[1]Debt Holding Consolidated'!$C$1:$N$65536,12,FALSE),"")</f>
        <v/>
      </c>
      <c r="J81" s="2"/>
    </row>
    <row r="82" spans="1:10" x14ac:dyDescent="0.2">
      <c r="A82" s="123">
        <v>7</v>
      </c>
      <c r="B82" s="124"/>
      <c r="C82" s="124" t="s">
        <v>1004</v>
      </c>
      <c r="D82" s="124" t="s">
        <v>539</v>
      </c>
      <c r="E82" s="125">
        <v>-203500</v>
      </c>
      <c r="F82" s="126">
        <v>-313.00335000000001</v>
      </c>
      <c r="G82" s="127">
        <f t="shared" si="0"/>
        <v>-1.3162066662874036E-3</v>
      </c>
      <c r="H82" s="122" t="str">
        <f>IFERROR(VLOOKUP(B82,'[1]Debt Holding Consolidated'!$C$1:$N$65536,12,FALSE),"")</f>
        <v/>
      </c>
      <c r="J82" s="2"/>
    </row>
    <row r="83" spans="1:10" x14ac:dyDescent="0.2">
      <c r="A83" s="123">
        <v>8</v>
      </c>
      <c r="B83" s="124"/>
      <c r="C83" s="124" t="s">
        <v>987</v>
      </c>
      <c r="D83" s="124" t="s">
        <v>539</v>
      </c>
      <c r="E83" s="125">
        <v>-52500</v>
      </c>
      <c r="F83" s="126">
        <v>-621.39</v>
      </c>
      <c r="G83" s="127">
        <f t="shared" si="0"/>
        <v>-2.61299970228539E-3</v>
      </c>
      <c r="H83" s="122" t="str">
        <f>IFERROR(VLOOKUP(B83,'[1]Debt Holding Consolidated'!$C$1:$N$65536,12,FALSE),"")</f>
        <v/>
      </c>
      <c r="J83" s="2"/>
    </row>
    <row r="84" spans="1:10" x14ac:dyDescent="0.2">
      <c r="A84" s="123">
        <v>9</v>
      </c>
      <c r="B84" s="124"/>
      <c r="C84" s="124" t="s">
        <v>980</v>
      </c>
      <c r="D84" s="124" t="s">
        <v>539</v>
      </c>
      <c r="E84" s="125">
        <v>-63700</v>
      </c>
      <c r="F84" s="126">
        <v>-787.68235000000004</v>
      </c>
      <c r="G84" s="127">
        <f t="shared" si="0"/>
        <v>-3.3122736864858726E-3</v>
      </c>
      <c r="H84" s="122" t="str">
        <f>IFERROR(VLOOKUP(B84,'[1]Debt Holding Consolidated'!$C$1:$N$65536,12,FALSE),"")</f>
        <v/>
      </c>
      <c r="J84" s="2"/>
    </row>
    <row r="85" spans="1:10" x14ac:dyDescent="0.2">
      <c r="A85" s="123">
        <v>10</v>
      </c>
      <c r="B85" s="124"/>
      <c r="C85" s="124" t="s">
        <v>1047</v>
      </c>
      <c r="D85" s="124" t="s">
        <v>539</v>
      </c>
      <c r="E85" s="125">
        <v>-22500</v>
      </c>
      <c r="F85" s="126">
        <v>-1059.4124999999999</v>
      </c>
      <c r="G85" s="127">
        <f t="shared" si="0"/>
        <v>-4.4549229100845208E-3</v>
      </c>
      <c r="H85" s="122" t="str">
        <f>IFERROR(VLOOKUP(B85,'[1]Debt Holding Consolidated'!$C$1:$N$65536,12,FALSE),"")</f>
        <v/>
      </c>
      <c r="J85" s="2"/>
    </row>
    <row r="86" spans="1:10" x14ac:dyDescent="0.2">
      <c r="A86" s="123">
        <v>11</v>
      </c>
      <c r="B86" s="124"/>
      <c r="C86" s="124" t="s">
        <v>997</v>
      </c>
      <c r="D86" s="124" t="s">
        <v>539</v>
      </c>
      <c r="E86" s="125">
        <v>-67450</v>
      </c>
      <c r="F86" s="126">
        <v>-1075.4565250000001</v>
      </c>
      <c r="G86" s="127">
        <f t="shared" si="0"/>
        <v>-4.5223894488901984E-3</v>
      </c>
      <c r="H86" s="122" t="str">
        <f>IFERROR(VLOOKUP(B86,'[1]Debt Holding Consolidated'!$C$1:$N$65536,12,FALSE),"")</f>
        <v/>
      </c>
      <c r="J86" s="2"/>
    </row>
    <row r="87" spans="1:10" x14ac:dyDescent="0.2">
      <c r="A87" s="123">
        <v>12</v>
      </c>
      <c r="B87" s="124"/>
      <c r="C87" s="124" t="s">
        <v>982</v>
      </c>
      <c r="D87" s="124" t="s">
        <v>539</v>
      </c>
      <c r="E87" s="125">
        <v>-33150</v>
      </c>
      <c r="F87" s="126">
        <v>-1235.8983000000001</v>
      </c>
      <c r="G87" s="127">
        <f t="shared" si="0"/>
        <v>-5.1970612497063357E-3</v>
      </c>
      <c r="H87" s="122" t="str">
        <f>IFERROR(VLOOKUP(B87,'[1]Debt Holding Consolidated'!$C$1:$N$65536,12,FALSE),"")</f>
        <v/>
      </c>
      <c r="J87" s="2"/>
    </row>
    <row r="88" spans="1:10" x14ac:dyDescent="0.2">
      <c r="A88" s="123">
        <v>13</v>
      </c>
      <c r="B88" s="124"/>
      <c r="C88" s="124" t="s">
        <v>1048</v>
      </c>
      <c r="D88" s="124" t="s">
        <v>539</v>
      </c>
      <c r="E88" s="125">
        <v>-66850</v>
      </c>
      <c r="F88" s="126">
        <v>-1890.1169</v>
      </c>
      <c r="G88" s="127">
        <f t="shared" si="0"/>
        <v>-7.9481081076048597E-3</v>
      </c>
      <c r="H88" s="122" t="str">
        <f>IFERROR(VLOOKUP(B88,'[1]Debt Holding Consolidated'!$C$1:$N$65536,12,FALSE),"")</f>
        <v/>
      </c>
      <c r="J88" s="2"/>
    </row>
    <row r="89" spans="1:10" x14ac:dyDescent="0.2">
      <c r="A89" s="123">
        <v>14</v>
      </c>
      <c r="B89" s="124"/>
      <c r="C89" s="124" t="s">
        <v>993</v>
      </c>
      <c r="D89" s="124" t="s">
        <v>539</v>
      </c>
      <c r="E89" s="125">
        <v>-58625</v>
      </c>
      <c r="F89" s="126">
        <v>-2684.6732499999998</v>
      </c>
      <c r="G89" s="127">
        <f t="shared" si="0"/>
        <v>-1.128928756977671E-2</v>
      </c>
      <c r="H89" s="122" t="str">
        <f>IFERROR(VLOOKUP(B89,'[1]Debt Holding Consolidated'!$C$1:$N$65536,12,FALSE),"")</f>
        <v/>
      </c>
      <c r="J89" s="2"/>
    </row>
    <row r="90" spans="1:10" x14ac:dyDescent="0.2">
      <c r="A90" s="123">
        <v>15</v>
      </c>
      <c r="B90" s="124"/>
      <c r="C90" s="124" t="s">
        <v>1025</v>
      </c>
      <c r="D90" s="124" t="s">
        <v>539</v>
      </c>
      <c r="E90" s="125">
        <v>-198000</v>
      </c>
      <c r="F90" s="126">
        <v>-3874.86</v>
      </c>
      <c r="G90" s="127">
        <f t="shared" si="0"/>
        <v>-1.6294127723969754E-2</v>
      </c>
      <c r="H90" s="122" t="str">
        <f>IFERROR(VLOOKUP(B90,'[1]Debt Holding Consolidated'!$C$1:$N$65536,12,FALSE),"")</f>
        <v/>
      </c>
      <c r="J90" s="2"/>
    </row>
    <row r="91" spans="1:10" x14ac:dyDescent="0.2">
      <c r="A91" s="123">
        <v>16</v>
      </c>
      <c r="B91" s="124"/>
      <c r="C91" s="124" t="s">
        <v>1022</v>
      </c>
      <c r="D91" s="124" t="s">
        <v>539</v>
      </c>
      <c r="E91" s="125">
        <v>-183750</v>
      </c>
      <c r="F91" s="126">
        <v>-5189.743125</v>
      </c>
      <c r="G91" s="127">
        <f t="shared" si="0"/>
        <v>-2.1823327122358984E-2</v>
      </c>
      <c r="H91" s="122" t="str">
        <f>IFERROR(VLOOKUP(B91,'[1]Debt Holding Consolidated'!$C$1:$N$65536,12,FALSE),"")</f>
        <v/>
      </c>
      <c r="J91" s="2"/>
    </row>
    <row r="92" spans="1:10" x14ac:dyDescent="0.2">
      <c r="A92" s="120"/>
      <c r="B92" s="120"/>
      <c r="C92" s="121" t="s">
        <v>152</v>
      </c>
      <c r="D92" s="120"/>
      <c r="E92" s="120" t="s">
        <v>153</v>
      </c>
      <c r="F92" s="128">
        <v>-19646.841025000002</v>
      </c>
      <c r="G92" s="129">
        <v>-8.2616700000000001E-2</v>
      </c>
      <c r="H92" s="122" t="str">
        <f>IFERROR(VLOOKUP(B92,'[1]Debt Holding Consolidated'!$C$1:$N$65536,12,FALSE),"")</f>
        <v/>
      </c>
      <c r="J92" s="2"/>
    </row>
    <row r="93" spans="1:10" x14ac:dyDescent="0.2">
      <c r="A93" s="120"/>
      <c r="B93" s="120"/>
      <c r="C93" s="130"/>
      <c r="D93" s="120"/>
      <c r="E93" s="120"/>
      <c r="F93" s="131"/>
      <c r="G93" s="131"/>
      <c r="H93" s="122" t="str">
        <f>IFERROR(VLOOKUP(B93,'[1]Debt Holding Consolidated'!$C$1:$N$65536,12,FALSE),"")</f>
        <v/>
      </c>
      <c r="J93" s="2"/>
    </row>
    <row r="94" spans="1:10" x14ac:dyDescent="0.2">
      <c r="A94" s="120"/>
      <c r="B94" s="120"/>
      <c r="C94" s="121" t="s">
        <v>160</v>
      </c>
      <c r="D94" s="120"/>
      <c r="E94" s="120"/>
      <c r="F94" s="128">
        <f>F61</f>
        <v>156591.81604999999</v>
      </c>
      <c r="G94" s="129">
        <f>G61</f>
        <v>0.65848242999999995</v>
      </c>
      <c r="H94" s="122" t="str">
        <f>IFERROR(VLOOKUP(B94,'[1]Debt Holding Consolidated'!$C$1:$N$65536,12,FALSE),"")</f>
        <v/>
      </c>
      <c r="J94" s="2"/>
    </row>
    <row r="95" spans="1:10" x14ac:dyDescent="0.2">
      <c r="A95" s="120"/>
      <c r="B95" s="120"/>
      <c r="C95" s="130"/>
      <c r="D95" s="120"/>
      <c r="E95" s="120"/>
      <c r="F95" s="131"/>
      <c r="G95" s="131"/>
      <c r="H95" s="122" t="str">
        <f>IFERROR(VLOOKUP(B95,'[1]Debt Holding Consolidated'!$C$1:$N$65536,12,FALSE),"")</f>
        <v/>
      </c>
      <c r="J95" s="2"/>
    </row>
    <row r="96" spans="1:10" x14ac:dyDescent="0.2">
      <c r="A96" s="120"/>
      <c r="B96" s="120"/>
      <c r="C96" s="121" t="s">
        <v>161</v>
      </c>
      <c r="D96" s="120"/>
      <c r="E96" s="120"/>
      <c r="F96" s="131"/>
      <c r="G96" s="131"/>
      <c r="H96" s="122" t="str">
        <f>IFERROR(VLOOKUP(B96,'[1]Debt Holding Consolidated'!$C$1:$N$65536,12,FALSE),"")</f>
        <v/>
      </c>
      <c r="J96" s="2"/>
    </row>
    <row r="97" spans="1:10" x14ac:dyDescent="0.2">
      <c r="A97" s="120"/>
      <c r="B97" s="120"/>
      <c r="C97" s="121" t="s">
        <v>10</v>
      </c>
      <c r="D97" s="120"/>
      <c r="E97" s="120"/>
      <c r="F97" s="131"/>
      <c r="G97" s="131"/>
      <c r="H97" s="122" t="str">
        <f>IFERROR(VLOOKUP(B97,'[1]Debt Holding Consolidated'!$C$1:$N$65536,12,FALSE),"")</f>
        <v/>
      </c>
      <c r="J97" s="2"/>
    </row>
    <row r="98" spans="1:10" x14ac:dyDescent="0.2">
      <c r="A98" s="120"/>
      <c r="B98" s="120"/>
      <c r="C98" s="121" t="s">
        <v>152</v>
      </c>
      <c r="D98" s="120"/>
      <c r="E98" s="120" t="s">
        <v>153</v>
      </c>
      <c r="F98" s="132" t="s">
        <v>155</v>
      </c>
      <c r="G98" s="129">
        <v>0</v>
      </c>
      <c r="H98" s="122" t="str">
        <f>IFERROR(VLOOKUP(B98,'[1]Debt Holding Consolidated'!$C$1:$N$65536,12,FALSE),"")</f>
        <v/>
      </c>
      <c r="J98" s="2"/>
    </row>
    <row r="99" spans="1:10" x14ac:dyDescent="0.2">
      <c r="A99" s="120"/>
      <c r="B99" s="120"/>
      <c r="C99" s="130"/>
      <c r="D99" s="120"/>
      <c r="E99" s="120"/>
      <c r="F99" s="131"/>
      <c r="G99" s="131"/>
      <c r="H99" s="122" t="str">
        <f>IFERROR(VLOOKUP(B99,'[1]Debt Holding Consolidated'!$C$1:$N$65536,12,FALSE),"")</f>
        <v/>
      </c>
      <c r="J99" s="2"/>
    </row>
    <row r="100" spans="1:10" x14ac:dyDescent="0.2">
      <c r="A100" s="120"/>
      <c r="B100" s="120"/>
      <c r="C100" s="121" t="s">
        <v>162</v>
      </c>
      <c r="D100" s="120"/>
      <c r="E100" s="120"/>
      <c r="F100" s="120"/>
      <c r="G100" s="120"/>
      <c r="H100" s="122" t="str">
        <f>IFERROR(VLOOKUP(B100,'[1]Debt Holding Consolidated'!$C$1:$N$65536,12,FALSE),"")</f>
        <v/>
      </c>
      <c r="J100" s="2"/>
    </row>
    <row r="101" spans="1:10" x14ac:dyDescent="0.2">
      <c r="A101" s="120"/>
      <c r="B101" s="120"/>
      <c r="C101" s="121" t="s">
        <v>152</v>
      </c>
      <c r="D101" s="120"/>
      <c r="E101" s="120" t="s">
        <v>153</v>
      </c>
      <c r="F101" s="132" t="s">
        <v>155</v>
      </c>
      <c r="G101" s="129">
        <v>0</v>
      </c>
      <c r="H101" s="122" t="str">
        <f>IFERROR(VLOOKUP(B101,'[1]Debt Holding Consolidated'!$C$1:$N$65536,12,FALSE),"")</f>
        <v/>
      </c>
      <c r="J101" s="2"/>
    </row>
    <row r="102" spans="1:10" x14ac:dyDescent="0.2">
      <c r="A102" s="120"/>
      <c r="B102" s="120"/>
      <c r="C102" s="130"/>
      <c r="D102" s="120"/>
      <c r="E102" s="120"/>
      <c r="F102" s="131"/>
      <c r="G102" s="131"/>
      <c r="H102" s="122" t="str">
        <f>IFERROR(VLOOKUP(B102,'[1]Debt Holding Consolidated'!$C$1:$N$65536,12,FALSE),"")</f>
        <v/>
      </c>
      <c r="J102" s="2"/>
    </row>
    <row r="103" spans="1:10" x14ac:dyDescent="0.2">
      <c r="A103" s="120"/>
      <c r="B103" s="120"/>
      <c r="C103" s="121" t="s">
        <v>163</v>
      </c>
      <c r="D103" s="120"/>
      <c r="E103" s="120"/>
      <c r="F103" s="120"/>
      <c r="G103" s="120"/>
      <c r="H103" s="122" t="str">
        <f>IFERROR(VLOOKUP(B103,'[1]Debt Holding Consolidated'!$C$1:$N$65536,12,FALSE),"")</f>
        <v/>
      </c>
      <c r="J103" s="2"/>
    </row>
    <row r="104" spans="1:10" x14ac:dyDescent="0.2">
      <c r="A104" s="123">
        <v>1</v>
      </c>
      <c r="B104" s="124" t="s">
        <v>622</v>
      </c>
      <c r="C104" s="124" t="s">
        <v>1056</v>
      </c>
      <c r="D104" s="124" t="s">
        <v>541</v>
      </c>
      <c r="E104" s="125">
        <v>10500000</v>
      </c>
      <c r="F104" s="126">
        <v>10664.9025</v>
      </c>
      <c r="G104" s="127">
        <v>4.4846860000000002E-2</v>
      </c>
      <c r="H104" s="122">
        <f>IFERROR(VLOOKUP(B104,'[1]Debt Holding Consolidated'!$C$1:$N$65536,12,FALSE),"")</f>
        <v>6.8636999999999997</v>
      </c>
      <c r="J104" s="2"/>
    </row>
    <row r="105" spans="1:10" x14ac:dyDescent="0.2">
      <c r="A105" s="123">
        <v>2</v>
      </c>
      <c r="B105" s="124" t="s">
        <v>661</v>
      </c>
      <c r="C105" s="124" t="s">
        <v>1055</v>
      </c>
      <c r="D105" s="124" t="s">
        <v>541</v>
      </c>
      <c r="E105" s="125">
        <v>5500000</v>
      </c>
      <c r="F105" s="126">
        <v>5562.5349999999999</v>
      </c>
      <c r="G105" s="127">
        <v>2.3390950000000001E-2</v>
      </c>
      <c r="H105" s="122">
        <f>IFERROR(VLOOKUP(B105,'[1]Debt Holding Consolidated'!$C$1:$N$65536,12,FALSE),"")</f>
        <v>6.8635999999999999</v>
      </c>
      <c r="J105" s="2"/>
    </row>
    <row r="106" spans="1:10" x14ac:dyDescent="0.2">
      <c r="A106" s="123">
        <v>3</v>
      </c>
      <c r="B106" s="124" t="s">
        <v>617</v>
      </c>
      <c r="C106" s="124" t="s">
        <v>1058</v>
      </c>
      <c r="D106" s="124" t="s">
        <v>541</v>
      </c>
      <c r="E106" s="125">
        <v>3500000</v>
      </c>
      <c r="F106" s="126">
        <v>3565.94</v>
      </c>
      <c r="G106" s="127">
        <v>1.4995090000000001E-2</v>
      </c>
      <c r="H106" s="122">
        <f>IFERROR(VLOOKUP(B106,'[1]Debt Holding Consolidated'!$C$1:$N$65536,12,FALSE),"")</f>
        <v>7.0125000000000002</v>
      </c>
      <c r="J106" s="2"/>
    </row>
    <row r="107" spans="1:10" x14ac:dyDescent="0.2">
      <c r="A107" s="123">
        <v>4</v>
      </c>
      <c r="B107" s="124" t="s">
        <v>672</v>
      </c>
      <c r="C107" s="124" t="s">
        <v>1057</v>
      </c>
      <c r="D107" s="124" t="s">
        <v>541</v>
      </c>
      <c r="E107" s="125">
        <v>3000000</v>
      </c>
      <c r="F107" s="126">
        <v>3074.0729999999999</v>
      </c>
      <c r="G107" s="127">
        <v>1.2926750000000001E-2</v>
      </c>
      <c r="H107" s="122">
        <f>IFERROR(VLOOKUP(B107,'[1]Debt Holding Consolidated'!$C$1:$N$65536,12,FALSE),"")</f>
        <v>6.9383999999999997</v>
      </c>
      <c r="J107" s="2"/>
    </row>
    <row r="108" spans="1:10" x14ac:dyDescent="0.2">
      <c r="A108" s="123">
        <v>5</v>
      </c>
      <c r="B108" s="124" t="s">
        <v>634</v>
      </c>
      <c r="C108" s="124" t="s">
        <v>635</v>
      </c>
      <c r="D108" s="124" t="s">
        <v>541</v>
      </c>
      <c r="E108" s="125">
        <v>500000</v>
      </c>
      <c r="F108" s="126">
        <v>510.40249999999997</v>
      </c>
      <c r="G108" s="127">
        <v>2.1462899999999999E-3</v>
      </c>
      <c r="H108" s="122">
        <f>IFERROR(VLOOKUP(B108,'[1]Debt Holding Consolidated'!$C$1:$N$65536,12,FALSE),"")</f>
        <v>6.8971999999999998</v>
      </c>
      <c r="J108" s="2"/>
    </row>
    <row r="109" spans="1:10" x14ac:dyDescent="0.2">
      <c r="A109" s="123">
        <v>6</v>
      </c>
      <c r="B109" s="124" t="s">
        <v>620</v>
      </c>
      <c r="C109" s="124" t="s">
        <v>621</v>
      </c>
      <c r="D109" s="124" t="s">
        <v>541</v>
      </c>
      <c r="E109" s="125">
        <v>500000</v>
      </c>
      <c r="F109" s="126">
        <v>508.18200000000002</v>
      </c>
      <c r="G109" s="127">
        <v>2.1369499999999999E-3</v>
      </c>
      <c r="H109" s="122">
        <f>IFERROR(VLOOKUP(B109,'[1]Debt Holding Consolidated'!$C$1:$N$65536,12,FALSE),"")</f>
        <v>6.9809000000000001</v>
      </c>
      <c r="J109" s="2"/>
    </row>
    <row r="110" spans="1:10" x14ac:dyDescent="0.2">
      <c r="A110" s="120"/>
      <c r="B110" s="120"/>
      <c r="C110" s="121" t="s">
        <v>152</v>
      </c>
      <c r="D110" s="120"/>
      <c r="E110" s="120" t="s">
        <v>153</v>
      </c>
      <c r="F110" s="128">
        <v>23886.035</v>
      </c>
      <c r="G110" s="129">
        <v>0.10044289000000001</v>
      </c>
      <c r="H110" s="122" t="str">
        <f>IFERROR(VLOOKUP(B110,'[1]Debt Holding Consolidated'!$C$1:$N$65536,12,FALSE),"")</f>
        <v/>
      </c>
      <c r="J110" s="2"/>
    </row>
    <row r="111" spans="1:10" x14ac:dyDescent="0.2">
      <c r="A111" s="120"/>
      <c r="B111" s="120"/>
      <c r="C111" s="130"/>
      <c r="D111" s="120"/>
      <c r="E111" s="120"/>
      <c r="F111" s="131"/>
      <c r="G111" s="131"/>
      <c r="H111" s="122" t="str">
        <f>IFERROR(VLOOKUP(B111,'[1]Debt Holding Consolidated'!$C$1:$N$65536,12,FALSE),"")</f>
        <v/>
      </c>
      <c r="J111" s="2"/>
    </row>
    <row r="112" spans="1:10" x14ac:dyDescent="0.2">
      <c r="A112" s="120"/>
      <c r="B112" s="120"/>
      <c r="C112" s="121" t="s">
        <v>164</v>
      </c>
      <c r="D112" s="120"/>
      <c r="E112" s="120"/>
      <c r="F112" s="131"/>
      <c r="G112" s="131"/>
      <c r="H112" s="122" t="str">
        <f>IFERROR(VLOOKUP(B112,'[1]Debt Holding Consolidated'!$C$1:$N$65536,12,FALSE),"")</f>
        <v/>
      </c>
      <c r="J112" s="2"/>
    </row>
    <row r="113" spans="1:10" x14ac:dyDescent="0.2">
      <c r="A113" s="120"/>
      <c r="B113" s="120"/>
      <c r="C113" s="121" t="s">
        <v>152</v>
      </c>
      <c r="D113" s="120"/>
      <c r="E113" s="120" t="s">
        <v>153</v>
      </c>
      <c r="F113" s="132" t="s">
        <v>155</v>
      </c>
      <c r="G113" s="129">
        <v>0</v>
      </c>
      <c r="H113" s="122" t="str">
        <f>IFERROR(VLOOKUP(B113,'[1]Debt Holding Consolidated'!$C$1:$N$65536,12,FALSE),"")</f>
        <v/>
      </c>
      <c r="J113" s="2"/>
    </row>
    <row r="114" spans="1:10" x14ac:dyDescent="0.2">
      <c r="A114" s="120"/>
      <c r="B114" s="120"/>
      <c r="C114" s="130"/>
      <c r="D114" s="120"/>
      <c r="E114" s="120"/>
      <c r="F114" s="131"/>
      <c r="G114" s="131"/>
      <c r="H114" s="122" t="str">
        <f>IFERROR(VLOOKUP(B114,'[1]Debt Holding Consolidated'!$C$1:$N$65536,12,FALSE),"")</f>
        <v/>
      </c>
      <c r="J114" s="2"/>
    </row>
    <row r="115" spans="1:10" x14ac:dyDescent="0.2">
      <c r="A115" s="120"/>
      <c r="B115" s="120"/>
      <c r="C115" s="121" t="s">
        <v>165</v>
      </c>
      <c r="D115" s="120"/>
      <c r="E115" s="120"/>
      <c r="F115" s="128">
        <v>23886.035</v>
      </c>
      <c r="G115" s="129">
        <v>0.10044289000000001</v>
      </c>
      <c r="H115" s="122" t="str">
        <f>IFERROR(VLOOKUP(B115,'[1]Debt Holding Consolidated'!$C$1:$N$65536,12,FALSE),"")</f>
        <v/>
      </c>
      <c r="J115" s="2"/>
    </row>
    <row r="116" spans="1:10" x14ac:dyDescent="0.2">
      <c r="A116" s="120"/>
      <c r="B116" s="120"/>
      <c r="C116" s="130"/>
      <c r="D116" s="120"/>
      <c r="E116" s="120"/>
      <c r="F116" s="131"/>
      <c r="G116" s="131"/>
      <c r="H116" s="122" t="str">
        <f>IFERROR(VLOOKUP(B116,'[1]Debt Holding Consolidated'!$C$1:$N$65536,12,FALSE),"")</f>
        <v/>
      </c>
      <c r="J116" s="2"/>
    </row>
    <row r="117" spans="1:10" x14ac:dyDescent="0.2">
      <c r="A117" s="120"/>
      <c r="B117" s="120"/>
      <c r="C117" s="121" t="s">
        <v>166</v>
      </c>
      <c r="D117" s="120"/>
      <c r="E117" s="120"/>
      <c r="F117" s="131"/>
      <c r="G117" s="131"/>
      <c r="H117" s="122" t="str">
        <f>IFERROR(VLOOKUP(B117,'[1]Debt Holding Consolidated'!$C$1:$N$65536,12,FALSE),"")</f>
        <v/>
      </c>
      <c r="J117" s="2"/>
    </row>
    <row r="118" spans="1:10" x14ac:dyDescent="0.2">
      <c r="A118" s="120"/>
      <c r="B118" s="120"/>
      <c r="C118" s="121" t="s">
        <v>167</v>
      </c>
      <c r="D118" s="120"/>
      <c r="E118" s="120"/>
      <c r="F118" s="131"/>
      <c r="G118" s="131"/>
      <c r="H118" s="122" t="str">
        <f>IFERROR(VLOOKUP(B118,'[1]Debt Holding Consolidated'!$C$1:$N$65536,12,FALSE),"")</f>
        <v/>
      </c>
      <c r="J118" s="2"/>
    </row>
    <row r="119" spans="1:10" x14ac:dyDescent="0.2">
      <c r="A119" s="120"/>
      <c r="B119" s="120"/>
      <c r="C119" s="121" t="s">
        <v>152</v>
      </c>
      <c r="D119" s="120"/>
      <c r="E119" s="120" t="s">
        <v>153</v>
      </c>
      <c r="F119" s="132" t="s">
        <v>155</v>
      </c>
      <c r="G119" s="129">
        <v>0</v>
      </c>
      <c r="H119" s="122" t="str">
        <f>IFERROR(VLOOKUP(B119,'[1]Debt Holding Consolidated'!$C$1:$N$65536,12,FALSE),"")</f>
        <v/>
      </c>
      <c r="J119" s="2"/>
    </row>
    <row r="120" spans="1:10" x14ac:dyDescent="0.2">
      <c r="A120" s="120"/>
      <c r="B120" s="120"/>
      <c r="C120" s="130"/>
      <c r="D120" s="120"/>
      <c r="E120" s="120"/>
      <c r="F120" s="131"/>
      <c r="G120" s="131"/>
      <c r="H120" s="122" t="str">
        <f>IFERROR(VLOOKUP(B120,'[1]Debt Holding Consolidated'!$C$1:$N$65536,12,FALSE),"")</f>
        <v/>
      </c>
      <c r="J120" s="2"/>
    </row>
    <row r="121" spans="1:10" x14ac:dyDescent="0.2">
      <c r="A121" s="120"/>
      <c r="B121" s="120"/>
      <c r="C121" s="121" t="s">
        <v>168</v>
      </c>
      <c r="D121" s="120"/>
      <c r="E121" s="120"/>
      <c r="F121" s="131"/>
      <c r="G121" s="131"/>
      <c r="H121" s="122" t="str">
        <f>IFERROR(VLOOKUP(B121,'[1]Debt Holding Consolidated'!$C$1:$N$65536,12,FALSE),"")</f>
        <v/>
      </c>
      <c r="J121" s="2"/>
    </row>
    <row r="122" spans="1:10" x14ac:dyDescent="0.2">
      <c r="A122" s="120"/>
      <c r="B122" s="120"/>
      <c r="C122" s="121" t="s">
        <v>152</v>
      </c>
      <c r="D122" s="120"/>
      <c r="E122" s="120" t="s">
        <v>153</v>
      </c>
      <c r="F122" s="132" t="s">
        <v>155</v>
      </c>
      <c r="G122" s="129">
        <v>0</v>
      </c>
      <c r="H122" s="122" t="str">
        <f>IFERROR(VLOOKUP(B122,'[1]Debt Holding Consolidated'!$C$1:$N$65536,12,FALSE),"")</f>
        <v/>
      </c>
      <c r="J122" s="2"/>
    </row>
    <row r="123" spans="1:10" x14ac:dyDescent="0.2">
      <c r="A123" s="120"/>
      <c r="B123" s="120"/>
      <c r="C123" s="130"/>
      <c r="D123" s="120"/>
      <c r="E123" s="120"/>
      <c r="F123" s="131"/>
      <c r="G123" s="131"/>
      <c r="H123" s="122" t="str">
        <f>IFERROR(VLOOKUP(B123,'[1]Debt Holding Consolidated'!$C$1:$N$65536,12,FALSE),"")</f>
        <v/>
      </c>
      <c r="J123" s="2"/>
    </row>
    <row r="124" spans="1:10" x14ac:dyDescent="0.2">
      <c r="A124" s="120"/>
      <c r="B124" s="120"/>
      <c r="C124" s="121" t="s">
        <v>169</v>
      </c>
      <c r="D124" s="120"/>
      <c r="E124" s="120"/>
      <c r="F124" s="131"/>
      <c r="G124" s="131"/>
      <c r="H124" s="122" t="str">
        <f>IFERROR(VLOOKUP(B124,'[1]Debt Holding Consolidated'!$C$1:$N$65536,12,FALSE),"")</f>
        <v/>
      </c>
      <c r="J124" s="2"/>
    </row>
    <row r="125" spans="1:10" x14ac:dyDescent="0.2">
      <c r="A125" s="120"/>
      <c r="B125" s="120"/>
      <c r="C125" s="121" t="s">
        <v>152</v>
      </c>
      <c r="D125" s="120"/>
      <c r="E125" s="120" t="s">
        <v>153</v>
      </c>
      <c r="F125" s="132" t="s">
        <v>155</v>
      </c>
      <c r="G125" s="129">
        <v>0</v>
      </c>
      <c r="H125" s="122" t="str">
        <f>IFERROR(VLOOKUP(B125,'[1]Debt Holding Consolidated'!$C$1:$N$65536,12,FALSE),"")</f>
        <v/>
      </c>
      <c r="J125" s="2"/>
    </row>
    <row r="126" spans="1:10" x14ac:dyDescent="0.2">
      <c r="A126" s="120"/>
      <c r="B126" s="120"/>
      <c r="C126" s="130"/>
      <c r="D126" s="120"/>
      <c r="E126" s="120"/>
      <c r="F126" s="131"/>
      <c r="G126" s="131"/>
      <c r="H126" s="122" t="str">
        <f>IFERROR(VLOOKUP(B126,'[1]Debt Holding Consolidated'!$C$1:$N$65536,12,FALSE),"")</f>
        <v/>
      </c>
      <c r="J126" s="2"/>
    </row>
    <row r="127" spans="1:10" x14ac:dyDescent="0.2">
      <c r="A127" s="120"/>
      <c r="B127" s="120"/>
      <c r="C127" s="121" t="s">
        <v>170</v>
      </c>
      <c r="D127" s="120"/>
      <c r="E127" s="120"/>
      <c r="F127" s="131"/>
      <c r="G127" s="131"/>
      <c r="H127" s="122" t="str">
        <f>IFERROR(VLOOKUP(B127,'[1]Debt Holding Consolidated'!$C$1:$N$65536,12,FALSE),"")</f>
        <v/>
      </c>
      <c r="J127" s="2"/>
    </row>
    <row r="128" spans="1:10" x14ac:dyDescent="0.2">
      <c r="A128" s="123">
        <v>1</v>
      </c>
      <c r="B128" s="124"/>
      <c r="C128" s="124" t="s">
        <v>171</v>
      </c>
      <c r="D128" s="124"/>
      <c r="E128" s="133"/>
      <c r="F128" s="126">
        <v>1825.2823805999999</v>
      </c>
      <c r="G128" s="127">
        <v>7.6754700000000002E-3</v>
      </c>
      <c r="H128" s="122">
        <v>6.62</v>
      </c>
      <c r="J128" s="2"/>
    </row>
    <row r="129" spans="1:10" x14ac:dyDescent="0.2">
      <c r="A129" s="120"/>
      <c r="B129" s="120"/>
      <c r="C129" s="121" t="s">
        <v>152</v>
      </c>
      <c r="D129" s="120"/>
      <c r="E129" s="120" t="s">
        <v>153</v>
      </c>
      <c r="F129" s="128">
        <v>1825.2823805999999</v>
      </c>
      <c r="G129" s="129">
        <v>7.6754700000000002E-3</v>
      </c>
      <c r="H129" s="122" t="str">
        <f>IFERROR(VLOOKUP(B129,'[1]Debt Holding Consolidated'!$C$1:$N$65536,12,FALSE),"")</f>
        <v/>
      </c>
      <c r="J129" s="2"/>
    </row>
    <row r="130" spans="1:10" x14ac:dyDescent="0.2">
      <c r="A130" s="120"/>
      <c r="B130" s="120"/>
      <c r="C130" s="130"/>
      <c r="D130" s="120"/>
      <c r="E130" s="120"/>
      <c r="F130" s="131"/>
      <c r="G130" s="131"/>
      <c r="H130" s="122" t="str">
        <f>IFERROR(VLOOKUP(B130,'[1]Debt Holding Consolidated'!$C$1:$N$65536,12,FALSE),"")</f>
        <v/>
      </c>
      <c r="J130" s="2"/>
    </row>
    <row r="131" spans="1:10" x14ac:dyDescent="0.2">
      <c r="A131" s="120"/>
      <c r="B131" s="120"/>
      <c r="C131" s="121" t="s">
        <v>172</v>
      </c>
      <c r="D131" s="120"/>
      <c r="E131" s="120"/>
      <c r="F131" s="128">
        <v>1825.2823805999999</v>
      </c>
      <c r="G131" s="129">
        <v>7.6754700000000002E-3</v>
      </c>
      <c r="H131" s="122" t="str">
        <f>IFERROR(VLOOKUP(B131,'[1]Debt Holding Consolidated'!$C$1:$N$65536,12,FALSE),"")</f>
        <v/>
      </c>
      <c r="J131" s="2"/>
    </row>
    <row r="132" spans="1:10" x14ac:dyDescent="0.2">
      <c r="A132" s="120"/>
      <c r="B132" s="120"/>
      <c r="C132" s="131"/>
      <c r="D132" s="120"/>
      <c r="E132" s="120"/>
      <c r="F132" s="120"/>
      <c r="G132" s="120"/>
      <c r="H132" s="122" t="str">
        <f>IFERROR(VLOOKUP(B132,'[1]Debt Holding Consolidated'!$C$1:$N$65536,12,FALSE),"")</f>
        <v/>
      </c>
      <c r="J132" s="2"/>
    </row>
    <row r="133" spans="1:10" x14ac:dyDescent="0.2">
      <c r="A133" s="120"/>
      <c r="B133" s="120"/>
      <c r="C133" s="121" t="s">
        <v>173</v>
      </c>
      <c r="D133" s="120"/>
      <c r="E133" s="120"/>
      <c r="F133" s="120"/>
      <c r="G133" s="120"/>
      <c r="H133" s="122" t="str">
        <f>IFERROR(VLOOKUP(B133,'[1]Debt Holding Consolidated'!$C$1:$N$65536,12,FALSE),"")</f>
        <v/>
      </c>
      <c r="J133" s="2"/>
    </row>
    <row r="134" spans="1:10" x14ac:dyDescent="0.2">
      <c r="A134" s="120"/>
      <c r="B134" s="120"/>
      <c r="C134" s="121" t="s">
        <v>174</v>
      </c>
      <c r="D134" s="120"/>
      <c r="E134" s="120"/>
      <c r="F134" s="120"/>
      <c r="G134" s="120"/>
      <c r="H134" s="122" t="str">
        <f>IFERROR(VLOOKUP(B134,'[1]Debt Holding Consolidated'!$C$1:$N$65536,12,FALSE),"")</f>
        <v/>
      </c>
      <c r="J134" s="2"/>
    </row>
    <row r="135" spans="1:10" x14ac:dyDescent="0.2">
      <c r="A135" s="123">
        <v>1</v>
      </c>
      <c r="B135" s="124" t="s">
        <v>838</v>
      </c>
      <c r="C135" s="124" t="s">
        <v>839</v>
      </c>
      <c r="D135" s="124"/>
      <c r="E135" s="157">
        <v>25010352</v>
      </c>
      <c r="F135" s="126">
        <v>15171.279523200001</v>
      </c>
      <c r="G135" s="127">
        <v>6.3796569999999997E-2</v>
      </c>
      <c r="H135" s="122" t="str">
        <f>IFERROR(VLOOKUP(B135,'[1]Debt Holding Consolidated'!$C$1:$N$65536,12,FALSE),"")</f>
        <v/>
      </c>
      <c r="J135" s="2"/>
    </row>
    <row r="136" spans="1:10" x14ac:dyDescent="0.2">
      <c r="A136" s="123">
        <v>2</v>
      </c>
      <c r="B136" s="124" t="s">
        <v>840</v>
      </c>
      <c r="C136" s="124" t="s">
        <v>841</v>
      </c>
      <c r="D136" s="124"/>
      <c r="E136" s="157">
        <v>23220835</v>
      </c>
      <c r="F136" s="126">
        <v>14522.310208999999</v>
      </c>
      <c r="G136" s="127">
        <v>6.1067589999999998E-2</v>
      </c>
      <c r="H136" s="122" t="str">
        <f>IFERROR(VLOOKUP(B136,'[1]Debt Holding Consolidated'!$C$1:$N$65536,12,FALSE),"")</f>
        <v/>
      </c>
      <c r="J136" s="2"/>
    </row>
    <row r="137" spans="1:10" x14ac:dyDescent="0.2">
      <c r="A137" s="123">
        <v>3</v>
      </c>
      <c r="B137" s="124" t="s">
        <v>842</v>
      </c>
      <c r="C137" s="124" t="s">
        <v>843</v>
      </c>
      <c r="D137" s="124"/>
      <c r="E137" s="157">
        <v>18522366</v>
      </c>
      <c r="F137" s="126">
        <v>11639.454794400001</v>
      </c>
      <c r="G137" s="127">
        <v>4.8944929999999998E-2</v>
      </c>
      <c r="H137" s="122" t="str">
        <f>IFERROR(VLOOKUP(B137,'[1]Debt Holding Consolidated'!$C$1:$N$65536,12,FALSE),"")</f>
        <v/>
      </c>
      <c r="J137" s="2"/>
    </row>
    <row r="138" spans="1:10" x14ac:dyDescent="0.2">
      <c r="A138" s="123">
        <v>4</v>
      </c>
      <c r="B138" s="124" t="s">
        <v>844</v>
      </c>
      <c r="C138" s="124" t="s">
        <v>845</v>
      </c>
      <c r="D138" s="124"/>
      <c r="E138" s="157">
        <v>13860861</v>
      </c>
      <c r="F138" s="126">
        <v>8467.5999849</v>
      </c>
      <c r="G138" s="127">
        <v>3.5607E-2</v>
      </c>
      <c r="H138" s="122" t="str">
        <f>IFERROR(VLOOKUP(B138,'[1]Debt Holding Consolidated'!$C$1:$N$65536,12,FALSE),"")</f>
        <v/>
      </c>
      <c r="J138" s="2"/>
    </row>
    <row r="139" spans="1:10" x14ac:dyDescent="0.2">
      <c r="A139" s="123">
        <v>5</v>
      </c>
      <c r="B139" s="124" t="s">
        <v>846</v>
      </c>
      <c r="C139" s="124" t="s">
        <v>847</v>
      </c>
      <c r="D139" s="124"/>
      <c r="E139" s="157">
        <v>4448000</v>
      </c>
      <c r="F139" s="126">
        <v>3166.5311999999999</v>
      </c>
      <c r="G139" s="127">
        <v>1.3315540000000001E-2</v>
      </c>
      <c r="H139" s="122" t="str">
        <f>IFERROR(VLOOKUP(B139,'[1]Debt Holding Consolidated'!$C$1:$N$65536,12,FALSE),"")</f>
        <v/>
      </c>
      <c r="J139" s="2"/>
    </row>
    <row r="140" spans="1:10" x14ac:dyDescent="0.2">
      <c r="A140" s="120"/>
      <c r="B140" s="120"/>
      <c r="C140" s="121" t="s">
        <v>152</v>
      </c>
      <c r="D140" s="120"/>
      <c r="E140" s="120" t="s">
        <v>153</v>
      </c>
      <c r="F140" s="128">
        <v>52967.1757115</v>
      </c>
      <c r="G140" s="129">
        <v>0.22273163000000001</v>
      </c>
      <c r="H140" s="122" t="str">
        <f>IFERROR(VLOOKUP(B140,'[1]Debt Holding Consolidated'!$C$1:$N$65536,12,FALSE),"")</f>
        <v/>
      </c>
      <c r="J140" s="2"/>
    </row>
    <row r="141" spans="1:10" x14ac:dyDescent="0.2">
      <c r="A141" s="120"/>
      <c r="B141" s="120"/>
      <c r="C141" s="130"/>
      <c r="D141" s="120"/>
      <c r="E141" s="120"/>
      <c r="F141" s="131"/>
      <c r="G141" s="131"/>
      <c r="H141" s="122" t="str">
        <f>IFERROR(VLOOKUP(B141,'[1]Debt Holding Consolidated'!$C$1:$N$65536,12,FALSE),"")</f>
        <v/>
      </c>
      <c r="J141" s="2"/>
    </row>
    <row r="142" spans="1:10" x14ac:dyDescent="0.2">
      <c r="A142" s="120"/>
      <c r="B142" s="120"/>
      <c r="C142" s="121" t="s">
        <v>175</v>
      </c>
      <c r="D142" s="120"/>
      <c r="E142" s="120"/>
      <c r="F142" s="120"/>
      <c r="G142" s="120"/>
      <c r="H142" s="122" t="str">
        <f>IFERROR(VLOOKUP(B142,'[1]Debt Holding Consolidated'!$C$1:$N$65536,12,FALSE),"")</f>
        <v/>
      </c>
      <c r="J142" s="2"/>
    </row>
    <row r="143" spans="1:10" x14ac:dyDescent="0.2">
      <c r="A143" s="120"/>
      <c r="B143" s="120"/>
      <c r="C143" s="121" t="s">
        <v>176</v>
      </c>
      <c r="D143" s="120"/>
      <c r="E143" s="120"/>
      <c r="F143" s="120"/>
      <c r="G143" s="120"/>
      <c r="H143" s="122" t="str">
        <f>IFERROR(VLOOKUP(B143,'[1]Debt Holding Consolidated'!$C$1:$N$65536,12,FALSE),"")</f>
        <v/>
      </c>
      <c r="J143" s="2"/>
    </row>
    <row r="144" spans="1:10" x14ac:dyDescent="0.2">
      <c r="A144" s="120"/>
      <c r="B144" s="120"/>
      <c r="C144" s="121" t="s">
        <v>152</v>
      </c>
      <c r="D144" s="120"/>
      <c r="E144" s="120" t="s">
        <v>153</v>
      </c>
      <c r="F144" s="132" t="s">
        <v>155</v>
      </c>
      <c r="G144" s="129">
        <v>0</v>
      </c>
      <c r="H144" s="122" t="str">
        <f>IFERROR(VLOOKUP(B144,'[1]Debt Holding Consolidated'!$C$1:$N$65536,12,FALSE),"")</f>
        <v/>
      </c>
      <c r="J144" s="2"/>
    </row>
    <row r="145" spans="1:17" x14ac:dyDescent="0.2">
      <c r="A145" s="120"/>
      <c r="B145" s="120"/>
      <c r="C145" s="130"/>
      <c r="D145" s="120"/>
      <c r="E145" s="120"/>
      <c r="F145" s="131"/>
      <c r="G145" s="131"/>
      <c r="H145" s="122" t="str">
        <f>IFERROR(VLOOKUP(B145,'[1]Debt Holding Consolidated'!$C$1:$N$65536,12,FALSE),"")</f>
        <v/>
      </c>
      <c r="J145" s="2"/>
    </row>
    <row r="146" spans="1:17" x14ac:dyDescent="0.2">
      <c r="A146" s="120"/>
      <c r="B146" s="120"/>
      <c r="C146" s="121" t="s">
        <v>177</v>
      </c>
      <c r="D146" s="120"/>
      <c r="E146" s="120"/>
      <c r="F146" s="131"/>
      <c r="G146" s="131"/>
      <c r="H146" s="122" t="str">
        <f>IFERROR(VLOOKUP(B146,'[1]Debt Holding Consolidated'!$C$1:$N$65536,12,FALSE),"")</f>
        <v/>
      </c>
      <c r="J146" s="2"/>
    </row>
    <row r="147" spans="1:17" x14ac:dyDescent="0.2">
      <c r="A147" s="120"/>
      <c r="B147" s="120"/>
      <c r="C147" s="121" t="s">
        <v>152</v>
      </c>
      <c r="D147" s="120"/>
      <c r="E147" s="120" t="s">
        <v>153</v>
      </c>
      <c r="F147" s="132" t="s">
        <v>155</v>
      </c>
      <c r="G147" s="129">
        <v>0</v>
      </c>
      <c r="H147" s="122" t="str">
        <f>IFERROR(VLOOKUP(B147,'[1]Debt Holding Consolidated'!$C$1:$N$65536,12,FALSE),"")</f>
        <v/>
      </c>
      <c r="J147" s="2"/>
    </row>
    <row r="148" spans="1:17" x14ac:dyDescent="0.2">
      <c r="A148" s="120"/>
      <c r="B148" s="120"/>
      <c r="C148" s="130"/>
      <c r="D148" s="120"/>
      <c r="E148" s="120"/>
      <c r="F148" s="131"/>
      <c r="G148" s="131"/>
      <c r="H148" s="122" t="str">
        <f>IFERROR(VLOOKUP(B148,'[1]Debt Holding Consolidated'!$C$1:$N$65536,12,FALSE),"")</f>
        <v/>
      </c>
      <c r="J148" s="2"/>
    </row>
    <row r="149" spans="1:17" x14ac:dyDescent="0.2">
      <c r="A149" s="133"/>
      <c r="B149" s="124"/>
      <c r="C149" s="124" t="s">
        <v>542</v>
      </c>
      <c r="D149" s="124"/>
      <c r="E149" s="133"/>
      <c r="F149" s="126">
        <v>-124.9895559</v>
      </c>
      <c r="G149" s="127">
        <v>-5.2559000000000004E-4</v>
      </c>
      <c r="H149" s="122" t="str">
        <f>IFERROR(VLOOKUP(B149,'[1]Debt Holding Consolidated'!$C$1:$N$65536,12,FALSE),"")</f>
        <v/>
      </c>
      <c r="J149" s="2"/>
    </row>
    <row r="150" spans="1:17" x14ac:dyDescent="0.2">
      <c r="A150" s="133"/>
      <c r="B150" s="124"/>
      <c r="C150" s="160" t="s">
        <v>942</v>
      </c>
      <c r="D150" s="124"/>
      <c r="E150" s="133"/>
      <c r="F150" s="126">
        <f>22308.66678846+F92</f>
        <v>2661.8257634599977</v>
      </c>
      <c r="G150" s="127">
        <f>F150/F151</f>
        <v>1.1193211875724673E-2</v>
      </c>
      <c r="H150" s="122" t="str">
        <f>IFERROR(VLOOKUP(B150,'[1]Debt Holding Consolidated'!$C$1:$N$65536,12,FALSE),"")</f>
        <v/>
      </c>
      <c r="J150" s="2"/>
    </row>
    <row r="151" spans="1:17" x14ac:dyDescent="0.2">
      <c r="A151" s="130"/>
      <c r="B151" s="130"/>
      <c r="C151" s="121" t="s">
        <v>179</v>
      </c>
      <c r="D151" s="131"/>
      <c r="E151" s="131"/>
      <c r="F151" s="128">
        <f>F150+F149+F140+F131+F94+F115</f>
        <v>237807.14534965999</v>
      </c>
      <c r="G151" s="134">
        <f>G150+G149+G140+G131+G94+G115</f>
        <v>1.0000000418757247</v>
      </c>
      <c r="H151" s="122" t="str">
        <f>IFERROR(VLOOKUP(B151,'[1]Debt Holding Consolidated'!$C$1:$N$65536,12,FALSE),"")</f>
        <v/>
      </c>
      <c r="J151" s="2"/>
    </row>
    <row r="152" spans="1:17" x14ac:dyDescent="0.2">
      <c r="A152" s="135"/>
      <c r="B152" s="135"/>
      <c r="C152" s="135"/>
      <c r="D152" s="136"/>
      <c r="E152" s="136"/>
      <c r="F152" s="136"/>
      <c r="G152" s="136"/>
      <c r="J152" s="2"/>
    </row>
    <row r="153" spans="1:17" x14ac:dyDescent="0.2">
      <c r="A153" s="137"/>
      <c r="B153" s="226" t="s">
        <v>863</v>
      </c>
      <c r="C153" s="226"/>
      <c r="D153" s="226"/>
      <c r="E153" s="226"/>
      <c r="F153" s="226"/>
      <c r="G153" s="226"/>
      <c r="H153" s="226"/>
      <c r="J153" s="2"/>
    </row>
    <row r="154" spans="1:17" x14ac:dyDescent="0.2">
      <c r="A154" s="137"/>
      <c r="B154" s="226" t="s">
        <v>864</v>
      </c>
      <c r="C154" s="226"/>
      <c r="D154" s="226"/>
      <c r="E154" s="226"/>
      <c r="F154" s="226"/>
      <c r="G154" s="226"/>
      <c r="H154" s="226"/>
      <c r="J154" s="2"/>
    </row>
    <row r="155" spans="1:17" x14ac:dyDescent="0.2">
      <c r="A155" s="137"/>
      <c r="B155" s="226" t="s">
        <v>865</v>
      </c>
      <c r="C155" s="226"/>
      <c r="D155" s="226"/>
      <c r="E155" s="226"/>
      <c r="F155" s="226"/>
      <c r="G155" s="226"/>
      <c r="H155" s="226"/>
      <c r="J155" s="2"/>
    </row>
    <row r="156" spans="1:17" s="5" customFormat="1" ht="58.5" customHeight="1" x14ac:dyDescent="0.25">
      <c r="A156" s="139"/>
      <c r="B156" s="227" t="s">
        <v>866</v>
      </c>
      <c r="C156" s="227"/>
      <c r="D156" s="227"/>
      <c r="E156" s="227"/>
      <c r="F156" s="227"/>
      <c r="G156" s="227"/>
      <c r="H156" s="227"/>
      <c r="I156"/>
      <c r="J156" s="2"/>
      <c r="K156"/>
      <c r="L156"/>
      <c r="M156"/>
      <c r="N156"/>
      <c r="O156"/>
      <c r="P156"/>
      <c r="Q156"/>
    </row>
    <row r="157" spans="1:17" x14ac:dyDescent="0.2">
      <c r="A157" s="137"/>
      <c r="B157" s="226" t="s">
        <v>867</v>
      </c>
      <c r="C157" s="226"/>
      <c r="D157" s="226"/>
      <c r="E157" s="226"/>
      <c r="F157" s="226"/>
      <c r="G157" s="226"/>
      <c r="H157" s="226"/>
      <c r="J157" s="2"/>
    </row>
    <row r="158" spans="1:17" x14ac:dyDescent="0.2">
      <c r="A158" s="140"/>
      <c r="B158" s="140"/>
      <c r="C158" s="140"/>
      <c r="D158" s="141"/>
      <c r="E158" s="141"/>
      <c r="F158" s="141"/>
      <c r="G158" s="141"/>
      <c r="J158" s="2"/>
    </row>
    <row r="159" spans="1:17" x14ac:dyDescent="0.2">
      <c r="A159" s="140"/>
      <c r="B159" s="228" t="s">
        <v>180</v>
      </c>
      <c r="C159" s="229"/>
      <c r="D159" s="230"/>
      <c r="E159" s="142"/>
      <c r="F159" s="141"/>
      <c r="G159" s="141"/>
      <c r="J159" s="2"/>
    </row>
    <row r="160" spans="1:17" x14ac:dyDescent="0.2">
      <c r="A160" s="140"/>
      <c r="B160" s="223" t="s">
        <v>181</v>
      </c>
      <c r="C160" s="224"/>
      <c r="D160" s="121" t="s">
        <v>182</v>
      </c>
      <c r="E160" s="142"/>
      <c r="F160" s="141"/>
      <c r="G160" s="141"/>
      <c r="J160" s="2"/>
    </row>
    <row r="161" spans="1:10" x14ac:dyDescent="0.2">
      <c r="A161" s="140"/>
      <c r="B161" s="223" t="s">
        <v>183</v>
      </c>
      <c r="C161" s="224"/>
      <c r="D161" s="121" t="s">
        <v>182</v>
      </c>
      <c r="E161" s="142"/>
      <c r="F161" s="141"/>
      <c r="G161" s="141"/>
      <c r="J161" s="2"/>
    </row>
    <row r="162" spans="1:10" x14ac:dyDescent="0.2">
      <c r="A162" s="140"/>
      <c r="B162" s="223" t="s">
        <v>184</v>
      </c>
      <c r="C162" s="224"/>
      <c r="D162" s="131" t="s">
        <v>153</v>
      </c>
      <c r="E162" s="142"/>
      <c r="F162" s="141"/>
      <c r="G162" s="141"/>
      <c r="J162" s="2"/>
    </row>
    <row r="163" spans="1:10" x14ac:dyDescent="0.2">
      <c r="A163" s="144"/>
      <c r="B163" s="145" t="s">
        <v>153</v>
      </c>
      <c r="C163" s="145" t="s">
        <v>870</v>
      </c>
      <c r="D163" s="145" t="s">
        <v>185</v>
      </c>
      <c r="E163" s="144"/>
      <c r="F163" s="144"/>
      <c r="G163" s="144"/>
      <c r="H163" s="144"/>
      <c r="J163" s="2"/>
    </row>
    <row r="164" spans="1:10" x14ac:dyDescent="0.2">
      <c r="A164" s="146"/>
      <c r="B164" s="147" t="s">
        <v>186</v>
      </c>
      <c r="C164" s="148">
        <v>45504</v>
      </c>
      <c r="D164" s="149">
        <v>45535</v>
      </c>
      <c r="E164" s="146"/>
      <c r="F164" s="146"/>
      <c r="G164" s="146"/>
      <c r="J164" s="2"/>
    </row>
    <row r="165" spans="1:10" x14ac:dyDescent="0.2">
      <c r="A165" s="146"/>
      <c r="B165" s="124" t="s">
        <v>187</v>
      </c>
      <c r="C165" s="150">
        <v>11.4314</v>
      </c>
      <c r="D165" s="150">
        <v>11.6404</v>
      </c>
      <c r="E165" s="146"/>
      <c r="F165" s="151"/>
      <c r="G165" s="152"/>
      <c r="J165" s="2"/>
    </row>
    <row r="166" spans="1:10" x14ac:dyDescent="0.2">
      <c r="A166" s="146"/>
      <c r="B166" s="124" t="s">
        <v>926</v>
      </c>
      <c r="C166" s="150">
        <v>11.4314</v>
      </c>
      <c r="D166" s="150">
        <v>11.6404</v>
      </c>
      <c r="E166" s="146"/>
      <c r="F166" s="151"/>
      <c r="G166" s="152"/>
      <c r="J166" s="2"/>
    </row>
    <row r="167" spans="1:10" x14ac:dyDescent="0.2">
      <c r="A167" s="146"/>
      <c r="B167" s="124" t="s">
        <v>188</v>
      </c>
      <c r="C167" s="150">
        <v>11.3302</v>
      </c>
      <c r="D167" s="150">
        <v>11.5206</v>
      </c>
      <c r="E167" s="146"/>
      <c r="F167" s="151"/>
      <c r="G167" s="152"/>
      <c r="J167" s="2"/>
    </row>
    <row r="168" spans="1:10" x14ac:dyDescent="0.2">
      <c r="A168" s="146"/>
      <c r="B168" s="124" t="s">
        <v>927</v>
      </c>
      <c r="C168" s="150">
        <v>11.3302</v>
      </c>
      <c r="D168" s="150">
        <v>11.5206</v>
      </c>
      <c r="E168" s="146"/>
      <c r="F168" s="151"/>
      <c r="G168" s="152"/>
      <c r="J168" s="2"/>
    </row>
    <row r="169" spans="1:10" x14ac:dyDescent="0.2">
      <c r="A169" s="146"/>
      <c r="B169" s="146"/>
      <c r="C169" s="146"/>
      <c r="D169" s="146"/>
      <c r="E169" s="146"/>
      <c r="F169" s="146"/>
      <c r="G169" s="146"/>
      <c r="J169" s="2"/>
    </row>
    <row r="170" spans="1:10" x14ac:dyDescent="0.2">
      <c r="A170" s="144"/>
      <c r="B170" s="221" t="s">
        <v>869</v>
      </c>
      <c r="C170" s="222"/>
      <c r="D170" s="143" t="s">
        <v>182</v>
      </c>
      <c r="E170" s="144"/>
      <c r="F170" s="144"/>
      <c r="G170" s="144"/>
      <c r="J170" s="2"/>
    </row>
    <row r="171" spans="1:10" x14ac:dyDescent="0.2">
      <c r="A171" s="144"/>
      <c r="B171" s="163"/>
      <c r="C171" s="163"/>
      <c r="D171" s="163"/>
      <c r="E171" s="144"/>
      <c r="F171" s="144"/>
      <c r="G171" s="144"/>
      <c r="J171" s="2"/>
    </row>
    <row r="172" spans="1:10" ht="29.1" customHeight="1" x14ac:dyDescent="0.2">
      <c r="A172" s="144"/>
      <c r="B172" s="221" t="s">
        <v>189</v>
      </c>
      <c r="C172" s="222"/>
      <c r="D172" s="143" t="s">
        <v>1000</v>
      </c>
      <c r="E172" s="153"/>
      <c r="F172" s="144"/>
      <c r="G172" s="144"/>
      <c r="J172" s="2"/>
    </row>
    <row r="173" spans="1:10" ht="29.1" customHeight="1" x14ac:dyDescent="0.2">
      <c r="A173" s="144"/>
      <c r="B173" s="221" t="s">
        <v>190</v>
      </c>
      <c r="C173" s="222"/>
      <c r="D173" s="143" t="s">
        <v>182</v>
      </c>
      <c r="E173" s="153"/>
      <c r="F173" s="144"/>
      <c r="G173" s="144"/>
      <c r="J173" s="2"/>
    </row>
    <row r="174" spans="1:10" ht="17.100000000000001" customHeight="1" x14ac:dyDescent="0.2">
      <c r="A174" s="144"/>
      <c r="B174" s="221" t="s">
        <v>191</v>
      </c>
      <c r="C174" s="222"/>
      <c r="D174" s="143" t="s">
        <v>182</v>
      </c>
      <c r="E174" s="153"/>
      <c r="F174" s="144"/>
      <c r="G174" s="144"/>
      <c r="J174" s="2"/>
    </row>
    <row r="175" spans="1:10" ht="17.100000000000001" customHeight="1" x14ac:dyDescent="0.2">
      <c r="A175" s="144"/>
      <c r="B175" s="221" t="s">
        <v>192</v>
      </c>
      <c r="C175" s="222"/>
      <c r="D175" s="154">
        <v>1.8922080141088515</v>
      </c>
      <c r="E175" s="144"/>
      <c r="F175" s="138"/>
      <c r="G175" s="155"/>
      <c r="J175" s="2"/>
    </row>
    <row r="176" spans="1:10" x14ac:dyDescent="0.2">
      <c r="J176" s="2"/>
    </row>
    <row r="177" spans="2:10" x14ac:dyDescent="0.2">
      <c r="B177" s="245" t="s">
        <v>963</v>
      </c>
      <c r="C177" s="246"/>
      <c r="D177" s="247"/>
      <c r="J177" s="2"/>
    </row>
    <row r="178" spans="2:10" ht="25.5" x14ac:dyDescent="0.2">
      <c r="B178" s="248" t="s">
        <v>964</v>
      </c>
      <c r="C178" s="248"/>
      <c r="D178" s="190" t="s">
        <v>837</v>
      </c>
    </row>
    <row r="179" spans="2:10" x14ac:dyDescent="0.2">
      <c r="B179" s="248" t="s">
        <v>965</v>
      </c>
      <c r="C179" s="248"/>
      <c r="D179" s="197"/>
    </row>
    <row r="180" spans="2:10" x14ac:dyDescent="0.2">
      <c r="B180" s="249"/>
      <c r="C180" s="250"/>
      <c r="D180" s="191"/>
    </row>
    <row r="181" spans="2:10" x14ac:dyDescent="0.2">
      <c r="B181" s="248" t="s">
        <v>966</v>
      </c>
      <c r="C181" s="248"/>
      <c r="D181" s="192">
        <v>6.8624003558112703</v>
      </c>
    </row>
    <row r="182" spans="2:10" x14ac:dyDescent="0.2">
      <c r="B182" s="249"/>
      <c r="C182" s="250"/>
      <c r="D182" s="191"/>
    </row>
    <row r="183" spans="2:10" x14ac:dyDescent="0.2">
      <c r="B183" s="248" t="s">
        <v>967</v>
      </c>
      <c r="C183" s="248"/>
      <c r="D183" s="192">
        <v>2.986216613107405</v>
      </c>
    </row>
    <row r="184" spans="2:10" x14ac:dyDescent="0.2">
      <c r="B184" s="248" t="s">
        <v>968</v>
      </c>
      <c r="C184" s="248"/>
      <c r="D184" s="192">
        <v>3.5876806071502538</v>
      </c>
    </row>
    <row r="185" spans="2:10" x14ac:dyDescent="0.2">
      <c r="B185" s="249"/>
      <c r="C185" s="250"/>
      <c r="D185" s="191"/>
    </row>
    <row r="186" spans="2:10" x14ac:dyDescent="0.2">
      <c r="B186" s="248" t="s">
        <v>969</v>
      </c>
      <c r="C186" s="248"/>
      <c r="D186" s="194" t="s">
        <v>1064</v>
      </c>
    </row>
    <row r="187" spans="2:10" x14ac:dyDescent="0.2">
      <c r="B187" s="249" t="s">
        <v>970</v>
      </c>
      <c r="C187" s="251"/>
      <c r="D187" s="250"/>
    </row>
  </sheetData>
  <mergeCells count="28">
    <mergeCell ref="B184:C184"/>
    <mergeCell ref="B185:C185"/>
    <mergeCell ref="B186:C186"/>
    <mergeCell ref="B187:D187"/>
    <mergeCell ref="B179:C179"/>
    <mergeCell ref="B180:C180"/>
    <mergeCell ref="B181:C181"/>
    <mergeCell ref="B182:C182"/>
    <mergeCell ref="B183:C183"/>
    <mergeCell ref="B160:C160"/>
    <mergeCell ref="A1:H1"/>
    <mergeCell ref="A2:H2"/>
    <mergeCell ref="A3:H3"/>
    <mergeCell ref="B153:H153"/>
    <mergeCell ref="B154:H154"/>
    <mergeCell ref="B155:H155"/>
    <mergeCell ref="B156:H156"/>
    <mergeCell ref="B157:H157"/>
    <mergeCell ref="B159:D159"/>
    <mergeCell ref="B178:C178"/>
    <mergeCell ref="B161:C161"/>
    <mergeCell ref="B162:C162"/>
    <mergeCell ref="B170:C170"/>
    <mergeCell ref="B174:C174"/>
    <mergeCell ref="B175:C175"/>
    <mergeCell ref="B172:C172"/>
    <mergeCell ref="B173:C173"/>
    <mergeCell ref="B177:D177"/>
  </mergeCells>
  <hyperlinks>
    <hyperlink ref="I1" location="Index!B30" display="Index" xr:uid="{6706FF98-2E77-44A0-816B-AB4757AB23C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5CAAB-C52A-4416-85F3-190C200582BF}">
  <sheetPr>
    <pageSetUpPr fitToPage="1"/>
  </sheetPr>
  <dimension ref="B1:L229"/>
  <sheetViews>
    <sheetView zoomScaleNormal="100" workbookViewId="0"/>
  </sheetViews>
  <sheetFormatPr defaultRowHeight="13.5" x14ac:dyDescent="0.25"/>
  <cols>
    <col min="1" max="1" width="23" style="36" customWidth="1"/>
    <col min="2" max="2" width="42" style="36" customWidth="1"/>
    <col min="3" max="3" width="54.7109375" style="36" customWidth="1"/>
    <col min="4" max="4" width="17.28515625" style="36" bestFit="1" customWidth="1"/>
    <col min="5" max="5" width="20.140625" style="36" bestFit="1" customWidth="1"/>
    <col min="6" max="6" width="16.5703125" style="36" customWidth="1"/>
    <col min="7" max="7" width="18.7109375" style="36" bestFit="1" customWidth="1"/>
    <col min="8" max="8" width="17.5703125" style="36" customWidth="1"/>
    <col min="9" max="9" width="15.5703125" style="36" bestFit="1" customWidth="1"/>
    <col min="10" max="10" width="13.5703125" style="36" customWidth="1"/>
    <col min="11" max="11" width="20.5703125" style="36" customWidth="1"/>
    <col min="12" max="12" width="12.42578125" style="36" bestFit="1" customWidth="1"/>
    <col min="13" max="256" width="9.140625" style="36"/>
    <col min="257" max="257" width="23" style="36" customWidth="1"/>
    <col min="258" max="258" width="42" style="36" customWidth="1"/>
    <col min="259" max="259" width="54.7109375" style="36" customWidth="1"/>
    <col min="260" max="260" width="17.28515625" style="36" bestFit="1" customWidth="1"/>
    <col min="261" max="261" width="20.140625" style="36" bestFit="1" customWidth="1"/>
    <col min="262" max="262" width="16.5703125" style="36" customWidth="1"/>
    <col min="263" max="263" width="18.7109375" style="36" bestFit="1" customWidth="1"/>
    <col min="264" max="264" width="17.5703125" style="36" customWidth="1"/>
    <col min="265" max="265" width="15.5703125" style="36" bestFit="1" customWidth="1"/>
    <col min="266" max="266" width="13.5703125" style="36" customWidth="1"/>
    <col min="267" max="267" width="20.5703125" style="36" customWidth="1"/>
    <col min="268" max="268" width="12.42578125" style="36" bestFit="1" customWidth="1"/>
    <col min="269" max="512" width="9.140625" style="36"/>
    <col min="513" max="513" width="23" style="36" customWidth="1"/>
    <col min="514" max="514" width="42" style="36" customWidth="1"/>
    <col min="515" max="515" width="54.7109375" style="36" customWidth="1"/>
    <col min="516" max="516" width="17.28515625" style="36" bestFit="1" customWidth="1"/>
    <col min="517" max="517" width="20.140625" style="36" bestFit="1" customWidth="1"/>
    <col min="518" max="518" width="16.5703125" style="36" customWidth="1"/>
    <col min="519" max="519" width="18.7109375" style="36" bestFit="1" customWidth="1"/>
    <col min="520" max="520" width="17.5703125" style="36" customWidth="1"/>
    <col min="521" max="521" width="15.5703125" style="36" bestFit="1" customWidth="1"/>
    <col min="522" max="522" width="13.5703125" style="36" customWidth="1"/>
    <col min="523" max="523" width="20.5703125" style="36" customWidth="1"/>
    <col min="524" max="524" width="12.42578125" style="36" bestFit="1" customWidth="1"/>
    <col min="525" max="768" width="9.140625" style="36"/>
    <col min="769" max="769" width="23" style="36" customWidth="1"/>
    <col min="770" max="770" width="42" style="36" customWidth="1"/>
    <col min="771" max="771" width="54.7109375" style="36" customWidth="1"/>
    <col min="772" max="772" width="17.28515625" style="36" bestFit="1" customWidth="1"/>
    <col min="773" max="773" width="20.140625" style="36" bestFit="1" customWidth="1"/>
    <col min="774" max="774" width="16.5703125" style="36" customWidth="1"/>
    <col min="775" max="775" width="18.7109375" style="36" bestFit="1" customWidth="1"/>
    <col min="776" max="776" width="17.5703125" style="36" customWidth="1"/>
    <col min="777" max="777" width="15.5703125" style="36" bestFit="1" customWidth="1"/>
    <col min="778" max="778" width="13.5703125" style="36" customWidth="1"/>
    <col min="779" max="779" width="20.5703125" style="36" customWidth="1"/>
    <col min="780" max="780" width="12.42578125" style="36" bestFit="1" customWidth="1"/>
    <col min="781" max="1024" width="9.140625" style="36"/>
    <col min="1025" max="1025" width="23" style="36" customWidth="1"/>
    <col min="1026" max="1026" width="42" style="36" customWidth="1"/>
    <col min="1027" max="1027" width="54.7109375" style="36" customWidth="1"/>
    <col min="1028" max="1028" width="17.28515625" style="36" bestFit="1" customWidth="1"/>
    <col min="1029" max="1029" width="20.140625" style="36" bestFit="1" customWidth="1"/>
    <col min="1030" max="1030" width="16.5703125" style="36" customWidth="1"/>
    <col min="1031" max="1031" width="18.7109375" style="36" bestFit="1" customWidth="1"/>
    <col min="1032" max="1032" width="17.5703125" style="36" customWidth="1"/>
    <col min="1033" max="1033" width="15.5703125" style="36" bestFit="1" customWidth="1"/>
    <col min="1034" max="1034" width="13.5703125" style="36" customWidth="1"/>
    <col min="1035" max="1035" width="20.5703125" style="36" customWidth="1"/>
    <col min="1036" max="1036" width="12.42578125" style="36" bestFit="1" customWidth="1"/>
    <col min="1037" max="1280" width="9.140625" style="36"/>
    <col min="1281" max="1281" width="23" style="36" customWidth="1"/>
    <col min="1282" max="1282" width="42" style="36" customWidth="1"/>
    <col min="1283" max="1283" width="54.7109375" style="36" customWidth="1"/>
    <col min="1284" max="1284" width="17.28515625" style="36" bestFit="1" customWidth="1"/>
    <col min="1285" max="1285" width="20.140625" style="36" bestFit="1" customWidth="1"/>
    <col min="1286" max="1286" width="16.5703125" style="36" customWidth="1"/>
    <col min="1287" max="1287" width="18.7109375" style="36" bestFit="1" customWidth="1"/>
    <col min="1288" max="1288" width="17.5703125" style="36" customWidth="1"/>
    <col min="1289" max="1289" width="15.5703125" style="36" bestFit="1" customWidth="1"/>
    <col min="1290" max="1290" width="13.5703125" style="36" customWidth="1"/>
    <col min="1291" max="1291" width="20.5703125" style="36" customWidth="1"/>
    <col min="1292" max="1292" width="12.42578125" style="36" bestFit="1" customWidth="1"/>
    <col min="1293" max="1536" width="9.140625" style="36"/>
    <col min="1537" max="1537" width="23" style="36" customWidth="1"/>
    <col min="1538" max="1538" width="42" style="36" customWidth="1"/>
    <col min="1539" max="1539" width="54.7109375" style="36" customWidth="1"/>
    <col min="1540" max="1540" width="17.28515625" style="36" bestFit="1" customWidth="1"/>
    <col min="1541" max="1541" width="20.140625" style="36" bestFit="1" customWidth="1"/>
    <col min="1542" max="1542" width="16.5703125" style="36" customWidth="1"/>
    <col min="1543" max="1543" width="18.7109375" style="36" bestFit="1" customWidth="1"/>
    <col min="1544" max="1544" width="17.5703125" style="36" customWidth="1"/>
    <col min="1545" max="1545" width="15.5703125" style="36" bestFit="1" customWidth="1"/>
    <col min="1546" max="1546" width="13.5703125" style="36" customWidth="1"/>
    <col min="1547" max="1547" width="20.5703125" style="36" customWidth="1"/>
    <col min="1548" max="1548" width="12.42578125" style="36" bestFit="1" customWidth="1"/>
    <col min="1549" max="1792" width="9.140625" style="36"/>
    <col min="1793" max="1793" width="23" style="36" customWidth="1"/>
    <col min="1794" max="1794" width="42" style="36" customWidth="1"/>
    <col min="1795" max="1795" width="54.7109375" style="36" customWidth="1"/>
    <col min="1796" max="1796" width="17.28515625" style="36" bestFit="1" customWidth="1"/>
    <col min="1797" max="1797" width="20.140625" style="36" bestFit="1" customWidth="1"/>
    <col min="1798" max="1798" width="16.5703125" style="36" customWidth="1"/>
    <col min="1799" max="1799" width="18.7109375" style="36" bestFit="1" customWidth="1"/>
    <col min="1800" max="1800" width="17.5703125" style="36" customWidth="1"/>
    <col min="1801" max="1801" width="15.5703125" style="36" bestFit="1" customWidth="1"/>
    <col min="1802" max="1802" width="13.5703125" style="36" customWidth="1"/>
    <col min="1803" max="1803" width="20.5703125" style="36" customWidth="1"/>
    <col min="1804" max="1804" width="12.42578125" style="36" bestFit="1" customWidth="1"/>
    <col min="1805" max="2048" width="9.140625" style="36"/>
    <col min="2049" max="2049" width="23" style="36" customWidth="1"/>
    <col min="2050" max="2050" width="42" style="36" customWidth="1"/>
    <col min="2051" max="2051" width="54.7109375" style="36" customWidth="1"/>
    <col min="2052" max="2052" width="17.28515625" style="36" bestFit="1" customWidth="1"/>
    <col min="2053" max="2053" width="20.140625" style="36" bestFit="1" customWidth="1"/>
    <col min="2054" max="2054" width="16.5703125" style="36" customWidth="1"/>
    <col min="2055" max="2055" width="18.7109375" style="36" bestFit="1" customWidth="1"/>
    <col min="2056" max="2056" width="17.5703125" style="36" customWidth="1"/>
    <col min="2057" max="2057" width="15.5703125" style="36" bestFit="1" customWidth="1"/>
    <col min="2058" max="2058" width="13.5703125" style="36" customWidth="1"/>
    <col min="2059" max="2059" width="20.5703125" style="36" customWidth="1"/>
    <col min="2060" max="2060" width="12.42578125" style="36" bestFit="1" customWidth="1"/>
    <col min="2061" max="2304" width="9.140625" style="36"/>
    <col min="2305" max="2305" width="23" style="36" customWidth="1"/>
    <col min="2306" max="2306" width="42" style="36" customWidth="1"/>
    <col min="2307" max="2307" width="54.7109375" style="36" customWidth="1"/>
    <col min="2308" max="2308" width="17.28515625" style="36" bestFit="1" customWidth="1"/>
    <col min="2309" max="2309" width="20.140625" style="36" bestFit="1" customWidth="1"/>
    <col min="2310" max="2310" width="16.5703125" style="36" customWidth="1"/>
    <col min="2311" max="2311" width="18.7109375" style="36" bestFit="1" customWidth="1"/>
    <col min="2312" max="2312" width="17.5703125" style="36" customWidth="1"/>
    <col min="2313" max="2313" width="15.5703125" style="36" bestFit="1" customWidth="1"/>
    <col min="2314" max="2314" width="13.5703125" style="36" customWidth="1"/>
    <col min="2315" max="2315" width="20.5703125" style="36" customWidth="1"/>
    <col min="2316" max="2316" width="12.42578125" style="36" bestFit="1" customWidth="1"/>
    <col min="2317" max="2560" width="9.140625" style="36"/>
    <col min="2561" max="2561" width="23" style="36" customWidth="1"/>
    <col min="2562" max="2562" width="42" style="36" customWidth="1"/>
    <col min="2563" max="2563" width="54.7109375" style="36" customWidth="1"/>
    <col min="2564" max="2564" width="17.28515625" style="36" bestFit="1" customWidth="1"/>
    <col min="2565" max="2565" width="20.140625" style="36" bestFit="1" customWidth="1"/>
    <col min="2566" max="2566" width="16.5703125" style="36" customWidth="1"/>
    <col min="2567" max="2567" width="18.7109375" style="36" bestFit="1" customWidth="1"/>
    <col min="2568" max="2568" width="17.5703125" style="36" customWidth="1"/>
    <col min="2569" max="2569" width="15.5703125" style="36" bestFit="1" customWidth="1"/>
    <col min="2570" max="2570" width="13.5703125" style="36" customWidth="1"/>
    <col min="2571" max="2571" width="20.5703125" style="36" customWidth="1"/>
    <col min="2572" max="2572" width="12.42578125" style="36" bestFit="1" customWidth="1"/>
    <col min="2573" max="2816" width="9.140625" style="36"/>
    <col min="2817" max="2817" width="23" style="36" customWidth="1"/>
    <col min="2818" max="2818" width="42" style="36" customWidth="1"/>
    <col min="2819" max="2819" width="54.7109375" style="36" customWidth="1"/>
    <col min="2820" max="2820" width="17.28515625" style="36" bestFit="1" customWidth="1"/>
    <col min="2821" max="2821" width="20.140625" style="36" bestFit="1" customWidth="1"/>
    <col min="2822" max="2822" width="16.5703125" style="36" customWidth="1"/>
    <col min="2823" max="2823" width="18.7109375" style="36" bestFit="1" customWidth="1"/>
    <col min="2824" max="2824" width="17.5703125" style="36" customWidth="1"/>
    <col min="2825" max="2825" width="15.5703125" style="36" bestFit="1" customWidth="1"/>
    <col min="2826" max="2826" width="13.5703125" style="36" customWidth="1"/>
    <col min="2827" max="2827" width="20.5703125" style="36" customWidth="1"/>
    <col min="2828" max="2828" width="12.42578125" style="36" bestFit="1" customWidth="1"/>
    <col min="2829" max="3072" width="9.140625" style="36"/>
    <col min="3073" max="3073" width="23" style="36" customWidth="1"/>
    <col min="3074" max="3074" width="42" style="36" customWidth="1"/>
    <col min="3075" max="3075" width="54.7109375" style="36" customWidth="1"/>
    <col min="3076" max="3076" width="17.28515625" style="36" bestFit="1" customWidth="1"/>
    <col min="3077" max="3077" width="20.140625" style="36" bestFit="1" customWidth="1"/>
    <col min="3078" max="3078" width="16.5703125" style="36" customWidth="1"/>
    <col min="3079" max="3079" width="18.7109375" style="36" bestFit="1" customWidth="1"/>
    <col min="3080" max="3080" width="17.5703125" style="36" customWidth="1"/>
    <col min="3081" max="3081" width="15.5703125" style="36" bestFit="1" customWidth="1"/>
    <col min="3082" max="3082" width="13.5703125" style="36" customWidth="1"/>
    <col min="3083" max="3083" width="20.5703125" style="36" customWidth="1"/>
    <col min="3084" max="3084" width="12.42578125" style="36" bestFit="1" customWidth="1"/>
    <col min="3085" max="3328" width="9.140625" style="36"/>
    <col min="3329" max="3329" width="23" style="36" customWidth="1"/>
    <col min="3330" max="3330" width="42" style="36" customWidth="1"/>
    <col min="3331" max="3331" width="54.7109375" style="36" customWidth="1"/>
    <col min="3332" max="3332" width="17.28515625" style="36" bestFit="1" customWidth="1"/>
    <col min="3333" max="3333" width="20.140625" style="36" bestFit="1" customWidth="1"/>
    <col min="3334" max="3334" width="16.5703125" style="36" customWidth="1"/>
    <col min="3335" max="3335" width="18.7109375" style="36" bestFit="1" customWidth="1"/>
    <col min="3336" max="3336" width="17.5703125" style="36" customWidth="1"/>
    <col min="3337" max="3337" width="15.5703125" style="36" bestFit="1" customWidth="1"/>
    <col min="3338" max="3338" width="13.5703125" style="36" customWidth="1"/>
    <col min="3339" max="3339" width="20.5703125" style="36" customWidth="1"/>
    <col min="3340" max="3340" width="12.42578125" style="36" bestFit="1" customWidth="1"/>
    <col min="3341" max="3584" width="9.140625" style="36"/>
    <col min="3585" max="3585" width="23" style="36" customWidth="1"/>
    <col min="3586" max="3586" width="42" style="36" customWidth="1"/>
    <col min="3587" max="3587" width="54.7109375" style="36" customWidth="1"/>
    <col min="3588" max="3588" width="17.28515625" style="36" bestFit="1" customWidth="1"/>
    <col min="3589" max="3589" width="20.140625" style="36" bestFit="1" customWidth="1"/>
    <col min="3590" max="3590" width="16.5703125" style="36" customWidth="1"/>
    <col min="3591" max="3591" width="18.7109375" style="36" bestFit="1" customWidth="1"/>
    <col min="3592" max="3592" width="17.5703125" style="36" customWidth="1"/>
    <col min="3593" max="3593" width="15.5703125" style="36" bestFit="1" customWidth="1"/>
    <col min="3594" max="3594" width="13.5703125" style="36" customWidth="1"/>
    <col min="3595" max="3595" width="20.5703125" style="36" customWidth="1"/>
    <col min="3596" max="3596" width="12.42578125" style="36" bestFit="1" customWidth="1"/>
    <col min="3597" max="3840" width="9.140625" style="36"/>
    <col min="3841" max="3841" width="23" style="36" customWidth="1"/>
    <col min="3842" max="3842" width="42" style="36" customWidth="1"/>
    <col min="3843" max="3843" width="54.7109375" style="36" customWidth="1"/>
    <col min="3844" max="3844" width="17.28515625" style="36" bestFit="1" customWidth="1"/>
    <col min="3845" max="3845" width="20.140625" style="36" bestFit="1" customWidth="1"/>
    <col min="3846" max="3846" width="16.5703125" style="36" customWidth="1"/>
    <col min="3847" max="3847" width="18.7109375" style="36" bestFit="1" customWidth="1"/>
    <col min="3848" max="3848" width="17.5703125" style="36" customWidth="1"/>
    <col min="3849" max="3849" width="15.5703125" style="36" bestFit="1" customWidth="1"/>
    <col min="3850" max="3850" width="13.5703125" style="36" customWidth="1"/>
    <col min="3851" max="3851" width="20.5703125" style="36" customWidth="1"/>
    <col min="3852" max="3852" width="12.42578125" style="36" bestFit="1" customWidth="1"/>
    <col min="3853" max="4096" width="9.140625" style="36"/>
    <col min="4097" max="4097" width="23" style="36" customWidth="1"/>
    <col min="4098" max="4098" width="42" style="36" customWidth="1"/>
    <col min="4099" max="4099" width="54.7109375" style="36" customWidth="1"/>
    <col min="4100" max="4100" width="17.28515625" style="36" bestFit="1" customWidth="1"/>
    <col min="4101" max="4101" width="20.140625" style="36" bestFit="1" customWidth="1"/>
    <col min="4102" max="4102" width="16.5703125" style="36" customWidth="1"/>
    <col min="4103" max="4103" width="18.7109375" style="36" bestFit="1" customWidth="1"/>
    <col min="4104" max="4104" width="17.5703125" style="36" customWidth="1"/>
    <col min="4105" max="4105" width="15.5703125" style="36" bestFit="1" customWidth="1"/>
    <col min="4106" max="4106" width="13.5703125" style="36" customWidth="1"/>
    <col min="4107" max="4107" width="20.5703125" style="36" customWidth="1"/>
    <col min="4108" max="4108" width="12.42578125" style="36" bestFit="1" customWidth="1"/>
    <col min="4109" max="4352" width="9.140625" style="36"/>
    <col min="4353" max="4353" width="23" style="36" customWidth="1"/>
    <col min="4354" max="4354" width="42" style="36" customWidth="1"/>
    <col min="4355" max="4355" width="54.7109375" style="36" customWidth="1"/>
    <col min="4356" max="4356" width="17.28515625" style="36" bestFit="1" customWidth="1"/>
    <col min="4357" max="4357" width="20.140625" style="36" bestFit="1" customWidth="1"/>
    <col min="4358" max="4358" width="16.5703125" style="36" customWidth="1"/>
    <col min="4359" max="4359" width="18.7109375" style="36" bestFit="1" customWidth="1"/>
    <col min="4360" max="4360" width="17.5703125" style="36" customWidth="1"/>
    <col min="4361" max="4361" width="15.5703125" style="36" bestFit="1" customWidth="1"/>
    <col min="4362" max="4362" width="13.5703125" style="36" customWidth="1"/>
    <col min="4363" max="4363" width="20.5703125" style="36" customWidth="1"/>
    <col min="4364" max="4364" width="12.42578125" style="36" bestFit="1" customWidth="1"/>
    <col min="4365" max="4608" width="9.140625" style="36"/>
    <col min="4609" max="4609" width="23" style="36" customWidth="1"/>
    <col min="4610" max="4610" width="42" style="36" customWidth="1"/>
    <col min="4611" max="4611" width="54.7109375" style="36" customWidth="1"/>
    <col min="4612" max="4612" width="17.28515625" style="36" bestFit="1" customWidth="1"/>
    <col min="4613" max="4613" width="20.140625" style="36" bestFit="1" customWidth="1"/>
    <col min="4614" max="4614" width="16.5703125" style="36" customWidth="1"/>
    <col min="4615" max="4615" width="18.7109375" style="36" bestFit="1" customWidth="1"/>
    <col min="4616" max="4616" width="17.5703125" style="36" customWidth="1"/>
    <col min="4617" max="4617" width="15.5703125" style="36" bestFit="1" customWidth="1"/>
    <col min="4618" max="4618" width="13.5703125" style="36" customWidth="1"/>
    <col min="4619" max="4619" width="20.5703125" style="36" customWidth="1"/>
    <col min="4620" max="4620" width="12.42578125" style="36" bestFit="1" customWidth="1"/>
    <col min="4621" max="4864" width="9.140625" style="36"/>
    <col min="4865" max="4865" width="23" style="36" customWidth="1"/>
    <col min="4866" max="4866" width="42" style="36" customWidth="1"/>
    <col min="4867" max="4867" width="54.7109375" style="36" customWidth="1"/>
    <col min="4868" max="4868" width="17.28515625" style="36" bestFit="1" customWidth="1"/>
    <col min="4869" max="4869" width="20.140625" style="36" bestFit="1" customWidth="1"/>
    <col min="4870" max="4870" width="16.5703125" style="36" customWidth="1"/>
    <col min="4871" max="4871" width="18.7109375" style="36" bestFit="1" customWidth="1"/>
    <col min="4872" max="4872" width="17.5703125" style="36" customWidth="1"/>
    <col min="4873" max="4873" width="15.5703125" style="36" bestFit="1" customWidth="1"/>
    <col min="4874" max="4874" width="13.5703125" style="36" customWidth="1"/>
    <col min="4875" max="4875" width="20.5703125" style="36" customWidth="1"/>
    <col min="4876" max="4876" width="12.42578125" style="36" bestFit="1" customWidth="1"/>
    <col min="4877" max="5120" width="9.140625" style="36"/>
    <col min="5121" max="5121" width="23" style="36" customWidth="1"/>
    <col min="5122" max="5122" width="42" style="36" customWidth="1"/>
    <col min="5123" max="5123" width="54.7109375" style="36" customWidth="1"/>
    <col min="5124" max="5124" width="17.28515625" style="36" bestFit="1" customWidth="1"/>
    <col min="5125" max="5125" width="20.140625" style="36" bestFit="1" customWidth="1"/>
    <col min="5126" max="5126" width="16.5703125" style="36" customWidth="1"/>
    <col min="5127" max="5127" width="18.7109375" style="36" bestFit="1" customWidth="1"/>
    <col min="5128" max="5128" width="17.5703125" style="36" customWidth="1"/>
    <col min="5129" max="5129" width="15.5703125" style="36" bestFit="1" customWidth="1"/>
    <col min="5130" max="5130" width="13.5703125" style="36" customWidth="1"/>
    <col min="5131" max="5131" width="20.5703125" style="36" customWidth="1"/>
    <col min="5132" max="5132" width="12.42578125" style="36" bestFit="1" customWidth="1"/>
    <col min="5133" max="5376" width="9.140625" style="36"/>
    <col min="5377" max="5377" width="23" style="36" customWidth="1"/>
    <col min="5378" max="5378" width="42" style="36" customWidth="1"/>
    <col min="5379" max="5379" width="54.7109375" style="36" customWidth="1"/>
    <col min="5380" max="5380" width="17.28515625" style="36" bestFit="1" customWidth="1"/>
    <col min="5381" max="5381" width="20.140625" style="36" bestFit="1" customWidth="1"/>
    <col min="5382" max="5382" width="16.5703125" style="36" customWidth="1"/>
    <col min="5383" max="5383" width="18.7109375" style="36" bestFit="1" customWidth="1"/>
    <col min="5384" max="5384" width="17.5703125" style="36" customWidth="1"/>
    <col min="5385" max="5385" width="15.5703125" style="36" bestFit="1" customWidth="1"/>
    <col min="5386" max="5386" width="13.5703125" style="36" customWidth="1"/>
    <col min="5387" max="5387" width="20.5703125" style="36" customWidth="1"/>
    <col min="5388" max="5388" width="12.42578125" style="36" bestFit="1" customWidth="1"/>
    <col min="5389" max="5632" width="9.140625" style="36"/>
    <col min="5633" max="5633" width="23" style="36" customWidth="1"/>
    <col min="5634" max="5634" width="42" style="36" customWidth="1"/>
    <col min="5635" max="5635" width="54.7109375" style="36" customWidth="1"/>
    <col min="5636" max="5636" width="17.28515625" style="36" bestFit="1" customWidth="1"/>
    <col min="5637" max="5637" width="20.140625" style="36" bestFit="1" customWidth="1"/>
    <col min="5638" max="5638" width="16.5703125" style="36" customWidth="1"/>
    <col min="5639" max="5639" width="18.7109375" style="36" bestFit="1" customWidth="1"/>
    <col min="5640" max="5640" width="17.5703125" style="36" customWidth="1"/>
    <col min="5641" max="5641" width="15.5703125" style="36" bestFit="1" customWidth="1"/>
    <col min="5642" max="5642" width="13.5703125" style="36" customWidth="1"/>
    <col min="5643" max="5643" width="20.5703125" style="36" customWidth="1"/>
    <col min="5644" max="5644" width="12.42578125" style="36" bestFit="1" customWidth="1"/>
    <col min="5645" max="5888" width="9.140625" style="36"/>
    <col min="5889" max="5889" width="23" style="36" customWidth="1"/>
    <col min="5890" max="5890" width="42" style="36" customWidth="1"/>
    <col min="5891" max="5891" width="54.7109375" style="36" customWidth="1"/>
    <col min="5892" max="5892" width="17.28515625" style="36" bestFit="1" customWidth="1"/>
    <col min="5893" max="5893" width="20.140625" style="36" bestFit="1" customWidth="1"/>
    <col min="5894" max="5894" width="16.5703125" style="36" customWidth="1"/>
    <col min="5895" max="5895" width="18.7109375" style="36" bestFit="1" customWidth="1"/>
    <col min="5896" max="5896" width="17.5703125" style="36" customWidth="1"/>
    <col min="5897" max="5897" width="15.5703125" style="36" bestFit="1" customWidth="1"/>
    <col min="5898" max="5898" width="13.5703125" style="36" customWidth="1"/>
    <col min="5899" max="5899" width="20.5703125" style="36" customWidth="1"/>
    <col min="5900" max="5900" width="12.42578125" style="36" bestFit="1" customWidth="1"/>
    <col min="5901" max="6144" width="9.140625" style="36"/>
    <col min="6145" max="6145" width="23" style="36" customWidth="1"/>
    <col min="6146" max="6146" width="42" style="36" customWidth="1"/>
    <col min="6147" max="6147" width="54.7109375" style="36" customWidth="1"/>
    <col min="6148" max="6148" width="17.28515625" style="36" bestFit="1" customWidth="1"/>
    <col min="6149" max="6149" width="20.140625" style="36" bestFit="1" customWidth="1"/>
    <col min="6150" max="6150" width="16.5703125" style="36" customWidth="1"/>
    <col min="6151" max="6151" width="18.7109375" style="36" bestFit="1" customWidth="1"/>
    <col min="6152" max="6152" width="17.5703125" style="36" customWidth="1"/>
    <col min="6153" max="6153" width="15.5703125" style="36" bestFit="1" customWidth="1"/>
    <col min="6154" max="6154" width="13.5703125" style="36" customWidth="1"/>
    <col min="6155" max="6155" width="20.5703125" style="36" customWidth="1"/>
    <col min="6156" max="6156" width="12.42578125" style="36" bestFit="1" customWidth="1"/>
    <col min="6157" max="6400" width="9.140625" style="36"/>
    <col min="6401" max="6401" width="23" style="36" customWidth="1"/>
    <col min="6402" max="6402" width="42" style="36" customWidth="1"/>
    <col min="6403" max="6403" width="54.7109375" style="36" customWidth="1"/>
    <col min="6404" max="6404" width="17.28515625" style="36" bestFit="1" customWidth="1"/>
    <col min="6405" max="6405" width="20.140625" style="36" bestFit="1" customWidth="1"/>
    <col min="6406" max="6406" width="16.5703125" style="36" customWidth="1"/>
    <col min="6407" max="6407" width="18.7109375" style="36" bestFit="1" customWidth="1"/>
    <col min="6408" max="6408" width="17.5703125" style="36" customWidth="1"/>
    <col min="6409" max="6409" width="15.5703125" style="36" bestFit="1" customWidth="1"/>
    <col min="6410" max="6410" width="13.5703125" style="36" customWidth="1"/>
    <col min="6411" max="6411" width="20.5703125" style="36" customWidth="1"/>
    <col min="6412" max="6412" width="12.42578125" style="36" bestFit="1" customWidth="1"/>
    <col min="6413" max="6656" width="9.140625" style="36"/>
    <col min="6657" max="6657" width="23" style="36" customWidth="1"/>
    <col min="6658" max="6658" width="42" style="36" customWidth="1"/>
    <col min="6659" max="6659" width="54.7109375" style="36" customWidth="1"/>
    <col min="6660" max="6660" width="17.28515625" style="36" bestFit="1" customWidth="1"/>
    <col min="6661" max="6661" width="20.140625" style="36" bestFit="1" customWidth="1"/>
    <col min="6662" max="6662" width="16.5703125" style="36" customWidth="1"/>
    <col min="6663" max="6663" width="18.7109375" style="36" bestFit="1" customWidth="1"/>
    <col min="6664" max="6664" width="17.5703125" style="36" customWidth="1"/>
    <col min="6665" max="6665" width="15.5703125" style="36" bestFit="1" customWidth="1"/>
    <col min="6666" max="6666" width="13.5703125" style="36" customWidth="1"/>
    <col min="6667" max="6667" width="20.5703125" style="36" customWidth="1"/>
    <col min="6668" max="6668" width="12.42578125" style="36" bestFit="1" customWidth="1"/>
    <col min="6669" max="6912" width="9.140625" style="36"/>
    <col min="6913" max="6913" width="23" style="36" customWidth="1"/>
    <col min="6914" max="6914" width="42" style="36" customWidth="1"/>
    <col min="6915" max="6915" width="54.7109375" style="36" customWidth="1"/>
    <col min="6916" max="6916" width="17.28515625" style="36" bestFit="1" customWidth="1"/>
    <col min="6917" max="6917" width="20.140625" style="36" bestFit="1" customWidth="1"/>
    <col min="6918" max="6918" width="16.5703125" style="36" customWidth="1"/>
    <col min="6919" max="6919" width="18.7109375" style="36" bestFit="1" customWidth="1"/>
    <col min="6920" max="6920" width="17.5703125" style="36" customWidth="1"/>
    <col min="6921" max="6921" width="15.5703125" style="36" bestFit="1" customWidth="1"/>
    <col min="6922" max="6922" width="13.5703125" style="36" customWidth="1"/>
    <col min="6923" max="6923" width="20.5703125" style="36" customWidth="1"/>
    <col min="6924" max="6924" width="12.42578125" style="36" bestFit="1" customWidth="1"/>
    <col min="6925" max="7168" width="9.140625" style="36"/>
    <col min="7169" max="7169" width="23" style="36" customWidth="1"/>
    <col min="7170" max="7170" width="42" style="36" customWidth="1"/>
    <col min="7171" max="7171" width="54.7109375" style="36" customWidth="1"/>
    <col min="7172" max="7172" width="17.28515625" style="36" bestFit="1" customWidth="1"/>
    <col min="7173" max="7173" width="20.140625" style="36" bestFit="1" customWidth="1"/>
    <col min="7174" max="7174" width="16.5703125" style="36" customWidth="1"/>
    <col min="7175" max="7175" width="18.7109375" style="36" bestFit="1" customWidth="1"/>
    <col min="7176" max="7176" width="17.5703125" style="36" customWidth="1"/>
    <col min="7177" max="7177" width="15.5703125" style="36" bestFit="1" customWidth="1"/>
    <col min="7178" max="7178" width="13.5703125" style="36" customWidth="1"/>
    <col min="7179" max="7179" width="20.5703125" style="36" customWidth="1"/>
    <col min="7180" max="7180" width="12.42578125" style="36" bestFit="1" customWidth="1"/>
    <col min="7181" max="7424" width="9.140625" style="36"/>
    <col min="7425" max="7425" width="23" style="36" customWidth="1"/>
    <col min="7426" max="7426" width="42" style="36" customWidth="1"/>
    <col min="7427" max="7427" width="54.7109375" style="36" customWidth="1"/>
    <col min="7428" max="7428" width="17.28515625" style="36" bestFit="1" customWidth="1"/>
    <col min="7429" max="7429" width="20.140625" style="36" bestFit="1" customWidth="1"/>
    <col min="7430" max="7430" width="16.5703125" style="36" customWidth="1"/>
    <col min="7431" max="7431" width="18.7109375" style="36" bestFit="1" customWidth="1"/>
    <col min="7432" max="7432" width="17.5703125" style="36" customWidth="1"/>
    <col min="7433" max="7433" width="15.5703125" style="36" bestFit="1" customWidth="1"/>
    <col min="7434" max="7434" width="13.5703125" style="36" customWidth="1"/>
    <col min="7435" max="7435" width="20.5703125" style="36" customWidth="1"/>
    <col min="7436" max="7436" width="12.42578125" style="36" bestFit="1" customWidth="1"/>
    <col min="7437" max="7680" width="9.140625" style="36"/>
    <col min="7681" max="7681" width="23" style="36" customWidth="1"/>
    <col min="7682" max="7682" width="42" style="36" customWidth="1"/>
    <col min="7683" max="7683" width="54.7109375" style="36" customWidth="1"/>
    <col min="7684" max="7684" width="17.28515625" style="36" bestFit="1" customWidth="1"/>
    <col min="7685" max="7685" width="20.140625" style="36" bestFit="1" customWidth="1"/>
    <col min="7686" max="7686" width="16.5703125" style="36" customWidth="1"/>
    <col min="7687" max="7687" width="18.7109375" style="36" bestFit="1" customWidth="1"/>
    <col min="7688" max="7688" width="17.5703125" style="36" customWidth="1"/>
    <col min="7689" max="7689" width="15.5703125" style="36" bestFit="1" customWidth="1"/>
    <col min="7690" max="7690" width="13.5703125" style="36" customWidth="1"/>
    <col min="7691" max="7691" width="20.5703125" style="36" customWidth="1"/>
    <col min="7692" max="7692" width="12.42578125" style="36" bestFit="1" customWidth="1"/>
    <col min="7693" max="7936" width="9.140625" style="36"/>
    <col min="7937" max="7937" width="23" style="36" customWidth="1"/>
    <col min="7938" max="7938" width="42" style="36" customWidth="1"/>
    <col min="7939" max="7939" width="54.7109375" style="36" customWidth="1"/>
    <col min="7940" max="7940" width="17.28515625" style="36" bestFit="1" customWidth="1"/>
    <col min="7941" max="7941" width="20.140625" style="36" bestFit="1" customWidth="1"/>
    <col min="7942" max="7942" width="16.5703125" style="36" customWidth="1"/>
    <col min="7943" max="7943" width="18.7109375" style="36" bestFit="1" customWidth="1"/>
    <col min="7944" max="7944" width="17.5703125" style="36" customWidth="1"/>
    <col min="7945" max="7945" width="15.5703125" style="36" bestFit="1" customWidth="1"/>
    <col min="7946" max="7946" width="13.5703125" style="36" customWidth="1"/>
    <col min="7947" max="7947" width="20.5703125" style="36" customWidth="1"/>
    <col min="7948" max="7948" width="12.42578125" style="36" bestFit="1" customWidth="1"/>
    <col min="7949" max="8192" width="9.140625" style="36"/>
    <col min="8193" max="8193" width="23" style="36" customWidth="1"/>
    <col min="8194" max="8194" width="42" style="36" customWidth="1"/>
    <col min="8195" max="8195" width="54.7109375" style="36" customWidth="1"/>
    <col min="8196" max="8196" width="17.28515625" style="36" bestFit="1" customWidth="1"/>
    <col min="8197" max="8197" width="20.140625" style="36" bestFit="1" customWidth="1"/>
    <col min="8198" max="8198" width="16.5703125" style="36" customWidth="1"/>
    <col min="8199" max="8199" width="18.7109375" style="36" bestFit="1" customWidth="1"/>
    <col min="8200" max="8200" width="17.5703125" style="36" customWidth="1"/>
    <col min="8201" max="8201" width="15.5703125" style="36" bestFit="1" customWidth="1"/>
    <col min="8202" max="8202" width="13.5703125" style="36" customWidth="1"/>
    <col min="8203" max="8203" width="20.5703125" style="36" customWidth="1"/>
    <col min="8204" max="8204" width="12.42578125" style="36" bestFit="1" customWidth="1"/>
    <col min="8205" max="8448" width="9.140625" style="36"/>
    <col min="8449" max="8449" width="23" style="36" customWidth="1"/>
    <col min="8450" max="8450" width="42" style="36" customWidth="1"/>
    <col min="8451" max="8451" width="54.7109375" style="36" customWidth="1"/>
    <col min="8452" max="8452" width="17.28515625" style="36" bestFit="1" customWidth="1"/>
    <col min="8453" max="8453" width="20.140625" style="36" bestFit="1" customWidth="1"/>
    <col min="8454" max="8454" width="16.5703125" style="36" customWidth="1"/>
    <col min="8455" max="8455" width="18.7109375" style="36" bestFit="1" customWidth="1"/>
    <col min="8456" max="8456" width="17.5703125" style="36" customWidth="1"/>
    <col min="8457" max="8457" width="15.5703125" style="36" bestFit="1" customWidth="1"/>
    <col min="8458" max="8458" width="13.5703125" style="36" customWidth="1"/>
    <col min="8459" max="8459" width="20.5703125" style="36" customWidth="1"/>
    <col min="8460" max="8460" width="12.42578125" style="36" bestFit="1" customWidth="1"/>
    <col min="8461" max="8704" width="9.140625" style="36"/>
    <col min="8705" max="8705" width="23" style="36" customWidth="1"/>
    <col min="8706" max="8706" width="42" style="36" customWidth="1"/>
    <col min="8707" max="8707" width="54.7109375" style="36" customWidth="1"/>
    <col min="8708" max="8708" width="17.28515625" style="36" bestFit="1" customWidth="1"/>
    <col min="8709" max="8709" width="20.140625" style="36" bestFit="1" customWidth="1"/>
    <col min="8710" max="8710" width="16.5703125" style="36" customWidth="1"/>
    <col min="8711" max="8711" width="18.7109375" style="36" bestFit="1" customWidth="1"/>
    <col min="8712" max="8712" width="17.5703125" style="36" customWidth="1"/>
    <col min="8713" max="8713" width="15.5703125" style="36" bestFit="1" customWidth="1"/>
    <col min="8714" max="8714" width="13.5703125" style="36" customWidth="1"/>
    <col min="8715" max="8715" width="20.5703125" style="36" customWidth="1"/>
    <col min="8716" max="8716" width="12.42578125" style="36" bestFit="1" customWidth="1"/>
    <col min="8717" max="8960" width="9.140625" style="36"/>
    <col min="8961" max="8961" width="23" style="36" customWidth="1"/>
    <col min="8962" max="8962" width="42" style="36" customWidth="1"/>
    <col min="8963" max="8963" width="54.7109375" style="36" customWidth="1"/>
    <col min="8964" max="8964" width="17.28515625" style="36" bestFit="1" customWidth="1"/>
    <col min="8965" max="8965" width="20.140625" style="36" bestFit="1" customWidth="1"/>
    <col min="8966" max="8966" width="16.5703125" style="36" customWidth="1"/>
    <col min="8967" max="8967" width="18.7109375" style="36" bestFit="1" customWidth="1"/>
    <col min="8968" max="8968" width="17.5703125" style="36" customWidth="1"/>
    <col min="8969" max="8969" width="15.5703125" style="36" bestFit="1" customWidth="1"/>
    <col min="8970" max="8970" width="13.5703125" style="36" customWidth="1"/>
    <col min="8971" max="8971" width="20.5703125" style="36" customWidth="1"/>
    <col min="8972" max="8972" width="12.42578125" style="36" bestFit="1" customWidth="1"/>
    <col min="8973" max="9216" width="9.140625" style="36"/>
    <col min="9217" max="9217" width="23" style="36" customWidth="1"/>
    <col min="9218" max="9218" width="42" style="36" customWidth="1"/>
    <col min="9219" max="9219" width="54.7109375" style="36" customWidth="1"/>
    <col min="9220" max="9220" width="17.28515625" style="36" bestFit="1" customWidth="1"/>
    <col min="9221" max="9221" width="20.140625" style="36" bestFit="1" customWidth="1"/>
    <col min="9222" max="9222" width="16.5703125" style="36" customWidth="1"/>
    <col min="9223" max="9223" width="18.7109375" style="36" bestFit="1" customWidth="1"/>
    <col min="9224" max="9224" width="17.5703125" style="36" customWidth="1"/>
    <col min="9225" max="9225" width="15.5703125" style="36" bestFit="1" customWidth="1"/>
    <col min="9226" max="9226" width="13.5703125" style="36" customWidth="1"/>
    <col min="9227" max="9227" width="20.5703125" style="36" customWidth="1"/>
    <col min="9228" max="9228" width="12.42578125" style="36" bestFit="1" customWidth="1"/>
    <col min="9229" max="9472" width="9.140625" style="36"/>
    <col min="9473" max="9473" width="23" style="36" customWidth="1"/>
    <col min="9474" max="9474" width="42" style="36" customWidth="1"/>
    <col min="9475" max="9475" width="54.7109375" style="36" customWidth="1"/>
    <col min="9476" max="9476" width="17.28515625" style="36" bestFit="1" customWidth="1"/>
    <col min="9477" max="9477" width="20.140625" style="36" bestFit="1" customWidth="1"/>
    <col min="9478" max="9478" width="16.5703125" style="36" customWidth="1"/>
    <col min="9479" max="9479" width="18.7109375" style="36" bestFit="1" customWidth="1"/>
    <col min="9480" max="9480" width="17.5703125" style="36" customWidth="1"/>
    <col min="9481" max="9481" width="15.5703125" style="36" bestFit="1" customWidth="1"/>
    <col min="9482" max="9482" width="13.5703125" style="36" customWidth="1"/>
    <col min="9483" max="9483" width="20.5703125" style="36" customWidth="1"/>
    <col min="9484" max="9484" width="12.42578125" style="36" bestFit="1" customWidth="1"/>
    <col min="9485" max="9728" width="9.140625" style="36"/>
    <col min="9729" max="9729" width="23" style="36" customWidth="1"/>
    <col min="9730" max="9730" width="42" style="36" customWidth="1"/>
    <col min="9731" max="9731" width="54.7109375" style="36" customWidth="1"/>
    <col min="9732" max="9732" width="17.28515625" style="36" bestFit="1" customWidth="1"/>
    <col min="9733" max="9733" width="20.140625" style="36" bestFit="1" customWidth="1"/>
    <col min="9734" max="9734" width="16.5703125" style="36" customWidth="1"/>
    <col min="9735" max="9735" width="18.7109375" style="36" bestFit="1" customWidth="1"/>
    <col min="9736" max="9736" width="17.5703125" style="36" customWidth="1"/>
    <col min="9737" max="9737" width="15.5703125" style="36" bestFit="1" customWidth="1"/>
    <col min="9738" max="9738" width="13.5703125" style="36" customWidth="1"/>
    <col min="9739" max="9739" width="20.5703125" style="36" customWidth="1"/>
    <col min="9740" max="9740" width="12.42578125" style="36" bestFit="1" customWidth="1"/>
    <col min="9741" max="9984" width="9.140625" style="36"/>
    <col min="9985" max="9985" width="23" style="36" customWidth="1"/>
    <col min="9986" max="9986" width="42" style="36" customWidth="1"/>
    <col min="9987" max="9987" width="54.7109375" style="36" customWidth="1"/>
    <col min="9988" max="9988" width="17.28515625" style="36" bestFit="1" customWidth="1"/>
    <col min="9989" max="9989" width="20.140625" style="36" bestFit="1" customWidth="1"/>
    <col min="9990" max="9990" width="16.5703125" style="36" customWidth="1"/>
    <col min="9991" max="9991" width="18.7109375" style="36" bestFit="1" customWidth="1"/>
    <col min="9992" max="9992" width="17.5703125" style="36" customWidth="1"/>
    <col min="9993" max="9993" width="15.5703125" style="36" bestFit="1" customWidth="1"/>
    <col min="9994" max="9994" width="13.5703125" style="36" customWidth="1"/>
    <col min="9995" max="9995" width="20.5703125" style="36" customWidth="1"/>
    <col min="9996" max="9996" width="12.42578125" style="36" bestFit="1" customWidth="1"/>
    <col min="9997" max="10240" width="9.140625" style="36"/>
    <col min="10241" max="10241" width="23" style="36" customWidth="1"/>
    <col min="10242" max="10242" width="42" style="36" customWidth="1"/>
    <col min="10243" max="10243" width="54.7109375" style="36" customWidth="1"/>
    <col min="10244" max="10244" width="17.28515625" style="36" bestFit="1" customWidth="1"/>
    <col min="10245" max="10245" width="20.140625" style="36" bestFit="1" customWidth="1"/>
    <col min="10246" max="10246" width="16.5703125" style="36" customWidth="1"/>
    <col min="10247" max="10247" width="18.7109375" style="36" bestFit="1" customWidth="1"/>
    <col min="10248" max="10248" width="17.5703125" style="36" customWidth="1"/>
    <col min="10249" max="10249" width="15.5703125" style="36" bestFit="1" customWidth="1"/>
    <col min="10250" max="10250" width="13.5703125" style="36" customWidth="1"/>
    <col min="10251" max="10251" width="20.5703125" style="36" customWidth="1"/>
    <col min="10252" max="10252" width="12.42578125" style="36" bestFit="1" customWidth="1"/>
    <col min="10253" max="10496" width="9.140625" style="36"/>
    <col min="10497" max="10497" width="23" style="36" customWidth="1"/>
    <col min="10498" max="10498" width="42" style="36" customWidth="1"/>
    <col min="10499" max="10499" width="54.7109375" style="36" customWidth="1"/>
    <col min="10500" max="10500" width="17.28515625" style="36" bestFit="1" customWidth="1"/>
    <col min="10501" max="10501" width="20.140625" style="36" bestFit="1" customWidth="1"/>
    <col min="10502" max="10502" width="16.5703125" style="36" customWidth="1"/>
    <col min="10503" max="10503" width="18.7109375" style="36" bestFit="1" customWidth="1"/>
    <col min="10504" max="10504" width="17.5703125" style="36" customWidth="1"/>
    <col min="10505" max="10505" width="15.5703125" style="36" bestFit="1" customWidth="1"/>
    <col min="10506" max="10506" width="13.5703125" style="36" customWidth="1"/>
    <col min="10507" max="10507" width="20.5703125" style="36" customWidth="1"/>
    <col min="10508" max="10508" width="12.42578125" style="36" bestFit="1" customWidth="1"/>
    <col min="10509" max="10752" width="9.140625" style="36"/>
    <col min="10753" max="10753" width="23" style="36" customWidth="1"/>
    <col min="10754" max="10754" width="42" style="36" customWidth="1"/>
    <col min="10755" max="10755" width="54.7109375" style="36" customWidth="1"/>
    <col min="10756" max="10756" width="17.28515625" style="36" bestFit="1" customWidth="1"/>
    <col min="10757" max="10757" width="20.140625" style="36" bestFit="1" customWidth="1"/>
    <col min="10758" max="10758" width="16.5703125" style="36" customWidth="1"/>
    <col min="10759" max="10759" width="18.7109375" style="36" bestFit="1" customWidth="1"/>
    <col min="10760" max="10760" width="17.5703125" style="36" customWidth="1"/>
    <col min="10761" max="10761" width="15.5703125" style="36" bestFit="1" customWidth="1"/>
    <col min="10762" max="10762" width="13.5703125" style="36" customWidth="1"/>
    <col min="10763" max="10763" width="20.5703125" style="36" customWidth="1"/>
    <col min="10764" max="10764" width="12.42578125" style="36" bestFit="1" customWidth="1"/>
    <col min="10765" max="11008" width="9.140625" style="36"/>
    <col min="11009" max="11009" width="23" style="36" customWidth="1"/>
    <col min="11010" max="11010" width="42" style="36" customWidth="1"/>
    <col min="11011" max="11011" width="54.7109375" style="36" customWidth="1"/>
    <col min="11012" max="11012" width="17.28515625" style="36" bestFit="1" customWidth="1"/>
    <col min="11013" max="11013" width="20.140625" style="36" bestFit="1" customWidth="1"/>
    <col min="11014" max="11014" width="16.5703125" style="36" customWidth="1"/>
    <col min="11015" max="11015" width="18.7109375" style="36" bestFit="1" customWidth="1"/>
    <col min="11016" max="11016" width="17.5703125" style="36" customWidth="1"/>
    <col min="11017" max="11017" width="15.5703125" style="36" bestFit="1" customWidth="1"/>
    <col min="11018" max="11018" width="13.5703125" style="36" customWidth="1"/>
    <col min="11019" max="11019" width="20.5703125" style="36" customWidth="1"/>
    <col min="11020" max="11020" width="12.42578125" style="36" bestFit="1" customWidth="1"/>
    <col min="11021" max="11264" width="9.140625" style="36"/>
    <col min="11265" max="11265" width="23" style="36" customWidth="1"/>
    <col min="11266" max="11266" width="42" style="36" customWidth="1"/>
    <col min="11267" max="11267" width="54.7109375" style="36" customWidth="1"/>
    <col min="11268" max="11268" width="17.28515625" style="36" bestFit="1" customWidth="1"/>
    <col min="11269" max="11269" width="20.140625" style="36" bestFit="1" customWidth="1"/>
    <col min="11270" max="11270" width="16.5703125" style="36" customWidth="1"/>
    <col min="11271" max="11271" width="18.7109375" style="36" bestFit="1" customWidth="1"/>
    <col min="11272" max="11272" width="17.5703125" style="36" customWidth="1"/>
    <col min="11273" max="11273" width="15.5703125" style="36" bestFit="1" customWidth="1"/>
    <col min="11274" max="11274" width="13.5703125" style="36" customWidth="1"/>
    <col min="11275" max="11275" width="20.5703125" style="36" customWidth="1"/>
    <col min="11276" max="11276" width="12.42578125" style="36" bestFit="1" customWidth="1"/>
    <col min="11277" max="11520" width="9.140625" style="36"/>
    <col min="11521" max="11521" width="23" style="36" customWidth="1"/>
    <col min="11522" max="11522" width="42" style="36" customWidth="1"/>
    <col min="11523" max="11523" width="54.7109375" style="36" customWidth="1"/>
    <col min="11524" max="11524" width="17.28515625" style="36" bestFit="1" customWidth="1"/>
    <col min="11525" max="11525" width="20.140625" style="36" bestFit="1" customWidth="1"/>
    <col min="11526" max="11526" width="16.5703125" style="36" customWidth="1"/>
    <col min="11527" max="11527" width="18.7109375" style="36" bestFit="1" customWidth="1"/>
    <col min="11528" max="11528" width="17.5703125" style="36" customWidth="1"/>
    <col min="11529" max="11529" width="15.5703125" style="36" bestFit="1" customWidth="1"/>
    <col min="11530" max="11530" width="13.5703125" style="36" customWidth="1"/>
    <col min="11531" max="11531" width="20.5703125" style="36" customWidth="1"/>
    <col min="11532" max="11532" width="12.42578125" style="36" bestFit="1" customWidth="1"/>
    <col min="11533" max="11776" width="9.140625" style="36"/>
    <col min="11777" max="11777" width="23" style="36" customWidth="1"/>
    <col min="11778" max="11778" width="42" style="36" customWidth="1"/>
    <col min="11779" max="11779" width="54.7109375" style="36" customWidth="1"/>
    <col min="11780" max="11780" width="17.28515625" style="36" bestFit="1" customWidth="1"/>
    <col min="11781" max="11781" width="20.140625" style="36" bestFit="1" customWidth="1"/>
    <col min="11782" max="11782" width="16.5703125" style="36" customWidth="1"/>
    <col min="11783" max="11783" width="18.7109375" style="36" bestFit="1" customWidth="1"/>
    <col min="11784" max="11784" width="17.5703125" style="36" customWidth="1"/>
    <col min="11785" max="11785" width="15.5703125" style="36" bestFit="1" customWidth="1"/>
    <col min="11786" max="11786" width="13.5703125" style="36" customWidth="1"/>
    <col min="11787" max="11787" width="20.5703125" style="36" customWidth="1"/>
    <col min="11788" max="11788" width="12.42578125" style="36" bestFit="1" customWidth="1"/>
    <col min="11789" max="12032" width="9.140625" style="36"/>
    <col min="12033" max="12033" width="23" style="36" customWidth="1"/>
    <col min="12034" max="12034" width="42" style="36" customWidth="1"/>
    <col min="12035" max="12035" width="54.7109375" style="36" customWidth="1"/>
    <col min="12036" max="12036" width="17.28515625" style="36" bestFit="1" customWidth="1"/>
    <col min="12037" max="12037" width="20.140625" style="36" bestFit="1" customWidth="1"/>
    <col min="12038" max="12038" width="16.5703125" style="36" customWidth="1"/>
    <col min="12039" max="12039" width="18.7109375" style="36" bestFit="1" customWidth="1"/>
    <col min="12040" max="12040" width="17.5703125" style="36" customWidth="1"/>
    <col min="12041" max="12041" width="15.5703125" style="36" bestFit="1" customWidth="1"/>
    <col min="12042" max="12042" width="13.5703125" style="36" customWidth="1"/>
    <col min="12043" max="12043" width="20.5703125" style="36" customWidth="1"/>
    <col min="12044" max="12044" width="12.42578125" style="36" bestFit="1" customWidth="1"/>
    <col min="12045" max="12288" width="9.140625" style="36"/>
    <col min="12289" max="12289" width="23" style="36" customWidth="1"/>
    <col min="12290" max="12290" width="42" style="36" customWidth="1"/>
    <col min="12291" max="12291" width="54.7109375" style="36" customWidth="1"/>
    <col min="12292" max="12292" width="17.28515625" style="36" bestFit="1" customWidth="1"/>
    <col min="12293" max="12293" width="20.140625" style="36" bestFit="1" customWidth="1"/>
    <col min="12294" max="12294" width="16.5703125" style="36" customWidth="1"/>
    <col min="12295" max="12295" width="18.7109375" style="36" bestFit="1" customWidth="1"/>
    <col min="12296" max="12296" width="17.5703125" style="36" customWidth="1"/>
    <col min="12297" max="12297" width="15.5703125" style="36" bestFit="1" customWidth="1"/>
    <col min="12298" max="12298" width="13.5703125" style="36" customWidth="1"/>
    <col min="12299" max="12299" width="20.5703125" style="36" customWidth="1"/>
    <col min="12300" max="12300" width="12.42578125" style="36" bestFit="1" customWidth="1"/>
    <col min="12301" max="12544" width="9.140625" style="36"/>
    <col min="12545" max="12545" width="23" style="36" customWidth="1"/>
    <col min="12546" max="12546" width="42" style="36" customWidth="1"/>
    <col min="12547" max="12547" width="54.7109375" style="36" customWidth="1"/>
    <col min="12548" max="12548" width="17.28515625" style="36" bestFit="1" customWidth="1"/>
    <col min="12549" max="12549" width="20.140625" style="36" bestFit="1" customWidth="1"/>
    <col min="12550" max="12550" width="16.5703125" style="36" customWidth="1"/>
    <col min="12551" max="12551" width="18.7109375" style="36" bestFit="1" customWidth="1"/>
    <col min="12552" max="12552" width="17.5703125" style="36" customWidth="1"/>
    <col min="12553" max="12553" width="15.5703125" style="36" bestFit="1" customWidth="1"/>
    <col min="12554" max="12554" width="13.5703125" style="36" customWidth="1"/>
    <col min="12555" max="12555" width="20.5703125" style="36" customWidth="1"/>
    <col min="12556" max="12556" width="12.42578125" style="36" bestFit="1" customWidth="1"/>
    <col min="12557" max="12800" width="9.140625" style="36"/>
    <col min="12801" max="12801" width="23" style="36" customWidth="1"/>
    <col min="12802" max="12802" width="42" style="36" customWidth="1"/>
    <col min="12803" max="12803" width="54.7109375" style="36" customWidth="1"/>
    <col min="12804" max="12804" width="17.28515625" style="36" bestFit="1" customWidth="1"/>
    <col min="12805" max="12805" width="20.140625" style="36" bestFit="1" customWidth="1"/>
    <col min="12806" max="12806" width="16.5703125" style="36" customWidth="1"/>
    <col min="12807" max="12807" width="18.7109375" style="36" bestFit="1" customWidth="1"/>
    <col min="12808" max="12808" width="17.5703125" style="36" customWidth="1"/>
    <col min="12809" max="12809" width="15.5703125" style="36" bestFit="1" customWidth="1"/>
    <col min="12810" max="12810" width="13.5703125" style="36" customWidth="1"/>
    <col min="12811" max="12811" width="20.5703125" style="36" customWidth="1"/>
    <col min="12812" max="12812" width="12.42578125" style="36" bestFit="1" customWidth="1"/>
    <col min="12813" max="13056" width="9.140625" style="36"/>
    <col min="13057" max="13057" width="23" style="36" customWidth="1"/>
    <col min="13058" max="13058" width="42" style="36" customWidth="1"/>
    <col min="13059" max="13059" width="54.7109375" style="36" customWidth="1"/>
    <col min="13060" max="13060" width="17.28515625" style="36" bestFit="1" customWidth="1"/>
    <col min="13061" max="13061" width="20.140625" style="36" bestFit="1" customWidth="1"/>
    <col min="13062" max="13062" width="16.5703125" style="36" customWidth="1"/>
    <col min="13063" max="13063" width="18.7109375" style="36" bestFit="1" customWidth="1"/>
    <col min="13064" max="13064" width="17.5703125" style="36" customWidth="1"/>
    <col min="13065" max="13065" width="15.5703125" style="36" bestFit="1" customWidth="1"/>
    <col min="13066" max="13066" width="13.5703125" style="36" customWidth="1"/>
    <col min="13067" max="13067" width="20.5703125" style="36" customWidth="1"/>
    <col min="13068" max="13068" width="12.42578125" style="36" bestFit="1" customWidth="1"/>
    <col min="13069" max="13312" width="9.140625" style="36"/>
    <col min="13313" max="13313" width="23" style="36" customWidth="1"/>
    <col min="13314" max="13314" width="42" style="36" customWidth="1"/>
    <col min="13315" max="13315" width="54.7109375" style="36" customWidth="1"/>
    <col min="13316" max="13316" width="17.28515625" style="36" bestFit="1" customWidth="1"/>
    <col min="13317" max="13317" width="20.140625" style="36" bestFit="1" customWidth="1"/>
    <col min="13318" max="13318" width="16.5703125" style="36" customWidth="1"/>
    <col min="13319" max="13319" width="18.7109375" style="36" bestFit="1" customWidth="1"/>
    <col min="13320" max="13320" width="17.5703125" style="36" customWidth="1"/>
    <col min="13321" max="13321" width="15.5703125" style="36" bestFit="1" customWidth="1"/>
    <col min="13322" max="13322" width="13.5703125" style="36" customWidth="1"/>
    <col min="13323" max="13323" width="20.5703125" style="36" customWidth="1"/>
    <col min="13324" max="13324" width="12.42578125" style="36" bestFit="1" customWidth="1"/>
    <col min="13325" max="13568" width="9.140625" style="36"/>
    <col min="13569" max="13569" width="23" style="36" customWidth="1"/>
    <col min="13570" max="13570" width="42" style="36" customWidth="1"/>
    <col min="13571" max="13571" width="54.7109375" style="36" customWidth="1"/>
    <col min="13572" max="13572" width="17.28515625" style="36" bestFit="1" customWidth="1"/>
    <col min="13573" max="13573" width="20.140625" style="36" bestFit="1" customWidth="1"/>
    <col min="13574" max="13574" width="16.5703125" style="36" customWidth="1"/>
    <col min="13575" max="13575" width="18.7109375" style="36" bestFit="1" customWidth="1"/>
    <col min="13576" max="13576" width="17.5703125" style="36" customWidth="1"/>
    <col min="13577" max="13577" width="15.5703125" style="36" bestFit="1" customWidth="1"/>
    <col min="13578" max="13578" width="13.5703125" style="36" customWidth="1"/>
    <col min="13579" max="13579" width="20.5703125" style="36" customWidth="1"/>
    <col min="13580" max="13580" width="12.42578125" style="36" bestFit="1" customWidth="1"/>
    <col min="13581" max="13824" width="9.140625" style="36"/>
    <col min="13825" max="13825" width="23" style="36" customWidth="1"/>
    <col min="13826" max="13826" width="42" style="36" customWidth="1"/>
    <col min="13827" max="13827" width="54.7109375" style="36" customWidth="1"/>
    <col min="13828" max="13828" width="17.28515625" style="36" bestFit="1" customWidth="1"/>
    <col min="13829" max="13829" width="20.140625" style="36" bestFit="1" customWidth="1"/>
    <col min="13830" max="13830" width="16.5703125" style="36" customWidth="1"/>
    <col min="13831" max="13831" width="18.7109375" style="36" bestFit="1" customWidth="1"/>
    <col min="13832" max="13832" width="17.5703125" style="36" customWidth="1"/>
    <col min="13833" max="13833" width="15.5703125" style="36" bestFit="1" customWidth="1"/>
    <col min="13834" max="13834" width="13.5703125" style="36" customWidth="1"/>
    <col min="13835" max="13835" width="20.5703125" style="36" customWidth="1"/>
    <col min="13836" max="13836" width="12.42578125" style="36" bestFit="1" customWidth="1"/>
    <col min="13837" max="14080" width="9.140625" style="36"/>
    <col min="14081" max="14081" width="23" style="36" customWidth="1"/>
    <col min="14082" max="14082" width="42" style="36" customWidth="1"/>
    <col min="14083" max="14083" width="54.7109375" style="36" customWidth="1"/>
    <col min="14084" max="14084" width="17.28515625" style="36" bestFit="1" customWidth="1"/>
    <col min="14085" max="14085" width="20.140625" style="36" bestFit="1" customWidth="1"/>
    <col min="14086" max="14086" width="16.5703125" style="36" customWidth="1"/>
    <col min="14087" max="14087" width="18.7109375" style="36" bestFit="1" customWidth="1"/>
    <col min="14088" max="14088" width="17.5703125" style="36" customWidth="1"/>
    <col min="14089" max="14089" width="15.5703125" style="36" bestFit="1" customWidth="1"/>
    <col min="14090" max="14090" width="13.5703125" style="36" customWidth="1"/>
    <col min="14091" max="14091" width="20.5703125" style="36" customWidth="1"/>
    <col min="14092" max="14092" width="12.42578125" style="36" bestFit="1" customWidth="1"/>
    <col min="14093" max="14336" width="9.140625" style="36"/>
    <col min="14337" max="14337" width="23" style="36" customWidth="1"/>
    <col min="14338" max="14338" width="42" style="36" customWidth="1"/>
    <col min="14339" max="14339" width="54.7109375" style="36" customWidth="1"/>
    <col min="14340" max="14340" width="17.28515625" style="36" bestFit="1" customWidth="1"/>
    <col min="14341" max="14341" width="20.140625" style="36" bestFit="1" customWidth="1"/>
    <col min="14342" max="14342" width="16.5703125" style="36" customWidth="1"/>
    <col min="14343" max="14343" width="18.7109375" style="36" bestFit="1" customWidth="1"/>
    <col min="14344" max="14344" width="17.5703125" style="36" customWidth="1"/>
    <col min="14345" max="14345" width="15.5703125" style="36" bestFit="1" customWidth="1"/>
    <col min="14346" max="14346" width="13.5703125" style="36" customWidth="1"/>
    <col min="14347" max="14347" width="20.5703125" style="36" customWidth="1"/>
    <col min="14348" max="14348" width="12.42578125" style="36" bestFit="1" customWidth="1"/>
    <col min="14349" max="14592" width="9.140625" style="36"/>
    <col min="14593" max="14593" width="23" style="36" customWidth="1"/>
    <col min="14594" max="14594" width="42" style="36" customWidth="1"/>
    <col min="14595" max="14595" width="54.7109375" style="36" customWidth="1"/>
    <col min="14596" max="14596" width="17.28515625" style="36" bestFit="1" customWidth="1"/>
    <col min="14597" max="14597" width="20.140625" style="36" bestFit="1" customWidth="1"/>
    <col min="14598" max="14598" width="16.5703125" style="36" customWidth="1"/>
    <col min="14599" max="14599" width="18.7109375" style="36" bestFit="1" customWidth="1"/>
    <col min="14600" max="14600" width="17.5703125" style="36" customWidth="1"/>
    <col min="14601" max="14601" width="15.5703125" style="36" bestFit="1" customWidth="1"/>
    <col min="14602" max="14602" width="13.5703125" style="36" customWidth="1"/>
    <col min="14603" max="14603" width="20.5703125" style="36" customWidth="1"/>
    <col min="14604" max="14604" width="12.42578125" style="36" bestFit="1" customWidth="1"/>
    <col min="14605" max="14848" width="9.140625" style="36"/>
    <col min="14849" max="14849" width="23" style="36" customWidth="1"/>
    <col min="14850" max="14850" width="42" style="36" customWidth="1"/>
    <col min="14851" max="14851" width="54.7109375" style="36" customWidth="1"/>
    <col min="14852" max="14852" width="17.28515625" style="36" bestFit="1" customWidth="1"/>
    <col min="14853" max="14853" width="20.140625" style="36" bestFit="1" customWidth="1"/>
    <col min="14854" max="14854" width="16.5703125" style="36" customWidth="1"/>
    <col min="14855" max="14855" width="18.7109375" style="36" bestFit="1" customWidth="1"/>
    <col min="14856" max="14856" width="17.5703125" style="36" customWidth="1"/>
    <col min="14857" max="14857" width="15.5703125" style="36" bestFit="1" customWidth="1"/>
    <col min="14858" max="14858" width="13.5703125" style="36" customWidth="1"/>
    <col min="14859" max="14859" width="20.5703125" style="36" customWidth="1"/>
    <col min="14860" max="14860" width="12.42578125" style="36" bestFit="1" customWidth="1"/>
    <col min="14861" max="15104" width="9.140625" style="36"/>
    <col min="15105" max="15105" width="23" style="36" customWidth="1"/>
    <col min="15106" max="15106" width="42" style="36" customWidth="1"/>
    <col min="15107" max="15107" width="54.7109375" style="36" customWidth="1"/>
    <col min="15108" max="15108" width="17.28515625" style="36" bestFit="1" customWidth="1"/>
    <col min="15109" max="15109" width="20.140625" style="36" bestFit="1" customWidth="1"/>
    <col min="15110" max="15110" width="16.5703125" style="36" customWidth="1"/>
    <col min="15111" max="15111" width="18.7109375" style="36" bestFit="1" customWidth="1"/>
    <col min="15112" max="15112" width="17.5703125" style="36" customWidth="1"/>
    <col min="15113" max="15113" width="15.5703125" style="36" bestFit="1" customWidth="1"/>
    <col min="15114" max="15114" width="13.5703125" style="36" customWidth="1"/>
    <col min="15115" max="15115" width="20.5703125" style="36" customWidth="1"/>
    <col min="15116" max="15116" width="12.42578125" style="36" bestFit="1" customWidth="1"/>
    <col min="15117" max="15360" width="9.140625" style="36"/>
    <col min="15361" max="15361" width="23" style="36" customWidth="1"/>
    <col min="15362" max="15362" width="42" style="36" customWidth="1"/>
    <col min="15363" max="15363" width="54.7109375" style="36" customWidth="1"/>
    <col min="15364" max="15364" width="17.28515625" style="36" bestFit="1" customWidth="1"/>
    <col min="15365" max="15365" width="20.140625" style="36" bestFit="1" customWidth="1"/>
    <col min="15366" max="15366" width="16.5703125" style="36" customWidth="1"/>
    <col min="15367" max="15367" width="18.7109375" style="36" bestFit="1" customWidth="1"/>
    <col min="15368" max="15368" width="17.5703125" style="36" customWidth="1"/>
    <col min="15369" max="15369" width="15.5703125" style="36" bestFit="1" customWidth="1"/>
    <col min="15370" max="15370" width="13.5703125" style="36" customWidth="1"/>
    <col min="15371" max="15371" width="20.5703125" style="36" customWidth="1"/>
    <col min="15372" max="15372" width="12.42578125" style="36" bestFit="1" customWidth="1"/>
    <col min="15373" max="15616" width="9.140625" style="36"/>
    <col min="15617" max="15617" width="23" style="36" customWidth="1"/>
    <col min="15618" max="15618" width="42" style="36" customWidth="1"/>
    <col min="15619" max="15619" width="54.7109375" style="36" customWidth="1"/>
    <col min="15620" max="15620" width="17.28515625" style="36" bestFit="1" customWidth="1"/>
    <col min="15621" max="15621" width="20.140625" style="36" bestFit="1" customWidth="1"/>
    <col min="15622" max="15622" width="16.5703125" style="36" customWidth="1"/>
    <col min="15623" max="15623" width="18.7109375" style="36" bestFit="1" customWidth="1"/>
    <col min="15624" max="15624" width="17.5703125" style="36" customWidth="1"/>
    <col min="15625" max="15625" width="15.5703125" style="36" bestFit="1" customWidth="1"/>
    <col min="15626" max="15626" width="13.5703125" style="36" customWidth="1"/>
    <col min="15627" max="15627" width="20.5703125" style="36" customWidth="1"/>
    <col min="15628" max="15628" width="12.42578125" style="36" bestFit="1" customWidth="1"/>
    <col min="15629" max="15872" width="9.140625" style="36"/>
    <col min="15873" max="15873" width="23" style="36" customWidth="1"/>
    <col min="15874" max="15874" width="42" style="36" customWidth="1"/>
    <col min="15875" max="15875" width="54.7109375" style="36" customWidth="1"/>
    <col min="15876" max="15876" width="17.28515625" style="36" bestFit="1" customWidth="1"/>
    <col min="15877" max="15877" width="20.140625" style="36" bestFit="1" customWidth="1"/>
    <col min="15878" max="15878" width="16.5703125" style="36" customWidth="1"/>
    <col min="15879" max="15879" width="18.7109375" style="36" bestFit="1" customWidth="1"/>
    <col min="15880" max="15880" width="17.5703125" style="36" customWidth="1"/>
    <col min="15881" max="15881" width="15.5703125" style="36" bestFit="1" customWidth="1"/>
    <col min="15882" max="15882" width="13.5703125" style="36" customWidth="1"/>
    <col min="15883" max="15883" width="20.5703125" style="36" customWidth="1"/>
    <col min="15884" max="15884" width="12.42578125" style="36" bestFit="1" customWidth="1"/>
    <col min="15885" max="16128" width="9.140625" style="36"/>
    <col min="16129" max="16129" width="23" style="36" customWidth="1"/>
    <col min="16130" max="16130" width="42" style="36" customWidth="1"/>
    <col min="16131" max="16131" width="54.7109375" style="36" customWidth="1"/>
    <col min="16132" max="16132" width="17.28515625" style="36" bestFit="1" customWidth="1"/>
    <col min="16133" max="16133" width="20.140625" style="36" bestFit="1" customWidth="1"/>
    <col min="16134" max="16134" width="16.5703125" style="36" customWidth="1"/>
    <col min="16135" max="16135" width="18.7109375" style="36" bestFit="1" customWidth="1"/>
    <col min="16136" max="16136" width="17.5703125" style="36" customWidth="1"/>
    <col min="16137" max="16137" width="15.5703125" style="36" bestFit="1" customWidth="1"/>
    <col min="16138" max="16138" width="13.5703125" style="36" customWidth="1"/>
    <col min="16139" max="16139" width="20.5703125" style="36" customWidth="1"/>
    <col min="16140" max="16140" width="12.42578125" style="36" bestFit="1" customWidth="1"/>
    <col min="16141" max="16384" width="9.140625" style="36"/>
  </cols>
  <sheetData>
    <row r="1" spans="2:7" x14ac:dyDescent="0.25">
      <c r="G1" s="37" t="s">
        <v>1000</v>
      </c>
    </row>
    <row r="2" spans="2:7" x14ac:dyDescent="0.25">
      <c r="B2" s="252" t="s">
        <v>1081</v>
      </c>
      <c r="C2" s="252"/>
      <c r="D2" s="252"/>
      <c r="E2" s="252"/>
      <c r="F2" s="252"/>
      <c r="G2" s="252"/>
    </row>
    <row r="3" spans="2:7" x14ac:dyDescent="0.25">
      <c r="B3" s="252" t="s">
        <v>1082</v>
      </c>
      <c r="C3" s="252"/>
      <c r="D3" s="252"/>
      <c r="E3" s="252"/>
      <c r="F3" s="252"/>
      <c r="G3" s="252"/>
    </row>
    <row r="4" spans="2:7" x14ac:dyDescent="0.25">
      <c r="B4" s="37"/>
      <c r="C4" s="37"/>
      <c r="D4" s="37"/>
      <c r="E4" s="37"/>
      <c r="F4" s="37"/>
      <c r="G4" s="37"/>
    </row>
    <row r="5" spans="2:7" x14ac:dyDescent="0.25">
      <c r="B5" s="252" t="s">
        <v>1083</v>
      </c>
      <c r="C5" s="252"/>
      <c r="D5" s="252"/>
      <c r="E5" s="252"/>
      <c r="F5" s="252"/>
      <c r="G5" s="252"/>
    </row>
    <row r="6" spans="2:7" x14ac:dyDescent="0.25">
      <c r="B6" s="37" t="s">
        <v>1084</v>
      </c>
    </row>
    <row r="8" spans="2:7" ht="27" x14ac:dyDescent="0.25">
      <c r="B8" s="38" t="s">
        <v>1085</v>
      </c>
      <c r="C8" s="38" t="s">
        <v>1086</v>
      </c>
      <c r="D8" s="38" t="s">
        <v>1087</v>
      </c>
      <c r="E8" s="39" t="s">
        <v>1088</v>
      </c>
      <c r="F8" s="39" t="s">
        <v>1089</v>
      </c>
      <c r="G8" s="39" t="s">
        <v>1090</v>
      </c>
    </row>
    <row r="9" spans="2:7" x14ac:dyDescent="0.25">
      <c r="B9" s="40" t="s">
        <v>645</v>
      </c>
      <c r="C9" s="40" t="s">
        <v>1091</v>
      </c>
      <c r="D9" s="41" t="s">
        <v>1092</v>
      </c>
      <c r="E9" s="42">
        <v>223.5</v>
      </c>
      <c r="F9" s="43">
        <v>221.18</v>
      </c>
      <c r="G9" s="44">
        <v>50.849893800000011</v>
      </c>
    </row>
    <row r="10" spans="2:7" x14ac:dyDescent="0.25">
      <c r="B10" s="45" t="s">
        <v>645</v>
      </c>
      <c r="C10" s="45" t="s">
        <v>1093</v>
      </c>
      <c r="D10" s="46" t="s">
        <v>1092</v>
      </c>
      <c r="E10" s="42">
        <v>2330.0300000000002</v>
      </c>
      <c r="F10" s="43">
        <v>2345.1999999999998</v>
      </c>
      <c r="G10" s="44">
        <v>76.72062600000001</v>
      </c>
    </row>
    <row r="11" spans="2:7" x14ac:dyDescent="0.25">
      <c r="B11" s="45" t="s">
        <v>645</v>
      </c>
      <c r="C11" s="45" t="s">
        <v>1094</v>
      </c>
      <c r="D11" s="46" t="s">
        <v>1092</v>
      </c>
      <c r="E11" s="42">
        <v>1551.64</v>
      </c>
      <c r="F11" s="43">
        <v>1578.35</v>
      </c>
      <c r="G11" s="44">
        <v>39.803577599999997</v>
      </c>
    </row>
    <row r="12" spans="2:7" x14ac:dyDescent="0.25">
      <c r="B12" s="45" t="s">
        <v>645</v>
      </c>
      <c r="C12" s="45" t="s">
        <v>1095</v>
      </c>
      <c r="D12" s="46" t="s">
        <v>1092</v>
      </c>
      <c r="E12" s="42">
        <v>1162.3499999999999</v>
      </c>
      <c r="F12" s="43">
        <v>1183.5999999999999</v>
      </c>
      <c r="G12" s="44">
        <v>40.430974999999997</v>
      </c>
    </row>
    <row r="13" spans="2:7" x14ac:dyDescent="0.25">
      <c r="B13" s="45" t="s">
        <v>645</v>
      </c>
      <c r="C13" s="45" t="s">
        <v>1096</v>
      </c>
      <c r="D13" s="46" t="s">
        <v>1092</v>
      </c>
      <c r="E13" s="42">
        <v>6516.99</v>
      </c>
      <c r="F13" s="43">
        <v>7246.25</v>
      </c>
      <c r="G13" s="44">
        <v>15.978484</v>
      </c>
    </row>
    <row r="14" spans="2:7" x14ac:dyDescent="0.25">
      <c r="B14" s="45" t="s">
        <v>645</v>
      </c>
      <c r="C14" s="45" t="s">
        <v>1097</v>
      </c>
      <c r="D14" s="46" t="s">
        <v>1092</v>
      </c>
      <c r="E14" s="42">
        <v>252.56</v>
      </c>
      <c r="F14" s="43">
        <v>251.9</v>
      </c>
      <c r="G14" s="44">
        <v>91.226390400000014</v>
      </c>
    </row>
    <row r="15" spans="2:7" x14ac:dyDescent="0.25">
      <c r="B15" s="45" t="s">
        <v>645</v>
      </c>
      <c r="C15" s="45" t="s">
        <v>1098</v>
      </c>
      <c r="D15" s="46" t="s">
        <v>1092</v>
      </c>
      <c r="E15" s="42">
        <v>1515.54</v>
      </c>
      <c r="F15" s="43">
        <v>1594.45</v>
      </c>
      <c r="G15" s="44">
        <v>166.06604520000002</v>
      </c>
    </row>
    <row r="16" spans="2:7" x14ac:dyDescent="0.25">
      <c r="B16" s="45" t="s">
        <v>645</v>
      </c>
      <c r="C16" s="45" t="s">
        <v>1099</v>
      </c>
      <c r="D16" s="46" t="s">
        <v>1092</v>
      </c>
      <c r="E16" s="42">
        <v>112.25</v>
      </c>
      <c r="F16" s="43">
        <v>112.06</v>
      </c>
      <c r="G16" s="44">
        <v>43.169795000000001</v>
      </c>
    </row>
    <row r="17" spans="2:7" x14ac:dyDescent="0.25">
      <c r="B17" s="45" t="s">
        <v>645</v>
      </c>
      <c r="C17" s="45" t="s">
        <v>1100</v>
      </c>
      <c r="D17" s="46" t="s">
        <v>1092</v>
      </c>
      <c r="E17" s="42">
        <v>853.78</v>
      </c>
      <c r="F17" s="43">
        <v>850.3</v>
      </c>
      <c r="G17" s="44">
        <v>154.5004864</v>
      </c>
    </row>
    <row r="18" spans="2:7" x14ac:dyDescent="0.25">
      <c r="B18" s="45" t="s">
        <v>645</v>
      </c>
      <c r="C18" s="45" t="s">
        <v>1101</v>
      </c>
      <c r="D18" s="46" t="s">
        <v>1092</v>
      </c>
      <c r="E18" s="42">
        <v>635</v>
      </c>
      <c r="F18" s="43">
        <v>621.70000000000005</v>
      </c>
      <c r="G18" s="44">
        <v>208.26648</v>
      </c>
    </row>
    <row r="19" spans="2:7" x14ac:dyDescent="0.25">
      <c r="B19" s="45" t="s">
        <v>645</v>
      </c>
      <c r="C19" s="45" t="s">
        <v>1102</v>
      </c>
      <c r="D19" s="46" t="s">
        <v>1092</v>
      </c>
      <c r="E19" s="42">
        <v>1688.8</v>
      </c>
      <c r="F19" s="43">
        <v>1763.65</v>
      </c>
      <c r="G19" s="44">
        <v>10.892970999999999</v>
      </c>
    </row>
    <row r="20" spans="2:7" x14ac:dyDescent="0.25">
      <c r="B20" s="45" t="s">
        <v>645</v>
      </c>
      <c r="C20" s="45" t="s">
        <v>1103</v>
      </c>
      <c r="D20" s="46" t="s">
        <v>1092</v>
      </c>
      <c r="E20" s="42">
        <v>1644.06</v>
      </c>
      <c r="F20" s="43">
        <v>1643.45</v>
      </c>
      <c r="G20" s="44">
        <v>215.67452850000001</v>
      </c>
    </row>
    <row r="21" spans="2:7" x14ac:dyDescent="0.25">
      <c r="B21" s="45" t="s">
        <v>645</v>
      </c>
      <c r="C21" s="45" t="s">
        <v>1104</v>
      </c>
      <c r="D21" s="46" t="s">
        <v>1092</v>
      </c>
      <c r="E21" s="42">
        <v>2836.03</v>
      </c>
      <c r="F21" s="43">
        <v>2796.95</v>
      </c>
      <c r="G21" s="44">
        <v>2.9593996000000002</v>
      </c>
    </row>
    <row r="22" spans="2:7" x14ac:dyDescent="0.25">
      <c r="B22" s="45" t="s">
        <v>645</v>
      </c>
      <c r="C22" s="45" t="s">
        <v>1105</v>
      </c>
      <c r="D22" s="46" t="s">
        <v>1092</v>
      </c>
      <c r="E22" s="42">
        <v>1168.54</v>
      </c>
      <c r="F22" s="43">
        <v>1236.55</v>
      </c>
      <c r="G22" s="44">
        <v>25.9669016</v>
      </c>
    </row>
    <row r="23" spans="2:7" x14ac:dyDescent="0.25">
      <c r="B23" s="45" t="s">
        <v>645</v>
      </c>
      <c r="C23" s="45" t="s">
        <v>1106</v>
      </c>
      <c r="D23" s="46" t="s">
        <v>1092</v>
      </c>
      <c r="E23" s="42">
        <v>173.93</v>
      </c>
      <c r="F23" s="43">
        <v>178.02</v>
      </c>
      <c r="G23" s="44">
        <v>11.033304599999999</v>
      </c>
    </row>
    <row r="24" spans="2:7" x14ac:dyDescent="0.25">
      <c r="B24" s="45" t="s">
        <v>645</v>
      </c>
      <c r="C24" s="45" t="s">
        <v>1107</v>
      </c>
      <c r="D24" s="46" t="s">
        <v>1092</v>
      </c>
      <c r="E24" s="42">
        <v>437.23</v>
      </c>
      <c r="F24" s="43">
        <v>460.2</v>
      </c>
      <c r="G24" s="44">
        <v>335.371512</v>
      </c>
    </row>
    <row r="25" spans="2:7" x14ac:dyDescent="0.25">
      <c r="B25" s="45" t="s">
        <v>645</v>
      </c>
      <c r="C25" s="45" t="s">
        <v>1108</v>
      </c>
      <c r="D25" s="46" t="s">
        <v>1092</v>
      </c>
      <c r="E25" s="42">
        <v>503.66</v>
      </c>
      <c r="F25" s="43">
        <v>505.25</v>
      </c>
      <c r="G25" s="44">
        <v>8.5549199999999992</v>
      </c>
    </row>
    <row r="26" spans="2:7" x14ac:dyDescent="0.25">
      <c r="B26" s="45" t="s">
        <v>645</v>
      </c>
      <c r="C26" s="45" t="s">
        <v>1109</v>
      </c>
      <c r="D26" s="46" t="s">
        <v>1092</v>
      </c>
      <c r="E26" s="42">
        <v>1819.09</v>
      </c>
      <c r="F26" s="43">
        <v>1792.35</v>
      </c>
      <c r="G26" s="44">
        <v>29.086006999999999</v>
      </c>
    </row>
    <row r="27" spans="2:7" x14ac:dyDescent="0.25">
      <c r="B27" s="45" t="s">
        <v>645</v>
      </c>
      <c r="C27" s="45" t="s">
        <v>1110</v>
      </c>
      <c r="D27" s="46" t="s">
        <v>1092</v>
      </c>
      <c r="E27" s="42">
        <v>3726.64</v>
      </c>
      <c r="F27" s="43">
        <v>3728.2</v>
      </c>
      <c r="G27" s="44">
        <v>29.833065000000001</v>
      </c>
    </row>
    <row r="28" spans="2:7" x14ac:dyDescent="0.25">
      <c r="B28" s="45" t="s">
        <v>645</v>
      </c>
      <c r="C28" s="47" t="s">
        <v>1111</v>
      </c>
      <c r="D28" s="46" t="s">
        <v>1092</v>
      </c>
      <c r="E28" s="42">
        <v>217.87</v>
      </c>
      <c r="F28" s="43">
        <v>217.22</v>
      </c>
      <c r="G28" s="44">
        <v>137.472804</v>
      </c>
    </row>
    <row r="29" spans="2:7" x14ac:dyDescent="0.25">
      <c r="B29" s="45" t="s">
        <v>645</v>
      </c>
      <c r="C29" s="47" t="s">
        <v>1112</v>
      </c>
      <c r="D29" s="46" t="s">
        <v>1092</v>
      </c>
      <c r="E29" s="42">
        <v>399.58</v>
      </c>
      <c r="F29" s="43">
        <v>418.8</v>
      </c>
      <c r="G29" s="44">
        <v>11.31813</v>
      </c>
    </row>
    <row r="30" spans="2:7" x14ac:dyDescent="0.25">
      <c r="B30" s="45" t="s">
        <v>645</v>
      </c>
      <c r="C30" s="47" t="s">
        <v>1113</v>
      </c>
      <c r="D30" s="46" t="s">
        <v>1092</v>
      </c>
      <c r="E30" s="42">
        <v>3022.98</v>
      </c>
      <c r="F30" s="43">
        <v>3038.9</v>
      </c>
      <c r="G30" s="44">
        <v>147.40866800000001</v>
      </c>
    </row>
    <row r="31" spans="2:7" x14ac:dyDescent="0.25">
      <c r="B31" s="45" t="s">
        <v>645</v>
      </c>
      <c r="C31" s="47" t="s">
        <v>1114</v>
      </c>
      <c r="D31" s="46" t="s">
        <v>1092</v>
      </c>
      <c r="E31" s="42">
        <v>816.35</v>
      </c>
      <c r="F31" s="43">
        <v>821.05</v>
      </c>
      <c r="G31" s="44">
        <v>20.631610800000001</v>
      </c>
    </row>
    <row r="32" spans="2:7" x14ac:dyDescent="0.25">
      <c r="B32" s="45" t="s">
        <v>645</v>
      </c>
      <c r="C32" s="47" t="s">
        <v>1115</v>
      </c>
      <c r="D32" s="46" t="s">
        <v>1092</v>
      </c>
      <c r="E32" s="42">
        <v>1784.37</v>
      </c>
      <c r="F32" s="43">
        <v>1833.5</v>
      </c>
      <c r="G32" s="44">
        <v>63.388852800000002</v>
      </c>
    </row>
    <row r="33" spans="2:7" x14ac:dyDescent="0.25">
      <c r="B33" s="45" t="s">
        <v>645</v>
      </c>
      <c r="C33" s="47" t="s">
        <v>1116</v>
      </c>
      <c r="D33" s="46" t="s">
        <v>1092</v>
      </c>
      <c r="E33" s="42">
        <v>4268.9799999999996</v>
      </c>
      <c r="F33" s="43">
        <v>4579.3999999999996</v>
      </c>
      <c r="G33" s="44">
        <v>103.26147840000002</v>
      </c>
    </row>
    <row r="34" spans="2:7" x14ac:dyDescent="0.25">
      <c r="B34" s="45" t="s">
        <v>645</v>
      </c>
      <c r="C34" s="47" t="s">
        <v>1117</v>
      </c>
      <c r="D34" s="46" t="s">
        <v>1092</v>
      </c>
      <c r="E34" s="42">
        <v>433.05</v>
      </c>
      <c r="F34" s="43">
        <v>436.65</v>
      </c>
      <c r="G34" s="44">
        <v>40.181335099999998</v>
      </c>
    </row>
    <row r="35" spans="2:7" x14ac:dyDescent="0.25">
      <c r="B35" s="45" t="s">
        <v>645</v>
      </c>
      <c r="C35" s="47" t="s">
        <v>1118</v>
      </c>
      <c r="D35" s="46" t="s">
        <v>1092</v>
      </c>
      <c r="E35" s="42">
        <v>468.04</v>
      </c>
      <c r="F35" s="43">
        <v>470.2</v>
      </c>
      <c r="G35" s="44">
        <v>98.344389000000007</v>
      </c>
    </row>
    <row r="36" spans="2:7" x14ac:dyDescent="0.25">
      <c r="B36" s="45" t="s">
        <v>645</v>
      </c>
      <c r="C36" s="47" t="s">
        <v>1119</v>
      </c>
      <c r="D36" s="46" t="s">
        <v>1092</v>
      </c>
      <c r="E36" s="42">
        <v>16.190000000000001</v>
      </c>
      <c r="F36" s="43">
        <v>15.75</v>
      </c>
      <c r="G36" s="44">
        <v>49.956499999999998</v>
      </c>
    </row>
    <row r="37" spans="2:7" x14ac:dyDescent="0.25">
      <c r="B37" s="45"/>
      <c r="C37" s="48"/>
      <c r="D37" s="46"/>
      <c r="E37" s="42"/>
      <c r="F37" s="49"/>
      <c r="G37" s="50"/>
    </row>
    <row r="38" spans="2:7" x14ac:dyDescent="0.25">
      <c r="B38" s="45" t="s">
        <v>667</v>
      </c>
      <c r="C38" s="51" t="s">
        <v>1095</v>
      </c>
      <c r="D38" s="46" t="s">
        <v>1092</v>
      </c>
      <c r="E38" s="52">
        <v>1179.3900000000001</v>
      </c>
      <c r="F38" s="53">
        <v>1183.5999999999999</v>
      </c>
      <c r="G38" s="44">
        <v>100.425325</v>
      </c>
    </row>
    <row r="39" spans="2:7" x14ac:dyDescent="0.25">
      <c r="B39" s="45" t="s">
        <v>667</v>
      </c>
      <c r="C39" s="51" t="s">
        <v>1096</v>
      </c>
      <c r="D39" s="46" t="s">
        <v>1092</v>
      </c>
      <c r="E39" s="52">
        <v>6889.2</v>
      </c>
      <c r="F39" s="53">
        <v>7246.25</v>
      </c>
      <c r="G39" s="44">
        <v>220.50307919999997</v>
      </c>
    </row>
    <row r="40" spans="2:7" x14ac:dyDescent="0.25">
      <c r="B40" s="45" t="s">
        <v>667</v>
      </c>
      <c r="C40" s="51" t="s">
        <v>1120</v>
      </c>
      <c r="D40" s="46" t="s">
        <v>1092</v>
      </c>
      <c r="E40" s="52">
        <v>1681.77</v>
      </c>
      <c r="F40" s="53">
        <v>1791.7</v>
      </c>
      <c r="G40" s="44">
        <v>240.50162</v>
      </c>
    </row>
    <row r="41" spans="2:7" x14ac:dyDescent="0.25">
      <c r="B41" s="45" t="s">
        <v>667</v>
      </c>
      <c r="C41" s="51" t="s">
        <v>1097</v>
      </c>
      <c r="D41" s="46" t="s">
        <v>1092</v>
      </c>
      <c r="E41" s="52">
        <v>252.11</v>
      </c>
      <c r="F41" s="53">
        <v>251.9</v>
      </c>
      <c r="G41" s="44">
        <v>537.22207679999997</v>
      </c>
    </row>
    <row r="42" spans="2:7" x14ac:dyDescent="0.25">
      <c r="B42" s="45" t="s">
        <v>667</v>
      </c>
      <c r="C42" s="51" t="s">
        <v>1121</v>
      </c>
      <c r="D42" s="46" t="s">
        <v>1092</v>
      </c>
      <c r="E42" s="52">
        <v>1608.32</v>
      </c>
      <c r="F42" s="53">
        <v>1597.45</v>
      </c>
      <c r="G42" s="44">
        <v>135.8898926</v>
      </c>
    </row>
    <row r="43" spans="2:7" x14ac:dyDescent="0.25">
      <c r="B43" s="45" t="s">
        <v>667</v>
      </c>
      <c r="C43" s="51" t="s">
        <v>1099</v>
      </c>
      <c r="D43" s="46" t="s">
        <v>1092</v>
      </c>
      <c r="E43" s="52">
        <v>111.08</v>
      </c>
      <c r="F43" s="53">
        <v>112.06</v>
      </c>
      <c r="G43" s="44">
        <v>490.40887119999996</v>
      </c>
    </row>
    <row r="44" spans="2:7" x14ac:dyDescent="0.25">
      <c r="B44" s="45" t="s">
        <v>667</v>
      </c>
      <c r="C44" s="51" t="s">
        <v>1122</v>
      </c>
      <c r="D44" s="46" t="s">
        <v>1092</v>
      </c>
      <c r="E44" s="52">
        <v>1625.75</v>
      </c>
      <c r="F44" s="53">
        <v>1666.05</v>
      </c>
      <c r="G44" s="44">
        <v>378.14859720000004</v>
      </c>
    </row>
    <row r="45" spans="2:7" x14ac:dyDescent="0.25">
      <c r="B45" s="45" t="s">
        <v>667</v>
      </c>
      <c r="C45" s="51" t="s">
        <v>1103</v>
      </c>
      <c r="D45" s="46" t="s">
        <v>1092</v>
      </c>
      <c r="E45" s="52">
        <v>1642.26</v>
      </c>
      <c r="F45" s="53">
        <v>1643.45</v>
      </c>
      <c r="G45" s="44">
        <v>570.33930870000006</v>
      </c>
    </row>
    <row r="46" spans="2:7" x14ac:dyDescent="0.25">
      <c r="B46" s="45" t="s">
        <v>667</v>
      </c>
      <c r="C46" s="51" t="s">
        <v>1104</v>
      </c>
      <c r="D46" s="46" t="s">
        <v>1092</v>
      </c>
      <c r="E46" s="52">
        <v>2778.8</v>
      </c>
      <c r="F46" s="53">
        <v>2796.95</v>
      </c>
      <c r="G46" s="44">
        <v>1.4796998000000001</v>
      </c>
    </row>
    <row r="47" spans="2:7" x14ac:dyDescent="0.25">
      <c r="B47" s="45" t="s">
        <v>667</v>
      </c>
      <c r="C47" s="51" t="s">
        <v>1123</v>
      </c>
      <c r="D47" s="46" t="s">
        <v>1092</v>
      </c>
      <c r="E47" s="52">
        <v>1391.67</v>
      </c>
      <c r="F47" s="53">
        <v>1432.3</v>
      </c>
      <c r="G47" s="44">
        <v>269.1860125</v>
      </c>
    </row>
    <row r="48" spans="2:7" x14ac:dyDescent="0.25">
      <c r="B48" s="45" t="s">
        <v>667</v>
      </c>
      <c r="C48" s="51" t="s">
        <v>1108</v>
      </c>
      <c r="D48" s="46" t="s">
        <v>1092</v>
      </c>
      <c r="E48" s="52">
        <v>504.89</v>
      </c>
      <c r="F48" s="53">
        <v>505.25</v>
      </c>
      <c r="G48" s="44">
        <v>96.955759999999998</v>
      </c>
    </row>
    <row r="49" spans="2:8" x14ac:dyDescent="0.25">
      <c r="B49" s="45" t="s">
        <v>667</v>
      </c>
      <c r="C49" s="51" t="s">
        <v>1109</v>
      </c>
      <c r="D49" s="46" t="s">
        <v>1092</v>
      </c>
      <c r="E49" s="52">
        <v>1809.9</v>
      </c>
      <c r="F49" s="53">
        <v>1792.35</v>
      </c>
      <c r="G49" s="44">
        <v>314.88764099999997</v>
      </c>
    </row>
    <row r="50" spans="2:8" x14ac:dyDescent="0.25">
      <c r="B50" s="45" t="s">
        <v>667</v>
      </c>
      <c r="C50" s="51" t="s">
        <v>1124</v>
      </c>
      <c r="D50" s="46" t="s">
        <v>1092</v>
      </c>
      <c r="E50" s="52">
        <v>12499.62</v>
      </c>
      <c r="F50" s="53">
        <v>12483.85</v>
      </c>
      <c r="G50" s="44">
        <v>3.3030222000000005</v>
      </c>
    </row>
    <row r="51" spans="2:8" x14ac:dyDescent="0.25">
      <c r="B51" s="45" t="s">
        <v>667</v>
      </c>
      <c r="C51" s="51" t="s">
        <v>1113</v>
      </c>
      <c r="D51" s="46" t="s">
        <v>1092</v>
      </c>
      <c r="E51" s="52">
        <v>3018.17</v>
      </c>
      <c r="F51" s="53">
        <v>3038.9</v>
      </c>
      <c r="G51" s="44">
        <v>320.27883320000001</v>
      </c>
    </row>
    <row r="52" spans="2:8" x14ac:dyDescent="0.25">
      <c r="B52" s="45" t="s">
        <v>667</v>
      </c>
      <c r="C52" s="51" t="s">
        <v>1114</v>
      </c>
      <c r="D52" s="46" t="s">
        <v>1092</v>
      </c>
      <c r="E52" s="52">
        <v>817.74</v>
      </c>
      <c r="F52" s="53">
        <v>821.05</v>
      </c>
      <c r="G52" s="44">
        <v>91.696048000000005</v>
      </c>
    </row>
    <row r="53" spans="2:8" x14ac:dyDescent="0.25">
      <c r="B53" s="45" t="s">
        <v>667</v>
      </c>
      <c r="C53" s="51" t="s">
        <v>1116</v>
      </c>
      <c r="D53" s="46" t="s">
        <v>1092</v>
      </c>
      <c r="E53" s="52">
        <v>4564.8999999999996</v>
      </c>
      <c r="F53" s="53">
        <v>4579.3999999999996</v>
      </c>
      <c r="G53" s="44">
        <v>2.8290816000000003</v>
      </c>
    </row>
    <row r="54" spans="2:8" x14ac:dyDescent="0.25">
      <c r="B54" s="45" t="s">
        <v>667</v>
      </c>
      <c r="C54" s="51" t="s">
        <v>1125</v>
      </c>
      <c r="D54" s="46" t="s">
        <v>1092</v>
      </c>
      <c r="E54" s="52">
        <v>146.78</v>
      </c>
      <c r="F54" s="53">
        <v>153.81</v>
      </c>
      <c r="G54" s="44">
        <v>42.285857499999999</v>
      </c>
    </row>
    <row r="55" spans="2:8" x14ac:dyDescent="0.25">
      <c r="B55" s="45" t="s">
        <v>667</v>
      </c>
      <c r="C55" s="51" t="s">
        <v>1126</v>
      </c>
      <c r="D55" s="46" t="s">
        <v>1092</v>
      </c>
      <c r="E55" s="52">
        <v>1636.86</v>
      </c>
      <c r="F55" s="53">
        <v>1646.35</v>
      </c>
      <c r="G55" s="44">
        <v>176.05042350000002</v>
      </c>
    </row>
    <row r="56" spans="2:8" x14ac:dyDescent="0.25">
      <c r="B56" s="45" t="s">
        <v>667</v>
      </c>
      <c r="C56" s="51" t="s">
        <v>1127</v>
      </c>
      <c r="D56" s="46" t="s">
        <v>1092</v>
      </c>
      <c r="E56" s="52">
        <v>1129.6300000000001</v>
      </c>
      <c r="F56" s="53">
        <v>1131.9000000000001</v>
      </c>
      <c r="G56" s="44">
        <v>95.186925000000002</v>
      </c>
    </row>
    <row r="57" spans="2:8" x14ac:dyDescent="0.25">
      <c r="B57" s="45"/>
      <c r="C57" s="51"/>
      <c r="D57" s="46"/>
      <c r="E57" s="52"/>
      <c r="F57" s="54"/>
      <c r="G57" s="44"/>
    </row>
    <row r="58" spans="2:8" x14ac:dyDescent="0.25">
      <c r="B58" s="45" t="s">
        <v>695</v>
      </c>
      <c r="C58" s="55" t="s">
        <v>1128</v>
      </c>
      <c r="D58" s="46" t="s">
        <v>1092</v>
      </c>
      <c r="E58" s="56">
        <v>3097.61</v>
      </c>
      <c r="F58" s="57">
        <v>3043.1</v>
      </c>
      <c r="G58" s="58">
        <v>117.35747099999999</v>
      </c>
      <c r="H58" s="59"/>
    </row>
    <row r="59" spans="2:8" x14ac:dyDescent="0.25">
      <c r="B59" s="45" t="s">
        <v>695</v>
      </c>
      <c r="C59" s="55" t="s">
        <v>1093</v>
      </c>
      <c r="D59" s="46" t="s">
        <v>1092</v>
      </c>
      <c r="E59" s="56">
        <v>2356.54</v>
      </c>
      <c r="F59" s="57">
        <v>2345.1999999999998</v>
      </c>
      <c r="G59" s="58">
        <v>43.625454000000005</v>
      </c>
      <c r="H59" s="59"/>
    </row>
    <row r="60" spans="2:8" x14ac:dyDescent="0.25">
      <c r="B60" s="45" t="s">
        <v>695</v>
      </c>
      <c r="C60" s="55" t="s">
        <v>1094</v>
      </c>
      <c r="D60" s="46" t="s">
        <v>1092</v>
      </c>
      <c r="E60" s="56">
        <v>1564.14</v>
      </c>
      <c r="F60" s="57">
        <v>1578.35</v>
      </c>
      <c r="G60" s="58">
        <v>132.67859199999998</v>
      </c>
      <c r="H60" s="59"/>
    </row>
    <row r="61" spans="2:8" x14ac:dyDescent="0.25">
      <c r="B61" s="45" t="s">
        <v>695</v>
      </c>
      <c r="C61" s="55" t="s">
        <v>1095</v>
      </c>
      <c r="D61" s="46" t="s">
        <v>1092</v>
      </c>
      <c r="E61" s="56">
        <v>1189.67</v>
      </c>
      <c r="F61" s="57">
        <v>1183.5999999999999</v>
      </c>
      <c r="G61" s="58">
        <v>358.66187500000001</v>
      </c>
      <c r="H61" s="59"/>
    </row>
    <row r="62" spans="2:8" x14ac:dyDescent="0.25">
      <c r="B62" s="45" t="s">
        <v>695</v>
      </c>
      <c r="C62" s="55" t="s">
        <v>1096</v>
      </c>
      <c r="D62" s="46" t="s">
        <v>1092</v>
      </c>
      <c r="E62" s="56">
        <v>6873.22</v>
      </c>
      <c r="F62" s="57">
        <v>7246.25</v>
      </c>
      <c r="G62" s="58">
        <v>212.51383719999998</v>
      </c>
      <c r="H62" s="59"/>
    </row>
    <row r="63" spans="2:8" x14ac:dyDescent="0.25">
      <c r="B63" s="45" t="s">
        <v>695</v>
      </c>
      <c r="C63" s="55" t="s">
        <v>1120</v>
      </c>
      <c r="D63" s="46" t="s">
        <v>1092</v>
      </c>
      <c r="E63" s="56">
        <v>1684.22</v>
      </c>
      <c r="F63" s="57">
        <v>1791.7</v>
      </c>
      <c r="G63" s="58">
        <v>39.5561875</v>
      </c>
      <c r="H63" s="59"/>
    </row>
    <row r="64" spans="2:8" x14ac:dyDescent="0.25">
      <c r="B64" s="45" t="s">
        <v>695</v>
      </c>
      <c r="C64" s="55" t="s">
        <v>1097</v>
      </c>
      <c r="D64" s="46" t="s">
        <v>1092</v>
      </c>
      <c r="E64" s="56">
        <v>251.9</v>
      </c>
      <c r="F64" s="57">
        <v>251.9</v>
      </c>
      <c r="G64" s="58">
        <v>234.82348640000001</v>
      </c>
      <c r="H64" s="59"/>
    </row>
    <row r="65" spans="2:8" x14ac:dyDescent="0.25">
      <c r="B65" s="45" t="s">
        <v>695</v>
      </c>
      <c r="C65" s="55" t="s">
        <v>1121</v>
      </c>
      <c r="D65" s="46" t="s">
        <v>1092</v>
      </c>
      <c r="E65" s="56">
        <v>1595.9</v>
      </c>
      <c r="F65" s="57">
        <v>1597.45</v>
      </c>
      <c r="G65" s="58">
        <v>1.7648038000000001</v>
      </c>
      <c r="H65" s="59"/>
    </row>
    <row r="66" spans="2:8" x14ac:dyDescent="0.25">
      <c r="B66" s="45" t="s">
        <v>695</v>
      </c>
      <c r="C66" s="55" t="s">
        <v>1098</v>
      </c>
      <c r="D66" s="46" t="s">
        <v>1092</v>
      </c>
      <c r="E66" s="56">
        <v>1516.41</v>
      </c>
      <c r="F66" s="57">
        <v>1594.45</v>
      </c>
      <c r="G66" s="58">
        <v>436.59298980000005</v>
      </c>
      <c r="H66" s="59"/>
    </row>
    <row r="67" spans="2:8" x14ac:dyDescent="0.25">
      <c r="B67" s="45" t="s">
        <v>695</v>
      </c>
      <c r="C67" s="55" t="s">
        <v>1100</v>
      </c>
      <c r="D67" s="46" t="s">
        <v>1092</v>
      </c>
      <c r="E67" s="56">
        <v>858.06</v>
      </c>
      <c r="F67" s="57">
        <v>850.3</v>
      </c>
      <c r="G67" s="58">
        <v>63.880008799999999</v>
      </c>
      <c r="H67" s="59"/>
    </row>
    <row r="68" spans="2:8" x14ac:dyDescent="0.25">
      <c r="B68" s="45" t="s">
        <v>695</v>
      </c>
      <c r="C68" s="55" t="s">
        <v>1101</v>
      </c>
      <c r="D68" s="46" t="s">
        <v>1092</v>
      </c>
      <c r="E68" s="56">
        <v>631</v>
      </c>
      <c r="F68" s="57">
        <v>621.70000000000005</v>
      </c>
      <c r="G68" s="58">
        <v>13.016655</v>
      </c>
      <c r="H68" s="59"/>
    </row>
    <row r="69" spans="2:8" x14ac:dyDescent="0.25">
      <c r="B69" s="45" t="s">
        <v>695</v>
      </c>
      <c r="C69" s="55" t="s">
        <v>1102</v>
      </c>
      <c r="D69" s="46" t="s">
        <v>1092</v>
      </c>
      <c r="E69" s="56">
        <v>1724.7</v>
      </c>
      <c r="F69" s="57">
        <v>1763.65</v>
      </c>
      <c r="G69" s="58">
        <v>185.18050700000001</v>
      </c>
      <c r="H69" s="59"/>
    </row>
    <row r="70" spans="2:8" x14ac:dyDescent="0.25">
      <c r="B70" s="45" t="s">
        <v>695</v>
      </c>
      <c r="C70" s="55" t="s">
        <v>1129</v>
      </c>
      <c r="D70" s="46" t="s">
        <v>1092</v>
      </c>
      <c r="E70" s="56">
        <v>733.05</v>
      </c>
      <c r="F70" s="57">
        <v>743.15</v>
      </c>
      <c r="G70" s="58">
        <v>102.41272880000001</v>
      </c>
      <c r="H70" s="59"/>
    </row>
    <row r="71" spans="2:8" x14ac:dyDescent="0.25">
      <c r="B71" s="45" t="s">
        <v>695</v>
      </c>
      <c r="C71" s="55" t="s">
        <v>1130</v>
      </c>
      <c r="D71" s="46" t="s">
        <v>1092</v>
      </c>
      <c r="E71" s="56">
        <v>711.64</v>
      </c>
      <c r="F71" s="57">
        <v>706.2</v>
      </c>
      <c r="G71" s="58">
        <v>201.575682</v>
      </c>
      <c r="H71" s="59"/>
    </row>
    <row r="72" spans="2:8" x14ac:dyDescent="0.25">
      <c r="B72" s="45" t="s">
        <v>695</v>
      </c>
      <c r="C72" s="55" t="s">
        <v>1131</v>
      </c>
      <c r="D72" s="46" t="s">
        <v>1092</v>
      </c>
      <c r="E72" s="56">
        <v>403.68</v>
      </c>
      <c r="F72" s="57">
        <v>421.65</v>
      </c>
      <c r="G72" s="58">
        <v>247.81227659999999</v>
      </c>
      <c r="H72" s="59"/>
    </row>
    <row r="73" spans="2:8" x14ac:dyDescent="0.25">
      <c r="B73" s="45" t="s">
        <v>695</v>
      </c>
      <c r="C73" s="55" t="s">
        <v>1104</v>
      </c>
      <c r="D73" s="46" t="s">
        <v>1092</v>
      </c>
      <c r="E73" s="56">
        <v>2827.55</v>
      </c>
      <c r="F73" s="57">
        <v>2796.95</v>
      </c>
      <c r="G73" s="58">
        <v>235.27226820000001</v>
      </c>
      <c r="H73" s="59"/>
    </row>
    <row r="74" spans="2:8" x14ac:dyDescent="0.25">
      <c r="B74" s="45" t="s">
        <v>695</v>
      </c>
      <c r="C74" s="55" t="s">
        <v>1123</v>
      </c>
      <c r="D74" s="46" t="s">
        <v>1092</v>
      </c>
      <c r="E74" s="56">
        <v>1391.27</v>
      </c>
      <c r="F74" s="57">
        <v>1432.3</v>
      </c>
      <c r="G74" s="58">
        <v>519.98859000000004</v>
      </c>
      <c r="H74" s="59"/>
    </row>
    <row r="75" spans="2:8" x14ac:dyDescent="0.25">
      <c r="B75" s="45" t="s">
        <v>695</v>
      </c>
      <c r="C75" s="55" t="s">
        <v>1132</v>
      </c>
      <c r="D75" s="46" t="s">
        <v>1092</v>
      </c>
      <c r="E75" s="56">
        <v>1904.38</v>
      </c>
      <c r="F75" s="57">
        <v>1957</v>
      </c>
      <c r="G75" s="58">
        <v>575.63513999999998</v>
      </c>
      <c r="H75" s="59"/>
    </row>
    <row r="76" spans="2:8" x14ac:dyDescent="0.25">
      <c r="B76" s="45" t="s">
        <v>695</v>
      </c>
      <c r="C76" s="55" t="s">
        <v>1133</v>
      </c>
      <c r="D76" s="46" t="s">
        <v>1092</v>
      </c>
      <c r="E76" s="56">
        <v>4717.71</v>
      </c>
      <c r="F76" s="57">
        <v>4854.6000000000004</v>
      </c>
      <c r="G76" s="58">
        <v>98.364104999999995</v>
      </c>
      <c r="H76" s="59"/>
    </row>
    <row r="77" spans="2:8" x14ac:dyDescent="0.25">
      <c r="B77" s="45" t="s">
        <v>695</v>
      </c>
      <c r="C77" s="55" t="s">
        <v>1108</v>
      </c>
      <c r="D77" s="46" t="s">
        <v>1092</v>
      </c>
      <c r="E77" s="56">
        <v>504.73</v>
      </c>
      <c r="F77" s="57">
        <v>505.25</v>
      </c>
      <c r="G77" s="58">
        <v>15.68402</v>
      </c>
      <c r="H77" s="59"/>
    </row>
    <row r="78" spans="2:8" x14ac:dyDescent="0.25">
      <c r="B78" s="45" t="s">
        <v>695</v>
      </c>
      <c r="C78" s="55" t="s">
        <v>1134</v>
      </c>
      <c r="D78" s="46" t="s">
        <v>1092</v>
      </c>
      <c r="E78" s="56">
        <v>950.4</v>
      </c>
      <c r="F78" s="57">
        <v>947.55</v>
      </c>
      <c r="G78" s="58">
        <v>33.705067300000003</v>
      </c>
      <c r="H78" s="59"/>
    </row>
    <row r="79" spans="2:8" x14ac:dyDescent="0.25">
      <c r="B79" s="45" t="s">
        <v>695</v>
      </c>
      <c r="C79" s="55" t="s">
        <v>1110</v>
      </c>
      <c r="D79" s="46" t="s">
        <v>1092</v>
      </c>
      <c r="E79" s="56">
        <v>3750.04</v>
      </c>
      <c r="F79" s="57">
        <v>3728.2</v>
      </c>
      <c r="G79" s="58">
        <v>40.771855500000001</v>
      </c>
      <c r="H79" s="59"/>
    </row>
    <row r="80" spans="2:8" x14ac:dyDescent="0.25">
      <c r="B80" s="45" t="s">
        <v>695</v>
      </c>
      <c r="C80" s="55" t="s">
        <v>1135</v>
      </c>
      <c r="D80" s="46" t="s">
        <v>1092</v>
      </c>
      <c r="E80" s="56">
        <v>2802.61</v>
      </c>
      <c r="F80" s="57">
        <v>2824.35</v>
      </c>
      <c r="G80" s="58">
        <v>154.32628780000002</v>
      </c>
      <c r="H80" s="59"/>
    </row>
    <row r="81" spans="2:8" x14ac:dyDescent="0.25">
      <c r="B81" s="45" t="s">
        <v>695</v>
      </c>
      <c r="C81" s="55" t="s">
        <v>1124</v>
      </c>
      <c r="D81" s="46" t="s">
        <v>1092</v>
      </c>
      <c r="E81" s="56">
        <v>12495.48</v>
      </c>
      <c r="F81" s="57">
        <v>12483.85</v>
      </c>
      <c r="G81" s="58">
        <v>194.87830980000001</v>
      </c>
      <c r="H81" s="59"/>
    </row>
    <row r="82" spans="2:8" x14ac:dyDescent="0.25">
      <c r="B82" s="45" t="s">
        <v>695</v>
      </c>
      <c r="C82" s="55" t="s">
        <v>1112</v>
      </c>
      <c r="D82" s="46" t="s">
        <v>1092</v>
      </c>
      <c r="E82" s="56">
        <v>417.46</v>
      </c>
      <c r="F82" s="57">
        <v>418.8</v>
      </c>
      <c r="G82" s="58">
        <v>74.196629999999999</v>
      </c>
      <c r="H82" s="59"/>
    </row>
    <row r="83" spans="2:8" x14ac:dyDescent="0.25">
      <c r="B83" s="45" t="s">
        <v>695</v>
      </c>
      <c r="C83" s="55" t="s">
        <v>1113</v>
      </c>
      <c r="D83" s="46" t="s">
        <v>1092</v>
      </c>
      <c r="E83" s="56">
        <v>3025.03</v>
      </c>
      <c r="F83" s="57">
        <v>3038.9</v>
      </c>
      <c r="G83" s="58">
        <v>917.95397800000001</v>
      </c>
      <c r="H83" s="59"/>
    </row>
    <row r="84" spans="2:8" x14ac:dyDescent="0.25">
      <c r="B84" s="45" t="s">
        <v>695</v>
      </c>
      <c r="C84" s="55" t="s">
        <v>1115</v>
      </c>
      <c r="D84" s="46" t="s">
        <v>1092</v>
      </c>
      <c r="E84" s="56">
        <v>1788.58</v>
      </c>
      <c r="F84" s="57">
        <v>1833.5</v>
      </c>
      <c r="G84" s="58">
        <v>41.881920600000001</v>
      </c>
      <c r="H84" s="59"/>
    </row>
    <row r="85" spans="2:8" x14ac:dyDescent="0.25">
      <c r="B85" s="45" t="s">
        <v>695</v>
      </c>
      <c r="C85" s="55" t="s">
        <v>1116</v>
      </c>
      <c r="D85" s="46" t="s">
        <v>1092</v>
      </c>
      <c r="E85" s="56">
        <v>4522.88</v>
      </c>
      <c r="F85" s="57">
        <v>4579.3999999999996</v>
      </c>
      <c r="G85" s="58">
        <v>212.18112000000005</v>
      </c>
      <c r="H85" s="59"/>
    </row>
    <row r="86" spans="2:8" x14ac:dyDescent="0.25">
      <c r="B86" s="45" t="s">
        <v>695</v>
      </c>
      <c r="C86" s="55" t="s">
        <v>1136</v>
      </c>
      <c r="D86" s="46" t="s">
        <v>1092</v>
      </c>
      <c r="E86" s="56">
        <v>1444.81</v>
      </c>
      <c r="F86" s="57">
        <v>1483.95</v>
      </c>
      <c r="G86" s="58">
        <v>47.638182800000003</v>
      </c>
      <c r="H86" s="59"/>
    </row>
    <row r="87" spans="2:8" x14ac:dyDescent="0.25">
      <c r="B87" s="45" t="s">
        <v>695</v>
      </c>
      <c r="C87" s="55" t="s">
        <v>1118</v>
      </c>
      <c r="D87" s="46" t="s">
        <v>1092</v>
      </c>
      <c r="E87" s="56">
        <v>469.31</v>
      </c>
      <c r="F87" s="57">
        <v>470.2</v>
      </c>
      <c r="G87" s="58">
        <v>70.606228000000002</v>
      </c>
      <c r="H87" s="59"/>
    </row>
    <row r="88" spans="2:8" x14ac:dyDescent="0.25">
      <c r="B88" s="45"/>
      <c r="C88" s="55"/>
      <c r="D88" s="46"/>
      <c r="E88" s="56"/>
      <c r="F88" s="57"/>
      <c r="G88" s="58"/>
      <c r="H88" s="59"/>
    </row>
    <row r="89" spans="2:8" hidden="1" x14ac:dyDescent="0.25">
      <c r="B89" s="45" t="s">
        <v>1137</v>
      </c>
      <c r="C89" s="55"/>
      <c r="D89" s="46" t="s">
        <v>1092</v>
      </c>
      <c r="E89" s="56"/>
      <c r="F89" s="57"/>
      <c r="G89" s="60"/>
      <c r="H89" s="59"/>
    </row>
    <row r="90" spans="2:8" hidden="1" x14ac:dyDescent="0.25">
      <c r="B90" s="45"/>
      <c r="C90" s="55"/>
      <c r="D90" s="46"/>
      <c r="E90" s="56"/>
      <c r="F90" s="57"/>
      <c r="G90" s="60"/>
      <c r="H90" s="59"/>
    </row>
    <row r="91" spans="2:8" x14ac:dyDescent="0.25">
      <c r="B91" s="45" t="s">
        <v>837</v>
      </c>
      <c r="C91" s="55" t="s">
        <v>1095</v>
      </c>
      <c r="D91" s="46" t="s">
        <v>1092</v>
      </c>
      <c r="E91" s="56">
        <v>1173.5</v>
      </c>
      <c r="F91" s="61">
        <v>1183.5999999999999</v>
      </c>
      <c r="G91" s="62">
        <v>109.5549</v>
      </c>
      <c r="H91" s="59"/>
    </row>
    <row r="92" spans="2:8" x14ac:dyDescent="0.25">
      <c r="B92" s="45" t="s">
        <v>837</v>
      </c>
      <c r="C92" s="55" t="s">
        <v>1096</v>
      </c>
      <c r="D92" s="46" t="s">
        <v>1092</v>
      </c>
      <c r="E92" s="56">
        <v>6911.05</v>
      </c>
      <c r="F92" s="61">
        <v>7246.25</v>
      </c>
      <c r="G92" s="62">
        <v>25.565574399999999</v>
      </c>
      <c r="H92" s="59"/>
    </row>
    <row r="93" spans="2:8" x14ac:dyDescent="0.25">
      <c r="B93" s="45" t="s">
        <v>837</v>
      </c>
      <c r="C93" s="55" t="s">
        <v>1138</v>
      </c>
      <c r="D93" s="46" t="s">
        <v>1092</v>
      </c>
      <c r="E93" s="56">
        <v>296.97000000000003</v>
      </c>
      <c r="F93" s="61">
        <v>300.60000000000002</v>
      </c>
      <c r="G93" s="62">
        <v>20.580134999999999</v>
      </c>
      <c r="H93" s="59"/>
    </row>
    <row r="94" spans="2:8" x14ac:dyDescent="0.25">
      <c r="B94" s="45" t="s">
        <v>837</v>
      </c>
      <c r="C94" s="55" t="s">
        <v>1098</v>
      </c>
      <c r="D94" s="46" t="s">
        <v>1092</v>
      </c>
      <c r="E94" s="56">
        <v>1522.48</v>
      </c>
      <c r="F94" s="61">
        <v>1594.45</v>
      </c>
      <c r="G94" s="62">
        <v>190.17240659999999</v>
      </c>
      <c r="H94" s="59"/>
    </row>
    <row r="95" spans="2:8" x14ac:dyDescent="0.25">
      <c r="B95" s="45" t="s">
        <v>837</v>
      </c>
      <c r="C95" s="55" t="s">
        <v>1099</v>
      </c>
      <c r="D95" s="46" t="s">
        <v>1092</v>
      </c>
      <c r="E95" s="56">
        <v>106.66</v>
      </c>
      <c r="F95" s="61">
        <v>112.06</v>
      </c>
      <c r="G95" s="63">
        <v>3.4535836</v>
      </c>
      <c r="H95" s="59"/>
    </row>
    <row r="96" spans="2:8" x14ac:dyDescent="0.25">
      <c r="B96" s="45" t="s">
        <v>837</v>
      </c>
      <c r="C96" s="55" t="s">
        <v>1139</v>
      </c>
      <c r="D96" s="46" t="s">
        <v>1092</v>
      </c>
      <c r="E96" s="56">
        <v>4754.09</v>
      </c>
      <c r="F96" s="61">
        <v>4708.5</v>
      </c>
      <c r="G96" s="44">
        <v>264.18318749999997</v>
      </c>
      <c r="H96" s="59"/>
    </row>
    <row r="97" spans="2:8" x14ac:dyDescent="0.25">
      <c r="B97" s="45" t="s">
        <v>837</v>
      </c>
      <c r="C97" s="55" t="s">
        <v>1105</v>
      </c>
      <c r="D97" s="46" t="s">
        <v>1092</v>
      </c>
      <c r="E97" s="56">
        <v>1219.1600000000001</v>
      </c>
      <c r="F97" s="61">
        <v>1236.55</v>
      </c>
      <c r="G97" s="44">
        <v>138.99929680000002</v>
      </c>
      <c r="H97" s="59"/>
    </row>
    <row r="98" spans="2:8" x14ac:dyDescent="0.25">
      <c r="B98" s="45" t="s">
        <v>837</v>
      </c>
      <c r="C98" s="55" t="s">
        <v>1123</v>
      </c>
      <c r="D98" s="46" t="s">
        <v>1092</v>
      </c>
      <c r="E98" s="56">
        <v>1352.31</v>
      </c>
      <c r="F98" s="61">
        <v>1432.3</v>
      </c>
      <c r="G98" s="44">
        <v>45.9585875</v>
      </c>
      <c r="H98" s="59"/>
    </row>
    <row r="99" spans="2:8" x14ac:dyDescent="0.25">
      <c r="B99" s="45" t="s">
        <v>837</v>
      </c>
      <c r="C99" s="55" t="s">
        <v>1132</v>
      </c>
      <c r="D99" s="46" t="s">
        <v>1092</v>
      </c>
      <c r="E99" s="56">
        <v>1901.53</v>
      </c>
      <c r="F99" s="61">
        <v>1957</v>
      </c>
      <c r="G99" s="44">
        <v>683.30790000000002</v>
      </c>
      <c r="H99" s="59"/>
    </row>
    <row r="100" spans="2:8" x14ac:dyDescent="0.25">
      <c r="B100" s="45" t="s">
        <v>837</v>
      </c>
      <c r="C100" s="55" t="s">
        <v>1110</v>
      </c>
      <c r="D100" s="46" t="s">
        <v>1092</v>
      </c>
      <c r="E100" s="56">
        <v>3749.35</v>
      </c>
      <c r="F100" s="61">
        <v>3728.2</v>
      </c>
      <c r="G100" s="44">
        <v>219.77024550000002</v>
      </c>
      <c r="H100" s="59"/>
    </row>
    <row r="101" spans="2:8" x14ac:dyDescent="0.25">
      <c r="B101" s="45" t="s">
        <v>837</v>
      </c>
      <c r="C101" s="55" t="s">
        <v>1135</v>
      </c>
      <c r="D101" s="46" t="s">
        <v>1092</v>
      </c>
      <c r="E101" s="56">
        <v>2829.7</v>
      </c>
      <c r="F101" s="61">
        <v>2824.35</v>
      </c>
      <c r="G101" s="44">
        <v>988.06464749999998</v>
      </c>
      <c r="H101" s="59"/>
    </row>
    <row r="102" spans="2:8" x14ac:dyDescent="0.25">
      <c r="B102" s="45" t="s">
        <v>837</v>
      </c>
      <c r="C102" s="55" t="s">
        <v>1140</v>
      </c>
      <c r="D102" s="46" t="s">
        <v>1092</v>
      </c>
      <c r="E102" s="56">
        <v>3200.67</v>
      </c>
      <c r="F102" s="61">
        <v>3217.5</v>
      </c>
      <c r="G102" s="44">
        <v>44.996647500000002</v>
      </c>
      <c r="H102" s="59"/>
    </row>
    <row r="103" spans="2:8" x14ac:dyDescent="0.25">
      <c r="B103" s="45" t="s">
        <v>837</v>
      </c>
      <c r="C103" s="55" t="s">
        <v>1114</v>
      </c>
      <c r="D103" s="46" t="s">
        <v>1092</v>
      </c>
      <c r="E103" s="56">
        <v>810.37</v>
      </c>
      <c r="F103" s="61">
        <v>821.05</v>
      </c>
      <c r="G103" s="44">
        <v>40.117021000000001</v>
      </c>
      <c r="H103" s="59"/>
    </row>
    <row r="104" spans="2:8" x14ac:dyDescent="0.25">
      <c r="B104" s="45" t="s">
        <v>837</v>
      </c>
      <c r="C104" s="55" t="s">
        <v>1116</v>
      </c>
      <c r="D104" s="46" t="s">
        <v>1092</v>
      </c>
      <c r="E104" s="56">
        <v>4528.84</v>
      </c>
      <c r="F104" s="61">
        <v>4579.3999999999996</v>
      </c>
      <c r="G104" s="44">
        <v>473.87116800000007</v>
      </c>
      <c r="H104" s="59"/>
    </row>
    <row r="105" spans="2:8" x14ac:dyDescent="0.25">
      <c r="B105" s="45" t="s">
        <v>837</v>
      </c>
      <c r="C105" s="55" t="s">
        <v>1125</v>
      </c>
      <c r="D105" s="46" t="s">
        <v>1092</v>
      </c>
      <c r="E105" s="56">
        <v>153.38</v>
      </c>
      <c r="F105" s="61">
        <v>153.81</v>
      </c>
      <c r="G105" s="44">
        <v>62.583069100000003</v>
      </c>
      <c r="H105" s="59"/>
    </row>
    <row r="106" spans="2:8" x14ac:dyDescent="0.25">
      <c r="B106" s="45" t="s">
        <v>837</v>
      </c>
      <c r="C106" s="55" t="s">
        <v>1141</v>
      </c>
      <c r="D106" s="46" t="s">
        <v>1092</v>
      </c>
      <c r="E106" s="56">
        <v>2777.84</v>
      </c>
      <c r="F106" s="61">
        <v>2827.4</v>
      </c>
      <c r="G106" s="44">
        <v>333.79475149999996</v>
      </c>
      <c r="H106" s="59"/>
    </row>
    <row r="107" spans="2:8" x14ac:dyDescent="0.25">
      <c r="B107" s="45"/>
      <c r="C107" s="55"/>
      <c r="D107" s="46" t="s">
        <v>1092</v>
      </c>
      <c r="E107" s="56"/>
      <c r="F107" s="61"/>
      <c r="G107" s="44"/>
      <c r="H107" s="59"/>
    </row>
    <row r="108" spans="2:8" hidden="1" x14ac:dyDescent="0.25">
      <c r="B108" s="45"/>
      <c r="C108" s="55"/>
      <c r="D108" s="46" t="s">
        <v>1092</v>
      </c>
      <c r="E108" s="56"/>
      <c r="F108" s="61"/>
      <c r="G108" s="44"/>
      <c r="H108" s="59"/>
    </row>
    <row r="109" spans="2:8" hidden="1" x14ac:dyDescent="0.25">
      <c r="B109" s="45"/>
      <c r="C109" s="55"/>
      <c r="D109" s="46"/>
      <c r="E109" s="56"/>
      <c r="F109" s="61"/>
      <c r="G109" s="44"/>
      <c r="H109" s="59"/>
    </row>
    <row r="111" spans="2:8" x14ac:dyDescent="0.25">
      <c r="B111" s="37" t="s">
        <v>1142</v>
      </c>
      <c r="E111" s="64"/>
      <c r="F111" s="64"/>
      <c r="G111" s="64"/>
    </row>
    <row r="113" spans="2:12" x14ac:dyDescent="0.25">
      <c r="B113" s="65" t="s">
        <v>1085</v>
      </c>
      <c r="C113" s="65" t="s">
        <v>1143</v>
      </c>
    </row>
    <row r="114" spans="2:12" x14ac:dyDescent="0.25">
      <c r="B114" s="45" t="s">
        <v>645</v>
      </c>
      <c r="C114" s="66">
        <v>67.14</v>
      </c>
    </row>
    <row r="115" spans="2:12" x14ac:dyDescent="0.25">
      <c r="B115" s="45" t="s">
        <v>667</v>
      </c>
      <c r="C115" s="66">
        <v>13.68</v>
      </c>
    </row>
    <row r="116" spans="2:12" x14ac:dyDescent="0.25">
      <c r="B116" s="67" t="s">
        <v>695</v>
      </c>
      <c r="C116" s="66">
        <v>32.54</v>
      </c>
    </row>
    <row r="117" spans="2:12" x14ac:dyDescent="0.25">
      <c r="B117" s="45" t="s">
        <v>837</v>
      </c>
      <c r="C117" s="66">
        <v>8.26</v>
      </c>
    </row>
    <row r="119" spans="2:12" x14ac:dyDescent="0.25">
      <c r="B119" s="37" t="s">
        <v>1144</v>
      </c>
    </row>
    <row r="120" spans="2:12" x14ac:dyDescent="0.25">
      <c r="B120" s="37"/>
    </row>
    <row r="121" spans="2:12" ht="67.5" x14ac:dyDescent="0.25">
      <c r="B121" s="68" t="s">
        <v>1085</v>
      </c>
      <c r="C121" s="69" t="s">
        <v>1145</v>
      </c>
      <c r="D121" s="69" t="s">
        <v>1146</v>
      </c>
      <c r="E121" s="69" t="s">
        <v>1147</v>
      </c>
      <c r="F121" s="69" t="s">
        <v>1148</v>
      </c>
      <c r="G121" s="69" t="s">
        <v>1149</v>
      </c>
    </row>
    <row r="122" spans="2:12" x14ac:dyDescent="0.25">
      <c r="B122" s="45" t="s">
        <v>645</v>
      </c>
      <c r="C122" s="70">
        <f>912+1103+1186+1219+1218</f>
        <v>5638</v>
      </c>
      <c r="D122" s="70">
        <f>912+828+1186+1219+1218</f>
        <v>5363</v>
      </c>
      <c r="E122" s="71">
        <f>8477.8731052+7835.06+8411.01+9148.21+9403.79</f>
        <v>43275.9431052</v>
      </c>
      <c r="F122" s="71">
        <f>8115.8591468+7688.55+8255.85+8867.82+9318.69</f>
        <v>42246.769146800005</v>
      </c>
      <c r="G122" s="72">
        <f>+F122-E122-1.24</f>
        <v>-1030.4139583999952</v>
      </c>
      <c r="H122" s="73"/>
      <c r="I122" s="74"/>
      <c r="J122" s="75"/>
      <c r="K122" s="75"/>
      <c r="L122" s="75"/>
    </row>
    <row r="123" spans="2:12" hidden="1" x14ac:dyDescent="0.25">
      <c r="B123" s="67" t="s">
        <v>193</v>
      </c>
      <c r="C123" s="70"/>
      <c r="D123" s="70"/>
      <c r="E123" s="71"/>
      <c r="F123" s="71"/>
      <c r="G123" s="72">
        <f t="shared" ref="G123:G131" si="0">+F123-E123</f>
        <v>0</v>
      </c>
      <c r="H123" s="73"/>
      <c r="I123" s="74"/>
      <c r="J123" s="75"/>
      <c r="K123" s="75"/>
      <c r="L123" s="75"/>
    </row>
    <row r="124" spans="2:12" x14ac:dyDescent="0.25">
      <c r="B124" s="45" t="s">
        <v>667</v>
      </c>
      <c r="C124" s="76">
        <f>3245+3155+2924+2541+3243</f>
        <v>15108</v>
      </c>
      <c r="D124" s="76">
        <f>3245+2998+2924+2541+3243</f>
        <v>14951</v>
      </c>
      <c r="E124" s="77">
        <f>23251.216376+23062.4+21744.09+19598.03+24956</f>
        <v>112611.736376</v>
      </c>
      <c r="F124" s="77">
        <f>23019.2019576+23214.46+21076.82+20110.06+24675.94</f>
        <v>112096.48195759999</v>
      </c>
      <c r="G124" s="72">
        <f>+F124-E124-132.42-16.96</f>
        <v>-664.6344184000144</v>
      </c>
      <c r="H124" s="73"/>
      <c r="I124" s="74"/>
      <c r="J124" s="75"/>
      <c r="K124" s="75"/>
      <c r="L124" s="75"/>
    </row>
    <row r="125" spans="2:12" x14ac:dyDescent="0.25">
      <c r="B125" s="67" t="s">
        <v>695</v>
      </c>
      <c r="C125" s="70">
        <f>3089+4164+4870+4542+4513</f>
        <v>21178</v>
      </c>
      <c r="D125" s="70">
        <f>3089+3947+4908+4542+4513</f>
        <v>20999</v>
      </c>
      <c r="E125" s="71">
        <f>24138.034131+30739.91+37416.97+33839.96+34390.31</f>
        <v>160525.18413099999</v>
      </c>
      <c r="F125" s="71">
        <f>24403.3776278+29771.72+36515.77+33211.34+33851.65</f>
        <v>157753.8576278</v>
      </c>
      <c r="G125" s="72">
        <f>+F125-E125-48.32-25.39</f>
        <v>-2845.0365031999909</v>
      </c>
      <c r="H125" s="73"/>
      <c r="I125" s="74"/>
      <c r="J125" s="75"/>
      <c r="K125" s="75"/>
      <c r="L125" s="75"/>
    </row>
    <row r="126" spans="2:12" x14ac:dyDescent="0.25">
      <c r="B126" s="45" t="s">
        <v>837</v>
      </c>
      <c r="C126" s="70">
        <f>4959+5302+4294+476+1880+274+2236</f>
        <v>19421</v>
      </c>
      <c r="D126" s="70">
        <f>4959+4664+4294+476+1880+274+2236</f>
        <v>18783</v>
      </c>
      <c r="E126" s="71">
        <f>40992.0946058+39677.53+34589.48+4020.61+16080.28+2010+19023.11</f>
        <v>156393.10460580001</v>
      </c>
      <c r="F126" s="71">
        <f>39810.9031062+37471.77+33066.64+3901.15+16290.6+1963.48+18272.45</f>
        <v>150776.99310620001</v>
      </c>
      <c r="G126" s="72">
        <f>+F126-E126-33.85</f>
        <v>-5649.9614995999964</v>
      </c>
      <c r="H126" s="73"/>
      <c r="I126" s="74"/>
      <c r="J126" s="75"/>
      <c r="K126" s="75"/>
      <c r="L126" s="75"/>
    </row>
    <row r="127" spans="2:12" x14ac:dyDescent="0.25">
      <c r="B127" s="45" t="s">
        <v>543</v>
      </c>
      <c r="C127" s="76">
        <f>483+890+807+1436+500</f>
        <v>4116</v>
      </c>
      <c r="D127" s="76">
        <f>483+890+807+1436+500</f>
        <v>4116</v>
      </c>
      <c r="E127" s="77">
        <f>4091.83035+6117.58+5527.23+9588.2+4330.44</f>
        <v>29655.280349999997</v>
      </c>
      <c r="F127" s="77">
        <f>4034.4795033+6049.53+5215.07+9786.63+3840.54</f>
        <v>28926.249503300001</v>
      </c>
      <c r="G127" s="72">
        <f>+F127-E127-5.43</f>
        <v>-734.46084669999584</v>
      </c>
      <c r="H127" s="73"/>
      <c r="I127" s="74"/>
      <c r="J127" s="75"/>
      <c r="K127" s="75"/>
      <c r="L127" s="75"/>
    </row>
    <row r="128" spans="2:12" x14ac:dyDescent="0.25">
      <c r="B128" s="45" t="s">
        <v>1150</v>
      </c>
      <c r="C128" s="76">
        <v>670</v>
      </c>
      <c r="D128" s="76">
        <v>670</v>
      </c>
      <c r="E128" s="78">
        <v>5121.43109</v>
      </c>
      <c r="F128" s="77">
        <v>4914.7043400000002</v>
      </c>
      <c r="G128" s="72">
        <f t="shared" si="0"/>
        <v>-206.72674999999981</v>
      </c>
      <c r="H128" s="73"/>
      <c r="I128" s="74"/>
      <c r="J128" s="75"/>
      <c r="K128" s="75"/>
      <c r="L128" s="75"/>
    </row>
    <row r="129" spans="2:12" x14ac:dyDescent="0.25">
      <c r="B129" s="45" t="s">
        <v>1151</v>
      </c>
      <c r="C129" s="76">
        <f>718+1240</f>
        <v>1958</v>
      </c>
      <c r="D129" s="76">
        <f>718+1240</f>
        <v>1958</v>
      </c>
      <c r="E129" s="78">
        <f>3497.925475+10412.86</f>
        <v>13910.785475000001</v>
      </c>
      <c r="F129" s="77">
        <f>3490.3374814+9799.72</f>
        <v>13290.057481399999</v>
      </c>
      <c r="G129" s="72">
        <f t="shared" si="0"/>
        <v>-620.72799360000135</v>
      </c>
      <c r="H129" s="73"/>
      <c r="I129" s="74"/>
      <c r="J129" s="75"/>
      <c r="K129" s="75"/>
      <c r="L129" s="75"/>
    </row>
    <row r="130" spans="2:12" x14ac:dyDescent="0.25">
      <c r="B130" s="45" t="s">
        <v>1137</v>
      </c>
      <c r="C130" s="76">
        <v>360</v>
      </c>
      <c r="D130" s="76">
        <v>360</v>
      </c>
      <c r="E130" s="78">
        <v>2769.5745981</v>
      </c>
      <c r="F130" s="77">
        <v>2703.3112599999999</v>
      </c>
      <c r="G130" s="72">
        <f t="shared" si="0"/>
        <v>-66.263338100000055</v>
      </c>
      <c r="H130" s="73"/>
      <c r="I130" s="74"/>
      <c r="J130" s="75"/>
      <c r="K130" s="75"/>
      <c r="L130" s="75"/>
    </row>
    <row r="131" spans="2:12" x14ac:dyDescent="0.25">
      <c r="B131" s="45" t="s">
        <v>809</v>
      </c>
      <c r="C131" s="79">
        <v>620</v>
      </c>
      <c r="D131" s="79">
        <v>620</v>
      </c>
      <c r="E131" s="80">
        <v>4655.3843317000001</v>
      </c>
      <c r="F131" s="80">
        <v>4447.8628870000002</v>
      </c>
      <c r="G131" s="72">
        <f t="shared" si="0"/>
        <v>-207.52144469999985</v>
      </c>
      <c r="H131" s="73"/>
      <c r="I131" s="74"/>
      <c r="J131" s="75"/>
    </row>
    <row r="132" spans="2:12" x14ac:dyDescent="0.25">
      <c r="H132" s="73"/>
      <c r="I132" s="74"/>
      <c r="J132" s="75"/>
    </row>
    <row r="133" spans="2:12" x14ac:dyDescent="0.25">
      <c r="E133" s="75"/>
      <c r="F133" s="75"/>
      <c r="H133" s="73"/>
      <c r="I133" s="74"/>
      <c r="J133" s="75"/>
    </row>
    <row r="134" spans="2:12" x14ac:dyDescent="0.25">
      <c r="B134" s="37" t="s">
        <v>1152</v>
      </c>
      <c r="F134" s="75"/>
      <c r="G134" s="74"/>
      <c r="H134" s="73"/>
      <c r="I134" s="74"/>
      <c r="L134" s="73"/>
    </row>
    <row r="135" spans="2:12" x14ac:dyDescent="0.25">
      <c r="H135" s="81"/>
      <c r="L135" s="74"/>
    </row>
    <row r="136" spans="2:12" ht="27" x14ac:dyDescent="0.25">
      <c r="B136" s="68" t="s">
        <v>1085</v>
      </c>
      <c r="C136" s="68" t="s">
        <v>1086</v>
      </c>
      <c r="D136" s="68" t="s">
        <v>1087</v>
      </c>
      <c r="E136" s="69" t="s">
        <v>1088</v>
      </c>
      <c r="F136" s="69" t="s">
        <v>1089</v>
      </c>
      <c r="G136" s="69" t="s">
        <v>1153</v>
      </c>
    </row>
    <row r="137" spans="2:12" x14ac:dyDescent="0.25">
      <c r="B137" s="45" t="s">
        <v>1150</v>
      </c>
      <c r="C137" s="55" t="s">
        <v>1154</v>
      </c>
      <c r="D137" s="46" t="s">
        <v>1155</v>
      </c>
      <c r="E137" s="56">
        <v>4349.12</v>
      </c>
      <c r="F137" s="61">
        <v>4417.05</v>
      </c>
      <c r="G137" s="44">
        <v>243.4231990521327</v>
      </c>
    </row>
    <row r="138" spans="2:12" x14ac:dyDescent="0.25">
      <c r="B138" s="45" t="s">
        <v>667</v>
      </c>
      <c r="C138" s="55" t="s">
        <v>1156</v>
      </c>
      <c r="D138" s="46" t="s">
        <v>1155</v>
      </c>
      <c r="E138" s="56">
        <v>658.01</v>
      </c>
      <c r="F138" s="61">
        <v>650.25</v>
      </c>
      <c r="G138" s="44">
        <v>1977.9214285714286</v>
      </c>
    </row>
    <row r="139" spans="2:12" hidden="1" x14ac:dyDescent="0.25">
      <c r="B139" s="45"/>
      <c r="C139" s="55"/>
      <c r="D139" s="46" t="s">
        <v>1155</v>
      </c>
      <c r="E139" s="56"/>
      <c r="F139" s="61"/>
      <c r="G139" s="44"/>
    </row>
    <row r="140" spans="2:12" hidden="1" x14ac:dyDescent="0.25">
      <c r="B140" s="45"/>
      <c r="C140" s="55"/>
      <c r="D140" s="46" t="s">
        <v>1155</v>
      </c>
      <c r="E140" s="56"/>
      <c r="F140" s="61"/>
      <c r="G140" s="44"/>
    </row>
    <row r="141" spans="2:12" hidden="1" x14ac:dyDescent="0.25">
      <c r="B141" s="45"/>
      <c r="C141" s="55"/>
      <c r="D141" s="46" t="s">
        <v>1155</v>
      </c>
      <c r="E141" s="56"/>
      <c r="F141" s="61"/>
      <c r="G141" s="44"/>
    </row>
    <row r="142" spans="2:12" hidden="1" x14ac:dyDescent="0.25">
      <c r="B142" s="45"/>
      <c r="C142" s="55"/>
      <c r="D142" s="46" t="s">
        <v>1155</v>
      </c>
      <c r="E142" s="56"/>
      <c r="F142" s="61"/>
      <c r="G142" s="44"/>
    </row>
    <row r="143" spans="2:12" x14ac:dyDescent="0.25">
      <c r="C143" s="82"/>
      <c r="D143" s="83"/>
      <c r="E143" s="84"/>
      <c r="F143" s="85"/>
      <c r="G143" s="85"/>
      <c r="I143" s="74"/>
    </row>
    <row r="144" spans="2:12" x14ac:dyDescent="0.25">
      <c r="B144" s="37" t="s">
        <v>1157</v>
      </c>
      <c r="I144" s="74"/>
    </row>
    <row r="145" spans="2:12" x14ac:dyDescent="0.25">
      <c r="I145" s="74"/>
      <c r="L145" s="75"/>
    </row>
    <row r="146" spans="2:12" x14ac:dyDescent="0.25">
      <c r="B146" s="65" t="s">
        <v>1085</v>
      </c>
      <c r="C146" s="65" t="s">
        <v>1143</v>
      </c>
    </row>
    <row r="147" spans="2:12" x14ac:dyDescent="0.25">
      <c r="B147" s="45" t="s">
        <v>1150</v>
      </c>
      <c r="C147" s="86">
        <v>0.66517700000000002</v>
      </c>
    </row>
    <row r="148" spans="2:12" x14ac:dyDescent="0.25">
      <c r="B148" s="45" t="s">
        <v>667</v>
      </c>
      <c r="C148" s="87">
        <v>0.34693200000000002</v>
      </c>
    </row>
    <row r="149" spans="2:12" hidden="1" x14ac:dyDescent="0.25">
      <c r="B149" s="45"/>
      <c r="C149" s="87"/>
    </row>
    <row r="150" spans="2:12" hidden="1" x14ac:dyDescent="0.25">
      <c r="B150" s="45"/>
      <c r="C150" s="87"/>
    </row>
    <row r="151" spans="2:12" x14ac:dyDescent="0.25">
      <c r="B151" s="88"/>
      <c r="C151" s="89"/>
    </row>
    <row r="152" spans="2:12" x14ac:dyDescent="0.25">
      <c r="B152" s="37" t="s">
        <v>1158</v>
      </c>
    </row>
    <row r="153" spans="2:12" x14ac:dyDescent="0.25">
      <c r="B153" s="37"/>
    </row>
    <row r="154" spans="2:12" ht="54" x14ac:dyDescent="0.25">
      <c r="B154" s="68" t="s">
        <v>1085</v>
      </c>
      <c r="C154" s="69" t="s">
        <v>1145</v>
      </c>
      <c r="D154" s="69" t="s">
        <v>1146</v>
      </c>
      <c r="E154" s="69" t="s">
        <v>1147</v>
      </c>
      <c r="F154" s="69" t="s">
        <v>1159</v>
      </c>
      <c r="G154" s="69" t="s">
        <v>1160</v>
      </c>
    </row>
    <row r="155" spans="2:12" x14ac:dyDescent="0.25">
      <c r="B155" s="45" t="s">
        <v>667</v>
      </c>
      <c r="C155" s="76">
        <f>40+45+142+80+386</f>
        <v>693</v>
      </c>
      <c r="D155" s="76">
        <f>40+45+142+80+386</f>
        <v>693</v>
      </c>
      <c r="E155" s="77">
        <f>361.4+420.93+1363.34+727.42+2935.74</f>
        <v>5808.83</v>
      </c>
      <c r="F155" s="77">
        <f>361.08+406.27+1552.43+730.32+2881.01</f>
        <v>5931.1100000000006</v>
      </c>
      <c r="G155" s="90">
        <f t="shared" ref="G155:G166" si="1">+F155-E155</f>
        <v>122.28000000000065</v>
      </c>
      <c r="H155" s="73"/>
      <c r="I155" s="74">
        <f>+C155-D155</f>
        <v>0</v>
      </c>
    </row>
    <row r="156" spans="2:12" x14ac:dyDescent="0.25">
      <c r="B156" s="67" t="s">
        <v>193</v>
      </c>
      <c r="C156" s="91">
        <f>391+1139+575+1178</f>
        <v>3283</v>
      </c>
      <c r="D156" s="91">
        <f>391+1139+575+1178</f>
        <v>3283</v>
      </c>
      <c r="E156" s="80">
        <f>4455.76011+7301.72+4339.13+9157</f>
        <v>25253.610110000001</v>
      </c>
      <c r="F156" s="80">
        <f>4461.37606+7701.07+4325.89+9572.11</f>
        <v>26060.446059999998</v>
      </c>
      <c r="G156" s="90">
        <f t="shared" si="1"/>
        <v>806.83594999999696</v>
      </c>
      <c r="H156" s="92"/>
      <c r="I156" s="74">
        <f>+C156-D156</f>
        <v>0</v>
      </c>
    </row>
    <row r="157" spans="2:12" hidden="1" x14ac:dyDescent="0.25">
      <c r="B157" s="67" t="s">
        <v>1161</v>
      </c>
      <c r="C157" s="91"/>
      <c r="D157" s="91"/>
      <c r="E157" s="80"/>
      <c r="F157" s="80"/>
      <c r="G157" s="90">
        <f t="shared" si="1"/>
        <v>0</v>
      </c>
      <c r="I157" s="74">
        <f>+C157-D157</f>
        <v>0</v>
      </c>
    </row>
    <row r="158" spans="2:12" hidden="1" x14ac:dyDescent="0.25">
      <c r="B158" s="45" t="s">
        <v>837</v>
      </c>
      <c r="C158" s="79"/>
      <c r="D158" s="79"/>
      <c r="E158" s="80"/>
      <c r="F158" s="80"/>
      <c r="G158" s="90">
        <f t="shared" si="1"/>
        <v>0</v>
      </c>
      <c r="H158" s="93"/>
      <c r="I158" s="74">
        <f>+C158-D158</f>
        <v>0</v>
      </c>
    </row>
    <row r="159" spans="2:12" x14ac:dyDescent="0.25">
      <c r="B159" s="45" t="s">
        <v>1162</v>
      </c>
      <c r="C159" s="79">
        <f>195+743+378</f>
        <v>1316</v>
      </c>
      <c r="D159" s="79">
        <f>195+743+378</f>
        <v>1316</v>
      </c>
      <c r="E159" s="80">
        <f>1270.8968768+6369.19+2606.56</f>
        <v>10246.6468768</v>
      </c>
      <c r="F159" s="80">
        <f>1484.0392128+6919.27+2767.79</f>
        <v>11171.0992128</v>
      </c>
      <c r="G159" s="90">
        <f t="shared" si="1"/>
        <v>924.45233600000029</v>
      </c>
      <c r="H159" s="93"/>
      <c r="I159" s="74"/>
    </row>
    <row r="160" spans="2:12" x14ac:dyDescent="0.25">
      <c r="B160" s="45" t="s">
        <v>837</v>
      </c>
      <c r="C160" s="79">
        <v>60</v>
      </c>
      <c r="D160" s="79">
        <v>60</v>
      </c>
      <c r="E160" s="80">
        <v>621.71165069999995</v>
      </c>
      <c r="F160" s="80">
        <v>686.31184439999993</v>
      </c>
      <c r="G160" s="90">
        <f t="shared" si="1"/>
        <v>64.600193699999977</v>
      </c>
      <c r="H160" s="93"/>
      <c r="I160" s="74"/>
    </row>
    <row r="161" spans="2:9" x14ac:dyDescent="0.25">
      <c r="B161" s="45" t="s">
        <v>809</v>
      </c>
      <c r="C161" s="76">
        <f>1800+1818+1024+299</f>
        <v>4941</v>
      </c>
      <c r="D161" s="76">
        <f>1800+1818+1024+299</f>
        <v>4941</v>
      </c>
      <c r="E161" s="77">
        <f>10398.53+10825.91+7998.89+2728.05</f>
        <v>31951.38</v>
      </c>
      <c r="F161" s="77">
        <f>11332.17+11195.48+8495.89+2777.74</f>
        <v>33801.279999999999</v>
      </c>
      <c r="G161" s="72">
        <f t="shared" si="1"/>
        <v>1849.8999999999978</v>
      </c>
      <c r="H161" s="93"/>
      <c r="I161" s="74"/>
    </row>
    <row r="162" spans="2:9" x14ac:dyDescent="0.25">
      <c r="B162" s="45" t="s">
        <v>1151</v>
      </c>
      <c r="C162" s="76">
        <v>1262</v>
      </c>
      <c r="D162" s="76">
        <v>1262</v>
      </c>
      <c r="E162" s="77">
        <v>10073.603030599999</v>
      </c>
      <c r="F162" s="77">
        <v>10153.082899999999</v>
      </c>
      <c r="G162" s="72">
        <f t="shared" si="1"/>
        <v>79.479869400000098</v>
      </c>
      <c r="H162" s="93"/>
      <c r="I162" s="74"/>
    </row>
    <row r="163" spans="2:9" x14ac:dyDescent="0.25">
      <c r="B163" s="45" t="s">
        <v>543</v>
      </c>
      <c r="C163" s="79">
        <f>120+216+964+240+1946</f>
        <v>3486</v>
      </c>
      <c r="D163" s="79">
        <f>120+216+964+240+1946</f>
        <v>3486</v>
      </c>
      <c r="E163" s="80">
        <f>1084.24392+1751.03+7741.11+1775.38+14240.58</f>
        <v>26592.343919999999</v>
      </c>
      <c r="F163" s="80">
        <f>1083.24+1668.12+8697.72+1854.3+14281.6</f>
        <v>27584.979999999996</v>
      </c>
      <c r="G163" s="90">
        <f t="shared" si="1"/>
        <v>992.63607999999658</v>
      </c>
      <c r="H163" s="93"/>
      <c r="I163" s="74">
        <f>+C163-D163</f>
        <v>0</v>
      </c>
    </row>
    <row r="164" spans="2:9" x14ac:dyDescent="0.25">
      <c r="B164" s="45" t="s">
        <v>1150</v>
      </c>
      <c r="C164" s="79">
        <f>568+422</f>
        <v>990</v>
      </c>
      <c r="D164" s="79">
        <f>568+422</f>
        <v>990</v>
      </c>
      <c r="E164" s="80">
        <f>5003.84058+2228.39</f>
        <v>7232.2305799999995</v>
      </c>
      <c r="F164" s="80">
        <f>5272.9444+2330.96</f>
        <v>7603.9044000000004</v>
      </c>
      <c r="G164" s="90">
        <f t="shared" si="1"/>
        <v>371.67382000000089</v>
      </c>
      <c r="H164" s="93"/>
      <c r="I164" s="74"/>
    </row>
    <row r="165" spans="2:9" x14ac:dyDescent="0.25">
      <c r="B165" s="45" t="s">
        <v>819</v>
      </c>
      <c r="C165" s="79">
        <v>120</v>
      </c>
      <c r="D165" s="79">
        <v>120</v>
      </c>
      <c r="E165" s="80">
        <v>635.07510000000002</v>
      </c>
      <c r="F165" s="80">
        <v>651.447</v>
      </c>
      <c r="G165" s="90">
        <f t="shared" si="1"/>
        <v>16.371899999999982</v>
      </c>
      <c r="H165" s="93"/>
      <c r="I165" s="74"/>
    </row>
    <row r="166" spans="2:9" x14ac:dyDescent="0.25">
      <c r="B166" s="45" t="s">
        <v>1137</v>
      </c>
      <c r="C166" s="76">
        <v>102</v>
      </c>
      <c r="D166" s="76">
        <v>102</v>
      </c>
      <c r="E166" s="77">
        <v>821.24059680000005</v>
      </c>
      <c r="F166" s="77">
        <v>881.35225430000003</v>
      </c>
      <c r="G166" s="90">
        <f t="shared" si="1"/>
        <v>60.111657499999978</v>
      </c>
      <c r="H166" s="73"/>
      <c r="I166" s="74"/>
    </row>
    <row r="167" spans="2:9" x14ac:dyDescent="0.25">
      <c r="H167" s="73"/>
      <c r="I167" s="74"/>
    </row>
    <row r="168" spans="2:9" x14ac:dyDescent="0.25">
      <c r="B168" s="94"/>
      <c r="C168" s="95"/>
      <c r="D168" s="95"/>
      <c r="E168" s="96"/>
      <c r="F168" s="96"/>
      <c r="G168" s="96"/>
      <c r="H168" s="74"/>
    </row>
    <row r="169" spans="2:9" x14ac:dyDescent="0.25">
      <c r="B169" s="37" t="s">
        <v>1163</v>
      </c>
      <c r="D169" s="97"/>
    </row>
    <row r="171" spans="2:9" ht="27" x14ac:dyDescent="0.25">
      <c r="B171" s="69" t="s">
        <v>1085</v>
      </c>
      <c r="C171" s="69" t="s">
        <v>1086</v>
      </c>
      <c r="D171" s="69" t="s">
        <v>1164</v>
      </c>
      <c r="E171" s="69" t="s">
        <v>1165</v>
      </c>
      <c r="F171" s="69" t="s">
        <v>1166</v>
      </c>
      <c r="G171" s="69" t="s">
        <v>1167</v>
      </c>
    </row>
    <row r="172" spans="2:9" x14ac:dyDescent="0.25">
      <c r="B172" s="98" t="s">
        <v>675</v>
      </c>
      <c r="C172" s="98" t="s">
        <v>675</v>
      </c>
      <c r="D172" s="98" t="s">
        <v>675</v>
      </c>
      <c r="E172" s="98" t="s">
        <v>675</v>
      </c>
      <c r="F172" s="98" t="s">
        <v>675</v>
      </c>
      <c r="G172" s="98" t="s">
        <v>675</v>
      </c>
    </row>
    <row r="173" spans="2:9" x14ac:dyDescent="0.25">
      <c r="D173" s="97"/>
      <c r="E173" s="97"/>
      <c r="F173" s="99"/>
      <c r="G173" s="99"/>
    </row>
    <row r="174" spans="2:9" x14ac:dyDescent="0.25">
      <c r="D174" s="97"/>
      <c r="E174" s="97"/>
      <c r="F174" s="99"/>
      <c r="G174" s="99"/>
    </row>
    <row r="175" spans="2:9" x14ac:dyDescent="0.25">
      <c r="B175" s="37" t="s">
        <v>1168</v>
      </c>
      <c r="G175" s="36" t="s">
        <v>1169</v>
      </c>
    </row>
    <row r="176" spans="2:9" x14ac:dyDescent="0.25">
      <c r="B176" s="37"/>
    </row>
    <row r="177" spans="2:7" x14ac:dyDescent="0.25">
      <c r="B177" s="65" t="s">
        <v>1085</v>
      </c>
      <c r="C177" s="65" t="s">
        <v>1143</v>
      </c>
    </row>
    <row r="178" spans="2:7" x14ac:dyDescent="0.25">
      <c r="B178" s="98" t="s">
        <v>675</v>
      </c>
      <c r="C178" s="98" t="s">
        <v>675</v>
      </c>
    </row>
    <row r="179" spans="2:7" x14ac:dyDescent="0.25">
      <c r="C179" s="100"/>
      <c r="D179" s="89"/>
    </row>
    <row r="180" spans="2:7" x14ac:dyDescent="0.25">
      <c r="B180" s="37" t="s">
        <v>1170</v>
      </c>
    </row>
    <row r="182" spans="2:7" ht="40.5" x14ac:dyDescent="0.25">
      <c r="B182" s="68" t="s">
        <v>1085</v>
      </c>
      <c r="C182" s="69" t="s">
        <v>1171</v>
      </c>
      <c r="D182" s="69" t="s">
        <v>1172</v>
      </c>
      <c r="E182" s="69" t="s">
        <v>1173</v>
      </c>
      <c r="F182" s="69" t="s">
        <v>1174</v>
      </c>
    </row>
    <row r="183" spans="2:7" x14ac:dyDescent="0.25">
      <c r="B183" s="101"/>
      <c r="C183" s="98"/>
      <c r="D183" s="102"/>
      <c r="E183" s="90"/>
      <c r="F183" s="90">
        <f>+E183-D183</f>
        <v>0</v>
      </c>
    </row>
    <row r="184" spans="2:7" x14ac:dyDescent="0.25">
      <c r="B184" s="103"/>
      <c r="C184" s="104"/>
      <c r="D184" s="105"/>
      <c r="E184" s="105"/>
      <c r="F184" s="106"/>
    </row>
    <row r="185" spans="2:7" x14ac:dyDescent="0.25">
      <c r="B185" s="103"/>
      <c r="C185" s="104"/>
      <c r="D185" s="105"/>
      <c r="E185" s="105"/>
      <c r="F185" s="106"/>
    </row>
    <row r="187" spans="2:7" x14ac:dyDescent="0.25">
      <c r="B187" s="37" t="s">
        <v>1175</v>
      </c>
    </row>
    <row r="189" spans="2:7" ht="27" x14ac:dyDescent="0.25">
      <c r="B189" s="69" t="s">
        <v>1085</v>
      </c>
      <c r="C189" s="69" t="s">
        <v>1086</v>
      </c>
      <c r="D189" s="69" t="s">
        <v>1164</v>
      </c>
      <c r="E189" s="69" t="s">
        <v>1165</v>
      </c>
      <c r="F189" s="69" t="s">
        <v>1166</v>
      </c>
      <c r="G189" s="69" t="s">
        <v>1167</v>
      </c>
    </row>
    <row r="190" spans="2:7" x14ac:dyDescent="0.25">
      <c r="B190" s="45" t="s">
        <v>675</v>
      </c>
      <c r="C190" s="45" t="s">
        <v>675</v>
      </c>
      <c r="D190" s="45" t="s">
        <v>675</v>
      </c>
      <c r="E190" s="45" t="s">
        <v>675</v>
      </c>
      <c r="F190" s="45" t="s">
        <v>675</v>
      </c>
      <c r="G190" s="45" t="s">
        <v>675</v>
      </c>
    </row>
    <row r="191" spans="2:7" x14ac:dyDescent="0.25">
      <c r="C191" s="82"/>
      <c r="D191" s="107"/>
      <c r="E191" s="108"/>
      <c r="F191" s="99"/>
      <c r="G191" s="99"/>
    </row>
    <row r="192" spans="2:7" x14ac:dyDescent="0.25">
      <c r="B192" s="37" t="s">
        <v>1176</v>
      </c>
    </row>
    <row r="193" spans="2:7" x14ac:dyDescent="0.25">
      <c r="B193" s="37"/>
    </row>
    <row r="194" spans="2:7" x14ac:dyDescent="0.25">
      <c r="B194" s="65" t="s">
        <v>1085</v>
      </c>
      <c r="C194" s="65" t="s">
        <v>1143</v>
      </c>
    </row>
    <row r="195" spans="2:7" x14ac:dyDescent="0.25">
      <c r="B195" s="45" t="s">
        <v>675</v>
      </c>
      <c r="C195" s="45" t="s">
        <v>675</v>
      </c>
    </row>
    <row r="196" spans="2:7" x14ac:dyDescent="0.25">
      <c r="B196" s="88"/>
      <c r="C196" s="89"/>
    </row>
    <row r="197" spans="2:7" x14ac:dyDescent="0.25">
      <c r="B197" s="37" t="s">
        <v>1177</v>
      </c>
    </row>
    <row r="199" spans="2:7" ht="40.5" x14ac:dyDescent="0.25">
      <c r="B199" s="68" t="s">
        <v>1085</v>
      </c>
      <c r="C199" s="69" t="s">
        <v>1171</v>
      </c>
      <c r="D199" s="69" t="s">
        <v>1178</v>
      </c>
      <c r="E199" s="69" t="s">
        <v>1179</v>
      </c>
      <c r="F199" s="69" t="s">
        <v>1174</v>
      </c>
    </row>
    <row r="200" spans="2:7" x14ac:dyDescent="0.25">
      <c r="B200" s="45"/>
      <c r="C200" s="98"/>
      <c r="D200" s="102"/>
      <c r="E200" s="98"/>
      <c r="F200" s="98"/>
    </row>
    <row r="201" spans="2:7" x14ac:dyDescent="0.25">
      <c r="G201" s="109"/>
    </row>
    <row r="202" spans="2:7" x14ac:dyDescent="0.25">
      <c r="F202" s="110"/>
      <c r="G202" s="75"/>
    </row>
    <row r="203" spans="2:7" x14ac:dyDescent="0.25">
      <c r="B203" s="37" t="s">
        <v>1180</v>
      </c>
    </row>
    <row r="204" spans="2:7" x14ac:dyDescent="0.25">
      <c r="B204" s="37"/>
    </row>
    <row r="205" spans="2:7" x14ac:dyDescent="0.25">
      <c r="E205" s="75"/>
    </row>
    <row r="206" spans="2:7" x14ac:dyDescent="0.25">
      <c r="B206" s="37" t="s">
        <v>1181</v>
      </c>
      <c r="E206" s="75"/>
    </row>
    <row r="207" spans="2:7" x14ac:dyDescent="0.25">
      <c r="E207" s="75"/>
    </row>
    <row r="208" spans="2:7" ht="27" x14ac:dyDescent="0.25">
      <c r="B208" s="68" t="s">
        <v>1085</v>
      </c>
      <c r="C208" s="69" t="s">
        <v>1086</v>
      </c>
      <c r="D208" s="69" t="s">
        <v>1087</v>
      </c>
      <c r="E208" s="69" t="s">
        <v>1182</v>
      </c>
      <c r="F208" s="69" t="s">
        <v>1183</v>
      </c>
      <c r="G208" s="69" t="s">
        <v>1184</v>
      </c>
    </row>
    <row r="209" spans="2:10" x14ac:dyDescent="0.25">
      <c r="B209" s="67" t="s">
        <v>675</v>
      </c>
      <c r="C209" s="111" t="s">
        <v>675</v>
      </c>
      <c r="D209" s="112" t="s">
        <v>675</v>
      </c>
      <c r="E209" s="113" t="s">
        <v>675</v>
      </c>
      <c r="F209" s="113" t="s">
        <v>675</v>
      </c>
      <c r="G209" s="113" t="s">
        <v>675</v>
      </c>
    </row>
    <row r="210" spans="2:10" x14ac:dyDescent="0.25">
      <c r="E210" s="75"/>
    </row>
    <row r="211" spans="2:10" x14ac:dyDescent="0.25">
      <c r="B211" s="37" t="s">
        <v>1185</v>
      </c>
      <c r="E211" s="75"/>
    </row>
    <row r="212" spans="2:10" x14ac:dyDescent="0.25">
      <c r="B212" s="37"/>
      <c r="E212" s="75"/>
    </row>
    <row r="213" spans="2:10" x14ac:dyDescent="0.25">
      <c r="B213" s="65" t="s">
        <v>1085</v>
      </c>
      <c r="C213" s="65" t="s">
        <v>1143</v>
      </c>
      <c r="E213" s="75"/>
    </row>
    <row r="214" spans="2:10" x14ac:dyDescent="0.25">
      <c r="B214" s="98" t="s">
        <v>675</v>
      </c>
      <c r="C214" s="91" t="s">
        <v>675</v>
      </c>
      <c r="E214" s="75"/>
    </row>
    <row r="215" spans="2:10" x14ac:dyDescent="0.25">
      <c r="E215" s="75"/>
    </row>
    <row r="216" spans="2:10" x14ac:dyDescent="0.25">
      <c r="B216" s="37" t="s">
        <v>1186</v>
      </c>
      <c r="E216" s="75"/>
    </row>
    <row r="217" spans="2:10" x14ac:dyDescent="0.25">
      <c r="E217" s="75"/>
    </row>
    <row r="218" spans="2:10" ht="67.5" x14ac:dyDescent="0.25">
      <c r="B218" s="68" t="s">
        <v>1085</v>
      </c>
      <c r="C218" s="69" t="s">
        <v>1145</v>
      </c>
      <c r="D218" s="69" t="s">
        <v>1146</v>
      </c>
      <c r="E218" s="69" t="s">
        <v>1147</v>
      </c>
      <c r="F218" s="69" t="s">
        <v>1148</v>
      </c>
      <c r="G218" s="69" t="s">
        <v>1149</v>
      </c>
    </row>
    <row r="219" spans="2:10" x14ac:dyDescent="0.25">
      <c r="B219" s="91"/>
      <c r="C219" s="91"/>
      <c r="D219" s="70"/>
      <c r="E219" s="114"/>
      <c r="F219" s="115"/>
      <c r="G219" s="116"/>
      <c r="I219" s="74"/>
      <c r="J219" s="75"/>
    </row>
    <row r="220" spans="2:10" x14ac:dyDescent="0.25">
      <c r="E220" s="75"/>
    </row>
    <row r="221" spans="2:10" x14ac:dyDescent="0.25">
      <c r="E221" s="75"/>
    </row>
    <row r="222" spans="2:10" x14ac:dyDescent="0.25">
      <c r="B222" s="37" t="s">
        <v>1187</v>
      </c>
      <c r="E222" s="75"/>
    </row>
    <row r="223" spans="2:10" x14ac:dyDescent="0.25">
      <c r="E223" s="75"/>
    </row>
    <row r="224" spans="2:10" ht="67.5" x14ac:dyDescent="0.25">
      <c r="B224" s="68" t="s">
        <v>1085</v>
      </c>
      <c r="C224" s="69" t="s">
        <v>1145</v>
      </c>
      <c r="D224" s="69" t="s">
        <v>1146</v>
      </c>
      <c r="E224" s="69" t="s">
        <v>1147</v>
      </c>
      <c r="F224" s="69" t="s">
        <v>1148</v>
      </c>
      <c r="G224" s="69" t="s">
        <v>1149</v>
      </c>
    </row>
    <row r="225" spans="2:7" x14ac:dyDescent="0.25">
      <c r="B225" s="46"/>
      <c r="C225" s="98"/>
      <c r="D225" s="98"/>
      <c r="E225" s="117"/>
      <c r="F225" s="117"/>
      <c r="G225" s="117"/>
    </row>
    <row r="226" spans="2:7" x14ac:dyDescent="0.25">
      <c r="E226" s="75"/>
    </row>
    <row r="227" spans="2:7" x14ac:dyDescent="0.25">
      <c r="E227" s="75"/>
    </row>
    <row r="228" spans="2:7" x14ac:dyDescent="0.25">
      <c r="E228" s="75"/>
    </row>
    <row r="229" spans="2:7" x14ac:dyDescent="0.25">
      <c r="B229" s="36" t="s">
        <v>1188</v>
      </c>
    </row>
  </sheetData>
  <mergeCells count="3">
    <mergeCell ref="B2:G2"/>
    <mergeCell ref="B3:G3"/>
    <mergeCell ref="B5:G5"/>
  </mergeCells>
  <printOptions horizontalCentered="1"/>
  <pageMargins left="0.17" right="0.15748031496062992" top="0.43307086614173229" bottom="0.47244094488188981" header="0.31496062992125984" footer="0.31496062992125984"/>
  <pageSetup paperSize="9" scale="48"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Thiruselvan V - Sundaram Mutual</cp:lastModifiedBy>
  <dcterms:created xsi:type="dcterms:W3CDTF">2024-09-03T09:23:51Z</dcterms:created>
  <dcterms:modified xsi:type="dcterms:W3CDTF">2024-09-10T04:44:18Z</dcterms:modified>
</cp:coreProperties>
</file>