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59409751-A7EE-48B6-9EDB-A1EBC41B391C}" xr6:coauthVersionLast="47" xr6:coauthVersionMax="47" xr10:uidLastSave="{00000000-0000-0000-0000-000000000000}"/>
  <bookViews>
    <workbookView xWindow="-108" yWindow="-108" windowWidth="41496" windowHeight="16896" xr2:uid="{55897A9A-BC80-4D42-B0E2-947C76699A18}"/>
  </bookViews>
  <sheets>
    <sheet name="IDF282" sheetId="1" r:id="rId1"/>
  </sheets>
  <definedNames>
    <definedName name="JR_PAGE_ANCHOR_0_49">'IDF282'!$A$2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</calcChain>
</file>

<file path=xl/sharedStrings.xml><?xml version="1.0" encoding="utf-8"?>
<sst xmlns="http://schemas.openxmlformats.org/spreadsheetml/2006/main" count="179" uniqueCount="153">
  <si>
    <t>IDF282</t>
  </si>
  <si>
    <t>INDEX</t>
  </si>
  <si>
    <t>Portfolio Statement as on December 31,2024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</si>
  <si>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</si>
  <si>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</si>
  <si>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</si>
  <si>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</si>
  <si>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</si>
  <si>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</si>
  <si>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</si>
  <si>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</si>
  <si>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</si>
  <si>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</si>
  <si>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</si>
  <si>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</si>
  <si>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</si>
  <si>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</si>
  <si>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</si>
  <si>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</si>
  <si>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</si>
  <si>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</si>
  <si>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</si>
  <si>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</si>
  <si>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</si>
  <si>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</si>
  <si>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HCLT02</t>
  </si>
  <si>
    <t>HCL Technologies Limited</t>
  </si>
  <si>
    <t>INE860A01027</t>
  </si>
  <si>
    <t>IT - Software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</si>
  <si>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</si>
  <si>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</si>
  <si>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</si>
  <si>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</si>
  <si>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</si>
  <si>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</si>
  <si>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</si>
  <si>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BTVL02</t>
  </si>
  <si>
    <t>Bharti Airtel Limited</t>
  </si>
  <si>
    <t>INE397D01024</t>
  </si>
  <si>
    <t>Telecom - Services</t>
  </si>
  <si>
    <t>TEMA02</t>
  </si>
  <si>
    <t>Tech Mahindra Limited</t>
  </si>
  <si>
    <t>INE669C01036</t>
  </si>
  <si>
    <t>INFS02</t>
  </si>
  <si>
    <t>Infosys Limited</t>
  </si>
  <si>
    <t>INE009A01021</t>
  </si>
  <si>
    <t>DIVI02</t>
  </si>
  <si>
    <t>Divi's Laboratories Limited</t>
  </si>
  <si>
    <t>INE361B01024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</si>
  <si>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</si>
  <si>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</si>
  <si>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</si>
  <si>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</si>
  <si>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</si>
  <si>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</si>
  <si>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</si>
  <si>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</si>
  <si>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</si>
  <si>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</si>
  <si>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</si>
  <si>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</si>
  <si>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</si>
  <si>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</si>
  <si>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</si>
  <si>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</si>
  <si>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</si>
  <si>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</si>
  <si>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IEIN01</t>
  </si>
  <si>
    <t>Info Edge (India) Limited</t>
  </si>
  <si>
    <t>INE663F01024</t>
  </si>
  <si>
    <t>BSEL02</t>
  </si>
  <si>
    <t>BSE Limited</t>
  </si>
  <si>
    <t>INE118H01025</t>
  </si>
  <si>
    <t>Capital Markets</t>
  </si>
  <si>
    <t>LUPL02</t>
  </si>
  <si>
    <t>Lupin Limited</t>
  </si>
  <si>
    <t>INE326A01037</t>
  </si>
  <si>
    <t>SESA02</t>
  </si>
  <si>
    <t>Vedanta Limited</t>
  </si>
  <si>
    <t>INE205A01025</t>
  </si>
  <si>
    <t>Diversified Metals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</si>
  <si>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</si>
  <si>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</si>
  <si>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</si>
  <si>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</si>
  <si>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</si>
  <si>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</si>
  <si>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</si>
  <si>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</si>
  <si>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KALJ01</t>
  </si>
  <si>
    <t>Kalyan Jewellers India Limited</t>
  </si>
  <si>
    <t>INE303R01014</t>
  </si>
  <si>
    <t>IFEL01</t>
  </si>
  <si>
    <t>Oracle Financial Services Software Limited</t>
  </si>
  <si>
    <t>INE881D01027</t>
  </si>
  <si>
    <t>VOLT02</t>
  </si>
  <si>
    <t>Voltas Limited</t>
  </si>
  <si>
    <t>INE226A01021</t>
  </si>
  <si>
    <t>FEBA02</t>
  </si>
  <si>
    <t>The Federal Bank Limited</t>
  </si>
  <si>
    <t>INE171A01029</t>
  </si>
  <si>
    <t>Banks</t>
  </si>
  <si>
    <t>MOSU03</t>
  </si>
  <si>
    <t>Samvardhana Motherson International Limited</t>
  </si>
  <si>
    <t>INE775A01035</t>
  </si>
  <si>
    <t>Auto Components</t>
  </si>
  <si>
    <t>ONCO02</t>
  </si>
  <si>
    <t>One 97 Communications Limited</t>
  </si>
  <si>
    <t>INE982J01020</t>
  </si>
  <si>
    <t>TOPH02</t>
  </si>
  <si>
    <t>Torrent Pharmaceuticals Limited</t>
  </si>
  <si>
    <t>INE685A01028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</si>
  <si>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</si>
  <si>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</si>
  <si>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</si>
  <si>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</si>
  <si>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</si>
  <si>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</si>
  <si>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</si>
  <si>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</si>
  <si>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</si>
  <si>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</si>
  <si>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</si>
  <si>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</si>
  <si>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</si>
  <si>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</si>
  <si>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</si>
  <si>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</si>
  <si>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</si>
  <si>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</si>
  <si>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</si>
  <si>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</si>
  <si>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</si>
  <si>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</si>
  <si>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</si>
  <si>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</si>
  <si>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</si>
  <si>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</si>
  <si>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</si>
  <si>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</si>
  <si>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Sun Pharma Group</t>
  </si>
  <si>
    <t>HCL Tech Group</t>
  </si>
  <si>
    <t>Dixon Technologies Group</t>
  </si>
  <si>
    <t>Bharti Group</t>
  </si>
  <si>
    <t>Name and exposure to top 4 Sectors</t>
  </si>
  <si>
    <t>Name of the Sector</t>
  </si>
  <si>
    <t>Information Technology</t>
  </si>
  <si>
    <t>Consumer Services</t>
  </si>
  <si>
    <t>Healthcare</t>
  </si>
  <si>
    <t>Financial Services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</si>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</sst>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B2540-8C13-4946-8DDC-541EC9D5A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058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556260</xdr:colOff>
      <xdr:row>92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471E0-CEFD-4A5C-996E-93C0715FE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4058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85D8-6E27-48C4-9E2A-8A8F7E342A40}">
  <sheetPr codeName="Sheet49">
    <outlinePr summaryBelow="0"/>
  </sheetPr>
  <dimension ref="A1:H81"/>
  <sheetViews>
    <sheetView tabSelected="1" topLeftCell="A35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36683</v>
      </c>
      <c r="F8" s="18">
        <v>691.97</v>
      </c>
      <c r="G8" s="19">
        <v>5.0700000000000002E-2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247204</v>
      </c>
      <c r="F9" s="18">
        <v>687.35</v>
      </c>
      <c r="G9" s="19">
        <v>5.04E-2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22700</v>
      </c>
      <c r="F10" s="18">
        <v>682.61</v>
      </c>
      <c r="G10" s="19">
        <v>0.05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35533</v>
      </c>
      <c r="F11" s="18">
        <v>681.31</v>
      </c>
      <c r="G11" s="19">
        <v>4.99E-2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9543</v>
      </c>
      <c r="F12" s="18">
        <v>679.78</v>
      </c>
      <c r="G12" s="19">
        <v>4.9799999999999997E-2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3748</v>
      </c>
      <c r="F13" s="18">
        <v>672.25</v>
      </c>
      <c r="G13" s="19">
        <v>4.9299999999999997E-2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42221</v>
      </c>
      <c r="F14" s="18">
        <v>670.36</v>
      </c>
      <c r="G14" s="19">
        <v>4.9099999999999998E-2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28</v>
      </c>
      <c r="E15" s="17">
        <v>39269</v>
      </c>
      <c r="F15" s="18">
        <v>670.01</v>
      </c>
      <c r="G15" s="19">
        <v>4.9099999999999998E-2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28</v>
      </c>
      <c r="E16" s="17">
        <v>35395</v>
      </c>
      <c r="F16" s="18">
        <v>665.43</v>
      </c>
      <c r="G16" s="19">
        <v>4.8800000000000003E-2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10179</v>
      </c>
      <c r="F17" s="18">
        <v>620.79999999999995</v>
      </c>
      <c r="G17" s="19">
        <v>4.5499999999999999E-2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28</v>
      </c>
      <c r="E18" s="17">
        <v>9444</v>
      </c>
      <c r="F18" s="18">
        <v>609.87</v>
      </c>
      <c r="G18" s="19">
        <v>4.4699999999999997E-2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65150</v>
      </c>
      <c r="F19" s="18">
        <v>571.72</v>
      </c>
      <c r="G19" s="19">
        <v>4.19E-2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174688</v>
      </c>
      <c r="F20" s="18">
        <v>512.1</v>
      </c>
      <c r="G20" s="19">
        <v>3.7499999999999999E-2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28</v>
      </c>
      <c r="E21" s="17">
        <v>5177</v>
      </c>
      <c r="F21" s="18">
        <v>500.25</v>
      </c>
      <c r="G21" s="19">
        <v>3.6700000000000003E-2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23708</v>
      </c>
      <c r="F22" s="18">
        <v>499.97</v>
      </c>
      <c r="G22" s="19">
        <v>3.6600000000000001E-2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20</v>
      </c>
      <c r="E23" s="17">
        <v>5755</v>
      </c>
      <c r="F23" s="18">
        <v>499.38</v>
      </c>
      <c r="G23" s="19">
        <v>3.6600000000000001E-2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7994</v>
      </c>
      <c r="F24" s="18">
        <v>425.71</v>
      </c>
      <c r="G24" s="19">
        <v>3.1199999999999999E-2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16</v>
      </c>
      <c r="E25" s="17">
        <v>15169</v>
      </c>
      <c r="F25" s="18">
        <v>357.34</v>
      </c>
      <c r="G25" s="19">
        <v>2.6200000000000001E-2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76472</v>
      </c>
      <c r="F26" s="18">
        <v>339.88</v>
      </c>
      <c r="G26" s="19">
        <v>2.4899999999999999E-2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4996</v>
      </c>
      <c r="F27" s="18">
        <v>326.54000000000002</v>
      </c>
      <c r="G27" s="19">
        <v>2.3900000000000001E-2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18604</v>
      </c>
      <c r="F28" s="18">
        <v>302.39999999999998</v>
      </c>
      <c r="G28" s="19">
        <v>2.2200000000000001E-2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35</v>
      </c>
      <c r="E29" s="17">
        <v>38293</v>
      </c>
      <c r="F29" s="18">
        <v>293.42</v>
      </c>
      <c r="G29" s="19">
        <v>2.1499999999999998E-2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28</v>
      </c>
      <c r="E30" s="17">
        <v>2141</v>
      </c>
      <c r="F30" s="18">
        <v>273.82</v>
      </c>
      <c r="G30" s="19">
        <v>2.01E-2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35</v>
      </c>
      <c r="E31" s="17">
        <v>14814</v>
      </c>
      <c r="F31" s="18">
        <v>265.16000000000003</v>
      </c>
      <c r="G31" s="19">
        <v>1.9400000000000001E-2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132550</v>
      </c>
      <c r="F32" s="18">
        <v>265.13</v>
      </c>
      <c r="G32" s="19">
        <v>1.9400000000000001E-2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131628</v>
      </c>
      <c r="F33" s="18">
        <v>205.5</v>
      </c>
      <c r="G33" s="19">
        <v>1.5100000000000001E-2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66</v>
      </c>
      <c r="E34" s="17">
        <v>19091</v>
      </c>
      <c r="F34" s="18">
        <v>194.32</v>
      </c>
      <c r="G34" s="19">
        <v>1.4200000000000001E-2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16</v>
      </c>
      <c r="E35" s="17">
        <v>5683</v>
      </c>
      <c r="F35" s="18">
        <v>190.95</v>
      </c>
      <c r="G35" s="19">
        <v>1.4E-2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105</v>
      </c>
      <c r="E36" s="17">
        <v>473</v>
      </c>
      <c r="F36" s="18">
        <v>161.29</v>
      </c>
      <c r="G36" s="19">
        <v>1.18E-2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29533</v>
      </c>
      <c r="F37" s="18">
        <v>127.21</v>
      </c>
      <c r="G37" s="19">
        <v>9.2999999999999992E-3</v>
      </c>
      <c r="H37" s="20"/>
    </row>
    <row r="38" spans="1:8" ht="13.05" customHeight="1">
      <c r="A38" s="4"/>
      <c r="B38" s="21" t="s">
        <v>119</v>
      </c>
      <c r="C38" s="22"/>
      <c r="D38" s="21"/>
      <c r="E38" s="21"/>
      <c r="F38" s="23">
        <v>13643.83</v>
      </c>
      <c r="G38" s="24">
        <v>0.99980000000000002</v>
      </c>
      <c r="H38" s="25"/>
    </row>
    <row r="39" spans="1:8" ht="13.05" customHeight="1">
      <c r="A39" s="4"/>
      <c r="B39" s="11" t="s">
        <v>120</v>
      </c>
      <c r="C39" s="26"/>
      <c r="D39" s="27"/>
      <c r="E39" s="27"/>
      <c r="F39" s="28" t="s">
        <v>121</v>
      </c>
      <c r="G39" s="28" t="s">
        <v>121</v>
      </c>
      <c r="H39" s="25" t="s">
        <v>121</v>
      </c>
    </row>
    <row r="40" spans="1:8" ht="13.05" customHeight="1">
      <c r="A40" s="4"/>
      <c r="B40" s="21" t="s">
        <v>119</v>
      </c>
      <c r="C40" s="26"/>
      <c r="D40" s="27"/>
      <c r="E40" s="27"/>
      <c r="F40" s="28" t="s">
        <v>121</v>
      </c>
      <c r="G40" s="28" t="s">
        <v>121</v>
      </c>
      <c r="H40" s="25" t="s">
        <v>121</v>
      </c>
    </row>
    <row r="41" spans="1:8" ht="13.05" customHeight="1">
      <c r="A41" s="4"/>
      <c r="B41" s="21" t="s">
        <v>122</v>
      </c>
      <c r="C41" s="26"/>
      <c r="D41" s="27"/>
      <c r="E41" s="29"/>
      <c r="F41" s="30">
        <v>13643.83</v>
      </c>
      <c r="G41" s="31">
        <v>0.99980000000000002</v>
      </c>
      <c r="H41" s="32"/>
    </row>
    <row r="42" spans="1:8" ht="13.05" customHeight="1">
      <c r="A42" s="4"/>
      <c r="B42" s="11" t="s">
        <v>123</v>
      </c>
      <c r="C42" s="12"/>
      <c r="D42" s="13"/>
      <c r="E42" s="13"/>
      <c r="F42" s="13"/>
      <c r="G42" s="13"/>
      <c r="H42" s="14"/>
    </row>
    <row r="43" spans="1:8" ht="13.05" customHeight="1">
      <c r="A43" s="4"/>
      <c r="B43" s="33" t="s">
        <v>124</v>
      </c>
      <c r="C43" s="12"/>
      <c r="D43" s="13"/>
      <c r="E43" s="13"/>
      <c r="F43" s="13"/>
      <c r="G43" s="13"/>
      <c r="H43" s="14"/>
    </row>
    <row r="44" spans="1:8" ht="13.05" customHeight="1">
      <c r="A44" s="15" t="s">
        <v>125</v>
      </c>
      <c r="B44" s="16" t="s">
        <v>126</v>
      </c>
      <c r="C44" s="12"/>
      <c r="D44" s="13"/>
      <c r="E44" s="34"/>
      <c r="F44" s="18">
        <v>34.69</v>
      </c>
      <c r="G44" s="19">
        <v>2.5000000000000001E-3</v>
      </c>
      <c r="H44" s="20">
        <v>6.2891216414706352E-2</v>
      </c>
    </row>
    <row r="45" spans="1:8" ht="13.05" customHeight="1">
      <c r="A45" s="4"/>
      <c r="B45" s="21" t="s">
        <v>122</v>
      </c>
      <c r="C45" s="26"/>
      <c r="D45" s="27"/>
      <c r="E45" s="29"/>
      <c r="F45" s="30">
        <v>34.69</v>
      </c>
      <c r="G45" s="31">
        <v>2.5000000000000001E-3</v>
      </c>
      <c r="H45" s="32"/>
    </row>
    <row r="46" spans="1:8" ht="13.05" customHeight="1">
      <c r="A46" s="4"/>
      <c r="B46" s="33" t="s">
        <v>127</v>
      </c>
      <c r="C46" s="35"/>
      <c r="D46" s="36"/>
      <c r="E46" s="36"/>
      <c r="F46" s="36"/>
      <c r="G46" s="36"/>
      <c r="H46" s="37"/>
    </row>
    <row r="47" spans="1:8" ht="13.05" customHeight="1">
      <c r="A47" s="4"/>
      <c r="B47" s="27" t="s">
        <v>128</v>
      </c>
      <c r="C47" s="26"/>
      <c r="D47" s="27"/>
      <c r="E47" s="27"/>
      <c r="F47" s="23">
        <v>0.21</v>
      </c>
      <c r="G47" s="38" t="s">
        <v>129</v>
      </c>
      <c r="H47" s="37"/>
    </row>
    <row r="48" spans="1:8" ht="13.05" customHeight="1">
      <c r="A48" s="4"/>
      <c r="B48" s="21" t="s">
        <v>119</v>
      </c>
      <c r="C48" s="22"/>
      <c r="D48" s="21"/>
      <c r="E48" s="21"/>
      <c r="F48" s="23">
        <v>0.21</v>
      </c>
      <c r="G48" s="38" t="s">
        <v>129</v>
      </c>
      <c r="H48" s="37"/>
    </row>
    <row r="49" spans="1:8" ht="13.05" customHeight="1">
      <c r="A49" s="4"/>
      <c r="B49" s="21" t="s">
        <v>130</v>
      </c>
      <c r="C49" s="26"/>
      <c r="D49" s="27"/>
      <c r="E49" s="27"/>
      <c r="F49" s="23">
        <v>-30.88</v>
      </c>
      <c r="G49" s="39">
        <v>-2.3E-3</v>
      </c>
      <c r="H49" s="37"/>
    </row>
    <row r="50" spans="1:8" ht="13.05" customHeight="1" thickBot="1">
      <c r="A50" s="4"/>
      <c r="B50" s="40" t="s">
        <v>131</v>
      </c>
      <c r="C50" s="41"/>
      <c r="D50" s="42"/>
      <c r="E50" s="42"/>
      <c r="F50" s="43">
        <v>13647.851892716501</v>
      </c>
      <c r="G50" s="44">
        <v>1</v>
      </c>
      <c r="H50" s="45"/>
    </row>
    <row r="51" spans="1:8" ht="13.05" customHeight="1">
      <c r="A51" s="4"/>
      <c r="B51" s="46"/>
      <c r="C51" s="4"/>
      <c r="D51" s="4"/>
      <c r="E51" s="4"/>
      <c r="F51" s="4"/>
      <c r="G51" s="4"/>
      <c r="H51" s="4"/>
    </row>
    <row r="52" spans="1:8" ht="13.05" customHeight="1">
      <c r="A52" s="4"/>
      <c r="B52" s="46" t="s">
        <v>132</v>
      </c>
      <c r="C52" s="4"/>
      <c r="D52" s="4"/>
      <c r="E52" s="4"/>
      <c r="F52" s="4"/>
      <c r="G52" s="4"/>
      <c r="H52" s="4"/>
    </row>
    <row r="54" spans="1:8">
      <c r="B54" s="47" t="s">
        <v>133</v>
      </c>
      <c r="C54" s="4"/>
    </row>
    <row r="55" spans="1:8">
      <c r="B55" s="48" t="s">
        <v>134</v>
      </c>
      <c r="C55" s="48" t="s">
        <v>9</v>
      </c>
    </row>
    <row r="56" spans="1:8">
      <c r="B56" s="49" t="str">
        <f>+B8</f>
        <v>Sun Pharmaceutical Industries Limited</v>
      </c>
      <c r="C56" s="50">
        <f>+G8</f>
        <v>5.0700000000000002E-2</v>
      </c>
    </row>
    <row r="57" spans="1:8">
      <c r="B57" s="49" t="str">
        <f t="shared" ref="B57:B62" si="0">+B9</f>
        <v>Zomato Limited</v>
      </c>
      <c r="C57" s="50">
        <f t="shared" ref="C57:C62" si="1">+G9</f>
        <v>5.04E-2</v>
      </c>
    </row>
    <row r="58" spans="1:8">
      <c r="B58" s="49" t="str">
        <f t="shared" si="0"/>
        <v>Mahindra &amp; Mahindra Limited</v>
      </c>
      <c r="C58" s="50">
        <f t="shared" si="1"/>
        <v>0.05</v>
      </c>
    </row>
    <row r="59" spans="1:8">
      <c r="B59" s="49" t="str">
        <f t="shared" si="0"/>
        <v>HCL Technologies Limited</v>
      </c>
      <c r="C59" s="50">
        <f t="shared" si="1"/>
        <v>4.99E-2</v>
      </c>
    </row>
    <row r="60" spans="1:8">
      <c r="B60" s="49" t="str">
        <f t="shared" si="0"/>
        <v>Trent Limited</v>
      </c>
      <c r="C60" s="50">
        <f t="shared" si="1"/>
        <v>4.9799999999999997E-2</v>
      </c>
    </row>
    <row r="61" spans="1:8">
      <c r="B61" s="49" t="str">
        <f t="shared" si="0"/>
        <v>Dixon Technologies (India) Limited</v>
      </c>
      <c r="C61" s="50">
        <f t="shared" si="1"/>
        <v>4.9299999999999997E-2</v>
      </c>
    </row>
    <row r="62" spans="1:8">
      <c r="B62" s="49" t="str">
        <f t="shared" si="0"/>
        <v>Bharti Airtel Limited</v>
      </c>
      <c r="C62" s="50">
        <f t="shared" si="1"/>
        <v>4.9099999999999998E-2</v>
      </c>
    </row>
    <row r="64" spans="1:8">
      <c r="B64" s="47" t="s">
        <v>135</v>
      </c>
    </row>
    <row r="65" spans="2:6">
      <c r="B65" s="48" t="s">
        <v>136</v>
      </c>
      <c r="C65" s="48" t="s">
        <v>9</v>
      </c>
    </row>
    <row r="66" spans="2:6">
      <c r="B66" s="49" t="s">
        <v>137</v>
      </c>
      <c r="C66" s="50">
        <v>9.9099999999999994E-2</v>
      </c>
    </row>
    <row r="67" spans="2:6">
      <c r="B67" s="49" t="s">
        <v>138</v>
      </c>
      <c r="C67" s="50">
        <v>9.1700000000000004E-2</v>
      </c>
    </row>
    <row r="68" spans="2:6">
      <c r="B68" s="49" t="s">
        <v>139</v>
      </c>
      <c r="C68" s="50">
        <v>8.6999999999999994E-2</v>
      </c>
    </row>
    <row r="69" spans="2:6">
      <c r="B69" s="49" t="s">
        <v>140</v>
      </c>
      <c r="C69" s="50">
        <v>5.0700000000000002E-2</v>
      </c>
    </row>
    <row r="70" spans="2:6">
      <c r="B70" s="49" t="s">
        <v>141</v>
      </c>
      <c r="C70" s="50">
        <v>4.99E-2</v>
      </c>
    </row>
    <row r="71" spans="2:6">
      <c r="B71" s="49" t="s">
        <v>142</v>
      </c>
      <c r="C71" s="50">
        <v>4.9299999999999997E-2</v>
      </c>
    </row>
    <row r="72" spans="2:6">
      <c r="B72" s="49" t="s">
        <v>143</v>
      </c>
      <c r="C72" s="50">
        <v>4.9099999999999998E-2</v>
      </c>
    </row>
    <row r="74" spans="2:6">
      <c r="B74" s="47" t="s">
        <v>144</v>
      </c>
    </row>
    <row r="75" spans="2:6">
      <c r="B75" s="48" t="s">
        <v>145</v>
      </c>
      <c r="C75" s="48" t="s">
        <v>9</v>
      </c>
    </row>
    <row r="76" spans="2:6">
      <c r="B76" s="49" t="s">
        <v>146</v>
      </c>
      <c r="C76" s="50">
        <v>0.24930000000000002</v>
      </c>
    </row>
    <row r="77" spans="2:6">
      <c r="B77" s="49" t="s">
        <v>147</v>
      </c>
      <c r="C77" s="50">
        <v>0.1787</v>
      </c>
    </row>
    <row r="78" spans="2:6">
      <c r="B78" s="49" t="s">
        <v>148</v>
      </c>
      <c r="C78" s="50">
        <v>0.13640000000000002</v>
      </c>
    </row>
    <row r="79" spans="2:6">
      <c r="B79" s="49" t="s">
        <v>149</v>
      </c>
      <c r="C79" s="50">
        <v>0.10140000000000002</v>
      </c>
    </row>
    <row r="80" spans="2:6">
      <c r="F80" s="51" t="s">
        <v>150</v>
      </c>
    </row>
    <row r="81" spans="2:6">
      <c r="B81" s="51" t="s">
        <v>151</v>
      </c>
      <c r="F81" s="51" t="s">
        <v>152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2025-01-08T09:22:23Z</dcterms:created>
  <dcterms:modified xsi:type="dcterms:W3CDTF">2025-01-08T09:22:25Z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2025-01-08T09:22:25Z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5622a50c-987a-4a5e-b6a4-3867daa5f59a</vt:lpwstr>
  </property>
  <property fmtid="{D5CDD505-2E9C-101B-9397-08002B2CF9AE}" pid="8" name="MSIP_Label_1b7f8449-e5d3-4eba-8da7-ffd6ca5bf3e9_ContentBits">
    <vt:lpwstr>0</vt:lpwstr>
  </property>
</Properties>
</file>