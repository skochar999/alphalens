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132.201.0.2\fasundaram\DEBT_BACKOFFICE\Debt_Factsheets\2024 - Monthly Portfolio\7. 31072024\"/>
    </mc:Choice>
  </mc:AlternateContent>
  <xr:revisionPtr revIDLastSave="0" documentId="13_ncr:1_{C669B7DE-3F3A-40E3-8622-7778A9D948AB}" xr6:coauthVersionLast="47" xr6:coauthVersionMax="47" xr10:uidLastSave="{00000000-0000-0000-0000-000000000000}"/>
  <bookViews>
    <workbookView xWindow="-120" yWindow="-120" windowWidth="20730" windowHeight="11040" tabRatio="933" firstSheet="21" activeTab="31" xr2:uid="{46DE8790-F686-4007-9BFB-30C27825679C}"/>
  </bookViews>
  <sheets>
    <sheet name="Index" sheetId="31" r:id="rId1"/>
    <sheet name="CAPEXG" sheetId="1" r:id="rId2"/>
    <sheet name="GLOB" sheetId="30" r:id="rId3"/>
    <sheet name="MIDCAP" sheetId="2" r:id="rId4"/>
    <sheet name="MULTIP" sheetId="3" r:id="rId5"/>
    <sheet name="SLTADV3" sheetId="4" r:id="rId6"/>
    <sheet name="SLTADV4" sheetId="5" r:id="rId7"/>
    <sheet name="SLTAX1" sheetId="6" r:id="rId8"/>
    <sheet name="SLTAX2" sheetId="7" r:id="rId9"/>
    <sheet name="SLTAX3" sheetId="8" r:id="rId10"/>
    <sheet name="SLTAX4" sheetId="9" r:id="rId11"/>
    <sheet name="SLTAX5" sheetId="10" r:id="rId12"/>
    <sheet name="SLTAX6" sheetId="11" r:id="rId13"/>
    <sheet name="SMILE" sheetId="12" r:id="rId14"/>
    <sheet name="SPAHF" sheetId="13" r:id="rId15"/>
    <sheet name="SPARF" sheetId="14" r:id="rId16"/>
    <sheet name="SPBAF" sheetId="15" r:id="rId17"/>
    <sheet name="SPDYF" sheetId="16" r:id="rId18"/>
    <sheet name="SPESF" sheetId="17" r:id="rId19"/>
    <sheet name="SPFOCUS" sheetId="18" r:id="rId20"/>
    <sheet name="SPMUCF" sheetId="19" r:id="rId21"/>
    <sheet name="SPSN100" sheetId="20" r:id="rId22"/>
    <sheet name="SPTAX" sheetId="21" r:id="rId23"/>
    <sheet name="SRURAL" sheetId="22" r:id="rId24"/>
    <sheet name="SSFUND" sheetId="23" r:id="rId25"/>
    <sheet name="STAX" sheetId="24" r:id="rId26"/>
    <sheet name="SUNBCF" sheetId="25" r:id="rId27"/>
    <sheet name="SUNCYF" sheetId="26" r:id="rId28"/>
    <sheet name="SUNFCF" sheetId="27" r:id="rId29"/>
    <sheet name="SUNFOP" sheetId="28" r:id="rId30"/>
    <sheet name="SUNMAF" sheetId="29" r:id="rId31"/>
    <sheet name="Annexure-A" sheetId="33" r:id="rId32"/>
  </sheets>
  <definedNames>
    <definedName name="_xlnm._FilterDatabase" localSheetId="31" hidden="1">'Annexure-A'!$A$8:$L$99</definedName>
    <definedName name="_xlnm._FilterDatabase" localSheetId="0" hidden="1">Index!$A$1:$C$28</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2" i="33" l="1"/>
  <c r="G155" i="33"/>
  <c r="G154" i="33"/>
  <c r="G153" i="33"/>
  <c r="G152" i="33"/>
  <c r="F152" i="33"/>
  <c r="E152" i="33"/>
  <c r="D152" i="33"/>
  <c r="C152" i="33"/>
  <c r="I152" i="33" s="1"/>
  <c r="F151" i="33"/>
  <c r="G151" i="33" s="1"/>
  <c r="E151" i="33"/>
  <c r="D151" i="33"/>
  <c r="C151" i="33"/>
  <c r="G150" i="33"/>
  <c r="F149" i="33"/>
  <c r="G149" i="33" s="1"/>
  <c r="E149" i="33"/>
  <c r="D149" i="33"/>
  <c r="C149" i="33"/>
  <c r="I148" i="33"/>
  <c r="G148" i="33"/>
  <c r="I147" i="33"/>
  <c r="G147" i="33"/>
  <c r="F146" i="33"/>
  <c r="G146" i="33" s="1"/>
  <c r="E146" i="33"/>
  <c r="D146" i="33"/>
  <c r="C146" i="33"/>
  <c r="I146" i="33" s="1"/>
  <c r="I145" i="33"/>
  <c r="F145" i="33"/>
  <c r="G145" i="33" s="1"/>
  <c r="E145" i="33"/>
  <c r="D145" i="33"/>
  <c r="C145" i="33"/>
  <c r="G121" i="33"/>
  <c r="G120" i="33"/>
  <c r="G119" i="33"/>
  <c r="G118" i="33"/>
  <c r="G117" i="33"/>
  <c r="F117" i="33"/>
  <c r="E117" i="33"/>
  <c r="D117" i="33"/>
  <c r="C117" i="33"/>
  <c r="F116" i="33"/>
  <c r="G116" i="33" s="1"/>
  <c r="E116" i="33"/>
  <c r="D116" i="33"/>
  <c r="C116" i="33"/>
  <c r="F115" i="33"/>
  <c r="E115" i="33"/>
  <c r="G115" i="33" s="1"/>
  <c r="D115" i="33"/>
  <c r="C115" i="33"/>
  <c r="F114" i="33"/>
  <c r="G114" i="33" s="1"/>
  <c r="E114" i="33"/>
  <c r="D114" i="33"/>
  <c r="C114" i="33"/>
  <c r="G113" i="33"/>
  <c r="F112" i="33"/>
  <c r="G112" i="33" s="1"/>
  <c r="E112" i="33"/>
  <c r="D112" i="33"/>
  <c r="C112" i="33"/>
  <c r="G188" i="13"/>
  <c r="F98" i="13"/>
  <c r="G67" i="14" l="1"/>
  <c r="G66" i="14"/>
  <c r="G65" i="14"/>
  <c r="G64" i="14"/>
  <c r="G63" i="14"/>
  <c r="G62" i="14"/>
  <c r="G61" i="14"/>
  <c r="G60" i="14"/>
  <c r="G59" i="14"/>
  <c r="G58" i="14"/>
  <c r="G57" i="14"/>
  <c r="G56" i="14"/>
  <c r="G55" i="14"/>
  <c r="G54" i="14"/>
  <c r="G53" i="14"/>
  <c r="G52" i="14"/>
  <c r="G51" i="14"/>
  <c r="G50" i="14"/>
  <c r="G49" i="14"/>
  <c r="G48" i="14"/>
  <c r="G47" i="14"/>
  <c r="G46" i="14"/>
  <c r="G80" i="21" l="1"/>
  <c r="F80" i="21"/>
  <c r="D145" i="19"/>
  <c r="G79" i="19"/>
  <c r="F79" i="19"/>
  <c r="G65" i="19"/>
  <c r="F65" i="19"/>
  <c r="G45" i="14"/>
  <c r="G75" i="13"/>
  <c r="F75" i="13"/>
  <c r="G40" i="7"/>
  <c r="F40" i="7"/>
  <c r="G82" i="29"/>
  <c r="G81" i="29"/>
  <c r="G80" i="29"/>
  <c r="G79" i="29"/>
  <c r="G78" i="29"/>
  <c r="G77" i="29"/>
  <c r="G76" i="29"/>
  <c r="G75" i="29"/>
  <c r="G74" i="29"/>
  <c r="G73" i="29"/>
  <c r="G140" i="29"/>
  <c r="G141" i="29" s="1"/>
  <c r="F141" i="29"/>
  <c r="F140" i="29"/>
  <c r="G85" i="29"/>
  <c r="F85" i="29"/>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172" i="17"/>
  <c r="G173" i="17" s="1"/>
  <c r="F173" i="17"/>
  <c r="F172" i="17"/>
  <c r="G119" i="17"/>
  <c r="F119" i="17"/>
  <c r="G174" i="15"/>
  <c r="F175" i="15"/>
  <c r="G94" i="15" s="1"/>
  <c r="G111" i="15"/>
  <c r="F111" i="15"/>
  <c r="G123" i="14"/>
  <c r="F107" i="14"/>
  <c r="F123" i="14" s="1"/>
  <c r="G122" i="14" s="1"/>
  <c r="F122" i="14"/>
  <c r="G70" i="14"/>
  <c r="F70" i="14"/>
  <c r="D164" i="12"/>
  <c r="D119" i="5"/>
  <c r="D119" i="4"/>
  <c r="D160" i="2"/>
  <c r="D147" i="23"/>
  <c r="F78" i="16"/>
  <c r="D116" i="11"/>
  <c r="D119" i="10"/>
  <c r="D117" i="9"/>
  <c r="D117" i="8"/>
  <c r="G92" i="15" l="1"/>
  <c r="G107" i="15"/>
  <c r="G99" i="15"/>
  <c r="G91" i="15"/>
  <c r="G93" i="15"/>
  <c r="G108" i="15"/>
  <c r="G106" i="15"/>
  <c r="G98" i="15"/>
  <c r="G90" i="15"/>
  <c r="G100" i="15"/>
  <c r="G105" i="15"/>
  <c r="G97" i="15"/>
  <c r="G89" i="15"/>
  <c r="G101" i="15"/>
  <c r="G104" i="15"/>
  <c r="G96" i="15"/>
  <c r="G88" i="15"/>
  <c r="G103" i="15"/>
  <c r="G95" i="15"/>
  <c r="G102" i="15"/>
  <c r="G88" i="21" l="1"/>
  <c r="F88" i="21"/>
  <c r="D154" i="21" s="1"/>
  <c r="G39" i="6"/>
  <c r="F39" i="6"/>
  <c r="G82" i="16"/>
  <c r="F82" i="16"/>
  <c r="D145" i="16" s="1"/>
  <c r="F86" i="13"/>
  <c r="F82" i="13"/>
  <c r="D198" i="13" l="1"/>
  <c r="D93" i="30"/>
  <c r="D138" i="1"/>
  <c r="F174" i="15"/>
  <c r="F17" i="15" l="1"/>
  <c r="F53" i="15"/>
  <c r="G85" i="15"/>
  <c r="F85" i="15"/>
  <c r="G174" i="13"/>
  <c r="G156" i="13"/>
  <c r="F174" i="13"/>
  <c r="F156" i="13"/>
  <c r="G93" i="13"/>
  <c r="G98" i="13" s="1"/>
  <c r="F92" i="13"/>
  <c r="F93" i="13" s="1"/>
  <c r="F188" i="13" l="1"/>
  <c r="G69" i="15"/>
  <c r="G175" i="15" s="1"/>
  <c r="F69" i="15"/>
  <c r="G187" i="13" l="1"/>
  <c r="G226" i="13"/>
</calcChain>
</file>

<file path=xl/sharedStrings.xml><?xml version="1.0" encoding="utf-8"?>
<sst xmlns="http://schemas.openxmlformats.org/spreadsheetml/2006/main" count="12868" uniqueCount="1215">
  <si>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</si>
  <si>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</si>
  <si>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</si>
  <si>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</si>
  <si>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</si>
  <si>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</si>
  <si>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</si>
  <si>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</si>
  <si>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</si>
  <si>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</si>
  <si>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</si>
  <si>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</si>
  <si>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</si>
  <si>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</si>
  <si>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INE733E01010</t>
  </si>
  <si>
    <t>NTPC LTD</t>
  </si>
  <si>
    <t>Power</t>
  </si>
  <si>
    <t>INE397D01024</t>
  </si>
  <si>
    <t>Bharti Airtel Ltd</t>
  </si>
  <si>
    <t>Telecom - Services</t>
  </si>
  <si>
    <t>INE002A01018</t>
  </si>
  <si>
    <t>Reliance Industries Ltd</t>
  </si>
  <si>
    <t>Petroleum Products</t>
  </si>
  <si>
    <t>INE481G01011</t>
  </si>
  <si>
    <t>Ultratech Cement Ltd</t>
  </si>
  <si>
    <t>Cement &amp; Cement Products</t>
  </si>
  <si>
    <t>INE752E01010</t>
  </si>
  <si>
    <t>Power Grid Corporation of India Ltd</t>
  </si>
  <si>
    <t>INE263A01024</t>
  </si>
  <si>
    <t>Bharat Electronics Ltd</t>
  </si>
  <si>
    <t>Aerospace &amp; Defense</t>
  </si>
  <si>
    <t>INE999A01023</t>
  </si>
  <si>
    <t>KSB LTD</t>
  </si>
  <si>
    <t>Industrial Products</t>
  </si>
  <si>
    <t>INE284A01012</t>
  </si>
  <si>
    <t>ESAB India Ltd</t>
  </si>
  <si>
    <t>INE213A01029</t>
  </si>
  <si>
    <t>Oil &amp; Natural Gas Corporation Ltd</t>
  </si>
  <si>
    <t>Oil</t>
  </si>
  <si>
    <t>INE029A01011</t>
  </si>
  <si>
    <t>Bharat Petroleum Corporation Ltd</t>
  </si>
  <si>
    <t>INE868B01028</t>
  </si>
  <si>
    <t>NCC Ltd</t>
  </si>
  <si>
    <t>INE090A01021</t>
  </si>
  <si>
    <t>ICICI Bank Ltd</t>
  </si>
  <si>
    <t>Banks</t>
  </si>
  <si>
    <t>INE195J01029</t>
  </si>
  <si>
    <t>PNC Infratech Ltd</t>
  </si>
  <si>
    <t>INE419M01027</t>
  </si>
  <si>
    <t>TD Power Systems Ltd</t>
  </si>
  <si>
    <t>Electrical Equipment</t>
  </si>
  <si>
    <t>INE062A01020</t>
  </si>
  <si>
    <t>State Bank of India</t>
  </si>
  <si>
    <t>INE343G01021</t>
  </si>
  <si>
    <t>Bharti Hexacom Ltd</t>
  </si>
  <si>
    <t>INE245A01021</t>
  </si>
  <si>
    <t>TATA Power Company Ltd</t>
  </si>
  <si>
    <t>INE220B01022</t>
  </si>
  <si>
    <t>Kalpataru Projects International Ltd</t>
  </si>
  <si>
    <t>INE791I01019</t>
  </si>
  <si>
    <t>Brigade Enterprises Ltd</t>
  </si>
  <si>
    <t>Realty</t>
  </si>
  <si>
    <t>INE129A01019</t>
  </si>
  <si>
    <t>GAIL (India) Ltd</t>
  </si>
  <si>
    <t>Gas</t>
  </si>
  <si>
    <t>INE372A01015</t>
  </si>
  <si>
    <t>Apar Industries Ltd</t>
  </si>
  <si>
    <t>INE003A01024</t>
  </si>
  <si>
    <t>Siemens Ltd</t>
  </si>
  <si>
    <t>INE146L01010</t>
  </si>
  <si>
    <t>Kirloskar Oil Engines Ltd</t>
  </si>
  <si>
    <t>INE671A01010</t>
  </si>
  <si>
    <t>Honeywell Automation India Ltd</t>
  </si>
  <si>
    <t>Industrial Manufacturing</t>
  </si>
  <si>
    <t>INE111A01025</t>
  </si>
  <si>
    <t>Container Corporation of India Ltd</t>
  </si>
  <si>
    <t>Transport Services</t>
  </si>
  <si>
    <t>INE298A01020</t>
  </si>
  <si>
    <t>Cummins India Ltd</t>
  </si>
  <si>
    <t>INE742F01042</t>
  </si>
  <si>
    <t>Adani Ports and Special Economic Zone Ltd</t>
  </si>
  <si>
    <t>Transport Infrastructure</t>
  </si>
  <si>
    <t>INE823G01014</t>
  </si>
  <si>
    <t>JK Cement Ltd</t>
  </si>
  <si>
    <t>INE020B01018</t>
  </si>
  <si>
    <t>REC Ltd</t>
  </si>
  <si>
    <t>Finance</t>
  </si>
  <si>
    <t>INE00LO01017</t>
  </si>
  <si>
    <t>Craftsman Automation Ltd</t>
  </si>
  <si>
    <t>Auto Components</t>
  </si>
  <si>
    <t>INE134E01011</t>
  </si>
  <si>
    <t>Power Finance Corporation Ltd</t>
  </si>
  <si>
    <t>INE671H01015</t>
  </si>
  <si>
    <t>Sobha Ltd</t>
  </si>
  <si>
    <t>INE878B01027</t>
  </si>
  <si>
    <t>KEI Industries Ltd</t>
  </si>
  <si>
    <t>INE536A01023</t>
  </si>
  <si>
    <t>Grindwell Norton Ltd</t>
  </si>
  <si>
    <t>INE935N01020</t>
  </si>
  <si>
    <t>Dixon Technologies (India) Ltd</t>
  </si>
  <si>
    <t>Consumer Durables</t>
  </si>
  <si>
    <t>INE646L01027</t>
  </si>
  <si>
    <t>Interglobe Aviation Ltd</t>
  </si>
  <si>
    <t>INE079A01024</t>
  </si>
  <si>
    <t>Ambuja Cements Ltd</t>
  </si>
  <si>
    <t>INE522F01014</t>
  </si>
  <si>
    <t>Coal India Ltd</t>
  </si>
  <si>
    <t>Consumable Fuels</t>
  </si>
  <si>
    <t>INE811A01020</t>
  </si>
  <si>
    <t>Kirlosakar Pneumatic Company Ltd</t>
  </si>
  <si>
    <t>INE00M201021</t>
  </si>
  <si>
    <t>Sterling and Wilson Renewable Energy Ltd</t>
  </si>
  <si>
    <t>INE152A01029</t>
  </si>
  <si>
    <t>Thermax Ltd</t>
  </si>
  <si>
    <t>INE067A01029</t>
  </si>
  <si>
    <t>CG Power and Industrial Solutions Ltd</t>
  </si>
  <si>
    <t>INE066F01020</t>
  </si>
  <si>
    <t>Hindustan Aeronautics Ltd</t>
  </si>
  <si>
    <t>INE121J01017</t>
  </si>
  <si>
    <t>Indus Towers Ltd (Prev Bharti Infratel Ltd)</t>
  </si>
  <si>
    <t>INE513A01022</t>
  </si>
  <si>
    <t>Schaeffler India Ltd</t>
  </si>
  <si>
    <t>INE07Y701011</t>
  </si>
  <si>
    <t>Hitachi Energy India Ltd</t>
  </si>
  <si>
    <t>INE152M01016</t>
  </si>
  <si>
    <t>Triveni Turbine Ltd</t>
  </si>
  <si>
    <t>INE224A01026</t>
  </si>
  <si>
    <t>Greaves Cotton Ltd</t>
  </si>
  <si>
    <t>INE148O01028</t>
  </si>
  <si>
    <t>Delhivery Ltd</t>
  </si>
  <si>
    <t>INE117A01022</t>
  </si>
  <si>
    <t>ABB India Ltd</t>
  </si>
  <si>
    <t>INE257A01026</t>
  </si>
  <si>
    <t>Bharat Heavy Electricals Ltd</t>
  </si>
  <si>
    <t>INE749A01030</t>
  </si>
  <si>
    <t>Jindal Steel &amp; Power Ltd</t>
  </si>
  <si>
    <t>Ferrous Metals</t>
  </si>
  <si>
    <t>INE702C01027</t>
  </si>
  <si>
    <t>APL Apollo Tubes Ltd</t>
  </si>
  <si>
    <t>INE284S01014</t>
  </si>
  <si>
    <t>S.J.S. Enterprises Ltd</t>
  </si>
  <si>
    <t>INE087A01019</t>
  </si>
  <si>
    <t>Kesoram Industries Ltd</t>
  </si>
  <si>
    <t>INE616N01034</t>
  </si>
  <si>
    <t>INOX India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</si>
  <si>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</si>
  <si>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</si>
  <si>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</si>
  <si>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</si>
  <si>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</si>
  <si>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</si>
  <si>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</si>
  <si>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</si>
  <si>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</si>
  <si>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</si>
  <si>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</si>
  <si>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</si>
  <si>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</si>
  <si>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</si>
  <si>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</si>
  <si>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</si>
  <si>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</si>
  <si>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</si>
  <si>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</si>
  <si>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</si>
  <si>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</si>
  <si>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</si>
  <si>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</si>
  <si>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</si>
  <si>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</si>
  <si>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</si>
  <si>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</si>
  <si>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</si>
  <si>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</si>
  <si>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</si>
  <si>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</si>
  <si>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</si>
  <si>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</si>
  <si>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</si>
  <si>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</si>
  <si>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</si>
  <si>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</si>
  <si>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</si>
  <si>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</si>
  <si>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</si>
  <si>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30/06/2024</t>
  </si>
  <si>
    <t>31/07/2024</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</si>
  <si>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</si>
  <si>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</si>
  <si>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</si>
  <si>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</si>
  <si>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</si>
  <si>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</si>
  <si>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</si>
  <si>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INE303R01014</t>
  </si>
  <si>
    <t>Kalyan Jewellers India Ltd</t>
  </si>
  <si>
    <t>INE171A01029</t>
  </si>
  <si>
    <t>The Federal Bank Ltd</t>
  </si>
  <si>
    <t>INE974X01010</t>
  </si>
  <si>
    <t>Tube Investments of India Ltd</t>
  </si>
  <si>
    <t>INE849A01020</t>
  </si>
  <si>
    <t>Trent Ltd</t>
  </si>
  <si>
    <t>Retailing</t>
  </si>
  <si>
    <t>INE169A01031</t>
  </si>
  <si>
    <t>Coromandel International Ltd</t>
  </si>
  <si>
    <t>Fertilizers &amp; Agrochemicals</t>
  </si>
  <si>
    <t>INE562A01011</t>
  </si>
  <si>
    <t>Indian Bank</t>
  </si>
  <si>
    <t>INE326A01037</t>
  </si>
  <si>
    <t>Lupin Ltd</t>
  </si>
  <si>
    <t>Pharmaceuticals &amp; Biotechnology</t>
  </si>
  <si>
    <t>INE093I01010</t>
  </si>
  <si>
    <t>Oberoi Realty Ltd</t>
  </si>
  <si>
    <t>INE010B01027</t>
  </si>
  <si>
    <t>Zydus Lifesciences Ltd</t>
  </si>
  <si>
    <t>INE813H01021</t>
  </si>
  <si>
    <t>Torrent Power Ltd</t>
  </si>
  <si>
    <t>INE262H01021</t>
  </si>
  <si>
    <t>Persistent Systems Ltd</t>
  </si>
  <si>
    <t>It - Software</t>
  </si>
  <si>
    <t>INE061F01013</t>
  </si>
  <si>
    <t>Fortis Health Care Ltd</t>
  </si>
  <si>
    <t>Healthcare Services</t>
  </si>
  <si>
    <t>INE105A01035</t>
  </si>
  <si>
    <t>TVS Holdings Ltd</t>
  </si>
  <si>
    <t>INE226A01021</t>
  </si>
  <si>
    <t>Voltas Ltd</t>
  </si>
  <si>
    <t>INE596I01012</t>
  </si>
  <si>
    <t>Computer Age Management Services Ltd</t>
  </si>
  <si>
    <t>Capital Markets</t>
  </si>
  <si>
    <t>INE180A01020</t>
  </si>
  <si>
    <t>Max Financial Services Ltd</t>
  </si>
  <si>
    <t>Insurance</t>
  </si>
  <si>
    <t>INE417T01026</t>
  </si>
  <si>
    <t>PB Fintech Ltd</t>
  </si>
  <si>
    <t>Financial Technology (Fintech)</t>
  </si>
  <si>
    <t>INE540L01014</t>
  </si>
  <si>
    <t>Alkem Laboratories Ltd</t>
  </si>
  <si>
    <t>INE094A01015</t>
  </si>
  <si>
    <t>Hindustan Petroleum Corporation Ltd</t>
  </si>
  <si>
    <t>INE797F01020</t>
  </si>
  <si>
    <t>Jubilant Foodworks Ltd</t>
  </si>
  <si>
    <t>Leisure Services</t>
  </si>
  <si>
    <t>INE949L01017</t>
  </si>
  <si>
    <t>AU Small Finance Bank Ltd</t>
  </si>
  <si>
    <t>INE288B01029</t>
  </si>
  <si>
    <t>Deepak Nitrite Ltd</t>
  </si>
  <si>
    <t>Chemicals &amp; Petrochemicals</t>
  </si>
  <si>
    <t>INE721A01013</t>
  </si>
  <si>
    <t>Shriram Finance Ltd</t>
  </si>
  <si>
    <t>INE356A01018</t>
  </si>
  <si>
    <t>MphasiS Ltd</t>
  </si>
  <si>
    <t>INE427F01016</t>
  </si>
  <si>
    <t>Chalet Hotels Ltd</t>
  </si>
  <si>
    <t>INE663F01024</t>
  </si>
  <si>
    <t>Info Edge (India) Ltd</t>
  </si>
  <si>
    <t>INE027H01010</t>
  </si>
  <si>
    <t>Max Healthcare Institute Ltd</t>
  </si>
  <si>
    <t>INE342J01019</t>
  </si>
  <si>
    <t>ZF Commercial Vehicle Control Systems I Ltd</t>
  </si>
  <si>
    <t>INE438A01022</t>
  </si>
  <si>
    <t>Apollo Tyres Ltd</t>
  </si>
  <si>
    <t>INE774D01024</t>
  </si>
  <si>
    <t>Mahindra &amp; Mahindra Financial Services Ltd</t>
  </si>
  <si>
    <t>INE149A01033</t>
  </si>
  <si>
    <t>Cholamandalam Financial Holdings Ltd</t>
  </si>
  <si>
    <t>INE686F01025</t>
  </si>
  <si>
    <t>United Breweries Ltd</t>
  </si>
  <si>
    <t>Beverages</t>
  </si>
  <si>
    <t>INE455K01017</t>
  </si>
  <si>
    <t>Polycab India Ltd</t>
  </si>
  <si>
    <t>INE692A01016</t>
  </si>
  <si>
    <t>Union Bank of India</t>
  </si>
  <si>
    <t>INE121A01024</t>
  </si>
  <si>
    <t>Cholamandalam Investment and Finance Company Ltd</t>
  </si>
  <si>
    <t>INE473B01035</t>
  </si>
  <si>
    <t>Hatsun Agro Product Ltd</t>
  </si>
  <si>
    <t>Food Products</t>
  </si>
  <si>
    <t>INE591G01017</t>
  </si>
  <si>
    <t>Coforge Ltd</t>
  </si>
  <si>
    <t>INE494B01023</t>
  </si>
  <si>
    <t>TVS Motor Company Ltd</t>
  </si>
  <si>
    <t>Automobiles</t>
  </si>
  <si>
    <t>INE405E01023</t>
  </si>
  <si>
    <t>UNO Minda Ltd</t>
  </si>
  <si>
    <t>INE006I01046</t>
  </si>
  <si>
    <t>Astral Ltd</t>
  </si>
  <si>
    <t>INE195A01028</t>
  </si>
  <si>
    <t>Supreme Industries Ltd</t>
  </si>
  <si>
    <t>INE216P01012</t>
  </si>
  <si>
    <t>Aavas Financiers Ltd</t>
  </si>
  <si>
    <t>INE947Q01028</t>
  </si>
  <si>
    <t>Laurus Labs Ltd</t>
  </si>
  <si>
    <t>INE00R701025</t>
  </si>
  <si>
    <t>Dalmia Cement (Bharat) Ltd.</t>
  </si>
  <si>
    <t>INE872J01023</t>
  </si>
  <si>
    <t>Devyani international limited</t>
  </si>
  <si>
    <t>INE246F01010</t>
  </si>
  <si>
    <t>Gujarat State Petronet Ltd</t>
  </si>
  <si>
    <t>INE603J01030</t>
  </si>
  <si>
    <t>PI Industries Ltd</t>
  </si>
  <si>
    <t>INE012A01025</t>
  </si>
  <si>
    <t>ACC Ltd</t>
  </si>
  <si>
    <t>INE217B01036</t>
  </si>
  <si>
    <t>Kajaria Ceramics Ltd</t>
  </si>
  <si>
    <t>INE073K01018</t>
  </si>
  <si>
    <t>Sona BLW Precision Forgings Ltd</t>
  </si>
  <si>
    <t>INE600L01024</t>
  </si>
  <si>
    <t>Dr Lal Path Labs Ltd</t>
  </si>
  <si>
    <t>INE118H01025</t>
  </si>
  <si>
    <t>BSE Ltd</t>
  </si>
  <si>
    <t>INE196A01026</t>
  </si>
  <si>
    <t>Marico Ltd</t>
  </si>
  <si>
    <t>Agricultural Food &amp; Other Products</t>
  </si>
  <si>
    <t>INE531A01024</t>
  </si>
  <si>
    <t>Kansai Nerolac Paints Ltd</t>
  </si>
  <si>
    <t>INE376G01013</t>
  </si>
  <si>
    <t>Biocon Ltd</t>
  </si>
  <si>
    <t>INE048G01026</t>
  </si>
  <si>
    <t>Navin Fluorine International Ltd</t>
  </si>
  <si>
    <t>INE040H01021</t>
  </si>
  <si>
    <t>Suzlon Enegy Ltd</t>
  </si>
  <si>
    <t>INE670A01012</t>
  </si>
  <si>
    <t>Tata Elxsi Ltd</t>
  </si>
  <si>
    <t>INE371P01015</t>
  </si>
  <si>
    <t>Amber Enterprises India Ltd</t>
  </si>
  <si>
    <t>INE058A01010</t>
  </si>
  <si>
    <t>Sanofi India Ltd</t>
  </si>
  <si>
    <t>INE053A01029</t>
  </si>
  <si>
    <t>The Indian Hotels Company Ltd</t>
  </si>
  <si>
    <t>INE726G01019</t>
  </si>
  <si>
    <t>ICICI Prudential Life Insurance Company Ltd</t>
  </si>
  <si>
    <t>INE811K01011</t>
  </si>
  <si>
    <t>Prestige Estates Projects Ltd</t>
  </si>
  <si>
    <t>INE0UOS01011</t>
  </si>
  <si>
    <t>Sanofi Consumer Healthcare India Ltd</t>
  </si>
  <si>
    <t>INE844O01030</t>
  </si>
  <si>
    <t>Gujarat Gas Co Ltd</t>
  </si>
  <si>
    <t>INE0Q3R04012</t>
  </si>
  <si>
    <t>INF173K01GU0</t>
  </si>
  <si>
    <t>Sundaram Large and Mid Cap Fund</t>
  </si>
  <si>
    <t>INE040A01034</t>
  </si>
  <si>
    <t>HDFC Bank Ltd</t>
  </si>
  <si>
    <t>INE009A01021</t>
  </si>
  <si>
    <t>Infosys Ltd</t>
  </si>
  <si>
    <t>INE758T01015</t>
  </si>
  <si>
    <t>Zomato Ltd</t>
  </si>
  <si>
    <t>INE238A01034</t>
  </si>
  <si>
    <t>Axis Bank Ltd</t>
  </si>
  <si>
    <t>INE467B01029</t>
  </si>
  <si>
    <t>Tata Consultancy Services Ltd</t>
  </si>
  <si>
    <t>INE200M01021</t>
  </si>
  <si>
    <t>Varun Beverages Ltd</t>
  </si>
  <si>
    <t>INE044A01036</t>
  </si>
  <si>
    <t>Sun Pharmaceutical Industries Ltd</t>
  </si>
  <si>
    <t>INE237A01028</t>
  </si>
  <si>
    <t>Kotak Mahindra Bank Ltd</t>
  </si>
  <si>
    <t>INE155A01022</t>
  </si>
  <si>
    <t>Tata Motors Ltd</t>
  </si>
  <si>
    <t>INE038A01020</t>
  </si>
  <si>
    <t>Hindalco Industries Ltd</t>
  </si>
  <si>
    <t>Non - Ferrous Metals</t>
  </si>
  <si>
    <t>INE089A01023</t>
  </si>
  <si>
    <t>Dr. Reddys Laboratories Ltd</t>
  </si>
  <si>
    <t>INE154A01025</t>
  </si>
  <si>
    <t>ITC Ltd</t>
  </si>
  <si>
    <t>Diversified Fmcg</t>
  </si>
  <si>
    <t>INE745G01035</t>
  </si>
  <si>
    <t>Multi Commodity Exchange of India Ltd</t>
  </si>
  <si>
    <t>INE321T01012</t>
  </si>
  <si>
    <t>DOMS Industries Ltd</t>
  </si>
  <si>
    <t>Household Products</t>
  </si>
  <si>
    <t>INE406A01037</t>
  </si>
  <si>
    <t>Aurobindo Pharma Ltd</t>
  </si>
  <si>
    <t>INE158A01026</t>
  </si>
  <si>
    <t>Hero MotoCorp Ltd</t>
  </si>
  <si>
    <t>INE317I01021</t>
  </si>
  <si>
    <t>Metro Brands Ltd</t>
  </si>
  <si>
    <t>INE030A01027</t>
  </si>
  <si>
    <t>Hindustan UniLever Ltd</t>
  </si>
  <si>
    <t>INE361B01024</t>
  </si>
  <si>
    <t>Divis Laboratories Ltd</t>
  </si>
  <si>
    <t>INE081A01020</t>
  </si>
  <si>
    <t>Tata Steel Ltd</t>
  </si>
  <si>
    <t>INE465A01025</t>
  </si>
  <si>
    <t>Bharat Forge Ltd</t>
  </si>
  <si>
    <t>INE192R01011</t>
  </si>
  <si>
    <t>Avenue Supermarts Ltd</t>
  </si>
  <si>
    <t>INE893J01029</t>
  </si>
  <si>
    <t>Mold-Tek Packaging Ltd</t>
  </si>
  <si>
    <t>INE880J01026</t>
  </si>
  <si>
    <t>JSW Infrastructure Ltd</t>
  </si>
  <si>
    <t>INE208A01029</t>
  </si>
  <si>
    <t>Ashok Leyland Ltd</t>
  </si>
  <si>
    <t>Agricultural, Commercial &amp; Construction Vehicles</t>
  </si>
  <si>
    <t>INE476A01022</t>
  </si>
  <si>
    <t>Canara Bank</t>
  </si>
  <si>
    <t>INE280A01028</t>
  </si>
  <si>
    <t>Titan Company Ltd</t>
  </si>
  <si>
    <t>INE761H01022</t>
  </si>
  <si>
    <t>Page Industries Ltd</t>
  </si>
  <si>
    <t>Textiles &amp; Apparels</t>
  </si>
  <si>
    <t>INE387A01021</t>
  </si>
  <si>
    <t>Sundram Fasteners Ltd</t>
  </si>
  <si>
    <t>INE918I01026</t>
  </si>
  <si>
    <t>Bajaj Finserv Ltd</t>
  </si>
  <si>
    <t>Sundaram Long Term Tax Advantage Fund Series III</t>
  </si>
  <si>
    <t>INE429E01023</t>
  </si>
  <si>
    <t>Safari Industries (India) Ltd</t>
  </si>
  <si>
    <t>INE806T01012</t>
  </si>
  <si>
    <t>Sapphire Foods India Ltd</t>
  </si>
  <si>
    <t>INE00WC01027</t>
  </si>
  <si>
    <t>Affle (India) Ltd</t>
  </si>
  <si>
    <t>It - Services</t>
  </si>
  <si>
    <t>INE063P01018</t>
  </si>
  <si>
    <t>Equitas Small Finance Bank Limited</t>
  </si>
  <si>
    <t>INE551W01018</t>
  </si>
  <si>
    <t>Ujjivan Small Finance Bank Ltd</t>
  </si>
  <si>
    <t>INE0CLI01024</t>
  </si>
  <si>
    <t>Rate Gain Travel Technologies Ltd</t>
  </si>
  <si>
    <t>INE045A01017</t>
  </si>
  <si>
    <t>Ador Welding Ltd</t>
  </si>
  <si>
    <t>INE914M01019</t>
  </si>
  <si>
    <t>Aster DM Healthcare Ltd</t>
  </si>
  <si>
    <t>INE679A01013</t>
  </si>
  <si>
    <t>CSB Bank Ltd</t>
  </si>
  <si>
    <t>INE572A01036</t>
  </si>
  <si>
    <t>JB Chemicals &amp; Pharmaceuticals Ltd</t>
  </si>
  <si>
    <t>INE191H01014</t>
  </si>
  <si>
    <t>PVR INOX Ltd</t>
  </si>
  <si>
    <t>Entertainment</t>
  </si>
  <si>
    <t>INE285J01028</t>
  </si>
  <si>
    <t>SIS Ltd</t>
  </si>
  <si>
    <t>Commercial Services &amp; Supplies</t>
  </si>
  <si>
    <t>INE477A01020</t>
  </si>
  <si>
    <t>Can Fin Homes Ltd</t>
  </si>
  <si>
    <t>INE199A01012</t>
  </si>
  <si>
    <t>Procter &amp; Gamble Health Ltd</t>
  </si>
  <si>
    <t>INE732I01013</t>
  </si>
  <si>
    <t>Angel One Ltd</t>
  </si>
  <si>
    <t>INE836A01035</t>
  </si>
  <si>
    <t>Birlasoft Ltd</t>
  </si>
  <si>
    <t>INE743M01012</t>
  </si>
  <si>
    <t>RHI Magnesita India Ltd</t>
  </si>
  <si>
    <t>INE274F01020</t>
  </si>
  <si>
    <t>Westlife Foodworld Ltd</t>
  </si>
  <si>
    <t>INE741K01010</t>
  </si>
  <si>
    <t>Creditaccess Grameen Ltd</t>
  </si>
  <si>
    <t>INE348B01021</t>
  </si>
  <si>
    <t>Century Plyboards (India) Ltd</t>
  </si>
  <si>
    <t>INE295F01017</t>
  </si>
  <si>
    <t>Butterfly Gandhimathi Appliances Ltd</t>
  </si>
  <si>
    <t>INE481N01025</t>
  </si>
  <si>
    <t>Home First Finance Company Ltd</t>
  </si>
  <si>
    <t>INE688A01022</t>
  </si>
  <si>
    <t>Transport Corporation of India Ltd</t>
  </si>
  <si>
    <t>INE120A01034</t>
  </si>
  <si>
    <t>Carborundum Universal Ltd</t>
  </si>
  <si>
    <t>INE211B01039</t>
  </si>
  <si>
    <t>The Phoenix Mills Ltd</t>
  </si>
  <si>
    <t>INE227C01017</t>
  </si>
  <si>
    <t>MM Forgings Ltd</t>
  </si>
  <si>
    <t>INE299U01018</t>
  </si>
  <si>
    <t>Crompton Greaves Consumer Electricals Ltd</t>
  </si>
  <si>
    <t>Sundaram Long Term Tax Advantage Fund Series IV</t>
  </si>
  <si>
    <t>Sundaram Long Term Tax Advantage Fund Series-I</t>
  </si>
  <si>
    <t>IN9155A01020</t>
  </si>
  <si>
    <t>INE123W01016</t>
  </si>
  <si>
    <t>SBI Life Insurance Company Ltd</t>
  </si>
  <si>
    <t>INE028A01039</t>
  </si>
  <si>
    <t>Bank of Baroda</t>
  </si>
  <si>
    <t>INE860A01027</t>
  </si>
  <si>
    <t>HCL Technologies Ltd</t>
  </si>
  <si>
    <t>INE340A01012</t>
  </si>
  <si>
    <t>Birla Corporation Ltd</t>
  </si>
  <si>
    <t>INE059A01026</t>
  </si>
  <si>
    <t>Cipla Ltd</t>
  </si>
  <si>
    <t>INE192A01025</t>
  </si>
  <si>
    <t>TATA Consumer Products Ltd</t>
  </si>
  <si>
    <t>INE095A01012</t>
  </si>
  <si>
    <t>IndusInd Bank Ltd</t>
  </si>
  <si>
    <t>INE192A20017</t>
  </si>
  <si>
    <t>IN9397D01014</t>
  </si>
  <si>
    <t>Sundaram Long Term Tax Advantage Fund Series-II</t>
  </si>
  <si>
    <t>INE075A01022</t>
  </si>
  <si>
    <t>Wipro Ltd</t>
  </si>
  <si>
    <t>Sundaram Long Term Micro Cap Tax Advantage Fund Series III</t>
  </si>
  <si>
    <t>INE782A01015</t>
  </si>
  <si>
    <t>Johnson Controls-Hitachi AirConditioning India Ltd</t>
  </si>
  <si>
    <t>INE739E01017</t>
  </si>
  <si>
    <t>Cera Sanitaryware Ltd</t>
  </si>
  <si>
    <t>Sundaram Long Term Micro Cap Tax Advantage Fund Series IV</t>
  </si>
  <si>
    <t>Sundaram Long Term Micro Cap Tax Advantage Fund Series V</t>
  </si>
  <si>
    <t>Sundaram Long Term Micro Cap Tax Advantage Fund Series VI</t>
  </si>
  <si>
    <t>Sundaram Small Cap Fund</t>
  </si>
  <si>
    <t>INE944F01028</t>
  </si>
  <si>
    <t>Radico Khaitan Ltd</t>
  </si>
  <si>
    <t>INE136B01020</t>
  </si>
  <si>
    <t>Cyient Ltd</t>
  </si>
  <si>
    <t>INE482A01020</t>
  </si>
  <si>
    <t>Ceat Ltd</t>
  </si>
  <si>
    <t>INE548C01032</t>
  </si>
  <si>
    <t>Emami Ltd</t>
  </si>
  <si>
    <t>Personal Products</t>
  </si>
  <si>
    <t>INE136S01016</t>
  </si>
  <si>
    <t>Neogen Chemicals Ltd</t>
  </si>
  <si>
    <t>INE142Z01019</t>
  </si>
  <si>
    <t>Orient Electric Ltd</t>
  </si>
  <si>
    <t>INE084A01016</t>
  </si>
  <si>
    <t>Bank of India</t>
  </si>
  <si>
    <t>INE177F01017</t>
  </si>
  <si>
    <t>Kovai Medical Center &amp; Hospital Ltd</t>
  </si>
  <si>
    <t>INE098F01031</t>
  </si>
  <si>
    <t>Amrutanjan Health Care Ltd</t>
  </si>
  <si>
    <t>INE930H01031</t>
  </si>
  <si>
    <t>K.P.R. Mill Ltd</t>
  </si>
  <si>
    <t>INE602W01019</t>
  </si>
  <si>
    <t>Senco Gold Ltd</t>
  </si>
  <si>
    <t>INE126A01031</t>
  </si>
  <si>
    <t>EID Parry India Ltd</t>
  </si>
  <si>
    <t>INE572E01012</t>
  </si>
  <si>
    <t>PNB Housing Finance Ltd</t>
  </si>
  <si>
    <t>INE119A01028</t>
  </si>
  <si>
    <t>Balrampur Chini Mills Ltd</t>
  </si>
  <si>
    <t>INE322A01010</t>
  </si>
  <si>
    <t>Gillette India Ltd</t>
  </si>
  <si>
    <t>INE976G01028</t>
  </si>
  <si>
    <t>RBL Bank Ltd</t>
  </si>
  <si>
    <t>INE00F201020</t>
  </si>
  <si>
    <t>Prudent Corporate Advisory Services Ltd</t>
  </si>
  <si>
    <t>INE094J01016</t>
  </si>
  <si>
    <t>UTI Asset Management Co Ltd</t>
  </si>
  <si>
    <t>INE342G01023</t>
  </si>
  <si>
    <t>NIIT Learning Systems Ltd</t>
  </si>
  <si>
    <t>Other Consumer Services</t>
  </si>
  <si>
    <t>INE0LMW01024</t>
  </si>
  <si>
    <t>Cello World Ltd</t>
  </si>
  <si>
    <t>INE684F01012</t>
  </si>
  <si>
    <t>Firstsource Solutions Ltd</t>
  </si>
  <si>
    <t>INE736A01011</t>
  </si>
  <si>
    <t>Central Depository Services (India) Ltd</t>
  </si>
  <si>
    <t>INE456Z01021</t>
  </si>
  <si>
    <t>Medi Assist Healthcare Services Ltd</t>
  </si>
  <si>
    <t>INE586V01016</t>
  </si>
  <si>
    <t>TCI Express Ltd</t>
  </si>
  <si>
    <t>INE725G01011</t>
  </si>
  <si>
    <t>ICRA Ltd</t>
  </si>
  <si>
    <t>IN9671H01013</t>
  </si>
  <si>
    <t>IN002024Z057</t>
  </si>
  <si>
    <t>Sovereign</t>
  </si>
  <si>
    <t>Margin Money For Derivatives</t>
  </si>
  <si>
    <t>Sundaram Aggressive Hybrid Fund</t>
  </si>
  <si>
    <t>INE854D01024</t>
  </si>
  <si>
    <t>United Spirits Ltd</t>
  </si>
  <si>
    <t>INE101A01026</t>
  </si>
  <si>
    <t>Mahindra &amp; Mahindra Ltd</t>
  </si>
  <si>
    <t>INE917I01010</t>
  </si>
  <si>
    <t>Bajaj Auto Ltd</t>
  </si>
  <si>
    <t>INE047A01021</t>
  </si>
  <si>
    <t>Grasim Industries Ltd</t>
  </si>
  <si>
    <t>INE585B01010</t>
  </si>
  <si>
    <t>Maruti Suzuki India Ltd</t>
  </si>
  <si>
    <t>INE183A01024</t>
  </si>
  <si>
    <t>Finolex Industries Ltd</t>
  </si>
  <si>
    <t>INE669C01036</t>
  </si>
  <si>
    <t>Tech Mahindra Ltd</t>
  </si>
  <si>
    <t>INE852S01026</t>
  </si>
  <si>
    <t>INE261F08DX0</t>
  </si>
  <si>
    <t>National Bank for Agriculture &amp; Rural Development - 7.58% - 31/07/2026**</t>
  </si>
  <si>
    <t>CRISIL AAA</t>
  </si>
  <si>
    <t>INE296A07SV1</t>
  </si>
  <si>
    <t>Bajaj Finance Ltd - 7.82% - 31/01/2034**</t>
  </si>
  <si>
    <t>INE134E08MB9</t>
  </si>
  <si>
    <t>Power Finance Corporation Ltd - 7.82% - 06/03/2038**</t>
  </si>
  <si>
    <t>INE0KUG08027</t>
  </si>
  <si>
    <t>National Bank for Financing Infrastructure and Development - 7.65% - 22/12/2038**</t>
  </si>
  <si>
    <t>INE115A07QH6</t>
  </si>
  <si>
    <t>LIC Housing Finance Ltd - 8.025% - 23/03/2033**</t>
  </si>
  <si>
    <t>INE134E08MX3</t>
  </si>
  <si>
    <t>Power Finance Corporation Ltd - 7.6% - 13/04/2029**</t>
  </si>
  <si>
    <t>INE556F08KM1</t>
  </si>
  <si>
    <t>Small Industries Development Bank of India - 7.79% - 14/05/2027**</t>
  </si>
  <si>
    <t>INE261F08EF5</t>
  </si>
  <si>
    <t>National Bank for Agriculture &amp; Rural Development - 7.8% - 15/03/2027**</t>
  </si>
  <si>
    <t>ICRA AAA</t>
  </si>
  <si>
    <t>INE261F08DV4</t>
  </si>
  <si>
    <t>National Bank for Agriculture &amp; Rural Development - 7.62% - 31/01/2028</t>
  </si>
  <si>
    <t>INE040A08AH8</t>
  </si>
  <si>
    <t>HDFC Bank Ltd (Prev HDFC Ltd) - 7.4% - 02/06/2025**</t>
  </si>
  <si>
    <t>INE556F08KH1</t>
  </si>
  <si>
    <t>Small Industries Development Bank of India - 7.43% - 31/08/2026**</t>
  </si>
  <si>
    <t>INE053F08338</t>
  </si>
  <si>
    <t>Indian Railway Finance Corporation Ltd - 7.68% - 24/11/2026**</t>
  </si>
  <si>
    <t>INE020B08906</t>
  </si>
  <si>
    <t>REC LTD - 8.27% - 06/02/2025**</t>
  </si>
  <si>
    <t>INE020B08FF1</t>
  </si>
  <si>
    <t>REC LTD - 7.56% - 31/08/2027</t>
  </si>
  <si>
    <t>INE0KUG08035</t>
  </si>
  <si>
    <t>National Bank for Financing Infrastructure and Development - 7.43% - 04/07/2034**</t>
  </si>
  <si>
    <t>INE053F08296</t>
  </si>
  <si>
    <t>Indian Railway Finance Corporation Ltd - 7.74% - 15/04/2038**</t>
  </si>
  <si>
    <t>INE020B08EG2</t>
  </si>
  <si>
    <t>REC LTD - 7.69% - 31/03/2033**</t>
  </si>
  <si>
    <t>INE040A08666</t>
  </si>
  <si>
    <t>HDFC Bank Ltd (Prev HDFC Ltd) - 7.8% - 03/05/2033**</t>
  </si>
  <si>
    <t>INE134E08MJ2</t>
  </si>
  <si>
    <t>Power Finance Corporation Ltd - 7.77% - 15/04/2028**</t>
  </si>
  <si>
    <t>INE134E08MC7</t>
  </si>
  <si>
    <t>Power Finance Corporation Ltd - 7.77% - 15/07/2026**</t>
  </si>
  <si>
    <t>INE752E08734</t>
  </si>
  <si>
    <t>Power Grid Corporation of India Ltd - 7.35% - 12/03/2034**</t>
  </si>
  <si>
    <t>INE041007100</t>
  </si>
  <si>
    <t>Embassy Office Parks REIT - 7.77% - 05/06/2025**</t>
  </si>
  <si>
    <t>INE115A07QD5</t>
  </si>
  <si>
    <t>LIC Housing Finance Ltd - 7.82% - 28/11/2025**</t>
  </si>
  <si>
    <t>INE261F08DP6</t>
  </si>
  <si>
    <t>National Bank for Agriculture &amp; Rural Development - 7.35% - 08/07/2025**</t>
  </si>
  <si>
    <t>INE040A08989</t>
  </si>
  <si>
    <t>HDFC Bank Ltd (Prev HDFC Ltd) - 7.35% - 10/02/2025**</t>
  </si>
  <si>
    <t>INE134E08LO4</t>
  </si>
  <si>
    <t>Power Finance Corporation Ltd - 7.13% - 08/08/2025**</t>
  </si>
  <si>
    <t>INE115A07PU1</t>
  </si>
  <si>
    <t>LIC Housing Finance Ltd - 6.25% - 20/06/2025**</t>
  </si>
  <si>
    <t>INE115A07PI6</t>
  </si>
  <si>
    <t>LIC Housing Finance Ltd - 6.17% - 03/09/2026**</t>
  </si>
  <si>
    <t>INE018A08BA7</t>
  </si>
  <si>
    <t>Larsen &amp; Toubro Ltd - 7.7% - 28/04/2025**</t>
  </si>
  <si>
    <t>INE020B08EI8</t>
  </si>
  <si>
    <t>REC LTD - 7.51% - 31/07/2026**</t>
  </si>
  <si>
    <t>INE557F08FS6</t>
  </si>
  <si>
    <t>National Housing Bank  - 7.4% - 16/07/2026**</t>
  </si>
  <si>
    <t>INE020B08EL2</t>
  </si>
  <si>
    <t>REC LTD - 7.44% - 30/04/2026**</t>
  </si>
  <si>
    <t>INE556F08KE8</t>
  </si>
  <si>
    <t>Small Industries Development Bank of India - 7.47% - 25/11/2025**</t>
  </si>
  <si>
    <t>IN0020230085</t>
  </si>
  <si>
    <t>7.18%  Government Securities - 14/08/2033</t>
  </si>
  <si>
    <t>IN0020240027</t>
  </si>
  <si>
    <t>7.23% Central Government Securities 15/04/2039</t>
  </si>
  <si>
    <t>IN0020240019</t>
  </si>
  <si>
    <t>7.10% Central Government Securities 08/04/2034</t>
  </si>
  <si>
    <t>IN0020220037</t>
  </si>
  <si>
    <t>7.38% Central Government Securities 20/06/2027</t>
  </si>
  <si>
    <t>IN0020230077</t>
  </si>
  <si>
    <t>7.18%  Government Securities - 24/07/2037</t>
  </si>
  <si>
    <t>IN0020220011</t>
  </si>
  <si>
    <t>IN0020230101</t>
  </si>
  <si>
    <t>7.37% Government Securities-23/10/2028</t>
  </si>
  <si>
    <t>IN0020210160</t>
  </si>
  <si>
    <t>IN3120230484</t>
  </si>
  <si>
    <t>7.44% Tamil Nadu State Government Securities -20/03/2034</t>
  </si>
  <si>
    <t>IN0020230051</t>
  </si>
  <si>
    <t>7.30% Government Securities - 19/06/2053</t>
  </si>
  <si>
    <t>INE040A16FA5</t>
  </si>
  <si>
    <t>HDFC Bank Ltd - 24/06/2025**</t>
  </si>
  <si>
    <t>CRISIL A1+</t>
  </si>
  <si>
    <t>INE115A14EX5</t>
  </si>
  <si>
    <t>LIC Housing Finance Ltd - 21/03/2025**</t>
  </si>
  <si>
    <t>Individual &amp; HUF</t>
  </si>
  <si>
    <t>Others</t>
  </si>
  <si>
    <t>Sundaram Arbitrage Fund</t>
  </si>
  <si>
    <t>INE271C01023</t>
  </si>
  <si>
    <t>DLF Ltd</t>
  </si>
  <si>
    <t>INE522D01027</t>
  </si>
  <si>
    <t>Manappuram Finance Ltd</t>
  </si>
  <si>
    <t>INE205A01025</t>
  </si>
  <si>
    <t>Vedanta Ltd</t>
  </si>
  <si>
    <t>Diversified Metals</t>
  </si>
  <si>
    <t>INE674K01013</t>
  </si>
  <si>
    <t>Aditya Birla Capital Ltd</t>
  </si>
  <si>
    <t>INE669E01016</t>
  </si>
  <si>
    <t>Vodafone Idea Ltd</t>
  </si>
  <si>
    <t>INE242A01010</t>
  </si>
  <si>
    <t>Indian Oil Corporation Ltd</t>
  </si>
  <si>
    <t>Stock Future</t>
  </si>
  <si>
    <t>KOTAKBKFUTNSEAUG2024FUT</t>
  </si>
  <si>
    <t>BOBSEP08BSEAUG2024FUT</t>
  </si>
  <si>
    <t>SESAFU0309NSEAUG2024FUT</t>
  </si>
  <si>
    <t>RIL0909FUTNSEAUG2024FUT</t>
  </si>
  <si>
    <t>HDFCBNKNSEAUG2024FUT</t>
  </si>
  <si>
    <t>IN0020230119</t>
  </si>
  <si>
    <t>IN002023Z273</t>
  </si>
  <si>
    <t>IN002023Z307</t>
  </si>
  <si>
    <t>IN002023Z315</t>
  </si>
  <si>
    <t>Sundaram Balanced Advantage Fund</t>
  </si>
  <si>
    <t>INE296A01024</t>
  </si>
  <si>
    <t>Bajaj Finance Ltd</t>
  </si>
  <si>
    <t>MFFU1108BSEAUG2024FUT</t>
  </si>
  <si>
    <t>PERSISTENTNSEAUG2024FUT</t>
  </si>
  <si>
    <t>NTPCFU0109BSEAUG2024FUT</t>
  </si>
  <si>
    <t>COROMANDELNSEAUG2024FUT</t>
  </si>
  <si>
    <t>ICICIB0908BSEAUG2024FUT</t>
  </si>
  <si>
    <t>AXISBANKNSEAUG2024FUT</t>
  </si>
  <si>
    <t>TATAST0409NSEAUG2024FUT</t>
  </si>
  <si>
    <t>BAJAJFINSVNSEAUG2024FUT</t>
  </si>
  <si>
    <t>CADILACNSEAUG2024FUT</t>
  </si>
  <si>
    <t>BHARATFORGNSEAUG2024FUT</t>
  </si>
  <si>
    <t>TECHMOCT08BSEAUG2024FUT</t>
  </si>
  <si>
    <t>BAJFINANCENSEAUG2024FUT</t>
  </si>
  <si>
    <t>INDUSINDBKNSEAUG2024FUT</t>
  </si>
  <si>
    <t>TAMOFU1208BSEAUG2024FUT</t>
  </si>
  <si>
    <t>CIPLAF1109NSEAUG2024FUT</t>
  </si>
  <si>
    <t>CANBKNSEAUG2024FUT</t>
  </si>
  <si>
    <t>INE020B08FD6</t>
  </si>
  <si>
    <t>REC LTD - 7.58% - 31/05/2029</t>
  </si>
  <si>
    <t>IN0020230135</t>
  </si>
  <si>
    <t>IN0020230036</t>
  </si>
  <si>
    <t>7.17% Government Securities - 17/04/20230</t>
  </si>
  <si>
    <t>-</t>
  </si>
  <si>
    <t>Sundaram Dividend Yield Fund</t>
  </si>
  <si>
    <t>INE848E01016</t>
  </si>
  <si>
    <t>NHPC Ltd</t>
  </si>
  <si>
    <t>INE486A01021</t>
  </si>
  <si>
    <t>CESC Ltd</t>
  </si>
  <si>
    <t>INE472A01039</t>
  </si>
  <si>
    <t>Blue Star Ltd</t>
  </si>
  <si>
    <t>INE216A01030</t>
  </si>
  <si>
    <t>Britannia Industries Ltd</t>
  </si>
  <si>
    <t>INE04I401011</t>
  </si>
  <si>
    <t>KPIT Technologies Ltd</t>
  </si>
  <si>
    <t>INE239A01024</t>
  </si>
  <si>
    <t>Nestle India Ltd</t>
  </si>
  <si>
    <t>INE710A01016</t>
  </si>
  <si>
    <t>VST Industries Ltd</t>
  </si>
  <si>
    <t>Cigarettes &amp; Tobacco Products</t>
  </si>
  <si>
    <t>INE759J01022</t>
  </si>
  <si>
    <t>IDIA00069477</t>
  </si>
  <si>
    <t>INE02CF01010</t>
  </si>
  <si>
    <t>IDIA00069480</t>
  </si>
  <si>
    <t>Sundaram Equity Savings Fund</t>
  </si>
  <si>
    <t>INE451A01017</t>
  </si>
  <si>
    <t>Force Motors Ltd</t>
  </si>
  <si>
    <t>INE634S01028</t>
  </si>
  <si>
    <t>Mankind Pharma Ltd</t>
  </si>
  <si>
    <t>INE795G01014</t>
  </si>
  <si>
    <t>HDFC Life Insurance Company Ltd</t>
  </si>
  <si>
    <t>INE423A01024</t>
  </si>
  <si>
    <t>Adani Enterprises</t>
  </si>
  <si>
    <t>Metals &amp; Minerals Trading</t>
  </si>
  <si>
    <t>INE0BV301023</t>
  </si>
  <si>
    <t>CE Info Systems Private Limited</t>
  </si>
  <si>
    <t>INE227W01023</t>
  </si>
  <si>
    <t>Clean Science &amp; Technology Ltd</t>
  </si>
  <si>
    <t>INE142M01025</t>
  </si>
  <si>
    <t>Tata Technologies Ltd</t>
  </si>
  <si>
    <t>INE019A01038</t>
  </si>
  <si>
    <t>JSW Steel Ltd</t>
  </si>
  <si>
    <t>INE021A01026</t>
  </si>
  <si>
    <t>Asian Paints Ltd</t>
  </si>
  <si>
    <t>INE261F08EA6</t>
  </si>
  <si>
    <t>National Bank for Agriculture &amp; Rural Development - 7.5% - 31/08/2026**</t>
  </si>
  <si>
    <t>IN0020200112</t>
  </si>
  <si>
    <t>IN0020200278</t>
  </si>
  <si>
    <t>IN002023Z422</t>
  </si>
  <si>
    <t>Sundaram Focused  Fund</t>
  </si>
  <si>
    <t>Sundaram Multi Cap Fund</t>
  </si>
  <si>
    <t>INE176B01034</t>
  </si>
  <si>
    <t>Havells India Ltd</t>
  </si>
  <si>
    <t>INE112L01020</t>
  </si>
  <si>
    <t>Metropolis Healthcare Ltd</t>
  </si>
  <si>
    <t>INE147E01013</t>
  </si>
  <si>
    <t>IDIA00069356</t>
  </si>
  <si>
    <t>IDIA00069359</t>
  </si>
  <si>
    <t>INE348C01011</t>
  </si>
  <si>
    <t>Paper, Forest &amp; Jute Products</t>
  </si>
  <si>
    <t>INE431E01011</t>
  </si>
  <si>
    <t>Healthcare Equipment &amp; Supplies</t>
  </si>
  <si>
    <t>INE604A01011</t>
  </si>
  <si>
    <t>INE406B01019</t>
  </si>
  <si>
    <t>Sundaram Nifty 100 Equal Weight Fund</t>
  </si>
  <si>
    <t>INE259A01022</t>
  </si>
  <si>
    <t>Colgate Palmolive (India) Ltd</t>
  </si>
  <si>
    <t>INE0J1Y01017</t>
  </si>
  <si>
    <t>LIC of India Ltd</t>
  </si>
  <si>
    <t>INE765G01017</t>
  </si>
  <si>
    <t>ICICI Lombard General Insurance Company Ltd</t>
  </si>
  <si>
    <t>INE685A01028</t>
  </si>
  <si>
    <t>Torrent Pharmaceuticals Ltd</t>
  </si>
  <si>
    <t>INE931S01010</t>
  </si>
  <si>
    <t>Adani Energy Solutions Ltd</t>
  </si>
  <si>
    <t>INE118A01012</t>
  </si>
  <si>
    <t>Bajaj Holdings &amp; Investment Ltd</t>
  </si>
  <si>
    <t>INE463A01038</t>
  </si>
  <si>
    <t>Berger Paints (I) Ltd</t>
  </si>
  <si>
    <t>INE214T01019</t>
  </si>
  <si>
    <t>LTIMindtree Ltd</t>
  </si>
  <si>
    <t>INE053F01010</t>
  </si>
  <si>
    <t>Indian Railway Finance Corporation Ltd</t>
  </si>
  <si>
    <t>INE647A01010</t>
  </si>
  <si>
    <t>SRF Ltd</t>
  </si>
  <si>
    <t>INE016A01026</t>
  </si>
  <si>
    <t>Dabur India Ltd</t>
  </si>
  <si>
    <t>INE066A01021</t>
  </si>
  <si>
    <t>Eicher Motors Ltd</t>
  </si>
  <si>
    <t>INE102D01028</t>
  </si>
  <si>
    <t>Godrej Consumer Products Ltd</t>
  </si>
  <si>
    <t>INE437A01024</t>
  </si>
  <si>
    <t>Apollo Hospitals Enterprise Ltd</t>
  </si>
  <si>
    <t>INE323A01026</t>
  </si>
  <si>
    <t>Bosch Ltd</t>
  </si>
  <si>
    <t>INE364U01010</t>
  </si>
  <si>
    <t>Adani Green Energy Ltd</t>
  </si>
  <si>
    <t>INE318A01026</t>
  </si>
  <si>
    <t>Pidilite Industries Ltd</t>
  </si>
  <si>
    <t>INE775A01035</t>
  </si>
  <si>
    <t>Samvardhana Motherson International Ltd</t>
  </si>
  <si>
    <t>INE814H01011</t>
  </si>
  <si>
    <t>Adani Power Ltd</t>
  </si>
  <si>
    <t>INE070A01015</t>
  </si>
  <si>
    <t>Shree Cement Ltd</t>
  </si>
  <si>
    <t>INE399L01023</t>
  </si>
  <si>
    <t>Adani Total Gas Ltd</t>
  </si>
  <si>
    <t>INE160A01022</t>
  </si>
  <si>
    <t>Punjab National Bank</t>
  </si>
  <si>
    <t>INE335Y01020</t>
  </si>
  <si>
    <t>Indian Railway Catering &amp; Tourism Corporation Ltd</t>
  </si>
  <si>
    <t>INE018E01016</t>
  </si>
  <si>
    <t>SBI Cards and Payment Services Ltd</t>
  </si>
  <si>
    <t>INE758E01017</t>
  </si>
  <si>
    <t>Jio Financial Services Ltd</t>
  </si>
  <si>
    <t>Sundaram ELSS Tax Saver Fund</t>
  </si>
  <si>
    <t>INE258A01016</t>
  </si>
  <si>
    <t>BEML Ltd</t>
  </si>
  <si>
    <t>INE274J01014</t>
  </si>
  <si>
    <t>Oil India Ltd</t>
  </si>
  <si>
    <t>INE571A01038</t>
  </si>
  <si>
    <t>IPCA Laboratories Ltd</t>
  </si>
  <si>
    <t>INE176A01028</t>
  </si>
  <si>
    <t>Bata India Ltd</t>
  </si>
  <si>
    <t>INE03QK01018</t>
  </si>
  <si>
    <t>Suven Pharmaceuticals Ltd</t>
  </si>
  <si>
    <t>INE768C01010</t>
  </si>
  <si>
    <t>Zydus Wellness Ltd</t>
  </si>
  <si>
    <t>Sundaram Consumption Fund</t>
  </si>
  <si>
    <t>INE02YR01019</t>
  </si>
  <si>
    <t>Electronics Mart India Ltd</t>
  </si>
  <si>
    <t>INE0KCE01017</t>
  </si>
  <si>
    <t>Eureka Forbes Ltd</t>
  </si>
  <si>
    <t>INE668F01031</t>
  </si>
  <si>
    <t>Jyothy Laboratories Ltd</t>
  </si>
  <si>
    <t>Sundaram Services Fund</t>
  </si>
  <si>
    <t>INE763G01038</t>
  </si>
  <si>
    <t>ICICI Securities Ltd</t>
  </si>
  <si>
    <t>MU0295S00016</t>
  </si>
  <si>
    <t>Sundaram Diversified Equity</t>
  </si>
  <si>
    <t>Sundaram Large Cap Fund</t>
  </si>
  <si>
    <t>INE179A01014</t>
  </si>
  <si>
    <t>Procter &amp; Gamble Hygiene and Health Care Ltd</t>
  </si>
  <si>
    <t>Sundaram Business Cycle Fund</t>
  </si>
  <si>
    <t>INE410P01011</t>
  </si>
  <si>
    <t>Narayana Hrudayalaya Ltd</t>
  </si>
  <si>
    <t>INE466L01038</t>
  </si>
  <si>
    <t>360 ONE WAM Ltd (Prev IIFL Wealth Management Ltd)</t>
  </si>
  <si>
    <t>INE885A01032</t>
  </si>
  <si>
    <t>Amara Raja Energy &amp; Mobility Ltd</t>
  </si>
  <si>
    <t>INE074A01025</t>
  </si>
  <si>
    <t>Praj Industries Ltd</t>
  </si>
  <si>
    <t>INE371A01025</t>
  </si>
  <si>
    <t>Graphite India Ltd</t>
  </si>
  <si>
    <t>INE388Y01029</t>
  </si>
  <si>
    <t>FSN E–Commerce Ventures Ltd(NYKAA)</t>
  </si>
  <si>
    <t>Sundaram Flexi Cap Fund</t>
  </si>
  <si>
    <t>INE109C01017</t>
  </si>
  <si>
    <t>Arman Financial Services Ltd</t>
  </si>
  <si>
    <t>Sundaram Financial Services Opportunities Fund</t>
  </si>
  <si>
    <t>Institutional Plan - Growth</t>
  </si>
  <si>
    <t>Sundaram Multi Asset Allocation Fund</t>
  </si>
  <si>
    <t>INF204KB17I5</t>
  </si>
  <si>
    <t>Nippon India ETF Gold Bees</t>
  </si>
  <si>
    <t>INF200KA16D8</t>
  </si>
  <si>
    <t>SBI-ETF GOLD</t>
  </si>
  <si>
    <t>INF179KC1981</t>
  </si>
  <si>
    <t>HDFC Gold Exchange Traded Fund</t>
  </si>
  <si>
    <t>INF174KA1HJ8</t>
  </si>
  <si>
    <t>Kotak Mutual Fund - Gold Exchange Traded Fund</t>
  </si>
  <si>
    <t>INF740KA1SW3</t>
  </si>
  <si>
    <t>DSP-GOLD ETF</t>
  </si>
  <si>
    <t>Sundaram Global Brand Fund</t>
  </si>
  <si>
    <t>SG9999013908</t>
  </si>
  <si>
    <t>Sundaram Global Brand Fund - Master Class</t>
  </si>
  <si>
    <t>Monthly Portfolio Statement for the month ended 31 July 2024</t>
  </si>
  <si>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</si>
  <si>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</si>
  <si>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</si>
  <si>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</si>
  <si>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</si>
  <si>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</si>
  <si>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</si>
  <si>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</si>
  <si>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</si>
  <si>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</si>
  <si>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</si>
  <si>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</si>
  <si>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</si>
  <si>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</si>
  <si>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</si>
  <si>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</si>
  <si>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</si>
  <si>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</si>
  <si>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</si>
  <si>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</si>
  <si>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</si>
  <si>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</si>
  <si>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</si>
  <si>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</si>
  <si>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</si>
  <si>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</si>
  <si>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</si>
  <si>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</si>
  <si>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</si>
  <si>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</si>
  <si>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</si>
  <si>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</si>
  <si>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</si>
  <si>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</si>
  <si>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</si>
  <si>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</si>
  <si>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</si>
  <si>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</si>
  <si>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</si>
  <si>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</si>
  <si>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YTM (%)</t>
  </si>
  <si>
    <t>YTM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</si>
  <si>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</si>
  <si>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</si>
  <si>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</si>
  <si>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</si>
  <si>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</si>
  <si>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(f) Convertible Debenture</t>
  </si>
  <si>
    <t>INE121A08PJ0</t>
  </si>
  <si>
    <t>7.5% Cholamandalam Investment and Company Ltd - 30/09/2026</t>
  </si>
  <si>
    <t>Unrated</t>
  </si>
  <si>
    <t>g) Derivative</t>
  </si>
  <si>
    <t>INE0GGX23010</t>
  </si>
  <si>
    <t>Power Grid Infrastructure Investment Trust (InvIT)</t>
  </si>
  <si>
    <t>INE041025011</t>
  </si>
  <si>
    <t>Embassy Office Parks (REIT)</t>
  </si>
  <si>
    <t>At the beginning</t>
  </si>
  <si>
    <t>Hindustan Dorr Oliver Ltd @</t>
  </si>
  <si>
    <t>b) Total value and percentage of illiquid equity / Preference shares @</t>
  </si>
  <si>
    <t>d) IDCW declared during the period (Rupees per unit)</t>
  </si>
  <si>
    <t>Index</t>
  </si>
  <si>
    <t>Scheme Riskometer</t>
  </si>
  <si>
    <t>Benchmark Riskometer - NIFTY Infrastructure TRI</t>
  </si>
  <si>
    <t>Benchmark Riskometer - MSCI ACWI TRI</t>
  </si>
  <si>
    <t>(a) Investments in Foreign Securities - Units of Mutual Funds</t>
  </si>
  <si>
    <t>Sundaram Clayton Ltd 0.1% (Preference Share) 31-Aug-2024 ** @</t>
  </si>
  <si>
    <t>Sundaram Liquid Fund - Direct Growth*</t>
  </si>
  <si>
    <t xml:space="preserve">	Hindustan Unilever Limited August 2024</t>
  </si>
  <si>
    <t>TATA Consultancy Services Limited August 2024</t>
  </si>
  <si>
    <t>ITC Limited August 2024</t>
  </si>
  <si>
    <t>Indian Oil Corporation Ltd August 2024</t>
  </si>
  <si>
    <t>Vodafone Idea Limited August 2024</t>
  </si>
  <si>
    <t xml:space="preserve">	State Bank Of India Limited August 2024</t>
  </si>
  <si>
    <t>Kotak Mahindra Bank Limited August 2024</t>
  </si>
  <si>
    <t>Larsen &amp; Toubro Limited August 2024</t>
  </si>
  <si>
    <t>Aurobindo Pharma Limited August 2024</t>
  </si>
  <si>
    <t>Tata Power Company Ltd August 2024</t>
  </si>
  <si>
    <t>Aditya Birla Capital Limited August 2024</t>
  </si>
  <si>
    <t>HCL Technologies Limited August 2024</t>
  </si>
  <si>
    <t>Sun Pharmaceutical Industries Limited August 2024</t>
  </si>
  <si>
    <t>ACC Limited August 2024</t>
  </si>
  <si>
    <t>Bank of Baroda August 2024</t>
  </si>
  <si>
    <t>Vedanta Ltd Pre Sesa Sterlite Limited August 2024</t>
  </si>
  <si>
    <t>Manappuram Finance Limited August 2024</t>
  </si>
  <si>
    <t>DLF Limited August 2024</t>
  </si>
  <si>
    <t>Reliance Industries Limited August 2024</t>
  </si>
  <si>
    <t>Bharti Airtel Limited August 2024</t>
  </si>
  <si>
    <t>Ambuja Cements Limited August 2024</t>
  </si>
  <si>
    <t>HDFC Bank Limited August 2024</t>
  </si>
  <si>
    <t>Indus Towers Limited August 2024</t>
  </si>
  <si>
    <t>Bharat Forge Limited August 2024</t>
  </si>
  <si>
    <t>JSW Steel Limited August 2024</t>
  </si>
  <si>
    <t>Bajaj Finserv Limited August 2024</t>
  </si>
  <si>
    <t xml:space="preserve">	United Spirits Limited August 2024</t>
  </si>
  <si>
    <t>NTPC Limited August 2024</t>
  </si>
  <si>
    <t>Adani Enterprises Limited August 2024</t>
  </si>
  <si>
    <t>Interglobe Aviation Ltd August 2024</t>
  </si>
  <si>
    <t>HDFC Life Insurance Company Limited August 2024</t>
  </si>
  <si>
    <t xml:space="preserve">	Mahindra &amp; Mahindra Limited August 2024</t>
  </si>
  <si>
    <t>Hindustan Petroleum Corpn Limited August 2024</t>
  </si>
  <si>
    <t>Hindalco Industries Limited August 2024</t>
  </si>
  <si>
    <t>Bajaj Finance Limited August 2024</t>
  </si>
  <si>
    <t>Maruti Suzuki India Limited August 2024</t>
  </si>
  <si>
    <t>Axis Bank Limited August 2024</t>
  </si>
  <si>
    <t>Tata Motors Limited August 2024</t>
  </si>
  <si>
    <t>IndusInd Bank Limited August 2024</t>
  </si>
  <si>
    <t>Infosys Limited August 2024</t>
  </si>
  <si>
    <t>Can Fin Homes Ltd August 2024</t>
  </si>
  <si>
    <t>Shriram Finance Limited August 2024</t>
  </si>
  <si>
    <t xml:space="preserve">	Tata Steel Limited August 2024</t>
  </si>
  <si>
    <t>Info Edge (India) Limited August 2024</t>
  </si>
  <si>
    <t>Hindustan Aeronautics Limited August 2024</t>
  </si>
  <si>
    <t>TVS Motor Company Limited August 2024</t>
  </si>
  <si>
    <t>Tata Motors Ltd - DVR</t>
  </si>
  <si>
    <t>7.72% Central Government Securities_Floating Rate Bond - 04/10/2028 ~</t>
  </si>
  <si>
    <t>Cash and Other Net Current Assets^</t>
  </si>
  <si>
    <t>Refer below point i)</t>
  </si>
  <si>
    <t>Chennai Super Kings Ltd @</t>
  </si>
  <si>
    <t>Crescent Finstock Ltd @</t>
  </si>
  <si>
    <t>Balmer Lawrie Freight Containers Ltd @</t>
  </si>
  <si>
    <t>Noble Brothers Impex Ltd @</t>
  </si>
  <si>
    <t>Sangam Health Care Products Ltd @</t>
  </si>
  <si>
    <t>Virtual Dynamics Software Ltd @</t>
  </si>
  <si>
    <t>Precision Fasteners Ltd @</t>
  </si>
  <si>
    <t>Mukerian Papers Ltd @</t>
  </si>
  <si>
    <t>Minerava Holdings Ltd @</t>
  </si>
  <si>
    <t>Crystal Cable Industries Ltd @</t>
  </si>
  <si>
    <t>Tirrihannah Company Ltd @</t>
  </si>
  <si>
    <t>Sandur Laminates Ltd @</t>
  </si>
  <si>
    <t>Make My Trip Ltd (USD)</t>
  </si>
  <si>
    <t>Bharti Airtel Ltd - Partly Paid Right Shares</t>
  </si>
  <si>
    <t>b) Total value and percentage of illiquid equity shares @</t>
  </si>
  <si>
    <t>Direct Plan - Monthly IDCW</t>
  </si>
  <si>
    <t>Regular Plan - Monthly IDCW</t>
  </si>
  <si>
    <t>Annexure-A</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</si>
  <si>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</si>
  <si>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</si>
  <si>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</si>
  <si>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</si>
  <si>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</si>
  <si>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</si>
  <si>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</si>
  <si>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</si>
  <si>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</si>
  <si>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</si>
  <si>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</si>
  <si>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</si>
  <si>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</si>
  <si>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</si>
  <si>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</si>
  <si>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</si>
  <si>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</si>
  <si>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</si>
  <si>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</si>
  <si>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</si>
  <si>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</si>
  <si>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</si>
  <si>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</si>
  <si>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</si>
  <si>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</si>
  <si>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</si>
  <si>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</si>
  <si>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21.50% Dewan Rubber Ltd</t>
  </si>
  <si>
    <t>Not Available</t>
  </si>
  <si>
    <t>Chemox Chemicals Industries</t>
  </si>
  <si>
    <t>15% Premier Vinyl Ltd</t>
  </si>
  <si>
    <t>18% Jord Engineering Ltd</t>
  </si>
  <si>
    <t>Tier I Benchmark Riskometer - Nifty Mid Cap 150 TRI</t>
  </si>
  <si>
    <t>Tier II Benchmark Riskometer - Nifty Mid Cap 100 TRI</t>
  </si>
  <si>
    <t>Tier I Benchmark Riskometer - Nifty Large Mid Cap 250 INDEX</t>
  </si>
  <si>
    <t>Tier II Benchmark Riskometer - Nifty Large Mid Cap 250 INDEX</t>
  </si>
  <si>
    <t>Benchmark Riskometer - BSE 500 INDEX</t>
  </si>
  <si>
    <t xml:space="preserve"> Benchmark Riskometer - BSE 500 INDEX</t>
  </si>
  <si>
    <t>Benchmark Riskometer - Nifty Small Cap 100</t>
  </si>
  <si>
    <t>Tier I Benchmark Riskometer - Nifty Small Cap 250 TRI</t>
  </si>
  <si>
    <t>Tier II Benchmark Riskometer - Nifty Small Cap 100 TRI</t>
  </si>
  <si>
    <t>Benchmark Riskometer - CRISIL Hybrid 35 Plus 65 - Aggressive Index</t>
  </si>
  <si>
    <t>Benchmark Riskometer - NIFTY 50 Arbitrage INDEX</t>
  </si>
  <si>
    <t>Benchmark Riskometer - NIFTY 50 Hybrid Composite Debt 50 : 50 INDEX</t>
  </si>
  <si>
    <t>Tier I Benchmark Riskometer - NIFTY 500</t>
  </si>
  <si>
    <t>Tier II Benchmark Riskometer - NIFTY IDCW Opportunities 50 TRI</t>
  </si>
  <si>
    <t>Benchmark Riskometer - Nifty Equity Savings INDEX</t>
  </si>
  <si>
    <t>Tier I Benchmark Riskometer - Nifty 500 TRI</t>
  </si>
  <si>
    <t xml:space="preserve"> Tier II Benchmark Riskometer - Nifty Large MID CAP 250 TRI</t>
  </si>
  <si>
    <t>Tier I Benchmark Riskometer - Nifty 500 MultiCap 50:25:25</t>
  </si>
  <si>
    <t>Tier II Benchmark Riskometer - Nifty 500 MultiCap 50:25:25</t>
  </si>
  <si>
    <t>Benchmark Riskometer - Nifty 100 Equal Weight TRI</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</si>
  <si>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</si>
  <si>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</si>
  <si>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</si>
  <si>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</si>
  <si>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</si>
  <si>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</si>
  <si>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Tier II Benchmark Riskometer - Nifty 500 TRI</t>
  </si>
  <si>
    <t>Benchmark Riskometer - Nifty Financial Services</t>
  </si>
  <si>
    <r>
      <t xml:space="preserve">Benchmark Riskometer - </t>
    </r>
    <r>
      <rPr>
        <sz val="11"/>
        <color theme="1"/>
        <rFont val="Aptos Narrow"/>
        <family val="2"/>
        <scheme val="minor"/>
      </rPr>
      <t>NIFTY 500 TRI (65%) + NIFTY Short Duration Debt Index (10%) + Domestic Prices of Gold (25%)</t>
    </r>
  </si>
  <si>
    <t>i) Exposure to securities classified as below investment grade or default as on 31-Jul-2024</t>
  </si>
  <si>
    <t>% to AUM as on 31-Jul-2024</t>
  </si>
  <si>
    <t>31-Jul-2024</t>
  </si>
  <si>
    <t>364 Days - T Bill - 02/05/2025*</t>
  </si>
  <si>
    <t>7.10% Central Government Securities 18/04/2029*</t>
  </si>
  <si>
    <t>7.38% Central Government Securities 20/06/2027*</t>
  </si>
  <si>
    <t>7.33% Government Securities-30/10/2026*</t>
  </si>
  <si>
    <t>364 Days-T Bill - 19/09/2024*</t>
  </si>
  <si>
    <t>364 Days-T Bill - 10/10/2024*</t>
  </si>
  <si>
    <t>364 Days-T Bill - 17/10/2024*</t>
  </si>
  <si>
    <t>7.18%  Government Securities - 14/08/2033*</t>
  </si>
  <si>
    <t>7.32% Government Securities-13/11/2030*</t>
  </si>
  <si>
    <t>7.23% Central Government Securities 15/04/2039*</t>
  </si>
  <si>
    <t>5.22% Central Government Securities 15/06/2025*</t>
  </si>
  <si>
    <t>5.15% Central Government Securities 09/11/2025*</t>
  </si>
  <si>
    <t>7.37% Government Securities-23/10/2028*</t>
  </si>
  <si>
    <t>364 Days -T Bill- 02/01/2025*</t>
  </si>
  <si>
    <t>Direct Plan - IDCW</t>
  </si>
  <si>
    <t>Regular Plan - IDCW</t>
  </si>
  <si>
    <t>Direct Plan - Halfyearly IDCW</t>
  </si>
  <si>
    <t>Regular Plan - Halfyearly IDCW</t>
  </si>
  <si>
    <t>Direct Plan - Quarterly IDCW</t>
  </si>
  <si>
    <t>Regular Plan - Quarterly IDCW</t>
  </si>
  <si>
    <t>Institutional Plan - IDCW</t>
  </si>
  <si>
    <t>SUNCYF</t>
  </si>
  <si>
    <t>Direct Plan - Half Yearly IDCW</t>
  </si>
  <si>
    <t>Regular Plan - Half Yearly IDCW</t>
  </si>
  <si>
    <t>Tier I Benchmark Riskometer - Nifty_500_ TRI</t>
  </si>
  <si>
    <t>DERIVATIVES DISCLOSURE</t>
  </si>
  <si>
    <t>Disclosure regarding Derivative positions pursuant to SEBI Circular no CIR/IMD/DF/11/2010 dated August18,2010</t>
  </si>
  <si>
    <t>DETAILS OF INVESTMENTS IN DERIVATIVE INSTRUMENTS</t>
  </si>
  <si>
    <t>A. Hedging Positions through Futures as on July 31,2024 :</t>
  </si>
  <si>
    <t>Scheme Name</t>
  </si>
  <si>
    <t>Underlying</t>
  </si>
  <si>
    <t>Long/Short</t>
  </si>
  <si>
    <t>Futures Price When Purchased</t>
  </si>
  <si>
    <t>Current Price of the contract</t>
  </si>
  <si>
    <t>Margin maintained in       (Rs in Lakhs)*</t>
  </si>
  <si>
    <t>Aditya Birla Capital Ltd AUG-2024</t>
  </si>
  <si>
    <t>Short</t>
  </si>
  <si>
    <t>Associated Cement Co. Ltd AUG-2024</t>
  </si>
  <si>
    <t>Aurobindo Pharma Ltd-Equ AUG-2024</t>
  </si>
  <si>
    <t>Bank of Baroda AUG-2024</t>
  </si>
  <si>
    <t>Bharti Airtel Ltd AUG-2024</t>
  </si>
  <si>
    <t>DLF Ltd AUG-2024</t>
  </si>
  <si>
    <t>Gujarat Ambuja Cement Co.Ltd AUG-2024</t>
  </si>
  <si>
    <t>HCL Technologies Ltd AUG-2024</t>
  </si>
  <si>
    <t>HDFC Bank Ltd AUG-2024</t>
  </si>
  <si>
    <t>Hindustan Unilever Ltd AUG-2024</t>
  </si>
  <si>
    <t>Indian Oil Corporation Ltd AUG-2024</t>
  </si>
  <si>
    <t>Indus Towers Ltd (Prev name Bharti Infratel Ltd) AUG-2024</t>
  </si>
  <si>
    <t>ITC Ltd AUG-2024</t>
  </si>
  <si>
    <t>Kotak Mahindra Bank Ltd AUG-2024</t>
  </si>
  <si>
    <t>Larsen &amp; Toubro Ltd - Equity AUG-2024</t>
  </si>
  <si>
    <t>Manappuram Finance Limited AUG-2024</t>
  </si>
  <si>
    <t>Reliance Industries Ltd AUG-2024</t>
  </si>
  <si>
    <t>State Bank Of India Ltd AUG-2024</t>
  </si>
  <si>
    <t>Sun Pharmaceuticals Ltd AUG-2024</t>
  </si>
  <si>
    <t>TATA Consultancy Services Ltd AUG-2024</t>
  </si>
  <si>
    <t>TATA Power Co Ltd AUG-2024</t>
  </si>
  <si>
    <t>Vedanta Ltd Pre Sesa Sterlite Ltd (Prvsly Sesa Goa Ltd) AUG-2024</t>
  </si>
  <si>
    <t>Vodafone Idea Ltd (Prev:Idea Cellular Ltd) AUG-2024</t>
  </si>
  <si>
    <t>Axis Bank Ltd  AUG-2024</t>
  </si>
  <si>
    <t>Bajaj Finance Ltd AUG-2024</t>
  </si>
  <si>
    <t>Bajaj Finserv Ltd AUG-2024</t>
  </si>
  <si>
    <t>Bharat Forge Ltd AUG-2024</t>
  </si>
  <si>
    <t>Canara Bank AUG-2024</t>
  </si>
  <si>
    <t>Cipla Ltd AUG-2024</t>
  </si>
  <si>
    <t>Coromandel International Ltd Prv (Coromandel Fertilisers Ltd) AUG-2024</t>
  </si>
  <si>
    <t>ICICI Bank Ltd AUG-2024</t>
  </si>
  <si>
    <t>IndusInd Bank Ltd AUG-2024</t>
  </si>
  <si>
    <t>Mahindra &amp; Mahindra Ltd AUG-2024</t>
  </si>
  <si>
    <t>NTPC Ltd AUG-2024</t>
  </si>
  <si>
    <t>Persistent Systems Ltd AUG-2024</t>
  </si>
  <si>
    <t>Tata Motors Ltd AUG-2024</t>
  </si>
  <si>
    <t>Tata Steel Ltd AUG-2024</t>
  </si>
  <si>
    <t>Tech Mahindra Ltd AUG-2024</t>
  </si>
  <si>
    <t>Zydus Lifesciences Ltd ( Prev Cadila Healthcare Ltd)  AUG-2024</t>
  </si>
  <si>
    <t>Adani Enterprises Ltd AUG-2024</t>
  </si>
  <si>
    <t>HDFC Life Insurance Company Ltd AUG-2024</t>
  </si>
  <si>
    <t>Hindalco Industries Ltd AUG-2024</t>
  </si>
  <si>
    <t>Hindustan Petroleum Corpn Ltd AUG-2024</t>
  </si>
  <si>
    <t>Infosys Ltd AUG-2024</t>
  </si>
  <si>
    <t>Interglobe Aviation Ltd AUG-2024</t>
  </si>
  <si>
    <t>JSW Steel Ltd AUG-2024</t>
  </si>
  <si>
    <t>Maruti Suzuki India Ltd AUG-2024</t>
  </si>
  <si>
    <t>United Spirits Ltd AUG-2024</t>
  </si>
  <si>
    <t>Sundaram Financial Opp Fund</t>
  </si>
  <si>
    <t>Hindustan Aeronautics Ltd AUG-2024</t>
  </si>
  <si>
    <t>Info Edge (India) Ltd AUG-2024</t>
  </si>
  <si>
    <t>Shriram Finance Ltd ( Prv Shriram Tpt Finance Co Ltd) AUG-2024</t>
  </si>
  <si>
    <t>TVS Motor Company Ltd   AUG-2024</t>
  </si>
  <si>
    <t xml:space="preserve">Total percentage of existing assets hedged through futures as a percentage of net assets </t>
  </si>
  <si>
    <t>%</t>
  </si>
  <si>
    <t>For the period ended July 31,2024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</si>
  <si>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</si>
  <si>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</si>
  <si>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</si>
  <si>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</si>
  <si>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</si>
  <si>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Sundaram Small cap Fund</t>
  </si>
  <si>
    <t>Sundaram Large and Midcap Fund</t>
  </si>
  <si>
    <t>B. Other than hedging positions through futures as on July 31,2024 :</t>
  </si>
  <si>
    <t>Margin maintained in       (Rs. in Lakhs) *</t>
  </si>
  <si>
    <t>Can Fin Homes Ltd AUG-2024</t>
  </si>
  <si>
    <t>Long</t>
  </si>
  <si>
    <t>Total percentage of existing assets due to non-hedging positions as a percentage of net assets</t>
  </si>
  <si>
    <t>For the period ended July 31,2024 following were the non-hedging transactions through futures which have been squared off / expired</t>
  </si>
  <si>
    <t>Gross Notional value of contracts where futures were sold      ( Rs. in Lakhs)</t>
  </si>
  <si>
    <t>Net Profit / (Loss) value on all contracts combined      (Rs. in lakhs)</t>
  </si>
  <si>
    <t>Sundaram Equity Saving Fund</t>
  </si>
  <si>
    <t>Sundaram Multip Cap Fund</t>
  </si>
  <si>
    <t>C. Hedging Positions through Put Options as on July 31,2024 :</t>
  </si>
  <si>
    <t>Call/Put</t>
  </si>
  <si>
    <t>Number of Contracts</t>
  </si>
  <si>
    <t>Option Price when purchased</t>
  </si>
  <si>
    <t>Current Option Price</t>
  </si>
  <si>
    <t>Total % of existing assets hedged through Put Options</t>
  </si>
  <si>
    <t xml:space="preserve"> </t>
  </si>
  <si>
    <t>For the period ended  July 31,2024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</si>
  <si>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</si>
  <si>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</si>
  <si>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</si>
  <si>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</si>
  <si>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July 31,2024 :</t>
  </si>
  <si>
    <t xml:space="preserve">Total Exposure through Options other than hedging as a percentage of net assets </t>
  </si>
  <si>
    <t>For the period ended July 31,2024 , the following non hedging transactions through options which have been already exercised/expired</t>
  </si>
  <si>
    <t>Gross Notional value of contracts  bought(Rs. in Lakhs)</t>
  </si>
  <si>
    <t>Gross Notional value of contracts  sold (Rs. in Lakhs)</t>
  </si>
  <si>
    <t>E. Hedging Positions through Swaps as on July 31,2024 - Nil</t>
  </si>
  <si>
    <t>F. Hedging Positions through Interest Rate Futures as on July 31,2024 :</t>
  </si>
  <si>
    <t xml:space="preserve">Futures Price
When Purchased </t>
  </si>
  <si>
    <t>Current Price of
the contract</t>
  </si>
  <si>
    <t>Margin maintained
in (Rs. in Lakhs)</t>
  </si>
  <si>
    <t>Total percentage of existing assets hedged through Interest Rate Futures a Percentage of net assets</t>
  </si>
  <si>
    <t>For the period ended July 31,2024 following were the hedging transactions through Interest Rate Futures which have been squared off/ expired</t>
  </si>
  <si>
    <t>For the period ended July 31,2024 following were the Non Hedging transactions through Interest Rate Futures which have been squared off/ expired</t>
  </si>
  <si>
    <t>* Note: Margin maintained denotes security specific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</si>
</sst>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1" formatCode="[$-1014009]###0.0000;\(###0.0000\)"/>
    <numFmt numFmtId="172" formatCode="[$-1014009]#,##0.000000;\-#,##0.000000"/>
    <numFmt numFmtId="173" formatCode="dd\-mmm\-yyyy"/>
    <numFmt numFmtId="174" formatCode="[$-1014009]#,##0.00;\(#,##0.00\)"/>
    <numFmt numFmtId="175" formatCode="_(* #,##0_);_(* \(#,##0\);_(* &quot;-&quot;??_);_(@_)"/>
    <numFmt numFmtId="176" formatCode="[$-1014009]#,##0.0000;\(#,##0.0000\)"/>
    <numFmt numFmtId="177" formatCode="0.000"/>
    <numFmt numFmtId="178" formatCode="_(* #,##0.00_);_(* \(#,##0.00\);_(* &quot;-&quot;??_);_(@_)"/>
    <numFmt numFmtId="179" formatCode="#,##0.000"/>
    <numFmt numFmtId="180" formatCode="0.000000000"/>
    <numFmt numFmtId="181" formatCode="#,##0.0000;\(#,##0.0000\)"/>
    <numFmt numFmtId="182" formatCode="_(* #,##0.000_);_(* \(#,##0.000\);_(* &quot;-&quot;??_);_(@_)"/>
  </numFmts>
  <fonts count="33"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b/>
      <sz val="11"/>
      <name val="Aptos Narrow"/>
      <family val="2"/>
      <scheme val="minor"/>
    </font>
    <font>
      <sz val="10"/>
      <name val="Arial"/>
      <family val="2"/>
    </font>
    <font>
      <sz val="11"/>
      <name val="Aptos Narrow"/>
      <family val="2"/>
      <scheme val="minor"/>
    </font>
    <font>
      <u/>
      <sz val="10"/>
      <color theme="10"/>
      <name val="Arial"/>
      <family val="2"/>
    </font>
    <font>
      <u/>
      <sz val="11"/>
      <color theme="10"/>
      <name val="Aptos Narrow"/>
      <family val="2"/>
      <scheme val="minor"/>
    </font>
    <font>
      <b/>
      <sz val="11"/>
      <color indexed="8"/>
      <name val="Calibri"/>
      <family val="2"/>
    </font>
    <font>
      <sz val="10"/>
      <color indexed="8"/>
      <name val="Calibri"/>
      <family val="2"/>
    </font>
    <font>
      <b/>
      <i/>
      <sz val="10"/>
      <color indexed="8"/>
      <name val="Calibri"/>
      <family val="2"/>
    </font>
    <font>
      <b/>
      <sz val="10"/>
      <name val="Arial"/>
      <family val="2"/>
    </font>
    <font>
      <b/>
      <sz val="10"/>
      <color indexed="8"/>
      <name val="Calibri"/>
      <family val="2"/>
    </font>
    <font>
      <sz val="10"/>
      <name val="Calibri"/>
      <family val="2"/>
    </font>
    <font>
      <b/>
      <sz val="11"/>
      <color theme="1"/>
      <name val="Aptos Narrow"/>
      <family val="2"/>
      <scheme val="minor"/>
    </font>
    <font>
      <u/>
      <sz val="11"/>
      <color rgb="FF002060"/>
      <name val="Aptos Narrow"/>
      <family val="2"/>
      <scheme val="minor"/>
    </font>
    <font>
      <sz val="10"/>
      <name val="Arial"/>
      <charset val="1"/>
    </font>
    <font>
      <sz val="10"/>
      <color theme="1"/>
      <name val="Calibri"/>
      <family val="2"/>
    </font>
    <font>
      <b/>
      <sz val="10"/>
      <color theme="1"/>
      <name val="Calibri"/>
      <family val="2"/>
    </font>
    <font>
      <b/>
      <sz val="10"/>
      <name val="Calibri"/>
      <family val="2"/>
    </font>
    <font>
      <b/>
      <sz val="10"/>
      <color theme="1"/>
      <name val="Aptos Narrow"/>
      <family val="2"/>
      <scheme val="minor"/>
    </font>
    <font>
      <sz val="10"/>
      <name val="Aptos Narrow"/>
      <family val="2"/>
      <scheme val="minor"/>
    </font>
    <font>
      <sz val="10"/>
      <color theme="1"/>
      <name val="Aptos Narrow"/>
      <family val="2"/>
      <scheme val="minor"/>
    </font>
    <font>
      <u/>
      <sz val="10"/>
      <color theme="10"/>
      <name val="Arial"/>
      <charset val="1"/>
    </font>
    <font>
      <b/>
      <sz val="10"/>
      <name val="Aptos Narrow"/>
      <family val="2"/>
      <scheme val="minor"/>
    </font>
    <font>
      <sz val="11"/>
      <color indexed="8"/>
      <name val="Calibri"/>
      <family val="2"/>
    </font>
  </fonts>
  <fills count="5">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8" tint="0.79998168889431442"/>
        <bgColor indexed="64"/>
      </patternFill>
    </fill>
  </fills>
  <borders count="2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diagonal/>
    </border>
    <border>
      <left style="thin">
        <color indexed="8"/>
      </left>
      <right style="thin">
        <color indexed="8"/>
      </right>
      <top style="thin">
        <color indexed="64"/>
      </top>
      <bottom style="thin">
        <color indexed="64"/>
      </bottom>
      <diagonal/>
    </border>
  </borders>
  <cellStyleXfs count="15">
    <xf numFmtId="0" fontId="0" fillId="0" borderId="0">
      <alignment wrapText="1"/>
    </xf>
    <xf numFmtId="0" fontId="4" fillId="0" borderId="0"/>
    <xf numFmtId="0" fontId="11" fillId="0" borderId="0">
      <alignment wrapText="1"/>
    </xf>
    <xf numFmtId="0" fontId="13" fillId="0" borderId="0" applyNumberFormat="0" applyFill="0" applyBorder="0" applyAlignment="0" applyProtection="0">
      <alignment wrapText="1"/>
    </xf>
    <xf numFmtId="0" fontId="11" fillId="0" borderId="0">
      <alignment wrapText="1"/>
    </xf>
    <xf numFmtId="43" fontId="23" fillId="0" borderId="0" applyFont="0" applyFill="0" applyBorder="0" applyAlignment="0" applyProtection="0"/>
    <xf numFmtId="9" fontId="23" fillId="0" borderId="0" applyFont="0" applyFill="0" applyBorder="0" applyAlignment="0" applyProtection="0"/>
    <xf numFmtId="0" fontId="3" fillId="0" borderId="0"/>
    <xf numFmtId="0" fontId="11" fillId="0" borderId="0">
      <alignment wrapText="1"/>
    </xf>
    <xf numFmtId="43" fontId="3" fillId="0" borderId="0" applyFont="0" applyFill="0" applyBorder="0" applyAlignment="0" applyProtection="0"/>
    <xf numFmtId="0" fontId="30" fillId="0" borderId="0" applyNumberFormat="0" applyFill="0" applyBorder="0" applyAlignment="0" applyProtection="0">
      <alignment wrapText="1"/>
    </xf>
    <xf numFmtId="0" fontId="2" fillId="0" borderId="0"/>
    <xf numFmtId="0" fontId="11" fillId="0" borderId="0"/>
    <xf numFmtId="178" fontId="32" fillId="0" borderId="0" applyFont="0" applyFill="0" applyBorder="0" applyAlignment="0" applyProtection="0"/>
    <xf numFmtId="0" fontId="1" fillId="0" borderId="0"/>
  </cellStyleXfs>
  <cellXfs count="253">
    <xf numFmtId="0" fontId="0" fillId="0" borderId="0" xfId="0">
      <alignment wrapText="1"/>
    </xf>
    <xf numFmtId="0" fontId="0" fillId="0" borderId="0" xfId="0" applyAlignment="1">
      <alignment horizontal="center" vertical="center" wrapText="1"/>
    </xf>
    <xf numFmtId="0" fontId="10" fillId="0" borderId="7" xfId="1" applyFont="1" applyBorder="1" applyAlignment="1">
      <alignment horizontal="center" vertical="center"/>
    </xf>
    <xf numFmtId="0" fontId="12" fillId="0" borderId="0" xfId="2" applyFont="1">
      <alignment wrapText="1"/>
    </xf>
    <xf numFmtId="0" fontId="12" fillId="0" borderId="7" xfId="2" applyFont="1" applyBorder="1" applyAlignment="1">
      <alignment horizontal="center" wrapText="1"/>
    </xf>
    <xf numFmtId="0" fontId="14" fillId="0" borderId="7" xfId="3" applyFont="1" applyBorder="1" applyAlignment="1"/>
    <xf numFmtId="0" fontId="12" fillId="0" borderId="7" xfId="2" applyFont="1" applyBorder="1" applyAlignment="1"/>
    <xf numFmtId="0" fontId="18" fillId="2" borderId="0" xfId="0" applyFont="1" applyFill="1" applyAlignment="1">
      <alignment horizontal="center" vertical="center" wrapText="1"/>
    </xf>
    <xf numFmtId="0" fontId="4" fillId="0" borderId="0" xfId="1" applyAlignment="1">
      <alignment wrapText="1"/>
    </xf>
    <xf numFmtId="0" fontId="18" fillId="0" borderId="0" xfId="0" applyFont="1" applyAlignment="1">
      <alignment horizontal="center" vertical="center" wrapText="1"/>
    </xf>
    <xf numFmtId="0" fontId="22" fillId="0" borderId="0" xfId="3" applyFont="1" applyFill="1" applyBorder="1" applyAlignment="1">
      <alignment horizontal="center" vertical="center" wrapText="1"/>
    </xf>
    <xf numFmtId="0" fontId="10" fillId="2" borderId="0" xfId="4" applyFont="1" applyFill="1" applyAlignment="1">
      <alignment horizontal="center" vertical="center" wrapText="1"/>
    </xf>
    <xf numFmtId="0" fontId="21" fillId="2" borderId="0" xfId="0" applyFont="1" applyFill="1" applyAlignment="1">
      <alignment horizontal="center" vertical="center"/>
    </xf>
    <xf numFmtId="0" fontId="22" fillId="4" borderId="0" xfId="3" applyFont="1" applyFill="1" applyBorder="1" applyAlignment="1">
      <alignment horizontal="center" vertical="center" wrapText="1"/>
    </xf>
    <xf numFmtId="0" fontId="11" fillId="0" borderId="0" xfId="2">
      <alignment wrapText="1"/>
    </xf>
    <xf numFmtId="0" fontId="11" fillId="0" borderId="0" xfId="2" applyAlignment="1">
      <alignment horizontal="center" vertical="center" wrapText="1"/>
    </xf>
    <xf numFmtId="0" fontId="20" fillId="0" borderId="0" xfId="0" applyFont="1">
      <alignment wrapText="1"/>
    </xf>
    <xf numFmtId="0" fontId="20" fillId="0" borderId="0" xfId="0" applyFont="1" applyAlignment="1">
      <alignment vertical="center" wrapText="1"/>
    </xf>
    <xf numFmtId="10" fontId="24" fillId="0" borderId="7" xfId="6" applyNumberFormat="1" applyFont="1" applyFill="1" applyBorder="1" applyAlignment="1">
      <alignment vertical="center"/>
    </xf>
    <xf numFmtId="175" fontId="24" fillId="0" borderId="0" xfId="5" applyNumberFormat="1" applyFont="1" applyFill="1"/>
    <xf numFmtId="43" fontId="24" fillId="0" borderId="0" xfId="5" applyFont="1" applyFill="1"/>
    <xf numFmtId="0" fontId="0" fillId="0" borderId="0" xfId="0" applyAlignment="1">
      <alignment vertical="center" wrapText="1"/>
    </xf>
    <xf numFmtId="4" fontId="20" fillId="0" borderId="7" xfId="9" applyNumberFormat="1" applyFont="1" applyFill="1" applyBorder="1" applyAlignment="1">
      <alignment horizontal="center" vertical="center"/>
    </xf>
    <xf numFmtId="10" fontId="20" fillId="0" borderId="7" xfId="9" applyNumberFormat="1" applyFont="1" applyFill="1" applyBorder="1" applyAlignment="1">
      <alignment horizontal="center" vertical="center"/>
    </xf>
    <xf numFmtId="4" fontId="28" fillId="0" borderId="7" xfId="9" applyNumberFormat="1" applyFont="1" applyFill="1" applyBorder="1" applyAlignment="1">
      <alignment horizontal="center" vertical="center"/>
    </xf>
    <xf numFmtId="10" fontId="28" fillId="0" borderId="7" xfId="9" applyNumberFormat="1" applyFont="1" applyFill="1" applyBorder="1" applyAlignment="1">
      <alignment horizontal="center" vertical="center"/>
    </xf>
    <xf numFmtId="175" fontId="29" fillId="0" borderId="0" xfId="5" applyNumberFormat="1" applyFont="1" applyFill="1"/>
    <xf numFmtId="43" fontId="29" fillId="0" borderId="0" xfId="5" applyFont="1" applyFill="1"/>
    <xf numFmtId="43" fontId="28" fillId="0" borderId="12" xfId="9" applyFont="1" applyFill="1" applyBorder="1" applyAlignment="1">
      <alignment horizontal="right" vertical="center"/>
    </xf>
    <xf numFmtId="43" fontId="28" fillId="0" borderId="12" xfId="9" applyFont="1" applyFill="1" applyBorder="1" applyAlignment="1">
      <alignment horizontal="center" vertical="center"/>
    </xf>
    <xf numFmtId="0" fontId="0" fillId="2" borderId="0" xfId="0" applyFill="1">
      <alignment wrapText="1"/>
    </xf>
    <xf numFmtId="0" fontId="0" fillId="2" borderId="0" xfId="0" applyFill="1" applyAlignment="1">
      <alignment horizontal="center" vertical="center" wrapText="1"/>
    </xf>
    <xf numFmtId="0" fontId="13" fillId="4" borderId="0" xfId="3" applyFill="1" applyBorder="1" applyAlignment="1">
      <alignment horizontal="center" vertical="center" wrapText="1"/>
    </xf>
    <xf numFmtId="0" fontId="0" fillId="3" borderId="0" xfId="0" applyFill="1">
      <alignment wrapText="1"/>
    </xf>
    <xf numFmtId="0" fontId="18" fillId="2" borderId="0" xfId="0" applyFont="1" applyFill="1" applyAlignment="1">
      <alignment horizontal="center" wrapText="1"/>
    </xf>
    <xf numFmtId="0" fontId="30" fillId="0" borderId="7" xfId="10" applyBorder="1" applyAlignment="1"/>
    <xf numFmtId="0" fontId="5" fillId="0" borderId="7" xfId="0" applyFont="1" applyBorder="1" applyAlignment="1">
      <alignment horizontal="center" vertical="center" wrapText="1" readingOrder="1"/>
    </xf>
    <xf numFmtId="0" fontId="15" fillId="0" borderId="7" xfId="0" applyFont="1" applyBorder="1" applyAlignment="1">
      <alignment horizontal="center" vertical="center" wrapText="1" readingOrder="1"/>
    </xf>
    <xf numFmtId="0" fontId="6" fillId="0" borderId="8" xfId="0" applyFont="1" applyBorder="1" applyAlignment="1">
      <alignment horizontal="right" vertical="top" wrapText="1" readingOrder="1"/>
    </xf>
    <xf numFmtId="0" fontId="7" fillId="0" borderId="8" xfId="0" applyFont="1" applyBorder="1" applyAlignment="1">
      <alignment horizontal="left" vertical="center" wrapText="1" readingOrder="1"/>
    </xf>
    <xf numFmtId="166" fontId="16" fillId="0" borderId="7" xfId="0" applyNumberFormat="1" applyFont="1" applyBorder="1" applyAlignment="1">
      <alignment horizontal="right" vertical="center" wrapText="1" readingOrder="1"/>
    </xf>
    <xf numFmtId="0" fontId="6" fillId="0" borderId="4" xfId="0" applyFont="1" applyBorder="1" applyAlignment="1">
      <alignment horizontal="right" vertical="top" wrapText="1" readingOrder="1"/>
    </xf>
    <xf numFmtId="0" fontId="7" fillId="0" borderId="4" xfId="0" applyFont="1" applyBorder="1" applyAlignment="1">
      <alignment horizontal="left" vertical="center" wrapText="1" readingOrder="1"/>
    </xf>
    <xf numFmtId="164" fontId="6"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165" fontId="6" fillId="0" borderId="4" xfId="0" applyNumberFormat="1" applyFont="1" applyBorder="1" applyAlignment="1">
      <alignment horizontal="right" vertical="center" wrapText="1" readingOrder="1"/>
    </xf>
    <xf numFmtId="166"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166" fontId="7" fillId="0" borderId="4" xfId="0" applyNumberFormat="1" applyFont="1" applyBorder="1" applyAlignment="1">
      <alignment horizontal="right" vertical="center" wrapText="1" readingOrder="1"/>
    </xf>
    <xf numFmtId="167" fontId="7" fillId="0" borderId="4" xfId="0" applyNumberFormat="1" applyFont="1" applyBorder="1" applyAlignment="1">
      <alignment horizontal="right" vertical="center" wrapText="1" readingOrder="1"/>
    </xf>
    <xf numFmtId="0" fontId="8" fillId="0" borderId="4" xfId="0" applyFont="1" applyBorder="1" applyAlignment="1">
      <alignment horizontal="left" vertical="center" wrapText="1" readingOrder="1"/>
    </xf>
    <xf numFmtId="0" fontId="8" fillId="0" borderId="4" xfId="0" applyFont="1" applyBorder="1" applyAlignment="1">
      <alignment horizontal="right" vertical="center" wrapText="1" readingOrder="1"/>
    </xf>
    <xf numFmtId="0" fontId="7" fillId="0" borderId="4" xfId="0" applyFont="1" applyBorder="1" applyAlignment="1">
      <alignment horizontal="right" vertical="center" wrapText="1" readingOrder="1"/>
    </xf>
    <xf numFmtId="0" fontId="16" fillId="0" borderId="7" xfId="0" applyFont="1" applyBorder="1" applyAlignment="1">
      <alignment horizontal="left" vertical="center" wrapText="1" readingOrder="1"/>
    </xf>
    <xf numFmtId="0" fontId="6" fillId="0" borderId="4" xfId="0" applyFont="1" applyBorder="1" applyAlignment="1">
      <alignment horizontal="right" vertical="center" wrapText="1" readingOrder="1"/>
    </xf>
    <xf numFmtId="168" fontId="7" fillId="0" borderId="4" xfId="0" applyNumberFormat="1" applyFont="1" applyBorder="1" applyAlignment="1">
      <alignment horizontal="right" vertical="center" wrapText="1" readingOrder="1"/>
    </xf>
    <xf numFmtId="0" fontId="8" fillId="0" borderId="5" xfId="0" applyFont="1" applyBorder="1" applyAlignment="1">
      <alignment horizontal="left" vertical="center" wrapText="1" readingOrder="1"/>
    </xf>
    <xf numFmtId="0" fontId="8" fillId="0" borderId="5" xfId="0" applyFont="1" applyBorder="1" applyAlignment="1">
      <alignment horizontal="right" vertical="center" wrapText="1" readingOrder="1"/>
    </xf>
    <xf numFmtId="0" fontId="17" fillId="0" borderId="0" xfId="0" applyFont="1" applyAlignment="1">
      <alignment horizontal="left" vertical="center" wrapText="1" readingOrder="1"/>
    </xf>
    <xf numFmtId="0" fontId="16" fillId="0" borderId="0" xfId="0" applyFont="1" applyAlignment="1">
      <alignment horizontal="left" vertical="center" wrapText="1" readingOrder="1"/>
    </xf>
    <xf numFmtId="0" fontId="17" fillId="0" borderId="0" xfId="1" applyFont="1" applyAlignment="1">
      <alignment horizontal="left" vertical="center" wrapText="1" readingOrder="1"/>
    </xf>
    <xf numFmtId="0" fontId="8" fillId="0" borderId="0" xfId="0" applyFont="1" applyAlignment="1">
      <alignment horizontal="left" vertical="center" wrapText="1" readingOrder="1"/>
    </xf>
    <xf numFmtId="0" fontId="8" fillId="0" borderId="0" xfId="0" applyFont="1" applyAlignment="1">
      <alignment horizontal="right" vertical="center" wrapText="1" readingOrder="1"/>
    </xf>
    <xf numFmtId="0" fontId="8" fillId="0" borderId="6" xfId="0" applyFont="1" applyBorder="1" applyAlignment="1">
      <alignment horizontal="right" vertical="center" wrapText="1" readingOrder="1"/>
    </xf>
    <xf numFmtId="0" fontId="19" fillId="0" borderId="4" xfId="0" applyFont="1" applyBorder="1" applyAlignment="1">
      <alignment horizontal="left" vertical="center" wrapText="1" readingOrder="1"/>
    </xf>
    <xf numFmtId="0" fontId="17" fillId="0" borderId="6" xfId="0" applyFont="1" applyBorder="1" applyAlignment="1">
      <alignment horizontal="right" vertical="center" wrapText="1" readingOrder="1"/>
    </xf>
    <xf numFmtId="0" fontId="17" fillId="0" borderId="0" xfId="0" applyFont="1" applyAlignment="1">
      <alignment horizontal="right" vertical="center" wrapText="1" readingOrder="1"/>
    </xf>
    <xf numFmtId="0" fontId="16" fillId="0" borderId="0" xfId="0" applyFont="1" applyAlignment="1">
      <alignment horizontal="right" vertical="top" wrapText="1" readingOrder="1"/>
    </xf>
    <xf numFmtId="0" fontId="19" fillId="0" borderId="4" xfId="0" applyFont="1" applyBorder="1" applyAlignment="1">
      <alignment horizontal="right" vertical="top" wrapText="1" readingOrder="1"/>
    </xf>
    <xf numFmtId="0" fontId="6" fillId="0" borderId="0" xfId="0" applyFont="1" applyAlignment="1">
      <alignment horizontal="right" vertical="top" wrapText="1" readingOrder="1"/>
    </xf>
    <xf numFmtId="0" fontId="7" fillId="0" borderId="4" xfId="0" applyFont="1" applyBorder="1" applyAlignment="1">
      <alignment horizontal="left" vertical="top" wrapText="1" readingOrder="1"/>
    </xf>
    <xf numFmtId="173" fontId="7" fillId="0" borderId="4" xfId="0" applyNumberFormat="1" applyFont="1" applyBorder="1" applyAlignment="1">
      <alignment horizontal="right" vertical="top" wrapText="1" readingOrder="1"/>
    </xf>
    <xf numFmtId="169" fontId="6" fillId="0" borderId="4" xfId="0" applyNumberFormat="1" applyFont="1" applyBorder="1" applyAlignment="1">
      <alignment horizontal="right" vertical="center" wrapText="1" readingOrder="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16" fillId="0" borderId="6" xfId="0" applyFont="1" applyBorder="1" applyAlignment="1">
      <alignment horizontal="right" vertical="top" wrapText="1" readingOrder="1"/>
    </xf>
    <xf numFmtId="170" fontId="19" fillId="0" borderId="4" xfId="0" applyNumberFormat="1" applyFont="1" applyBorder="1" applyAlignment="1">
      <alignment horizontal="left" vertical="center" wrapText="1" readingOrder="1"/>
    </xf>
    <xf numFmtId="0" fontId="16" fillId="0" borderId="0" xfId="0" applyFont="1" applyAlignment="1">
      <alignment horizontal="right" vertical="center" wrapText="1" readingOrder="1"/>
    </xf>
    <xf numFmtId="0" fontId="19" fillId="0" borderId="4" xfId="2" applyFont="1" applyBorder="1" applyAlignment="1">
      <alignment horizontal="left" vertical="center" wrapText="1" readingOrder="1"/>
    </xf>
    <xf numFmtId="171" fontId="6" fillId="0" borderId="4" xfId="0" applyNumberFormat="1" applyFont="1" applyBorder="1" applyAlignment="1">
      <alignment horizontal="right" vertical="center" wrapText="1" readingOrder="1"/>
    </xf>
    <xf numFmtId="0" fontId="7" fillId="0" borderId="4" xfId="0" applyFont="1" applyBorder="1" applyAlignment="1">
      <alignment horizontal="right" vertical="top" wrapText="1" readingOrder="1"/>
    </xf>
    <xf numFmtId="0" fontId="16" fillId="0" borderId="0" xfId="2" applyFont="1" applyAlignment="1">
      <alignment horizontal="right" vertical="top" wrapText="1" readingOrder="1"/>
    </xf>
    <xf numFmtId="0" fontId="16" fillId="0" borderId="0" xfId="2" applyFont="1" applyAlignment="1">
      <alignment horizontal="left" vertical="center" wrapText="1" readingOrder="1"/>
    </xf>
    <xf numFmtId="0" fontId="16" fillId="0" borderId="4" xfId="0" applyFont="1" applyBorder="1" applyAlignment="1">
      <alignment horizontal="left" vertical="center" wrapText="1" readingOrder="1"/>
    </xf>
    <xf numFmtId="0" fontId="0" fillId="0" borderId="0" xfId="0" applyAlignment="1">
      <alignment horizontal="center" vertical="top" readingOrder="1"/>
    </xf>
    <xf numFmtId="0" fontId="6" fillId="0" borderId="6" xfId="0" applyFont="1" applyBorder="1" applyAlignment="1">
      <alignment horizontal="right" vertical="top" wrapText="1" readingOrder="1"/>
    </xf>
    <xf numFmtId="170" fontId="7" fillId="0" borderId="4" xfId="0" applyNumberFormat="1" applyFont="1" applyBorder="1" applyAlignment="1">
      <alignment horizontal="left" vertical="center" wrapText="1" readingOrder="1"/>
    </xf>
    <xf numFmtId="0" fontId="16" fillId="0" borderId="7" xfId="0" applyFont="1" applyBorder="1" applyAlignment="1">
      <alignment horizontal="right" vertical="center" wrapText="1" readingOrder="1"/>
    </xf>
    <xf numFmtId="0" fontId="16" fillId="0" borderId="4" xfId="0" applyFont="1" applyBorder="1" applyAlignment="1">
      <alignment horizontal="right" vertical="center" wrapText="1" readingOrder="1"/>
    </xf>
    <xf numFmtId="0" fontId="9" fillId="0" borderId="4" xfId="0" applyFont="1" applyBorder="1" applyAlignment="1">
      <alignment horizontal="left" vertical="center" wrapText="1" readingOrder="1"/>
    </xf>
    <xf numFmtId="0" fontId="9" fillId="0" borderId="4" xfId="0" applyFont="1" applyBorder="1" applyAlignment="1">
      <alignment horizontal="right" vertical="center" wrapText="1" readingOrder="1"/>
    </xf>
    <xf numFmtId="172" fontId="6"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7" fillId="0" borderId="5" xfId="0" applyFont="1" applyBorder="1" applyAlignment="1">
      <alignment horizontal="left" vertical="center" wrapText="1" readingOrder="1"/>
    </xf>
    <xf numFmtId="0" fontId="24" fillId="0" borderId="0" xfId="0" applyFont="1" applyAlignment="1">
      <alignment vertical="center"/>
    </xf>
    <xf numFmtId="0" fontId="25" fillId="0" borderId="7" xfId="0" applyFont="1" applyBorder="1" applyAlignment="1">
      <alignment horizontal="center" vertical="center" wrapText="1"/>
    </xf>
    <xf numFmtId="0" fontId="20" fillId="0" borderId="7" xfId="0" applyFont="1" applyBorder="1" applyAlignment="1">
      <alignment vertical="center" wrapText="1"/>
    </xf>
    <xf numFmtId="0" fontId="20" fillId="0" borderId="7" xfId="0" applyFont="1" applyBorder="1" applyAlignment="1">
      <alignment vertical="center"/>
    </xf>
    <xf numFmtId="2" fontId="20" fillId="0" borderId="7" xfId="0" applyNumberFormat="1" applyFont="1" applyBorder="1" applyAlignment="1">
      <alignment vertical="center"/>
    </xf>
    <xf numFmtId="4" fontId="20" fillId="0" borderId="7" xfId="0" applyNumberFormat="1" applyFont="1" applyBorder="1" applyAlignment="1">
      <alignment vertical="center"/>
    </xf>
    <xf numFmtId="0" fontId="25" fillId="0" borderId="7" xfId="7" applyFont="1" applyBorder="1" applyAlignment="1">
      <alignment horizontal="center" vertical="center"/>
    </xf>
    <xf numFmtId="0" fontId="24" fillId="0" borderId="7" xfId="7" applyFont="1" applyBorder="1" applyAlignment="1">
      <alignment vertical="center"/>
    </xf>
    <xf numFmtId="0" fontId="24" fillId="0" borderId="7" xfId="7" applyFont="1" applyBorder="1" applyAlignment="1">
      <alignment vertical="center" wrapText="1"/>
    </xf>
    <xf numFmtId="0" fontId="25" fillId="0" borderId="7" xfId="7" applyFont="1" applyBorder="1" applyAlignment="1">
      <alignment horizontal="center" vertical="center" wrapText="1"/>
    </xf>
    <xf numFmtId="0" fontId="10" fillId="0" borderId="0" xfId="2" applyFont="1" applyAlignment="1">
      <alignment horizontal="center" vertical="center"/>
    </xf>
    <xf numFmtId="0" fontId="24" fillId="0" borderId="7" xfId="7" applyFont="1" applyBorder="1" applyAlignment="1">
      <alignment horizontal="left" vertical="center"/>
    </xf>
    <xf numFmtId="2" fontId="24" fillId="0" borderId="7" xfId="7" applyNumberFormat="1" applyFont="1" applyBorder="1" applyAlignment="1">
      <alignment horizontal="right" vertical="center" wrapText="1"/>
    </xf>
    <xf numFmtId="4" fontId="24" fillId="0" borderId="7" xfId="7" applyNumberFormat="1" applyFont="1" applyBorder="1" applyAlignment="1">
      <alignment horizontal="right" vertical="center"/>
    </xf>
    <xf numFmtId="10" fontId="24" fillId="0" borderId="7" xfId="6" applyNumberFormat="1" applyFont="1" applyFill="1" applyBorder="1" applyAlignment="1">
      <alignment vertical="center" wrapText="1"/>
    </xf>
    <xf numFmtId="4" fontId="12" fillId="0" borderId="0" xfId="7" applyNumberFormat="1" applyFont="1" applyAlignment="1">
      <alignment vertical="center"/>
    </xf>
    <xf numFmtId="0" fontId="20" fillId="0" borderId="7" xfId="0" applyFont="1" applyBorder="1" applyAlignment="1">
      <alignment horizontal="justify" vertical="center"/>
    </xf>
    <xf numFmtId="0" fontId="20" fillId="0" borderId="7" xfId="0" applyFont="1" applyBorder="1" applyAlignment="1">
      <alignment horizontal="justify" vertical="center" wrapText="1"/>
    </xf>
    <xf numFmtId="174" fontId="19" fillId="0" borderId="4" xfId="0" applyNumberFormat="1" applyFont="1" applyBorder="1" applyAlignment="1">
      <alignment horizontal="left" vertical="center" wrapText="1" readingOrder="1"/>
    </xf>
    <xf numFmtId="0" fontId="26" fillId="0" borderId="7" xfId="0" applyFont="1" applyBorder="1" applyAlignment="1">
      <alignment horizontal="justify" vertical="center" wrapText="1"/>
    </xf>
    <xf numFmtId="14" fontId="20" fillId="0" borderId="7" xfId="0" quotePrefix="1" applyNumberFormat="1" applyFont="1" applyBorder="1" applyAlignment="1">
      <alignment horizontal="justify" vertical="center" wrapText="1"/>
    </xf>
    <xf numFmtId="0" fontId="19" fillId="0" borderId="4" xfId="8" applyFont="1" applyBorder="1" applyAlignment="1">
      <alignment horizontal="left" vertical="center" wrapText="1" readingOrder="1"/>
    </xf>
    <xf numFmtId="0" fontId="16" fillId="0" borderId="13" xfId="0" applyFont="1" applyBorder="1" applyAlignment="1">
      <alignment horizontal="left" vertical="center" wrapText="1" readingOrder="1"/>
    </xf>
    <xf numFmtId="0" fontId="24" fillId="0" borderId="0" xfId="0" applyFont="1" applyAlignment="1"/>
    <xf numFmtId="0" fontId="20" fillId="0" borderId="7" xfId="0" applyFont="1" applyBorder="1">
      <alignment wrapText="1"/>
    </xf>
    <xf numFmtId="165" fontId="16" fillId="0" borderId="4" xfId="0" applyNumberFormat="1" applyFont="1" applyBorder="1" applyAlignment="1">
      <alignment horizontal="right" vertical="center" wrapText="1" readingOrder="1"/>
    </xf>
    <xf numFmtId="166" fontId="16" fillId="0" borderId="4" xfId="0" applyNumberFormat="1" applyFont="1" applyBorder="1" applyAlignment="1">
      <alignment horizontal="right" vertical="center" wrapText="1" readingOrder="1"/>
    </xf>
    <xf numFmtId="167" fontId="20" fillId="0" borderId="4" xfId="0" applyNumberFormat="1" applyFont="1" applyBorder="1" applyAlignment="1">
      <alignment horizontal="right" vertical="center" wrapText="1" readingOrder="1"/>
    </xf>
    <xf numFmtId="164" fontId="16" fillId="0" borderId="7" xfId="0" applyNumberFormat="1" applyFont="1" applyBorder="1" applyAlignment="1">
      <alignment horizontal="right" vertical="center" wrapText="1" readingOrder="1"/>
    </xf>
    <xf numFmtId="167" fontId="16" fillId="0" borderId="4" xfId="0" applyNumberFormat="1" applyFont="1" applyBorder="1" applyAlignment="1">
      <alignment horizontal="right" vertical="center" wrapText="1" readingOrder="1"/>
    </xf>
    <xf numFmtId="0" fontId="25" fillId="0" borderId="7" xfId="0" applyFont="1" applyBorder="1" applyAlignment="1">
      <alignment horizontal="left" wrapText="1"/>
    </xf>
    <xf numFmtId="0" fontId="25" fillId="0" borderId="7" xfId="0" applyFont="1" applyBorder="1" applyAlignment="1">
      <alignment horizontal="center" wrapText="1"/>
    </xf>
    <xf numFmtId="0" fontId="20" fillId="0" borderId="7" xfId="0" applyFont="1" applyBorder="1" applyAlignment="1">
      <alignment horizontal="left" vertical="center" wrapText="1"/>
    </xf>
    <xf numFmtId="0" fontId="20" fillId="0" borderId="7" xfId="0" applyFont="1" applyBorder="1" applyAlignment="1">
      <alignment horizontal="center" vertical="center"/>
    </xf>
    <xf numFmtId="4" fontId="20" fillId="0" borderId="7" xfId="0" applyNumberFormat="1" applyFont="1" applyBorder="1" applyAlignment="1">
      <alignment horizontal="center" vertical="center"/>
    </xf>
    <xf numFmtId="0" fontId="20" fillId="0" borderId="0" xfId="0" applyFont="1" applyAlignment="1"/>
    <xf numFmtId="0" fontId="27" fillId="0" borderId="7" xfId="0" applyFont="1" applyBorder="1" applyAlignment="1">
      <alignment horizontal="center" vertical="center" wrapText="1"/>
    </xf>
    <xf numFmtId="0" fontId="28" fillId="0" borderId="7" xfId="0" applyFont="1" applyBorder="1" applyAlignment="1">
      <alignment horizontal="left" vertical="center"/>
    </xf>
    <xf numFmtId="0" fontId="28" fillId="0" borderId="7" xfId="0" applyFont="1" applyBorder="1" applyAlignment="1">
      <alignment horizontal="center" vertical="center"/>
    </xf>
    <xf numFmtId="4" fontId="28" fillId="0" borderId="7" xfId="0" applyNumberFormat="1" applyFont="1" applyBorder="1" applyAlignment="1">
      <alignment horizontal="center" vertical="center"/>
    </xf>
    <xf numFmtId="0" fontId="19" fillId="0" borderId="4" xfId="0" applyFont="1" applyBorder="1" applyAlignment="1">
      <alignment horizontal="left" vertical="center" readingOrder="1"/>
    </xf>
    <xf numFmtId="0" fontId="29" fillId="0" borderId="0" xfId="0" applyFont="1" applyAlignment="1"/>
    <xf numFmtId="0" fontId="27" fillId="0" borderId="12" xfId="0" applyFont="1" applyBorder="1" applyAlignment="1">
      <alignment horizontal="center" wrapText="1"/>
    </xf>
    <xf numFmtId="0" fontId="28" fillId="0" borderId="12" xfId="0" applyFont="1" applyBorder="1" applyAlignment="1">
      <alignment horizontal="left" vertical="center"/>
    </xf>
    <xf numFmtId="0" fontId="28" fillId="0" borderId="12" xfId="0" applyFont="1" applyBorder="1" applyAlignment="1">
      <alignment horizontal="center" vertical="center"/>
    </xf>
    <xf numFmtId="4" fontId="28" fillId="0" borderId="12" xfId="0" applyNumberFormat="1" applyFont="1" applyBorder="1" applyAlignment="1">
      <alignment horizontal="right" vertical="center"/>
    </xf>
    <xf numFmtId="166" fontId="19" fillId="0" borderId="4" xfId="0" applyNumberFormat="1" applyFont="1" applyBorder="1" applyAlignment="1">
      <alignment horizontal="left" vertical="center" wrapText="1" readingOrder="1"/>
    </xf>
    <xf numFmtId="37" fontId="28" fillId="0" borderId="17" xfId="13" applyNumberFormat="1" applyFont="1" applyFill="1" applyBorder="1" applyAlignment="1">
      <alignment horizontal="center"/>
    </xf>
    <xf numFmtId="178" fontId="28" fillId="0" borderId="17" xfId="13" applyFont="1" applyFill="1" applyBorder="1"/>
    <xf numFmtId="178" fontId="28" fillId="0" borderId="0" xfId="13" applyFont="1" applyFill="1" applyBorder="1"/>
    <xf numFmtId="0" fontId="28" fillId="0" borderId="17" xfId="13" applyNumberFormat="1" applyFont="1" applyFill="1" applyBorder="1" applyAlignment="1">
      <alignment horizontal="center"/>
    </xf>
    <xf numFmtId="4" fontId="28" fillId="0" borderId="17" xfId="13" applyNumberFormat="1" applyFont="1" applyFill="1" applyBorder="1"/>
    <xf numFmtId="179" fontId="28" fillId="0" borderId="17" xfId="13" applyNumberFormat="1" applyFont="1" applyFill="1" applyBorder="1"/>
    <xf numFmtId="178" fontId="31" fillId="0" borderId="17" xfId="13" applyFont="1" applyFill="1" applyBorder="1"/>
    <xf numFmtId="178" fontId="28" fillId="0" borderId="0" xfId="13" applyFont="1" applyFill="1" applyBorder="1" applyAlignment="1" applyProtection="1">
      <alignment horizontal="left"/>
      <protection locked="0"/>
    </xf>
    <xf numFmtId="178" fontId="28" fillId="0" borderId="17" xfId="13" applyFont="1" applyFill="1" applyBorder="1" applyAlignment="1">
      <alignment horizontal="center" vertical="top" wrapText="1"/>
    </xf>
    <xf numFmtId="178" fontId="31" fillId="0" borderId="0" xfId="13" applyFont="1" applyFill="1" applyBorder="1"/>
    <xf numFmtId="182" fontId="28" fillId="0" borderId="0" xfId="13" applyNumberFormat="1" applyFont="1" applyFill="1" applyBorder="1" applyAlignment="1">
      <alignment horizontal="center" vertical="top" wrapText="1"/>
    </xf>
    <xf numFmtId="175" fontId="28" fillId="0" borderId="0" xfId="13" applyNumberFormat="1" applyFont="1" applyFill="1" applyBorder="1" applyAlignment="1">
      <alignment horizontal="right" vertical="top" wrapText="1"/>
    </xf>
    <xf numFmtId="4" fontId="28" fillId="0" borderId="0" xfId="13" applyNumberFormat="1" applyFont="1" applyFill="1" applyBorder="1"/>
    <xf numFmtId="178" fontId="28" fillId="0" borderId="17" xfId="13" applyFont="1" applyFill="1" applyBorder="1" applyAlignment="1"/>
    <xf numFmtId="4" fontId="28" fillId="0" borderId="17" xfId="13" applyNumberFormat="1" applyFont="1" applyFill="1" applyBorder="1" applyAlignment="1">
      <alignment horizontal="center"/>
    </xf>
    <xf numFmtId="0" fontId="6" fillId="0" borderId="1" xfId="0" applyFont="1" applyBorder="1" applyAlignment="1">
      <alignment horizontal="left" vertical="center" wrapText="1" readingOrder="1"/>
    </xf>
    <xf numFmtId="0" fontId="6" fillId="0" borderId="3" xfId="0" applyFont="1" applyBorder="1" applyAlignment="1">
      <alignment horizontal="left" vertical="center" wrapText="1" readingOrder="1"/>
    </xf>
    <xf numFmtId="0" fontId="5" fillId="0" borderId="7" xfId="0" applyFont="1" applyBorder="1" applyAlignment="1">
      <alignment horizontal="center" vertical="center" wrapText="1" readingOrder="1"/>
    </xf>
    <xf numFmtId="0" fontId="16" fillId="0" borderId="0" xfId="0" applyFont="1" applyAlignment="1">
      <alignment horizontal="left" vertical="center" wrapText="1" readingOrder="1"/>
    </xf>
    <xf numFmtId="0" fontId="16" fillId="0" borderId="0" xfId="0" applyFont="1" applyAlignment="1">
      <alignment horizontal="justify" vertical="top" wrapText="1" readingOrder="1"/>
    </xf>
    <xf numFmtId="0" fontId="7" fillId="0" borderId="1" xfId="0" applyFont="1" applyBorder="1" applyAlignment="1">
      <alignment horizontal="left" vertical="center" wrapText="1" readingOrder="1"/>
    </xf>
    <xf numFmtId="0" fontId="7" fillId="0" borderId="2" xfId="0" applyFont="1" applyBorder="1" applyAlignment="1">
      <alignment horizontal="left" vertical="center" wrapText="1" readingOrder="1"/>
    </xf>
    <xf numFmtId="0" fontId="7" fillId="0" borderId="3" xfId="0" applyFont="1" applyBorder="1" applyAlignment="1">
      <alignment horizontal="left" vertical="center" wrapText="1" readingOrder="1"/>
    </xf>
    <xf numFmtId="0" fontId="16" fillId="0" borderId="1" xfId="0" applyFont="1" applyBorder="1" applyAlignment="1">
      <alignment horizontal="left" vertical="center" wrapText="1" readingOrder="1"/>
    </xf>
    <xf numFmtId="0" fontId="16" fillId="0" borderId="3" xfId="0" applyFont="1" applyBorder="1" applyAlignment="1">
      <alignment horizontal="left" vertical="center" wrapText="1" readingOrder="1"/>
    </xf>
    <xf numFmtId="0" fontId="16" fillId="0" borderId="1" xfId="2" applyFont="1" applyBorder="1" applyAlignment="1">
      <alignment horizontal="left" vertical="center" wrapText="1" readingOrder="1"/>
    </xf>
    <xf numFmtId="0" fontId="16" fillId="0" borderId="3" xfId="2" applyFont="1" applyBorder="1" applyAlignment="1">
      <alignment horizontal="left" vertical="center" wrapText="1" readingOrder="1"/>
    </xf>
    <xf numFmtId="0" fontId="16" fillId="0" borderId="7" xfId="0" applyFont="1" applyBorder="1" applyAlignment="1">
      <alignment horizontal="left" vertical="center" wrapText="1" readingOrder="1"/>
    </xf>
    <xf numFmtId="0" fontId="16" fillId="0" borderId="9" xfId="0" applyFont="1" applyBorder="1" applyAlignment="1">
      <alignment horizontal="left" vertical="center" wrapText="1" readingOrder="1"/>
    </xf>
    <xf numFmtId="0" fontId="16" fillId="0" borderId="10" xfId="0" applyFont="1" applyBorder="1" applyAlignment="1">
      <alignment horizontal="left" vertical="center" wrapText="1" readingOrder="1"/>
    </xf>
    <xf numFmtId="0" fontId="16" fillId="0" borderId="11" xfId="0" applyFont="1" applyBorder="1" applyAlignment="1">
      <alignment horizontal="left" vertical="center" wrapText="1" readingOrder="1"/>
    </xf>
    <xf numFmtId="0" fontId="25" fillId="0" borderId="7" xfId="7" applyFont="1" applyBorder="1" applyAlignment="1">
      <alignment horizontal="center" vertical="center"/>
    </xf>
    <xf numFmtId="0" fontId="25" fillId="0" borderId="9" xfId="7" applyFont="1" applyBorder="1" applyAlignment="1">
      <alignment horizontal="center" vertical="center"/>
    </xf>
    <xf numFmtId="0" fontId="25" fillId="0" borderId="11" xfId="7" applyFont="1" applyBorder="1" applyAlignment="1">
      <alignment horizontal="center" vertical="center"/>
    </xf>
    <xf numFmtId="0" fontId="25" fillId="0" borderId="10" xfId="7" applyFont="1" applyBorder="1" applyAlignment="1">
      <alignment horizontal="center" vertical="center"/>
    </xf>
    <xf numFmtId="0" fontId="24" fillId="0" borderId="9" xfId="7" applyFont="1" applyBorder="1" applyAlignment="1">
      <alignment horizontal="left" vertical="center" wrapText="1"/>
    </xf>
    <xf numFmtId="0" fontId="24" fillId="0" borderId="11" xfId="7" applyFont="1" applyBorder="1" applyAlignment="1">
      <alignment horizontal="left" vertical="center" wrapText="1"/>
    </xf>
    <xf numFmtId="0" fontId="24" fillId="0" borderId="10" xfId="7" applyFont="1" applyBorder="1" applyAlignment="1">
      <alignment horizontal="left" vertical="center" wrapText="1"/>
    </xf>
    <xf numFmtId="0" fontId="26" fillId="0" borderId="9" xfId="0" applyFont="1" applyBorder="1" applyAlignment="1">
      <alignment horizontal="center" vertical="center"/>
    </xf>
    <xf numFmtId="0" fontId="26" fillId="0" borderId="11" xfId="0" applyFont="1" applyBorder="1" applyAlignment="1">
      <alignment horizontal="center" vertical="center"/>
    </xf>
    <xf numFmtId="0" fontId="26" fillId="0" borderId="10" xfId="0" applyFont="1" applyBorder="1" applyAlignment="1">
      <alignment horizontal="center" vertical="center"/>
    </xf>
    <xf numFmtId="0" fontId="25" fillId="0" borderId="9" xfId="7" applyFont="1" applyBorder="1" applyAlignment="1">
      <alignment horizontal="center" vertical="center" wrapText="1"/>
    </xf>
    <xf numFmtId="0" fontId="25" fillId="0" borderId="10" xfId="7" applyFont="1" applyBorder="1" applyAlignment="1">
      <alignment horizontal="center" vertical="center" wrapText="1"/>
    </xf>
    <xf numFmtId="0" fontId="24" fillId="0" borderId="9" xfId="5" applyNumberFormat="1" applyFont="1" applyFill="1" applyBorder="1" applyAlignment="1">
      <alignment horizontal="center" vertical="center"/>
    </xf>
    <xf numFmtId="0" fontId="24" fillId="0" borderId="10" xfId="5" applyNumberFormat="1" applyFont="1" applyFill="1" applyBorder="1" applyAlignment="1">
      <alignment horizontal="center" vertical="center"/>
    </xf>
    <xf numFmtId="0" fontId="5" fillId="0" borderId="14" xfId="0" applyFont="1" applyBorder="1" applyAlignment="1">
      <alignment horizontal="center" vertical="center" wrapText="1" readingOrder="1"/>
    </xf>
    <xf numFmtId="0" fontId="5" fillId="0" borderId="15" xfId="0" applyFont="1" applyBorder="1" applyAlignment="1">
      <alignment horizontal="center" vertical="center" wrapText="1" readingOrder="1"/>
    </xf>
    <xf numFmtId="0" fontId="5" fillId="0" borderId="16" xfId="0" applyFont="1" applyBorder="1" applyAlignment="1">
      <alignment horizontal="center" vertical="center" wrapText="1" readingOrder="1"/>
    </xf>
    <xf numFmtId="0" fontId="28" fillId="0" borderId="17" xfId="14" applyFont="1" applyFill="1" applyBorder="1" applyAlignment="1">
      <alignment horizontal="left" vertical="top"/>
    </xf>
    <xf numFmtId="178" fontId="28" fillId="0" borderId="0" xfId="14" applyNumberFormat="1" applyFont="1" applyFill="1"/>
    <xf numFmtId="4" fontId="28" fillId="0" borderId="0" xfId="14" applyNumberFormat="1" applyFont="1" applyFill="1"/>
    <xf numFmtId="0" fontId="28" fillId="0" borderId="0" xfId="14" applyFont="1" applyFill="1"/>
    <xf numFmtId="0" fontId="31" fillId="0" borderId="0" xfId="14" applyFont="1" applyFill="1"/>
    <xf numFmtId="0" fontId="31" fillId="0" borderId="0" xfId="14" applyFont="1" applyFill="1" applyAlignment="1">
      <alignment horizontal="center"/>
    </xf>
    <xf numFmtId="0" fontId="31" fillId="0" borderId="17" xfId="14" applyFont="1" applyFill="1" applyBorder="1" applyAlignment="1">
      <alignment horizontal="center" vertical="top"/>
    </xf>
    <xf numFmtId="0" fontId="31" fillId="0" borderId="17" xfId="14" applyFont="1" applyFill="1" applyBorder="1" applyAlignment="1">
      <alignment horizontal="center" vertical="top" wrapText="1"/>
    </xf>
    <xf numFmtId="0" fontId="28" fillId="0" borderId="17" xfId="14" applyFont="1" applyFill="1" applyBorder="1" applyAlignment="1">
      <alignment horizontal="center" vertical="top"/>
    </xf>
    <xf numFmtId="174" fontId="16" fillId="0" borderId="13" xfId="12" applyNumberFormat="1" applyFont="1" applyFill="1" applyBorder="1" applyAlignment="1">
      <alignment horizontal="right" vertical="center" wrapText="1" readingOrder="1"/>
    </xf>
    <xf numFmtId="2" fontId="16" fillId="0" borderId="13" xfId="12" applyNumberFormat="1" applyFont="1" applyFill="1" applyBorder="1" applyAlignment="1">
      <alignment horizontal="right" vertical="center" wrapText="1" readingOrder="1"/>
    </xf>
    <xf numFmtId="2" fontId="28" fillId="0" borderId="17" xfId="14" applyNumberFormat="1" applyFont="1" applyFill="1" applyBorder="1" applyAlignment="1">
      <alignment horizontal="right" vertical="top" wrapText="1"/>
    </xf>
    <xf numFmtId="0" fontId="16" fillId="0" borderId="17" xfId="14" applyFont="1" applyFill="1" applyBorder="1" applyAlignment="1">
      <alignment horizontal="left" vertical="center" readingOrder="1"/>
    </xf>
    <xf numFmtId="0" fontId="16" fillId="0" borderId="8" xfId="14" applyFont="1" applyFill="1" applyBorder="1" applyAlignment="1">
      <alignment horizontal="left" vertical="center" readingOrder="1"/>
    </xf>
    <xf numFmtId="176" fontId="16" fillId="0" borderId="13" xfId="12" applyNumberFormat="1" applyFont="1" applyFill="1" applyBorder="1" applyAlignment="1">
      <alignment horizontal="right" vertical="center" wrapText="1" readingOrder="1"/>
    </xf>
    <xf numFmtId="177" fontId="28" fillId="0" borderId="17" xfId="14" applyNumberFormat="1" applyFont="1" applyFill="1" applyBorder="1" applyAlignment="1">
      <alignment horizontal="right" vertical="top" wrapText="1"/>
    </xf>
    <xf numFmtId="0" fontId="16" fillId="0" borderId="13" xfId="14" applyFont="1" applyFill="1" applyBorder="1" applyAlignment="1">
      <alignment horizontal="left" vertical="center" readingOrder="1"/>
    </xf>
    <xf numFmtId="174" fontId="16" fillId="0" borderId="13" xfId="14" applyNumberFormat="1" applyFont="1" applyFill="1" applyBorder="1" applyAlignment="1">
      <alignment horizontal="right" vertical="center" readingOrder="1"/>
    </xf>
    <xf numFmtId="176" fontId="16" fillId="0" borderId="13" xfId="14" applyNumberFormat="1" applyFont="1" applyFill="1" applyBorder="1" applyAlignment="1">
      <alignment horizontal="right" vertical="center" readingOrder="1"/>
    </xf>
    <xf numFmtId="4" fontId="16" fillId="0" borderId="13" xfId="14" applyNumberFormat="1" applyFont="1" applyFill="1" applyBorder="1" applyAlignment="1">
      <alignment horizontal="right" vertical="center" readingOrder="1"/>
    </xf>
    <xf numFmtId="0" fontId="16" fillId="0" borderId="13" xfId="14" applyFont="1" applyFill="1" applyBorder="1" applyAlignment="1">
      <alignment horizontal="left" vertical="center" wrapText="1" readingOrder="1"/>
    </xf>
    <xf numFmtId="174" fontId="16" fillId="0" borderId="13" xfId="14" applyNumberFormat="1" applyFont="1" applyFill="1" applyBorder="1" applyAlignment="1">
      <alignment horizontal="right" vertical="center" wrapText="1" readingOrder="1"/>
    </xf>
    <xf numFmtId="2" fontId="16" fillId="0" borderId="13" xfId="14" applyNumberFormat="1" applyFont="1" applyFill="1" applyBorder="1" applyAlignment="1">
      <alignment horizontal="right" vertical="center" wrapText="1" readingOrder="1"/>
    </xf>
    <xf numFmtId="2" fontId="28" fillId="0" borderId="0" xfId="14" applyNumberFormat="1" applyFont="1" applyFill="1" applyAlignment="1">
      <alignment horizontal="left" vertical="top"/>
    </xf>
    <xf numFmtId="174" fontId="16" fillId="0" borderId="18" xfId="14" applyNumberFormat="1" applyFont="1" applyFill="1" applyBorder="1" applyAlignment="1">
      <alignment horizontal="right" vertical="center" wrapText="1" readingOrder="1"/>
    </xf>
    <xf numFmtId="4" fontId="16" fillId="0" borderId="13" xfId="14" applyNumberFormat="1" applyFont="1" applyFill="1" applyBorder="1" applyAlignment="1">
      <alignment horizontal="right" vertical="center" wrapText="1" readingOrder="1"/>
    </xf>
    <xf numFmtId="2" fontId="28" fillId="0" borderId="19" xfId="14" applyNumberFormat="1" applyFont="1" applyFill="1" applyBorder="1" applyAlignment="1">
      <alignment horizontal="right" vertical="top" wrapText="1"/>
    </xf>
    <xf numFmtId="174" fontId="28" fillId="0" borderId="0" xfId="14" applyNumberFormat="1" applyFont="1" applyFill="1"/>
    <xf numFmtId="0" fontId="31" fillId="0" borderId="17" xfId="14" applyFont="1" applyFill="1" applyBorder="1" applyAlignment="1">
      <alignment horizontal="center"/>
    </xf>
    <xf numFmtId="2" fontId="28" fillId="0" borderId="17" xfId="14" applyNumberFormat="1" applyFont="1" applyFill="1" applyBorder="1" applyAlignment="1">
      <alignment horizontal="center"/>
    </xf>
    <xf numFmtId="0" fontId="28" fillId="0" borderId="17" xfId="14" applyFont="1" applyFill="1" applyBorder="1"/>
    <xf numFmtId="4" fontId="28" fillId="0" borderId="17" xfId="14" applyNumberFormat="1" applyFont="1" applyFill="1" applyBorder="1"/>
    <xf numFmtId="1" fontId="28" fillId="0" borderId="17" xfId="14" applyNumberFormat="1" applyFont="1" applyFill="1" applyBorder="1" applyAlignment="1">
      <alignment horizontal="center"/>
    </xf>
    <xf numFmtId="2" fontId="28" fillId="0" borderId="17" xfId="14" applyNumberFormat="1" applyFont="1" applyFill="1" applyBorder="1" applyAlignment="1">
      <alignment horizontal="right"/>
    </xf>
    <xf numFmtId="180" fontId="28" fillId="0" borderId="0" xfId="14" applyNumberFormat="1" applyFont="1" applyFill="1"/>
    <xf numFmtId="0" fontId="28" fillId="0" borderId="0" xfId="14" applyFont="1" applyFill="1" applyAlignment="1" applyProtection="1">
      <alignment horizontal="left"/>
      <protection locked="0"/>
    </xf>
    <xf numFmtId="0" fontId="28" fillId="0" borderId="0" xfId="14" applyFont="1" applyFill="1" applyAlignment="1">
      <alignment horizontal="center" vertical="top"/>
    </xf>
    <xf numFmtId="4" fontId="28" fillId="0" borderId="0" xfId="14" applyNumberFormat="1" applyFont="1" applyFill="1" applyAlignment="1">
      <alignment horizontal="right" vertical="center"/>
    </xf>
    <xf numFmtId="174" fontId="16" fillId="0" borderId="13" xfId="14" applyNumberFormat="1" applyFont="1" applyFill="1" applyBorder="1" applyAlignment="1">
      <alignment horizontal="center" vertical="center" readingOrder="1"/>
    </xf>
    <xf numFmtId="174" fontId="16" fillId="0" borderId="13" xfId="14" applyNumberFormat="1" applyFont="1" applyFill="1" applyBorder="1" applyAlignment="1">
      <alignment horizontal="center" vertical="center" wrapText="1" readingOrder="1"/>
    </xf>
    <xf numFmtId="0" fontId="28" fillId="0" borderId="0" xfId="14" applyFont="1" applyFill="1" applyAlignment="1">
      <alignment horizontal="left" vertical="top"/>
    </xf>
    <xf numFmtId="10" fontId="28" fillId="0" borderId="0" xfId="14" applyNumberFormat="1" applyFont="1" applyFill="1" applyAlignment="1">
      <alignment horizontal="center"/>
    </xf>
    <xf numFmtId="0" fontId="28" fillId="0" borderId="17" xfId="14" applyFont="1" applyFill="1" applyBorder="1" applyAlignment="1">
      <alignment horizontal="center"/>
    </xf>
    <xf numFmtId="43" fontId="28" fillId="0" borderId="0" xfId="14" applyNumberFormat="1" applyFont="1" applyFill="1"/>
    <xf numFmtId="0" fontId="28" fillId="0" borderId="17" xfId="14" applyFont="1" applyFill="1" applyBorder="1" applyAlignment="1">
      <alignment horizontal="left" vertical="top" wrapText="1"/>
    </xf>
    <xf numFmtId="0" fontId="31" fillId="0" borderId="0" xfId="14" applyFont="1" applyFill="1" applyAlignment="1">
      <alignment vertical="top" wrapText="1"/>
    </xf>
    <xf numFmtId="0" fontId="28" fillId="0" borderId="0" xfId="14" applyFont="1" applyFill="1" applyAlignment="1">
      <alignment horizontal="center"/>
    </xf>
    <xf numFmtId="2" fontId="28" fillId="0" borderId="0" xfId="14" applyNumberFormat="1" applyFont="1" applyFill="1" applyAlignment="1">
      <alignment horizontal="right"/>
    </xf>
    <xf numFmtId="0" fontId="28" fillId="0" borderId="0" xfId="14" applyFont="1" applyFill="1" applyAlignment="1">
      <alignment horizontal="right" vertical="top" wrapText="1"/>
    </xf>
    <xf numFmtId="0" fontId="28" fillId="0" borderId="17" xfId="14" applyFont="1" applyFill="1" applyBorder="1" applyAlignment="1">
      <alignment horizontal="center" vertical="top" wrapText="1"/>
    </xf>
    <xf numFmtId="181" fontId="28" fillId="0" borderId="0" xfId="14" applyNumberFormat="1" applyFont="1" applyFill="1" applyAlignment="1">
      <alignment horizontal="right" vertical="top" wrapText="1"/>
    </xf>
    <xf numFmtId="2" fontId="28" fillId="0" borderId="0" xfId="14" applyNumberFormat="1" applyFont="1" applyFill="1" applyAlignment="1">
      <alignment horizontal="center"/>
    </xf>
    <xf numFmtId="0" fontId="28" fillId="0" borderId="17" xfId="14" applyFont="1" applyFill="1" applyBorder="1" applyAlignment="1">
      <alignment horizontal="left"/>
    </xf>
    <xf numFmtId="2" fontId="28" fillId="0" borderId="17" xfId="14" applyNumberFormat="1" applyFont="1" applyFill="1" applyBorder="1" applyAlignment="1">
      <alignment horizontal="center" vertical="top" wrapText="1"/>
    </xf>
    <xf numFmtId="0" fontId="28" fillId="0" borderId="0" xfId="14" applyFont="1" applyFill="1" applyAlignment="1">
      <alignment horizontal="left"/>
    </xf>
    <xf numFmtId="0" fontId="28" fillId="0" borderId="0" xfId="14" applyFont="1" applyFill="1" applyAlignment="1">
      <alignment horizontal="right" vertical="top"/>
    </xf>
    <xf numFmtId="2" fontId="28" fillId="0" borderId="0" xfId="14" applyNumberFormat="1" applyFont="1" applyFill="1" applyAlignment="1">
      <alignment horizontal="right" vertical="top"/>
    </xf>
    <xf numFmtId="0" fontId="28" fillId="0" borderId="0" xfId="14" applyFont="1" applyFill="1" applyAlignment="1">
      <alignment horizontal="left" vertical="top" wrapText="1"/>
    </xf>
    <xf numFmtId="2" fontId="28" fillId="0" borderId="0" xfId="14" applyNumberFormat="1" applyFont="1" applyFill="1"/>
    <xf numFmtId="0" fontId="28" fillId="0" borderId="17" xfId="14" applyFont="1" applyFill="1" applyBorder="1" applyAlignment="1">
      <alignment vertical="top" wrapText="1"/>
    </xf>
    <xf numFmtId="2" fontId="28" fillId="0" borderId="17" xfId="14" applyNumberFormat="1" applyFont="1" applyFill="1" applyBorder="1" applyAlignment="1">
      <alignment vertical="top" wrapText="1"/>
    </xf>
    <xf numFmtId="4" fontId="28" fillId="0" borderId="17" xfId="14" applyNumberFormat="1" applyFont="1" applyFill="1" applyBorder="1" applyAlignment="1">
      <alignment horizontal="center"/>
    </xf>
    <xf numFmtId="4" fontId="31" fillId="0" borderId="17" xfId="14" applyNumberFormat="1" applyFont="1" applyFill="1" applyBorder="1" applyAlignment="1">
      <alignment horizontal="center" vertical="top" wrapText="1"/>
    </xf>
    <xf numFmtId="4" fontId="28" fillId="0" borderId="17" xfId="14" applyNumberFormat="1" applyFont="1" applyFill="1" applyBorder="1" applyAlignment="1">
      <alignment horizontal="center" vertical="top" wrapText="1"/>
    </xf>
  </cellXfs>
  <cellStyles count="15">
    <cellStyle name="Comma" xfId="5" builtinId="3"/>
    <cellStyle name="Comma 2" xfId="9" xr:uid="{D68F39C1-1609-41BD-9B7D-8BAFECB3D05A}"/>
    <cellStyle name="Comma 3" xfId="13" xr:uid="{57421E91-4CB3-4F12-B5ED-43EC475FF502}"/>
    <cellStyle name="Hyperlink" xfId="10" builtinId="8"/>
    <cellStyle name="Hyperlink 2" xfId="3" xr:uid="{CAAE3695-DC49-43DF-93F2-35972A7265DB}"/>
    <cellStyle name="Normal" xfId="0" builtinId="0"/>
    <cellStyle name="Normal 2" xfId="2" xr:uid="{BB9F20DD-93A5-40D2-A465-AC1980E4EEB6}"/>
    <cellStyle name="Normal 2 2" xfId="8" xr:uid="{12A0D3F8-DBF2-407C-AC39-589BCE2DBCD4}"/>
    <cellStyle name="Normal 2 2 3 2" xfId="7" xr:uid="{217B49FF-14B5-4F91-96D7-FFDE7C6941F1}"/>
    <cellStyle name="Normal 2 2 3 2 2" xfId="1" xr:uid="{5096D9E0-4009-4FD2-BD28-56B9253A8D74}"/>
    <cellStyle name="Normal 2 3" xfId="12" xr:uid="{3E381A25-B0A2-429A-8F33-F046F2D345BD}"/>
    <cellStyle name="Normal 3" xfId="4" xr:uid="{DA759131-78FA-4BB8-8EC0-2BEA1DCD7AA6}"/>
    <cellStyle name="Normal 4" xfId="11" xr:uid="{8DEDD982-72F5-4E54-BDF0-697784A5B443}"/>
    <cellStyle name="Normal 5" xfId="14" xr:uid="{63BB3033-825F-4B3B-ADD6-8866D7916276}"/>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9</xdr:col>
      <xdr:colOff>66675</xdr:colOff>
      <xdr:row>2</xdr:row>
      <xdr:rowOff>123825</xdr:rowOff>
    </xdr:from>
    <xdr:to>
      <xdr:col>9</xdr:col>
      <xdr:colOff>3350617</xdr:colOff>
      <xdr:row>11</xdr:row>
      <xdr:rowOff>111125</xdr:rowOff>
    </xdr:to>
    <xdr:pic>
      <xdr:nvPicPr>
        <xdr:cNvPr id="4" name="Picture 3">
          <a:extLst>
            <a:ext uri="{FF2B5EF4-FFF2-40B4-BE49-F238E27FC236}">
              <a16:creationId xmlns:a16="http://schemas.microsoft.com/office/drawing/2014/main" id="{081AB1F4-3DC9-464A-A25C-88F35E92FE73}"/>
            </a:ext>
          </a:extLst>
        </xdr:cNvPr>
        <xdr:cNvPicPr>
          <a:picLocks noChangeAspect="1"/>
        </xdr:cNvPicPr>
      </xdr:nvPicPr>
      <xdr:blipFill>
        <a:blip xmlns:r="http://schemas.openxmlformats.org/officeDocument/2006/relationships" r:embed="rId1"/>
        <a:stretch>
          <a:fillRect/>
        </a:stretch>
      </xdr:blipFill>
      <xdr:spPr>
        <a:xfrm>
          <a:off x="8810625" y="504825"/>
          <a:ext cx="3283942" cy="1892300"/>
        </a:xfrm>
        <a:prstGeom prst="rect">
          <a:avLst/>
        </a:prstGeom>
      </xdr:spPr>
    </xdr:pic>
    <xdr:clientData/>
  </xdr:twoCellAnchor>
  <xdr:twoCellAnchor editAs="oneCell">
    <xdr:from>
      <xdr:col>9</xdr:col>
      <xdr:colOff>47625</xdr:colOff>
      <xdr:row>15</xdr:row>
      <xdr:rowOff>104775</xdr:rowOff>
    </xdr:from>
    <xdr:to>
      <xdr:col>9</xdr:col>
      <xdr:colOff>3371850</xdr:colOff>
      <xdr:row>26</xdr:row>
      <xdr:rowOff>76200</xdr:rowOff>
    </xdr:to>
    <xdr:pic>
      <xdr:nvPicPr>
        <xdr:cNvPr id="5" name="Picture 4">
          <a:extLst>
            <a:ext uri="{FF2B5EF4-FFF2-40B4-BE49-F238E27FC236}">
              <a16:creationId xmlns:a16="http://schemas.microsoft.com/office/drawing/2014/main" id="{C14504F5-91D0-493C-88F2-812C29BBDB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91575" y="3028950"/>
          <a:ext cx="3324225"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104775</xdr:colOff>
      <xdr:row>2</xdr:row>
      <xdr:rowOff>104775</xdr:rowOff>
    </xdr:from>
    <xdr:to>
      <xdr:col>9</xdr:col>
      <xdr:colOff>3346448</xdr:colOff>
      <xdr:row>13</xdr:row>
      <xdr:rowOff>60325</xdr:rowOff>
    </xdr:to>
    <xdr:pic>
      <xdr:nvPicPr>
        <xdr:cNvPr id="2" name="Picture 1">
          <a:extLst>
            <a:ext uri="{FF2B5EF4-FFF2-40B4-BE49-F238E27FC236}">
              <a16:creationId xmlns:a16="http://schemas.microsoft.com/office/drawing/2014/main" id="{471BD5E0-60B9-4104-8749-0A95B5904BA6}"/>
            </a:ext>
          </a:extLst>
        </xdr:cNvPr>
        <xdr:cNvPicPr>
          <a:picLocks noChangeAspect="1"/>
        </xdr:cNvPicPr>
      </xdr:nvPicPr>
      <xdr:blipFill>
        <a:blip xmlns:r="http://schemas.openxmlformats.org/officeDocument/2006/relationships" r:embed="rId1"/>
        <a:stretch>
          <a:fillRect/>
        </a:stretch>
      </xdr:blipFill>
      <xdr:spPr>
        <a:xfrm>
          <a:off x="8629650" y="485775"/>
          <a:ext cx="3241673" cy="2051050"/>
        </a:xfrm>
        <a:prstGeom prst="rect">
          <a:avLst/>
        </a:prstGeom>
      </xdr:spPr>
    </xdr:pic>
    <xdr:clientData/>
  </xdr:twoCellAnchor>
  <xdr:twoCellAnchor editAs="oneCell">
    <xdr:from>
      <xdr:col>9</xdr:col>
      <xdr:colOff>57150</xdr:colOff>
      <xdr:row>17</xdr:row>
      <xdr:rowOff>9525</xdr:rowOff>
    </xdr:from>
    <xdr:to>
      <xdr:col>9</xdr:col>
      <xdr:colOff>3324225</xdr:colOff>
      <xdr:row>28</xdr:row>
      <xdr:rowOff>104775</xdr:rowOff>
    </xdr:to>
    <xdr:pic>
      <xdr:nvPicPr>
        <xdr:cNvPr id="3" name="Picture 2">
          <a:extLst>
            <a:ext uri="{FF2B5EF4-FFF2-40B4-BE49-F238E27FC236}">
              <a16:creationId xmlns:a16="http://schemas.microsoft.com/office/drawing/2014/main" id="{9A1FB118-8B44-44DB-BBE5-0FB53E239A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82025" y="3095625"/>
          <a:ext cx="3267075"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28574</xdr:colOff>
      <xdr:row>2</xdr:row>
      <xdr:rowOff>66675</xdr:rowOff>
    </xdr:from>
    <xdr:to>
      <xdr:col>9</xdr:col>
      <xdr:colOff>3333749</xdr:colOff>
      <xdr:row>12</xdr:row>
      <xdr:rowOff>9525</xdr:rowOff>
    </xdr:to>
    <xdr:pic>
      <xdr:nvPicPr>
        <xdr:cNvPr id="2" name="Picture 1">
          <a:extLst>
            <a:ext uri="{FF2B5EF4-FFF2-40B4-BE49-F238E27FC236}">
              <a16:creationId xmlns:a16="http://schemas.microsoft.com/office/drawing/2014/main" id="{60D2585F-4304-4B4A-AA80-8B329BC82E63}"/>
            </a:ext>
          </a:extLst>
        </xdr:cNvPr>
        <xdr:cNvPicPr>
          <a:picLocks noChangeAspect="1"/>
        </xdr:cNvPicPr>
      </xdr:nvPicPr>
      <xdr:blipFill>
        <a:blip xmlns:r="http://schemas.openxmlformats.org/officeDocument/2006/relationships" r:embed="rId1"/>
        <a:stretch>
          <a:fillRect/>
        </a:stretch>
      </xdr:blipFill>
      <xdr:spPr>
        <a:xfrm>
          <a:off x="8839199" y="447675"/>
          <a:ext cx="3305175" cy="1876425"/>
        </a:xfrm>
        <a:prstGeom prst="rect">
          <a:avLst/>
        </a:prstGeom>
      </xdr:spPr>
    </xdr:pic>
    <xdr:clientData/>
  </xdr:twoCellAnchor>
  <xdr:twoCellAnchor editAs="oneCell">
    <xdr:from>
      <xdr:col>9</xdr:col>
      <xdr:colOff>47625</xdr:colOff>
      <xdr:row>14</xdr:row>
      <xdr:rowOff>104775</xdr:rowOff>
    </xdr:from>
    <xdr:to>
      <xdr:col>9</xdr:col>
      <xdr:colOff>3314700</xdr:colOff>
      <xdr:row>22</xdr:row>
      <xdr:rowOff>142875</xdr:rowOff>
    </xdr:to>
    <xdr:pic>
      <xdr:nvPicPr>
        <xdr:cNvPr id="3" name="Picture 2">
          <a:extLst>
            <a:ext uri="{FF2B5EF4-FFF2-40B4-BE49-F238E27FC236}">
              <a16:creationId xmlns:a16="http://schemas.microsoft.com/office/drawing/2014/main" id="{B08FF93A-99E0-4C44-9FD4-4AF96EA4CF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58250" y="2838450"/>
          <a:ext cx="326707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25</xdr:row>
      <xdr:rowOff>57151</xdr:rowOff>
    </xdr:from>
    <xdr:to>
      <xdr:col>9</xdr:col>
      <xdr:colOff>3314701</xdr:colOff>
      <xdr:row>31</xdr:row>
      <xdr:rowOff>304800</xdr:rowOff>
    </xdr:to>
    <xdr:pic>
      <xdr:nvPicPr>
        <xdr:cNvPr id="4" name="Picture 3">
          <a:extLst>
            <a:ext uri="{FF2B5EF4-FFF2-40B4-BE49-F238E27FC236}">
              <a16:creationId xmlns:a16="http://schemas.microsoft.com/office/drawing/2014/main" id="{395CBA00-BE3C-405B-AE1E-0BB3DEF717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67776" y="4924426"/>
          <a:ext cx="3257550" cy="1543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38100</xdr:colOff>
      <xdr:row>2</xdr:row>
      <xdr:rowOff>104775</xdr:rowOff>
    </xdr:from>
    <xdr:to>
      <xdr:col>9</xdr:col>
      <xdr:colOff>3324225</xdr:colOff>
      <xdr:row>13</xdr:row>
      <xdr:rowOff>34925</xdr:rowOff>
    </xdr:to>
    <xdr:pic>
      <xdr:nvPicPr>
        <xdr:cNvPr id="2" name="Picture 1">
          <a:extLst>
            <a:ext uri="{FF2B5EF4-FFF2-40B4-BE49-F238E27FC236}">
              <a16:creationId xmlns:a16="http://schemas.microsoft.com/office/drawing/2014/main" id="{6948FDDD-6703-4BDF-AD93-F8B3DC175E3F}"/>
            </a:ext>
          </a:extLst>
        </xdr:cNvPr>
        <xdr:cNvPicPr>
          <a:picLocks noChangeAspect="1"/>
        </xdr:cNvPicPr>
      </xdr:nvPicPr>
      <xdr:blipFill>
        <a:blip xmlns:r="http://schemas.openxmlformats.org/officeDocument/2006/relationships" r:embed="rId1"/>
        <a:stretch>
          <a:fillRect/>
        </a:stretch>
      </xdr:blipFill>
      <xdr:spPr>
        <a:xfrm>
          <a:off x="8848725" y="485775"/>
          <a:ext cx="3286125" cy="2025650"/>
        </a:xfrm>
        <a:prstGeom prst="rect">
          <a:avLst/>
        </a:prstGeom>
      </xdr:spPr>
    </xdr:pic>
    <xdr:clientData/>
  </xdr:twoCellAnchor>
  <xdr:twoCellAnchor editAs="oneCell">
    <xdr:from>
      <xdr:col>9</xdr:col>
      <xdr:colOff>47626</xdr:colOff>
      <xdr:row>14</xdr:row>
      <xdr:rowOff>114300</xdr:rowOff>
    </xdr:from>
    <xdr:to>
      <xdr:col>9</xdr:col>
      <xdr:colOff>3352800</xdr:colOff>
      <xdr:row>24</xdr:row>
      <xdr:rowOff>57150</xdr:rowOff>
    </xdr:to>
    <xdr:pic>
      <xdr:nvPicPr>
        <xdr:cNvPr id="3" name="Picture 2">
          <a:extLst>
            <a:ext uri="{FF2B5EF4-FFF2-40B4-BE49-F238E27FC236}">
              <a16:creationId xmlns:a16="http://schemas.microsoft.com/office/drawing/2014/main" id="{50340E33-BCC4-4576-8ECC-B0F5D27587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58251" y="2876550"/>
          <a:ext cx="3305174"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38100</xdr:colOff>
      <xdr:row>28</xdr:row>
      <xdr:rowOff>0</xdr:rowOff>
    </xdr:from>
    <xdr:ext cx="3273721" cy="1809750"/>
    <xdr:pic>
      <xdr:nvPicPr>
        <xdr:cNvPr id="4" name="Picture 3">
          <a:extLst>
            <a:ext uri="{FF2B5EF4-FFF2-40B4-BE49-F238E27FC236}">
              <a16:creationId xmlns:a16="http://schemas.microsoft.com/office/drawing/2014/main" id="{3BD9404C-5F69-4CC2-B603-4CCA87815B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48725" y="5219700"/>
          <a:ext cx="3273721"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9</xdr:col>
      <xdr:colOff>47624</xdr:colOff>
      <xdr:row>2</xdr:row>
      <xdr:rowOff>66675</xdr:rowOff>
    </xdr:from>
    <xdr:to>
      <xdr:col>9</xdr:col>
      <xdr:colOff>3352799</xdr:colOff>
      <xdr:row>12</xdr:row>
      <xdr:rowOff>47625</xdr:rowOff>
    </xdr:to>
    <xdr:pic>
      <xdr:nvPicPr>
        <xdr:cNvPr id="2" name="Picture 1">
          <a:extLst>
            <a:ext uri="{FF2B5EF4-FFF2-40B4-BE49-F238E27FC236}">
              <a16:creationId xmlns:a16="http://schemas.microsoft.com/office/drawing/2014/main" id="{B02699FC-AEDA-456F-A05A-1D8194FBF7D8}"/>
            </a:ext>
          </a:extLst>
        </xdr:cNvPr>
        <xdr:cNvPicPr>
          <a:picLocks noChangeAspect="1"/>
        </xdr:cNvPicPr>
      </xdr:nvPicPr>
      <xdr:blipFill>
        <a:blip xmlns:r="http://schemas.openxmlformats.org/officeDocument/2006/relationships" r:embed="rId1"/>
        <a:stretch>
          <a:fillRect/>
        </a:stretch>
      </xdr:blipFill>
      <xdr:spPr>
        <a:xfrm>
          <a:off x="8667749" y="447675"/>
          <a:ext cx="3305175" cy="1914525"/>
        </a:xfrm>
        <a:prstGeom prst="rect">
          <a:avLst/>
        </a:prstGeom>
      </xdr:spPr>
    </xdr:pic>
    <xdr:clientData/>
  </xdr:twoCellAnchor>
  <xdr:twoCellAnchor editAs="oneCell">
    <xdr:from>
      <xdr:col>9</xdr:col>
      <xdr:colOff>38099</xdr:colOff>
      <xdr:row>17</xdr:row>
      <xdr:rowOff>123826</xdr:rowOff>
    </xdr:from>
    <xdr:to>
      <xdr:col>9</xdr:col>
      <xdr:colOff>3343274</xdr:colOff>
      <xdr:row>25</xdr:row>
      <xdr:rowOff>95250</xdr:rowOff>
    </xdr:to>
    <xdr:pic>
      <xdr:nvPicPr>
        <xdr:cNvPr id="3" name="Picture 2">
          <a:extLst>
            <a:ext uri="{FF2B5EF4-FFF2-40B4-BE49-F238E27FC236}">
              <a16:creationId xmlns:a16="http://schemas.microsoft.com/office/drawing/2014/main" id="{FC06B2BF-096A-4958-8DEE-84B365D0A1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58224" y="3209926"/>
          <a:ext cx="3305175"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47625</xdr:colOff>
      <xdr:row>2</xdr:row>
      <xdr:rowOff>104775</xdr:rowOff>
    </xdr:from>
    <xdr:to>
      <xdr:col>9</xdr:col>
      <xdr:colOff>3331567</xdr:colOff>
      <xdr:row>12</xdr:row>
      <xdr:rowOff>92075</xdr:rowOff>
    </xdr:to>
    <xdr:pic>
      <xdr:nvPicPr>
        <xdr:cNvPr id="2" name="Picture 1">
          <a:extLst>
            <a:ext uri="{FF2B5EF4-FFF2-40B4-BE49-F238E27FC236}">
              <a16:creationId xmlns:a16="http://schemas.microsoft.com/office/drawing/2014/main" id="{B9D6EA22-D1D1-48BD-9C39-34E2CBDF799A}"/>
            </a:ext>
          </a:extLst>
        </xdr:cNvPr>
        <xdr:cNvPicPr>
          <a:picLocks noChangeAspect="1"/>
        </xdr:cNvPicPr>
      </xdr:nvPicPr>
      <xdr:blipFill>
        <a:blip xmlns:r="http://schemas.openxmlformats.org/officeDocument/2006/relationships" r:embed="rId1"/>
        <a:stretch>
          <a:fillRect/>
        </a:stretch>
      </xdr:blipFill>
      <xdr:spPr>
        <a:xfrm>
          <a:off x="8124825" y="485775"/>
          <a:ext cx="3283942" cy="1920875"/>
        </a:xfrm>
        <a:prstGeom prst="rect">
          <a:avLst/>
        </a:prstGeom>
      </xdr:spPr>
    </xdr:pic>
    <xdr:clientData/>
  </xdr:twoCellAnchor>
  <xdr:twoCellAnchor editAs="oneCell">
    <xdr:from>
      <xdr:col>9</xdr:col>
      <xdr:colOff>57150</xdr:colOff>
      <xdr:row>15</xdr:row>
      <xdr:rowOff>66673</xdr:rowOff>
    </xdr:from>
    <xdr:to>
      <xdr:col>9</xdr:col>
      <xdr:colOff>3333750</xdr:colOff>
      <xdr:row>23</xdr:row>
      <xdr:rowOff>295274</xdr:rowOff>
    </xdr:to>
    <xdr:pic>
      <xdr:nvPicPr>
        <xdr:cNvPr id="3" name="Picture 2">
          <a:extLst>
            <a:ext uri="{FF2B5EF4-FFF2-40B4-BE49-F238E27FC236}">
              <a16:creationId xmlns:a16="http://schemas.microsoft.com/office/drawing/2014/main" id="{7303BBA8-08C3-40B8-8965-74955EDBAA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134350" y="2828923"/>
          <a:ext cx="3276600" cy="1847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38100</xdr:colOff>
      <xdr:row>2</xdr:row>
      <xdr:rowOff>114301</xdr:rowOff>
    </xdr:from>
    <xdr:to>
      <xdr:col>9</xdr:col>
      <xdr:colOff>3322042</xdr:colOff>
      <xdr:row>13</xdr:row>
      <xdr:rowOff>63500</xdr:rowOff>
    </xdr:to>
    <xdr:pic>
      <xdr:nvPicPr>
        <xdr:cNvPr id="2" name="Picture 1">
          <a:extLst>
            <a:ext uri="{FF2B5EF4-FFF2-40B4-BE49-F238E27FC236}">
              <a16:creationId xmlns:a16="http://schemas.microsoft.com/office/drawing/2014/main" id="{6A1656F9-9505-4888-9B10-F30E49349A73}"/>
            </a:ext>
          </a:extLst>
        </xdr:cNvPr>
        <xdr:cNvPicPr>
          <a:picLocks noChangeAspect="1"/>
        </xdr:cNvPicPr>
      </xdr:nvPicPr>
      <xdr:blipFill>
        <a:blip xmlns:r="http://schemas.openxmlformats.org/officeDocument/2006/relationships" r:embed="rId1"/>
        <a:stretch>
          <a:fillRect/>
        </a:stretch>
      </xdr:blipFill>
      <xdr:spPr>
        <a:xfrm>
          <a:off x="8667750" y="495301"/>
          <a:ext cx="3283942" cy="2044699"/>
        </a:xfrm>
        <a:prstGeom prst="rect">
          <a:avLst/>
        </a:prstGeom>
      </xdr:spPr>
    </xdr:pic>
    <xdr:clientData/>
  </xdr:twoCellAnchor>
  <xdr:twoCellAnchor editAs="oneCell">
    <xdr:from>
      <xdr:col>9</xdr:col>
      <xdr:colOff>95250</xdr:colOff>
      <xdr:row>16</xdr:row>
      <xdr:rowOff>123824</xdr:rowOff>
    </xdr:from>
    <xdr:to>
      <xdr:col>9</xdr:col>
      <xdr:colOff>3343275</xdr:colOff>
      <xdr:row>25</xdr:row>
      <xdr:rowOff>9525</xdr:rowOff>
    </xdr:to>
    <xdr:pic>
      <xdr:nvPicPr>
        <xdr:cNvPr id="3" name="Picture 2">
          <a:extLst>
            <a:ext uri="{FF2B5EF4-FFF2-40B4-BE49-F238E27FC236}">
              <a16:creationId xmlns:a16="http://schemas.microsoft.com/office/drawing/2014/main" id="{B38F8D8A-BE44-43E3-939C-8EA0E40921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24900" y="3209924"/>
          <a:ext cx="3248025" cy="1857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47625</xdr:colOff>
      <xdr:row>2</xdr:row>
      <xdr:rowOff>76200</xdr:rowOff>
    </xdr:from>
    <xdr:to>
      <xdr:col>9</xdr:col>
      <xdr:colOff>3331567</xdr:colOff>
      <xdr:row>13</xdr:row>
      <xdr:rowOff>25400</xdr:rowOff>
    </xdr:to>
    <xdr:pic>
      <xdr:nvPicPr>
        <xdr:cNvPr id="2" name="Picture 1">
          <a:extLst>
            <a:ext uri="{FF2B5EF4-FFF2-40B4-BE49-F238E27FC236}">
              <a16:creationId xmlns:a16="http://schemas.microsoft.com/office/drawing/2014/main" id="{68E07D72-3A15-4C93-9C05-25EFA2869482}"/>
            </a:ext>
          </a:extLst>
        </xdr:cNvPr>
        <xdr:cNvPicPr>
          <a:picLocks noChangeAspect="1"/>
        </xdr:cNvPicPr>
      </xdr:nvPicPr>
      <xdr:blipFill>
        <a:blip xmlns:r="http://schemas.openxmlformats.org/officeDocument/2006/relationships" r:embed="rId1"/>
        <a:stretch>
          <a:fillRect/>
        </a:stretch>
      </xdr:blipFill>
      <xdr:spPr>
        <a:xfrm>
          <a:off x="8705850" y="457200"/>
          <a:ext cx="3283942" cy="2044700"/>
        </a:xfrm>
        <a:prstGeom prst="rect">
          <a:avLst/>
        </a:prstGeom>
      </xdr:spPr>
    </xdr:pic>
    <xdr:clientData/>
  </xdr:twoCellAnchor>
  <xdr:twoCellAnchor editAs="oneCell">
    <xdr:from>
      <xdr:col>9</xdr:col>
      <xdr:colOff>85725</xdr:colOff>
      <xdr:row>15</xdr:row>
      <xdr:rowOff>295274</xdr:rowOff>
    </xdr:from>
    <xdr:to>
      <xdr:col>9</xdr:col>
      <xdr:colOff>3324225</xdr:colOff>
      <xdr:row>26</xdr:row>
      <xdr:rowOff>28574</xdr:rowOff>
    </xdr:to>
    <xdr:pic>
      <xdr:nvPicPr>
        <xdr:cNvPr id="3" name="Picture 2">
          <a:extLst>
            <a:ext uri="{FF2B5EF4-FFF2-40B4-BE49-F238E27FC236}">
              <a16:creationId xmlns:a16="http://schemas.microsoft.com/office/drawing/2014/main" id="{3F8D3AC1-731B-46F6-865A-ED615EE886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43950" y="3086099"/>
          <a:ext cx="323850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57150</xdr:colOff>
      <xdr:row>2</xdr:row>
      <xdr:rowOff>38100</xdr:rowOff>
    </xdr:from>
    <xdr:to>
      <xdr:col>9</xdr:col>
      <xdr:colOff>3343275</xdr:colOff>
      <xdr:row>11</xdr:row>
      <xdr:rowOff>158750</xdr:rowOff>
    </xdr:to>
    <xdr:pic>
      <xdr:nvPicPr>
        <xdr:cNvPr id="2" name="Picture 1">
          <a:extLst>
            <a:ext uri="{FF2B5EF4-FFF2-40B4-BE49-F238E27FC236}">
              <a16:creationId xmlns:a16="http://schemas.microsoft.com/office/drawing/2014/main" id="{89582D11-987A-401D-BB36-42D21B0EA16B}"/>
            </a:ext>
          </a:extLst>
        </xdr:cNvPr>
        <xdr:cNvPicPr>
          <a:picLocks noChangeAspect="1"/>
        </xdr:cNvPicPr>
      </xdr:nvPicPr>
      <xdr:blipFill>
        <a:blip xmlns:r="http://schemas.openxmlformats.org/officeDocument/2006/relationships" r:embed="rId1"/>
        <a:stretch>
          <a:fillRect/>
        </a:stretch>
      </xdr:blipFill>
      <xdr:spPr>
        <a:xfrm>
          <a:off x="10001250" y="419100"/>
          <a:ext cx="3286125" cy="1863725"/>
        </a:xfrm>
        <a:prstGeom prst="rect">
          <a:avLst/>
        </a:prstGeom>
      </xdr:spPr>
    </xdr:pic>
    <xdr:clientData/>
  </xdr:twoCellAnchor>
  <xdr:twoCellAnchor editAs="oneCell">
    <xdr:from>
      <xdr:col>9</xdr:col>
      <xdr:colOff>38099</xdr:colOff>
      <xdr:row>15</xdr:row>
      <xdr:rowOff>19050</xdr:rowOff>
    </xdr:from>
    <xdr:to>
      <xdr:col>9</xdr:col>
      <xdr:colOff>3343275</xdr:colOff>
      <xdr:row>24</xdr:row>
      <xdr:rowOff>76199</xdr:rowOff>
    </xdr:to>
    <xdr:pic>
      <xdr:nvPicPr>
        <xdr:cNvPr id="3" name="Picture 2">
          <a:extLst>
            <a:ext uri="{FF2B5EF4-FFF2-40B4-BE49-F238E27FC236}">
              <a16:creationId xmlns:a16="http://schemas.microsoft.com/office/drawing/2014/main" id="{7E351140-7F8F-47D1-8A6D-84DB5F8906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82199" y="2943225"/>
          <a:ext cx="3305176" cy="1866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57150</xdr:colOff>
      <xdr:row>2</xdr:row>
      <xdr:rowOff>114300</xdr:rowOff>
    </xdr:from>
    <xdr:to>
      <xdr:col>9</xdr:col>
      <xdr:colOff>3352800</xdr:colOff>
      <xdr:row>12</xdr:row>
      <xdr:rowOff>44450</xdr:rowOff>
    </xdr:to>
    <xdr:pic>
      <xdr:nvPicPr>
        <xdr:cNvPr id="2" name="Picture 1">
          <a:extLst>
            <a:ext uri="{FF2B5EF4-FFF2-40B4-BE49-F238E27FC236}">
              <a16:creationId xmlns:a16="http://schemas.microsoft.com/office/drawing/2014/main" id="{15148A81-8502-483A-B176-E64F4A9D7E2B}"/>
            </a:ext>
          </a:extLst>
        </xdr:cNvPr>
        <xdr:cNvPicPr>
          <a:picLocks noChangeAspect="1"/>
        </xdr:cNvPicPr>
      </xdr:nvPicPr>
      <xdr:blipFill>
        <a:blip xmlns:r="http://schemas.openxmlformats.org/officeDocument/2006/relationships" r:embed="rId1"/>
        <a:stretch>
          <a:fillRect/>
        </a:stretch>
      </xdr:blipFill>
      <xdr:spPr>
        <a:xfrm>
          <a:off x="8677275" y="495300"/>
          <a:ext cx="3295650" cy="1863725"/>
        </a:xfrm>
        <a:prstGeom prst="rect">
          <a:avLst/>
        </a:prstGeom>
      </xdr:spPr>
    </xdr:pic>
    <xdr:clientData/>
  </xdr:twoCellAnchor>
  <xdr:twoCellAnchor editAs="oneCell">
    <xdr:from>
      <xdr:col>9</xdr:col>
      <xdr:colOff>28575</xdr:colOff>
      <xdr:row>14</xdr:row>
      <xdr:rowOff>38100</xdr:rowOff>
    </xdr:from>
    <xdr:to>
      <xdr:col>9</xdr:col>
      <xdr:colOff>3352800</xdr:colOff>
      <xdr:row>23</xdr:row>
      <xdr:rowOff>238125</xdr:rowOff>
    </xdr:to>
    <xdr:pic>
      <xdr:nvPicPr>
        <xdr:cNvPr id="3" name="Picture 2">
          <a:extLst>
            <a:ext uri="{FF2B5EF4-FFF2-40B4-BE49-F238E27FC236}">
              <a16:creationId xmlns:a16="http://schemas.microsoft.com/office/drawing/2014/main" id="{CAA5C17A-3A49-44B2-881F-81CF1796CD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48700" y="2638425"/>
          <a:ext cx="332422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47625</xdr:colOff>
      <xdr:row>2</xdr:row>
      <xdr:rowOff>142875</xdr:rowOff>
    </xdr:from>
    <xdr:to>
      <xdr:col>9</xdr:col>
      <xdr:colOff>3331567</xdr:colOff>
      <xdr:row>12</xdr:row>
      <xdr:rowOff>139700</xdr:rowOff>
    </xdr:to>
    <xdr:pic>
      <xdr:nvPicPr>
        <xdr:cNvPr id="2" name="Picture 1">
          <a:extLst>
            <a:ext uri="{FF2B5EF4-FFF2-40B4-BE49-F238E27FC236}">
              <a16:creationId xmlns:a16="http://schemas.microsoft.com/office/drawing/2014/main" id="{50EC033B-22D7-4710-8E98-BD69CDE07EE5}"/>
            </a:ext>
          </a:extLst>
        </xdr:cNvPr>
        <xdr:cNvPicPr>
          <a:picLocks noChangeAspect="1"/>
        </xdr:cNvPicPr>
      </xdr:nvPicPr>
      <xdr:blipFill>
        <a:blip xmlns:r="http://schemas.openxmlformats.org/officeDocument/2006/relationships" r:embed="rId1"/>
        <a:stretch>
          <a:fillRect/>
        </a:stretch>
      </xdr:blipFill>
      <xdr:spPr>
        <a:xfrm>
          <a:off x="8667750" y="523875"/>
          <a:ext cx="3283942" cy="1930400"/>
        </a:xfrm>
        <a:prstGeom prst="rect">
          <a:avLst/>
        </a:prstGeom>
      </xdr:spPr>
    </xdr:pic>
    <xdr:clientData/>
  </xdr:twoCellAnchor>
  <xdr:twoCellAnchor editAs="oneCell">
    <xdr:from>
      <xdr:col>9</xdr:col>
      <xdr:colOff>38100</xdr:colOff>
      <xdr:row>16</xdr:row>
      <xdr:rowOff>66674</xdr:rowOff>
    </xdr:from>
    <xdr:to>
      <xdr:col>9</xdr:col>
      <xdr:colOff>3343275</xdr:colOff>
      <xdr:row>25</xdr:row>
      <xdr:rowOff>57149</xdr:rowOff>
    </xdr:to>
    <xdr:pic>
      <xdr:nvPicPr>
        <xdr:cNvPr id="3" name="Picture 2">
          <a:extLst>
            <a:ext uri="{FF2B5EF4-FFF2-40B4-BE49-F238E27FC236}">
              <a16:creationId xmlns:a16="http://schemas.microsoft.com/office/drawing/2014/main" id="{2D21F4E0-439B-44E8-8A0B-DCB0703099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58225" y="2990849"/>
          <a:ext cx="3305175"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57150</xdr:colOff>
      <xdr:row>2</xdr:row>
      <xdr:rowOff>85725</xdr:rowOff>
    </xdr:from>
    <xdr:to>
      <xdr:col>9</xdr:col>
      <xdr:colOff>3324225</xdr:colOff>
      <xdr:row>12</xdr:row>
      <xdr:rowOff>15875</xdr:rowOff>
    </xdr:to>
    <xdr:pic>
      <xdr:nvPicPr>
        <xdr:cNvPr id="2" name="Picture 1">
          <a:extLst>
            <a:ext uri="{FF2B5EF4-FFF2-40B4-BE49-F238E27FC236}">
              <a16:creationId xmlns:a16="http://schemas.microsoft.com/office/drawing/2014/main" id="{1B674393-CE25-49B3-BDB8-AC1E80F68EF6}"/>
            </a:ext>
          </a:extLst>
        </xdr:cNvPr>
        <xdr:cNvPicPr>
          <a:picLocks noChangeAspect="1"/>
        </xdr:cNvPicPr>
      </xdr:nvPicPr>
      <xdr:blipFill>
        <a:blip xmlns:r="http://schemas.openxmlformats.org/officeDocument/2006/relationships" r:embed="rId1"/>
        <a:stretch>
          <a:fillRect/>
        </a:stretch>
      </xdr:blipFill>
      <xdr:spPr>
        <a:xfrm>
          <a:off x="8677275" y="466725"/>
          <a:ext cx="3267075" cy="1863725"/>
        </a:xfrm>
        <a:prstGeom prst="rect">
          <a:avLst/>
        </a:prstGeom>
      </xdr:spPr>
    </xdr:pic>
    <xdr:clientData/>
  </xdr:twoCellAnchor>
  <xdr:twoCellAnchor editAs="oneCell">
    <xdr:from>
      <xdr:col>9</xdr:col>
      <xdr:colOff>28575</xdr:colOff>
      <xdr:row>14</xdr:row>
      <xdr:rowOff>123825</xdr:rowOff>
    </xdr:from>
    <xdr:to>
      <xdr:col>9</xdr:col>
      <xdr:colOff>3352800</xdr:colOff>
      <xdr:row>24</xdr:row>
      <xdr:rowOff>19050</xdr:rowOff>
    </xdr:to>
    <xdr:pic>
      <xdr:nvPicPr>
        <xdr:cNvPr id="3" name="Picture 2">
          <a:extLst>
            <a:ext uri="{FF2B5EF4-FFF2-40B4-BE49-F238E27FC236}">
              <a16:creationId xmlns:a16="http://schemas.microsoft.com/office/drawing/2014/main" id="{9C6E705A-3E01-470F-993E-E15B4ADD36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48700" y="2724150"/>
          <a:ext cx="332422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38100</xdr:colOff>
      <xdr:row>2</xdr:row>
      <xdr:rowOff>114300</xdr:rowOff>
    </xdr:from>
    <xdr:to>
      <xdr:col>9</xdr:col>
      <xdr:colOff>3324225</xdr:colOff>
      <xdr:row>13</xdr:row>
      <xdr:rowOff>44450</xdr:rowOff>
    </xdr:to>
    <xdr:pic>
      <xdr:nvPicPr>
        <xdr:cNvPr id="2" name="Picture 1">
          <a:extLst>
            <a:ext uri="{FF2B5EF4-FFF2-40B4-BE49-F238E27FC236}">
              <a16:creationId xmlns:a16="http://schemas.microsoft.com/office/drawing/2014/main" id="{184569FD-80FC-4AEC-A993-09E345FE9F69}"/>
            </a:ext>
          </a:extLst>
        </xdr:cNvPr>
        <xdr:cNvPicPr>
          <a:picLocks noChangeAspect="1"/>
        </xdr:cNvPicPr>
      </xdr:nvPicPr>
      <xdr:blipFill>
        <a:blip xmlns:r="http://schemas.openxmlformats.org/officeDocument/2006/relationships" r:embed="rId1"/>
        <a:stretch>
          <a:fillRect/>
        </a:stretch>
      </xdr:blipFill>
      <xdr:spPr>
        <a:xfrm>
          <a:off x="8677275" y="495300"/>
          <a:ext cx="3286125" cy="2025650"/>
        </a:xfrm>
        <a:prstGeom prst="rect">
          <a:avLst/>
        </a:prstGeom>
      </xdr:spPr>
    </xdr:pic>
    <xdr:clientData/>
  </xdr:twoCellAnchor>
  <xdr:twoCellAnchor editAs="oneCell">
    <xdr:from>
      <xdr:col>9</xdr:col>
      <xdr:colOff>76200</xdr:colOff>
      <xdr:row>17</xdr:row>
      <xdr:rowOff>57151</xdr:rowOff>
    </xdr:from>
    <xdr:to>
      <xdr:col>9</xdr:col>
      <xdr:colOff>3324225</xdr:colOff>
      <xdr:row>27</xdr:row>
      <xdr:rowOff>9525</xdr:rowOff>
    </xdr:to>
    <xdr:pic>
      <xdr:nvPicPr>
        <xdr:cNvPr id="3" name="Picture 2">
          <a:extLst>
            <a:ext uri="{FF2B5EF4-FFF2-40B4-BE49-F238E27FC236}">
              <a16:creationId xmlns:a16="http://schemas.microsoft.com/office/drawing/2014/main" id="{B70F0364-FD5C-41C8-BE2F-A5E4FF73B3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15375" y="3467101"/>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57151</xdr:colOff>
      <xdr:row>30</xdr:row>
      <xdr:rowOff>66674</xdr:rowOff>
    </xdr:from>
    <xdr:ext cx="3276599" cy="1781175"/>
    <xdr:pic>
      <xdr:nvPicPr>
        <xdr:cNvPr id="4" name="Picture 3">
          <a:extLst>
            <a:ext uri="{FF2B5EF4-FFF2-40B4-BE49-F238E27FC236}">
              <a16:creationId xmlns:a16="http://schemas.microsoft.com/office/drawing/2014/main" id="{68858E3C-3F1E-4CA0-B1CB-2E63DE4E0A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96326" y="5934074"/>
          <a:ext cx="327659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9</xdr:col>
      <xdr:colOff>38100</xdr:colOff>
      <xdr:row>16</xdr:row>
      <xdr:rowOff>123825</xdr:rowOff>
    </xdr:from>
    <xdr:to>
      <xdr:col>9</xdr:col>
      <xdr:colOff>3333751</xdr:colOff>
      <xdr:row>25</xdr:row>
      <xdr:rowOff>133350</xdr:rowOff>
    </xdr:to>
    <xdr:pic>
      <xdr:nvPicPr>
        <xdr:cNvPr id="2" name="Picture 1">
          <a:extLst>
            <a:ext uri="{FF2B5EF4-FFF2-40B4-BE49-F238E27FC236}">
              <a16:creationId xmlns:a16="http://schemas.microsoft.com/office/drawing/2014/main" id="{FCB32FCD-D37F-4EA1-9F9D-CAFC2EB0C4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9553575" y="3371850"/>
          <a:ext cx="3295651"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66676</xdr:colOff>
      <xdr:row>2</xdr:row>
      <xdr:rowOff>95248</xdr:rowOff>
    </xdr:from>
    <xdr:to>
      <xdr:col>9</xdr:col>
      <xdr:colOff>3324226</xdr:colOff>
      <xdr:row>13</xdr:row>
      <xdr:rowOff>133350</xdr:rowOff>
    </xdr:to>
    <xdr:pic>
      <xdr:nvPicPr>
        <xdr:cNvPr id="3" name="Picture 2">
          <a:extLst>
            <a:ext uri="{FF2B5EF4-FFF2-40B4-BE49-F238E27FC236}">
              <a16:creationId xmlns:a16="http://schemas.microsoft.com/office/drawing/2014/main" id="{6FE54CE2-D898-45AD-83F7-C8E86AC6C028}"/>
            </a:ext>
          </a:extLst>
        </xdr:cNvPr>
        <xdr:cNvPicPr>
          <a:picLocks noChangeAspect="1"/>
        </xdr:cNvPicPr>
      </xdr:nvPicPr>
      <xdr:blipFill>
        <a:blip xmlns:r="http://schemas.openxmlformats.org/officeDocument/2006/relationships" r:embed="rId2"/>
        <a:stretch>
          <a:fillRect/>
        </a:stretch>
      </xdr:blipFill>
      <xdr:spPr>
        <a:xfrm>
          <a:off x="9582151" y="476248"/>
          <a:ext cx="3257550" cy="213360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47625</xdr:colOff>
      <xdr:row>14</xdr:row>
      <xdr:rowOff>133351</xdr:rowOff>
    </xdr:from>
    <xdr:to>
      <xdr:col>9</xdr:col>
      <xdr:colOff>3333750</xdr:colOff>
      <xdr:row>22</xdr:row>
      <xdr:rowOff>142875</xdr:rowOff>
    </xdr:to>
    <xdr:pic>
      <xdr:nvPicPr>
        <xdr:cNvPr id="2" name="Picture 1">
          <a:extLst>
            <a:ext uri="{FF2B5EF4-FFF2-40B4-BE49-F238E27FC236}">
              <a16:creationId xmlns:a16="http://schemas.microsoft.com/office/drawing/2014/main" id="{A08949CD-B709-4BFD-8C26-F0C200AAAC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82125" y="2895601"/>
          <a:ext cx="3286125" cy="18192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104776</xdr:rowOff>
    </xdr:from>
    <xdr:to>
      <xdr:col>9</xdr:col>
      <xdr:colOff>3352800</xdr:colOff>
      <xdr:row>12</xdr:row>
      <xdr:rowOff>47625</xdr:rowOff>
    </xdr:to>
    <xdr:pic>
      <xdr:nvPicPr>
        <xdr:cNvPr id="3" name="Picture 2">
          <a:extLst>
            <a:ext uri="{FF2B5EF4-FFF2-40B4-BE49-F238E27FC236}">
              <a16:creationId xmlns:a16="http://schemas.microsoft.com/office/drawing/2014/main" id="{53988256-5F72-4705-9D07-6FED7324E992}"/>
            </a:ext>
          </a:extLst>
        </xdr:cNvPr>
        <xdr:cNvPicPr>
          <a:picLocks noChangeAspect="1"/>
        </xdr:cNvPicPr>
      </xdr:nvPicPr>
      <xdr:blipFill>
        <a:blip xmlns:r="http://schemas.openxmlformats.org/officeDocument/2006/relationships" r:embed="rId2"/>
        <a:stretch>
          <a:fillRect/>
        </a:stretch>
      </xdr:blipFill>
      <xdr:spPr>
        <a:xfrm>
          <a:off x="9382125" y="485776"/>
          <a:ext cx="3305175" cy="200024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38099</xdr:colOff>
      <xdr:row>16</xdr:row>
      <xdr:rowOff>76199</xdr:rowOff>
    </xdr:from>
    <xdr:to>
      <xdr:col>9</xdr:col>
      <xdr:colOff>3343275</xdr:colOff>
      <xdr:row>25</xdr:row>
      <xdr:rowOff>85724</xdr:rowOff>
    </xdr:to>
    <xdr:pic>
      <xdr:nvPicPr>
        <xdr:cNvPr id="2" name="Picture 1">
          <a:extLst>
            <a:ext uri="{FF2B5EF4-FFF2-40B4-BE49-F238E27FC236}">
              <a16:creationId xmlns:a16="http://schemas.microsoft.com/office/drawing/2014/main" id="{D45DF053-5B50-4922-A5CC-C03486F0E9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15424" y="3162299"/>
          <a:ext cx="330517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76200</xdr:rowOff>
    </xdr:from>
    <xdr:to>
      <xdr:col>9</xdr:col>
      <xdr:colOff>3333750</xdr:colOff>
      <xdr:row>13</xdr:row>
      <xdr:rowOff>38100</xdr:rowOff>
    </xdr:to>
    <xdr:pic>
      <xdr:nvPicPr>
        <xdr:cNvPr id="3" name="Picture 2">
          <a:extLst>
            <a:ext uri="{FF2B5EF4-FFF2-40B4-BE49-F238E27FC236}">
              <a16:creationId xmlns:a16="http://schemas.microsoft.com/office/drawing/2014/main" id="{7FD1790A-E4C2-415A-B705-B9637B079C19}"/>
            </a:ext>
          </a:extLst>
        </xdr:cNvPr>
        <xdr:cNvPicPr>
          <a:picLocks noChangeAspect="1"/>
        </xdr:cNvPicPr>
      </xdr:nvPicPr>
      <xdr:blipFill>
        <a:blip xmlns:r="http://schemas.openxmlformats.org/officeDocument/2006/relationships" r:embed="rId2"/>
        <a:stretch>
          <a:fillRect/>
        </a:stretch>
      </xdr:blipFill>
      <xdr:spPr>
        <a:xfrm>
          <a:off x="9134475" y="457200"/>
          <a:ext cx="3276600" cy="20193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47625</xdr:colOff>
      <xdr:row>2</xdr:row>
      <xdr:rowOff>66675</xdr:rowOff>
    </xdr:from>
    <xdr:to>
      <xdr:col>9</xdr:col>
      <xdr:colOff>3343275</xdr:colOff>
      <xdr:row>13</xdr:row>
      <xdr:rowOff>9525</xdr:rowOff>
    </xdr:to>
    <xdr:pic>
      <xdr:nvPicPr>
        <xdr:cNvPr id="2" name="Picture 1">
          <a:extLst>
            <a:ext uri="{FF2B5EF4-FFF2-40B4-BE49-F238E27FC236}">
              <a16:creationId xmlns:a16="http://schemas.microsoft.com/office/drawing/2014/main" id="{87B663B5-6B63-490D-AB8F-153288FF53CF}"/>
            </a:ext>
          </a:extLst>
        </xdr:cNvPr>
        <xdr:cNvPicPr>
          <a:picLocks noChangeAspect="1"/>
        </xdr:cNvPicPr>
      </xdr:nvPicPr>
      <xdr:blipFill>
        <a:blip xmlns:r="http://schemas.openxmlformats.org/officeDocument/2006/relationships" r:embed="rId1"/>
        <a:stretch>
          <a:fillRect/>
        </a:stretch>
      </xdr:blipFill>
      <xdr:spPr>
        <a:xfrm>
          <a:off x="9086850" y="447675"/>
          <a:ext cx="3295650" cy="2000250"/>
        </a:xfrm>
        <a:prstGeom prst="rect">
          <a:avLst/>
        </a:prstGeom>
      </xdr:spPr>
    </xdr:pic>
    <xdr:clientData/>
  </xdr:twoCellAnchor>
  <xdr:twoCellAnchor editAs="oneCell">
    <xdr:from>
      <xdr:col>9</xdr:col>
      <xdr:colOff>76200</xdr:colOff>
      <xdr:row>16</xdr:row>
      <xdr:rowOff>76200</xdr:rowOff>
    </xdr:from>
    <xdr:to>
      <xdr:col>9</xdr:col>
      <xdr:colOff>3352800</xdr:colOff>
      <xdr:row>27</xdr:row>
      <xdr:rowOff>0</xdr:rowOff>
    </xdr:to>
    <xdr:pic>
      <xdr:nvPicPr>
        <xdr:cNvPr id="3" name="Picture 2">
          <a:extLst>
            <a:ext uri="{FF2B5EF4-FFF2-40B4-BE49-F238E27FC236}">
              <a16:creationId xmlns:a16="http://schemas.microsoft.com/office/drawing/2014/main" id="{CBE5DDA1-CC0C-405A-BD3A-AF79A2C392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115425" y="3000375"/>
          <a:ext cx="32766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50801</xdr:colOff>
      <xdr:row>29</xdr:row>
      <xdr:rowOff>47626</xdr:rowOff>
    </xdr:from>
    <xdr:ext cx="3273424" cy="1743074"/>
    <xdr:pic>
      <xdr:nvPicPr>
        <xdr:cNvPr id="4" name="Picture 3">
          <a:extLst>
            <a:ext uri="{FF2B5EF4-FFF2-40B4-BE49-F238E27FC236}">
              <a16:creationId xmlns:a16="http://schemas.microsoft.com/office/drawing/2014/main" id="{E0EF65BE-A25D-48D9-A586-3352C04CEE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090026" y="5429251"/>
          <a:ext cx="3273424"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9</xdr:col>
      <xdr:colOff>66674</xdr:colOff>
      <xdr:row>14</xdr:row>
      <xdr:rowOff>66675</xdr:rowOff>
    </xdr:from>
    <xdr:to>
      <xdr:col>9</xdr:col>
      <xdr:colOff>3324226</xdr:colOff>
      <xdr:row>22</xdr:row>
      <xdr:rowOff>9525</xdr:rowOff>
    </xdr:to>
    <xdr:pic>
      <xdr:nvPicPr>
        <xdr:cNvPr id="2" name="Picture 1">
          <a:extLst>
            <a:ext uri="{FF2B5EF4-FFF2-40B4-BE49-F238E27FC236}">
              <a16:creationId xmlns:a16="http://schemas.microsoft.com/office/drawing/2014/main" id="{4EF24877-97CF-4FF6-B11F-7228791413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4" y="2667000"/>
          <a:ext cx="3257552"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123827</xdr:rowOff>
    </xdr:from>
    <xdr:to>
      <xdr:col>9</xdr:col>
      <xdr:colOff>3324225</xdr:colOff>
      <xdr:row>13</xdr:row>
      <xdr:rowOff>38101</xdr:rowOff>
    </xdr:to>
    <xdr:pic>
      <xdr:nvPicPr>
        <xdr:cNvPr id="3" name="Picture 2">
          <a:extLst>
            <a:ext uri="{FF2B5EF4-FFF2-40B4-BE49-F238E27FC236}">
              <a16:creationId xmlns:a16="http://schemas.microsoft.com/office/drawing/2014/main" id="{4D1F62D4-E10E-4933-BD8F-A1B8C4767728}"/>
            </a:ext>
          </a:extLst>
        </xdr:cNvPr>
        <xdr:cNvPicPr>
          <a:picLocks noChangeAspect="1"/>
        </xdr:cNvPicPr>
      </xdr:nvPicPr>
      <xdr:blipFill>
        <a:blip xmlns:r="http://schemas.openxmlformats.org/officeDocument/2006/relationships" r:embed="rId2"/>
        <a:stretch>
          <a:fillRect/>
        </a:stretch>
      </xdr:blipFill>
      <xdr:spPr>
        <a:xfrm>
          <a:off x="9277350" y="504827"/>
          <a:ext cx="3248025" cy="197167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57150</xdr:colOff>
      <xdr:row>2</xdr:row>
      <xdr:rowOff>76201</xdr:rowOff>
    </xdr:from>
    <xdr:to>
      <xdr:col>9</xdr:col>
      <xdr:colOff>3343275</xdr:colOff>
      <xdr:row>13</xdr:row>
      <xdr:rowOff>57150</xdr:rowOff>
    </xdr:to>
    <xdr:pic>
      <xdr:nvPicPr>
        <xdr:cNvPr id="2" name="Picture 1">
          <a:extLst>
            <a:ext uri="{FF2B5EF4-FFF2-40B4-BE49-F238E27FC236}">
              <a16:creationId xmlns:a16="http://schemas.microsoft.com/office/drawing/2014/main" id="{E65B3D8D-3403-4DFC-ADC5-3E9477AD66AF}"/>
            </a:ext>
          </a:extLst>
        </xdr:cNvPr>
        <xdr:cNvPicPr>
          <a:picLocks noChangeAspect="1"/>
        </xdr:cNvPicPr>
      </xdr:nvPicPr>
      <xdr:blipFill>
        <a:blip xmlns:r="http://schemas.openxmlformats.org/officeDocument/2006/relationships" r:embed="rId1"/>
        <a:stretch>
          <a:fillRect/>
        </a:stretch>
      </xdr:blipFill>
      <xdr:spPr>
        <a:xfrm>
          <a:off x="8905875" y="457201"/>
          <a:ext cx="3286125" cy="2038349"/>
        </a:xfrm>
        <a:prstGeom prst="rect">
          <a:avLst/>
        </a:prstGeom>
      </xdr:spPr>
    </xdr:pic>
    <xdr:clientData/>
  </xdr:twoCellAnchor>
  <xdr:twoCellAnchor editAs="oneCell">
    <xdr:from>
      <xdr:col>9</xdr:col>
      <xdr:colOff>76200</xdr:colOff>
      <xdr:row>15</xdr:row>
      <xdr:rowOff>85725</xdr:rowOff>
    </xdr:from>
    <xdr:to>
      <xdr:col>9</xdr:col>
      <xdr:colOff>3343274</xdr:colOff>
      <xdr:row>23</xdr:row>
      <xdr:rowOff>28574</xdr:rowOff>
    </xdr:to>
    <xdr:pic>
      <xdr:nvPicPr>
        <xdr:cNvPr id="3" name="Picture 2">
          <a:extLst>
            <a:ext uri="{FF2B5EF4-FFF2-40B4-BE49-F238E27FC236}">
              <a16:creationId xmlns:a16="http://schemas.microsoft.com/office/drawing/2014/main" id="{7CDF0AB3-8044-48D6-AAF1-34EC3BE7AB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24925" y="2847975"/>
          <a:ext cx="3267074"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66675</xdr:colOff>
      <xdr:row>28</xdr:row>
      <xdr:rowOff>47626</xdr:rowOff>
    </xdr:from>
    <xdr:ext cx="3257550" cy="1724024"/>
    <xdr:pic>
      <xdr:nvPicPr>
        <xdr:cNvPr id="4" name="Picture 3">
          <a:extLst>
            <a:ext uri="{FF2B5EF4-FFF2-40B4-BE49-F238E27FC236}">
              <a16:creationId xmlns:a16="http://schemas.microsoft.com/office/drawing/2014/main" id="{454A8EA0-27E6-4C81-B7C5-5AF21D2DDF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15400" y="5753101"/>
          <a:ext cx="3257550"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9</xdr:col>
      <xdr:colOff>57151</xdr:colOff>
      <xdr:row>2</xdr:row>
      <xdr:rowOff>161925</xdr:rowOff>
    </xdr:from>
    <xdr:to>
      <xdr:col>9</xdr:col>
      <xdr:colOff>3343275</xdr:colOff>
      <xdr:row>13</xdr:row>
      <xdr:rowOff>130175</xdr:rowOff>
    </xdr:to>
    <xdr:pic>
      <xdr:nvPicPr>
        <xdr:cNvPr id="2" name="Picture 1">
          <a:extLst>
            <a:ext uri="{FF2B5EF4-FFF2-40B4-BE49-F238E27FC236}">
              <a16:creationId xmlns:a16="http://schemas.microsoft.com/office/drawing/2014/main" id="{AAE0B1F6-20F4-44BA-8D31-39F6E5AE3039}"/>
            </a:ext>
          </a:extLst>
        </xdr:cNvPr>
        <xdr:cNvPicPr>
          <a:picLocks noChangeAspect="1"/>
        </xdr:cNvPicPr>
      </xdr:nvPicPr>
      <xdr:blipFill>
        <a:blip xmlns:r="http://schemas.openxmlformats.org/officeDocument/2006/relationships" r:embed="rId1"/>
        <a:stretch>
          <a:fillRect/>
        </a:stretch>
      </xdr:blipFill>
      <xdr:spPr>
        <a:xfrm>
          <a:off x="8905876" y="542925"/>
          <a:ext cx="3286124" cy="2025650"/>
        </a:xfrm>
        <a:prstGeom prst="rect">
          <a:avLst/>
        </a:prstGeom>
      </xdr:spPr>
    </xdr:pic>
    <xdr:clientData/>
  </xdr:twoCellAnchor>
  <xdr:twoCellAnchor editAs="oneCell">
    <xdr:from>
      <xdr:col>9</xdr:col>
      <xdr:colOff>38101</xdr:colOff>
      <xdr:row>16</xdr:row>
      <xdr:rowOff>31751</xdr:rowOff>
    </xdr:from>
    <xdr:to>
      <xdr:col>9</xdr:col>
      <xdr:colOff>3362325</xdr:colOff>
      <xdr:row>26</xdr:row>
      <xdr:rowOff>28574</xdr:rowOff>
    </xdr:to>
    <xdr:pic>
      <xdr:nvPicPr>
        <xdr:cNvPr id="3" name="Picture 2">
          <a:extLst>
            <a:ext uri="{FF2B5EF4-FFF2-40B4-BE49-F238E27FC236}">
              <a16:creationId xmlns:a16="http://schemas.microsoft.com/office/drawing/2014/main" id="{BC19E83F-DD10-4F13-B817-C208F2FF38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86826" y="3117851"/>
          <a:ext cx="3324224" cy="1806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57150</xdr:colOff>
      <xdr:row>30</xdr:row>
      <xdr:rowOff>9525</xdr:rowOff>
    </xdr:from>
    <xdr:ext cx="3276600" cy="1724025"/>
    <xdr:pic>
      <xdr:nvPicPr>
        <xdr:cNvPr id="4" name="Picture 3">
          <a:extLst>
            <a:ext uri="{FF2B5EF4-FFF2-40B4-BE49-F238E27FC236}">
              <a16:creationId xmlns:a16="http://schemas.microsoft.com/office/drawing/2014/main" id="{FEFD8308-C6DC-4E8A-A7AB-4C816BB87F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05875" y="5715000"/>
          <a:ext cx="327660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9</xdr:col>
      <xdr:colOff>57149</xdr:colOff>
      <xdr:row>2</xdr:row>
      <xdr:rowOff>38101</xdr:rowOff>
    </xdr:from>
    <xdr:to>
      <xdr:col>9</xdr:col>
      <xdr:colOff>3324224</xdr:colOff>
      <xdr:row>12</xdr:row>
      <xdr:rowOff>101601</xdr:rowOff>
    </xdr:to>
    <xdr:pic>
      <xdr:nvPicPr>
        <xdr:cNvPr id="2" name="Picture 1">
          <a:extLst>
            <a:ext uri="{FF2B5EF4-FFF2-40B4-BE49-F238E27FC236}">
              <a16:creationId xmlns:a16="http://schemas.microsoft.com/office/drawing/2014/main" id="{E4CBB347-3792-47FF-BF82-B2C16FB9FE7D}"/>
            </a:ext>
          </a:extLst>
        </xdr:cNvPr>
        <xdr:cNvPicPr>
          <a:picLocks noChangeAspect="1"/>
        </xdr:cNvPicPr>
      </xdr:nvPicPr>
      <xdr:blipFill>
        <a:blip xmlns:r="http://schemas.openxmlformats.org/officeDocument/2006/relationships" r:embed="rId1"/>
        <a:stretch>
          <a:fillRect/>
        </a:stretch>
      </xdr:blipFill>
      <xdr:spPr>
        <a:xfrm>
          <a:off x="8915399" y="419101"/>
          <a:ext cx="3267075" cy="1958975"/>
        </a:xfrm>
        <a:prstGeom prst="rect">
          <a:avLst/>
        </a:prstGeom>
      </xdr:spPr>
    </xdr:pic>
    <xdr:clientData/>
  </xdr:twoCellAnchor>
  <xdr:twoCellAnchor editAs="oneCell">
    <xdr:from>
      <xdr:col>9</xdr:col>
      <xdr:colOff>85726</xdr:colOff>
      <xdr:row>13</xdr:row>
      <xdr:rowOff>352425</xdr:rowOff>
    </xdr:from>
    <xdr:to>
      <xdr:col>9</xdr:col>
      <xdr:colOff>3362326</xdr:colOff>
      <xdr:row>22</xdr:row>
      <xdr:rowOff>95250</xdr:rowOff>
    </xdr:to>
    <xdr:pic>
      <xdr:nvPicPr>
        <xdr:cNvPr id="3" name="Picture 2">
          <a:extLst>
            <a:ext uri="{FF2B5EF4-FFF2-40B4-BE49-F238E27FC236}">
              <a16:creationId xmlns:a16="http://schemas.microsoft.com/office/drawing/2014/main" id="{537C0806-E6E9-4CFA-9F9A-EE958D4CE2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43976" y="2571750"/>
          <a:ext cx="32766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57150</xdr:colOff>
      <xdr:row>2</xdr:row>
      <xdr:rowOff>47625</xdr:rowOff>
    </xdr:from>
    <xdr:to>
      <xdr:col>9</xdr:col>
      <xdr:colOff>3362325</xdr:colOff>
      <xdr:row>12</xdr:row>
      <xdr:rowOff>152400</xdr:rowOff>
    </xdr:to>
    <xdr:pic>
      <xdr:nvPicPr>
        <xdr:cNvPr id="2" name="Picture 1">
          <a:extLst>
            <a:ext uri="{FF2B5EF4-FFF2-40B4-BE49-F238E27FC236}">
              <a16:creationId xmlns:a16="http://schemas.microsoft.com/office/drawing/2014/main" id="{EDBDB2C4-0E8A-4B79-9D0B-738291BAB9D4}"/>
            </a:ext>
          </a:extLst>
        </xdr:cNvPr>
        <xdr:cNvPicPr>
          <a:picLocks noChangeAspect="1"/>
        </xdr:cNvPicPr>
      </xdr:nvPicPr>
      <xdr:blipFill>
        <a:blip xmlns:r="http://schemas.openxmlformats.org/officeDocument/2006/relationships" r:embed="rId1"/>
        <a:stretch>
          <a:fillRect/>
        </a:stretch>
      </xdr:blipFill>
      <xdr:spPr>
        <a:xfrm>
          <a:off x="8982075" y="428625"/>
          <a:ext cx="3305175" cy="2000250"/>
        </a:xfrm>
        <a:prstGeom prst="rect">
          <a:avLst/>
        </a:prstGeom>
      </xdr:spPr>
    </xdr:pic>
    <xdr:clientData/>
  </xdr:twoCellAnchor>
  <xdr:twoCellAnchor editAs="oneCell">
    <xdr:from>
      <xdr:col>9</xdr:col>
      <xdr:colOff>38100</xdr:colOff>
      <xdr:row>15</xdr:row>
      <xdr:rowOff>28575</xdr:rowOff>
    </xdr:from>
    <xdr:to>
      <xdr:col>9</xdr:col>
      <xdr:colOff>3333750</xdr:colOff>
      <xdr:row>24</xdr:row>
      <xdr:rowOff>47625</xdr:rowOff>
    </xdr:to>
    <xdr:pic>
      <xdr:nvPicPr>
        <xdr:cNvPr id="3" name="Picture 2">
          <a:extLst>
            <a:ext uri="{FF2B5EF4-FFF2-40B4-BE49-F238E27FC236}">
              <a16:creationId xmlns:a16="http://schemas.microsoft.com/office/drawing/2014/main" id="{3C795769-74E7-4A01-880F-339F2E94C7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63025" y="2952750"/>
          <a:ext cx="3295650"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47625</xdr:colOff>
      <xdr:row>28</xdr:row>
      <xdr:rowOff>1</xdr:rowOff>
    </xdr:from>
    <xdr:ext cx="3314700" cy="1771650"/>
    <xdr:pic>
      <xdr:nvPicPr>
        <xdr:cNvPr id="4" name="Picture 3">
          <a:extLst>
            <a:ext uri="{FF2B5EF4-FFF2-40B4-BE49-F238E27FC236}">
              <a16:creationId xmlns:a16="http://schemas.microsoft.com/office/drawing/2014/main" id="{E87FF0D9-07B8-436D-8DC5-CC7FE4DA8D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72550" y="5353051"/>
          <a:ext cx="33147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9</xdr:col>
      <xdr:colOff>57150</xdr:colOff>
      <xdr:row>2</xdr:row>
      <xdr:rowOff>161925</xdr:rowOff>
    </xdr:from>
    <xdr:to>
      <xdr:col>9</xdr:col>
      <xdr:colOff>3343275</xdr:colOff>
      <xdr:row>13</xdr:row>
      <xdr:rowOff>76200</xdr:rowOff>
    </xdr:to>
    <xdr:pic>
      <xdr:nvPicPr>
        <xdr:cNvPr id="2" name="Picture 1">
          <a:extLst>
            <a:ext uri="{FF2B5EF4-FFF2-40B4-BE49-F238E27FC236}">
              <a16:creationId xmlns:a16="http://schemas.microsoft.com/office/drawing/2014/main" id="{56C93A63-3B86-4405-AC18-61D8C5D076E9}"/>
            </a:ext>
          </a:extLst>
        </xdr:cNvPr>
        <xdr:cNvPicPr>
          <a:picLocks noChangeAspect="1"/>
        </xdr:cNvPicPr>
      </xdr:nvPicPr>
      <xdr:blipFill>
        <a:blip xmlns:r="http://schemas.openxmlformats.org/officeDocument/2006/relationships" r:embed="rId1"/>
        <a:stretch>
          <a:fillRect/>
        </a:stretch>
      </xdr:blipFill>
      <xdr:spPr>
        <a:xfrm>
          <a:off x="8839200" y="542925"/>
          <a:ext cx="3286125" cy="1971675"/>
        </a:xfrm>
        <a:prstGeom prst="rect">
          <a:avLst/>
        </a:prstGeom>
      </xdr:spPr>
    </xdr:pic>
    <xdr:clientData/>
  </xdr:twoCellAnchor>
  <xdr:twoCellAnchor editAs="oneCell">
    <xdr:from>
      <xdr:col>9</xdr:col>
      <xdr:colOff>47624</xdr:colOff>
      <xdr:row>19</xdr:row>
      <xdr:rowOff>123826</xdr:rowOff>
    </xdr:from>
    <xdr:to>
      <xdr:col>9</xdr:col>
      <xdr:colOff>3352800</xdr:colOff>
      <xdr:row>30</xdr:row>
      <xdr:rowOff>28576</xdr:rowOff>
    </xdr:to>
    <xdr:pic>
      <xdr:nvPicPr>
        <xdr:cNvPr id="3" name="Picture 2">
          <a:extLst>
            <a:ext uri="{FF2B5EF4-FFF2-40B4-BE49-F238E27FC236}">
              <a16:creationId xmlns:a16="http://schemas.microsoft.com/office/drawing/2014/main" id="{FE542D01-80BC-43B5-ADED-A055D95473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29674" y="3533776"/>
          <a:ext cx="3305176"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47624</xdr:colOff>
      <xdr:row>2</xdr:row>
      <xdr:rowOff>85724</xdr:rowOff>
    </xdr:from>
    <xdr:to>
      <xdr:col>9</xdr:col>
      <xdr:colOff>3352800</xdr:colOff>
      <xdr:row>13</xdr:row>
      <xdr:rowOff>38099</xdr:rowOff>
    </xdr:to>
    <xdr:pic>
      <xdr:nvPicPr>
        <xdr:cNvPr id="2" name="Picture 1">
          <a:extLst>
            <a:ext uri="{FF2B5EF4-FFF2-40B4-BE49-F238E27FC236}">
              <a16:creationId xmlns:a16="http://schemas.microsoft.com/office/drawing/2014/main" id="{2A9174F1-0C32-4CE5-8B03-BE1F9B627E7E}"/>
            </a:ext>
          </a:extLst>
        </xdr:cNvPr>
        <xdr:cNvPicPr>
          <a:picLocks noChangeAspect="1"/>
        </xdr:cNvPicPr>
      </xdr:nvPicPr>
      <xdr:blipFill>
        <a:blip xmlns:r="http://schemas.openxmlformats.org/officeDocument/2006/relationships" r:embed="rId1"/>
        <a:stretch>
          <a:fillRect/>
        </a:stretch>
      </xdr:blipFill>
      <xdr:spPr>
        <a:xfrm>
          <a:off x="8915399" y="466724"/>
          <a:ext cx="3305176" cy="2009775"/>
        </a:xfrm>
        <a:prstGeom prst="rect">
          <a:avLst/>
        </a:prstGeom>
      </xdr:spPr>
    </xdr:pic>
    <xdr:clientData/>
  </xdr:twoCellAnchor>
  <xdr:twoCellAnchor editAs="oneCell">
    <xdr:from>
      <xdr:col>9</xdr:col>
      <xdr:colOff>47624</xdr:colOff>
      <xdr:row>14</xdr:row>
      <xdr:rowOff>152401</xdr:rowOff>
    </xdr:from>
    <xdr:to>
      <xdr:col>9</xdr:col>
      <xdr:colOff>3352800</xdr:colOff>
      <xdr:row>25</xdr:row>
      <xdr:rowOff>47625</xdr:rowOff>
    </xdr:to>
    <xdr:pic>
      <xdr:nvPicPr>
        <xdr:cNvPr id="3" name="Picture 2">
          <a:extLst>
            <a:ext uri="{FF2B5EF4-FFF2-40B4-BE49-F238E27FC236}">
              <a16:creationId xmlns:a16="http://schemas.microsoft.com/office/drawing/2014/main" id="{A256E8EB-24CC-4202-AA77-8B3184E3BA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15399" y="2914651"/>
          <a:ext cx="3305176"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47627</xdr:colOff>
      <xdr:row>27</xdr:row>
      <xdr:rowOff>28575</xdr:rowOff>
    </xdr:from>
    <xdr:ext cx="3286124" cy="1695450"/>
    <xdr:pic>
      <xdr:nvPicPr>
        <xdr:cNvPr id="4" name="Picture 3">
          <a:extLst>
            <a:ext uri="{FF2B5EF4-FFF2-40B4-BE49-F238E27FC236}">
              <a16:creationId xmlns:a16="http://schemas.microsoft.com/office/drawing/2014/main" id="{4580B6DB-F79C-40EB-96B4-F768AB2588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15402" y="5086350"/>
          <a:ext cx="3286124"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9</xdr:col>
      <xdr:colOff>47625</xdr:colOff>
      <xdr:row>2</xdr:row>
      <xdr:rowOff>104775</xdr:rowOff>
    </xdr:from>
    <xdr:to>
      <xdr:col>9</xdr:col>
      <xdr:colOff>3362325</xdr:colOff>
      <xdr:row>12</xdr:row>
      <xdr:rowOff>101600</xdr:rowOff>
    </xdr:to>
    <xdr:pic>
      <xdr:nvPicPr>
        <xdr:cNvPr id="2" name="Picture 1">
          <a:extLst>
            <a:ext uri="{FF2B5EF4-FFF2-40B4-BE49-F238E27FC236}">
              <a16:creationId xmlns:a16="http://schemas.microsoft.com/office/drawing/2014/main" id="{EA122C3D-B8CE-419B-8498-84F046E8EFEA}"/>
            </a:ext>
          </a:extLst>
        </xdr:cNvPr>
        <xdr:cNvPicPr>
          <a:picLocks noChangeAspect="1"/>
        </xdr:cNvPicPr>
      </xdr:nvPicPr>
      <xdr:blipFill>
        <a:blip xmlns:r="http://schemas.openxmlformats.org/officeDocument/2006/relationships" r:embed="rId1"/>
        <a:stretch>
          <a:fillRect/>
        </a:stretch>
      </xdr:blipFill>
      <xdr:spPr>
        <a:xfrm>
          <a:off x="8886825" y="485775"/>
          <a:ext cx="3314700" cy="2025650"/>
        </a:xfrm>
        <a:prstGeom prst="rect">
          <a:avLst/>
        </a:prstGeom>
      </xdr:spPr>
    </xdr:pic>
    <xdr:clientData/>
  </xdr:twoCellAnchor>
  <xdr:twoCellAnchor editAs="oneCell">
    <xdr:from>
      <xdr:col>9</xdr:col>
      <xdr:colOff>38100</xdr:colOff>
      <xdr:row>13</xdr:row>
      <xdr:rowOff>304801</xdr:rowOff>
    </xdr:from>
    <xdr:to>
      <xdr:col>9</xdr:col>
      <xdr:colOff>3352800</xdr:colOff>
      <xdr:row>22</xdr:row>
      <xdr:rowOff>53976</xdr:rowOff>
    </xdr:to>
    <xdr:pic>
      <xdr:nvPicPr>
        <xdr:cNvPr id="3" name="Picture 2">
          <a:extLst>
            <a:ext uri="{FF2B5EF4-FFF2-40B4-BE49-F238E27FC236}">
              <a16:creationId xmlns:a16="http://schemas.microsoft.com/office/drawing/2014/main" id="{A5480219-43BF-4C2B-8F4E-02C12B4B08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77300" y="2762251"/>
          <a:ext cx="331470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38100</xdr:colOff>
      <xdr:row>25</xdr:row>
      <xdr:rowOff>200026</xdr:rowOff>
    </xdr:from>
    <xdr:ext cx="3324225" cy="1724024"/>
    <xdr:pic>
      <xdr:nvPicPr>
        <xdr:cNvPr id="4" name="Picture 3">
          <a:extLst>
            <a:ext uri="{FF2B5EF4-FFF2-40B4-BE49-F238E27FC236}">
              <a16:creationId xmlns:a16="http://schemas.microsoft.com/office/drawing/2014/main" id="{671133ED-16D7-4A4D-A9EB-5C133D7D1D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877300" y="5029201"/>
          <a:ext cx="3324225"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9</xdr:col>
      <xdr:colOff>31750</xdr:colOff>
      <xdr:row>14</xdr:row>
      <xdr:rowOff>69851</xdr:rowOff>
    </xdr:from>
    <xdr:to>
      <xdr:col>9</xdr:col>
      <xdr:colOff>3333749</xdr:colOff>
      <xdr:row>23</xdr:row>
      <xdr:rowOff>130176</xdr:rowOff>
    </xdr:to>
    <xdr:pic>
      <xdr:nvPicPr>
        <xdr:cNvPr id="2" name="Picture 1">
          <a:extLst>
            <a:ext uri="{FF2B5EF4-FFF2-40B4-BE49-F238E27FC236}">
              <a16:creationId xmlns:a16="http://schemas.microsoft.com/office/drawing/2014/main" id="{FC5B81D9-878F-4DFD-815A-9CA623C117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890000" y="2670176"/>
          <a:ext cx="3301999"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66675</xdr:colOff>
      <xdr:row>25</xdr:row>
      <xdr:rowOff>311150</xdr:rowOff>
    </xdr:from>
    <xdr:ext cx="3295650" cy="1762125"/>
    <xdr:pic>
      <xdr:nvPicPr>
        <xdr:cNvPr id="3" name="Picture 2">
          <a:extLst>
            <a:ext uri="{FF2B5EF4-FFF2-40B4-BE49-F238E27FC236}">
              <a16:creationId xmlns:a16="http://schemas.microsoft.com/office/drawing/2014/main" id="{D566766E-9059-47EA-A587-BB810FF5D3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924925" y="5054600"/>
          <a:ext cx="329565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2</xdr:row>
      <xdr:rowOff>95250</xdr:rowOff>
    </xdr:from>
    <xdr:to>
      <xdr:col>9</xdr:col>
      <xdr:colOff>3331567</xdr:colOff>
      <xdr:row>12</xdr:row>
      <xdr:rowOff>142875</xdr:rowOff>
    </xdr:to>
    <xdr:pic>
      <xdr:nvPicPr>
        <xdr:cNvPr id="4" name="Picture 3">
          <a:extLst>
            <a:ext uri="{FF2B5EF4-FFF2-40B4-BE49-F238E27FC236}">
              <a16:creationId xmlns:a16="http://schemas.microsoft.com/office/drawing/2014/main" id="{579EA92F-A064-4DF2-B3C6-CADFD805AFEB}"/>
            </a:ext>
          </a:extLst>
        </xdr:cNvPr>
        <xdr:cNvPicPr>
          <a:picLocks noChangeAspect="1"/>
        </xdr:cNvPicPr>
      </xdr:nvPicPr>
      <xdr:blipFill>
        <a:blip xmlns:r="http://schemas.openxmlformats.org/officeDocument/2006/relationships" r:embed="rId2"/>
        <a:stretch>
          <a:fillRect/>
        </a:stretch>
      </xdr:blipFill>
      <xdr:spPr>
        <a:xfrm>
          <a:off x="8905875" y="476250"/>
          <a:ext cx="3283942" cy="19431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31750</xdr:colOff>
      <xdr:row>14</xdr:row>
      <xdr:rowOff>69851</xdr:rowOff>
    </xdr:from>
    <xdr:to>
      <xdr:col>9</xdr:col>
      <xdr:colOff>3333749</xdr:colOff>
      <xdr:row>24</xdr:row>
      <xdr:rowOff>130176</xdr:rowOff>
    </xdr:to>
    <xdr:pic>
      <xdr:nvPicPr>
        <xdr:cNvPr id="2" name="Picture 1">
          <a:extLst>
            <a:ext uri="{FF2B5EF4-FFF2-40B4-BE49-F238E27FC236}">
              <a16:creationId xmlns:a16="http://schemas.microsoft.com/office/drawing/2014/main" id="{AC8F2893-1320-4F74-9542-38C9E9B907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547100" y="2670176"/>
          <a:ext cx="3301999"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95250</xdr:rowOff>
    </xdr:from>
    <xdr:to>
      <xdr:col>9</xdr:col>
      <xdr:colOff>3331567</xdr:colOff>
      <xdr:row>12</xdr:row>
      <xdr:rowOff>142875</xdr:rowOff>
    </xdr:to>
    <xdr:pic>
      <xdr:nvPicPr>
        <xdr:cNvPr id="4" name="Picture 3">
          <a:extLst>
            <a:ext uri="{FF2B5EF4-FFF2-40B4-BE49-F238E27FC236}">
              <a16:creationId xmlns:a16="http://schemas.microsoft.com/office/drawing/2014/main" id="{05946BFC-4EA8-40FB-BAE5-B1BAC17C4888}"/>
            </a:ext>
          </a:extLst>
        </xdr:cNvPr>
        <xdr:cNvPicPr>
          <a:picLocks noChangeAspect="1"/>
        </xdr:cNvPicPr>
      </xdr:nvPicPr>
      <xdr:blipFill>
        <a:blip xmlns:r="http://schemas.openxmlformats.org/officeDocument/2006/relationships" r:embed="rId2"/>
        <a:stretch>
          <a:fillRect/>
        </a:stretch>
      </xdr:blipFill>
      <xdr:spPr>
        <a:xfrm>
          <a:off x="8562975" y="476250"/>
          <a:ext cx="3283942" cy="19431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9</xdr:col>
      <xdr:colOff>28576</xdr:colOff>
      <xdr:row>15</xdr:row>
      <xdr:rowOff>47622</xdr:rowOff>
    </xdr:from>
    <xdr:to>
      <xdr:col>9</xdr:col>
      <xdr:colOff>3371850</xdr:colOff>
      <xdr:row>22</xdr:row>
      <xdr:rowOff>314325</xdr:rowOff>
    </xdr:to>
    <xdr:pic>
      <xdr:nvPicPr>
        <xdr:cNvPr id="2" name="Picture 1">
          <a:extLst>
            <a:ext uri="{FF2B5EF4-FFF2-40B4-BE49-F238E27FC236}">
              <a16:creationId xmlns:a16="http://schemas.microsoft.com/office/drawing/2014/main" id="{330FBF54-70B7-425A-BCEA-70959D301FE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877301" y="2809872"/>
          <a:ext cx="3343274" cy="17526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28575</xdr:colOff>
      <xdr:row>25</xdr:row>
      <xdr:rowOff>161924</xdr:rowOff>
    </xdr:from>
    <xdr:to>
      <xdr:col>9</xdr:col>
      <xdr:colOff>3352800</xdr:colOff>
      <xdr:row>33</xdr:row>
      <xdr:rowOff>266700</xdr:rowOff>
    </xdr:to>
    <xdr:pic>
      <xdr:nvPicPr>
        <xdr:cNvPr id="3" name="Picture 2">
          <a:extLst>
            <a:ext uri="{FF2B5EF4-FFF2-40B4-BE49-F238E27FC236}">
              <a16:creationId xmlns:a16="http://schemas.microsoft.com/office/drawing/2014/main" id="{3346197A-A29D-460E-BE8B-E5D2967A1B7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877300" y="5057774"/>
          <a:ext cx="3324225" cy="1724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19049</xdr:colOff>
      <xdr:row>2</xdr:row>
      <xdr:rowOff>57149</xdr:rowOff>
    </xdr:from>
    <xdr:to>
      <xdr:col>9</xdr:col>
      <xdr:colOff>3362324</xdr:colOff>
      <xdr:row>13</xdr:row>
      <xdr:rowOff>28575</xdr:rowOff>
    </xdr:to>
    <xdr:pic>
      <xdr:nvPicPr>
        <xdr:cNvPr id="4" name="Picture 3">
          <a:extLst>
            <a:ext uri="{FF2B5EF4-FFF2-40B4-BE49-F238E27FC236}">
              <a16:creationId xmlns:a16="http://schemas.microsoft.com/office/drawing/2014/main" id="{388CDB79-C2D7-4263-BF8D-B3634B8C77C6}"/>
            </a:ext>
          </a:extLst>
        </xdr:cNvPr>
        <xdr:cNvPicPr>
          <a:picLocks noChangeAspect="1"/>
        </xdr:cNvPicPr>
      </xdr:nvPicPr>
      <xdr:blipFill>
        <a:blip xmlns:r="http://schemas.openxmlformats.org/officeDocument/2006/relationships" r:embed="rId2"/>
        <a:stretch>
          <a:fillRect/>
        </a:stretch>
      </xdr:blipFill>
      <xdr:spPr>
        <a:xfrm>
          <a:off x="8867774" y="438149"/>
          <a:ext cx="3343275" cy="202882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9</xdr:col>
      <xdr:colOff>28575</xdr:colOff>
      <xdr:row>2</xdr:row>
      <xdr:rowOff>85726</xdr:rowOff>
    </xdr:from>
    <xdr:to>
      <xdr:col>9</xdr:col>
      <xdr:colOff>3362324</xdr:colOff>
      <xdr:row>12</xdr:row>
      <xdr:rowOff>0</xdr:rowOff>
    </xdr:to>
    <xdr:pic>
      <xdr:nvPicPr>
        <xdr:cNvPr id="2" name="Picture 1">
          <a:extLst>
            <a:ext uri="{FF2B5EF4-FFF2-40B4-BE49-F238E27FC236}">
              <a16:creationId xmlns:a16="http://schemas.microsoft.com/office/drawing/2014/main" id="{A8CF31B8-475D-4DDA-8875-E9DA2B82FACA}"/>
            </a:ext>
          </a:extLst>
        </xdr:cNvPr>
        <xdr:cNvPicPr>
          <a:picLocks noChangeAspect="1"/>
        </xdr:cNvPicPr>
      </xdr:nvPicPr>
      <xdr:blipFill>
        <a:blip xmlns:r="http://schemas.openxmlformats.org/officeDocument/2006/relationships" r:embed="rId1"/>
        <a:stretch>
          <a:fillRect/>
        </a:stretch>
      </xdr:blipFill>
      <xdr:spPr>
        <a:xfrm>
          <a:off x="8382000" y="466726"/>
          <a:ext cx="3333749" cy="1781174"/>
        </a:xfrm>
        <a:prstGeom prst="rect">
          <a:avLst/>
        </a:prstGeom>
      </xdr:spPr>
    </xdr:pic>
    <xdr:clientData/>
  </xdr:twoCellAnchor>
  <xdr:twoCellAnchor editAs="oneCell">
    <xdr:from>
      <xdr:col>9</xdr:col>
      <xdr:colOff>28575</xdr:colOff>
      <xdr:row>16</xdr:row>
      <xdr:rowOff>47627</xdr:rowOff>
    </xdr:from>
    <xdr:to>
      <xdr:col>9</xdr:col>
      <xdr:colOff>3343275</xdr:colOff>
      <xdr:row>26</xdr:row>
      <xdr:rowOff>142876</xdr:rowOff>
    </xdr:to>
    <xdr:pic>
      <xdr:nvPicPr>
        <xdr:cNvPr id="3" name="Picture 2">
          <a:extLst>
            <a:ext uri="{FF2B5EF4-FFF2-40B4-BE49-F238E27FC236}">
              <a16:creationId xmlns:a16="http://schemas.microsoft.com/office/drawing/2014/main" id="{B357B149-A7A5-477A-A95D-3FCF6251D6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82000" y="2971802"/>
          <a:ext cx="3314700"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9</xdr:col>
      <xdr:colOff>28575</xdr:colOff>
      <xdr:row>14</xdr:row>
      <xdr:rowOff>57150</xdr:rowOff>
    </xdr:from>
    <xdr:to>
      <xdr:col>9</xdr:col>
      <xdr:colOff>3362325</xdr:colOff>
      <xdr:row>25</xdr:row>
      <xdr:rowOff>73025</xdr:rowOff>
    </xdr:to>
    <xdr:pic>
      <xdr:nvPicPr>
        <xdr:cNvPr id="2" name="Picture 1">
          <a:extLst>
            <a:ext uri="{FF2B5EF4-FFF2-40B4-BE49-F238E27FC236}">
              <a16:creationId xmlns:a16="http://schemas.microsoft.com/office/drawing/2014/main" id="{301EDE75-FDDB-41DC-BBDB-FD91BB259E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72625" y="3067050"/>
          <a:ext cx="3333750" cy="182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38099</xdr:colOff>
      <xdr:row>2</xdr:row>
      <xdr:rowOff>85725</xdr:rowOff>
    </xdr:from>
    <xdr:to>
      <xdr:col>9</xdr:col>
      <xdr:colOff>3362324</xdr:colOff>
      <xdr:row>12</xdr:row>
      <xdr:rowOff>114300</xdr:rowOff>
    </xdr:to>
    <xdr:pic>
      <xdr:nvPicPr>
        <xdr:cNvPr id="3" name="Picture 2">
          <a:extLst>
            <a:ext uri="{FF2B5EF4-FFF2-40B4-BE49-F238E27FC236}">
              <a16:creationId xmlns:a16="http://schemas.microsoft.com/office/drawing/2014/main" id="{B27C1BCA-C5D1-4ADB-80DB-72A30C9FF637}"/>
            </a:ext>
          </a:extLst>
        </xdr:cNvPr>
        <xdr:cNvPicPr>
          <a:picLocks noChangeAspect="1"/>
        </xdr:cNvPicPr>
      </xdr:nvPicPr>
      <xdr:blipFill>
        <a:blip xmlns:r="http://schemas.openxmlformats.org/officeDocument/2006/relationships" r:embed="rId2"/>
        <a:stretch>
          <a:fillRect/>
        </a:stretch>
      </xdr:blipFill>
      <xdr:spPr>
        <a:xfrm>
          <a:off x="9582149" y="466725"/>
          <a:ext cx="3324225" cy="1924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573BD-BB12-4EC8-BB7A-C21FE9F9654A}">
  <dimension ref="A1:C31"/>
  <sheetViews>
    <sheetView zoomScale="110" zoomScaleNormal="110" workbookViewId="0">
      <pane ySplit="1" topLeftCell="A2" activePane="bottomLeft" state="frozen"/>
      <selection pane="bottomLeft" activeCell="B15" sqref="B15"/>
    </sheetView>
  </sheetViews>
  <sheetFormatPr defaultColWidth="9.140625" defaultRowHeight="15" x14ac:dyDescent="0.25"/>
  <cols>
    <col min="1" max="1" width="6.140625" style="3" bestFit="1" customWidth="1"/>
    <col min="2" max="2" width="10.42578125" style="3" bestFit="1" customWidth="1"/>
    <col min="3" max="3" width="56.85546875" style="3" bestFit="1" customWidth="1"/>
    <col min="4" max="16384" width="9.140625" style="3"/>
  </cols>
  <sheetData>
    <row r="1" spans="1:3" x14ac:dyDescent="0.25">
      <c r="A1" s="2" t="s">
        <v>881</v>
      </c>
      <c r="B1" s="2" t="s">
        <v>882</v>
      </c>
      <c r="C1" s="2" t="s">
        <v>883</v>
      </c>
    </row>
    <row r="2" spans="1:3" x14ac:dyDescent="0.25">
      <c r="A2" s="4">
        <v>1</v>
      </c>
      <c r="B2" s="5" t="s">
        <v>884</v>
      </c>
      <c r="C2" s="6" t="s">
        <v>1</v>
      </c>
    </row>
    <row r="3" spans="1:3" x14ac:dyDescent="0.25">
      <c r="A3" s="4">
        <v>2</v>
      </c>
      <c r="B3" s="5" t="s">
        <v>885</v>
      </c>
      <c r="C3" s="6" t="s">
        <v>877</v>
      </c>
    </row>
    <row r="4" spans="1:3" x14ac:dyDescent="0.25">
      <c r="A4" s="4">
        <v>3</v>
      </c>
      <c r="B4" s="5" t="s">
        <v>886</v>
      </c>
      <c r="C4" s="6" t="s">
        <v>193</v>
      </c>
    </row>
    <row r="5" spans="1:3" x14ac:dyDescent="0.25">
      <c r="A5" s="4">
        <v>4</v>
      </c>
      <c r="B5" s="5" t="s">
        <v>887</v>
      </c>
      <c r="C5" s="6" t="s">
        <v>888</v>
      </c>
    </row>
    <row r="6" spans="1:3" x14ac:dyDescent="0.25">
      <c r="A6" s="4">
        <v>5</v>
      </c>
      <c r="B6" s="5" t="s">
        <v>889</v>
      </c>
      <c r="C6" s="6" t="s">
        <v>890</v>
      </c>
    </row>
    <row r="7" spans="1:3" x14ac:dyDescent="0.25">
      <c r="A7" s="4">
        <v>6</v>
      </c>
      <c r="B7" s="5" t="s">
        <v>891</v>
      </c>
      <c r="C7" s="6" t="s">
        <v>892</v>
      </c>
    </row>
    <row r="8" spans="1:3" x14ac:dyDescent="0.25">
      <c r="A8" s="4">
        <v>7</v>
      </c>
      <c r="B8" s="5" t="s">
        <v>893</v>
      </c>
      <c r="C8" s="6" t="s">
        <v>894</v>
      </c>
    </row>
    <row r="9" spans="1:3" x14ac:dyDescent="0.25">
      <c r="A9" s="4">
        <v>8</v>
      </c>
      <c r="B9" s="5" t="s">
        <v>895</v>
      </c>
      <c r="C9" s="6" t="s">
        <v>896</v>
      </c>
    </row>
    <row r="10" spans="1:3" x14ac:dyDescent="0.25">
      <c r="A10" s="4">
        <v>9</v>
      </c>
      <c r="B10" s="5" t="s">
        <v>897</v>
      </c>
      <c r="C10" s="6" t="s">
        <v>486</v>
      </c>
    </row>
    <row r="11" spans="1:3" x14ac:dyDescent="0.25">
      <c r="A11" s="4">
        <v>10</v>
      </c>
      <c r="B11" s="5" t="s">
        <v>898</v>
      </c>
      <c r="C11" s="6" t="s">
        <v>491</v>
      </c>
    </row>
    <row r="12" spans="1:3" x14ac:dyDescent="0.25">
      <c r="A12" s="4">
        <v>11</v>
      </c>
      <c r="B12" s="5" t="s">
        <v>899</v>
      </c>
      <c r="C12" s="6" t="s">
        <v>492</v>
      </c>
    </row>
    <row r="13" spans="1:3" x14ac:dyDescent="0.25">
      <c r="A13" s="4">
        <v>12</v>
      </c>
      <c r="B13" s="5" t="s">
        <v>900</v>
      </c>
      <c r="C13" s="6" t="s">
        <v>493</v>
      </c>
    </row>
    <row r="14" spans="1:3" x14ac:dyDescent="0.25">
      <c r="A14" s="4">
        <v>13</v>
      </c>
      <c r="B14" s="5" t="s">
        <v>901</v>
      </c>
      <c r="C14" s="6" t="s">
        <v>494</v>
      </c>
    </row>
    <row r="15" spans="1:3" x14ac:dyDescent="0.25">
      <c r="A15" s="4">
        <v>14</v>
      </c>
      <c r="B15" s="5" t="s">
        <v>902</v>
      </c>
      <c r="C15" s="6" t="s">
        <v>551</v>
      </c>
    </row>
    <row r="16" spans="1:3" x14ac:dyDescent="0.25">
      <c r="A16" s="4">
        <v>15</v>
      </c>
      <c r="B16" s="5" t="s">
        <v>903</v>
      </c>
      <c r="C16" s="6" t="s">
        <v>904</v>
      </c>
    </row>
    <row r="17" spans="1:3" x14ac:dyDescent="0.25">
      <c r="A17" s="4">
        <v>16</v>
      </c>
      <c r="B17" s="5" t="s">
        <v>905</v>
      </c>
      <c r="C17" s="6" t="s">
        <v>684</v>
      </c>
    </row>
    <row r="18" spans="1:3" x14ac:dyDescent="0.25">
      <c r="A18" s="4">
        <v>17</v>
      </c>
      <c r="B18" s="5" t="s">
        <v>906</v>
      </c>
      <c r="C18" s="6" t="s">
        <v>709</v>
      </c>
    </row>
    <row r="19" spans="1:3" x14ac:dyDescent="0.25">
      <c r="A19" s="4">
        <v>18</v>
      </c>
      <c r="B19" s="5" t="s">
        <v>907</v>
      </c>
      <c r="C19" s="6" t="s">
        <v>729</v>
      </c>
    </row>
    <row r="20" spans="1:3" x14ac:dyDescent="0.25">
      <c r="A20" s="4">
        <v>19</v>
      </c>
      <c r="B20" s="5" t="s">
        <v>908</v>
      </c>
      <c r="C20" s="6" t="s">
        <v>909</v>
      </c>
    </row>
    <row r="21" spans="1:3" x14ac:dyDescent="0.25">
      <c r="A21" s="4">
        <v>20</v>
      </c>
      <c r="B21" s="5" t="s">
        <v>910</v>
      </c>
      <c r="C21" s="6" t="s">
        <v>755</v>
      </c>
    </row>
    <row r="22" spans="1:3" x14ac:dyDescent="0.25">
      <c r="A22" s="4">
        <v>21</v>
      </c>
      <c r="B22" s="5" t="s">
        <v>911</v>
      </c>
      <c r="C22" s="6" t="s">
        <v>912</v>
      </c>
    </row>
    <row r="23" spans="1:3" x14ac:dyDescent="0.25">
      <c r="A23" s="4">
        <v>22</v>
      </c>
      <c r="B23" s="5" t="s">
        <v>913</v>
      </c>
      <c r="C23" s="6" t="s">
        <v>820</v>
      </c>
    </row>
    <row r="24" spans="1:3" x14ac:dyDescent="0.25">
      <c r="A24" s="4">
        <v>23</v>
      </c>
      <c r="B24" s="5" t="s">
        <v>914</v>
      </c>
      <c r="C24" s="6" t="s">
        <v>833</v>
      </c>
    </row>
    <row r="25" spans="1:3" x14ac:dyDescent="0.25">
      <c r="A25" s="4">
        <v>24</v>
      </c>
      <c r="B25" s="5" t="s">
        <v>915</v>
      </c>
      <c r="C25" s="6" t="s">
        <v>840</v>
      </c>
    </row>
    <row r="26" spans="1:3" x14ac:dyDescent="0.25">
      <c r="A26" s="4">
        <v>25</v>
      </c>
      <c r="B26" s="5" t="s">
        <v>916</v>
      </c>
      <c r="C26" s="6" t="s">
        <v>844</v>
      </c>
    </row>
    <row r="27" spans="1:3" x14ac:dyDescent="0.25">
      <c r="A27" s="4">
        <v>26</v>
      </c>
      <c r="B27" s="5" t="s">
        <v>917</v>
      </c>
      <c r="C27" s="6" t="s">
        <v>845</v>
      </c>
    </row>
    <row r="28" spans="1:3" x14ac:dyDescent="0.25">
      <c r="A28" s="4">
        <v>27</v>
      </c>
      <c r="B28" s="5" t="s">
        <v>918</v>
      </c>
      <c r="C28" s="6" t="s">
        <v>861</v>
      </c>
    </row>
    <row r="29" spans="1:3" x14ac:dyDescent="0.25">
      <c r="A29" s="4">
        <v>28</v>
      </c>
      <c r="B29" s="5" t="s">
        <v>919</v>
      </c>
      <c r="C29" s="6" t="s">
        <v>864</v>
      </c>
    </row>
    <row r="30" spans="1:3" x14ac:dyDescent="0.25">
      <c r="A30" s="4">
        <v>29</v>
      </c>
      <c r="B30" s="5" t="s">
        <v>920</v>
      </c>
      <c r="C30" s="6" t="s">
        <v>866</v>
      </c>
    </row>
    <row r="31" spans="1:3" x14ac:dyDescent="0.25">
      <c r="A31" s="4">
        <v>30</v>
      </c>
      <c r="B31" s="35" t="s">
        <v>1101</v>
      </c>
      <c r="C31" s="6" t="s">
        <v>848</v>
      </c>
    </row>
  </sheetData>
  <hyperlinks>
    <hyperlink ref="B4" location="MIDCAP!A1" display="MIDCAP" xr:uid="{F722774D-1776-4D69-B910-8A1AC97B4F0F}"/>
    <hyperlink ref="B5" location="MULTIP!A1" display="MULTIP" xr:uid="{D654FEC8-5A54-484F-B947-0703DC846F63}"/>
    <hyperlink ref="B6" location="SLTADV3!A1" display="SLTADV3" xr:uid="{7E75CBAC-C4F5-40C1-AA82-BFD0CD2BE830}"/>
    <hyperlink ref="B7" location="SLTADV4!A1" display="SLTADV4" xr:uid="{5D642F83-C0AC-455A-BE21-CCAA67676941}"/>
    <hyperlink ref="B8" location="SLTAX1!A1" display="SLTAX1" xr:uid="{7E7D09CD-D45E-4E6D-BDC6-F1559E692D6C}"/>
    <hyperlink ref="B9" location="SLTAX2!A1" display="SLTAX2" xr:uid="{AB1157A4-5153-4B27-A21D-B1390750A744}"/>
    <hyperlink ref="B10" location="SLTAX3!A1" display="SLTAX3" xr:uid="{582CD056-6F61-47D2-AA00-2B5F46D77B42}"/>
    <hyperlink ref="B11" location="SLTAX4!A1" display="SLTAX4" xr:uid="{4756F9B1-6725-4853-A55A-ECAF303B6099}"/>
    <hyperlink ref="B12" location="SLTAX5!A1" display="SLTAX5" xr:uid="{AA8C40A0-CF23-4781-B1D2-2683EE85199C}"/>
    <hyperlink ref="B13" location="SLTAX6!A1" display="SLTAX6" xr:uid="{3D299A4E-CAC0-4670-8163-30538DA6C42D}"/>
    <hyperlink ref="B14" location="SMILE!A1" display="SMILE" xr:uid="{E9829EBE-899C-4DF3-99F2-366CA1C8F26B}"/>
    <hyperlink ref="B15" location="SPAHF!A1" display="SPAHF" xr:uid="{9F418489-9D3D-455B-9344-A70E4CB27D40}"/>
    <hyperlink ref="B16" location="SPARF!A1" display="SPARF" xr:uid="{2367FB66-B0A3-4B34-BB45-0745C323A17C}"/>
    <hyperlink ref="B17" location="SPBAF!A1" display="SPBAF" xr:uid="{2E641157-5CAB-453D-869E-B8839B424D78}"/>
    <hyperlink ref="B19" location="SPESF!A1" display="SPESF" xr:uid="{F39092CE-00A4-4826-8CA7-A52AFFA9A452}"/>
    <hyperlink ref="B20" location="SPFOCUS!A1" display="SPFOCUS" xr:uid="{30897887-ACB4-4A5D-9593-C96EA546341F}"/>
    <hyperlink ref="B21" location="SPMUCF!A1" display="SPMUCF" xr:uid="{7F1FDED4-CB14-4364-ABF3-973C189E6BD4}"/>
    <hyperlink ref="B22" location="SPSN100!A1" display="SPSN100" xr:uid="{94F352F3-C409-459F-8983-963F171A523E}"/>
    <hyperlink ref="B23" location="SPTAX!A1" display="SPTAX" xr:uid="{D4FAC5D6-4037-4A65-A0D9-D704939DC5E7}"/>
    <hyperlink ref="B24" location="SRURAL!A1" display="SRURAL" xr:uid="{36B3B3BC-33BC-400D-8531-58D15805DBE5}"/>
    <hyperlink ref="B25" location="SSFUND!A1" display="SSFUND" xr:uid="{0EC78899-93D3-4D9A-B1CD-712EE045112B}"/>
    <hyperlink ref="B26" location="STAX!A1" display="STAX" xr:uid="{D11423E1-EE0A-4757-B24C-FEF1F53012B9}"/>
    <hyperlink ref="B27" location="SUNBCF!A1" display="SUNBCF" xr:uid="{F337280A-5947-4917-82EF-1C27657EBEE5}"/>
    <hyperlink ref="B29" location="SUNFOP!A1" display="SUNFOP" xr:uid="{229BB5B0-4AA3-4482-80DE-7316415CE211}"/>
    <hyperlink ref="B3" location="GLOB!A1" display="GLOB" xr:uid="{160063F1-B137-450C-AD9F-D36A77E42D19}"/>
    <hyperlink ref="B28" location="SUNFCF!A1" display="SUNFCF" xr:uid="{DE26C5BF-DFF4-4068-B129-1CB444C84438}"/>
    <hyperlink ref="B18" location="SPDYF!A1" display="SPDYF" xr:uid="{DF3944DA-4ED6-4440-B9E6-AF15348A1F99}"/>
    <hyperlink ref="B30" location="SUNMAF!A1" display="SUNMAF" xr:uid="{D60439D1-A2CF-4E96-A463-BE87DD94695D}"/>
    <hyperlink ref="B2" location="CAPEXG!A1" display="CAPEXG" xr:uid="{B4A092D0-A307-416C-9A51-63778BDA74C5}"/>
    <hyperlink ref="B31" location="SUNCYF!A1" display="SUNCYF" xr:uid="{97718016-C861-49F6-9ACA-3D0840037CD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485F7-DDAE-455D-91C5-EFA5A806F80B}">
  <sheetPr>
    <outlinePr summaryBelow="0" summaryRight="0"/>
  </sheetPr>
  <dimension ref="A1:Q15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8.85546875" customWidth="1"/>
    <col min="9" max="9" width="5.7109375" bestFit="1" customWidth="1"/>
    <col min="10" max="10" width="50.7109375" style="9" customWidth="1"/>
  </cols>
  <sheetData>
    <row r="1" spans="1:10" ht="15" customHeight="1" x14ac:dyDescent="0.2">
      <c r="A1" s="158" t="s">
        <v>0</v>
      </c>
      <c r="B1" s="158"/>
      <c r="C1" s="158"/>
      <c r="D1" s="158"/>
      <c r="E1" s="158"/>
      <c r="F1" s="158"/>
      <c r="G1" s="158"/>
      <c r="H1" s="158"/>
      <c r="I1" s="10" t="s">
        <v>941</v>
      </c>
      <c r="J1" s="7"/>
    </row>
    <row r="2" spans="1:10" ht="15" customHeight="1" x14ac:dyDescent="0.2">
      <c r="A2" s="158" t="s">
        <v>1</v>
      </c>
      <c r="B2" s="158"/>
      <c r="C2" s="158"/>
      <c r="D2" s="158"/>
      <c r="E2" s="158"/>
      <c r="F2" s="158"/>
      <c r="G2" s="158"/>
      <c r="H2" s="158"/>
      <c r="J2" s="11" t="s">
        <v>942</v>
      </c>
    </row>
    <row r="3" spans="1:10" ht="15" customHeight="1" x14ac:dyDescent="0.2">
      <c r="A3" s="158" t="s">
        <v>880</v>
      </c>
      <c r="B3" s="158"/>
      <c r="C3" s="158"/>
      <c r="D3" s="158"/>
      <c r="E3" s="158"/>
      <c r="F3" s="158"/>
      <c r="G3" s="158"/>
      <c r="H3" s="158"/>
      <c r="J3" s="7"/>
    </row>
    <row r="4" spans="1:10" s="1" customFormat="1" ht="33" customHeight="1" x14ac:dyDescent="0.2">
      <c r="A4" s="36" t="s">
        <v>2</v>
      </c>
      <c r="B4" s="36" t="s">
        <v>3</v>
      </c>
      <c r="C4" s="36" t="s">
        <v>4</v>
      </c>
      <c r="D4" s="36" t="s">
        <v>5</v>
      </c>
      <c r="E4" s="36" t="s">
        <v>6</v>
      </c>
      <c r="F4" s="36" t="s">
        <v>7</v>
      </c>
      <c r="G4" s="36" t="s">
        <v>8</v>
      </c>
      <c r="H4" s="37" t="s">
        <v>921</v>
      </c>
      <c r="J4" s="7"/>
    </row>
    <row r="5" spans="1:10" x14ac:dyDescent="0.2">
      <c r="A5" s="38"/>
      <c r="B5" s="38"/>
      <c r="C5" s="39" t="s">
        <v>9</v>
      </c>
      <c r="D5" s="38"/>
      <c r="E5" s="38"/>
      <c r="F5" s="38"/>
      <c r="G5" s="38"/>
      <c r="H5" s="40" t="s">
        <v>151</v>
      </c>
      <c r="J5" s="7"/>
    </row>
    <row r="6" spans="1:10" x14ac:dyDescent="0.2">
      <c r="A6" s="41"/>
      <c r="B6" s="41"/>
      <c r="C6" s="42" t="s">
        <v>10</v>
      </c>
      <c r="D6" s="41"/>
      <c r="E6" s="41"/>
      <c r="F6" s="41"/>
      <c r="G6" s="41"/>
      <c r="H6" s="40" t="s">
        <v>151</v>
      </c>
      <c r="J6" s="7"/>
    </row>
    <row r="7" spans="1:10" x14ac:dyDescent="0.2">
      <c r="A7" s="43">
        <v>1</v>
      </c>
      <c r="B7" s="44" t="s">
        <v>11</v>
      </c>
      <c r="C7" s="44" t="s">
        <v>12</v>
      </c>
      <c r="D7" s="44" t="s">
        <v>13</v>
      </c>
      <c r="E7" s="45">
        <v>205000</v>
      </c>
      <c r="F7" s="46">
        <v>7820.75</v>
      </c>
      <c r="G7" s="47">
        <v>7.3266730000000002E-2</v>
      </c>
      <c r="H7" s="40" t="s">
        <v>151</v>
      </c>
      <c r="J7" s="7"/>
    </row>
    <row r="8" spans="1:10" x14ac:dyDescent="0.2">
      <c r="A8" s="43">
        <v>2</v>
      </c>
      <c r="B8" s="44" t="s">
        <v>14</v>
      </c>
      <c r="C8" s="44" t="s">
        <v>15</v>
      </c>
      <c r="D8" s="44" t="s">
        <v>16</v>
      </c>
      <c r="E8" s="45">
        <v>1570000</v>
      </c>
      <c r="F8" s="46">
        <v>6531.2</v>
      </c>
      <c r="G8" s="47">
        <v>6.1185910000000003E-2</v>
      </c>
      <c r="H8" s="40" t="s">
        <v>151</v>
      </c>
      <c r="J8" s="7"/>
    </row>
    <row r="9" spans="1:10" x14ac:dyDescent="0.2">
      <c r="A9" s="43">
        <v>3</v>
      </c>
      <c r="B9" s="44" t="s">
        <v>17</v>
      </c>
      <c r="C9" s="44" t="s">
        <v>18</v>
      </c>
      <c r="D9" s="44" t="s">
        <v>19</v>
      </c>
      <c r="E9" s="45">
        <v>435000</v>
      </c>
      <c r="F9" s="46">
        <v>6488.2425000000003</v>
      </c>
      <c r="G9" s="47">
        <v>6.0783469999999999E-2</v>
      </c>
      <c r="H9" s="40" t="s">
        <v>151</v>
      </c>
      <c r="J9" s="7"/>
    </row>
    <row r="10" spans="1:10" x14ac:dyDescent="0.2">
      <c r="A10" s="43">
        <v>4</v>
      </c>
      <c r="B10" s="44" t="s">
        <v>20</v>
      </c>
      <c r="C10" s="44" t="s">
        <v>21</v>
      </c>
      <c r="D10" s="44" t="s">
        <v>22</v>
      </c>
      <c r="E10" s="45">
        <v>206000</v>
      </c>
      <c r="F10" s="46">
        <v>6202.3509999999997</v>
      </c>
      <c r="G10" s="47">
        <v>5.8105169999999998E-2</v>
      </c>
      <c r="H10" s="40" t="s">
        <v>151</v>
      </c>
      <c r="J10" s="7"/>
    </row>
    <row r="11" spans="1:10" ht="25.5" x14ac:dyDescent="0.2">
      <c r="A11" s="43">
        <v>5</v>
      </c>
      <c r="B11" s="44" t="s">
        <v>23</v>
      </c>
      <c r="C11" s="44" t="s">
        <v>24</v>
      </c>
      <c r="D11" s="44" t="s">
        <v>25</v>
      </c>
      <c r="E11" s="45">
        <v>32000</v>
      </c>
      <c r="F11" s="46">
        <v>3803.904</v>
      </c>
      <c r="G11" s="47">
        <v>3.5635920000000001E-2</v>
      </c>
      <c r="H11" s="40" t="s">
        <v>151</v>
      </c>
      <c r="J11" s="7"/>
    </row>
    <row r="12" spans="1:10" ht="15" x14ac:dyDescent="0.2">
      <c r="A12" s="43">
        <v>6</v>
      </c>
      <c r="B12" s="44" t="s">
        <v>26</v>
      </c>
      <c r="C12" s="44" t="s">
        <v>27</v>
      </c>
      <c r="D12" s="44" t="s">
        <v>16</v>
      </c>
      <c r="E12" s="45">
        <v>780000</v>
      </c>
      <c r="F12" s="46">
        <v>2715.96</v>
      </c>
      <c r="G12" s="47">
        <v>2.5443790000000001E-2</v>
      </c>
      <c r="H12" s="40" t="s">
        <v>151</v>
      </c>
      <c r="J12" s="12"/>
    </row>
    <row r="13" spans="1:10" x14ac:dyDescent="0.2">
      <c r="A13" s="43">
        <v>7</v>
      </c>
      <c r="B13" s="44" t="s">
        <v>28</v>
      </c>
      <c r="C13" s="44" t="s">
        <v>29</v>
      </c>
      <c r="D13" s="44" t="s">
        <v>30</v>
      </c>
      <c r="E13" s="45">
        <v>650000</v>
      </c>
      <c r="F13" s="46">
        <v>2054.3249999999998</v>
      </c>
      <c r="G13" s="47">
        <v>1.9245430000000001E-2</v>
      </c>
      <c r="H13" s="40" t="s">
        <v>151</v>
      </c>
      <c r="J13" s="7"/>
    </row>
    <row r="14" spans="1:10" x14ac:dyDescent="0.2">
      <c r="A14" s="43">
        <v>8</v>
      </c>
      <c r="B14" s="44" t="s">
        <v>31</v>
      </c>
      <c r="C14" s="44" t="s">
        <v>32</v>
      </c>
      <c r="D14" s="44" t="s">
        <v>33</v>
      </c>
      <c r="E14" s="45">
        <v>209750</v>
      </c>
      <c r="F14" s="46">
        <v>2017.0608749999999</v>
      </c>
      <c r="G14" s="47">
        <v>1.8896329999999999E-2</v>
      </c>
      <c r="H14" s="40" t="s">
        <v>151</v>
      </c>
      <c r="J14" s="7"/>
    </row>
    <row r="15" spans="1:10" x14ac:dyDescent="0.2">
      <c r="A15" s="43">
        <v>9</v>
      </c>
      <c r="B15" s="44" t="s">
        <v>34</v>
      </c>
      <c r="C15" s="44" t="s">
        <v>35</v>
      </c>
      <c r="D15" s="44" t="s">
        <v>33</v>
      </c>
      <c r="E15" s="45">
        <v>31400</v>
      </c>
      <c r="F15" s="46">
        <v>2005.7221</v>
      </c>
      <c r="G15" s="47">
        <v>1.8790100000000001E-2</v>
      </c>
      <c r="H15" s="40" t="s">
        <v>151</v>
      </c>
      <c r="J15" s="7" t="s">
        <v>943</v>
      </c>
    </row>
    <row r="16" spans="1:10" x14ac:dyDescent="0.2">
      <c r="A16" s="43">
        <v>10</v>
      </c>
      <c r="B16" s="44" t="s">
        <v>36</v>
      </c>
      <c r="C16" s="44" t="s">
        <v>37</v>
      </c>
      <c r="D16" s="44" t="s">
        <v>38</v>
      </c>
      <c r="E16" s="45">
        <v>580000</v>
      </c>
      <c r="F16" s="46">
        <v>1938.36</v>
      </c>
      <c r="G16" s="47">
        <v>1.8159040000000001E-2</v>
      </c>
      <c r="H16" s="40" t="s">
        <v>151</v>
      </c>
      <c r="J16" s="7"/>
    </row>
    <row r="17" spans="1:10" x14ac:dyDescent="0.2">
      <c r="A17" s="43">
        <v>11</v>
      </c>
      <c r="B17" s="44" t="s">
        <v>39</v>
      </c>
      <c r="C17" s="44" t="s">
        <v>40</v>
      </c>
      <c r="D17" s="44" t="s">
        <v>22</v>
      </c>
      <c r="E17" s="45">
        <v>550000</v>
      </c>
      <c r="F17" s="46">
        <v>1925.2750000000001</v>
      </c>
      <c r="G17" s="47">
        <v>1.8036460000000001E-2</v>
      </c>
      <c r="H17" s="40" t="s">
        <v>151</v>
      </c>
      <c r="J17" s="7"/>
    </row>
    <row r="18" spans="1:10" x14ac:dyDescent="0.2">
      <c r="A18" s="43">
        <v>12</v>
      </c>
      <c r="B18" s="44" t="s">
        <v>41</v>
      </c>
      <c r="C18" s="44" t="s">
        <v>42</v>
      </c>
      <c r="D18" s="44" t="s">
        <v>13</v>
      </c>
      <c r="E18" s="45">
        <v>530000</v>
      </c>
      <c r="F18" s="46">
        <v>1897.135</v>
      </c>
      <c r="G18" s="47">
        <v>1.777283E-2</v>
      </c>
      <c r="H18" s="40" t="s">
        <v>151</v>
      </c>
      <c r="J18" s="7"/>
    </row>
    <row r="19" spans="1:10" x14ac:dyDescent="0.2">
      <c r="A19" s="43">
        <v>13</v>
      </c>
      <c r="B19" s="44" t="s">
        <v>43</v>
      </c>
      <c r="C19" s="44" t="s">
        <v>44</v>
      </c>
      <c r="D19" s="44" t="s">
        <v>45</v>
      </c>
      <c r="E19" s="45">
        <v>138000</v>
      </c>
      <c r="F19" s="46">
        <v>1676.5619999999999</v>
      </c>
      <c r="G19" s="47">
        <v>1.570645E-2</v>
      </c>
      <c r="H19" s="40" t="s">
        <v>151</v>
      </c>
      <c r="J19" s="7"/>
    </row>
    <row r="20" spans="1:10" x14ac:dyDescent="0.2">
      <c r="A20" s="43">
        <v>14</v>
      </c>
      <c r="B20" s="44" t="s">
        <v>46</v>
      </c>
      <c r="C20" s="44" t="s">
        <v>47</v>
      </c>
      <c r="D20" s="44" t="s">
        <v>13</v>
      </c>
      <c r="E20" s="45">
        <v>330000</v>
      </c>
      <c r="F20" s="46">
        <v>1670.13</v>
      </c>
      <c r="G20" s="47">
        <v>1.5646190000000001E-2</v>
      </c>
      <c r="H20" s="40" t="s">
        <v>151</v>
      </c>
      <c r="J20" s="7"/>
    </row>
    <row r="21" spans="1:10" x14ac:dyDescent="0.2">
      <c r="A21" s="43">
        <v>15</v>
      </c>
      <c r="B21" s="44" t="s">
        <v>48</v>
      </c>
      <c r="C21" s="44" t="s">
        <v>49</v>
      </c>
      <c r="D21" s="44" t="s">
        <v>50</v>
      </c>
      <c r="E21" s="45">
        <v>400000</v>
      </c>
      <c r="F21" s="46">
        <v>1661.6</v>
      </c>
      <c r="G21" s="47">
        <v>1.556628E-2</v>
      </c>
      <c r="H21" s="40" t="s">
        <v>151</v>
      </c>
      <c r="J21" s="7"/>
    </row>
    <row r="22" spans="1:10" ht="15" x14ac:dyDescent="0.2">
      <c r="A22" s="43">
        <v>16</v>
      </c>
      <c r="B22" s="44" t="s">
        <v>51</v>
      </c>
      <c r="C22" s="44" t="s">
        <v>52</v>
      </c>
      <c r="D22" s="44" t="s">
        <v>45</v>
      </c>
      <c r="E22" s="45">
        <v>190000</v>
      </c>
      <c r="F22" s="46">
        <v>1657.56</v>
      </c>
      <c r="G22" s="47">
        <v>1.5528439999999999E-2</v>
      </c>
      <c r="H22" s="40" t="s">
        <v>151</v>
      </c>
      <c r="J22" s="12"/>
    </row>
    <row r="23" spans="1:10" x14ac:dyDescent="0.2">
      <c r="A23" s="43">
        <v>17</v>
      </c>
      <c r="B23" s="44" t="s">
        <v>53</v>
      </c>
      <c r="C23" s="44" t="s">
        <v>54</v>
      </c>
      <c r="D23" s="44" t="s">
        <v>19</v>
      </c>
      <c r="E23" s="45">
        <v>140000</v>
      </c>
      <c r="F23" s="46">
        <v>1592.36</v>
      </c>
      <c r="G23" s="47">
        <v>1.4917629999999999E-2</v>
      </c>
      <c r="H23" s="40" t="s">
        <v>151</v>
      </c>
      <c r="J23" s="7"/>
    </row>
    <row r="24" spans="1:10" x14ac:dyDescent="0.2">
      <c r="A24" s="43">
        <v>18</v>
      </c>
      <c r="B24" s="44" t="s">
        <v>55</v>
      </c>
      <c r="C24" s="44" t="s">
        <v>56</v>
      </c>
      <c r="D24" s="44" t="s">
        <v>16</v>
      </c>
      <c r="E24" s="45">
        <v>350000</v>
      </c>
      <c r="F24" s="46">
        <v>1587.6</v>
      </c>
      <c r="G24" s="47">
        <v>1.4873030000000001E-2</v>
      </c>
      <c r="H24" s="40" t="s">
        <v>151</v>
      </c>
      <c r="J24" s="7"/>
    </row>
    <row r="25" spans="1:10" x14ac:dyDescent="0.2">
      <c r="A25" s="43">
        <v>19</v>
      </c>
      <c r="B25" s="44" t="s">
        <v>57</v>
      </c>
      <c r="C25" s="44" t="s">
        <v>58</v>
      </c>
      <c r="D25" s="44" t="s">
        <v>13</v>
      </c>
      <c r="E25" s="45">
        <v>110000</v>
      </c>
      <c r="F25" s="46">
        <v>1508.0450000000001</v>
      </c>
      <c r="G25" s="47">
        <v>1.412774E-2</v>
      </c>
      <c r="H25" s="40" t="s">
        <v>151</v>
      </c>
      <c r="J25" s="7"/>
    </row>
    <row r="26" spans="1:10" x14ac:dyDescent="0.2">
      <c r="A26" s="43">
        <v>20</v>
      </c>
      <c r="B26" s="44" t="s">
        <v>59</v>
      </c>
      <c r="C26" s="44" t="s">
        <v>60</v>
      </c>
      <c r="D26" s="44" t="s">
        <v>61</v>
      </c>
      <c r="E26" s="45">
        <v>119000</v>
      </c>
      <c r="F26" s="46">
        <v>1496.663</v>
      </c>
      <c r="G26" s="47">
        <v>1.402111E-2</v>
      </c>
      <c r="H26" s="40" t="s">
        <v>151</v>
      </c>
      <c r="J26" s="7"/>
    </row>
    <row r="27" spans="1:10" x14ac:dyDescent="0.2">
      <c r="A27" s="43">
        <v>21</v>
      </c>
      <c r="B27" s="44" t="s">
        <v>62</v>
      </c>
      <c r="C27" s="44" t="s">
        <v>63</v>
      </c>
      <c r="D27" s="44" t="s">
        <v>64</v>
      </c>
      <c r="E27" s="45">
        <v>620000</v>
      </c>
      <c r="F27" s="46">
        <v>1494.0139999999999</v>
      </c>
      <c r="G27" s="47">
        <v>1.39963E-2</v>
      </c>
      <c r="H27" s="40" t="s">
        <v>151</v>
      </c>
      <c r="J27" s="7"/>
    </row>
    <row r="28" spans="1:10" x14ac:dyDescent="0.2">
      <c r="A28" s="43">
        <v>22</v>
      </c>
      <c r="B28" s="44" t="s">
        <v>65</v>
      </c>
      <c r="C28" s="44" t="s">
        <v>66</v>
      </c>
      <c r="D28" s="44" t="s">
        <v>50</v>
      </c>
      <c r="E28" s="45">
        <v>16000</v>
      </c>
      <c r="F28" s="46">
        <v>1476.704</v>
      </c>
      <c r="G28" s="47">
        <v>1.383413E-2</v>
      </c>
      <c r="H28" s="40" t="s">
        <v>151</v>
      </c>
      <c r="J28" s="7"/>
    </row>
    <row r="29" spans="1:10" x14ac:dyDescent="0.2">
      <c r="A29" s="43">
        <v>23</v>
      </c>
      <c r="B29" s="44" t="s">
        <v>67</v>
      </c>
      <c r="C29" s="44" t="s">
        <v>68</v>
      </c>
      <c r="D29" s="44" t="s">
        <v>50</v>
      </c>
      <c r="E29" s="45">
        <v>20000</v>
      </c>
      <c r="F29" s="46">
        <v>1426.58</v>
      </c>
      <c r="G29" s="47">
        <v>1.3364559999999999E-2</v>
      </c>
      <c r="H29" s="40" t="s">
        <v>151</v>
      </c>
      <c r="J29" s="7"/>
    </row>
    <row r="30" spans="1:10" x14ac:dyDescent="0.2">
      <c r="A30" s="43">
        <v>24</v>
      </c>
      <c r="B30" s="44" t="s">
        <v>69</v>
      </c>
      <c r="C30" s="44" t="s">
        <v>70</v>
      </c>
      <c r="D30" s="44" t="s">
        <v>33</v>
      </c>
      <c r="E30" s="45">
        <v>114785</v>
      </c>
      <c r="F30" s="46">
        <v>1416.6764700000001</v>
      </c>
      <c r="G30" s="47">
        <v>1.327178E-2</v>
      </c>
      <c r="H30" s="40" t="s">
        <v>151</v>
      </c>
      <c r="J30" s="7"/>
    </row>
    <row r="31" spans="1:10" ht="25.5" x14ac:dyDescent="0.2">
      <c r="A31" s="43">
        <v>25</v>
      </c>
      <c r="B31" s="44" t="s">
        <v>71</v>
      </c>
      <c r="C31" s="44" t="s">
        <v>72</v>
      </c>
      <c r="D31" s="44" t="s">
        <v>73</v>
      </c>
      <c r="E31" s="45">
        <v>2600</v>
      </c>
      <c r="F31" s="46">
        <v>1415.8806999999999</v>
      </c>
      <c r="G31" s="47">
        <v>1.326432E-2</v>
      </c>
      <c r="H31" s="40" t="s">
        <v>151</v>
      </c>
      <c r="J31" s="7"/>
    </row>
    <row r="32" spans="1:10" x14ac:dyDescent="0.2">
      <c r="A32" s="43">
        <v>26</v>
      </c>
      <c r="B32" s="44" t="s">
        <v>74</v>
      </c>
      <c r="C32" s="44" t="s">
        <v>75</v>
      </c>
      <c r="D32" s="44" t="s">
        <v>76</v>
      </c>
      <c r="E32" s="45">
        <v>130000</v>
      </c>
      <c r="F32" s="46">
        <v>1352.585</v>
      </c>
      <c r="G32" s="47">
        <v>1.267135E-2</v>
      </c>
      <c r="H32" s="40" t="s">
        <v>151</v>
      </c>
      <c r="J32" s="7"/>
    </row>
    <row r="33" spans="1:10" x14ac:dyDescent="0.2">
      <c r="A33" s="43">
        <v>27</v>
      </c>
      <c r="B33" s="44" t="s">
        <v>77</v>
      </c>
      <c r="C33" s="44" t="s">
        <v>78</v>
      </c>
      <c r="D33" s="44" t="s">
        <v>33</v>
      </c>
      <c r="E33" s="45">
        <v>35000</v>
      </c>
      <c r="F33" s="46">
        <v>1348.3225</v>
      </c>
      <c r="G33" s="47">
        <v>1.2631420000000001E-2</v>
      </c>
      <c r="H33" s="40" t="s">
        <v>151</v>
      </c>
      <c r="J33" s="7"/>
    </row>
    <row r="34" spans="1:10" ht="25.5" x14ac:dyDescent="0.2">
      <c r="A34" s="43">
        <v>28</v>
      </c>
      <c r="B34" s="44" t="s">
        <v>79</v>
      </c>
      <c r="C34" s="44" t="s">
        <v>80</v>
      </c>
      <c r="D34" s="44" t="s">
        <v>81</v>
      </c>
      <c r="E34" s="45">
        <v>85000</v>
      </c>
      <c r="F34" s="46">
        <v>1334.415</v>
      </c>
      <c r="G34" s="47">
        <v>1.2501129999999999E-2</v>
      </c>
      <c r="H34" s="40" t="s">
        <v>151</v>
      </c>
      <c r="J34" s="7"/>
    </row>
    <row r="35" spans="1:10" ht="25.5" x14ac:dyDescent="0.2">
      <c r="A35" s="43">
        <v>29</v>
      </c>
      <c r="B35" s="44" t="s">
        <v>82</v>
      </c>
      <c r="C35" s="44" t="s">
        <v>83</v>
      </c>
      <c r="D35" s="44" t="s">
        <v>25</v>
      </c>
      <c r="E35" s="45">
        <v>30000</v>
      </c>
      <c r="F35" s="46">
        <v>1325.085</v>
      </c>
      <c r="G35" s="47">
        <v>1.241373E-2</v>
      </c>
      <c r="H35" s="40" t="s">
        <v>151</v>
      </c>
      <c r="J35" s="7"/>
    </row>
    <row r="36" spans="1:10" x14ac:dyDescent="0.2">
      <c r="A36" s="43">
        <v>30</v>
      </c>
      <c r="B36" s="44" t="s">
        <v>84</v>
      </c>
      <c r="C36" s="44" t="s">
        <v>85</v>
      </c>
      <c r="D36" s="44" t="s">
        <v>86</v>
      </c>
      <c r="E36" s="45">
        <v>200000</v>
      </c>
      <c r="F36" s="46">
        <v>1288.5</v>
      </c>
      <c r="G36" s="47">
        <v>1.207099E-2</v>
      </c>
      <c r="H36" s="40" t="s">
        <v>151</v>
      </c>
      <c r="J36" s="7"/>
    </row>
    <row r="37" spans="1:10" x14ac:dyDescent="0.2">
      <c r="A37" s="43">
        <v>31</v>
      </c>
      <c r="B37" s="44" t="s">
        <v>87</v>
      </c>
      <c r="C37" s="44" t="s">
        <v>88</v>
      </c>
      <c r="D37" s="44" t="s">
        <v>89</v>
      </c>
      <c r="E37" s="45">
        <v>23000</v>
      </c>
      <c r="F37" s="46">
        <v>1285.585</v>
      </c>
      <c r="G37" s="47">
        <v>1.2043679999999999E-2</v>
      </c>
      <c r="H37" s="40" t="s">
        <v>151</v>
      </c>
      <c r="J37" s="7"/>
    </row>
    <row r="38" spans="1:10" x14ac:dyDescent="0.2">
      <c r="A38" s="43">
        <v>32</v>
      </c>
      <c r="B38" s="44" t="s">
        <v>90</v>
      </c>
      <c r="C38" s="44" t="s">
        <v>91</v>
      </c>
      <c r="D38" s="44" t="s">
        <v>86</v>
      </c>
      <c r="E38" s="45">
        <v>230000</v>
      </c>
      <c r="F38" s="46">
        <v>1280.6400000000001</v>
      </c>
      <c r="G38" s="47">
        <v>1.199735E-2</v>
      </c>
      <c r="H38" s="40" t="s">
        <v>151</v>
      </c>
      <c r="J38" s="7"/>
    </row>
    <row r="39" spans="1:10" x14ac:dyDescent="0.2">
      <c r="A39" s="43">
        <v>33</v>
      </c>
      <c r="B39" s="44" t="s">
        <v>92</v>
      </c>
      <c r="C39" s="44" t="s">
        <v>93</v>
      </c>
      <c r="D39" s="44" t="s">
        <v>61</v>
      </c>
      <c r="E39" s="45">
        <v>70000</v>
      </c>
      <c r="F39" s="46">
        <v>1260.1400000000001</v>
      </c>
      <c r="G39" s="47">
        <v>1.1805309999999999E-2</v>
      </c>
      <c r="H39" s="40" t="s">
        <v>151</v>
      </c>
      <c r="J39" s="7"/>
    </row>
    <row r="40" spans="1:10" x14ac:dyDescent="0.2">
      <c r="A40" s="43">
        <v>34</v>
      </c>
      <c r="B40" s="44" t="s">
        <v>94</v>
      </c>
      <c r="C40" s="44" t="s">
        <v>95</v>
      </c>
      <c r="D40" s="44" t="s">
        <v>33</v>
      </c>
      <c r="E40" s="45">
        <v>29000</v>
      </c>
      <c r="F40" s="46">
        <v>1255.6565000000001</v>
      </c>
      <c r="G40" s="47">
        <v>1.1763300000000001E-2</v>
      </c>
      <c r="H40" s="40" t="s">
        <v>151</v>
      </c>
      <c r="J40" s="7"/>
    </row>
    <row r="41" spans="1:10" x14ac:dyDescent="0.2">
      <c r="A41" s="43">
        <v>35</v>
      </c>
      <c r="B41" s="44" t="s">
        <v>96</v>
      </c>
      <c r="C41" s="44" t="s">
        <v>97</v>
      </c>
      <c r="D41" s="44" t="s">
        <v>33</v>
      </c>
      <c r="E41" s="45">
        <v>48000</v>
      </c>
      <c r="F41" s="46">
        <v>1242.5039999999999</v>
      </c>
      <c r="G41" s="47">
        <v>1.1640090000000001E-2</v>
      </c>
      <c r="H41" s="40" t="s">
        <v>151</v>
      </c>
      <c r="J41" s="7"/>
    </row>
    <row r="42" spans="1:10" x14ac:dyDescent="0.2">
      <c r="A42" s="43">
        <v>36</v>
      </c>
      <c r="B42" s="44" t="s">
        <v>98</v>
      </c>
      <c r="C42" s="44" t="s">
        <v>99</v>
      </c>
      <c r="D42" s="44" t="s">
        <v>100</v>
      </c>
      <c r="E42" s="45">
        <v>10000</v>
      </c>
      <c r="F42" s="46">
        <v>1210.645</v>
      </c>
      <c r="G42" s="47">
        <v>1.134162E-2</v>
      </c>
      <c r="H42" s="40" t="s">
        <v>151</v>
      </c>
      <c r="J42" s="7"/>
    </row>
    <row r="43" spans="1:10" x14ac:dyDescent="0.2">
      <c r="A43" s="43">
        <v>37</v>
      </c>
      <c r="B43" s="44" t="s">
        <v>101</v>
      </c>
      <c r="C43" s="44" t="s">
        <v>102</v>
      </c>
      <c r="D43" s="44" t="s">
        <v>76</v>
      </c>
      <c r="E43" s="45">
        <v>27000</v>
      </c>
      <c r="F43" s="46">
        <v>1207.4939999999999</v>
      </c>
      <c r="G43" s="47">
        <v>1.13121E-2</v>
      </c>
      <c r="H43" s="40" t="s">
        <v>151</v>
      </c>
      <c r="J43" s="7"/>
    </row>
    <row r="44" spans="1:10" ht="25.5" x14ac:dyDescent="0.2">
      <c r="A44" s="43">
        <v>38</v>
      </c>
      <c r="B44" s="44" t="s">
        <v>103</v>
      </c>
      <c r="C44" s="44" t="s">
        <v>104</v>
      </c>
      <c r="D44" s="44" t="s">
        <v>25</v>
      </c>
      <c r="E44" s="45">
        <v>175000</v>
      </c>
      <c r="F44" s="46">
        <v>1189.9124999999999</v>
      </c>
      <c r="G44" s="47">
        <v>1.11474E-2</v>
      </c>
      <c r="H44" s="40" t="s">
        <v>151</v>
      </c>
      <c r="J44" s="7"/>
    </row>
    <row r="45" spans="1:10" x14ac:dyDescent="0.2">
      <c r="A45" s="43">
        <v>39</v>
      </c>
      <c r="B45" s="44" t="s">
        <v>105</v>
      </c>
      <c r="C45" s="44" t="s">
        <v>106</v>
      </c>
      <c r="D45" s="44" t="s">
        <v>107</v>
      </c>
      <c r="E45" s="45">
        <v>225000</v>
      </c>
      <c r="F45" s="46">
        <v>1174.95</v>
      </c>
      <c r="G45" s="47">
        <v>1.100722E-2</v>
      </c>
      <c r="H45" s="40" t="s">
        <v>151</v>
      </c>
      <c r="J45" s="7"/>
    </row>
    <row r="46" spans="1:10" x14ac:dyDescent="0.2">
      <c r="A46" s="43">
        <v>40</v>
      </c>
      <c r="B46" s="44" t="s">
        <v>108</v>
      </c>
      <c r="C46" s="44" t="s">
        <v>109</v>
      </c>
      <c r="D46" s="44" t="s">
        <v>33</v>
      </c>
      <c r="E46" s="45">
        <v>85000</v>
      </c>
      <c r="F46" s="46">
        <v>1153.0250000000001</v>
      </c>
      <c r="G46" s="47">
        <v>1.080183E-2</v>
      </c>
      <c r="H46" s="40" t="s">
        <v>151</v>
      </c>
      <c r="J46" s="7"/>
    </row>
    <row r="47" spans="1:10" x14ac:dyDescent="0.2">
      <c r="A47" s="43">
        <v>41</v>
      </c>
      <c r="B47" s="44" t="s">
        <v>110</v>
      </c>
      <c r="C47" s="44" t="s">
        <v>111</v>
      </c>
      <c r="D47" s="44" t="s">
        <v>13</v>
      </c>
      <c r="E47" s="45">
        <v>165000</v>
      </c>
      <c r="F47" s="46">
        <v>1134.7874999999999</v>
      </c>
      <c r="G47" s="47">
        <v>1.063097E-2</v>
      </c>
      <c r="H47" s="40" t="s">
        <v>151</v>
      </c>
      <c r="J47" s="7"/>
    </row>
    <row r="48" spans="1:10" x14ac:dyDescent="0.2">
      <c r="A48" s="43">
        <v>42</v>
      </c>
      <c r="B48" s="44" t="s">
        <v>112</v>
      </c>
      <c r="C48" s="44" t="s">
        <v>113</v>
      </c>
      <c r="D48" s="44" t="s">
        <v>50</v>
      </c>
      <c r="E48" s="45">
        <v>22000</v>
      </c>
      <c r="F48" s="46">
        <v>1115.796</v>
      </c>
      <c r="G48" s="47">
        <v>1.045306E-2</v>
      </c>
      <c r="H48" s="40" t="s">
        <v>151</v>
      </c>
      <c r="J48" s="7"/>
    </row>
    <row r="49" spans="1:10" x14ac:dyDescent="0.2">
      <c r="A49" s="43">
        <v>43</v>
      </c>
      <c r="B49" s="44" t="s">
        <v>114</v>
      </c>
      <c r="C49" s="44" t="s">
        <v>115</v>
      </c>
      <c r="D49" s="44" t="s">
        <v>50</v>
      </c>
      <c r="E49" s="45">
        <v>150000</v>
      </c>
      <c r="F49" s="46">
        <v>1104</v>
      </c>
      <c r="G49" s="47">
        <v>1.0342550000000001E-2</v>
      </c>
      <c r="H49" s="40" t="s">
        <v>151</v>
      </c>
      <c r="J49" s="7"/>
    </row>
    <row r="50" spans="1:10" x14ac:dyDescent="0.2">
      <c r="A50" s="43">
        <v>44</v>
      </c>
      <c r="B50" s="44" t="s">
        <v>116</v>
      </c>
      <c r="C50" s="44" t="s">
        <v>117</v>
      </c>
      <c r="D50" s="44" t="s">
        <v>30</v>
      </c>
      <c r="E50" s="45">
        <v>22000</v>
      </c>
      <c r="F50" s="46">
        <v>1083.027</v>
      </c>
      <c r="G50" s="47">
        <v>1.014607E-2</v>
      </c>
      <c r="H50" s="40" t="s">
        <v>151</v>
      </c>
      <c r="J50" s="7"/>
    </row>
    <row r="51" spans="1:10" x14ac:dyDescent="0.2">
      <c r="A51" s="43">
        <v>45</v>
      </c>
      <c r="B51" s="44" t="s">
        <v>118</v>
      </c>
      <c r="C51" s="44" t="s">
        <v>119</v>
      </c>
      <c r="D51" s="44" t="s">
        <v>19</v>
      </c>
      <c r="E51" s="45">
        <v>250000</v>
      </c>
      <c r="F51" s="46">
        <v>1082.875</v>
      </c>
      <c r="G51" s="47">
        <v>1.014464E-2</v>
      </c>
      <c r="H51" s="40" t="s">
        <v>151</v>
      </c>
      <c r="J51" s="7"/>
    </row>
    <row r="52" spans="1:10" x14ac:dyDescent="0.2">
      <c r="A52" s="43">
        <v>46</v>
      </c>
      <c r="B52" s="44" t="s">
        <v>120</v>
      </c>
      <c r="C52" s="44" t="s">
        <v>121</v>
      </c>
      <c r="D52" s="44" t="s">
        <v>89</v>
      </c>
      <c r="E52" s="45">
        <v>25000</v>
      </c>
      <c r="F52" s="46">
        <v>1066.8375000000001</v>
      </c>
      <c r="G52" s="47">
        <v>9.9944000000000005E-3</v>
      </c>
      <c r="H52" s="40" t="s">
        <v>151</v>
      </c>
      <c r="J52" s="7"/>
    </row>
    <row r="53" spans="1:10" x14ac:dyDescent="0.2">
      <c r="A53" s="43">
        <v>47</v>
      </c>
      <c r="B53" s="44" t="s">
        <v>122</v>
      </c>
      <c r="C53" s="44" t="s">
        <v>123</v>
      </c>
      <c r="D53" s="44" t="s">
        <v>50</v>
      </c>
      <c r="E53" s="45">
        <v>9000</v>
      </c>
      <c r="F53" s="46">
        <v>1044.6389999999999</v>
      </c>
      <c r="G53" s="47">
        <v>9.7864400000000004E-3</v>
      </c>
      <c r="H53" s="40" t="s">
        <v>151</v>
      </c>
      <c r="J53" s="7"/>
    </row>
    <row r="54" spans="1:10" x14ac:dyDescent="0.2">
      <c r="A54" s="43">
        <v>48</v>
      </c>
      <c r="B54" s="44" t="s">
        <v>124</v>
      </c>
      <c r="C54" s="44" t="s">
        <v>125</v>
      </c>
      <c r="D54" s="44" t="s">
        <v>50</v>
      </c>
      <c r="E54" s="45">
        <v>175000</v>
      </c>
      <c r="F54" s="46">
        <v>1040.55</v>
      </c>
      <c r="G54" s="47">
        <v>9.7481300000000007E-3</v>
      </c>
      <c r="H54" s="40" t="s">
        <v>151</v>
      </c>
      <c r="J54" s="7"/>
    </row>
    <row r="55" spans="1:10" x14ac:dyDescent="0.2">
      <c r="A55" s="43">
        <v>49</v>
      </c>
      <c r="B55" s="44" t="s">
        <v>126</v>
      </c>
      <c r="C55" s="44" t="s">
        <v>127</v>
      </c>
      <c r="D55" s="44" t="s">
        <v>33</v>
      </c>
      <c r="E55" s="45">
        <v>550000</v>
      </c>
      <c r="F55" s="46">
        <v>967.45</v>
      </c>
      <c r="G55" s="47">
        <v>9.0633099999999998E-3</v>
      </c>
      <c r="H55" s="40" t="s">
        <v>151</v>
      </c>
      <c r="J55" s="7"/>
    </row>
    <row r="56" spans="1:10" x14ac:dyDescent="0.2">
      <c r="A56" s="43">
        <v>50</v>
      </c>
      <c r="B56" s="44" t="s">
        <v>128</v>
      </c>
      <c r="C56" s="44" t="s">
        <v>129</v>
      </c>
      <c r="D56" s="44" t="s">
        <v>76</v>
      </c>
      <c r="E56" s="45">
        <v>235000</v>
      </c>
      <c r="F56" s="46">
        <v>949.4</v>
      </c>
      <c r="G56" s="47">
        <v>8.8942199999999996E-3</v>
      </c>
      <c r="H56" s="40" t="s">
        <v>151</v>
      </c>
      <c r="J56" s="7"/>
    </row>
    <row r="57" spans="1:10" x14ac:dyDescent="0.2">
      <c r="A57" s="43">
        <v>51</v>
      </c>
      <c r="B57" s="44" t="s">
        <v>130</v>
      </c>
      <c r="C57" s="44" t="s">
        <v>131</v>
      </c>
      <c r="D57" s="44" t="s">
        <v>50</v>
      </c>
      <c r="E57" s="45">
        <v>12000</v>
      </c>
      <c r="F57" s="46">
        <v>947.62199999999996</v>
      </c>
      <c r="G57" s="47">
        <v>8.8775599999999996E-3</v>
      </c>
      <c r="H57" s="40" t="s">
        <v>151</v>
      </c>
      <c r="J57" s="7"/>
    </row>
    <row r="58" spans="1:10" x14ac:dyDescent="0.2">
      <c r="A58" s="43">
        <v>52</v>
      </c>
      <c r="B58" s="44" t="s">
        <v>132</v>
      </c>
      <c r="C58" s="44" t="s">
        <v>133</v>
      </c>
      <c r="D58" s="44" t="s">
        <v>50</v>
      </c>
      <c r="E58" s="45">
        <v>300000</v>
      </c>
      <c r="F58" s="46">
        <v>945.75</v>
      </c>
      <c r="G58" s="47">
        <v>8.8600199999999997E-3</v>
      </c>
      <c r="H58" s="40" t="s">
        <v>151</v>
      </c>
      <c r="J58" s="7"/>
    </row>
    <row r="59" spans="1:10" x14ac:dyDescent="0.2">
      <c r="A59" s="43">
        <v>53</v>
      </c>
      <c r="B59" s="44" t="s">
        <v>134</v>
      </c>
      <c r="C59" s="44" t="s">
        <v>135</v>
      </c>
      <c r="D59" s="44" t="s">
        <v>136</v>
      </c>
      <c r="E59" s="45">
        <v>92972</v>
      </c>
      <c r="F59" s="46">
        <v>918.79579000000001</v>
      </c>
      <c r="G59" s="47">
        <v>8.6075100000000005E-3</v>
      </c>
      <c r="H59" s="40" t="s">
        <v>151</v>
      </c>
      <c r="J59" s="7"/>
    </row>
    <row r="60" spans="1:10" x14ac:dyDescent="0.2">
      <c r="A60" s="43">
        <v>54</v>
      </c>
      <c r="B60" s="44" t="s">
        <v>137</v>
      </c>
      <c r="C60" s="44" t="s">
        <v>138</v>
      </c>
      <c r="D60" s="44" t="s">
        <v>33</v>
      </c>
      <c r="E60" s="45">
        <v>61000</v>
      </c>
      <c r="F60" s="46">
        <v>906.15499999999997</v>
      </c>
      <c r="G60" s="47">
        <v>8.4890899999999995E-3</v>
      </c>
      <c r="H60" s="40" t="s">
        <v>151</v>
      </c>
      <c r="J60" s="7"/>
    </row>
    <row r="61" spans="1:10" x14ac:dyDescent="0.2">
      <c r="A61" s="43">
        <v>55</v>
      </c>
      <c r="B61" s="44" t="s">
        <v>139</v>
      </c>
      <c r="C61" s="44" t="s">
        <v>140</v>
      </c>
      <c r="D61" s="44" t="s">
        <v>89</v>
      </c>
      <c r="E61" s="45">
        <v>104000</v>
      </c>
      <c r="F61" s="46">
        <v>906.1</v>
      </c>
      <c r="G61" s="47">
        <v>8.4885700000000008E-3</v>
      </c>
      <c r="H61" s="40" t="s">
        <v>151</v>
      </c>
      <c r="J61" s="7"/>
    </row>
    <row r="62" spans="1:10" ht="25.5" x14ac:dyDescent="0.2">
      <c r="A62" s="43">
        <v>56</v>
      </c>
      <c r="B62" s="44" t="s">
        <v>141</v>
      </c>
      <c r="C62" s="44" t="s">
        <v>142</v>
      </c>
      <c r="D62" s="44" t="s">
        <v>25</v>
      </c>
      <c r="E62" s="45">
        <v>391000</v>
      </c>
      <c r="F62" s="46">
        <v>849.05650000000003</v>
      </c>
      <c r="G62" s="47">
        <v>7.95417E-3</v>
      </c>
      <c r="H62" s="40" t="s">
        <v>151</v>
      </c>
      <c r="J62" s="7"/>
    </row>
    <row r="63" spans="1:10" x14ac:dyDescent="0.2">
      <c r="A63" s="43">
        <v>57</v>
      </c>
      <c r="B63" s="44" t="s">
        <v>143</v>
      </c>
      <c r="C63" s="44" t="s">
        <v>144</v>
      </c>
      <c r="D63" s="44" t="s">
        <v>33</v>
      </c>
      <c r="E63" s="45">
        <v>52907</v>
      </c>
      <c r="F63" s="46">
        <v>685.01338250000003</v>
      </c>
      <c r="G63" s="47">
        <v>6.4173800000000003E-3</v>
      </c>
      <c r="H63" s="40" t="s">
        <v>151</v>
      </c>
      <c r="J63" s="7"/>
    </row>
    <row r="64" spans="1:10" x14ac:dyDescent="0.2">
      <c r="A64" s="43">
        <v>58</v>
      </c>
      <c r="B64" s="44" t="s">
        <v>145</v>
      </c>
      <c r="C64" s="44" t="s">
        <v>146</v>
      </c>
      <c r="D64" s="44" t="s">
        <v>100</v>
      </c>
      <c r="E64" s="45">
        <v>90000</v>
      </c>
      <c r="F64" s="46">
        <v>324.54000000000002</v>
      </c>
      <c r="G64" s="47">
        <v>3.0403700000000001E-3</v>
      </c>
      <c r="H64" s="40" t="s">
        <v>151</v>
      </c>
      <c r="J64" s="7"/>
    </row>
    <row r="65" spans="1:10" x14ac:dyDescent="0.2">
      <c r="A65" s="41"/>
      <c r="B65" s="41"/>
      <c r="C65" s="42" t="s">
        <v>150</v>
      </c>
      <c r="D65" s="41"/>
      <c r="E65" s="41" t="s">
        <v>151</v>
      </c>
      <c r="F65" s="48">
        <v>101462.514828689</v>
      </c>
      <c r="G65" s="49">
        <v>0.95052612000000003</v>
      </c>
      <c r="H65" s="40" t="s">
        <v>151</v>
      </c>
      <c r="J65" s="7"/>
    </row>
    <row r="66" spans="1:10" x14ac:dyDescent="0.2">
      <c r="A66" s="41"/>
      <c r="B66" s="41"/>
      <c r="C66" s="50"/>
      <c r="D66" s="41"/>
      <c r="E66" s="41"/>
      <c r="F66" s="51"/>
      <c r="G66" s="51"/>
      <c r="H66" s="40" t="s">
        <v>151</v>
      </c>
      <c r="J66" s="7"/>
    </row>
    <row r="67" spans="1:10" x14ac:dyDescent="0.2">
      <c r="A67" s="41"/>
      <c r="B67" s="41"/>
      <c r="C67" s="42" t="s">
        <v>152</v>
      </c>
      <c r="D67" s="41"/>
      <c r="E67" s="41"/>
      <c r="F67" s="41"/>
      <c r="G67" s="41"/>
      <c r="H67" s="40" t="s">
        <v>151</v>
      </c>
      <c r="J67" s="7"/>
    </row>
    <row r="68" spans="1:10" x14ac:dyDescent="0.2">
      <c r="A68" s="41"/>
      <c r="B68" s="41"/>
      <c r="C68" s="42" t="s">
        <v>150</v>
      </c>
      <c r="D68" s="41"/>
      <c r="E68" s="41" t="s">
        <v>151</v>
      </c>
      <c r="F68" s="52" t="s">
        <v>153</v>
      </c>
      <c r="G68" s="49">
        <v>0</v>
      </c>
      <c r="H68" s="40" t="s">
        <v>151</v>
      </c>
      <c r="J68" s="7"/>
    </row>
    <row r="69" spans="1:10" x14ac:dyDescent="0.2">
      <c r="A69" s="41"/>
      <c r="B69" s="41"/>
      <c r="C69" s="50"/>
      <c r="D69" s="41"/>
      <c r="E69" s="41"/>
      <c r="F69" s="51"/>
      <c r="G69" s="51"/>
      <c r="H69" s="40" t="s">
        <v>151</v>
      </c>
      <c r="J69" s="7"/>
    </row>
    <row r="70" spans="1:10" x14ac:dyDescent="0.2">
      <c r="A70" s="41"/>
      <c r="B70" s="41"/>
      <c r="C70" s="42" t="s">
        <v>154</v>
      </c>
      <c r="D70" s="41"/>
      <c r="E70" s="41"/>
      <c r="F70" s="41"/>
      <c r="G70" s="41"/>
      <c r="H70" s="40" t="s">
        <v>151</v>
      </c>
      <c r="J70" s="7"/>
    </row>
    <row r="71" spans="1:10" x14ac:dyDescent="0.2">
      <c r="A71" s="43">
        <v>1</v>
      </c>
      <c r="B71" s="44" t="s">
        <v>147</v>
      </c>
      <c r="C71" s="53" t="s">
        <v>938</v>
      </c>
      <c r="D71" s="44" t="s">
        <v>148</v>
      </c>
      <c r="E71" s="45">
        <v>559425</v>
      </c>
      <c r="F71" s="46">
        <v>1.1189000000000001E-5</v>
      </c>
      <c r="G71" s="54" t="s">
        <v>149</v>
      </c>
      <c r="H71" s="40" t="s">
        <v>151</v>
      </c>
      <c r="J71" s="7"/>
    </row>
    <row r="72" spans="1:10" x14ac:dyDescent="0.2">
      <c r="A72" s="41"/>
      <c r="B72" s="41"/>
      <c r="C72" s="42" t="s">
        <v>150</v>
      </c>
      <c r="D72" s="41"/>
      <c r="E72" s="41" t="s">
        <v>151</v>
      </c>
      <c r="F72" s="52" t="s">
        <v>153</v>
      </c>
      <c r="G72" s="49">
        <v>0</v>
      </c>
      <c r="H72" s="40" t="s">
        <v>151</v>
      </c>
      <c r="J72" s="7"/>
    </row>
    <row r="73" spans="1:10" x14ac:dyDescent="0.2">
      <c r="A73" s="41"/>
      <c r="B73" s="41"/>
      <c r="C73" s="50"/>
      <c r="D73" s="41"/>
      <c r="E73" s="41"/>
      <c r="F73" s="51"/>
      <c r="G73" s="51"/>
      <c r="H73" s="40" t="s">
        <v>151</v>
      </c>
      <c r="J73" s="7"/>
    </row>
    <row r="74" spans="1:10" x14ac:dyDescent="0.2">
      <c r="A74" s="41"/>
      <c r="B74" s="41"/>
      <c r="C74" s="42" t="s">
        <v>155</v>
      </c>
      <c r="D74" s="41"/>
      <c r="E74" s="41"/>
      <c r="F74" s="41"/>
      <c r="G74" s="41"/>
      <c r="H74" s="40" t="s">
        <v>151</v>
      </c>
      <c r="J74" s="7"/>
    </row>
    <row r="75" spans="1:10" x14ac:dyDescent="0.2">
      <c r="A75" s="41"/>
      <c r="B75" s="41"/>
      <c r="C75" s="42" t="s">
        <v>150</v>
      </c>
      <c r="D75" s="41"/>
      <c r="E75" s="41" t="s">
        <v>151</v>
      </c>
      <c r="F75" s="52" t="s">
        <v>153</v>
      </c>
      <c r="G75" s="49">
        <v>0</v>
      </c>
      <c r="H75" s="40" t="s">
        <v>151</v>
      </c>
      <c r="J75" s="7"/>
    </row>
    <row r="76" spans="1:10" x14ac:dyDescent="0.2">
      <c r="A76" s="41"/>
      <c r="B76" s="41"/>
      <c r="C76" s="50"/>
      <c r="D76" s="41"/>
      <c r="E76" s="41"/>
      <c r="F76" s="51"/>
      <c r="G76" s="51"/>
      <c r="H76" s="40" t="s">
        <v>151</v>
      </c>
      <c r="J76" s="7"/>
    </row>
    <row r="77" spans="1:10" x14ac:dyDescent="0.2">
      <c r="A77" s="41"/>
      <c r="B77" s="41"/>
      <c r="C77" s="42" t="s">
        <v>156</v>
      </c>
      <c r="D77" s="41"/>
      <c r="E77" s="41"/>
      <c r="F77" s="51"/>
      <c r="G77" s="51"/>
      <c r="H77" s="40" t="s">
        <v>151</v>
      </c>
      <c r="J77" s="7"/>
    </row>
    <row r="78" spans="1:10" x14ac:dyDescent="0.2">
      <c r="A78" s="41"/>
      <c r="B78" s="41"/>
      <c r="C78" s="42" t="s">
        <v>150</v>
      </c>
      <c r="D78" s="41"/>
      <c r="E78" s="41" t="s">
        <v>151</v>
      </c>
      <c r="F78" s="52" t="s">
        <v>153</v>
      </c>
      <c r="G78" s="49">
        <v>0</v>
      </c>
      <c r="H78" s="40" t="s">
        <v>151</v>
      </c>
      <c r="J78" s="7"/>
    </row>
    <row r="79" spans="1:10" x14ac:dyDescent="0.2">
      <c r="A79" s="41"/>
      <c r="B79" s="41"/>
      <c r="C79" s="50"/>
      <c r="D79" s="41"/>
      <c r="E79" s="41"/>
      <c r="F79" s="51"/>
      <c r="G79" s="51"/>
      <c r="H79" s="40" t="s">
        <v>151</v>
      </c>
      <c r="J79" s="7"/>
    </row>
    <row r="80" spans="1:10" x14ac:dyDescent="0.2">
      <c r="A80" s="41"/>
      <c r="B80" s="41"/>
      <c r="C80" s="42" t="s">
        <v>157</v>
      </c>
      <c r="D80" s="41"/>
      <c r="E80" s="41"/>
      <c r="F80" s="51"/>
      <c r="G80" s="51"/>
      <c r="H80" s="40" t="s">
        <v>151</v>
      </c>
      <c r="J80" s="7"/>
    </row>
    <row r="81" spans="1:10" x14ac:dyDescent="0.2">
      <c r="A81" s="41"/>
      <c r="B81" s="41"/>
      <c r="C81" s="42" t="s">
        <v>150</v>
      </c>
      <c r="D81" s="41"/>
      <c r="E81" s="41" t="s">
        <v>151</v>
      </c>
      <c r="F81" s="52" t="s">
        <v>153</v>
      </c>
      <c r="G81" s="49">
        <v>0</v>
      </c>
      <c r="H81" s="40" t="s">
        <v>151</v>
      </c>
      <c r="J81" s="7"/>
    </row>
    <row r="82" spans="1:10" x14ac:dyDescent="0.2">
      <c r="A82" s="41"/>
      <c r="B82" s="41"/>
      <c r="C82" s="50"/>
      <c r="D82" s="41"/>
      <c r="E82" s="41"/>
      <c r="F82" s="51"/>
      <c r="G82" s="51"/>
      <c r="H82" s="40" t="s">
        <v>151</v>
      </c>
      <c r="J82" s="7"/>
    </row>
    <row r="83" spans="1:10" x14ac:dyDescent="0.2">
      <c r="A83" s="41"/>
      <c r="B83" s="41"/>
      <c r="C83" s="42" t="s">
        <v>158</v>
      </c>
      <c r="D83" s="41"/>
      <c r="E83" s="41"/>
      <c r="F83" s="48">
        <v>101462.514828689</v>
      </c>
      <c r="G83" s="49">
        <v>0.95052612000000003</v>
      </c>
      <c r="H83" s="40" t="s">
        <v>151</v>
      </c>
      <c r="J83" s="7"/>
    </row>
    <row r="84" spans="1:10" x14ac:dyDescent="0.2">
      <c r="A84" s="41"/>
      <c r="B84" s="41"/>
      <c r="C84" s="50"/>
      <c r="D84" s="41"/>
      <c r="E84" s="41"/>
      <c r="F84" s="51"/>
      <c r="G84" s="51"/>
      <c r="H84" s="40" t="s">
        <v>151</v>
      </c>
      <c r="J84" s="7"/>
    </row>
    <row r="85" spans="1:10" x14ac:dyDescent="0.2">
      <c r="A85" s="41"/>
      <c r="B85" s="41"/>
      <c r="C85" s="42" t="s">
        <v>159</v>
      </c>
      <c r="D85" s="41"/>
      <c r="E85" s="41"/>
      <c r="F85" s="51"/>
      <c r="G85" s="51"/>
      <c r="H85" s="40" t="s">
        <v>151</v>
      </c>
      <c r="J85" s="7"/>
    </row>
    <row r="86" spans="1:10" x14ac:dyDescent="0.2">
      <c r="A86" s="41"/>
      <c r="B86" s="41"/>
      <c r="C86" s="42" t="s">
        <v>10</v>
      </c>
      <c r="D86" s="41"/>
      <c r="E86" s="41"/>
      <c r="F86" s="51"/>
      <c r="G86" s="51"/>
      <c r="H86" s="40" t="s">
        <v>151</v>
      </c>
      <c r="J86" s="7"/>
    </row>
    <row r="87" spans="1:10" x14ac:dyDescent="0.2">
      <c r="A87" s="41"/>
      <c r="B87" s="41"/>
      <c r="C87" s="42" t="s">
        <v>150</v>
      </c>
      <c r="D87" s="41"/>
      <c r="E87" s="41" t="s">
        <v>151</v>
      </c>
      <c r="F87" s="52" t="s">
        <v>153</v>
      </c>
      <c r="G87" s="49">
        <v>0</v>
      </c>
      <c r="H87" s="40" t="s">
        <v>151</v>
      </c>
      <c r="J87" s="7"/>
    </row>
    <row r="88" spans="1:10" x14ac:dyDescent="0.2">
      <c r="A88" s="41"/>
      <c r="B88" s="41"/>
      <c r="C88" s="50"/>
      <c r="D88" s="41"/>
      <c r="E88" s="41"/>
      <c r="F88" s="51"/>
      <c r="G88" s="51"/>
      <c r="H88" s="40" t="s">
        <v>151</v>
      </c>
      <c r="J88" s="7"/>
    </row>
    <row r="89" spans="1:10" x14ac:dyDescent="0.2">
      <c r="A89" s="41"/>
      <c r="B89" s="41"/>
      <c r="C89" s="42" t="s">
        <v>160</v>
      </c>
      <c r="D89" s="41"/>
      <c r="E89" s="41"/>
      <c r="F89" s="41"/>
      <c r="G89" s="41"/>
      <c r="H89" s="40" t="s">
        <v>151</v>
      </c>
      <c r="J89" s="7"/>
    </row>
    <row r="90" spans="1:10" x14ac:dyDescent="0.2">
      <c r="A90" s="41"/>
      <c r="B90" s="41"/>
      <c r="C90" s="42" t="s">
        <v>150</v>
      </c>
      <c r="D90" s="41"/>
      <c r="E90" s="41" t="s">
        <v>151</v>
      </c>
      <c r="F90" s="52" t="s">
        <v>153</v>
      </c>
      <c r="G90" s="49">
        <v>0</v>
      </c>
      <c r="H90" s="40" t="s">
        <v>151</v>
      </c>
      <c r="J90" s="7"/>
    </row>
    <row r="91" spans="1:10" x14ac:dyDescent="0.2">
      <c r="A91" s="41"/>
      <c r="B91" s="41"/>
      <c r="C91" s="50"/>
      <c r="D91" s="41"/>
      <c r="E91" s="41"/>
      <c r="F91" s="51"/>
      <c r="G91" s="51"/>
      <c r="H91" s="40" t="s">
        <v>151</v>
      </c>
      <c r="J91" s="7"/>
    </row>
    <row r="92" spans="1:10" x14ac:dyDescent="0.2">
      <c r="A92" s="41"/>
      <c r="B92" s="41"/>
      <c r="C92" s="42" t="s">
        <v>161</v>
      </c>
      <c r="D92" s="41"/>
      <c r="E92" s="41"/>
      <c r="F92" s="41"/>
      <c r="G92" s="41"/>
      <c r="H92" s="40" t="s">
        <v>151</v>
      </c>
      <c r="J92" s="7"/>
    </row>
    <row r="93" spans="1:10" x14ac:dyDescent="0.2">
      <c r="A93" s="41"/>
      <c r="B93" s="41"/>
      <c r="C93" s="42" t="s">
        <v>150</v>
      </c>
      <c r="D93" s="41"/>
      <c r="E93" s="41" t="s">
        <v>151</v>
      </c>
      <c r="F93" s="52" t="s">
        <v>153</v>
      </c>
      <c r="G93" s="49">
        <v>0</v>
      </c>
      <c r="H93" s="40" t="s">
        <v>151</v>
      </c>
      <c r="J93" s="7"/>
    </row>
    <row r="94" spans="1:10" x14ac:dyDescent="0.2">
      <c r="A94" s="41"/>
      <c r="B94" s="41"/>
      <c r="C94" s="50"/>
      <c r="D94" s="41"/>
      <c r="E94" s="41"/>
      <c r="F94" s="51"/>
      <c r="G94" s="51"/>
      <c r="H94" s="40" t="s">
        <v>151</v>
      </c>
      <c r="J94" s="7"/>
    </row>
    <row r="95" spans="1:10" x14ac:dyDescent="0.2">
      <c r="A95" s="41"/>
      <c r="B95" s="41"/>
      <c r="C95" s="42" t="s">
        <v>162</v>
      </c>
      <c r="D95" s="41"/>
      <c r="E95" s="41"/>
      <c r="F95" s="51"/>
      <c r="G95" s="51"/>
      <c r="H95" s="40" t="s">
        <v>151</v>
      </c>
      <c r="J95" s="7"/>
    </row>
    <row r="96" spans="1:10" x14ac:dyDescent="0.2">
      <c r="A96" s="41"/>
      <c r="B96" s="41"/>
      <c r="C96" s="42" t="s">
        <v>150</v>
      </c>
      <c r="D96" s="41"/>
      <c r="E96" s="41" t="s">
        <v>151</v>
      </c>
      <c r="F96" s="52" t="s">
        <v>153</v>
      </c>
      <c r="G96" s="49">
        <v>0</v>
      </c>
      <c r="H96" s="40" t="s">
        <v>151</v>
      </c>
      <c r="J96" s="7"/>
    </row>
    <row r="97" spans="1:10" x14ac:dyDescent="0.2">
      <c r="A97" s="41"/>
      <c r="B97" s="41"/>
      <c r="C97" s="50"/>
      <c r="D97" s="41"/>
      <c r="E97" s="41"/>
      <c r="F97" s="51"/>
      <c r="G97" s="51"/>
      <c r="H97" s="40" t="s">
        <v>151</v>
      </c>
      <c r="J97" s="7"/>
    </row>
    <row r="98" spans="1:10" x14ac:dyDescent="0.2">
      <c r="A98" s="41"/>
      <c r="B98" s="41"/>
      <c r="C98" s="42" t="s">
        <v>163</v>
      </c>
      <c r="D98" s="41"/>
      <c r="E98" s="41"/>
      <c r="F98" s="48">
        <v>0</v>
      </c>
      <c r="G98" s="49">
        <v>0</v>
      </c>
      <c r="H98" s="40" t="s">
        <v>151</v>
      </c>
      <c r="J98" s="7"/>
    </row>
    <row r="99" spans="1:10" x14ac:dyDescent="0.2">
      <c r="A99" s="41"/>
      <c r="B99" s="41"/>
      <c r="C99" s="50"/>
      <c r="D99" s="41"/>
      <c r="E99" s="41"/>
      <c r="F99" s="51"/>
      <c r="G99" s="51"/>
      <c r="H99" s="40" t="s">
        <v>151</v>
      </c>
      <c r="J99" s="7"/>
    </row>
    <row r="100" spans="1:10" x14ac:dyDescent="0.2">
      <c r="A100" s="41"/>
      <c r="B100" s="41"/>
      <c r="C100" s="42" t="s">
        <v>164</v>
      </c>
      <c r="D100" s="41"/>
      <c r="E100" s="41"/>
      <c r="F100" s="51"/>
      <c r="G100" s="51"/>
      <c r="H100" s="40" t="s">
        <v>151</v>
      </c>
      <c r="J100" s="7"/>
    </row>
    <row r="101" spans="1:10" x14ac:dyDescent="0.2">
      <c r="A101" s="41"/>
      <c r="B101" s="41"/>
      <c r="C101" s="42" t="s">
        <v>165</v>
      </c>
      <c r="D101" s="41"/>
      <c r="E101" s="41"/>
      <c r="F101" s="51"/>
      <c r="G101" s="51"/>
      <c r="H101" s="40" t="s">
        <v>151</v>
      </c>
      <c r="J101" s="7"/>
    </row>
    <row r="102" spans="1:10" x14ac:dyDescent="0.2">
      <c r="A102" s="41"/>
      <c r="B102" s="41"/>
      <c r="C102" s="42" t="s">
        <v>150</v>
      </c>
      <c r="D102" s="41"/>
      <c r="E102" s="41" t="s">
        <v>151</v>
      </c>
      <c r="F102" s="52" t="s">
        <v>153</v>
      </c>
      <c r="G102" s="49">
        <v>0</v>
      </c>
      <c r="H102" s="40" t="s">
        <v>151</v>
      </c>
      <c r="J102" s="7"/>
    </row>
    <row r="103" spans="1:10" x14ac:dyDescent="0.2">
      <c r="A103" s="41"/>
      <c r="B103" s="41"/>
      <c r="C103" s="50"/>
      <c r="D103" s="41"/>
      <c r="E103" s="41"/>
      <c r="F103" s="51"/>
      <c r="G103" s="51"/>
      <c r="H103" s="40" t="s">
        <v>151</v>
      </c>
      <c r="J103" s="7"/>
    </row>
    <row r="104" spans="1:10" x14ac:dyDescent="0.2">
      <c r="A104" s="41"/>
      <c r="B104" s="41"/>
      <c r="C104" s="42" t="s">
        <v>166</v>
      </c>
      <c r="D104" s="41"/>
      <c r="E104" s="41"/>
      <c r="F104" s="51"/>
      <c r="G104" s="51"/>
      <c r="H104" s="40" t="s">
        <v>151</v>
      </c>
      <c r="J104" s="7"/>
    </row>
    <row r="105" spans="1:10" x14ac:dyDescent="0.2">
      <c r="A105" s="41"/>
      <c r="B105" s="41"/>
      <c r="C105" s="42" t="s">
        <v>150</v>
      </c>
      <c r="D105" s="41"/>
      <c r="E105" s="41" t="s">
        <v>151</v>
      </c>
      <c r="F105" s="52" t="s">
        <v>153</v>
      </c>
      <c r="G105" s="49">
        <v>0</v>
      </c>
      <c r="H105" s="40" t="s">
        <v>151</v>
      </c>
      <c r="J105" s="7"/>
    </row>
    <row r="106" spans="1:10" x14ac:dyDescent="0.2">
      <c r="A106" s="41"/>
      <c r="B106" s="41"/>
      <c r="C106" s="50"/>
      <c r="D106" s="41"/>
      <c r="E106" s="41"/>
      <c r="F106" s="51"/>
      <c r="G106" s="51"/>
      <c r="H106" s="40" t="s">
        <v>151</v>
      </c>
      <c r="J106" s="7"/>
    </row>
    <row r="107" spans="1:10" x14ac:dyDescent="0.2">
      <c r="A107" s="41"/>
      <c r="B107" s="41"/>
      <c r="C107" s="42" t="s">
        <v>167</v>
      </c>
      <c r="D107" s="41"/>
      <c r="E107" s="41"/>
      <c r="F107" s="51"/>
      <c r="G107" s="51"/>
      <c r="H107" s="40" t="s">
        <v>151</v>
      </c>
      <c r="J107" s="7"/>
    </row>
    <row r="108" spans="1:10" x14ac:dyDescent="0.2">
      <c r="A108" s="41"/>
      <c r="B108" s="41"/>
      <c r="C108" s="42" t="s">
        <v>150</v>
      </c>
      <c r="D108" s="41"/>
      <c r="E108" s="41" t="s">
        <v>151</v>
      </c>
      <c r="F108" s="52" t="s">
        <v>153</v>
      </c>
      <c r="G108" s="49">
        <v>0</v>
      </c>
      <c r="H108" s="40" t="s">
        <v>151</v>
      </c>
      <c r="J108" s="7"/>
    </row>
    <row r="109" spans="1:10" x14ac:dyDescent="0.2">
      <c r="A109" s="41"/>
      <c r="B109" s="41"/>
      <c r="C109" s="50"/>
      <c r="D109" s="41"/>
      <c r="E109" s="41"/>
      <c r="F109" s="51"/>
      <c r="G109" s="51"/>
      <c r="H109" s="40" t="s">
        <v>151</v>
      </c>
      <c r="J109" s="7"/>
    </row>
    <row r="110" spans="1:10" x14ac:dyDescent="0.2">
      <c r="A110" s="41"/>
      <c r="B110" s="41"/>
      <c r="C110" s="42" t="s">
        <v>168</v>
      </c>
      <c r="D110" s="41"/>
      <c r="E110" s="41"/>
      <c r="F110" s="51"/>
      <c r="G110" s="51"/>
      <c r="H110" s="40" t="s">
        <v>151</v>
      </c>
      <c r="J110" s="7"/>
    </row>
    <row r="111" spans="1:10" x14ac:dyDescent="0.2">
      <c r="A111" s="43">
        <v>1</v>
      </c>
      <c r="B111" s="44"/>
      <c r="C111" s="44" t="s">
        <v>169</v>
      </c>
      <c r="D111" s="44"/>
      <c r="E111" s="54"/>
      <c r="F111" s="46">
        <v>5373.3712780229998</v>
      </c>
      <c r="G111" s="47">
        <v>5.0339080000000001E-2</v>
      </c>
      <c r="H111" s="40">
        <v>6.39</v>
      </c>
      <c r="J111" s="7"/>
    </row>
    <row r="112" spans="1:10" x14ac:dyDescent="0.2">
      <c r="A112" s="41"/>
      <c r="B112" s="41"/>
      <c r="C112" s="42" t="s">
        <v>150</v>
      </c>
      <c r="D112" s="41"/>
      <c r="E112" s="41" t="s">
        <v>151</v>
      </c>
      <c r="F112" s="48">
        <v>5373.3712780229998</v>
      </c>
      <c r="G112" s="49">
        <v>5.0339080000000001E-2</v>
      </c>
      <c r="H112" s="40" t="s">
        <v>151</v>
      </c>
      <c r="J112" s="7"/>
    </row>
    <row r="113" spans="1:10" x14ac:dyDescent="0.2">
      <c r="A113" s="41"/>
      <c r="B113" s="41"/>
      <c r="C113" s="50"/>
      <c r="D113" s="41"/>
      <c r="E113" s="41"/>
      <c r="F113" s="51"/>
      <c r="G113" s="51"/>
      <c r="H113" s="40" t="s">
        <v>151</v>
      </c>
      <c r="J113" s="7"/>
    </row>
    <row r="114" spans="1:10" x14ac:dyDescent="0.2">
      <c r="A114" s="41"/>
      <c r="B114" s="41"/>
      <c r="C114" s="42" t="s">
        <v>170</v>
      </c>
      <c r="D114" s="41"/>
      <c r="E114" s="41"/>
      <c r="F114" s="48">
        <v>5373.3712780229998</v>
      </c>
      <c r="G114" s="49">
        <v>5.0339080000000001E-2</v>
      </c>
      <c r="H114" s="40" t="s">
        <v>151</v>
      </c>
      <c r="J114" s="7"/>
    </row>
    <row r="115" spans="1:10" x14ac:dyDescent="0.2">
      <c r="A115" s="41"/>
      <c r="B115" s="41"/>
      <c r="C115" s="51"/>
      <c r="D115" s="41"/>
      <c r="E115" s="41"/>
      <c r="F115" s="41"/>
      <c r="G115" s="41"/>
      <c r="H115" s="40" t="s">
        <v>151</v>
      </c>
      <c r="J115" s="7"/>
    </row>
    <row r="116" spans="1:10" x14ac:dyDescent="0.2">
      <c r="A116" s="41"/>
      <c r="B116" s="41"/>
      <c r="C116" s="42" t="s">
        <v>171</v>
      </c>
      <c r="D116" s="41"/>
      <c r="E116" s="41"/>
      <c r="F116" s="41"/>
      <c r="G116" s="41"/>
      <c r="H116" s="40" t="s">
        <v>151</v>
      </c>
      <c r="J116" s="7"/>
    </row>
    <row r="117" spans="1:10" x14ac:dyDescent="0.2">
      <c r="A117" s="41"/>
      <c r="B117" s="41"/>
      <c r="C117" s="42" t="s">
        <v>172</v>
      </c>
      <c r="D117" s="41"/>
      <c r="E117" s="41"/>
      <c r="F117" s="41"/>
      <c r="G117" s="41"/>
      <c r="H117" s="40" t="s">
        <v>151</v>
      </c>
      <c r="J117" s="7"/>
    </row>
    <row r="118" spans="1:10" x14ac:dyDescent="0.2">
      <c r="A118" s="41"/>
      <c r="B118" s="41"/>
      <c r="C118" s="42" t="s">
        <v>150</v>
      </c>
      <c r="D118" s="41"/>
      <c r="E118" s="41" t="s">
        <v>151</v>
      </c>
      <c r="F118" s="52" t="s">
        <v>153</v>
      </c>
      <c r="G118" s="49">
        <v>0</v>
      </c>
      <c r="H118" s="40" t="s">
        <v>151</v>
      </c>
      <c r="J118" s="7"/>
    </row>
    <row r="119" spans="1:10" x14ac:dyDescent="0.2">
      <c r="A119" s="41"/>
      <c r="B119" s="41"/>
      <c r="C119" s="50"/>
      <c r="D119" s="41"/>
      <c r="E119" s="41"/>
      <c r="F119" s="51"/>
      <c r="G119" s="51"/>
      <c r="H119" s="40" t="s">
        <v>151</v>
      </c>
      <c r="J119" s="7"/>
    </row>
    <row r="120" spans="1:10" x14ac:dyDescent="0.2">
      <c r="A120" s="41"/>
      <c r="B120" s="41"/>
      <c r="C120" s="42" t="s">
        <v>173</v>
      </c>
      <c r="D120" s="41"/>
      <c r="E120" s="41"/>
      <c r="F120" s="41"/>
      <c r="G120" s="41"/>
      <c r="H120" s="40" t="s">
        <v>151</v>
      </c>
      <c r="J120" s="7"/>
    </row>
    <row r="121" spans="1:10" x14ac:dyDescent="0.2">
      <c r="A121" s="41"/>
      <c r="B121" s="41"/>
      <c r="C121" s="42" t="s">
        <v>174</v>
      </c>
      <c r="D121" s="41"/>
      <c r="E121" s="41"/>
      <c r="F121" s="41"/>
      <c r="G121" s="41"/>
      <c r="H121" s="40" t="s">
        <v>151</v>
      </c>
      <c r="J121" s="7"/>
    </row>
    <row r="122" spans="1:10" x14ac:dyDescent="0.2">
      <c r="A122" s="41"/>
      <c r="B122" s="41"/>
      <c r="C122" s="42" t="s">
        <v>150</v>
      </c>
      <c r="D122" s="41"/>
      <c r="E122" s="41" t="s">
        <v>151</v>
      </c>
      <c r="F122" s="52" t="s">
        <v>153</v>
      </c>
      <c r="G122" s="49">
        <v>0</v>
      </c>
      <c r="H122" s="40" t="s">
        <v>151</v>
      </c>
      <c r="J122" s="7"/>
    </row>
    <row r="123" spans="1:10" x14ac:dyDescent="0.2">
      <c r="A123" s="41"/>
      <c r="B123" s="41"/>
      <c r="C123" s="50"/>
      <c r="D123" s="41"/>
      <c r="E123" s="41"/>
      <c r="F123" s="51"/>
      <c r="G123" s="51"/>
      <c r="H123" s="40" t="s">
        <v>151</v>
      </c>
      <c r="J123" s="7"/>
    </row>
    <row r="124" spans="1:10" x14ac:dyDescent="0.2">
      <c r="A124" s="41"/>
      <c r="B124" s="41"/>
      <c r="C124" s="42" t="s">
        <v>175</v>
      </c>
      <c r="D124" s="41"/>
      <c r="E124" s="41"/>
      <c r="F124" s="51"/>
      <c r="G124" s="51"/>
      <c r="H124" s="40" t="s">
        <v>151</v>
      </c>
      <c r="J124" s="7"/>
    </row>
    <row r="125" spans="1:10" x14ac:dyDescent="0.2">
      <c r="A125" s="41"/>
      <c r="B125" s="41"/>
      <c r="C125" s="42" t="s">
        <v>150</v>
      </c>
      <c r="D125" s="41"/>
      <c r="E125" s="41" t="s">
        <v>151</v>
      </c>
      <c r="F125" s="52" t="s">
        <v>153</v>
      </c>
      <c r="G125" s="49">
        <v>0</v>
      </c>
      <c r="H125" s="40" t="s">
        <v>151</v>
      </c>
      <c r="J125" s="7"/>
    </row>
    <row r="126" spans="1:10" x14ac:dyDescent="0.2">
      <c r="A126" s="41"/>
      <c r="B126" s="41"/>
      <c r="C126" s="50"/>
      <c r="D126" s="41"/>
      <c r="E126" s="41"/>
      <c r="F126" s="51"/>
      <c r="G126" s="51"/>
      <c r="H126" s="40" t="s">
        <v>151</v>
      </c>
      <c r="J126" s="7"/>
    </row>
    <row r="127" spans="1:10" x14ac:dyDescent="0.2">
      <c r="A127" s="54"/>
      <c r="B127" s="44"/>
      <c r="C127" s="44" t="s">
        <v>176</v>
      </c>
      <c r="D127" s="44"/>
      <c r="E127" s="54"/>
      <c r="F127" s="46">
        <v>-92.350727660000004</v>
      </c>
      <c r="G127" s="47">
        <v>-8.6516999999999996E-4</v>
      </c>
      <c r="H127" s="40" t="s">
        <v>151</v>
      </c>
      <c r="J127" s="7"/>
    </row>
    <row r="128" spans="1:10" x14ac:dyDescent="0.2">
      <c r="A128" s="50"/>
      <c r="B128" s="50"/>
      <c r="C128" s="42" t="s">
        <v>177</v>
      </c>
      <c r="D128" s="51"/>
      <c r="E128" s="51"/>
      <c r="F128" s="48">
        <v>106743.535379052</v>
      </c>
      <c r="G128" s="55">
        <v>1.00000003</v>
      </c>
      <c r="H128" s="40" t="s">
        <v>151</v>
      </c>
      <c r="J128" s="7"/>
    </row>
    <row r="129" spans="1:17" x14ac:dyDescent="0.2">
      <c r="A129" s="56"/>
      <c r="B129" s="56"/>
      <c r="C129" s="56"/>
      <c r="D129" s="57"/>
      <c r="E129" s="57"/>
      <c r="F129" s="57"/>
      <c r="G129" s="57"/>
      <c r="J129" s="7"/>
    </row>
    <row r="130" spans="1:17" ht="12.75" customHeight="1" x14ac:dyDescent="0.2">
      <c r="A130" s="58"/>
      <c r="B130" s="159" t="s">
        <v>923</v>
      </c>
      <c r="C130" s="159"/>
      <c r="D130" s="159"/>
      <c r="E130" s="159"/>
      <c r="F130" s="159"/>
      <c r="G130" s="159"/>
      <c r="H130" s="159"/>
      <c r="J130" s="7"/>
    </row>
    <row r="131" spans="1:17" ht="14.1" customHeight="1" x14ac:dyDescent="0.2">
      <c r="A131" s="58"/>
      <c r="B131" s="159" t="s">
        <v>924</v>
      </c>
      <c r="C131" s="159"/>
      <c r="D131" s="159"/>
      <c r="E131" s="159"/>
      <c r="F131" s="159"/>
      <c r="G131" s="159"/>
      <c r="H131" s="159"/>
      <c r="J131" s="7"/>
    </row>
    <row r="132" spans="1:17" ht="17.100000000000001" customHeight="1" x14ac:dyDescent="0.2">
      <c r="A132" s="58"/>
      <c r="B132" s="159" t="s">
        <v>925</v>
      </c>
      <c r="C132" s="159"/>
      <c r="D132" s="159"/>
      <c r="E132" s="159"/>
      <c r="F132" s="159"/>
      <c r="G132" s="159"/>
      <c r="H132" s="159"/>
      <c r="J132" s="7"/>
    </row>
    <row r="133" spans="1:17" s="8" customFormat="1" ht="65.25" customHeight="1" x14ac:dyDescent="0.25">
      <c r="A133" s="60"/>
      <c r="B133" s="160" t="s">
        <v>926</v>
      </c>
      <c r="C133" s="160"/>
      <c r="D133" s="160"/>
      <c r="E133" s="160"/>
      <c r="F133" s="160"/>
      <c r="G133" s="160"/>
      <c r="H133" s="160"/>
      <c r="I133"/>
      <c r="J133" s="7"/>
      <c r="K133"/>
      <c r="L133"/>
      <c r="M133"/>
      <c r="N133"/>
      <c r="O133"/>
      <c r="P133"/>
      <c r="Q133"/>
    </row>
    <row r="134" spans="1:17" ht="12.75" customHeight="1" x14ac:dyDescent="0.2">
      <c r="A134" s="58"/>
      <c r="B134" s="159" t="s">
        <v>927</v>
      </c>
      <c r="C134" s="159"/>
      <c r="D134" s="159"/>
      <c r="E134" s="159"/>
      <c r="F134" s="159"/>
      <c r="G134" s="159"/>
      <c r="H134" s="159"/>
      <c r="J134" s="7"/>
    </row>
    <row r="135" spans="1:17" x14ac:dyDescent="0.2">
      <c r="A135" s="61"/>
      <c r="B135" s="61"/>
      <c r="C135" s="61"/>
      <c r="D135" s="62"/>
      <c r="E135" s="62"/>
      <c r="F135" s="62"/>
      <c r="G135" s="62"/>
      <c r="J135" s="7"/>
    </row>
    <row r="136" spans="1:17" x14ac:dyDescent="0.2">
      <c r="A136" s="61"/>
      <c r="B136" s="161" t="s">
        <v>178</v>
      </c>
      <c r="C136" s="162"/>
      <c r="D136" s="163"/>
      <c r="E136" s="63"/>
      <c r="F136" s="62"/>
      <c r="G136" s="62"/>
      <c r="J136" s="7"/>
    </row>
    <row r="137" spans="1:17" x14ac:dyDescent="0.2">
      <c r="A137" s="61"/>
      <c r="B137" s="156" t="s">
        <v>179</v>
      </c>
      <c r="C137" s="157"/>
      <c r="D137" s="42" t="s">
        <v>180</v>
      </c>
      <c r="E137" s="63"/>
      <c r="F137" s="62"/>
      <c r="G137" s="62"/>
      <c r="J137" s="7"/>
    </row>
    <row r="138" spans="1:17" ht="12.75" customHeight="1" x14ac:dyDescent="0.2">
      <c r="A138" s="58"/>
      <c r="B138" s="164" t="s">
        <v>939</v>
      </c>
      <c r="C138" s="165"/>
      <c r="D138" s="64" t="str">
        <f>"Rs. "&amp;TEXT(F71,"0.00")&amp;" lacs/ #"</f>
        <v>Rs. 0.00 lacs/ #</v>
      </c>
      <c r="E138" s="65"/>
      <c r="F138" s="66"/>
      <c r="G138" s="66"/>
      <c r="J138" s="7"/>
    </row>
    <row r="139" spans="1:17" x14ac:dyDescent="0.2">
      <c r="A139" s="61"/>
      <c r="B139" s="156" t="s">
        <v>182</v>
      </c>
      <c r="C139" s="157"/>
      <c r="D139" s="51" t="s">
        <v>151</v>
      </c>
      <c r="E139" s="63"/>
      <c r="F139" s="62"/>
      <c r="G139" s="62"/>
      <c r="J139" s="7"/>
    </row>
    <row r="140" spans="1:17" x14ac:dyDescent="0.2">
      <c r="A140" s="67"/>
      <c r="B140" s="68" t="s">
        <v>151</v>
      </c>
      <c r="C140" s="68" t="s">
        <v>937</v>
      </c>
      <c r="D140" s="68" t="s">
        <v>183</v>
      </c>
      <c r="E140" s="67"/>
      <c r="F140" s="67"/>
      <c r="G140" s="67"/>
      <c r="H140" s="67"/>
      <c r="J140" s="7"/>
    </row>
    <row r="141" spans="1:17" x14ac:dyDescent="0.2">
      <c r="A141" s="69"/>
      <c r="B141" s="70" t="s">
        <v>184</v>
      </c>
      <c r="C141" s="71">
        <v>45473</v>
      </c>
      <c r="D141" s="71">
        <v>45504</v>
      </c>
      <c r="E141" s="69"/>
      <c r="F141" s="69"/>
      <c r="G141" s="69"/>
      <c r="J141" s="7"/>
    </row>
    <row r="142" spans="1:17" ht="17.100000000000001" customHeight="1" x14ac:dyDescent="0.2">
      <c r="A142" s="69"/>
      <c r="B142" s="44" t="s">
        <v>187</v>
      </c>
      <c r="C142" s="72">
        <v>102.4038</v>
      </c>
      <c r="D142" s="72">
        <v>105.0167</v>
      </c>
      <c r="E142" s="69"/>
      <c r="F142" s="73"/>
      <c r="G142" s="74"/>
      <c r="J142" s="7"/>
    </row>
    <row r="143" spans="1:17" ht="17.100000000000001" customHeight="1" x14ac:dyDescent="0.2">
      <c r="A143" s="69"/>
      <c r="B143" s="44" t="s">
        <v>1094</v>
      </c>
      <c r="C143" s="72">
        <v>68.240200000000002</v>
      </c>
      <c r="D143" s="72">
        <v>69.980800000000002</v>
      </c>
      <c r="E143" s="69"/>
      <c r="F143" s="73"/>
      <c r="G143" s="74"/>
      <c r="J143" s="7"/>
    </row>
    <row r="144" spans="1:17" ht="17.100000000000001" customHeight="1" x14ac:dyDescent="0.2">
      <c r="A144" s="69"/>
      <c r="B144" s="44" t="s">
        <v>188</v>
      </c>
      <c r="C144" s="72">
        <v>96.385000000000005</v>
      </c>
      <c r="D144" s="72">
        <v>98.796199999999999</v>
      </c>
      <c r="E144" s="69"/>
      <c r="F144" s="73"/>
      <c r="G144" s="74"/>
      <c r="J144" s="7"/>
    </row>
    <row r="145" spans="1:10" ht="17.100000000000001" customHeight="1" x14ac:dyDescent="0.2">
      <c r="A145" s="69"/>
      <c r="B145" s="44" t="s">
        <v>1095</v>
      </c>
      <c r="C145" s="72">
        <v>63.903199999999998</v>
      </c>
      <c r="D145" s="72">
        <v>65.501300000000001</v>
      </c>
      <c r="E145" s="69"/>
      <c r="F145" s="73"/>
      <c r="G145" s="74"/>
      <c r="J145" s="7"/>
    </row>
    <row r="146" spans="1:10" ht="14.1" customHeight="1" x14ac:dyDescent="0.2">
      <c r="A146" s="69"/>
      <c r="B146" s="69"/>
      <c r="C146" s="69"/>
      <c r="D146" s="69"/>
      <c r="E146" s="69"/>
      <c r="F146" s="69"/>
      <c r="G146" s="69"/>
      <c r="J146" s="7"/>
    </row>
    <row r="147" spans="1:10" x14ac:dyDescent="0.2">
      <c r="A147" s="67"/>
      <c r="B147" s="164" t="s">
        <v>940</v>
      </c>
      <c r="C147" s="165"/>
      <c r="D147" s="64" t="s">
        <v>180</v>
      </c>
      <c r="E147" s="67"/>
      <c r="F147" s="67"/>
      <c r="G147" s="67"/>
      <c r="J147" s="7"/>
    </row>
    <row r="148" spans="1:10" x14ac:dyDescent="0.2">
      <c r="A148" s="67"/>
      <c r="B148" s="59"/>
      <c r="C148" s="59"/>
      <c r="D148" s="67"/>
      <c r="E148" s="67"/>
      <c r="F148" s="67"/>
      <c r="G148" s="67"/>
      <c r="J148" s="7"/>
    </row>
    <row r="149" spans="1:10" x14ac:dyDescent="0.2">
      <c r="A149" s="67"/>
      <c r="B149" s="164" t="s">
        <v>189</v>
      </c>
      <c r="C149" s="165"/>
      <c r="D149" s="64" t="s">
        <v>180</v>
      </c>
      <c r="E149" s="75"/>
      <c r="F149" s="67"/>
      <c r="G149" s="67"/>
      <c r="J149" s="7"/>
    </row>
    <row r="150" spans="1:10" x14ac:dyDescent="0.2">
      <c r="A150" s="67"/>
      <c r="B150" s="164" t="s">
        <v>190</v>
      </c>
      <c r="C150" s="165"/>
      <c r="D150" s="64" t="s">
        <v>180</v>
      </c>
      <c r="E150" s="75"/>
      <c r="F150" s="67"/>
      <c r="G150" s="67"/>
      <c r="J150" s="7"/>
    </row>
    <row r="151" spans="1:10" x14ac:dyDescent="0.2">
      <c r="A151" s="67"/>
      <c r="B151" s="164" t="s">
        <v>191</v>
      </c>
      <c r="C151" s="165"/>
      <c r="D151" s="64" t="s">
        <v>180</v>
      </c>
      <c r="E151" s="75"/>
      <c r="F151" s="67"/>
      <c r="G151" s="67"/>
      <c r="J151" s="7"/>
    </row>
    <row r="152" spans="1:10" x14ac:dyDescent="0.2">
      <c r="A152" s="67"/>
      <c r="B152" s="164" t="s">
        <v>192</v>
      </c>
      <c r="C152" s="165"/>
      <c r="D152" s="76">
        <v>0.35091864125495043</v>
      </c>
      <c r="E152" s="67"/>
      <c r="F152" s="59"/>
      <c r="G152" s="77"/>
      <c r="J152" s="7"/>
    </row>
    <row r="153" spans="1:10" x14ac:dyDescent="0.2">
      <c r="J153" s="7"/>
    </row>
    <row r="154" spans="1:10" x14ac:dyDescent="0.2">
      <c r="J154" s="7"/>
    </row>
    <row r="155" spans="1:10" x14ac:dyDescent="0.2">
      <c r="J155" s="7"/>
    </row>
  </sheetData>
  <mergeCells count="17">
    <mergeCell ref="B152:C152"/>
    <mergeCell ref="B138:C138"/>
    <mergeCell ref="B139:C139"/>
    <mergeCell ref="B147:C147"/>
    <mergeCell ref="B149:C149"/>
    <mergeCell ref="B150:C150"/>
    <mergeCell ref="B151:C151"/>
    <mergeCell ref="B137:C137"/>
    <mergeCell ref="A3:H3"/>
    <mergeCell ref="A2:H2"/>
    <mergeCell ref="A1:H1"/>
    <mergeCell ref="B130:H130"/>
    <mergeCell ref="B131:H131"/>
    <mergeCell ref="B132:H132"/>
    <mergeCell ref="B133:H133"/>
    <mergeCell ref="B134:H134"/>
    <mergeCell ref="B136:D136"/>
  </mergeCells>
  <hyperlinks>
    <hyperlink ref="I1" location="Index!B2" display="Index" xr:uid="{6ECEEE2F-5D4A-44D0-BF5E-CCF23D6FED4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B7209-38EA-498D-A45A-5FAB307902DA}">
  <sheetPr>
    <outlinePr summaryBelow="0" summaryRight="0"/>
  </sheetPr>
  <dimension ref="A1:Q9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3.85546875" customWidth="1"/>
    <col min="5" max="5" width="12.42578125" bestFit="1" customWidth="1"/>
    <col min="6" max="6" width="10.140625" bestFit="1" customWidth="1"/>
    <col min="7" max="7" width="9" customWidth="1"/>
    <col min="8" max="8" width="8.42578125" bestFit="1" customWidth="1"/>
    <col min="9" max="9" width="5.7109375" style="14"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877</v>
      </c>
      <c r="B2" s="158"/>
      <c r="C2" s="158"/>
      <c r="D2" s="158"/>
      <c r="E2" s="158"/>
      <c r="F2" s="158"/>
      <c r="G2" s="158"/>
      <c r="H2" s="158"/>
      <c r="J2" s="11" t="s">
        <v>942</v>
      </c>
    </row>
    <row r="3" spans="1:10" ht="15" customHeight="1" x14ac:dyDescent="0.2">
      <c r="A3" s="158" t="s">
        <v>880</v>
      </c>
      <c r="B3" s="158"/>
      <c r="C3" s="158"/>
      <c r="D3" s="158"/>
      <c r="E3" s="158"/>
      <c r="F3" s="158"/>
      <c r="G3" s="158"/>
      <c r="H3" s="158"/>
      <c r="J3" s="7"/>
    </row>
    <row r="4" spans="1:10" s="1" customFormat="1" ht="33" customHeight="1" x14ac:dyDescent="0.2">
      <c r="A4" s="36" t="s">
        <v>2</v>
      </c>
      <c r="B4" s="36" t="s">
        <v>3</v>
      </c>
      <c r="C4" s="36" t="s">
        <v>4</v>
      </c>
      <c r="D4" s="36" t="s">
        <v>5</v>
      </c>
      <c r="E4" s="36" t="s">
        <v>6</v>
      </c>
      <c r="F4" s="36" t="s">
        <v>7</v>
      </c>
      <c r="G4" s="36" t="s">
        <v>8</v>
      </c>
      <c r="H4" s="37" t="s">
        <v>921</v>
      </c>
      <c r="I4" s="15"/>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1"/>
      <c r="B7" s="41"/>
      <c r="C7" s="42" t="s">
        <v>150</v>
      </c>
      <c r="D7" s="41"/>
      <c r="E7" s="41" t="s">
        <v>151</v>
      </c>
      <c r="F7" s="52" t="s">
        <v>153</v>
      </c>
      <c r="G7" s="49">
        <v>0</v>
      </c>
      <c r="H7" s="40" t="s">
        <v>151</v>
      </c>
      <c r="J7" s="7"/>
    </row>
    <row r="8" spans="1:10" x14ac:dyDescent="0.2">
      <c r="A8" s="41"/>
      <c r="B8" s="41"/>
      <c r="C8" s="50"/>
      <c r="D8" s="41"/>
      <c r="E8" s="41"/>
      <c r="F8" s="51"/>
      <c r="G8" s="51"/>
      <c r="H8" s="40" t="s">
        <v>151</v>
      </c>
      <c r="J8" s="7"/>
    </row>
    <row r="9" spans="1:10" x14ac:dyDescent="0.2">
      <c r="A9" s="41"/>
      <c r="B9" s="41"/>
      <c r="C9" s="42" t="s">
        <v>152</v>
      </c>
      <c r="D9" s="41"/>
      <c r="E9" s="41"/>
      <c r="F9" s="41"/>
      <c r="G9" s="41"/>
      <c r="H9" s="40" t="s">
        <v>151</v>
      </c>
      <c r="J9" s="7"/>
    </row>
    <row r="10" spans="1:10" x14ac:dyDescent="0.2">
      <c r="A10" s="41"/>
      <c r="B10" s="41"/>
      <c r="C10" s="42" t="s">
        <v>150</v>
      </c>
      <c r="D10" s="41"/>
      <c r="E10" s="41" t="s">
        <v>151</v>
      </c>
      <c r="F10" s="52" t="s">
        <v>153</v>
      </c>
      <c r="G10" s="49">
        <v>0</v>
      </c>
      <c r="H10" s="40" t="s">
        <v>151</v>
      </c>
      <c r="J10" s="7"/>
    </row>
    <row r="11" spans="1:10" x14ac:dyDescent="0.2">
      <c r="A11" s="41"/>
      <c r="B11" s="41"/>
      <c r="C11" s="50"/>
      <c r="D11" s="41"/>
      <c r="E11" s="41"/>
      <c r="F11" s="51"/>
      <c r="G11" s="51"/>
      <c r="H11" s="40" t="s">
        <v>151</v>
      </c>
      <c r="J11" s="7"/>
    </row>
    <row r="12" spans="1:10" ht="15" x14ac:dyDescent="0.2">
      <c r="A12" s="41"/>
      <c r="B12" s="41"/>
      <c r="C12" s="42" t="s">
        <v>154</v>
      </c>
      <c r="D12" s="41"/>
      <c r="E12" s="41"/>
      <c r="F12" s="41"/>
      <c r="G12" s="41"/>
      <c r="H12" s="40" t="s">
        <v>151</v>
      </c>
      <c r="J12" s="12"/>
    </row>
    <row r="13" spans="1:10" x14ac:dyDescent="0.2">
      <c r="A13" s="41"/>
      <c r="B13" s="41"/>
      <c r="C13" s="42" t="s">
        <v>150</v>
      </c>
      <c r="D13" s="41"/>
      <c r="E13" s="41" t="s">
        <v>151</v>
      </c>
      <c r="F13" s="52" t="s">
        <v>153</v>
      </c>
      <c r="G13" s="49">
        <v>0</v>
      </c>
      <c r="H13" s="40" t="s">
        <v>151</v>
      </c>
      <c r="J13" s="7"/>
    </row>
    <row r="14" spans="1:10" x14ac:dyDescent="0.2">
      <c r="A14" s="41"/>
      <c r="B14" s="41"/>
      <c r="C14" s="50"/>
      <c r="D14" s="41"/>
      <c r="E14" s="41"/>
      <c r="F14" s="51"/>
      <c r="G14" s="51"/>
      <c r="H14" s="40" t="s">
        <v>151</v>
      </c>
      <c r="J14" s="7"/>
    </row>
    <row r="15" spans="1:10" x14ac:dyDescent="0.2">
      <c r="A15" s="41"/>
      <c r="B15" s="41"/>
      <c r="C15" s="42" t="s">
        <v>155</v>
      </c>
      <c r="D15" s="41"/>
      <c r="E15" s="41"/>
      <c r="F15" s="41"/>
      <c r="G15" s="41"/>
      <c r="H15" s="40" t="s">
        <v>151</v>
      </c>
      <c r="J15" s="7"/>
    </row>
    <row r="16" spans="1:10" x14ac:dyDescent="0.2">
      <c r="A16" s="41"/>
      <c r="B16" s="41"/>
      <c r="C16" s="42" t="s">
        <v>150</v>
      </c>
      <c r="D16" s="41"/>
      <c r="E16" s="41" t="s">
        <v>151</v>
      </c>
      <c r="F16" s="52" t="s">
        <v>153</v>
      </c>
      <c r="G16" s="49">
        <v>0</v>
      </c>
      <c r="H16" s="40" t="s">
        <v>151</v>
      </c>
      <c r="J16" s="7" t="s">
        <v>944</v>
      </c>
    </row>
    <row r="17" spans="1:10" x14ac:dyDescent="0.2">
      <c r="A17" s="41"/>
      <c r="B17" s="41"/>
      <c r="C17" s="50"/>
      <c r="D17" s="41"/>
      <c r="E17" s="41"/>
      <c r="F17" s="51"/>
      <c r="G17" s="51"/>
      <c r="H17" s="40" t="s">
        <v>151</v>
      </c>
      <c r="J17" s="7"/>
    </row>
    <row r="18" spans="1:10" x14ac:dyDescent="0.2">
      <c r="A18" s="41"/>
      <c r="B18" s="41"/>
      <c r="C18" s="42" t="s">
        <v>156</v>
      </c>
      <c r="D18" s="41"/>
      <c r="E18" s="41"/>
      <c r="F18" s="51"/>
      <c r="G18" s="51"/>
      <c r="H18" s="40" t="s">
        <v>151</v>
      </c>
      <c r="J18" s="7"/>
    </row>
    <row r="19" spans="1:10" x14ac:dyDescent="0.2">
      <c r="A19" s="41"/>
      <c r="B19" s="41"/>
      <c r="C19" s="42" t="s">
        <v>150</v>
      </c>
      <c r="D19" s="41"/>
      <c r="E19" s="41" t="s">
        <v>151</v>
      </c>
      <c r="F19" s="52" t="s">
        <v>153</v>
      </c>
      <c r="G19" s="49">
        <v>0</v>
      </c>
      <c r="H19" s="40" t="s">
        <v>151</v>
      </c>
      <c r="J19" s="7"/>
    </row>
    <row r="20" spans="1:10" x14ac:dyDescent="0.2">
      <c r="A20" s="41"/>
      <c r="B20" s="41"/>
      <c r="C20" s="50"/>
      <c r="D20" s="41"/>
      <c r="E20" s="41"/>
      <c r="F20" s="51"/>
      <c r="G20" s="51"/>
      <c r="H20" s="40" t="s">
        <v>151</v>
      </c>
      <c r="J20" s="7"/>
    </row>
    <row r="21" spans="1:10" x14ac:dyDescent="0.2">
      <c r="A21" s="41"/>
      <c r="B21" s="41"/>
      <c r="C21" s="42" t="s">
        <v>157</v>
      </c>
      <c r="D21" s="41"/>
      <c r="E21" s="41"/>
      <c r="F21" s="51"/>
      <c r="G21" s="51"/>
      <c r="H21" s="40" t="s">
        <v>151</v>
      </c>
      <c r="J21" s="7"/>
    </row>
    <row r="22" spans="1:10" ht="15" x14ac:dyDescent="0.2">
      <c r="A22" s="41"/>
      <c r="B22" s="41"/>
      <c r="C22" s="42" t="s">
        <v>150</v>
      </c>
      <c r="D22" s="41"/>
      <c r="E22" s="41" t="s">
        <v>151</v>
      </c>
      <c r="F22" s="52" t="s">
        <v>153</v>
      </c>
      <c r="G22" s="49">
        <v>0</v>
      </c>
      <c r="H22" s="40" t="s">
        <v>151</v>
      </c>
      <c r="J22" s="12"/>
    </row>
    <row r="23" spans="1:10" x14ac:dyDescent="0.2">
      <c r="A23" s="41"/>
      <c r="B23" s="41"/>
      <c r="C23" s="50"/>
      <c r="D23" s="41"/>
      <c r="E23" s="41"/>
      <c r="F23" s="51"/>
      <c r="G23" s="51"/>
      <c r="H23" s="40" t="s">
        <v>151</v>
      </c>
      <c r="J23" s="7"/>
    </row>
    <row r="24" spans="1:10" x14ac:dyDescent="0.2">
      <c r="A24" s="41"/>
      <c r="B24" s="41"/>
      <c r="C24" s="42" t="s">
        <v>158</v>
      </c>
      <c r="D24" s="41"/>
      <c r="E24" s="41"/>
      <c r="F24" s="48">
        <v>0</v>
      </c>
      <c r="G24" s="49">
        <v>0</v>
      </c>
      <c r="H24" s="40" t="s">
        <v>151</v>
      </c>
      <c r="J24" s="7"/>
    </row>
    <row r="25" spans="1:10" x14ac:dyDescent="0.2">
      <c r="A25" s="41"/>
      <c r="B25" s="41"/>
      <c r="C25" s="50"/>
      <c r="D25" s="41"/>
      <c r="E25" s="41"/>
      <c r="F25" s="51"/>
      <c r="G25" s="51"/>
      <c r="H25" s="40" t="s">
        <v>151</v>
      </c>
      <c r="J25" s="7"/>
    </row>
    <row r="26" spans="1:10" x14ac:dyDescent="0.2">
      <c r="A26" s="41"/>
      <c r="B26" s="41"/>
      <c r="C26" s="42" t="s">
        <v>159</v>
      </c>
      <c r="D26" s="41"/>
      <c r="E26" s="41"/>
      <c r="F26" s="51"/>
      <c r="G26" s="51"/>
      <c r="H26" s="40" t="s">
        <v>151</v>
      </c>
      <c r="J26" s="7"/>
    </row>
    <row r="27" spans="1:10" x14ac:dyDescent="0.2">
      <c r="A27" s="41"/>
      <c r="B27" s="41"/>
      <c r="C27" s="42" t="s">
        <v>10</v>
      </c>
      <c r="D27" s="41"/>
      <c r="E27" s="41"/>
      <c r="F27" s="51"/>
      <c r="G27" s="51"/>
      <c r="H27" s="40" t="s">
        <v>151</v>
      </c>
      <c r="J27" s="7"/>
    </row>
    <row r="28" spans="1:10" x14ac:dyDescent="0.2">
      <c r="A28" s="41"/>
      <c r="B28" s="41"/>
      <c r="C28" s="42" t="s">
        <v>150</v>
      </c>
      <c r="D28" s="41"/>
      <c r="E28" s="41" t="s">
        <v>151</v>
      </c>
      <c r="F28" s="52" t="s">
        <v>153</v>
      </c>
      <c r="G28" s="49">
        <v>0</v>
      </c>
      <c r="H28" s="40" t="s">
        <v>151</v>
      </c>
      <c r="J28" s="7"/>
    </row>
    <row r="29" spans="1:10" x14ac:dyDescent="0.2">
      <c r="A29" s="41"/>
      <c r="B29" s="41"/>
      <c r="C29" s="50"/>
      <c r="D29" s="41"/>
      <c r="E29" s="41"/>
      <c r="F29" s="51"/>
      <c r="G29" s="51"/>
      <c r="H29" s="40" t="s">
        <v>151</v>
      </c>
      <c r="J29" s="7"/>
    </row>
    <row r="30" spans="1:10" x14ac:dyDescent="0.2">
      <c r="A30" s="41"/>
      <c r="B30" s="41"/>
      <c r="C30" s="42" t="s">
        <v>160</v>
      </c>
      <c r="D30" s="41"/>
      <c r="E30" s="41"/>
      <c r="F30" s="41"/>
      <c r="G30" s="41"/>
      <c r="H30" s="40" t="s">
        <v>151</v>
      </c>
      <c r="J30" s="7"/>
    </row>
    <row r="31" spans="1:10" x14ac:dyDescent="0.2">
      <c r="A31" s="41"/>
      <c r="B31" s="41"/>
      <c r="C31" s="42" t="s">
        <v>150</v>
      </c>
      <c r="D31" s="41"/>
      <c r="E31" s="41" t="s">
        <v>151</v>
      </c>
      <c r="F31" s="52" t="s">
        <v>153</v>
      </c>
      <c r="G31" s="49">
        <v>0</v>
      </c>
      <c r="H31" s="40" t="s">
        <v>151</v>
      </c>
      <c r="J31" s="7"/>
    </row>
    <row r="32" spans="1:10" x14ac:dyDescent="0.2">
      <c r="A32" s="41"/>
      <c r="B32" s="41"/>
      <c r="C32" s="50"/>
      <c r="D32" s="41"/>
      <c r="E32" s="41"/>
      <c r="F32" s="51"/>
      <c r="G32" s="51"/>
      <c r="H32" s="40" t="s">
        <v>151</v>
      </c>
      <c r="J32" s="7"/>
    </row>
    <row r="33" spans="1:10" x14ac:dyDescent="0.2">
      <c r="A33" s="41"/>
      <c r="B33" s="41"/>
      <c r="C33" s="42" t="s">
        <v>161</v>
      </c>
      <c r="D33" s="41"/>
      <c r="E33" s="41"/>
      <c r="F33" s="41"/>
      <c r="G33" s="41"/>
      <c r="H33" s="40" t="s">
        <v>151</v>
      </c>
      <c r="J33" s="7"/>
    </row>
    <row r="34" spans="1:10" x14ac:dyDescent="0.2">
      <c r="A34" s="41"/>
      <c r="B34" s="41"/>
      <c r="C34" s="42" t="s">
        <v>150</v>
      </c>
      <c r="D34" s="41"/>
      <c r="E34" s="41" t="s">
        <v>151</v>
      </c>
      <c r="F34" s="52" t="s">
        <v>153</v>
      </c>
      <c r="G34" s="49">
        <v>0</v>
      </c>
      <c r="H34" s="40" t="s">
        <v>151</v>
      </c>
      <c r="J34" s="7"/>
    </row>
    <row r="35" spans="1:10" x14ac:dyDescent="0.2">
      <c r="A35" s="41"/>
      <c r="B35" s="41"/>
      <c r="C35" s="50"/>
      <c r="D35" s="41"/>
      <c r="E35" s="41"/>
      <c r="F35" s="51"/>
      <c r="G35" s="51"/>
      <c r="H35" s="40" t="s">
        <v>151</v>
      </c>
      <c r="J35" s="7"/>
    </row>
    <row r="36" spans="1:10" x14ac:dyDescent="0.2">
      <c r="A36" s="41"/>
      <c r="B36" s="41"/>
      <c r="C36" s="42" t="s">
        <v>162</v>
      </c>
      <c r="D36" s="41"/>
      <c r="E36" s="41"/>
      <c r="F36" s="51"/>
      <c r="G36" s="51"/>
      <c r="H36" s="40" t="s">
        <v>151</v>
      </c>
      <c r="J36" s="7"/>
    </row>
    <row r="37" spans="1:10" x14ac:dyDescent="0.2">
      <c r="A37" s="41"/>
      <c r="B37" s="41"/>
      <c r="C37" s="42" t="s">
        <v>150</v>
      </c>
      <c r="D37" s="41"/>
      <c r="E37" s="41" t="s">
        <v>151</v>
      </c>
      <c r="F37" s="52" t="s">
        <v>153</v>
      </c>
      <c r="G37" s="49">
        <v>0</v>
      </c>
      <c r="H37" s="40" t="s">
        <v>151</v>
      </c>
      <c r="J37" s="7"/>
    </row>
    <row r="38" spans="1:10" x14ac:dyDescent="0.2">
      <c r="A38" s="41"/>
      <c r="B38" s="41"/>
      <c r="C38" s="50"/>
      <c r="D38" s="41"/>
      <c r="E38" s="41"/>
      <c r="F38" s="51"/>
      <c r="G38" s="51"/>
      <c r="H38" s="40" t="s">
        <v>151</v>
      </c>
      <c r="J38" s="7"/>
    </row>
    <row r="39" spans="1:10" x14ac:dyDescent="0.2">
      <c r="A39" s="41"/>
      <c r="B39" s="41"/>
      <c r="C39" s="42" t="s">
        <v>163</v>
      </c>
      <c r="D39" s="41"/>
      <c r="E39" s="41"/>
      <c r="F39" s="48">
        <v>0</v>
      </c>
      <c r="G39" s="49">
        <v>0</v>
      </c>
      <c r="H39" s="40" t="s">
        <v>151</v>
      </c>
      <c r="J39" s="7"/>
    </row>
    <row r="40" spans="1:10" x14ac:dyDescent="0.2">
      <c r="A40" s="41"/>
      <c r="B40" s="41"/>
      <c r="C40" s="50"/>
      <c r="D40" s="41"/>
      <c r="E40" s="41"/>
      <c r="F40" s="51"/>
      <c r="G40" s="51"/>
      <c r="H40" s="40" t="s">
        <v>151</v>
      </c>
      <c r="J40" s="7"/>
    </row>
    <row r="41" spans="1:10" x14ac:dyDescent="0.2">
      <c r="A41" s="41"/>
      <c r="B41" s="41"/>
      <c r="C41" s="42" t="s">
        <v>164</v>
      </c>
      <c r="D41" s="41"/>
      <c r="E41" s="41"/>
      <c r="F41" s="51"/>
      <c r="G41" s="51"/>
      <c r="H41" s="40" t="s">
        <v>151</v>
      </c>
      <c r="J41" s="7"/>
    </row>
    <row r="42" spans="1:10" x14ac:dyDescent="0.2">
      <c r="A42" s="41"/>
      <c r="B42" s="41"/>
      <c r="C42" s="42" t="s">
        <v>165</v>
      </c>
      <c r="D42" s="41"/>
      <c r="E42" s="41"/>
      <c r="F42" s="51"/>
      <c r="G42" s="51"/>
      <c r="H42" s="40" t="s">
        <v>151</v>
      </c>
      <c r="J42" s="7"/>
    </row>
    <row r="43" spans="1:10" x14ac:dyDescent="0.2">
      <c r="A43" s="41"/>
      <c r="B43" s="41"/>
      <c r="C43" s="42" t="s">
        <v>150</v>
      </c>
      <c r="D43" s="41"/>
      <c r="E43" s="41" t="s">
        <v>151</v>
      </c>
      <c r="F43" s="52" t="s">
        <v>153</v>
      </c>
      <c r="G43" s="49">
        <v>0</v>
      </c>
      <c r="H43" s="40" t="s">
        <v>151</v>
      </c>
      <c r="J43" s="7"/>
    </row>
    <row r="44" spans="1:10" x14ac:dyDescent="0.2">
      <c r="A44" s="41"/>
      <c r="B44" s="41"/>
      <c r="C44" s="50"/>
      <c r="D44" s="41"/>
      <c r="E44" s="41"/>
      <c r="F44" s="51"/>
      <c r="G44" s="51"/>
      <c r="H44" s="40" t="s">
        <v>151</v>
      </c>
      <c r="J44" s="7"/>
    </row>
    <row r="45" spans="1:10" x14ac:dyDescent="0.2">
      <c r="A45" s="41"/>
      <c r="B45" s="41"/>
      <c r="C45" s="42" t="s">
        <v>166</v>
      </c>
      <c r="D45" s="41"/>
      <c r="E45" s="41"/>
      <c r="F45" s="51"/>
      <c r="G45" s="51"/>
      <c r="H45" s="40" t="s">
        <v>151</v>
      </c>
      <c r="J45" s="7"/>
    </row>
    <row r="46" spans="1:10" x14ac:dyDescent="0.2">
      <c r="A46" s="41"/>
      <c r="B46" s="41"/>
      <c r="C46" s="42" t="s">
        <v>150</v>
      </c>
      <c r="D46" s="41"/>
      <c r="E46" s="41" t="s">
        <v>151</v>
      </c>
      <c r="F46" s="52" t="s">
        <v>153</v>
      </c>
      <c r="G46" s="49">
        <v>0</v>
      </c>
      <c r="H46" s="40" t="s">
        <v>151</v>
      </c>
      <c r="J46" s="7"/>
    </row>
    <row r="47" spans="1:10" x14ac:dyDescent="0.2">
      <c r="A47" s="41"/>
      <c r="B47" s="41"/>
      <c r="C47" s="50"/>
      <c r="D47" s="41"/>
      <c r="E47" s="41"/>
      <c r="F47" s="51"/>
      <c r="G47" s="51"/>
      <c r="H47" s="40" t="s">
        <v>151</v>
      </c>
      <c r="J47" s="7"/>
    </row>
    <row r="48" spans="1:10" x14ac:dyDescent="0.2">
      <c r="A48" s="41"/>
      <c r="B48" s="41"/>
      <c r="C48" s="42" t="s">
        <v>167</v>
      </c>
      <c r="D48" s="41"/>
      <c r="E48" s="41"/>
      <c r="F48" s="51"/>
      <c r="G48" s="51"/>
      <c r="H48" s="40" t="s">
        <v>151</v>
      </c>
      <c r="J48" s="7"/>
    </row>
    <row r="49" spans="1:10" x14ac:dyDescent="0.2">
      <c r="A49" s="41"/>
      <c r="B49" s="41"/>
      <c r="C49" s="42" t="s">
        <v>150</v>
      </c>
      <c r="D49" s="41"/>
      <c r="E49" s="41" t="s">
        <v>151</v>
      </c>
      <c r="F49" s="52" t="s">
        <v>153</v>
      </c>
      <c r="G49" s="49">
        <v>0</v>
      </c>
      <c r="H49" s="40" t="s">
        <v>151</v>
      </c>
      <c r="J49" s="7"/>
    </row>
    <row r="50" spans="1:10" x14ac:dyDescent="0.2">
      <c r="A50" s="41"/>
      <c r="B50" s="41"/>
      <c r="C50" s="50"/>
      <c r="D50" s="41"/>
      <c r="E50" s="41"/>
      <c r="F50" s="51"/>
      <c r="G50" s="51"/>
      <c r="H50" s="40" t="s">
        <v>151</v>
      </c>
      <c r="J50" s="7"/>
    </row>
    <row r="51" spans="1:10" x14ac:dyDescent="0.2">
      <c r="A51" s="41"/>
      <c r="B51" s="41"/>
      <c r="C51" s="42" t="s">
        <v>168</v>
      </c>
      <c r="D51" s="41"/>
      <c r="E51" s="41"/>
      <c r="F51" s="51"/>
      <c r="G51" s="51"/>
      <c r="H51" s="40" t="s">
        <v>151</v>
      </c>
      <c r="J51" s="7"/>
    </row>
    <row r="52" spans="1:10" x14ac:dyDescent="0.2">
      <c r="A52" s="43">
        <v>1</v>
      </c>
      <c r="B52" s="44"/>
      <c r="C52" s="44" t="s">
        <v>169</v>
      </c>
      <c r="D52" s="44"/>
      <c r="E52" s="54"/>
      <c r="F52" s="46">
        <v>133.84196600000001</v>
      </c>
      <c r="G52" s="47">
        <v>1.179915E-2</v>
      </c>
      <c r="H52" s="40">
        <v>6.39</v>
      </c>
      <c r="J52" s="7"/>
    </row>
    <row r="53" spans="1:10" x14ac:dyDescent="0.2">
      <c r="A53" s="41"/>
      <c r="B53" s="41"/>
      <c r="C53" s="42" t="s">
        <v>150</v>
      </c>
      <c r="D53" s="41"/>
      <c r="E53" s="41" t="s">
        <v>151</v>
      </c>
      <c r="F53" s="48">
        <v>133.84196600000001</v>
      </c>
      <c r="G53" s="49">
        <v>1.179915E-2</v>
      </c>
      <c r="H53" s="40" t="s">
        <v>151</v>
      </c>
      <c r="J53" s="7"/>
    </row>
    <row r="54" spans="1:10" x14ac:dyDescent="0.2">
      <c r="A54" s="41"/>
      <c r="B54" s="41"/>
      <c r="C54" s="50"/>
      <c r="D54" s="41"/>
      <c r="E54" s="41"/>
      <c r="F54" s="51"/>
      <c r="G54" s="51"/>
      <c r="H54" s="40" t="s">
        <v>151</v>
      </c>
      <c r="J54" s="7"/>
    </row>
    <row r="55" spans="1:10" x14ac:dyDescent="0.2">
      <c r="A55" s="41"/>
      <c r="B55" s="41"/>
      <c r="C55" s="42" t="s">
        <v>170</v>
      </c>
      <c r="D55" s="41"/>
      <c r="E55" s="41"/>
      <c r="F55" s="48">
        <v>133.84196600000001</v>
      </c>
      <c r="G55" s="49">
        <v>1.179915E-2</v>
      </c>
      <c r="H55" s="40" t="s">
        <v>151</v>
      </c>
      <c r="J55" s="7"/>
    </row>
    <row r="56" spans="1:10" x14ac:dyDescent="0.2">
      <c r="A56" s="41"/>
      <c r="B56" s="41"/>
      <c r="C56" s="51"/>
      <c r="D56" s="41"/>
      <c r="E56" s="41"/>
      <c r="F56" s="41"/>
      <c r="G56" s="41"/>
      <c r="H56" s="40" t="s">
        <v>151</v>
      </c>
      <c r="J56" s="7"/>
    </row>
    <row r="57" spans="1:10" x14ac:dyDescent="0.2">
      <c r="A57" s="41"/>
      <c r="B57" s="41"/>
      <c r="C57" s="42" t="s">
        <v>171</v>
      </c>
      <c r="D57" s="41"/>
      <c r="E57" s="41"/>
      <c r="F57" s="41"/>
      <c r="G57" s="41"/>
      <c r="H57" s="40" t="s">
        <v>151</v>
      </c>
      <c r="J57" s="7"/>
    </row>
    <row r="58" spans="1:10" ht="25.5" x14ac:dyDescent="0.2">
      <c r="A58" s="41"/>
      <c r="B58" s="41"/>
      <c r="C58" s="78" t="s">
        <v>945</v>
      </c>
      <c r="D58" s="41"/>
      <c r="E58" s="41"/>
      <c r="F58" s="41"/>
      <c r="G58" s="41"/>
      <c r="H58" s="40" t="s">
        <v>151</v>
      </c>
      <c r="J58" s="7"/>
    </row>
    <row r="59" spans="1:10" x14ac:dyDescent="0.2">
      <c r="A59" s="43">
        <v>1</v>
      </c>
      <c r="B59" s="44" t="s">
        <v>878</v>
      </c>
      <c r="C59" s="44" t="s">
        <v>879</v>
      </c>
      <c r="D59" s="44"/>
      <c r="E59" s="79">
        <v>8832595.0219999999</v>
      </c>
      <c r="F59" s="46">
        <v>10902.83658508</v>
      </c>
      <c r="G59" s="47">
        <v>0.96116486999999995</v>
      </c>
      <c r="H59" s="40" t="s">
        <v>151</v>
      </c>
      <c r="J59" s="7"/>
    </row>
    <row r="60" spans="1:10" x14ac:dyDescent="0.2">
      <c r="A60" s="41"/>
      <c r="B60" s="41"/>
      <c r="C60" s="42" t="s">
        <v>150</v>
      </c>
      <c r="D60" s="41"/>
      <c r="E60" s="41" t="s">
        <v>151</v>
      </c>
      <c r="F60" s="48">
        <v>10902.83658508</v>
      </c>
      <c r="G60" s="49">
        <v>0.96116486999999995</v>
      </c>
      <c r="H60" s="40" t="s">
        <v>151</v>
      </c>
      <c r="J60" s="7"/>
    </row>
    <row r="61" spans="1:10" x14ac:dyDescent="0.2">
      <c r="A61" s="41"/>
      <c r="B61" s="41"/>
      <c r="C61" s="50"/>
      <c r="D61" s="41"/>
      <c r="E61" s="41"/>
      <c r="F61" s="51"/>
      <c r="G61" s="51"/>
      <c r="H61" s="40" t="s">
        <v>151</v>
      </c>
      <c r="J61" s="7"/>
    </row>
    <row r="62" spans="1:10" x14ac:dyDescent="0.2">
      <c r="A62" s="41"/>
      <c r="B62" s="41"/>
      <c r="C62" s="42" t="s">
        <v>173</v>
      </c>
      <c r="D62" s="41"/>
      <c r="E62" s="41"/>
      <c r="F62" s="41"/>
      <c r="G62" s="41"/>
      <c r="H62" s="40" t="s">
        <v>151</v>
      </c>
      <c r="J62" s="7"/>
    </row>
    <row r="63" spans="1:10" x14ac:dyDescent="0.2">
      <c r="A63" s="41"/>
      <c r="B63" s="41"/>
      <c r="C63" s="42" t="s">
        <v>174</v>
      </c>
      <c r="D63" s="41"/>
      <c r="E63" s="41"/>
      <c r="F63" s="41"/>
      <c r="G63" s="41"/>
      <c r="H63" s="40" t="s">
        <v>151</v>
      </c>
      <c r="J63" s="7"/>
    </row>
    <row r="64" spans="1:10" x14ac:dyDescent="0.2">
      <c r="A64" s="41"/>
      <c r="B64" s="41"/>
      <c r="C64" s="42" t="s">
        <v>150</v>
      </c>
      <c r="D64" s="41"/>
      <c r="E64" s="41" t="s">
        <v>151</v>
      </c>
      <c r="F64" s="52" t="s">
        <v>153</v>
      </c>
      <c r="G64" s="49">
        <v>0</v>
      </c>
      <c r="H64" s="40" t="s">
        <v>151</v>
      </c>
      <c r="J64" s="7"/>
    </row>
    <row r="65" spans="1:17" x14ac:dyDescent="0.2">
      <c r="A65" s="41"/>
      <c r="B65" s="41"/>
      <c r="C65" s="50"/>
      <c r="D65" s="41"/>
      <c r="E65" s="41"/>
      <c r="F65" s="51"/>
      <c r="G65" s="51"/>
      <c r="H65" s="40" t="s">
        <v>151</v>
      </c>
      <c r="J65" s="7"/>
    </row>
    <row r="66" spans="1:17" x14ac:dyDescent="0.2">
      <c r="A66" s="41"/>
      <c r="B66" s="41"/>
      <c r="C66" s="42" t="s">
        <v>175</v>
      </c>
      <c r="D66" s="41"/>
      <c r="E66" s="41"/>
      <c r="F66" s="51"/>
      <c r="G66" s="51"/>
      <c r="H66" s="40" t="s">
        <v>151</v>
      </c>
      <c r="J66" s="7"/>
    </row>
    <row r="67" spans="1:17" x14ac:dyDescent="0.2">
      <c r="A67" s="41"/>
      <c r="B67" s="41"/>
      <c r="C67" s="42" t="s">
        <v>150</v>
      </c>
      <c r="D67" s="41"/>
      <c r="E67" s="41" t="s">
        <v>151</v>
      </c>
      <c r="F67" s="52" t="s">
        <v>153</v>
      </c>
      <c r="G67" s="49">
        <v>0</v>
      </c>
      <c r="H67" s="40" t="s">
        <v>151</v>
      </c>
      <c r="J67" s="7"/>
    </row>
    <row r="68" spans="1:17" x14ac:dyDescent="0.2">
      <c r="A68" s="41"/>
      <c r="B68" s="41"/>
      <c r="C68" s="50"/>
      <c r="D68" s="41"/>
      <c r="E68" s="41"/>
      <c r="F68" s="51"/>
      <c r="G68" s="51"/>
      <c r="H68" s="40" t="s">
        <v>151</v>
      </c>
      <c r="J68" s="7"/>
    </row>
    <row r="69" spans="1:17" x14ac:dyDescent="0.2">
      <c r="A69" s="41"/>
      <c r="B69" s="44"/>
      <c r="C69" s="44"/>
      <c r="D69" s="42"/>
      <c r="E69" s="41"/>
      <c r="F69" s="44"/>
      <c r="G69" s="54"/>
      <c r="H69" s="40" t="s">
        <v>151</v>
      </c>
      <c r="J69" s="7"/>
    </row>
    <row r="70" spans="1:17" x14ac:dyDescent="0.2">
      <c r="A70" s="54"/>
      <c r="B70" s="44"/>
      <c r="C70" s="44" t="s">
        <v>176</v>
      </c>
      <c r="D70" s="44"/>
      <c r="E70" s="54"/>
      <c r="F70" s="46">
        <v>306.67881076999998</v>
      </c>
      <c r="G70" s="47">
        <v>2.7035980000000001E-2</v>
      </c>
      <c r="H70" s="40" t="s">
        <v>151</v>
      </c>
      <c r="J70" s="7"/>
    </row>
    <row r="71" spans="1:17" x14ac:dyDescent="0.2">
      <c r="A71" s="50"/>
      <c r="B71" s="50"/>
      <c r="C71" s="42" t="s">
        <v>177</v>
      </c>
      <c r="D71" s="51"/>
      <c r="E71" s="51"/>
      <c r="F71" s="48">
        <v>11343.35736185</v>
      </c>
      <c r="G71" s="55">
        <v>1</v>
      </c>
      <c r="H71" s="40" t="s">
        <v>151</v>
      </c>
      <c r="J71" s="7"/>
    </row>
    <row r="72" spans="1:17" x14ac:dyDescent="0.2">
      <c r="A72" s="56"/>
      <c r="B72" s="56"/>
      <c r="C72" s="56"/>
      <c r="D72" s="57"/>
      <c r="E72" s="57"/>
      <c r="F72" s="57"/>
      <c r="G72" s="57"/>
      <c r="I72"/>
      <c r="J72" s="7"/>
    </row>
    <row r="73" spans="1:17" ht="12.75" customHeight="1" x14ac:dyDescent="0.2">
      <c r="A73" s="58"/>
      <c r="B73" s="159" t="s">
        <v>923</v>
      </c>
      <c r="C73" s="159"/>
      <c r="D73" s="159"/>
      <c r="E73" s="159"/>
      <c r="F73" s="159"/>
      <c r="G73" s="159"/>
      <c r="H73" s="159"/>
      <c r="I73"/>
      <c r="J73" s="7"/>
    </row>
    <row r="74" spans="1:17" ht="14.1" customHeight="1" x14ac:dyDescent="0.2">
      <c r="A74" s="58"/>
      <c r="B74" s="159" t="s">
        <v>924</v>
      </c>
      <c r="C74" s="159"/>
      <c r="D74" s="159"/>
      <c r="E74" s="159"/>
      <c r="F74" s="159"/>
      <c r="G74" s="159"/>
      <c r="H74" s="159"/>
      <c r="I74"/>
      <c r="J74" s="7"/>
    </row>
    <row r="75" spans="1:17" ht="17.100000000000001" customHeight="1" x14ac:dyDescent="0.2">
      <c r="A75" s="58"/>
      <c r="B75" s="159" t="s">
        <v>925</v>
      </c>
      <c r="C75" s="159"/>
      <c r="D75" s="159"/>
      <c r="E75" s="159"/>
      <c r="F75" s="159"/>
      <c r="G75" s="159"/>
      <c r="H75" s="159"/>
      <c r="I75"/>
      <c r="J75" s="7"/>
    </row>
    <row r="76" spans="1:17" s="8" customFormat="1" ht="65.25" customHeight="1" x14ac:dyDescent="0.25">
      <c r="A76" s="60"/>
      <c r="B76" s="160" t="s">
        <v>926</v>
      </c>
      <c r="C76" s="160"/>
      <c r="D76" s="160"/>
      <c r="E76" s="160"/>
      <c r="F76" s="160"/>
      <c r="G76" s="160"/>
      <c r="H76" s="160"/>
      <c r="I76"/>
      <c r="J76" s="7"/>
      <c r="K76"/>
      <c r="L76"/>
      <c r="M76"/>
      <c r="N76"/>
      <c r="O76"/>
      <c r="P76"/>
      <c r="Q76"/>
    </row>
    <row r="77" spans="1:17" ht="12.75" customHeight="1" x14ac:dyDescent="0.2">
      <c r="A77" s="58"/>
      <c r="B77" s="159" t="s">
        <v>927</v>
      </c>
      <c r="C77" s="159"/>
      <c r="D77" s="159"/>
      <c r="E77" s="159"/>
      <c r="F77" s="159"/>
      <c r="G77" s="159"/>
      <c r="H77" s="159"/>
      <c r="J77" s="7"/>
    </row>
    <row r="78" spans="1:17" x14ac:dyDescent="0.2">
      <c r="A78" s="61"/>
      <c r="B78" s="61"/>
      <c r="C78" s="61"/>
      <c r="D78" s="62"/>
      <c r="E78" s="62"/>
      <c r="F78" s="62"/>
      <c r="G78" s="62"/>
      <c r="J78" s="7"/>
    </row>
    <row r="79" spans="1:17" x14ac:dyDescent="0.2">
      <c r="A79" s="61"/>
      <c r="B79" s="161" t="s">
        <v>178</v>
      </c>
      <c r="C79" s="162"/>
      <c r="D79" s="163"/>
      <c r="E79" s="63"/>
      <c r="F79" s="62"/>
      <c r="G79" s="62"/>
      <c r="J79" s="7"/>
    </row>
    <row r="80" spans="1:17" x14ac:dyDescent="0.2">
      <c r="A80" s="61"/>
      <c r="B80" s="156" t="s">
        <v>179</v>
      </c>
      <c r="C80" s="157"/>
      <c r="D80" s="42" t="s">
        <v>180</v>
      </c>
      <c r="E80" s="63"/>
      <c r="F80" s="62"/>
      <c r="G80" s="62"/>
      <c r="J80" s="7"/>
    </row>
    <row r="81" spans="1:10" x14ac:dyDescent="0.2">
      <c r="A81" s="61"/>
      <c r="B81" s="156" t="s">
        <v>181</v>
      </c>
      <c r="C81" s="157"/>
      <c r="D81" s="42" t="s">
        <v>180</v>
      </c>
      <c r="E81" s="63"/>
      <c r="F81" s="62"/>
      <c r="G81" s="62"/>
      <c r="J81" s="7"/>
    </row>
    <row r="82" spans="1:10" x14ac:dyDescent="0.2">
      <c r="A82" s="61"/>
      <c r="B82" s="156" t="s">
        <v>182</v>
      </c>
      <c r="C82" s="157"/>
      <c r="D82" s="51" t="s">
        <v>151</v>
      </c>
      <c r="E82" s="63"/>
      <c r="F82" s="62"/>
      <c r="G82" s="62"/>
      <c r="I82"/>
      <c r="J82" s="7"/>
    </row>
    <row r="83" spans="1:10" x14ac:dyDescent="0.2">
      <c r="A83" s="67"/>
      <c r="B83" s="68" t="s">
        <v>151</v>
      </c>
      <c r="C83" s="68" t="s">
        <v>937</v>
      </c>
      <c r="D83" s="68" t="s">
        <v>183</v>
      </c>
      <c r="E83" s="67"/>
      <c r="F83" s="67"/>
      <c r="G83" s="67"/>
      <c r="H83" s="67"/>
      <c r="J83" s="7"/>
    </row>
    <row r="84" spans="1:10" x14ac:dyDescent="0.2">
      <c r="A84" s="69"/>
      <c r="B84" s="70" t="s">
        <v>184</v>
      </c>
      <c r="C84" s="80" t="s">
        <v>185</v>
      </c>
      <c r="D84" s="80" t="s">
        <v>186</v>
      </c>
      <c r="E84" s="69"/>
      <c r="F84" s="69"/>
      <c r="G84" s="69"/>
      <c r="J84" s="7"/>
    </row>
    <row r="85" spans="1:10" x14ac:dyDescent="0.2">
      <c r="A85" s="69"/>
      <c r="B85" s="44" t="s">
        <v>187</v>
      </c>
      <c r="C85" s="72">
        <v>32.920400000000001</v>
      </c>
      <c r="D85" s="72">
        <v>33.0989</v>
      </c>
      <c r="E85" s="69"/>
      <c r="F85" s="73"/>
      <c r="G85" s="74"/>
      <c r="J85" s="7"/>
    </row>
    <row r="86" spans="1:10" x14ac:dyDescent="0.2">
      <c r="A86" s="69"/>
      <c r="B86" s="44" t="s">
        <v>1094</v>
      </c>
      <c r="C86" s="72">
        <v>29.2773</v>
      </c>
      <c r="D86" s="72">
        <v>29.436</v>
      </c>
      <c r="E86" s="69"/>
      <c r="F86" s="73"/>
      <c r="G86" s="74"/>
      <c r="J86" s="7"/>
    </row>
    <row r="87" spans="1:10" x14ac:dyDescent="0.2">
      <c r="A87" s="69"/>
      <c r="B87" s="44" t="s">
        <v>188</v>
      </c>
      <c r="C87" s="72">
        <v>30.351900000000001</v>
      </c>
      <c r="D87" s="72">
        <v>30.491499999999998</v>
      </c>
      <c r="E87" s="69"/>
      <c r="F87" s="73"/>
      <c r="G87" s="74"/>
      <c r="J87" s="7"/>
    </row>
    <row r="88" spans="1:10" x14ac:dyDescent="0.2">
      <c r="A88" s="69"/>
      <c r="B88" s="44" t="s">
        <v>1095</v>
      </c>
      <c r="C88" s="72">
        <v>26.0091</v>
      </c>
      <c r="D88" s="72">
        <v>26.128699999999998</v>
      </c>
      <c r="E88" s="69"/>
      <c r="F88" s="73"/>
      <c r="G88" s="74"/>
      <c r="J88" s="7"/>
    </row>
    <row r="89" spans="1:10" x14ac:dyDescent="0.2">
      <c r="A89" s="69"/>
      <c r="B89" s="69"/>
      <c r="C89" s="69"/>
      <c r="D89" s="69"/>
      <c r="E89" s="69"/>
      <c r="F89" s="69"/>
      <c r="G89" s="69"/>
      <c r="J89" s="7"/>
    </row>
    <row r="90" spans="1:10" s="14" customFormat="1" x14ac:dyDescent="0.2">
      <c r="A90" s="81"/>
      <c r="B90" s="166" t="s">
        <v>940</v>
      </c>
      <c r="C90" s="167"/>
      <c r="D90" s="64" t="s">
        <v>180</v>
      </c>
      <c r="E90" s="81"/>
      <c r="F90" s="81"/>
      <c r="G90" s="81"/>
      <c r="J90" s="7"/>
    </row>
    <row r="91" spans="1:10" s="14" customFormat="1" x14ac:dyDescent="0.2">
      <c r="A91" s="81"/>
      <c r="B91" s="82"/>
      <c r="C91" s="82"/>
      <c r="D91" s="81"/>
      <c r="E91" s="81"/>
      <c r="F91" s="81"/>
      <c r="G91" s="81"/>
      <c r="J91" s="7"/>
    </row>
    <row r="92" spans="1:10" ht="29.1" customHeight="1" x14ac:dyDescent="0.2">
      <c r="A92" s="67"/>
      <c r="B92" s="164" t="s">
        <v>189</v>
      </c>
      <c r="C92" s="165"/>
      <c r="D92" s="64" t="s">
        <v>180</v>
      </c>
      <c r="E92" s="75"/>
      <c r="F92" s="67"/>
      <c r="G92" s="67"/>
      <c r="J92" s="7"/>
    </row>
    <row r="93" spans="1:10" ht="29.1" customHeight="1" x14ac:dyDescent="0.2">
      <c r="A93" s="67"/>
      <c r="B93" s="164" t="s">
        <v>190</v>
      </c>
      <c r="C93" s="165"/>
      <c r="D93" s="64" t="str">
        <f>"Rs. "&amp;TEXT(F60,"0,000.00")&amp;" Lacs"</f>
        <v>Rs. 10,902.84 Lacs</v>
      </c>
      <c r="E93" s="75"/>
      <c r="F93" s="67"/>
      <c r="G93" s="67"/>
      <c r="J93" s="7"/>
    </row>
    <row r="94" spans="1:10" ht="17.100000000000001" customHeight="1" x14ac:dyDescent="0.2">
      <c r="A94" s="67"/>
      <c r="B94" s="164" t="s">
        <v>191</v>
      </c>
      <c r="C94" s="165"/>
      <c r="D94" s="64" t="s">
        <v>180</v>
      </c>
      <c r="E94" s="75"/>
      <c r="F94" s="67"/>
      <c r="G94" s="67"/>
      <c r="J94" s="7"/>
    </row>
    <row r="95" spans="1:10" ht="17.100000000000001" customHeight="1" x14ac:dyDescent="0.2">
      <c r="A95" s="67"/>
      <c r="B95" s="164" t="s">
        <v>192</v>
      </c>
      <c r="C95" s="165"/>
      <c r="D95" s="76">
        <v>0</v>
      </c>
      <c r="E95" s="67"/>
      <c r="F95" s="59"/>
      <c r="G95" s="77"/>
      <c r="J95" s="7"/>
    </row>
  </sheetData>
  <mergeCells count="17">
    <mergeCell ref="B81:C81"/>
    <mergeCell ref="B82:C82"/>
    <mergeCell ref="B90:C90"/>
    <mergeCell ref="B94:C94"/>
    <mergeCell ref="B95:C95"/>
    <mergeCell ref="B92:C92"/>
    <mergeCell ref="B93:C93"/>
    <mergeCell ref="B80:C80"/>
    <mergeCell ref="A1:H1"/>
    <mergeCell ref="A2:H2"/>
    <mergeCell ref="A3:H3"/>
    <mergeCell ref="B73:H73"/>
    <mergeCell ref="B74:H74"/>
    <mergeCell ref="B75:H75"/>
    <mergeCell ref="B76:H76"/>
    <mergeCell ref="B77:H77"/>
    <mergeCell ref="B79:D79"/>
  </mergeCells>
  <hyperlinks>
    <hyperlink ref="I1" location="Index!B3" display="Index" xr:uid="{E7E20863-6C72-46CF-AE22-6C5F09A3AD1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1211E-EC07-46B2-BD30-1CA226773016}">
  <sheetPr>
    <outlinePr summaryBelow="0" summaryRight="0"/>
  </sheetPr>
  <dimension ref="A1:Q174"/>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11.42578125" bestFit="1" customWidth="1"/>
    <col min="6" max="6" width="10.42578125" bestFit="1" customWidth="1"/>
    <col min="7" max="7" width="8.7109375" customWidth="1"/>
    <col min="8" max="8" width="8.42578125" bestFit="1" customWidth="1"/>
    <col min="9" max="9" width="5.42578125" bestFit="1" customWidth="1"/>
    <col min="10" max="10" width="50.7109375" style="9" customWidth="1"/>
  </cols>
  <sheetData>
    <row r="1" spans="1:10" ht="15" x14ac:dyDescent="0.2">
      <c r="A1" s="158" t="s">
        <v>0</v>
      </c>
      <c r="B1" s="158"/>
      <c r="C1" s="158"/>
      <c r="D1" s="158"/>
      <c r="E1" s="158"/>
      <c r="F1" s="158"/>
      <c r="G1" s="158"/>
      <c r="H1" s="158"/>
      <c r="I1" s="32" t="s">
        <v>941</v>
      </c>
      <c r="J1" s="7"/>
    </row>
    <row r="2" spans="1:10" ht="15" x14ac:dyDescent="0.2">
      <c r="A2" s="158" t="s">
        <v>193</v>
      </c>
      <c r="B2" s="158"/>
      <c r="C2" s="158"/>
      <c r="D2" s="158"/>
      <c r="E2" s="158"/>
      <c r="F2" s="158"/>
      <c r="G2" s="158"/>
      <c r="H2" s="158"/>
      <c r="J2" s="11" t="s">
        <v>942</v>
      </c>
    </row>
    <row r="3" spans="1:10" ht="15" customHeight="1" x14ac:dyDescent="0.2">
      <c r="A3" s="158" t="s">
        <v>880</v>
      </c>
      <c r="B3" s="158"/>
      <c r="C3" s="158"/>
      <c r="D3" s="158"/>
      <c r="E3" s="158"/>
      <c r="F3" s="158"/>
      <c r="G3" s="158"/>
      <c r="H3" s="158"/>
      <c r="J3" s="7"/>
    </row>
    <row r="4" spans="1:10" s="1" customFormat="1" ht="33" customHeight="1"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194</v>
      </c>
      <c r="C7" s="44" t="s">
        <v>195</v>
      </c>
      <c r="D7" s="44" t="s">
        <v>100</v>
      </c>
      <c r="E7" s="45">
        <v>8297488</v>
      </c>
      <c r="F7" s="46">
        <v>48075.645471999997</v>
      </c>
      <c r="G7" s="47">
        <v>3.8567329999999997E-2</v>
      </c>
      <c r="H7" s="40" t="s">
        <v>151</v>
      </c>
      <c r="J7" s="7"/>
    </row>
    <row r="8" spans="1:10" x14ac:dyDescent="0.2">
      <c r="A8" s="43">
        <v>2</v>
      </c>
      <c r="B8" s="44" t="s">
        <v>77</v>
      </c>
      <c r="C8" s="44" t="s">
        <v>78</v>
      </c>
      <c r="D8" s="44" t="s">
        <v>33</v>
      </c>
      <c r="E8" s="45">
        <v>1239180</v>
      </c>
      <c r="F8" s="46">
        <v>47737.550730000003</v>
      </c>
      <c r="G8" s="47">
        <v>3.82961E-2</v>
      </c>
      <c r="H8" s="40" t="s">
        <v>151</v>
      </c>
      <c r="J8" s="7"/>
    </row>
    <row r="9" spans="1:10" x14ac:dyDescent="0.2">
      <c r="A9" s="43">
        <v>3</v>
      </c>
      <c r="B9" s="44" t="s">
        <v>196</v>
      </c>
      <c r="C9" s="44" t="s">
        <v>197</v>
      </c>
      <c r="D9" s="44" t="s">
        <v>45</v>
      </c>
      <c r="E9" s="45">
        <v>20011397</v>
      </c>
      <c r="F9" s="46">
        <v>40300.952418300003</v>
      </c>
      <c r="G9" s="47">
        <v>3.2330299999999999E-2</v>
      </c>
      <c r="H9" s="40" t="s">
        <v>151</v>
      </c>
      <c r="J9" s="7"/>
    </row>
    <row r="10" spans="1:10" x14ac:dyDescent="0.2">
      <c r="A10" s="43">
        <v>4</v>
      </c>
      <c r="B10" s="44" t="s">
        <v>198</v>
      </c>
      <c r="C10" s="44" t="s">
        <v>199</v>
      </c>
      <c r="D10" s="44" t="s">
        <v>89</v>
      </c>
      <c r="E10" s="45">
        <v>969864</v>
      </c>
      <c r="F10" s="46">
        <v>40138.306572000001</v>
      </c>
      <c r="G10" s="47">
        <v>3.2199819999999997E-2</v>
      </c>
      <c r="H10" s="40" t="s">
        <v>151</v>
      </c>
      <c r="J10" s="7"/>
    </row>
    <row r="11" spans="1:10" x14ac:dyDescent="0.2">
      <c r="A11" s="43">
        <v>5</v>
      </c>
      <c r="B11" s="44" t="s">
        <v>200</v>
      </c>
      <c r="C11" s="44" t="s">
        <v>201</v>
      </c>
      <c r="D11" s="44" t="s">
        <v>202</v>
      </c>
      <c r="E11" s="45">
        <v>624330</v>
      </c>
      <c r="F11" s="46">
        <v>36454.628700000001</v>
      </c>
      <c r="G11" s="47">
        <v>2.9244699999999998E-2</v>
      </c>
      <c r="H11" s="40" t="s">
        <v>151</v>
      </c>
      <c r="J11" s="7"/>
    </row>
    <row r="12" spans="1:10" ht="15" x14ac:dyDescent="0.2">
      <c r="A12" s="43">
        <v>6</v>
      </c>
      <c r="B12" s="44" t="s">
        <v>90</v>
      </c>
      <c r="C12" s="44" t="s">
        <v>91</v>
      </c>
      <c r="D12" s="44" t="s">
        <v>86</v>
      </c>
      <c r="E12" s="45">
        <v>5470000</v>
      </c>
      <c r="F12" s="46">
        <v>30456.959999999999</v>
      </c>
      <c r="G12" s="47">
        <v>2.4433239999999998E-2</v>
      </c>
      <c r="H12" s="40" t="s">
        <v>151</v>
      </c>
      <c r="J12" s="12"/>
    </row>
    <row r="13" spans="1:10" ht="25.5" x14ac:dyDescent="0.2">
      <c r="A13" s="43">
        <v>7</v>
      </c>
      <c r="B13" s="44" t="s">
        <v>203</v>
      </c>
      <c r="C13" s="44" t="s">
        <v>204</v>
      </c>
      <c r="D13" s="44" t="s">
        <v>205</v>
      </c>
      <c r="E13" s="45">
        <v>1777263</v>
      </c>
      <c r="F13" s="46">
        <v>29538.111059999999</v>
      </c>
      <c r="G13" s="47">
        <v>2.3696120000000001E-2</v>
      </c>
      <c r="H13" s="40" t="s">
        <v>151</v>
      </c>
      <c r="J13" s="7"/>
    </row>
    <row r="14" spans="1:10" x14ac:dyDescent="0.2">
      <c r="A14" s="43">
        <v>8</v>
      </c>
      <c r="B14" s="44" t="s">
        <v>206</v>
      </c>
      <c r="C14" s="44" t="s">
        <v>207</v>
      </c>
      <c r="D14" s="44" t="s">
        <v>45</v>
      </c>
      <c r="E14" s="45">
        <v>4488932</v>
      </c>
      <c r="F14" s="46">
        <v>27328.618016</v>
      </c>
      <c r="G14" s="47">
        <v>2.192361E-2</v>
      </c>
      <c r="H14" s="40" t="s">
        <v>151</v>
      </c>
      <c r="J14" s="7" t="s">
        <v>1048</v>
      </c>
    </row>
    <row r="15" spans="1:10" ht="25.5" x14ac:dyDescent="0.2">
      <c r="A15" s="43">
        <v>9</v>
      </c>
      <c r="B15" s="44" t="s">
        <v>208</v>
      </c>
      <c r="C15" s="44" t="s">
        <v>209</v>
      </c>
      <c r="D15" s="44" t="s">
        <v>210</v>
      </c>
      <c r="E15" s="45">
        <v>1388200</v>
      </c>
      <c r="F15" s="46">
        <v>26540.3017</v>
      </c>
      <c r="G15" s="47">
        <v>2.1291210000000001E-2</v>
      </c>
      <c r="H15" s="40" t="s">
        <v>151</v>
      </c>
      <c r="J15" s="7"/>
    </row>
    <row r="16" spans="1:10" x14ac:dyDescent="0.2">
      <c r="A16" s="43">
        <v>10</v>
      </c>
      <c r="B16" s="44" t="s">
        <v>211</v>
      </c>
      <c r="C16" s="44" t="s">
        <v>212</v>
      </c>
      <c r="D16" s="44" t="s">
        <v>61</v>
      </c>
      <c r="E16" s="45">
        <v>1389543</v>
      </c>
      <c r="F16" s="46">
        <v>25878.848832</v>
      </c>
      <c r="G16" s="47">
        <v>2.0760580000000001E-2</v>
      </c>
      <c r="H16" s="40" t="s">
        <v>151</v>
      </c>
      <c r="J16" s="7"/>
    </row>
    <row r="17" spans="1:10" ht="25.5" x14ac:dyDescent="0.2">
      <c r="A17" s="43">
        <v>11</v>
      </c>
      <c r="B17" s="44" t="s">
        <v>213</v>
      </c>
      <c r="C17" s="44" t="s">
        <v>214</v>
      </c>
      <c r="D17" s="44" t="s">
        <v>210</v>
      </c>
      <c r="E17" s="45">
        <v>2023902</v>
      </c>
      <c r="F17" s="46">
        <v>25242.105744</v>
      </c>
      <c r="G17" s="47">
        <v>2.024977E-2</v>
      </c>
      <c r="H17" s="40" t="s">
        <v>151</v>
      </c>
      <c r="J17" s="7"/>
    </row>
    <row r="18" spans="1:10" x14ac:dyDescent="0.2">
      <c r="A18" s="43">
        <v>12</v>
      </c>
      <c r="B18" s="44" t="s">
        <v>215</v>
      </c>
      <c r="C18" s="44" t="s">
        <v>216</v>
      </c>
      <c r="D18" s="44" t="s">
        <v>16</v>
      </c>
      <c r="E18" s="45">
        <v>1341316</v>
      </c>
      <c r="F18" s="46">
        <v>25034.992482000001</v>
      </c>
      <c r="G18" s="47">
        <v>2.008362E-2</v>
      </c>
      <c r="H18" s="40" t="s">
        <v>151</v>
      </c>
      <c r="J18" s="7"/>
    </row>
    <row r="19" spans="1:10" x14ac:dyDescent="0.2">
      <c r="A19" s="43">
        <v>13</v>
      </c>
      <c r="B19" s="44" t="s">
        <v>217</v>
      </c>
      <c r="C19" s="44" t="s">
        <v>218</v>
      </c>
      <c r="D19" s="44" t="s">
        <v>219</v>
      </c>
      <c r="E19" s="45">
        <v>506729</v>
      </c>
      <c r="F19" s="46">
        <v>24486.665466999999</v>
      </c>
      <c r="G19" s="47">
        <v>1.964374E-2</v>
      </c>
      <c r="H19" s="40" t="s">
        <v>151</v>
      </c>
      <c r="J19" s="7"/>
    </row>
    <row r="20" spans="1:10" x14ac:dyDescent="0.2">
      <c r="A20" s="43">
        <v>14</v>
      </c>
      <c r="B20" s="44" t="s">
        <v>220</v>
      </c>
      <c r="C20" s="44" t="s">
        <v>221</v>
      </c>
      <c r="D20" s="44" t="s">
        <v>222</v>
      </c>
      <c r="E20" s="45">
        <v>4707843</v>
      </c>
      <c r="F20" s="46">
        <v>23628.664016999999</v>
      </c>
      <c r="G20" s="47">
        <v>1.8955429999999999E-2</v>
      </c>
      <c r="H20" s="40" t="s">
        <v>151</v>
      </c>
      <c r="J20" s="7"/>
    </row>
    <row r="21" spans="1:10" x14ac:dyDescent="0.2">
      <c r="A21" s="43">
        <v>15</v>
      </c>
      <c r="B21" s="44" t="s">
        <v>223</v>
      </c>
      <c r="C21" s="44" t="s">
        <v>224</v>
      </c>
      <c r="D21" s="44" t="s">
        <v>86</v>
      </c>
      <c r="E21" s="45">
        <v>169776</v>
      </c>
      <c r="F21" s="46">
        <v>23412.789504</v>
      </c>
      <c r="G21" s="47">
        <v>1.878225E-2</v>
      </c>
      <c r="H21" s="40" t="s">
        <v>151</v>
      </c>
      <c r="J21" s="7"/>
    </row>
    <row r="22" spans="1:10" ht="15" x14ac:dyDescent="0.2">
      <c r="A22" s="43">
        <v>16</v>
      </c>
      <c r="B22" s="44" t="s">
        <v>225</v>
      </c>
      <c r="C22" s="44" t="s">
        <v>226</v>
      </c>
      <c r="D22" s="44" t="s">
        <v>100</v>
      </c>
      <c r="E22" s="45">
        <v>1445958</v>
      </c>
      <c r="F22" s="46">
        <v>22233.050208000001</v>
      </c>
      <c r="G22" s="47">
        <v>1.7835839999999999E-2</v>
      </c>
      <c r="H22" s="40" t="s">
        <v>151</v>
      </c>
      <c r="J22" s="12"/>
    </row>
    <row r="23" spans="1:10" x14ac:dyDescent="0.2">
      <c r="A23" s="43">
        <v>17</v>
      </c>
      <c r="B23" s="44" t="s">
        <v>227</v>
      </c>
      <c r="C23" s="44" t="s">
        <v>228</v>
      </c>
      <c r="D23" s="44" t="s">
        <v>229</v>
      </c>
      <c r="E23" s="45">
        <v>403395</v>
      </c>
      <c r="F23" s="46">
        <v>18290.736089999999</v>
      </c>
      <c r="G23" s="47">
        <v>1.4673230000000001E-2</v>
      </c>
      <c r="H23" s="40" t="s">
        <v>151</v>
      </c>
      <c r="J23" s="7"/>
    </row>
    <row r="24" spans="1:10" x14ac:dyDescent="0.2">
      <c r="A24" s="43">
        <v>18</v>
      </c>
      <c r="B24" s="44" t="s">
        <v>96</v>
      </c>
      <c r="C24" s="44" t="s">
        <v>97</v>
      </c>
      <c r="D24" s="44" t="s">
        <v>33</v>
      </c>
      <c r="E24" s="45">
        <v>689789</v>
      </c>
      <c r="F24" s="46">
        <v>17855.533159499999</v>
      </c>
      <c r="G24" s="47">
        <v>1.4324099999999999E-2</v>
      </c>
      <c r="H24" s="40" t="s">
        <v>151</v>
      </c>
      <c r="J24" s="7"/>
    </row>
    <row r="25" spans="1:10" x14ac:dyDescent="0.2">
      <c r="A25" s="43">
        <v>19</v>
      </c>
      <c r="B25" s="44" t="s">
        <v>230</v>
      </c>
      <c r="C25" s="44" t="s">
        <v>231</v>
      </c>
      <c r="D25" s="44" t="s">
        <v>232</v>
      </c>
      <c r="E25" s="45">
        <v>1601013</v>
      </c>
      <c r="F25" s="46">
        <v>17803.26456</v>
      </c>
      <c r="G25" s="47">
        <v>1.428217E-2</v>
      </c>
      <c r="H25" s="40" t="s">
        <v>151</v>
      </c>
      <c r="J25" s="7" t="s">
        <v>1049</v>
      </c>
    </row>
    <row r="26" spans="1:10" ht="25.5" x14ac:dyDescent="0.2">
      <c r="A26" s="43">
        <v>20</v>
      </c>
      <c r="B26" s="44" t="s">
        <v>233</v>
      </c>
      <c r="C26" s="44" t="s">
        <v>234</v>
      </c>
      <c r="D26" s="44" t="s">
        <v>235</v>
      </c>
      <c r="E26" s="45">
        <v>1211495</v>
      </c>
      <c r="F26" s="46">
        <v>17603.022349999999</v>
      </c>
      <c r="G26" s="47">
        <v>1.412153E-2</v>
      </c>
      <c r="H26" s="40" t="s">
        <v>151</v>
      </c>
      <c r="J26" s="7"/>
    </row>
    <row r="27" spans="1:10" ht="25.5" x14ac:dyDescent="0.2">
      <c r="A27" s="43">
        <v>21</v>
      </c>
      <c r="B27" s="44" t="s">
        <v>236</v>
      </c>
      <c r="C27" s="44" t="s">
        <v>237</v>
      </c>
      <c r="D27" s="44" t="s">
        <v>210</v>
      </c>
      <c r="E27" s="45">
        <v>329521</v>
      </c>
      <c r="F27" s="46">
        <v>17495.917495000002</v>
      </c>
      <c r="G27" s="47">
        <v>1.403561E-2</v>
      </c>
      <c r="H27" s="40" t="s">
        <v>151</v>
      </c>
      <c r="J27" s="7"/>
    </row>
    <row r="28" spans="1:10" x14ac:dyDescent="0.2">
      <c r="A28" s="43">
        <v>22</v>
      </c>
      <c r="B28" s="44" t="s">
        <v>238</v>
      </c>
      <c r="C28" s="44" t="s">
        <v>239</v>
      </c>
      <c r="D28" s="44" t="s">
        <v>22</v>
      </c>
      <c r="E28" s="45">
        <v>4437333</v>
      </c>
      <c r="F28" s="46">
        <v>17405.4386925</v>
      </c>
      <c r="G28" s="47">
        <v>1.396302E-2</v>
      </c>
      <c r="H28" s="40" t="s">
        <v>151</v>
      </c>
      <c r="J28" s="7"/>
    </row>
    <row r="29" spans="1:10" x14ac:dyDescent="0.2">
      <c r="A29" s="43">
        <v>23</v>
      </c>
      <c r="B29" s="44" t="s">
        <v>240</v>
      </c>
      <c r="C29" s="44" t="s">
        <v>241</v>
      </c>
      <c r="D29" s="44" t="s">
        <v>242</v>
      </c>
      <c r="E29" s="45">
        <v>2857330</v>
      </c>
      <c r="F29" s="46">
        <v>17109.692040000002</v>
      </c>
      <c r="G29" s="47">
        <v>1.372577E-2</v>
      </c>
      <c r="H29" s="40" t="s">
        <v>151</v>
      </c>
      <c r="J29" s="7"/>
    </row>
    <row r="30" spans="1:10" x14ac:dyDescent="0.2">
      <c r="A30" s="43">
        <v>24</v>
      </c>
      <c r="B30" s="44" t="s">
        <v>243</v>
      </c>
      <c r="C30" s="44" t="s">
        <v>244</v>
      </c>
      <c r="D30" s="44" t="s">
        <v>45</v>
      </c>
      <c r="E30" s="45">
        <v>2638529</v>
      </c>
      <c r="F30" s="46">
        <v>17046.216604500001</v>
      </c>
      <c r="G30" s="47">
        <v>1.3674850000000001E-2</v>
      </c>
      <c r="H30" s="40" t="s">
        <v>151</v>
      </c>
      <c r="J30" s="7"/>
    </row>
    <row r="31" spans="1:10" x14ac:dyDescent="0.2">
      <c r="A31" s="43">
        <v>25</v>
      </c>
      <c r="B31" s="44" t="s">
        <v>28</v>
      </c>
      <c r="C31" s="44" t="s">
        <v>29</v>
      </c>
      <c r="D31" s="44" t="s">
        <v>30</v>
      </c>
      <c r="E31" s="45">
        <v>5364231</v>
      </c>
      <c r="F31" s="46">
        <v>16953.652075499998</v>
      </c>
      <c r="G31" s="47">
        <v>1.3600589999999999E-2</v>
      </c>
      <c r="H31" s="40" t="s">
        <v>151</v>
      </c>
      <c r="J31" s="7"/>
    </row>
    <row r="32" spans="1:10" ht="25.5" x14ac:dyDescent="0.2">
      <c r="A32" s="43">
        <v>26</v>
      </c>
      <c r="B32" s="44" t="s">
        <v>245</v>
      </c>
      <c r="C32" s="44" t="s">
        <v>246</v>
      </c>
      <c r="D32" s="44" t="s">
        <v>247</v>
      </c>
      <c r="E32" s="45">
        <v>517174</v>
      </c>
      <c r="F32" s="46">
        <v>15992.571602</v>
      </c>
      <c r="G32" s="47">
        <v>1.282959E-2</v>
      </c>
      <c r="H32" s="40" t="s">
        <v>151</v>
      </c>
      <c r="J32" s="7"/>
    </row>
    <row r="33" spans="1:10" x14ac:dyDescent="0.2">
      <c r="A33" s="43">
        <v>27</v>
      </c>
      <c r="B33" s="44" t="s">
        <v>248</v>
      </c>
      <c r="C33" s="44" t="s">
        <v>249</v>
      </c>
      <c r="D33" s="44" t="s">
        <v>86</v>
      </c>
      <c r="E33" s="45">
        <v>531870</v>
      </c>
      <c r="F33" s="46">
        <v>15594.162464999999</v>
      </c>
      <c r="G33" s="47">
        <v>1.250998E-2</v>
      </c>
      <c r="H33" s="40" t="s">
        <v>151</v>
      </c>
      <c r="J33" s="7"/>
    </row>
    <row r="34" spans="1:10" x14ac:dyDescent="0.2">
      <c r="A34" s="43">
        <v>28</v>
      </c>
      <c r="B34" s="44" t="s">
        <v>250</v>
      </c>
      <c r="C34" s="44" t="s">
        <v>251</v>
      </c>
      <c r="D34" s="44" t="s">
        <v>219</v>
      </c>
      <c r="E34" s="45">
        <v>528688</v>
      </c>
      <c r="F34" s="46">
        <v>15292.3004</v>
      </c>
      <c r="G34" s="47">
        <v>1.226782E-2</v>
      </c>
      <c r="H34" s="40" t="s">
        <v>151</v>
      </c>
      <c r="J34" s="7"/>
    </row>
    <row r="35" spans="1:10" x14ac:dyDescent="0.2">
      <c r="A35" s="43">
        <v>29</v>
      </c>
      <c r="B35" s="44" t="s">
        <v>128</v>
      </c>
      <c r="C35" s="44" t="s">
        <v>129</v>
      </c>
      <c r="D35" s="44" t="s">
        <v>76</v>
      </c>
      <c r="E35" s="45">
        <v>3742763</v>
      </c>
      <c r="F35" s="46">
        <v>15120.76252</v>
      </c>
      <c r="G35" s="47">
        <v>1.2130210000000001E-2</v>
      </c>
      <c r="H35" s="40" t="s">
        <v>151</v>
      </c>
      <c r="J35" s="7"/>
    </row>
    <row r="36" spans="1:10" x14ac:dyDescent="0.2">
      <c r="A36" s="43">
        <v>30</v>
      </c>
      <c r="B36" s="44" t="s">
        <v>252</v>
      </c>
      <c r="C36" s="44" t="s">
        <v>253</v>
      </c>
      <c r="D36" s="44" t="s">
        <v>242</v>
      </c>
      <c r="E36" s="45">
        <v>1791031</v>
      </c>
      <c r="F36" s="46">
        <v>15108.2420005</v>
      </c>
      <c r="G36" s="47">
        <v>1.212016E-2</v>
      </c>
      <c r="H36" s="40" t="s">
        <v>151</v>
      </c>
      <c r="J36" s="7"/>
    </row>
    <row r="37" spans="1:10" x14ac:dyDescent="0.2">
      <c r="A37" s="43">
        <v>31</v>
      </c>
      <c r="B37" s="44" t="s">
        <v>254</v>
      </c>
      <c r="C37" s="44" t="s">
        <v>255</v>
      </c>
      <c r="D37" s="44" t="s">
        <v>202</v>
      </c>
      <c r="E37" s="45">
        <v>213372</v>
      </c>
      <c r="F37" s="46">
        <v>14994.183870000001</v>
      </c>
      <c r="G37" s="47">
        <v>1.202866E-2</v>
      </c>
      <c r="H37" s="40" t="s">
        <v>151</v>
      </c>
      <c r="J37" s="7"/>
    </row>
    <row r="38" spans="1:10" x14ac:dyDescent="0.2">
      <c r="A38" s="43">
        <v>32</v>
      </c>
      <c r="B38" s="44" t="s">
        <v>256</v>
      </c>
      <c r="C38" s="44" t="s">
        <v>257</v>
      </c>
      <c r="D38" s="44" t="s">
        <v>222</v>
      </c>
      <c r="E38" s="45">
        <v>1603545</v>
      </c>
      <c r="F38" s="46">
        <v>14788.693762499999</v>
      </c>
      <c r="G38" s="47">
        <v>1.1863810000000001E-2</v>
      </c>
      <c r="H38" s="40" t="s">
        <v>151</v>
      </c>
      <c r="J38" s="7"/>
    </row>
    <row r="39" spans="1:10" x14ac:dyDescent="0.2">
      <c r="A39" s="43">
        <v>33</v>
      </c>
      <c r="B39" s="44" t="s">
        <v>258</v>
      </c>
      <c r="C39" s="44" t="s">
        <v>259</v>
      </c>
      <c r="D39" s="44" t="s">
        <v>89</v>
      </c>
      <c r="E39" s="45">
        <v>91595</v>
      </c>
      <c r="F39" s="46">
        <v>14501.68678</v>
      </c>
      <c r="G39" s="47">
        <v>1.1633569999999999E-2</v>
      </c>
      <c r="H39" s="40" t="s">
        <v>151</v>
      </c>
      <c r="J39" s="7"/>
    </row>
    <row r="40" spans="1:10" x14ac:dyDescent="0.2">
      <c r="A40" s="43">
        <v>34</v>
      </c>
      <c r="B40" s="44" t="s">
        <v>260</v>
      </c>
      <c r="C40" s="44" t="s">
        <v>261</v>
      </c>
      <c r="D40" s="44" t="s">
        <v>89</v>
      </c>
      <c r="E40" s="45">
        <v>2561365</v>
      </c>
      <c r="F40" s="46">
        <v>14233.505305000001</v>
      </c>
      <c r="G40" s="47">
        <v>1.141843E-2</v>
      </c>
      <c r="H40" s="40" t="s">
        <v>151</v>
      </c>
      <c r="J40" s="7"/>
    </row>
    <row r="41" spans="1:10" x14ac:dyDescent="0.2">
      <c r="A41" s="43">
        <v>35</v>
      </c>
      <c r="B41" s="44" t="s">
        <v>134</v>
      </c>
      <c r="C41" s="44" t="s">
        <v>135</v>
      </c>
      <c r="D41" s="44" t="s">
        <v>136</v>
      </c>
      <c r="E41" s="45">
        <v>1436748</v>
      </c>
      <c r="F41" s="46">
        <v>14198.662109999999</v>
      </c>
      <c r="G41" s="47">
        <v>1.139048E-2</v>
      </c>
      <c r="H41" s="40" t="s">
        <v>151</v>
      </c>
      <c r="J41" s="7"/>
    </row>
    <row r="42" spans="1:10" x14ac:dyDescent="0.2">
      <c r="A42" s="43">
        <v>36</v>
      </c>
      <c r="B42" s="44" t="s">
        <v>262</v>
      </c>
      <c r="C42" s="44" t="s">
        <v>263</v>
      </c>
      <c r="D42" s="44" t="s">
        <v>86</v>
      </c>
      <c r="E42" s="45">
        <v>4662523</v>
      </c>
      <c r="F42" s="46">
        <v>14139.1009975</v>
      </c>
      <c r="G42" s="47">
        <v>1.1342700000000001E-2</v>
      </c>
      <c r="H42" s="40" t="s">
        <v>151</v>
      </c>
      <c r="J42" s="7"/>
    </row>
    <row r="43" spans="1:10" x14ac:dyDescent="0.2">
      <c r="A43" s="43">
        <v>37</v>
      </c>
      <c r="B43" s="44" t="s">
        <v>74</v>
      </c>
      <c r="C43" s="44" t="s">
        <v>75</v>
      </c>
      <c r="D43" s="44" t="s">
        <v>76</v>
      </c>
      <c r="E43" s="45">
        <v>1346768</v>
      </c>
      <c r="F43" s="46">
        <v>14012.447656</v>
      </c>
      <c r="G43" s="47">
        <v>1.124109E-2</v>
      </c>
      <c r="H43" s="40" t="s">
        <v>151</v>
      </c>
      <c r="J43" s="7"/>
    </row>
    <row r="44" spans="1:10" x14ac:dyDescent="0.2">
      <c r="A44" s="43">
        <v>38</v>
      </c>
      <c r="B44" s="44" t="s">
        <v>264</v>
      </c>
      <c r="C44" s="44" t="s">
        <v>265</v>
      </c>
      <c r="D44" s="44" t="s">
        <v>86</v>
      </c>
      <c r="E44" s="45">
        <v>917251</v>
      </c>
      <c r="F44" s="46">
        <v>13920.6598015</v>
      </c>
      <c r="G44" s="47">
        <v>1.1167460000000001E-2</v>
      </c>
      <c r="H44" s="40" t="s">
        <v>151</v>
      </c>
      <c r="J44" s="7"/>
    </row>
    <row r="45" spans="1:10" x14ac:dyDescent="0.2">
      <c r="A45" s="43">
        <v>39</v>
      </c>
      <c r="B45" s="44" t="s">
        <v>266</v>
      </c>
      <c r="C45" s="44" t="s">
        <v>267</v>
      </c>
      <c r="D45" s="44" t="s">
        <v>268</v>
      </c>
      <c r="E45" s="45">
        <v>683823</v>
      </c>
      <c r="F45" s="46">
        <v>13779.033450000001</v>
      </c>
      <c r="G45" s="47">
        <v>1.1053840000000001E-2</v>
      </c>
      <c r="H45" s="40" t="s">
        <v>151</v>
      </c>
      <c r="J45" s="7"/>
    </row>
    <row r="46" spans="1:10" x14ac:dyDescent="0.2">
      <c r="A46" s="43">
        <v>40</v>
      </c>
      <c r="B46" s="44" t="s">
        <v>269</v>
      </c>
      <c r="C46" s="44" t="s">
        <v>270</v>
      </c>
      <c r="D46" s="44" t="s">
        <v>33</v>
      </c>
      <c r="E46" s="45">
        <v>200075</v>
      </c>
      <c r="F46" s="46">
        <v>13721.54365</v>
      </c>
      <c r="G46" s="47">
        <v>1.100772E-2</v>
      </c>
      <c r="H46" s="40" t="s">
        <v>151</v>
      </c>
      <c r="J46" s="7"/>
    </row>
    <row r="47" spans="1:10" x14ac:dyDescent="0.2">
      <c r="A47" s="43">
        <v>41</v>
      </c>
      <c r="B47" s="44" t="s">
        <v>120</v>
      </c>
      <c r="C47" s="44" t="s">
        <v>121</v>
      </c>
      <c r="D47" s="44" t="s">
        <v>89</v>
      </c>
      <c r="E47" s="45">
        <v>313672</v>
      </c>
      <c r="F47" s="46">
        <v>13385.482092</v>
      </c>
      <c r="G47" s="47">
        <v>1.073813E-2</v>
      </c>
      <c r="H47" s="40" t="s">
        <v>151</v>
      </c>
      <c r="J47" s="7"/>
    </row>
    <row r="48" spans="1:10" x14ac:dyDescent="0.2">
      <c r="A48" s="43">
        <v>42</v>
      </c>
      <c r="B48" s="44" t="s">
        <v>114</v>
      </c>
      <c r="C48" s="44" t="s">
        <v>115</v>
      </c>
      <c r="D48" s="44" t="s">
        <v>50</v>
      </c>
      <c r="E48" s="45">
        <v>1734016</v>
      </c>
      <c r="F48" s="46">
        <v>12762.357760000001</v>
      </c>
      <c r="G48" s="47">
        <v>1.0238239999999999E-2</v>
      </c>
      <c r="H48" s="40" t="s">
        <v>151</v>
      </c>
      <c r="J48" s="7"/>
    </row>
    <row r="49" spans="1:10" x14ac:dyDescent="0.2">
      <c r="A49" s="43">
        <v>43</v>
      </c>
      <c r="B49" s="44" t="s">
        <v>132</v>
      </c>
      <c r="C49" s="44" t="s">
        <v>133</v>
      </c>
      <c r="D49" s="44" t="s">
        <v>50</v>
      </c>
      <c r="E49" s="45">
        <v>4000000</v>
      </c>
      <c r="F49" s="46">
        <v>12610</v>
      </c>
      <c r="G49" s="47">
        <v>1.011602E-2</v>
      </c>
      <c r="H49" s="40" t="s">
        <v>151</v>
      </c>
      <c r="J49" s="7"/>
    </row>
    <row r="50" spans="1:10" x14ac:dyDescent="0.2">
      <c r="A50" s="43">
        <v>44</v>
      </c>
      <c r="B50" s="44" t="s">
        <v>271</v>
      </c>
      <c r="C50" s="44" t="s">
        <v>272</v>
      </c>
      <c r="D50" s="44" t="s">
        <v>45</v>
      </c>
      <c r="E50" s="45">
        <v>9354141</v>
      </c>
      <c r="F50" s="46">
        <v>12609.382068000001</v>
      </c>
      <c r="G50" s="47">
        <v>1.0115519999999999E-2</v>
      </c>
      <c r="H50" s="40" t="s">
        <v>151</v>
      </c>
      <c r="J50" s="7"/>
    </row>
    <row r="51" spans="1:10" ht="25.5" x14ac:dyDescent="0.2">
      <c r="A51" s="43">
        <v>45</v>
      </c>
      <c r="B51" s="44" t="s">
        <v>82</v>
      </c>
      <c r="C51" s="44" t="s">
        <v>83</v>
      </c>
      <c r="D51" s="44" t="s">
        <v>25</v>
      </c>
      <c r="E51" s="45">
        <v>282462</v>
      </c>
      <c r="F51" s="46">
        <v>12476.205309000001</v>
      </c>
      <c r="G51" s="47">
        <v>1.0008680000000001E-2</v>
      </c>
      <c r="H51" s="40" t="s">
        <v>151</v>
      </c>
      <c r="J51" s="7"/>
    </row>
    <row r="52" spans="1:10" ht="25.5" x14ac:dyDescent="0.2">
      <c r="A52" s="43">
        <v>46</v>
      </c>
      <c r="B52" s="44" t="s">
        <v>273</v>
      </c>
      <c r="C52" s="44" t="s">
        <v>274</v>
      </c>
      <c r="D52" s="44" t="s">
        <v>86</v>
      </c>
      <c r="E52" s="45">
        <v>871913</v>
      </c>
      <c r="F52" s="46">
        <v>12351.519558</v>
      </c>
      <c r="G52" s="47">
        <v>9.9086599999999997E-3</v>
      </c>
      <c r="H52" s="40" t="s">
        <v>151</v>
      </c>
      <c r="J52" s="7"/>
    </row>
    <row r="53" spans="1:10" x14ac:dyDescent="0.2">
      <c r="A53" s="43">
        <v>47</v>
      </c>
      <c r="B53" s="44" t="s">
        <v>275</v>
      </c>
      <c r="C53" s="44" t="s">
        <v>276</v>
      </c>
      <c r="D53" s="44" t="s">
        <v>277</v>
      </c>
      <c r="E53" s="45">
        <v>1001424</v>
      </c>
      <c r="F53" s="46">
        <v>12335.04012</v>
      </c>
      <c r="G53" s="47">
        <v>9.8954400000000001E-3</v>
      </c>
      <c r="H53" s="40" t="s">
        <v>151</v>
      </c>
      <c r="J53" s="7"/>
    </row>
    <row r="54" spans="1:10" x14ac:dyDescent="0.2">
      <c r="A54" s="43">
        <v>48</v>
      </c>
      <c r="B54" s="44" t="s">
        <v>278</v>
      </c>
      <c r="C54" s="44" t="s">
        <v>279</v>
      </c>
      <c r="D54" s="44" t="s">
        <v>219</v>
      </c>
      <c r="E54" s="45">
        <v>191368</v>
      </c>
      <c r="F54" s="46">
        <v>12066.70924</v>
      </c>
      <c r="G54" s="47">
        <v>9.68018E-3</v>
      </c>
      <c r="H54" s="40" t="s">
        <v>151</v>
      </c>
      <c r="J54" s="7"/>
    </row>
    <row r="55" spans="1:10" x14ac:dyDescent="0.2">
      <c r="A55" s="43">
        <v>49</v>
      </c>
      <c r="B55" s="44" t="s">
        <v>280</v>
      </c>
      <c r="C55" s="44" t="s">
        <v>281</v>
      </c>
      <c r="D55" s="44" t="s">
        <v>282</v>
      </c>
      <c r="E55" s="45">
        <v>474240</v>
      </c>
      <c r="F55" s="46">
        <v>12003.0144</v>
      </c>
      <c r="G55" s="47">
        <v>9.6290799999999999E-3</v>
      </c>
      <c r="H55" s="40" t="s">
        <v>151</v>
      </c>
      <c r="J55" s="7"/>
    </row>
    <row r="56" spans="1:10" x14ac:dyDescent="0.2">
      <c r="A56" s="43">
        <v>50</v>
      </c>
      <c r="B56" s="44" t="s">
        <v>283</v>
      </c>
      <c r="C56" s="44" t="s">
        <v>284</v>
      </c>
      <c r="D56" s="44" t="s">
        <v>89</v>
      </c>
      <c r="E56" s="45">
        <v>1118982</v>
      </c>
      <c r="F56" s="46">
        <v>11648.60262</v>
      </c>
      <c r="G56" s="47">
        <v>9.3447600000000006E-3</v>
      </c>
      <c r="H56" s="40" t="s">
        <v>151</v>
      </c>
      <c r="J56" s="7"/>
    </row>
    <row r="57" spans="1:10" x14ac:dyDescent="0.2">
      <c r="A57" s="43">
        <v>51</v>
      </c>
      <c r="B57" s="44" t="s">
        <v>285</v>
      </c>
      <c r="C57" s="44" t="s">
        <v>286</v>
      </c>
      <c r="D57" s="44" t="s">
        <v>33</v>
      </c>
      <c r="E57" s="45">
        <v>505581</v>
      </c>
      <c r="F57" s="46">
        <v>11065.9041375</v>
      </c>
      <c r="G57" s="47">
        <v>8.8773099999999994E-3</v>
      </c>
      <c r="H57" s="40" t="s">
        <v>151</v>
      </c>
      <c r="J57" s="7"/>
    </row>
    <row r="58" spans="1:10" x14ac:dyDescent="0.2">
      <c r="A58" s="43">
        <v>52</v>
      </c>
      <c r="B58" s="44" t="s">
        <v>287</v>
      </c>
      <c r="C58" s="44" t="s">
        <v>288</v>
      </c>
      <c r="D58" s="44" t="s">
        <v>33</v>
      </c>
      <c r="E58" s="45">
        <v>194529</v>
      </c>
      <c r="F58" s="46">
        <v>10415.9580405</v>
      </c>
      <c r="G58" s="47">
        <v>8.3559099999999994E-3</v>
      </c>
      <c r="H58" s="40" t="s">
        <v>151</v>
      </c>
      <c r="J58" s="7"/>
    </row>
    <row r="59" spans="1:10" x14ac:dyDescent="0.2">
      <c r="A59" s="43">
        <v>53</v>
      </c>
      <c r="B59" s="44" t="s">
        <v>289</v>
      </c>
      <c r="C59" s="44" t="s">
        <v>290</v>
      </c>
      <c r="D59" s="44" t="s">
        <v>86</v>
      </c>
      <c r="E59" s="45">
        <v>611549</v>
      </c>
      <c r="F59" s="46">
        <v>10247.420818500001</v>
      </c>
      <c r="G59" s="47">
        <v>8.2206999999999992E-3</v>
      </c>
      <c r="H59" s="40" t="s">
        <v>151</v>
      </c>
      <c r="J59" s="7"/>
    </row>
    <row r="60" spans="1:10" ht="25.5" x14ac:dyDescent="0.2">
      <c r="A60" s="43">
        <v>54</v>
      </c>
      <c r="B60" s="44" t="s">
        <v>291</v>
      </c>
      <c r="C60" s="44" t="s">
        <v>292</v>
      </c>
      <c r="D60" s="44" t="s">
        <v>210</v>
      </c>
      <c r="E60" s="45">
        <v>2119699</v>
      </c>
      <c r="F60" s="46">
        <v>9833.2836609999995</v>
      </c>
      <c r="G60" s="47">
        <v>7.8884699999999999E-3</v>
      </c>
      <c r="H60" s="40" t="s">
        <v>151</v>
      </c>
      <c r="J60" s="7"/>
    </row>
    <row r="61" spans="1:10" ht="25.5" x14ac:dyDescent="0.2">
      <c r="A61" s="43">
        <v>55</v>
      </c>
      <c r="B61" s="44" t="s">
        <v>293</v>
      </c>
      <c r="C61" s="44" t="s">
        <v>294</v>
      </c>
      <c r="D61" s="44" t="s">
        <v>25</v>
      </c>
      <c r="E61" s="45">
        <v>526016</v>
      </c>
      <c r="F61" s="46">
        <v>9734.1890879999992</v>
      </c>
      <c r="G61" s="47">
        <v>7.8089800000000001E-3</v>
      </c>
      <c r="H61" s="40" t="s">
        <v>151</v>
      </c>
      <c r="J61" s="7"/>
    </row>
    <row r="62" spans="1:10" x14ac:dyDescent="0.2">
      <c r="A62" s="43">
        <v>56</v>
      </c>
      <c r="B62" s="44" t="s">
        <v>295</v>
      </c>
      <c r="C62" s="44" t="s">
        <v>296</v>
      </c>
      <c r="D62" s="44" t="s">
        <v>242</v>
      </c>
      <c r="E62" s="45">
        <v>5147346</v>
      </c>
      <c r="F62" s="46">
        <v>9231.2503164000009</v>
      </c>
      <c r="G62" s="47">
        <v>7.4055099999999997E-3</v>
      </c>
      <c r="H62" s="40" t="s">
        <v>151</v>
      </c>
      <c r="J62" s="7"/>
    </row>
    <row r="63" spans="1:10" x14ac:dyDescent="0.2">
      <c r="A63" s="43">
        <v>57</v>
      </c>
      <c r="B63" s="44" t="s">
        <v>297</v>
      </c>
      <c r="C63" s="44" t="s">
        <v>298</v>
      </c>
      <c r="D63" s="44" t="s">
        <v>64</v>
      </c>
      <c r="E63" s="45">
        <v>2708122</v>
      </c>
      <c r="F63" s="46">
        <v>9187.3038849999994</v>
      </c>
      <c r="G63" s="47">
        <v>7.37026E-3</v>
      </c>
      <c r="H63" s="40" t="s">
        <v>151</v>
      </c>
      <c r="J63" s="7"/>
    </row>
    <row r="64" spans="1:10" ht="25.5" x14ac:dyDescent="0.2">
      <c r="A64" s="43">
        <v>58</v>
      </c>
      <c r="B64" s="44" t="s">
        <v>299</v>
      </c>
      <c r="C64" s="44" t="s">
        <v>300</v>
      </c>
      <c r="D64" s="44" t="s">
        <v>205</v>
      </c>
      <c r="E64" s="45">
        <v>206644</v>
      </c>
      <c r="F64" s="46">
        <v>9155.8790300000001</v>
      </c>
      <c r="G64" s="47">
        <v>7.3450499999999997E-3</v>
      </c>
      <c r="H64" s="40" t="s">
        <v>151</v>
      </c>
      <c r="J64" s="7"/>
    </row>
    <row r="65" spans="1:10" ht="25.5" x14ac:dyDescent="0.2">
      <c r="A65" s="43">
        <v>59</v>
      </c>
      <c r="B65" s="44" t="s">
        <v>301</v>
      </c>
      <c r="C65" s="44" t="s">
        <v>302</v>
      </c>
      <c r="D65" s="44" t="s">
        <v>25</v>
      </c>
      <c r="E65" s="45">
        <v>338119</v>
      </c>
      <c r="F65" s="46">
        <v>8759.4798735000004</v>
      </c>
      <c r="G65" s="47">
        <v>7.02705E-3</v>
      </c>
      <c r="H65" s="40" t="s">
        <v>151</v>
      </c>
      <c r="J65" s="7"/>
    </row>
    <row r="66" spans="1:10" x14ac:dyDescent="0.2">
      <c r="A66" s="43">
        <v>60</v>
      </c>
      <c r="B66" s="44" t="s">
        <v>303</v>
      </c>
      <c r="C66" s="44" t="s">
        <v>304</v>
      </c>
      <c r="D66" s="44" t="s">
        <v>100</v>
      </c>
      <c r="E66" s="45">
        <v>562562</v>
      </c>
      <c r="F66" s="46">
        <v>8336.0437160000001</v>
      </c>
      <c r="G66" s="47">
        <v>6.6873599999999998E-3</v>
      </c>
      <c r="H66" s="40" t="s">
        <v>151</v>
      </c>
      <c r="J66" s="7"/>
    </row>
    <row r="67" spans="1:10" x14ac:dyDescent="0.2">
      <c r="A67" s="43">
        <v>61</v>
      </c>
      <c r="B67" s="44" t="s">
        <v>305</v>
      </c>
      <c r="C67" s="44" t="s">
        <v>306</v>
      </c>
      <c r="D67" s="44" t="s">
        <v>89</v>
      </c>
      <c r="E67" s="45">
        <v>1112556</v>
      </c>
      <c r="F67" s="46">
        <v>7557.0366299999996</v>
      </c>
      <c r="G67" s="47">
        <v>6.0624199999999998E-3</v>
      </c>
      <c r="H67" s="40" t="s">
        <v>151</v>
      </c>
      <c r="J67" s="7"/>
    </row>
    <row r="68" spans="1:10" x14ac:dyDescent="0.2">
      <c r="A68" s="43">
        <v>62</v>
      </c>
      <c r="B68" s="44" t="s">
        <v>307</v>
      </c>
      <c r="C68" s="44" t="s">
        <v>308</v>
      </c>
      <c r="D68" s="44" t="s">
        <v>222</v>
      </c>
      <c r="E68" s="45">
        <v>219508</v>
      </c>
      <c r="F68" s="46">
        <v>6784.1142479999999</v>
      </c>
      <c r="G68" s="47">
        <v>5.4423600000000003E-3</v>
      </c>
      <c r="H68" s="40" t="s">
        <v>151</v>
      </c>
      <c r="J68" s="7"/>
    </row>
    <row r="69" spans="1:10" x14ac:dyDescent="0.2">
      <c r="A69" s="43">
        <v>63</v>
      </c>
      <c r="B69" s="44" t="s">
        <v>309</v>
      </c>
      <c r="C69" s="44" t="s">
        <v>310</v>
      </c>
      <c r="D69" s="44" t="s">
        <v>229</v>
      </c>
      <c r="E69" s="45">
        <v>262278</v>
      </c>
      <c r="F69" s="46">
        <v>6705.0059309999997</v>
      </c>
      <c r="G69" s="47">
        <v>5.3788999999999998E-3</v>
      </c>
      <c r="H69" s="40" t="s">
        <v>151</v>
      </c>
      <c r="J69" s="7"/>
    </row>
    <row r="70" spans="1:10" ht="25.5" x14ac:dyDescent="0.2">
      <c r="A70" s="43">
        <v>64</v>
      </c>
      <c r="B70" s="44" t="s">
        <v>311</v>
      </c>
      <c r="C70" s="44" t="s">
        <v>312</v>
      </c>
      <c r="D70" s="44" t="s">
        <v>313</v>
      </c>
      <c r="E70" s="45">
        <v>993829</v>
      </c>
      <c r="F70" s="46">
        <v>6699.4012890000004</v>
      </c>
      <c r="G70" s="47">
        <v>5.3744099999999996E-3</v>
      </c>
      <c r="H70" s="40" t="s">
        <v>151</v>
      </c>
      <c r="J70" s="7"/>
    </row>
    <row r="71" spans="1:10" x14ac:dyDescent="0.2">
      <c r="A71" s="43">
        <v>65</v>
      </c>
      <c r="B71" s="44" t="s">
        <v>314</v>
      </c>
      <c r="C71" s="44" t="s">
        <v>315</v>
      </c>
      <c r="D71" s="44" t="s">
        <v>100</v>
      </c>
      <c r="E71" s="45">
        <v>2130968</v>
      </c>
      <c r="F71" s="46">
        <v>6546.3336959999997</v>
      </c>
      <c r="G71" s="47">
        <v>5.2516100000000003E-3</v>
      </c>
      <c r="H71" s="40" t="s">
        <v>151</v>
      </c>
      <c r="J71" s="7"/>
    </row>
    <row r="72" spans="1:10" ht="25.5" x14ac:dyDescent="0.2">
      <c r="A72" s="43">
        <v>66</v>
      </c>
      <c r="B72" s="44" t="s">
        <v>316</v>
      </c>
      <c r="C72" s="44" t="s">
        <v>317</v>
      </c>
      <c r="D72" s="44" t="s">
        <v>210</v>
      </c>
      <c r="E72" s="45">
        <v>1738432</v>
      </c>
      <c r="F72" s="46">
        <v>6299.2083519999996</v>
      </c>
      <c r="G72" s="47">
        <v>5.0533599999999998E-3</v>
      </c>
      <c r="H72" s="40" t="s">
        <v>151</v>
      </c>
      <c r="J72" s="7"/>
    </row>
    <row r="73" spans="1:10" x14ac:dyDescent="0.2">
      <c r="A73" s="43">
        <v>67</v>
      </c>
      <c r="B73" s="44" t="s">
        <v>137</v>
      </c>
      <c r="C73" s="44" t="s">
        <v>138</v>
      </c>
      <c r="D73" s="44" t="s">
        <v>33</v>
      </c>
      <c r="E73" s="45">
        <v>404954</v>
      </c>
      <c r="F73" s="46">
        <v>6015.5916699999998</v>
      </c>
      <c r="G73" s="47">
        <v>4.8258399999999996E-3</v>
      </c>
      <c r="H73" s="40" t="s">
        <v>151</v>
      </c>
      <c r="J73" s="7"/>
    </row>
    <row r="74" spans="1:10" ht="25.5" x14ac:dyDescent="0.2">
      <c r="A74" s="43">
        <v>68</v>
      </c>
      <c r="B74" s="44" t="s">
        <v>318</v>
      </c>
      <c r="C74" s="44" t="s">
        <v>319</v>
      </c>
      <c r="D74" s="44" t="s">
        <v>247</v>
      </c>
      <c r="E74" s="45">
        <v>143396</v>
      </c>
      <c r="F74" s="46">
        <v>5450.4102620000003</v>
      </c>
      <c r="G74" s="47">
        <v>4.37244E-3</v>
      </c>
      <c r="H74" s="40" t="s">
        <v>151</v>
      </c>
      <c r="J74" s="7"/>
    </row>
    <row r="75" spans="1:10" x14ac:dyDescent="0.2">
      <c r="A75" s="43">
        <v>69</v>
      </c>
      <c r="B75" s="44" t="s">
        <v>320</v>
      </c>
      <c r="C75" s="44" t="s">
        <v>321</v>
      </c>
      <c r="D75" s="44" t="s">
        <v>50</v>
      </c>
      <c r="E75" s="45">
        <v>7635895</v>
      </c>
      <c r="F75" s="46">
        <v>5297.7839510000003</v>
      </c>
      <c r="G75" s="47">
        <v>4.2500000000000003E-3</v>
      </c>
      <c r="H75" s="40" t="s">
        <v>151</v>
      </c>
      <c r="J75" s="7"/>
    </row>
    <row r="76" spans="1:10" x14ac:dyDescent="0.2">
      <c r="A76" s="43">
        <v>70</v>
      </c>
      <c r="B76" s="44" t="s">
        <v>322</v>
      </c>
      <c r="C76" s="44" t="s">
        <v>323</v>
      </c>
      <c r="D76" s="44" t="s">
        <v>219</v>
      </c>
      <c r="E76" s="45">
        <v>73755</v>
      </c>
      <c r="F76" s="46">
        <v>5151.4179750000003</v>
      </c>
      <c r="G76" s="47">
        <v>4.1325800000000003E-3</v>
      </c>
      <c r="H76" s="40" t="s">
        <v>151</v>
      </c>
      <c r="J76" s="7"/>
    </row>
    <row r="77" spans="1:10" x14ac:dyDescent="0.2">
      <c r="A77" s="43">
        <v>71</v>
      </c>
      <c r="B77" s="44" t="s">
        <v>324</v>
      </c>
      <c r="C77" s="44" t="s">
        <v>325</v>
      </c>
      <c r="D77" s="44" t="s">
        <v>100</v>
      </c>
      <c r="E77" s="45">
        <v>99886</v>
      </c>
      <c r="F77" s="46">
        <v>4329.5586700000003</v>
      </c>
      <c r="G77" s="47">
        <v>3.4732700000000001E-3</v>
      </c>
      <c r="H77" s="40" t="s">
        <v>151</v>
      </c>
      <c r="J77" s="7"/>
    </row>
    <row r="78" spans="1:10" ht="25.5" x14ac:dyDescent="0.2">
      <c r="A78" s="43">
        <v>72</v>
      </c>
      <c r="B78" s="44" t="s">
        <v>326</v>
      </c>
      <c r="C78" s="44" t="s">
        <v>327</v>
      </c>
      <c r="D78" s="44" t="s">
        <v>210</v>
      </c>
      <c r="E78" s="45">
        <v>60062</v>
      </c>
      <c r="F78" s="46">
        <v>3969.6177039999998</v>
      </c>
      <c r="G78" s="47">
        <v>3.1845100000000002E-3</v>
      </c>
      <c r="H78" s="40" t="s">
        <v>151</v>
      </c>
      <c r="J78" s="7"/>
    </row>
    <row r="79" spans="1:10" x14ac:dyDescent="0.2">
      <c r="A79" s="43">
        <v>73</v>
      </c>
      <c r="B79" s="44" t="s">
        <v>328</v>
      </c>
      <c r="C79" s="44" t="s">
        <v>329</v>
      </c>
      <c r="D79" s="44" t="s">
        <v>242</v>
      </c>
      <c r="E79" s="45">
        <v>604722</v>
      </c>
      <c r="F79" s="46">
        <v>3882.6176009999999</v>
      </c>
      <c r="G79" s="47">
        <v>3.1147200000000001E-3</v>
      </c>
      <c r="H79" s="40" t="s">
        <v>151</v>
      </c>
      <c r="J79" s="7"/>
    </row>
    <row r="80" spans="1:10" x14ac:dyDescent="0.2">
      <c r="A80" s="43">
        <v>74</v>
      </c>
      <c r="B80" s="44" t="s">
        <v>53</v>
      </c>
      <c r="C80" s="44" t="s">
        <v>54</v>
      </c>
      <c r="D80" s="44" t="s">
        <v>19</v>
      </c>
      <c r="E80" s="45">
        <v>328662</v>
      </c>
      <c r="F80" s="46">
        <v>3738.2015879999999</v>
      </c>
      <c r="G80" s="47">
        <v>2.9988699999999998E-3</v>
      </c>
      <c r="H80" s="40" t="s">
        <v>151</v>
      </c>
      <c r="J80" s="7"/>
    </row>
    <row r="81" spans="1:10" x14ac:dyDescent="0.2">
      <c r="A81" s="43">
        <v>75</v>
      </c>
      <c r="B81" s="44" t="s">
        <v>330</v>
      </c>
      <c r="C81" s="44" t="s">
        <v>331</v>
      </c>
      <c r="D81" s="44" t="s">
        <v>232</v>
      </c>
      <c r="E81" s="45">
        <v>468131</v>
      </c>
      <c r="F81" s="46">
        <v>3445.2100945000002</v>
      </c>
      <c r="G81" s="47">
        <v>2.7638200000000002E-3</v>
      </c>
      <c r="H81" s="40" t="s">
        <v>151</v>
      </c>
      <c r="J81" s="7"/>
    </row>
    <row r="82" spans="1:10" x14ac:dyDescent="0.2">
      <c r="A82" s="43">
        <v>76</v>
      </c>
      <c r="B82" s="44" t="s">
        <v>118</v>
      </c>
      <c r="C82" s="44" t="s">
        <v>119</v>
      </c>
      <c r="D82" s="44" t="s">
        <v>19</v>
      </c>
      <c r="E82" s="45">
        <v>769959</v>
      </c>
      <c r="F82" s="46">
        <v>3335.0774084999998</v>
      </c>
      <c r="G82" s="47">
        <v>2.6754700000000001E-3</v>
      </c>
      <c r="H82" s="40" t="s">
        <v>151</v>
      </c>
      <c r="J82" s="7"/>
    </row>
    <row r="83" spans="1:10" x14ac:dyDescent="0.2">
      <c r="A83" s="43">
        <v>77</v>
      </c>
      <c r="B83" s="44" t="s">
        <v>332</v>
      </c>
      <c r="C83" s="44" t="s">
        <v>333</v>
      </c>
      <c r="D83" s="44" t="s">
        <v>61</v>
      </c>
      <c r="E83" s="45">
        <v>167146</v>
      </c>
      <c r="F83" s="46">
        <v>3035.2042139999999</v>
      </c>
      <c r="G83" s="47">
        <v>2.4349100000000002E-3</v>
      </c>
      <c r="H83" s="40" t="s">
        <v>151</v>
      </c>
      <c r="J83" s="7"/>
    </row>
    <row r="84" spans="1:10" x14ac:dyDescent="0.2">
      <c r="A84" s="43">
        <v>78</v>
      </c>
      <c r="B84" s="44" t="s">
        <v>334</v>
      </c>
      <c r="C84" s="44" t="s">
        <v>335</v>
      </c>
      <c r="D84" s="44" t="s">
        <v>222</v>
      </c>
      <c r="E84" s="45">
        <v>60062</v>
      </c>
      <c r="F84" s="46">
        <v>2265.9290430000001</v>
      </c>
      <c r="G84" s="47">
        <v>1.81778E-3</v>
      </c>
      <c r="H84" s="40" t="s">
        <v>151</v>
      </c>
      <c r="J84" s="7"/>
    </row>
    <row r="85" spans="1:10" x14ac:dyDescent="0.2">
      <c r="A85" s="43">
        <v>79</v>
      </c>
      <c r="B85" s="44" t="s">
        <v>336</v>
      </c>
      <c r="C85" s="44" t="s">
        <v>337</v>
      </c>
      <c r="D85" s="44" t="s">
        <v>64</v>
      </c>
      <c r="E85" s="45">
        <v>246842</v>
      </c>
      <c r="F85" s="46">
        <v>1675.810338</v>
      </c>
      <c r="G85" s="47">
        <v>1.3443699999999999E-3</v>
      </c>
      <c r="H85" s="40" t="s">
        <v>151</v>
      </c>
      <c r="J85" s="7"/>
    </row>
    <row r="86" spans="1:10" x14ac:dyDescent="0.2">
      <c r="A86" s="41"/>
      <c r="B86" s="41"/>
      <c r="C86" s="42" t="s">
        <v>150</v>
      </c>
      <c r="D86" s="41"/>
      <c r="E86" s="41" t="s">
        <v>151</v>
      </c>
      <c r="F86" s="48">
        <v>1185847.7767576999</v>
      </c>
      <c r="G86" s="49">
        <v>0.95131299999999996</v>
      </c>
      <c r="H86" s="40" t="s">
        <v>151</v>
      </c>
      <c r="J86" s="7"/>
    </row>
    <row r="87" spans="1:10" x14ac:dyDescent="0.2">
      <c r="A87" s="41"/>
      <c r="B87" s="41"/>
      <c r="C87" s="50"/>
      <c r="D87" s="41"/>
      <c r="E87" s="41"/>
      <c r="F87" s="51"/>
      <c r="G87" s="51"/>
      <c r="H87" s="40" t="s">
        <v>151</v>
      </c>
      <c r="J87" s="7"/>
    </row>
    <row r="88" spans="1:10" x14ac:dyDescent="0.2">
      <c r="A88" s="41"/>
      <c r="B88" s="41"/>
      <c r="C88" s="42" t="s">
        <v>152</v>
      </c>
      <c r="D88" s="41"/>
      <c r="E88" s="41"/>
      <c r="F88" s="41"/>
      <c r="G88" s="41"/>
      <c r="H88" s="40" t="s">
        <v>151</v>
      </c>
      <c r="J88" s="7"/>
    </row>
    <row r="89" spans="1:10" x14ac:dyDescent="0.2">
      <c r="A89" s="41"/>
      <c r="B89" s="41"/>
      <c r="C89" s="42" t="s">
        <v>150</v>
      </c>
      <c r="D89" s="41"/>
      <c r="E89" s="41" t="s">
        <v>151</v>
      </c>
      <c r="F89" s="52" t="s">
        <v>153</v>
      </c>
      <c r="G89" s="49">
        <v>0</v>
      </c>
      <c r="H89" s="40" t="s">
        <v>151</v>
      </c>
      <c r="J89" s="7"/>
    </row>
    <row r="90" spans="1:10" x14ac:dyDescent="0.2">
      <c r="A90" s="41"/>
      <c r="B90" s="41"/>
      <c r="C90" s="50"/>
      <c r="D90" s="41"/>
      <c r="E90" s="41"/>
      <c r="F90" s="51"/>
      <c r="G90" s="51"/>
      <c r="H90" s="40" t="s">
        <v>151</v>
      </c>
      <c r="J90" s="7"/>
    </row>
    <row r="91" spans="1:10" x14ac:dyDescent="0.2">
      <c r="A91" s="41"/>
      <c r="B91" s="41"/>
      <c r="C91" s="42" t="s">
        <v>154</v>
      </c>
      <c r="D91" s="41"/>
      <c r="E91" s="41"/>
      <c r="F91" s="41"/>
      <c r="G91" s="41"/>
      <c r="H91" s="40" t="s">
        <v>151</v>
      </c>
      <c r="J91" s="7"/>
    </row>
    <row r="92" spans="1:10" x14ac:dyDescent="0.2">
      <c r="A92" s="41"/>
      <c r="B92" s="41"/>
      <c r="C92" s="42" t="s">
        <v>150</v>
      </c>
      <c r="D92" s="41"/>
      <c r="E92" s="41" t="s">
        <v>151</v>
      </c>
      <c r="F92" s="52" t="s">
        <v>153</v>
      </c>
      <c r="G92" s="49">
        <v>0</v>
      </c>
      <c r="H92" s="40" t="s">
        <v>151</v>
      </c>
      <c r="J92" s="7"/>
    </row>
    <row r="93" spans="1:10" x14ac:dyDescent="0.2">
      <c r="A93" s="41"/>
      <c r="B93" s="41"/>
      <c r="C93" s="50"/>
      <c r="D93" s="41"/>
      <c r="E93" s="41"/>
      <c r="F93" s="51"/>
      <c r="G93" s="51"/>
      <c r="H93" s="40" t="s">
        <v>151</v>
      </c>
      <c r="J93" s="7"/>
    </row>
    <row r="94" spans="1:10" x14ac:dyDescent="0.2">
      <c r="A94" s="41"/>
      <c r="B94" s="41"/>
      <c r="C94" s="42" t="s">
        <v>155</v>
      </c>
      <c r="D94" s="41"/>
      <c r="E94" s="41"/>
      <c r="F94" s="41"/>
      <c r="G94" s="41"/>
      <c r="H94" s="40" t="s">
        <v>151</v>
      </c>
      <c r="J94" s="7"/>
    </row>
    <row r="95" spans="1:10" ht="25.5" x14ac:dyDescent="0.2">
      <c r="A95" s="43">
        <v>1</v>
      </c>
      <c r="B95" s="44" t="s">
        <v>338</v>
      </c>
      <c r="C95" s="83" t="s">
        <v>946</v>
      </c>
      <c r="D95" s="44" t="s">
        <v>33</v>
      </c>
      <c r="E95" s="45">
        <v>25352</v>
      </c>
      <c r="F95" s="46">
        <v>2.5362140800000001</v>
      </c>
      <c r="G95" s="47" t="s">
        <v>149</v>
      </c>
      <c r="H95" s="40" t="s">
        <v>151</v>
      </c>
      <c r="J95" s="7"/>
    </row>
    <row r="96" spans="1:10" x14ac:dyDescent="0.2">
      <c r="A96" s="41"/>
      <c r="B96" s="41"/>
      <c r="C96" s="42" t="s">
        <v>150</v>
      </c>
      <c r="D96" s="41"/>
      <c r="E96" s="41" t="s">
        <v>151</v>
      </c>
      <c r="F96" s="48">
        <v>2.5362140800000001</v>
      </c>
      <c r="G96" s="49">
        <v>2.04E-6</v>
      </c>
      <c r="H96" s="40" t="s">
        <v>151</v>
      </c>
      <c r="J96" s="7"/>
    </row>
    <row r="97" spans="1:10" x14ac:dyDescent="0.2">
      <c r="A97" s="41"/>
      <c r="B97" s="41"/>
      <c r="C97" s="50"/>
      <c r="D97" s="41"/>
      <c r="E97" s="41"/>
      <c r="F97" s="51"/>
      <c r="G97" s="51"/>
      <c r="H97" s="40" t="s">
        <v>151</v>
      </c>
      <c r="J97" s="7"/>
    </row>
    <row r="98" spans="1:10" x14ac:dyDescent="0.2">
      <c r="A98" s="41"/>
      <c r="B98" s="41"/>
      <c r="C98" s="42" t="s">
        <v>156</v>
      </c>
      <c r="D98" s="41"/>
      <c r="E98" s="41"/>
      <c r="F98" s="51"/>
      <c r="G98" s="51"/>
      <c r="H98" s="40" t="s">
        <v>151</v>
      </c>
      <c r="J98" s="7"/>
    </row>
    <row r="99" spans="1:10" x14ac:dyDescent="0.2">
      <c r="A99" s="41"/>
      <c r="B99" s="41"/>
      <c r="C99" s="42" t="s">
        <v>150</v>
      </c>
      <c r="D99" s="41"/>
      <c r="E99" s="41" t="s">
        <v>151</v>
      </c>
      <c r="F99" s="52" t="s">
        <v>153</v>
      </c>
      <c r="G99" s="49">
        <v>0</v>
      </c>
      <c r="H99" s="40" t="s">
        <v>151</v>
      </c>
      <c r="J99" s="7"/>
    </row>
    <row r="100" spans="1:10" x14ac:dyDescent="0.2">
      <c r="A100" s="41"/>
      <c r="B100" s="41"/>
      <c r="C100" s="50"/>
      <c r="D100" s="41"/>
      <c r="E100" s="41"/>
      <c r="F100" s="51"/>
      <c r="G100" s="51"/>
      <c r="H100" s="40" t="s">
        <v>151</v>
      </c>
      <c r="J100" s="7"/>
    </row>
    <row r="101" spans="1:10" x14ac:dyDescent="0.2">
      <c r="A101" s="41"/>
      <c r="B101" s="41"/>
      <c r="C101" s="42" t="s">
        <v>157</v>
      </c>
      <c r="D101" s="41"/>
      <c r="E101" s="41"/>
      <c r="F101" s="51"/>
      <c r="G101" s="51"/>
      <c r="H101" s="40" t="s">
        <v>151</v>
      </c>
      <c r="J101" s="7"/>
    </row>
    <row r="102" spans="1:10" x14ac:dyDescent="0.2">
      <c r="A102" s="41"/>
      <c r="B102" s="41"/>
      <c r="C102" s="42" t="s">
        <v>150</v>
      </c>
      <c r="D102" s="41"/>
      <c r="E102" s="41" t="s">
        <v>151</v>
      </c>
      <c r="F102" s="52" t="s">
        <v>153</v>
      </c>
      <c r="G102" s="49">
        <v>0</v>
      </c>
      <c r="H102" s="40" t="s">
        <v>151</v>
      </c>
      <c r="J102" s="7"/>
    </row>
    <row r="103" spans="1:10" x14ac:dyDescent="0.2">
      <c r="A103" s="41"/>
      <c r="B103" s="41"/>
      <c r="C103" s="50"/>
      <c r="D103" s="41"/>
      <c r="E103" s="41"/>
      <c r="F103" s="51"/>
      <c r="G103" s="51"/>
      <c r="H103" s="40" t="s">
        <v>151</v>
      </c>
      <c r="J103" s="7"/>
    </row>
    <row r="104" spans="1:10" x14ac:dyDescent="0.2">
      <c r="A104" s="41"/>
      <c r="B104" s="41"/>
      <c r="C104" s="42" t="s">
        <v>158</v>
      </c>
      <c r="D104" s="41"/>
      <c r="E104" s="41"/>
      <c r="F104" s="48">
        <v>1185850.3129717801</v>
      </c>
      <c r="G104" s="49">
        <v>0.95131504</v>
      </c>
      <c r="H104" s="40" t="s">
        <v>151</v>
      </c>
      <c r="J104" s="7"/>
    </row>
    <row r="105" spans="1:10" x14ac:dyDescent="0.2">
      <c r="A105" s="41"/>
      <c r="B105" s="41"/>
      <c r="C105" s="50"/>
      <c r="D105" s="41"/>
      <c r="E105" s="41"/>
      <c r="F105" s="51"/>
      <c r="G105" s="51"/>
      <c r="H105" s="40" t="s">
        <v>151</v>
      </c>
      <c r="J105" s="7"/>
    </row>
    <row r="106" spans="1:10" x14ac:dyDescent="0.2">
      <c r="A106" s="41"/>
      <c r="B106" s="41"/>
      <c r="C106" s="42" t="s">
        <v>159</v>
      </c>
      <c r="D106" s="41"/>
      <c r="E106" s="41"/>
      <c r="F106" s="51"/>
      <c r="G106" s="51"/>
      <c r="H106" s="40" t="s">
        <v>151</v>
      </c>
      <c r="J106" s="7"/>
    </row>
    <row r="107" spans="1:10" x14ac:dyDescent="0.2">
      <c r="A107" s="41"/>
      <c r="B107" s="41"/>
      <c r="C107" s="42" t="s">
        <v>10</v>
      </c>
      <c r="D107" s="41"/>
      <c r="E107" s="41"/>
      <c r="F107" s="51"/>
      <c r="G107" s="51"/>
      <c r="H107" s="40" t="s">
        <v>151</v>
      </c>
      <c r="J107" s="7"/>
    </row>
    <row r="108" spans="1:10" x14ac:dyDescent="0.2">
      <c r="A108" s="41"/>
      <c r="B108" s="41"/>
      <c r="C108" s="42" t="s">
        <v>150</v>
      </c>
      <c r="D108" s="41"/>
      <c r="E108" s="41" t="s">
        <v>151</v>
      </c>
      <c r="F108" s="52" t="s">
        <v>153</v>
      </c>
      <c r="G108" s="49">
        <v>0</v>
      </c>
      <c r="H108" s="40" t="s">
        <v>151</v>
      </c>
      <c r="J108" s="7"/>
    </row>
    <row r="109" spans="1:10" x14ac:dyDescent="0.2">
      <c r="A109" s="41"/>
      <c r="B109" s="41"/>
      <c r="C109" s="50"/>
      <c r="D109" s="41"/>
      <c r="E109" s="41"/>
      <c r="F109" s="51"/>
      <c r="G109" s="51"/>
      <c r="H109" s="40" t="s">
        <v>151</v>
      </c>
      <c r="J109" s="7"/>
    </row>
    <row r="110" spans="1:10" x14ac:dyDescent="0.2">
      <c r="A110" s="41"/>
      <c r="B110" s="41"/>
      <c r="C110" s="42" t="s">
        <v>160</v>
      </c>
      <c r="D110" s="41"/>
      <c r="E110" s="41"/>
      <c r="F110" s="41"/>
      <c r="G110" s="41"/>
      <c r="H110" s="40" t="s">
        <v>151</v>
      </c>
      <c r="J110" s="7"/>
    </row>
    <row r="111" spans="1:10" x14ac:dyDescent="0.2">
      <c r="A111" s="41"/>
      <c r="B111" s="41"/>
      <c r="C111" s="42" t="s">
        <v>150</v>
      </c>
      <c r="D111" s="41"/>
      <c r="E111" s="41" t="s">
        <v>151</v>
      </c>
      <c r="F111" s="52" t="s">
        <v>153</v>
      </c>
      <c r="G111" s="49">
        <v>0</v>
      </c>
      <c r="H111" s="40" t="s">
        <v>151</v>
      </c>
      <c r="J111" s="7"/>
    </row>
    <row r="112" spans="1:10" x14ac:dyDescent="0.2">
      <c r="A112" s="41"/>
      <c r="B112" s="41"/>
      <c r="C112" s="50"/>
      <c r="D112" s="41"/>
      <c r="E112" s="41"/>
      <c r="F112" s="51"/>
      <c r="G112" s="51"/>
      <c r="H112" s="40" t="s">
        <v>151</v>
      </c>
      <c r="J112" s="7"/>
    </row>
    <row r="113" spans="1:10" x14ac:dyDescent="0.2">
      <c r="A113" s="41"/>
      <c r="B113" s="41"/>
      <c r="C113" s="42" t="s">
        <v>161</v>
      </c>
      <c r="D113" s="41"/>
      <c r="E113" s="41"/>
      <c r="F113" s="41"/>
      <c r="G113" s="41"/>
      <c r="H113" s="40" t="s">
        <v>151</v>
      </c>
      <c r="J113" s="7"/>
    </row>
    <row r="114" spans="1:10" x14ac:dyDescent="0.2">
      <c r="A114" s="41"/>
      <c r="B114" s="41"/>
      <c r="C114" s="42" t="s">
        <v>150</v>
      </c>
      <c r="D114" s="41"/>
      <c r="E114" s="41" t="s">
        <v>151</v>
      </c>
      <c r="F114" s="52" t="s">
        <v>153</v>
      </c>
      <c r="G114" s="49">
        <v>0</v>
      </c>
      <c r="H114" s="40" t="s">
        <v>151</v>
      </c>
      <c r="J114" s="7"/>
    </row>
    <row r="115" spans="1:10" x14ac:dyDescent="0.2">
      <c r="A115" s="41"/>
      <c r="B115" s="41"/>
      <c r="C115" s="50"/>
      <c r="D115" s="41"/>
      <c r="E115" s="41"/>
      <c r="F115" s="51"/>
      <c r="G115" s="51"/>
      <c r="H115" s="40" t="s">
        <v>151</v>
      </c>
      <c r="J115" s="7"/>
    </row>
    <row r="116" spans="1:10" x14ac:dyDescent="0.2">
      <c r="A116" s="41"/>
      <c r="B116" s="41"/>
      <c r="C116" s="42" t="s">
        <v>162</v>
      </c>
      <c r="D116" s="41"/>
      <c r="E116" s="41"/>
      <c r="F116" s="51"/>
      <c r="G116" s="51"/>
      <c r="H116" s="40" t="s">
        <v>151</v>
      </c>
      <c r="J116" s="7"/>
    </row>
    <row r="117" spans="1:10" x14ac:dyDescent="0.2">
      <c r="A117" s="41"/>
      <c r="B117" s="41"/>
      <c r="C117" s="42" t="s">
        <v>150</v>
      </c>
      <c r="D117" s="41"/>
      <c r="E117" s="41" t="s">
        <v>151</v>
      </c>
      <c r="F117" s="52" t="s">
        <v>153</v>
      </c>
      <c r="G117" s="49">
        <v>0</v>
      </c>
      <c r="H117" s="40" t="s">
        <v>151</v>
      </c>
      <c r="J117" s="7"/>
    </row>
    <row r="118" spans="1:10" x14ac:dyDescent="0.2">
      <c r="A118" s="41"/>
      <c r="B118" s="41"/>
      <c r="C118" s="50"/>
      <c r="D118" s="41"/>
      <c r="E118" s="41"/>
      <c r="F118" s="51"/>
      <c r="G118" s="51"/>
      <c r="H118" s="40" t="s">
        <v>151</v>
      </c>
      <c r="J118" s="7"/>
    </row>
    <row r="119" spans="1:10" x14ac:dyDescent="0.2">
      <c r="A119" s="41"/>
      <c r="B119" s="41"/>
      <c r="C119" s="42" t="s">
        <v>163</v>
      </c>
      <c r="D119" s="41"/>
      <c r="E119" s="41"/>
      <c r="F119" s="48">
        <v>0</v>
      </c>
      <c r="G119" s="49">
        <v>0</v>
      </c>
      <c r="H119" s="40" t="s">
        <v>151</v>
      </c>
      <c r="J119" s="7"/>
    </row>
    <row r="120" spans="1:10" x14ac:dyDescent="0.2">
      <c r="A120" s="41"/>
      <c r="B120" s="41"/>
      <c r="C120" s="50"/>
      <c r="D120" s="41"/>
      <c r="E120" s="41"/>
      <c r="F120" s="51"/>
      <c r="G120" s="51"/>
      <c r="H120" s="40" t="s">
        <v>151</v>
      </c>
      <c r="J120" s="7"/>
    </row>
    <row r="121" spans="1:10" x14ac:dyDescent="0.2">
      <c r="A121" s="41"/>
      <c r="B121" s="41"/>
      <c r="C121" s="42" t="s">
        <v>164</v>
      </c>
      <c r="D121" s="41"/>
      <c r="E121" s="41"/>
      <c r="F121" s="51"/>
      <c r="G121" s="51"/>
      <c r="H121" s="40" t="s">
        <v>151</v>
      </c>
      <c r="J121" s="7"/>
    </row>
    <row r="122" spans="1:10" x14ac:dyDescent="0.2">
      <c r="A122" s="41"/>
      <c r="B122" s="41"/>
      <c r="C122" s="42" t="s">
        <v>165</v>
      </c>
      <c r="D122" s="41"/>
      <c r="E122" s="41"/>
      <c r="F122" s="51"/>
      <c r="G122" s="51"/>
      <c r="H122" s="40" t="s">
        <v>151</v>
      </c>
      <c r="J122" s="7"/>
    </row>
    <row r="123" spans="1:10" x14ac:dyDescent="0.2">
      <c r="A123" s="41"/>
      <c r="B123" s="41"/>
      <c r="C123" s="42" t="s">
        <v>150</v>
      </c>
      <c r="D123" s="41"/>
      <c r="E123" s="41" t="s">
        <v>151</v>
      </c>
      <c r="F123" s="52" t="s">
        <v>153</v>
      </c>
      <c r="G123" s="49">
        <v>0</v>
      </c>
      <c r="H123" s="40" t="s">
        <v>151</v>
      </c>
      <c r="J123" s="7"/>
    </row>
    <row r="124" spans="1:10" x14ac:dyDescent="0.2">
      <c r="A124" s="41"/>
      <c r="B124" s="41"/>
      <c r="C124" s="50"/>
      <c r="D124" s="41"/>
      <c r="E124" s="41"/>
      <c r="F124" s="51"/>
      <c r="G124" s="51"/>
      <c r="H124" s="40" t="s">
        <v>151</v>
      </c>
      <c r="J124" s="7"/>
    </row>
    <row r="125" spans="1:10" x14ac:dyDescent="0.2">
      <c r="A125" s="41"/>
      <c r="B125" s="41"/>
      <c r="C125" s="42" t="s">
        <v>166</v>
      </c>
      <c r="D125" s="41"/>
      <c r="E125" s="41"/>
      <c r="F125" s="51"/>
      <c r="G125" s="51"/>
      <c r="H125" s="40" t="s">
        <v>151</v>
      </c>
      <c r="J125" s="7"/>
    </row>
    <row r="126" spans="1:10" x14ac:dyDescent="0.2">
      <c r="A126" s="41"/>
      <c r="B126" s="41"/>
      <c r="C126" s="42" t="s">
        <v>150</v>
      </c>
      <c r="D126" s="41"/>
      <c r="E126" s="41" t="s">
        <v>151</v>
      </c>
      <c r="F126" s="52" t="s">
        <v>153</v>
      </c>
      <c r="G126" s="49">
        <v>0</v>
      </c>
      <c r="H126" s="40" t="s">
        <v>151</v>
      </c>
      <c r="J126" s="7"/>
    </row>
    <row r="127" spans="1:10" x14ac:dyDescent="0.2">
      <c r="A127" s="41"/>
      <c r="B127" s="41"/>
      <c r="C127" s="50"/>
      <c r="D127" s="41"/>
      <c r="E127" s="41"/>
      <c r="F127" s="51"/>
      <c r="G127" s="51"/>
      <c r="H127" s="40" t="s">
        <v>151</v>
      </c>
      <c r="J127" s="7"/>
    </row>
    <row r="128" spans="1:10" x14ac:dyDescent="0.2">
      <c r="A128" s="41"/>
      <c r="B128" s="41"/>
      <c r="C128" s="42" t="s">
        <v>167</v>
      </c>
      <c r="D128" s="41"/>
      <c r="E128" s="41"/>
      <c r="F128" s="51"/>
      <c r="G128" s="51"/>
      <c r="H128" s="40" t="s">
        <v>151</v>
      </c>
      <c r="J128" s="7"/>
    </row>
    <row r="129" spans="1:10" x14ac:dyDescent="0.2">
      <c r="A129" s="41"/>
      <c r="B129" s="41"/>
      <c r="C129" s="42" t="s">
        <v>150</v>
      </c>
      <c r="D129" s="41"/>
      <c r="E129" s="41" t="s">
        <v>151</v>
      </c>
      <c r="F129" s="52" t="s">
        <v>153</v>
      </c>
      <c r="G129" s="49">
        <v>0</v>
      </c>
      <c r="H129" s="40" t="s">
        <v>151</v>
      </c>
      <c r="J129" s="7"/>
    </row>
    <row r="130" spans="1:10" x14ac:dyDescent="0.2">
      <c r="A130" s="41"/>
      <c r="B130" s="41"/>
      <c r="C130" s="50"/>
      <c r="D130" s="41"/>
      <c r="E130" s="41"/>
      <c r="F130" s="51"/>
      <c r="G130" s="51"/>
      <c r="H130" s="40" t="s">
        <v>151</v>
      </c>
      <c r="J130" s="7"/>
    </row>
    <row r="131" spans="1:10" x14ac:dyDescent="0.2">
      <c r="A131" s="41"/>
      <c r="B131" s="41"/>
      <c r="C131" s="42" t="s">
        <v>168</v>
      </c>
      <c r="D131" s="41"/>
      <c r="E131" s="41"/>
      <c r="F131" s="51"/>
      <c r="G131" s="51"/>
      <c r="H131" s="40" t="s">
        <v>151</v>
      </c>
      <c r="J131" s="7"/>
    </row>
    <row r="132" spans="1:10" x14ac:dyDescent="0.2">
      <c r="A132" s="43">
        <v>1</v>
      </c>
      <c r="B132" s="44"/>
      <c r="C132" s="44" t="s">
        <v>169</v>
      </c>
      <c r="D132" s="44"/>
      <c r="E132" s="54"/>
      <c r="F132" s="46">
        <v>53596.068018222999</v>
      </c>
      <c r="G132" s="47">
        <v>4.2995930000000002E-2</v>
      </c>
      <c r="H132" s="40">
        <v>6.39</v>
      </c>
      <c r="J132" s="7"/>
    </row>
    <row r="133" spans="1:10" x14ac:dyDescent="0.2">
      <c r="A133" s="41"/>
      <c r="B133" s="41"/>
      <c r="C133" s="42" t="s">
        <v>150</v>
      </c>
      <c r="D133" s="41"/>
      <c r="E133" s="41" t="s">
        <v>151</v>
      </c>
      <c r="F133" s="48">
        <v>53596.068018222999</v>
      </c>
      <c r="G133" s="49">
        <v>4.2995930000000002E-2</v>
      </c>
      <c r="H133" s="40" t="s">
        <v>151</v>
      </c>
      <c r="J133" s="7"/>
    </row>
    <row r="134" spans="1:10" x14ac:dyDescent="0.2">
      <c r="A134" s="41"/>
      <c r="B134" s="41"/>
      <c r="C134" s="50"/>
      <c r="D134" s="41"/>
      <c r="E134" s="41"/>
      <c r="F134" s="51"/>
      <c r="G134" s="51"/>
      <c r="H134" s="40" t="s">
        <v>151</v>
      </c>
      <c r="J134" s="7"/>
    </row>
    <row r="135" spans="1:10" x14ac:dyDescent="0.2">
      <c r="A135" s="41"/>
      <c r="B135" s="41"/>
      <c r="C135" s="42" t="s">
        <v>170</v>
      </c>
      <c r="D135" s="41"/>
      <c r="E135" s="41"/>
      <c r="F135" s="48">
        <v>53596.068018222999</v>
      </c>
      <c r="G135" s="49">
        <v>4.2995930000000002E-2</v>
      </c>
      <c r="H135" s="40" t="s">
        <v>151</v>
      </c>
      <c r="J135" s="7"/>
    </row>
    <row r="136" spans="1:10" x14ac:dyDescent="0.2">
      <c r="A136" s="41"/>
      <c r="B136" s="41"/>
      <c r="C136" s="51"/>
      <c r="D136" s="41"/>
      <c r="E136" s="41"/>
      <c r="F136" s="41"/>
      <c r="G136" s="41"/>
      <c r="H136" s="40" t="s">
        <v>151</v>
      </c>
      <c r="J136" s="7"/>
    </row>
    <row r="137" spans="1:10" x14ac:dyDescent="0.2">
      <c r="A137" s="41"/>
      <c r="B137" s="41"/>
      <c r="C137" s="42" t="s">
        <v>171</v>
      </c>
      <c r="D137" s="41"/>
      <c r="E137" s="41"/>
      <c r="F137" s="41"/>
      <c r="G137" s="41"/>
      <c r="H137" s="40" t="s">
        <v>151</v>
      </c>
      <c r="J137" s="7"/>
    </row>
    <row r="138" spans="1:10" x14ac:dyDescent="0.2">
      <c r="A138" s="41"/>
      <c r="B138" s="41"/>
      <c r="C138" s="42" t="s">
        <v>172</v>
      </c>
      <c r="D138" s="41"/>
      <c r="E138" s="41"/>
      <c r="F138" s="41"/>
      <c r="G138" s="41"/>
      <c r="H138" s="40" t="s">
        <v>151</v>
      </c>
      <c r="J138" s="7"/>
    </row>
    <row r="139" spans="1:10" x14ac:dyDescent="0.2">
      <c r="A139" s="43">
        <v>1</v>
      </c>
      <c r="B139" s="44" t="s">
        <v>339</v>
      </c>
      <c r="C139" s="83" t="s">
        <v>947</v>
      </c>
      <c r="D139" s="44"/>
      <c r="E139" s="79">
        <v>231364.02679999999</v>
      </c>
      <c r="F139" s="46">
        <v>5054.4014345109999</v>
      </c>
      <c r="G139" s="47">
        <v>4.0547500000000002E-3</v>
      </c>
      <c r="H139" s="40" t="s">
        <v>151</v>
      </c>
      <c r="J139" s="7"/>
    </row>
    <row r="140" spans="1:10" x14ac:dyDescent="0.2">
      <c r="A140" s="41"/>
      <c r="B140" s="41"/>
      <c r="C140" s="42" t="s">
        <v>150</v>
      </c>
      <c r="D140" s="41"/>
      <c r="E140" s="41" t="s">
        <v>151</v>
      </c>
      <c r="F140" s="48">
        <v>5054.4014345109999</v>
      </c>
      <c r="G140" s="49">
        <v>4.0547500000000002E-3</v>
      </c>
      <c r="H140" s="40" t="s">
        <v>151</v>
      </c>
      <c r="J140" s="7"/>
    </row>
    <row r="141" spans="1:10" x14ac:dyDescent="0.2">
      <c r="A141" s="41"/>
      <c r="B141" s="41"/>
      <c r="C141" s="50"/>
      <c r="D141" s="41"/>
      <c r="E141" s="41"/>
      <c r="F141" s="51"/>
      <c r="G141" s="51"/>
      <c r="H141" s="40" t="s">
        <v>151</v>
      </c>
      <c r="J141" s="7"/>
    </row>
    <row r="142" spans="1:10" x14ac:dyDescent="0.2">
      <c r="A142" s="41"/>
      <c r="B142" s="41"/>
      <c r="C142" s="42" t="s">
        <v>173</v>
      </c>
      <c r="D142" s="41"/>
      <c r="E142" s="41"/>
      <c r="F142" s="41"/>
      <c r="G142" s="41"/>
      <c r="H142" s="40" t="s">
        <v>151</v>
      </c>
      <c r="J142" s="7"/>
    </row>
    <row r="143" spans="1:10" x14ac:dyDescent="0.2">
      <c r="A143" s="41"/>
      <c r="B143" s="41"/>
      <c r="C143" s="42" t="s">
        <v>174</v>
      </c>
      <c r="D143" s="41"/>
      <c r="E143" s="41"/>
      <c r="F143" s="41"/>
      <c r="G143" s="41"/>
      <c r="H143" s="40" t="s">
        <v>151</v>
      </c>
      <c r="J143" s="7"/>
    </row>
    <row r="144" spans="1:10" x14ac:dyDescent="0.2">
      <c r="A144" s="41"/>
      <c r="B144" s="41"/>
      <c r="C144" s="42" t="s">
        <v>150</v>
      </c>
      <c r="D144" s="41"/>
      <c r="E144" s="41" t="s">
        <v>151</v>
      </c>
      <c r="F144" s="52" t="s">
        <v>153</v>
      </c>
      <c r="G144" s="49">
        <v>0</v>
      </c>
      <c r="H144" s="40" t="s">
        <v>151</v>
      </c>
      <c r="J144" s="7"/>
    </row>
    <row r="145" spans="1:17" x14ac:dyDescent="0.2">
      <c r="A145" s="41"/>
      <c r="B145" s="41"/>
      <c r="C145" s="50"/>
      <c r="D145" s="41"/>
      <c r="E145" s="41"/>
      <c r="F145" s="51"/>
      <c r="G145" s="51"/>
      <c r="H145" s="40" t="s">
        <v>151</v>
      </c>
      <c r="J145" s="7"/>
    </row>
    <row r="146" spans="1:17" x14ac:dyDescent="0.2">
      <c r="A146" s="41"/>
      <c r="B146" s="41"/>
      <c r="C146" s="42" t="s">
        <v>175</v>
      </c>
      <c r="D146" s="41"/>
      <c r="E146" s="41"/>
      <c r="F146" s="51"/>
      <c r="G146" s="51"/>
      <c r="H146" s="40" t="s">
        <v>151</v>
      </c>
      <c r="J146" s="7"/>
    </row>
    <row r="147" spans="1:17" x14ac:dyDescent="0.2">
      <c r="A147" s="41"/>
      <c r="B147" s="41"/>
      <c r="C147" s="42" t="s">
        <v>150</v>
      </c>
      <c r="D147" s="41"/>
      <c r="E147" s="41" t="s">
        <v>151</v>
      </c>
      <c r="F147" s="52" t="s">
        <v>153</v>
      </c>
      <c r="G147" s="49">
        <v>0</v>
      </c>
      <c r="H147" s="40" t="s">
        <v>151</v>
      </c>
      <c r="J147" s="7"/>
    </row>
    <row r="148" spans="1:17" x14ac:dyDescent="0.2">
      <c r="A148" s="41"/>
      <c r="B148" s="44"/>
      <c r="C148" s="44"/>
      <c r="D148" s="42"/>
      <c r="E148" s="41"/>
      <c r="F148" s="44"/>
      <c r="G148" s="54"/>
      <c r="H148" s="40" t="s">
        <v>151</v>
      </c>
      <c r="J148" s="7"/>
    </row>
    <row r="149" spans="1:17" x14ac:dyDescent="0.2">
      <c r="A149" s="54"/>
      <c r="B149" s="44"/>
      <c r="C149" s="44" t="s">
        <v>176</v>
      </c>
      <c r="D149" s="44"/>
      <c r="E149" s="54"/>
      <c r="F149" s="46">
        <v>2037.2862428200001</v>
      </c>
      <c r="G149" s="47">
        <v>1.6343600000000001E-3</v>
      </c>
      <c r="H149" s="40" t="s">
        <v>151</v>
      </c>
      <c r="J149" s="7"/>
    </row>
    <row r="150" spans="1:17" x14ac:dyDescent="0.2">
      <c r="A150" s="50"/>
      <c r="B150" s="50"/>
      <c r="C150" s="42" t="s">
        <v>177</v>
      </c>
      <c r="D150" s="51"/>
      <c r="E150" s="51"/>
      <c r="F150" s="48">
        <v>1246538.068667334</v>
      </c>
      <c r="G150" s="55">
        <v>1.00000008</v>
      </c>
      <c r="H150" s="40" t="s">
        <v>151</v>
      </c>
      <c r="J150" s="7"/>
    </row>
    <row r="151" spans="1:17" x14ac:dyDescent="0.2">
      <c r="A151" s="56"/>
      <c r="B151" s="56"/>
      <c r="C151" s="56"/>
      <c r="D151" s="57"/>
      <c r="E151" s="57"/>
      <c r="F151" s="57"/>
      <c r="G151" s="57"/>
      <c r="J151" s="7"/>
    </row>
    <row r="152" spans="1:17" ht="12.75" customHeight="1" x14ac:dyDescent="0.2">
      <c r="A152" s="58"/>
      <c r="B152" s="159" t="s">
        <v>923</v>
      </c>
      <c r="C152" s="159"/>
      <c r="D152" s="159"/>
      <c r="E152" s="159"/>
      <c r="F152" s="159"/>
      <c r="G152" s="159"/>
      <c r="H152" s="159"/>
      <c r="J152" s="7"/>
    </row>
    <row r="153" spans="1:17" ht="14.1" customHeight="1" x14ac:dyDescent="0.2">
      <c r="A153" s="58"/>
      <c r="B153" s="159" t="s">
        <v>924</v>
      </c>
      <c r="C153" s="159"/>
      <c r="D153" s="159"/>
      <c r="E153" s="159"/>
      <c r="F153" s="159"/>
      <c r="G153" s="159"/>
      <c r="H153" s="159"/>
      <c r="J153" s="7"/>
    </row>
    <row r="154" spans="1:17" ht="17.100000000000001" customHeight="1" x14ac:dyDescent="0.2">
      <c r="A154" s="58"/>
      <c r="B154" s="159" t="s">
        <v>925</v>
      </c>
      <c r="C154" s="159"/>
      <c r="D154" s="159"/>
      <c r="E154" s="159"/>
      <c r="F154" s="159"/>
      <c r="G154" s="159"/>
      <c r="H154" s="159"/>
      <c r="J154" s="7"/>
    </row>
    <row r="155" spans="1:17" s="8" customFormat="1" ht="65.25" customHeight="1" x14ac:dyDescent="0.25">
      <c r="A155" s="60"/>
      <c r="B155" s="160" t="s">
        <v>926</v>
      </c>
      <c r="C155" s="160"/>
      <c r="D155" s="160"/>
      <c r="E155" s="160"/>
      <c r="F155" s="160"/>
      <c r="G155" s="160"/>
      <c r="H155" s="160"/>
      <c r="I155"/>
      <c r="J155" s="7"/>
      <c r="K155"/>
      <c r="L155"/>
      <c r="M155"/>
      <c r="N155"/>
      <c r="O155"/>
      <c r="P155"/>
      <c r="Q155"/>
    </row>
    <row r="156" spans="1:17" ht="12.75" customHeight="1" x14ac:dyDescent="0.2">
      <c r="A156" s="58"/>
      <c r="B156" s="159" t="s">
        <v>927</v>
      </c>
      <c r="C156" s="159"/>
      <c r="D156" s="159"/>
      <c r="E156" s="159"/>
      <c r="F156" s="159"/>
      <c r="G156" s="159"/>
      <c r="H156" s="159"/>
      <c r="J156" s="7"/>
    </row>
    <row r="157" spans="1:17" x14ac:dyDescent="0.2">
      <c r="A157" s="61"/>
      <c r="B157" s="61"/>
      <c r="C157" s="61"/>
      <c r="D157" s="62"/>
      <c r="E157" s="62"/>
      <c r="F157" s="62"/>
      <c r="G157" s="62"/>
      <c r="J157" s="7"/>
    </row>
    <row r="158" spans="1:17" x14ac:dyDescent="0.2">
      <c r="A158" s="61"/>
      <c r="B158" s="161" t="s">
        <v>178</v>
      </c>
      <c r="C158" s="162"/>
      <c r="D158" s="163"/>
      <c r="E158" s="63"/>
      <c r="F158" s="62"/>
      <c r="G158" s="62"/>
      <c r="J158" s="7"/>
    </row>
    <row r="159" spans="1:17" x14ac:dyDescent="0.2">
      <c r="A159" s="61"/>
      <c r="B159" s="156" t="s">
        <v>179</v>
      </c>
      <c r="C159" s="157"/>
      <c r="D159" s="42" t="s">
        <v>180</v>
      </c>
      <c r="E159" s="63"/>
      <c r="F159" s="62"/>
      <c r="G159" s="62"/>
      <c r="J159" s="7"/>
    </row>
    <row r="160" spans="1:17" ht="12.75" customHeight="1" x14ac:dyDescent="0.2">
      <c r="A160" s="58"/>
      <c r="B160" s="164" t="s">
        <v>939</v>
      </c>
      <c r="C160" s="165"/>
      <c r="D160" s="64" t="str">
        <f>"Rs. "&amp;TEXT(F96,"0.00")&amp;" lacs/ #"</f>
        <v>Rs. 2.54 lacs/ #</v>
      </c>
      <c r="E160" s="65"/>
      <c r="F160" s="66"/>
      <c r="G160" s="66"/>
      <c r="J160" s="7"/>
    </row>
    <row r="161" spans="1:10" x14ac:dyDescent="0.2">
      <c r="A161" s="61"/>
      <c r="B161" s="156" t="s">
        <v>182</v>
      </c>
      <c r="C161" s="157"/>
      <c r="D161" s="51" t="s">
        <v>151</v>
      </c>
      <c r="E161" s="63"/>
      <c r="F161" s="62"/>
      <c r="G161" s="62"/>
      <c r="J161" s="7"/>
    </row>
    <row r="162" spans="1:10" x14ac:dyDescent="0.2">
      <c r="A162" s="67"/>
      <c r="B162" s="68" t="s">
        <v>151</v>
      </c>
      <c r="C162" s="68" t="s">
        <v>937</v>
      </c>
      <c r="D162" s="68" t="s">
        <v>183</v>
      </c>
      <c r="E162" s="67"/>
      <c r="F162" s="67"/>
      <c r="G162" s="67"/>
      <c r="H162" s="67"/>
      <c r="J162" s="7"/>
    </row>
    <row r="163" spans="1:10" x14ac:dyDescent="0.2">
      <c r="A163" s="69"/>
      <c r="B163" s="70" t="s">
        <v>184</v>
      </c>
      <c r="C163" s="80" t="s">
        <v>185</v>
      </c>
      <c r="D163" s="80" t="s">
        <v>186</v>
      </c>
      <c r="E163" s="69"/>
      <c r="F163" s="69"/>
      <c r="G163" s="69"/>
      <c r="J163" s="7"/>
    </row>
    <row r="164" spans="1:10" x14ac:dyDescent="0.2">
      <c r="A164" s="69"/>
      <c r="B164" s="44" t="s">
        <v>187</v>
      </c>
      <c r="C164" s="72">
        <v>1383.3452</v>
      </c>
      <c r="D164" s="72">
        <v>1465.8205</v>
      </c>
      <c r="E164" s="69"/>
      <c r="F164" s="73"/>
      <c r="G164" s="74"/>
      <c r="J164" s="7"/>
    </row>
    <row r="165" spans="1:10" x14ac:dyDescent="0.2">
      <c r="A165" s="69"/>
      <c r="B165" s="44" t="s">
        <v>1094</v>
      </c>
      <c r="C165" s="72">
        <v>75.062100000000001</v>
      </c>
      <c r="D165" s="72">
        <v>79.537199999999999</v>
      </c>
      <c r="E165" s="69"/>
      <c r="F165" s="73"/>
      <c r="G165" s="74"/>
      <c r="J165" s="7"/>
    </row>
    <row r="166" spans="1:10" x14ac:dyDescent="0.2">
      <c r="A166" s="69"/>
      <c r="B166" s="44" t="s">
        <v>188</v>
      </c>
      <c r="C166" s="72">
        <v>1278.0764999999999</v>
      </c>
      <c r="D166" s="72">
        <v>1353.3131000000001</v>
      </c>
      <c r="E166" s="69"/>
      <c r="F166" s="73"/>
      <c r="G166" s="74"/>
      <c r="J166" s="7"/>
    </row>
    <row r="167" spans="1:10" x14ac:dyDescent="0.2">
      <c r="A167" s="69"/>
      <c r="B167" s="44" t="s">
        <v>1095</v>
      </c>
      <c r="C167" s="72">
        <v>68.380700000000004</v>
      </c>
      <c r="D167" s="72">
        <v>72.406000000000006</v>
      </c>
      <c r="E167" s="69"/>
      <c r="F167" s="73"/>
      <c r="G167" s="74"/>
      <c r="J167" s="7"/>
    </row>
    <row r="168" spans="1:10" x14ac:dyDescent="0.2">
      <c r="A168" s="69"/>
      <c r="B168" s="69"/>
      <c r="C168" s="69"/>
      <c r="D168" s="69"/>
      <c r="E168" s="69"/>
      <c r="F168" s="69"/>
      <c r="G168" s="69"/>
    </row>
    <row r="169" spans="1:10" x14ac:dyDescent="0.2">
      <c r="A169" s="67"/>
      <c r="B169" s="164" t="s">
        <v>940</v>
      </c>
      <c r="C169" s="165"/>
      <c r="D169" s="64" t="s">
        <v>180</v>
      </c>
      <c r="E169" s="67"/>
      <c r="F169" s="67"/>
      <c r="G169" s="67"/>
    </row>
    <row r="170" spans="1:10" x14ac:dyDescent="0.2">
      <c r="A170" s="67"/>
      <c r="B170" s="84"/>
      <c r="C170" s="84"/>
      <c r="D170" s="84"/>
      <c r="E170" s="67"/>
      <c r="F170" s="67"/>
      <c r="G170" s="67"/>
    </row>
    <row r="171" spans="1:10" x14ac:dyDescent="0.2">
      <c r="A171" s="67"/>
      <c r="B171" s="164" t="s">
        <v>189</v>
      </c>
      <c r="C171" s="165"/>
      <c r="D171" s="64" t="s">
        <v>180</v>
      </c>
      <c r="E171" s="84"/>
      <c r="F171" s="84"/>
      <c r="G171" s="84"/>
    </row>
    <row r="172" spans="1:10" x14ac:dyDescent="0.2">
      <c r="A172" s="67"/>
      <c r="B172" s="164" t="s">
        <v>190</v>
      </c>
      <c r="C172" s="165"/>
      <c r="D172" s="64" t="s">
        <v>180</v>
      </c>
      <c r="E172" s="67"/>
      <c r="F172" s="67"/>
      <c r="G172" s="67"/>
    </row>
    <row r="173" spans="1:10" ht="12.75" customHeight="1" x14ac:dyDescent="0.2">
      <c r="A173" s="67"/>
      <c r="B173" s="164" t="s">
        <v>191</v>
      </c>
      <c r="C173" s="165"/>
      <c r="D173" s="64" t="s">
        <v>180</v>
      </c>
      <c r="E173" s="75"/>
      <c r="F173" s="67"/>
      <c r="G173" s="67"/>
    </row>
    <row r="174" spans="1:10" ht="12.75" customHeight="1" x14ac:dyDescent="0.2">
      <c r="A174" s="67"/>
      <c r="B174" s="164" t="s">
        <v>192</v>
      </c>
      <c r="C174" s="165"/>
      <c r="D174" s="76">
        <v>0.405669862417395</v>
      </c>
      <c r="E174" s="75"/>
      <c r="F174" s="67"/>
      <c r="G174" s="67"/>
    </row>
  </sheetData>
  <mergeCells count="17">
    <mergeCell ref="B160:C160"/>
    <mergeCell ref="B161:C161"/>
    <mergeCell ref="B169:C169"/>
    <mergeCell ref="B173:C173"/>
    <mergeCell ref="B174:C174"/>
    <mergeCell ref="B171:C171"/>
    <mergeCell ref="B172:C172"/>
    <mergeCell ref="B159:C159"/>
    <mergeCell ref="A1:H1"/>
    <mergeCell ref="A2:H2"/>
    <mergeCell ref="A3:H3"/>
    <mergeCell ref="B152:H152"/>
    <mergeCell ref="B153:H153"/>
    <mergeCell ref="B154:H154"/>
    <mergeCell ref="B155:H155"/>
    <mergeCell ref="B156:H156"/>
    <mergeCell ref="B158:D158"/>
  </mergeCells>
  <hyperlinks>
    <hyperlink ref="I1" location="Index!B4" display="Index" xr:uid="{299AFD21-D8C3-4B58-AABC-CF1DD1B4F20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27790-3A99-4C5C-9D1D-E20F4E025AA6}">
  <sheetPr>
    <outlinePr summaryBelow="0" summaryRight="0"/>
  </sheetPr>
  <dimension ref="A1:Q17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8.85546875" customWidth="1"/>
    <col min="8" max="8" width="8.42578125" bestFit="1" customWidth="1"/>
    <col min="9" max="9" width="5.710937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340</v>
      </c>
      <c r="B2" s="158"/>
      <c r="C2" s="158"/>
      <c r="D2" s="158"/>
      <c r="E2" s="158"/>
      <c r="F2" s="158"/>
      <c r="G2" s="158"/>
      <c r="H2" s="158"/>
      <c r="J2" s="11" t="s">
        <v>942</v>
      </c>
    </row>
    <row r="3" spans="1:10" ht="15" customHeight="1" x14ac:dyDescent="0.2">
      <c r="A3" s="158" t="s">
        <v>880</v>
      </c>
      <c r="B3" s="158"/>
      <c r="C3" s="158"/>
      <c r="D3" s="158"/>
      <c r="E3" s="158"/>
      <c r="F3" s="158"/>
      <c r="G3" s="158"/>
      <c r="H3" s="158"/>
      <c r="J3" s="7"/>
    </row>
    <row r="4" spans="1:10" s="1" customFormat="1" ht="33" customHeight="1"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341</v>
      </c>
      <c r="C7" s="44" t="s">
        <v>342</v>
      </c>
      <c r="D7" s="44" t="s">
        <v>45</v>
      </c>
      <c r="E7" s="45">
        <v>1875000</v>
      </c>
      <c r="F7" s="46">
        <v>30295.3125</v>
      </c>
      <c r="G7" s="47">
        <v>4.3036779999999997E-2</v>
      </c>
      <c r="H7" s="40" t="s">
        <v>151</v>
      </c>
      <c r="J7" s="7"/>
    </row>
    <row r="8" spans="1:10" x14ac:dyDescent="0.2">
      <c r="A8" s="43">
        <v>2</v>
      </c>
      <c r="B8" s="44" t="s">
        <v>43</v>
      </c>
      <c r="C8" s="44" t="s">
        <v>44</v>
      </c>
      <c r="D8" s="44" t="s">
        <v>45</v>
      </c>
      <c r="E8" s="45">
        <v>2225000</v>
      </c>
      <c r="F8" s="46">
        <v>27031.525000000001</v>
      </c>
      <c r="G8" s="47">
        <v>3.8400330000000003E-2</v>
      </c>
      <c r="H8" s="40" t="s">
        <v>151</v>
      </c>
      <c r="J8" s="7"/>
    </row>
    <row r="9" spans="1:10" x14ac:dyDescent="0.2">
      <c r="A9" s="43">
        <v>3</v>
      </c>
      <c r="B9" s="44" t="s">
        <v>20</v>
      </c>
      <c r="C9" s="44" t="s">
        <v>21</v>
      </c>
      <c r="D9" s="44" t="s">
        <v>22</v>
      </c>
      <c r="E9" s="45">
        <v>765000</v>
      </c>
      <c r="F9" s="46">
        <v>23033.002499999999</v>
      </c>
      <c r="G9" s="47">
        <v>3.2720119999999998E-2</v>
      </c>
      <c r="H9" s="40" t="s">
        <v>151</v>
      </c>
      <c r="J9" s="7"/>
    </row>
    <row r="10" spans="1:10" x14ac:dyDescent="0.2">
      <c r="A10" s="43">
        <v>4</v>
      </c>
      <c r="B10" s="44" t="s">
        <v>51</v>
      </c>
      <c r="C10" s="44" t="s">
        <v>52</v>
      </c>
      <c r="D10" s="44" t="s">
        <v>45</v>
      </c>
      <c r="E10" s="45">
        <v>2300000</v>
      </c>
      <c r="F10" s="46">
        <v>20065.2</v>
      </c>
      <c r="G10" s="47">
        <v>2.8504140000000001E-2</v>
      </c>
      <c r="H10" s="40" t="s">
        <v>151</v>
      </c>
      <c r="J10" s="7"/>
    </row>
    <row r="11" spans="1:10" x14ac:dyDescent="0.2">
      <c r="A11" s="43">
        <v>5</v>
      </c>
      <c r="B11" s="44" t="s">
        <v>343</v>
      </c>
      <c r="C11" s="44" t="s">
        <v>344</v>
      </c>
      <c r="D11" s="44" t="s">
        <v>219</v>
      </c>
      <c r="E11" s="45">
        <v>900000</v>
      </c>
      <c r="F11" s="46">
        <v>16814.25</v>
      </c>
      <c r="G11" s="47">
        <v>2.388591E-2</v>
      </c>
      <c r="H11" s="40" t="s">
        <v>151</v>
      </c>
      <c r="J11" s="7"/>
    </row>
    <row r="12" spans="1:10" ht="15" x14ac:dyDescent="0.2">
      <c r="A12" s="43">
        <v>6</v>
      </c>
      <c r="B12" s="44" t="s">
        <v>345</v>
      </c>
      <c r="C12" s="44" t="s">
        <v>346</v>
      </c>
      <c r="D12" s="44" t="s">
        <v>202</v>
      </c>
      <c r="E12" s="45">
        <v>6943496</v>
      </c>
      <c r="F12" s="46">
        <v>15931.851572</v>
      </c>
      <c r="G12" s="47">
        <v>2.26324E-2</v>
      </c>
      <c r="H12" s="40" t="s">
        <v>151</v>
      </c>
      <c r="J12" s="12"/>
    </row>
    <row r="13" spans="1:10" x14ac:dyDescent="0.2">
      <c r="A13" s="43">
        <v>7</v>
      </c>
      <c r="B13" s="44" t="s">
        <v>11</v>
      </c>
      <c r="C13" s="44" t="s">
        <v>12</v>
      </c>
      <c r="D13" s="44" t="s">
        <v>13</v>
      </c>
      <c r="E13" s="45">
        <v>415000</v>
      </c>
      <c r="F13" s="46">
        <v>15832.25</v>
      </c>
      <c r="G13" s="47">
        <v>2.2490909999999999E-2</v>
      </c>
      <c r="H13" s="40" t="s">
        <v>151</v>
      </c>
      <c r="J13" s="7"/>
    </row>
    <row r="14" spans="1:10" ht="25.5" x14ac:dyDescent="0.2">
      <c r="A14" s="43">
        <v>8</v>
      </c>
      <c r="B14" s="44" t="s">
        <v>17</v>
      </c>
      <c r="C14" s="44" t="s">
        <v>18</v>
      </c>
      <c r="D14" s="44" t="s">
        <v>19</v>
      </c>
      <c r="E14" s="45">
        <v>900000</v>
      </c>
      <c r="F14" s="46">
        <v>13423.95</v>
      </c>
      <c r="G14" s="47">
        <v>1.9069740000000002E-2</v>
      </c>
      <c r="H14" s="40" t="s">
        <v>151</v>
      </c>
      <c r="J14" s="7" t="s">
        <v>1050</v>
      </c>
    </row>
    <row r="15" spans="1:10" x14ac:dyDescent="0.2">
      <c r="A15" s="43">
        <v>9</v>
      </c>
      <c r="B15" s="44" t="s">
        <v>283</v>
      </c>
      <c r="C15" s="44" t="s">
        <v>284</v>
      </c>
      <c r="D15" s="44" t="s">
        <v>89</v>
      </c>
      <c r="E15" s="45">
        <v>1220000</v>
      </c>
      <c r="F15" s="46">
        <v>12700.2</v>
      </c>
      <c r="G15" s="47">
        <v>1.8041600000000001E-2</v>
      </c>
      <c r="H15" s="40" t="s">
        <v>151</v>
      </c>
      <c r="J15" s="7"/>
    </row>
    <row r="16" spans="1:10" x14ac:dyDescent="0.2">
      <c r="A16" s="43">
        <v>10</v>
      </c>
      <c r="B16" s="44" t="s">
        <v>347</v>
      </c>
      <c r="C16" s="44" t="s">
        <v>348</v>
      </c>
      <c r="D16" s="44" t="s">
        <v>45</v>
      </c>
      <c r="E16" s="45">
        <v>1000000</v>
      </c>
      <c r="F16" s="46">
        <v>11661</v>
      </c>
      <c r="G16" s="47">
        <v>1.656533E-2</v>
      </c>
      <c r="H16" s="40" t="s">
        <v>151</v>
      </c>
      <c r="J16" s="7"/>
    </row>
    <row r="17" spans="1:10" x14ac:dyDescent="0.2">
      <c r="A17" s="43">
        <v>11</v>
      </c>
      <c r="B17" s="44" t="s">
        <v>211</v>
      </c>
      <c r="C17" s="44" t="s">
        <v>212</v>
      </c>
      <c r="D17" s="44" t="s">
        <v>61</v>
      </c>
      <c r="E17" s="45">
        <v>625000</v>
      </c>
      <c r="F17" s="46">
        <v>11640</v>
      </c>
      <c r="G17" s="47">
        <v>1.6535500000000002E-2</v>
      </c>
      <c r="H17" s="40" t="s">
        <v>151</v>
      </c>
      <c r="J17" s="7"/>
    </row>
    <row r="18" spans="1:10" x14ac:dyDescent="0.2">
      <c r="A18" s="43">
        <v>12</v>
      </c>
      <c r="B18" s="44" t="s">
        <v>349</v>
      </c>
      <c r="C18" s="44" t="s">
        <v>350</v>
      </c>
      <c r="D18" s="44" t="s">
        <v>219</v>
      </c>
      <c r="E18" s="45">
        <v>265000</v>
      </c>
      <c r="F18" s="46">
        <v>11621.1775</v>
      </c>
      <c r="G18" s="47">
        <v>1.6508760000000001E-2</v>
      </c>
      <c r="H18" s="40" t="s">
        <v>151</v>
      </c>
      <c r="J18" s="7"/>
    </row>
    <row r="19" spans="1:10" x14ac:dyDescent="0.2">
      <c r="A19" s="43">
        <v>13</v>
      </c>
      <c r="B19" s="44" t="s">
        <v>14</v>
      </c>
      <c r="C19" s="44" t="s">
        <v>15</v>
      </c>
      <c r="D19" s="44" t="s">
        <v>16</v>
      </c>
      <c r="E19" s="45">
        <v>2775000</v>
      </c>
      <c r="F19" s="46">
        <v>11544</v>
      </c>
      <c r="G19" s="47">
        <v>1.6399130000000001E-2</v>
      </c>
      <c r="H19" s="40" t="s">
        <v>151</v>
      </c>
      <c r="J19" s="7"/>
    </row>
    <row r="20" spans="1:10" x14ac:dyDescent="0.2">
      <c r="A20" s="43">
        <v>14</v>
      </c>
      <c r="B20" s="44" t="s">
        <v>74</v>
      </c>
      <c r="C20" s="44" t="s">
        <v>75</v>
      </c>
      <c r="D20" s="44" t="s">
        <v>76</v>
      </c>
      <c r="E20" s="45">
        <v>1105000</v>
      </c>
      <c r="F20" s="46">
        <v>11496.9725</v>
      </c>
      <c r="G20" s="47">
        <v>1.6332320000000001E-2</v>
      </c>
      <c r="H20" s="40" t="s">
        <v>151</v>
      </c>
      <c r="J20" s="7"/>
    </row>
    <row r="21" spans="1:10" x14ac:dyDescent="0.2">
      <c r="A21" s="43">
        <v>15</v>
      </c>
      <c r="B21" s="44" t="s">
        <v>351</v>
      </c>
      <c r="C21" s="44" t="s">
        <v>352</v>
      </c>
      <c r="D21" s="44" t="s">
        <v>268</v>
      </c>
      <c r="E21" s="45">
        <v>675000</v>
      </c>
      <c r="F21" s="46">
        <v>10647.45</v>
      </c>
      <c r="G21" s="47">
        <v>1.512551E-2</v>
      </c>
      <c r="H21" s="40" t="s">
        <v>151</v>
      </c>
      <c r="J21" s="7"/>
    </row>
    <row r="22" spans="1:10" ht="25.5" x14ac:dyDescent="0.2">
      <c r="A22" s="43">
        <v>16</v>
      </c>
      <c r="B22" s="44" t="s">
        <v>208</v>
      </c>
      <c r="C22" s="44" t="s">
        <v>209</v>
      </c>
      <c r="D22" s="44" t="s">
        <v>210</v>
      </c>
      <c r="E22" s="45">
        <v>540541</v>
      </c>
      <c r="F22" s="46">
        <v>10334.333108500001</v>
      </c>
      <c r="G22" s="47">
        <v>1.46807E-2</v>
      </c>
      <c r="H22" s="40" t="s">
        <v>151</v>
      </c>
      <c r="J22" s="12"/>
    </row>
    <row r="23" spans="1:10" ht="25.5" x14ac:dyDescent="0.2">
      <c r="A23" s="43">
        <v>17</v>
      </c>
      <c r="B23" s="44" t="s">
        <v>353</v>
      </c>
      <c r="C23" s="44" t="s">
        <v>354</v>
      </c>
      <c r="D23" s="44" t="s">
        <v>210</v>
      </c>
      <c r="E23" s="45">
        <v>600000</v>
      </c>
      <c r="F23" s="46">
        <v>10316.1</v>
      </c>
      <c r="G23" s="47">
        <v>1.4654800000000001E-2</v>
      </c>
      <c r="H23" s="40" t="s">
        <v>151</v>
      </c>
      <c r="J23" s="7"/>
    </row>
    <row r="24" spans="1:10" x14ac:dyDescent="0.2">
      <c r="A24" s="43">
        <v>18</v>
      </c>
      <c r="B24" s="44" t="s">
        <v>90</v>
      </c>
      <c r="C24" s="44" t="s">
        <v>91</v>
      </c>
      <c r="D24" s="44" t="s">
        <v>86</v>
      </c>
      <c r="E24" s="45">
        <v>1800000</v>
      </c>
      <c r="F24" s="46">
        <v>10022.4</v>
      </c>
      <c r="G24" s="47">
        <v>1.423758E-2</v>
      </c>
      <c r="H24" s="40" t="s">
        <v>151</v>
      </c>
      <c r="J24" s="7"/>
    </row>
    <row r="25" spans="1:10" x14ac:dyDescent="0.2">
      <c r="A25" s="43">
        <v>19</v>
      </c>
      <c r="B25" s="44" t="s">
        <v>217</v>
      </c>
      <c r="C25" s="44" t="s">
        <v>218</v>
      </c>
      <c r="D25" s="44" t="s">
        <v>219</v>
      </c>
      <c r="E25" s="45">
        <v>207000</v>
      </c>
      <c r="F25" s="46">
        <v>10002.861000000001</v>
      </c>
      <c r="G25" s="47">
        <v>1.420982E-2</v>
      </c>
      <c r="H25" s="40" t="s">
        <v>151</v>
      </c>
      <c r="J25" s="7"/>
    </row>
    <row r="26" spans="1:10" x14ac:dyDescent="0.2">
      <c r="A26" s="43">
        <v>20</v>
      </c>
      <c r="B26" s="44" t="s">
        <v>355</v>
      </c>
      <c r="C26" s="44" t="s">
        <v>356</v>
      </c>
      <c r="D26" s="44" t="s">
        <v>45</v>
      </c>
      <c r="E26" s="45">
        <v>550000</v>
      </c>
      <c r="F26" s="46">
        <v>9943.4500000000007</v>
      </c>
      <c r="G26" s="47">
        <v>1.412542E-2</v>
      </c>
      <c r="H26" s="40" t="s">
        <v>151</v>
      </c>
      <c r="J26" s="7"/>
    </row>
    <row r="27" spans="1:10" ht="25.5" x14ac:dyDescent="0.2">
      <c r="A27" s="43">
        <v>21</v>
      </c>
      <c r="B27" s="44" t="s">
        <v>254</v>
      </c>
      <c r="C27" s="44" t="s">
        <v>255</v>
      </c>
      <c r="D27" s="44" t="s">
        <v>202</v>
      </c>
      <c r="E27" s="45">
        <v>140000</v>
      </c>
      <c r="F27" s="46">
        <v>9838.15</v>
      </c>
      <c r="G27" s="47">
        <v>1.397584E-2</v>
      </c>
      <c r="H27" s="40" t="s">
        <v>151</v>
      </c>
      <c r="J27" s="7" t="s">
        <v>1051</v>
      </c>
    </row>
    <row r="28" spans="1:10" x14ac:dyDescent="0.2">
      <c r="A28" s="43">
        <v>22</v>
      </c>
      <c r="B28" s="44" t="s">
        <v>357</v>
      </c>
      <c r="C28" s="44" t="s">
        <v>358</v>
      </c>
      <c r="D28" s="44" t="s">
        <v>282</v>
      </c>
      <c r="E28" s="45">
        <v>850000</v>
      </c>
      <c r="F28" s="46">
        <v>9831.5249999999996</v>
      </c>
      <c r="G28" s="47">
        <v>1.396643E-2</v>
      </c>
      <c r="H28" s="40" t="s">
        <v>151</v>
      </c>
      <c r="J28" s="7"/>
    </row>
    <row r="29" spans="1:10" x14ac:dyDescent="0.2">
      <c r="A29" s="43">
        <v>23</v>
      </c>
      <c r="B29" s="44" t="s">
        <v>359</v>
      </c>
      <c r="C29" s="44" t="s">
        <v>360</v>
      </c>
      <c r="D29" s="44" t="s">
        <v>361</v>
      </c>
      <c r="E29" s="45">
        <v>1450000</v>
      </c>
      <c r="F29" s="46">
        <v>9709.2000000000007</v>
      </c>
      <c r="G29" s="47">
        <v>1.379265E-2</v>
      </c>
      <c r="H29" s="40" t="s">
        <v>151</v>
      </c>
      <c r="J29" s="7"/>
    </row>
    <row r="30" spans="1:10" x14ac:dyDescent="0.2">
      <c r="A30" s="43">
        <v>24</v>
      </c>
      <c r="B30" s="44" t="s">
        <v>198</v>
      </c>
      <c r="C30" s="44" t="s">
        <v>199</v>
      </c>
      <c r="D30" s="44" t="s">
        <v>89</v>
      </c>
      <c r="E30" s="45">
        <v>230000</v>
      </c>
      <c r="F30" s="46">
        <v>9518.6650000000009</v>
      </c>
      <c r="G30" s="47">
        <v>1.3521979999999999E-2</v>
      </c>
      <c r="H30" s="40" t="s">
        <v>151</v>
      </c>
      <c r="J30" s="7"/>
    </row>
    <row r="31" spans="1:10" x14ac:dyDescent="0.2">
      <c r="A31" s="43">
        <v>25</v>
      </c>
      <c r="B31" s="44" t="s">
        <v>260</v>
      </c>
      <c r="C31" s="44" t="s">
        <v>261</v>
      </c>
      <c r="D31" s="44" t="s">
        <v>89</v>
      </c>
      <c r="E31" s="45">
        <v>1650000</v>
      </c>
      <c r="F31" s="46">
        <v>9169.0499999999993</v>
      </c>
      <c r="G31" s="47">
        <v>1.302533E-2</v>
      </c>
      <c r="H31" s="40" t="s">
        <v>151</v>
      </c>
      <c r="J31" s="7"/>
    </row>
    <row r="32" spans="1:10" x14ac:dyDescent="0.2">
      <c r="A32" s="43">
        <v>26</v>
      </c>
      <c r="B32" s="44" t="s">
        <v>238</v>
      </c>
      <c r="C32" s="44" t="s">
        <v>239</v>
      </c>
      <c r="D32" s="44" t="s">
        <v>22</v>
      </c>
      <c r="E32" s="45">
        <v>2300000</v>
      </c>
      <c r="F32" s="46">
        <v>9021.75</v>
      </c>
      <c r="G32" s="47">
        <v>1.2816080000000001E-2</v>
      </c>
      <c r="H32" s="40" t="s">
        <v>151</v>
      </c>
      <c r="J32" s="7"/>
    </row>
    <row r="33" spans="1:10" ht="25.5" x14ac:dyDescent="0.2">
      <c r="A33" s="43">
        <v>27</v>
      </c>
      <c r="B33" s="44" t="s">
        <v>23</v>
      </c>
      <c r="C33" s="44" t="s">
        <v>24</v>
      </c>
      <c r="D33" s="44" t="s">
        <v>25</v>
      </c>
      <c r="E33" s="45">
        <v>75000</v>
      </c>
      <c r="F33" s="46">
        <v>8915.4</v>
      </c>
      <c r="G33" s="47">
        <v>1.2664999999999999E-2</v>
      </c>
      <c r="H33" s="40" t="s">
        <v>151</v>
      </c>
      <c r="J33" s="7"/>
    </row>
    <row r="34" spans="1:10" x14ac:dyDescent="0.2">
      <c r="A34" s="43">
        <v>28</v>
      </c>
      <c r="B34" s="44" t="s">
        <v>77</v>
      </c>
      <c r="C34" s="44" t="s">
        <v>78</v>
      </c>
      <c r="D34" s="44" t="s">
        <v>33</v>
      </c>
      <c r="E34" s="45">
        <v>231328</v>
      </c>
      <c r="F34" s="46">
        <v>8911.5642079999998</v>
      </c>
      <c r="G34" s="47">
        <v>1.265955E-2</v>
      </c>
      <c r="H34" s="40" t="s">
        <v>151</v>
      </c>
      <c r="J34" s="7"/>
    </row>
    <row r="35" spans="1:10" x14ac:dyDescent="0.2">
      <c r="A35" s="43">
        <v>29</v>
      </c>
      <c r="B35" s="44" t="s">
        <v>266</v>
      </c>
      <c r="C35" s="44" t="s">
        <v>267</v>
      </c>
      <c r="D35" s="44" t="s">
        <v>268</v>
      </c>
      <c r="E35" s="45">
        <v>427342</v>
      </c>
      <c r="F35" s="46">
        <v>8610.9413000000004</v>
      </c>
      <c r="G35" s="47">
        <v>1.223249E-2</v>
      </c>
      <c r="H35" s="40" t="s">
        <v>151</v>
      </c>
      <c r="J35" s="7"/>
    </row>
    <row r="36" spans="1:10" x14ac:dyDescent="0.2">
      <c r="A36" s="43">
        <v>30</v>
      </c>
      <c r="B36" s="44" t="s">
        <v>250</v>
      </c>
      <c r="C36" s="44" t="s">
        <v>251</v>
      </c>
      <c r="D36" s="44" t="s">
        <v>219</v>
      </c>
      <c r="E36" s="45">
        <v>295000</v>
      </c>
      <c r="F36" s="46">
        <v>8532.875</v>
      </c>
      <c r="G36" s="47">
        <v>1.21216E-2</v>
      </c>
      <c r="H36" s="40" t="s">
        <v>151</v>
      </c>
      <c r="J36" s="7"/>
    </row>
    <row r="37" spans="1:10" x14ac:dyDescent="0.2">
      <c r="A37" s="43">
        <v>31</v>
      </c>
      <c r="B37" s="44" t="s">
        <v>196</v>
      </c>
      <c r="C37" s="44" t="s">
        <v>197</v>
      </c>
      <c r="D37" s="44" t="s">
        <v>45</v>
      </c>
      <c r="E37" s="45">
        <v>4200000</v>
      </c>
      <c r="F37" s="46">
        <v>8458.3799999999992</v>
      </c>
      <c r="G37" s="47">
        <v>1.201577E-2</v>
      </c>
      <c r="H37" s="40" t="s">
        <v>151</v>
      </c>
      <c r="J37" s="7"/>
    </row>
    <row r="38" spans="1:10" x14ac:dyDescent="0.2">
      <c r="A38" s="43">
        <v>32</v>
      </c>
      <c r="B38" s="44" t="s">
        <v>269</v>
      </c>
      <c r="C38" s="44" t="s">
        <v>270</v>
      </c>
      <c r="D38" s="44" t="s">
        <v>33</v>
      </c>
      <c r="E38" s="45">
        <v>120000</v>
      </c>
      <c r="F38" s="46">
        <v>8229.84</v>
      </c>
      <c r="G38" s="47">
        <v>1.1691109999999999E-2</v>
      </c>
      <c r="H38" s="40" t="s">
        <v>151</v>
      </c>
      <c r="J38" s="7"/>
    </row>
    <row r="39" spans="1:10" x14ac:dyDescent="0.2">
      <c r="A39" s="43">
        <v>33</v>
      </c>
      <c r="B39" s="44" t="s">
        <v>256</v>
      </c>
      <c r="C39" s="44" t="s">
        <v>257</v>
      </c>
      <c r="D39" s="44" t="s">
        <v>222</v>
      </c>
      <c r="E39" s="45">
        <v>850000</v>
      </c>
      <c r="F39" s="46">
        <v>7839.125</v>
      </c>
      <c r="G39" s="47">
        <v>1.113607E-2</v>
      </c>
      <c r="H39" s="40" t="s">
        <v>151</v>
      </c>
      <c r="J39" s="7"/>
    </row>
    <row r="40" spans="1:10" ht="25.5" x14ac:dyDescent="0.2">
      <c r="A40" s="43">
        <v>34</v>
      </c>
      <c r="B40" s="44" t="s">
        <v>273</v>
      </c>
      <c r="C40" s="44" t="s">
        <v>274</v>
      </c>
      <c r="D40" s="44" t="s">
        <v>86</v>
      </c>
      <c r="E40" s="45">
        <v>550000</v>
      </c>
      <c r="F40" s="46">
        <v>7791.3</v>
      </c>
      <c r="G40" s="47">
        <v>1.1068130000000001E-2</v>
      </c>
      <c r="H40" s="40" t="s">
        <v>151</v>
      </c>
      <c r="J40" s="7"/>
    </row>
    <row r="41" spans="1:10" ht="25.5" x14ac:dyDescent="0.2">
      <c r="A41" s="43">
        <v>35</v>
      </c>
      <c r="B41" s="44" t="s">
        <v>362</v>
      </c>
      <c r="C41" s="44" t="s">
        <v>363</v>
      </c>
      <c r="D41" s="44" t="s">
        <v>210</v>
      </c>
      <c r="E41" s="45">
        <v>115000</v>
      </c>
      <c r="F41" s="46">
        <v>7763.0749999999998</v>
      </c>
      <c r="G41" s="47">
        <v>1.1028039999999999E-2</v>
      </c>
      <c r="H41" s="40" t="s">
        <v>151</v>
      </c>
      <c r="J41" s="7"/>
    </row>
    <row r="42" spans="1:10" ht="25.5" x14ac:dyDescent="0.2">
      <c r="A42" s="43">
        <v>36</v>
      </c>
      <c r="B42" s="44" t="s">
        <v>299</v>
      </c>
      <c r="C42" s="44" t="s">
        <v>300</v>
      </c>
      <c r="D42" s="44" t="s">
        <v>205</v>
      </c>
      <c r="E42" s="45">
        <v>174000</v>
      </c>
      <c r="F42" s="46">
        <v>7709.5050000000001</v>
      </c>
      <c r="G42" s="47">
        <v>1.095194E-2</v>
      </c>
      <c r="H42" s="40" t="s">
        <v>151</v>
      </c>
      <c r="J42" s="7"/>
    </row>
    <row r="43" spans="1:10" x14ac:dyDescent="0.2">
      <c r="A43" s="43">
        <v>37</v>
      </c>
      <c r="B43" s="44" t="s">
        <v>328</v>
      </c>
      <c r="C43" s="44" t="s">
        <v>329</v>
      </c>
      <c r="D43" s="44" t="s">
        <v>242</v>
      </c>
      <c r="E43" s="45">
        <v>1200000</v>
      </c>
      <c r="F43" s="46">
        <v>7704.6</v>
      </c>
      <c r="G43" s="47">
        <v>1.094497E-2</v>
      </c>
      <c r="H43" s="40" t="s">
        <v>151</v>
      </c>
      <c r="J43" s="7"/>
    </row>
    <row r="44" spans="1:10" x14ac:dyDescent="0.2">
      <c r="A44" s="43">
        <v>38</v>
      </c>
      <c r="B44" s="44" t="s">
        <v>364</v>
      </c>
      <c r="C44" s="44" t="s">
        <v>365</v>
      </c>
      <c r="D44" s="44" t="s">
        <v>366</v>
      </c>
      <c r="E44" s="45">
        <v>1545000</v>
      </c>
      <c r="F44" s="46">
        <v>7653.1575000000003</v>
      </c>
      <c r="G44" s="47">
        <v>1.087189E-2</v>
      </c>
      <c r="H44" s="40" t="s">
        <v>151</v>
      </c>
      <c r="J44" s="7"/>
    </row>
    <row r="45" spans="1:10" x14ac:dyDescent="0.2">
      <c r="A45" s="43">
        <v>39</v>
      </c>
      <c r="B45" s="44" t="s">
        <v>120</v>
      </c>
      <c r="C45" s="44" t="s">
        <v>121</v>
      </c>
      <c r="D45" s="44" t="s">
        <v>89</v>
      </c>
      <c r="E45" s="45">
        <v>176000</v>
      </c>
      <c r="F45" s="46">
        <v>7510.5360000000001</v>
      </c>
      <c r="G45" s="47">
        <v>1.066929E-2</v>
      </c>
      <c r="H45" s="40" t="s">
        <v>151</v>
      </c>
      <c r="J45" s="7"/>
    </row>
    <row r="46" spans="1:10" x14ac:dyDescent="0.2">
      <c r="A46" s="43">
        <v>40</v>
      </c>
      <c r="B46" s="44" t="s">
        <v>367</v>
      </c>
      <c r="C46" s="44" t="s">
        <v>368</v>
      </c>
      <c r="D46" s="44" t="s">
        <v>229</v>
      </c>
      <c r="E46" s="45">
        <v>175000</v>
      </c>
      <c r="F46" s="46">
        <v>7506.9750000000004</v>
      </c>
      <c r="G46" s="47">
        <v>1.066423E-2</v>
      </c>
      <c r="H46" s="40" t="s">
        <v>151</v>
      </c>
      <c r="J46" s="7"/>
    </row>
    <row r="47" spans="1:10" x14ac:dyDescent="0.2">
      <c r="A47" s="43">
        <v>41</v>
      </c>
      <c r="B47" s="44" t="s">
        <v>369</v>
      </c>
      <c r="C47" s="44" t="s">
        <v>370</v>
      </c>
      <c r="D47" s="44" t="s">
        <v>371</v>
      </c>
      <c r="E47" s="45">
        <v>315000</v>
      </c>
      <c r="F47" s="46">
        <v>7448.9624999999996</v>
      </c>
      <c r="G47" s="47">
        <v>1.058182E-2</v>
      </c>
      <c r="H47" s="40" t="s">
        <v>151</v>
      </c>
      <c r="J47" s="7"/>
    </row>
    <row r="48" spans="1:10" ht="25.5" x14ac:dyDescent="0.2">
      <c r="A48" s="43">
        <v>42</v>
      </c>
      <c r="B48" s="44" t="s">
        <v>236</v>
      </c>
      <c r="C48" s="44" t="s">
        <v>237</v>
      </c>
      <c r="D48" s="44" t="s">
        <v>210</v>
      </c>
      <c r="E48" s="45">
        <v>140000</v>
      </c>
      <c r="F48" s="46">
        <v>7433.3</v>
      </c>
      <c r="G48" s="47">
        <v>1.0559570000000001E-2</v>
      </c>
      <c r="H48" s="40" t="s">
        <v>151</v>
      </c>
      <c r="J48" s="7"/>
    </row>
    <row r="49" spans="1:10" x14ac:dyDescent="0.2">
      <c r="A49" s="43">
        <v>43</v>
      </c>
      <c r="B49" s="44" t="s">
        <v>130</v>
      </c>
      <c r="C49" s="44" t="s">
        <v>131</v>
      </c>
      <c r="D49" s="44" t="s">
        <v>50</v>
      </c>
      <c r="E49" s="45">
        <v>93000</v>
      </c>
      <c r="F49" s="46">
        <v>7344.0704999999998</v>
      </c>
      <c r="G49" s="47">
        <v>1.0432810000000001E-2</v>
      </c>
      <c r="H49" s="40" t="s">
        <v>151</v>
      </c>
      <c r="J49" s="7"/>
    </row>
    <row r="50" spans="1:10" ht="25.5" x14ac:dyDescent="0.2">
      <c r="A50" s="43">
        <v>44</v>
      </c>
      <c r="B50" s="44" t="s">
        <v>372</v>
      </c>
      <c r="C50" s="44" t="s">
        <v>373</v>
      </c>
      <c r="D50" s="44" t="s">
        <v>210</v>
      </c>
      <c r="E50" s="45">
        <v>500000</v>
      </c>
      <c r="F50" s="46">
        <v>7170.75</v>
      </c>
      <c r="G50" s="47">
        <v>1.0186590000000001E-2</v>
      </c>
      <c r="H50" s="40" t="s">
        <v>151</v>
      </c>
      <c r="J50" s="7"/>
    </row>
    <row r="51" spans="1:10" x14ac:dyDescent="0.2">
      <c r="A51" s="43">
        <v>45</v>
      </c>
      <c r="B51" s="44" t="s">
        <v>374</v>
      </c>
      <c r="C51" s="44" t="s">
        <v>375</v>
      </c>
      <c r="D51" s="44" t="s">
        <v>282</v>
      </c>
      <c r="E51" s="45">
        <v>130000</v>
      </c>
      <c r="F51" s="46">
        <v>7134.9849999999997</v>
      </c>
      <c r="G51" s="47">
        <v>1.013579E-2</v>
      </c>
      <c r="H51" s="40" t="s">
        <v>151</v>
      </c>
      <c r="J51" s="7"/>
    </row>
    <row r="52" spans="1:10" x14ac:dyDescent="0.2">
      <c r="A52" s="43">
        <v>46</v>
      </c>
      <c r="B52" s="44" t="s">
        <v>132</v>
      </c>
      <c r="C52" s="44" t="s">
        <v>133</v>
      </c>
      <c r="D52" s="44" t="s">
        <v>50</v>
      </c>
      <c r="E52" s="45">
        <v>2250000</v>
      </c>
      <c r="F52" s="46">
        <v>7093.125</v>
      </c>
      <c r="G52" s="47">
        <v>1.007632E-2</v>
      </c>
      <c r="H52" s="40" t="s">
        <v>151</v>
      </c>
      <c r="J52" s="7"/>
    </row>
    <row r="53" spans="1:10" x14ac:dyDescent="0.2">
      <c r="A53" s="43">
        <v>47</v>
      </c>
      <c r="B53" s="44" t="s">
        <v>84</v>
      </c>
      <c r="C53" s="44" t="s">
        <v>85</v>
      </c>
      <c r="D53" s="44" t="s">
        <v>86</v>
      </c>
      <c r="E53" s="45">
        <v>1100000</v>
      </c>
      <c r="F53" s="46">
        <v>7086.75</v>
      </c>
      <c r="G53" s="47">
        <v>1.006727E-2</v>
      </c>
      <c r="H53" s="40" t="s">
        <v>151</v>
      </c>
      <c r="J53" s="7"/>
    </row>
    <row r="54" spans="1:10" x14ac:dyDescent="0.2">
      <c r="A54" s="43">
        <v>48</v>
      </c>
      <c r="B54" s="44" t="s">
        <v>305</v>
      </c>
      <c r="C54" s="44" t="s">
        <v>306</v>
      </c>
      <c r="D54" s="44" t="s">
        <v>89</v>
      </c>
      <c r="E54" s="45">
        <v>1030000</v>
      </c>
      <c r="F54" s="46">
        <v>6996.2749999999996</v>
      </c>
      <c r="G54" s="47">
        <v>9.9387399999999997E-3</v>
      </c>
      <c r="H54" s="40" t="s">
        <v>151</v>
      </c>
      <c r="J54" s="7"/>
    </row>
    <row r="55" spans="1:10" x14ac:dyDescent="0.2">
      <c r="A55" s="43">
        <v>49</v>
      </c>
      <c r="B55" s="44" t="s">
        <v>116</v>
      </c>
      <c r="C55" s="44" t="s">
        <v>117</v>
      </c>
      <c r="D55" s="44" t="s">
        <v>30</v>
      </c>
      <c r="E55" s="45">
        <v>140000</v>
      </c>
      <c r="F55" s="46">
        <v>6891.99</v>
      </c>
      <c r="G55" s="47">
        <v>9.7905900000000001E-3</v>
      </c>
      <c r="H55" s="40" t="s">
        <v>151</v>
      </c>
      <c r="J55" s="7"/>
    </row>
    <row r="56" spans="1:10" x14ac:dyDescent="0.2">
      <c r="A56" s="43">
        <v>50</v>
      </c>
      <c r="B56" s="44" t="s">
        <v>376</v>
      </c>
      <c r="C56" s="44" t="s">
        <v>377</v>
      </c>
      <c r="D56" s="44" t="s">
        <v>100</v>
      </c>
      <c r="E56" s="45">
        <v>509000</v>
      </c>
      <c r="F56" s="46">
        <v>6880.9165000000003</v>
      </c>
      <c r="G56" s="47">
        <v>9.7748599999999998E-3</v>
      </c>
      <c r="H56" s="40" t="s">
        <v>151</v>
      </c>
      <c r="J56" s="7"/>
    </row>
    <row r="57" spans="1:10" x14ac:dyDescent="0.2">
      <c r="A57" s="43">
        <v>51</v>
      </c>
      <c r="B57" s="44" t="s">
        <v>53</v>
      </c>
      <c r="C57" s="44" t="s">
        <v>54</v>
      </c>
      <c r="D57" s="44" t="s">
        <v>19</v>
      </c>
      <c r="E57" s="45">
        <v>600000</v>
      </c>
      <c r="F57" s="46">
        <v>6824.4</v>
      </c>
      <c r="G57" s="47">
        <v>9.6945799999999995E-3</v>
      </c>
      <c r="H57" s="40" t="s">
        <v>151</v>
      </c>
      <c r="J57" s="7"/>
    </row>
    <row r="58" spans="1:10" x14ac:dyDescent="0.2">
      <c r="A58" s="43">
        <v>52</v>
      </c>
      <c r="B58" s="44" t="s">
        <v>69</v>
      </c>
      <c r="C58" s="44" t="s">
        <v>70</v>
      </c>
      <c r="D58" s="44" t="s">
        <v>33</v>
      </c>
      <c r="E58" s="45">
        <v>550300</v>
      </c>
      <c r="F58" s="46">
        <v>6791.8026</v>
      </c>
      <c r="G58" s="47">
        <v>9.6482700000000005E-3</v>
      </c>
      <c r="H58" s="40" t="s">
        <v>151</v>
      </c>
      <c r="J58" s="7"/>
    </row>
    <row r="59" spans="1:10" x14ac:dyDescent="0.2">
      <c r="A59" s="43">
        <v>53</v>
      </c>
      <c r="B59" s="44" t="s">
        <v>378</v>
      </c>
      <c r="C59" s="44" t="s">
        <v>379</v>
      </c>
      <c r="D59" s="44" t="s">
        <v>366</v>
      </c>
      <c r="E59" s="45">
        <v>250000</v>
      </c>
      <c r="F59" s="46">
        <v>6764.125</v>
      </c>
      <c r="G59" s="47">
        <v>9.6089499999999998E-3</v>
      </c>
      <c r="H59" s="40" t="s">
        <v>151</v>
      </c>
      <c r="J59" s="7"/>
    </row>
    <row r="60" spans="1:10" ht="25.5" x14ac:dyDescent="0.2">
      <c r="A60" s="43">
        <v>54</v>
      </c>
      <c r="B60" s="44" t="s">
        <v>380</v>
      </c>
      <c r="C60" s="44" t="s">
        <v>381</v>
      </c>
      <c r="D60" s="44" t="s">
        <v>210</v>
      </c>
      <c r="E60" s="45">
        <v>135000</v>
      </c>
      <c r="F60" s="46">
        <v>6646.32</v>
      </c>
      <c r="G60" s="47">
        <v>9.4415999999999996E-3</v>
      </c>
      <c r="H60" s="40" t="s">
        <v>151</v>
      </c>
      <c r="J60" s="7"/>
    </row>
    <row r="61" spans="1:10" x14ac:dyDescent="0.2">
      <c r="A61" s="43">
        <v>55</v>
      </c>
      <c r="B61" s="44" t="s">
        <v>382</v>
      </c>
      <c r="C61" s="44" t="s">
        <v>383</v>
      </c>
      <c r="D61" s="44" t="s">
        <v>136</v>
      </c>
      <c r="E61" s="45">
        <v>4000000</v>
      </c>
      <c r="F61" s="46">
        <v>6613.2</v>
      </c>
      <c r="G61" s="47">
        <v>9.3945499999999998E-3</v>
      </c>
      <c r="H61" s="40" t="s">
        <v>151</v>
      </c>
      <c r="J61" s="7"/>
    </row>
    <row r="62" spans="1:10" x14ac:dyDescent="0.2">
      <c r="A62" s="43">
        <v>56</v>
      </c>
      <c r="B62" s="44" t="s">
        <v>220</v>
      </c>
      <c r="C62" s="44" t="s">
        <v>221</v>
      </c>
      <c r="D62" s="44" t="s">
        <v>222</v>
      </c>
      <c r="E62" s="45">
        <v>1300000</v>
      </c>
      <c r="F62" s="46">
        <v>6524.7</v>
      </c>
      <c r="G62" s="47">
        <v>9.2688300000000005E-3</v>
      </c>
      <c r="H62" s="40" t="s">
        <v>151</v>
      </c>
      <c r="J62" s="7"/>
    </row>
    <row r="63" spans="1:10" x14ac:dyDescent="0.2">
      <c r="A63" s="43">
        <v>57</v>
      </c>
      <c r="B63" s="44" t="s">
        <v>384</v>
      </c>
      <c r="C63" s="44" t="s">
        <v>385</v>
      </c>
      <c r="D63" s="44" t="s">
        <v>89</v>
      </c>
      <c r="E63" s="45">
        <v>370000</v>
      </c>
      <c r="F63" s="46">
        <v>6413.95</v>
      </c>
      <c r="G63" s="47">
        <v>9.1114999999999998E-3</v>
      </c>
      <c r="H63" s="40" t="s">
        <v>151</v>
      </c>
      <c r="J63" s="7"/>
    </row>
    <row r="64" spans="1:10" x14ac:dyDescent="0.2">
      <c r="A64" s="43">
        <v>58</v>
      </c>
      <c r="B64" s="44" t="s">
        <v>386</v>
      </c>
      <c r="C64" s="44" t="s">
        <v>387</v>
      </c>
      <c r="D64" s="44" t="s">
        <v>202</v>
      </c>
      <c r="E64" s="45">
        <v>123000</v>
      </c>
      <c r="F64" s="46">
        <v>6071.2184999999999</v>
      </c>
      <c r="G64" s="47">
        <v>8.6246299999999994E-3</v>
      </c>
      <c r="H64" s="40" t="s">
        <v>151</v>
      </c>
      <c r="J64" s="7"/>
    </row>
    <row r="65" spans="1:10" x14ac:dyDescent="0.2">
      <c r="A65" s="43">
        <v>59</v>
      </c>
      <c r="B65" s="44" t="s">
        <v>285</v>
      </c>
      <c r="C65" s="44" t="s">
        <v>286</v>
      </c>
      <c r="D65" s="44" t="s">
        <v>33</v>
      </c>
      <c r="E65" s="45">
        <v>275000</v>
      </c>
      <c r="F65" s="46">
        <v>6019.0625</v>
      </c>
      <c r="G65" s="47">
        <v>8.5505300000000006E-3</v>
      </c>
      <c r="H65" s="40" t="s">
        <v>151</v>
      </c>
      <c r="J65" s="7"/>
    </row>
    <row r="66" spans="1:10" x14ac:dyDescent="0.2">
      <c r="A66" s="43">
        <v>60</v>
      </c>
      <c r="B66" s="44" t="s">
        <v>388</v>
      </c>
      <c r="C66" s="44" t="s">
        <v>389</v>
      </c>
      <c r="D66" s="44" t="s">
        <v>33</v>
      </c>
      <c r="E66" s="45">
        <v>710928</v>
      </c>
      <c r="F66" s="46">
        <v>5938.737048</v>
      </c>
      <c r="G66" s="47">
        <v>8.43643E-3</v>
      </c>
      <c r="H66" s="40" t="s">
        <v>151</v>
      </c>
      <c r="J66" s="7"/>
    </row>
    <row r="67" spans="1:10" ht="25.5" x14ac:dyDescent="0.2">
      <c r="A67" s="43">
        <v>61</v>
      </c>
      <c r="B67" s="44" t="s">
        <v>390</v>
      </c>
      <c r="C67" s="44" t="s">
        <v>391</v>
      </c>
      <c r="D67" s="44" t="s">
        <v>81</v>
      </c>
      <c r="E67" s="45">
        <v>1700000</v>
      </c>
      <c r="F67" s="46">
        <v>5762.15</v>
      </c>
      <c r="G67" s="47">
        <v>8.1855699999999997E-3</v>
      </c>
      <c r="H67" s="40" t="s">
        <v>151</v>
      </c>
      <c r="J67" s="7"/>
    </row>
    <row r="68" spans="1:10" x14ac:dyDescent="0.2">
      <c r="A68" s="43">
        <v>62</v>
      </c>
      <c r="B68" s="44" t="s">
        <v>128</v>
      </c>
      <c r="C68" s="44" t="s">
        <v>129</v>
      </c>
      <c r="D68" s="44" t="s">
        <v>76</v>
      </c>
      <c r="E68" s="45">
        <v>1400000</v>
      </c>
      <c r="F68" s="46">
        <v>5656</v>
      </c>
      <c r="G68" s="47">
        <v>8.03478E-3</v>
      </c>
      <c r="H68" s="40" t="s">
        <v>151</v>
      </c>
      <c r="J68" s="7"/>
    </row>
    <row r="69" spans="1:10" x14ac:dyDescent="0.2">
      <c r="A69" s="43">
        <v>63</v>
      </c>
      <c r="B69" s="44" t="s">
        <v>230</v>
      </c>
      <c r="C69" s="44" t="s">
        <v>231</v>
      </c>
      <c r="D69" s="44" t="s">
        <v>232</v>
      </c>
      <c r="E69" s="45">
        <v>501344</v>
      </c>
      <c r="F69" s="46">
        <v>5574.9452799999999</v>
      </c>
      <c r="G69" s="47">
        <v>7.9196300000000004E-3</v>
      </c>
      <c r="H69" s="40" t="s">
        <v>151</v>
      </c>
      <c r="J69" s="7"/>
    </row>
    <row r="70" spans="1:10" ht="51" x14ac:dyDescent="0.2">
      <c r="A70" s="43">
        <v>64</v>
      </c>
      <c r="B70" s="44" t="s">
        <v>392</v>
      </c>
      <c r="C70" s="44" t="s">
        <v>393</v>
      </c>
      <c r="D70" s="44" t="s">
        <v>394</v>
      </c>
      <c r="E70" s="45">
        <v>2100000</v>
      </c>
      <c r="F70" s="46">
        <v>5398.89</v>
      </c>
      <c r="G70" s="47">
        <v>7.6695299999999999E-3</v>
      </c>
      <c r="H70" s="40" t="s">
        <v>151</v>
      </c>
      <c r="J70" s="7"/>
    </row>
    <row r="71" spans="1:10" x14ac:dyDescent="0.2">
      <c r="A71" s="43">
        <v>65</v>
      </c>
      <c r="B71" s="44" t="s">
        <v>124</v>
      </c>
      <c r="C71" s="44" t="s">
        <v>125</v>
      </c>
      <c r="D71" s="44" t="s">
        <v>50</v>
      </c>
      <c r="E71" s="45">
        <v>880817</v>
      </c>
      <c r="F71" s="46">
        <v>5237.3378819999998</v>
      </c>
      <c r="G71" s="47">
        <v>7.4400400000000002E-3</v>
      </c>
      <c r="H71" s="40" t="s">
        <v>151</v>
      </c>
      <c r="J71" s="7"/>
    </row>
    <row r="72" spans="1:10" x14ac:dyDescent="0.2">
      <c r="A72" s="43">
        <v>66</v>
      </c>
      <c r="B72" s="44" t="s">
        <v>395</v>
      </c>
      <c r="C72" s="44" t="s">
        <v>396</v>
      </c>
      <c r="D72" s="44" t="s">
        <v>45</v>
      </c>
      <c r="E72" s="45">
        <v>4500000</v>
      </c>
      <c r="F72" s="46">
        <v>5161.95</v>
      </c>
      <c r="G72" s="47">
        <v>7.3329399999999996E-3</v>
      </c>
      <c r="H72" s="40" t="s">
        <v>151</v>
      </c>
      <c r="J72" s="7"/>
    </row>
    <row r="73" spans="1:10" x14ac:dyDescent="0.2">
      <c r="A73" s="43">
        <v>67</v>
      </c>
      <c r="B73" s="44" t="s">
        <v>303</v>
      </c>
      <c r="C73" s="44" t="s">
        <v>304</v>
      </c>
      <c r="D73" s="44" t="s">
        <v>100</v>
      </c>
      <c r="E73" s="45">
        <v>346000</v>
      </c>
      <c r="F73" s="46">
        <v>5127.0280000000002</v>
      </c>
      <c r="G73" s="47">
        <v>7.2833300000000002E-3</v>
      </c>
      <c r="H73" s="40" t="s">
        <v>151</v>
      </c>
      <c r="J73" s="7"/>
    </row>
    <row r="74" spans="1:10" x14ac:dyDescent="0.2">
      <c r="A74" s="43">
        <v>68</v>
      </c>
      <c r="B74" s="44" t="s">
        <v>397</v>
      </c>
      <c r="C74" s="44" t="s">
        <v>398</v>
      </c>
      <c r="D74" s="44" t="s">
        <v>100</v>
      </c>
      <c r="E74" s="45">
        <v>146498</v>
      </c>
      <c r="F74" s="46">
        <v>5067.292571</v>
      </c>
      <c r="G74" s="47">
        <v>7.1984700000000002E-3</v>
      </c>
      <c r="H74" s="40" t="s">
        <v>151</v>
      </c>
      <c r="J74" s="7"/>
    </row>
    <row r="75" spans="1:10" x14ac:dyDescent="0.2">
      <c r="A75" s="43">
        <v>69</v>
      </c>
      <c r="B75" s="44" t="s">
        <v>399</v>
      </c>
      <c r="C75" s="44" t="s">
        <v>400</v>
      </c>
      <c r="D75" s="44" t="s">
        <v>401</v>
      </c>
      <c r="E75" s="45">
        <v>11000</v>
      </c>
      <c r="F75" s="46">
        <v>4663.6424999999999</v>
      </c>
      <c r="G75" s="47">
        <v>6.6250600000000003E-3</v>
      </c>
      <c r="H75" s="40" t="s">
        <v>151</v>
      </c>
      <c r="J75" s="7"/>
    </row>
    <row r="76" spans="1:10" x14ac:dyDescent="0.2">
      <c r="A76" s="43">
        <v>70</v>
      </c>
      <c r="B76" s="44" t="s">
        <v>402</v>
      </c>
      <c r="C76" s="44" t="s">
        <v>403</v>
      </c>
      <c r="D76" s="44" t="s">
        <v>89</v>
      </c>
      <c r="E76" s="45">
        <v>328185</v>
      </c>
      <c r="F76" s="46">
        <v>4600.0050524999997</v>
      </c>
      <c r="G76" s="47">
        <v>6.5346600000000003E-3</v>
      </c>
      <c r="H76" s="40" t="s">
        <v>151</v>
      </c>
      <c r="J76" s="7"/>
    </row>
    <row r="77" spans="1:10" x14ac:dyDescent="0.2">
      <c r="A77" s="43">
        <v>71</v>
      </c>
      <c r="B77" s="44" t="s">
        <v>215</v>
      </c>
      <c r="C77" s="44" t="s">
        <v>216</v>
      </c>
      <c r="D77" s="44" t="s">
        <v>16</v>
      </c>
      <c r="E77" s="45">
        <v>235000</v>
      </c>
      <c r="F77" s="46">
        <v>4386.1575000000003</v>
      </c>
      <c r="G77" s="47">
        <v>6.2308700000000003E-3</v>
      </c>
      <c r="H77" s="40" t="s">
        <v>151</v>
      </c>
      <c r="J77" s="7"/>
    </row>
    <row r="78" spans="1:10" x14ac:dyDescent="0.2">
      <c r="A78" s="43">
        <v>72</v>
      </c>
      <c r="B78" s="44" t="s">
        <v>105</v>
      </c>
      <c r="C78" s="44" t="s">
        <v>106</v>
      </c>
      <c r="D78" s="44" t="s">
        <v>107</v>
      </c>
      <c r="E78" s="45">
        <v>775000</v>
      </c>
      <c r="F78" s="46">
        <v>4047.05</v>
      </c>
      <c r="G78" s="47">
        <v>5.7491399999999998E-3</v>
      </c>
      <c r="H78" s="40" t="s">
        <v>151</v>
      </c>
      <c r="J78" s="7"/>
    </row>
    <row r="79" spans="1:10" x14ac:dyDescent="0.2">
      <c r="A79" s="43">
        <v>73</v>
      </c>
      <c r="B79" s="44" t="s">
        <v>404</v>
      </c>
      <c r="C79" s="44" t="s">
        <v>405</v>
      </c>
      <c r="D79" s="44" t="s">
        <v>86</v>
      </c>
      <c r="E79" s="45">
        <v>220000</v>
      </c>
      <c r="F79" s="46">
        <v>3633.63</v>
      </c>
      <c r="G79" s="47">
        <v>5.1618499999999999E-3</v>
      </c>
      <c r="H79" s="40" t="s">
        <v>151</v>
      </c>
      <c r="J79" s="7"/>
    </row>
    <row r="80" spans="1:10" x14ac:dyDescent="0.2">
      <c r="A80" s="43">
        <v>74</v>
      </c>
      <c r="B80" s="44" t="s">
        <v>55</v>
      </c>
      <c r="C80" s="44" t="s">
        <v>56</v>
      </c>
      <c r="D80" s="44" t="s">
        <v>16</v>
      </c>
      <c r="E80" s="45">
        <v>650000</v>
      </c>
      <c r="F80" s="46">
        <v>2948.4</v>
      </c>
      <c r="G80" s="47">
        <v>4.1884299999999999E-3</v>
      </c>
      <c r="H80" s="40" t="s">
        <v>151</v>
      </c>
      <c r="J80" s="7"/>
    </row>
    <row r="81" spans="1:10" x14ac:dyDescent="0.2">
      <c r="A81" s="41"/>
      <c r="B81" s="41"/>
      <c r="C81" s="42" t="s">
        <v>150</v>
      </c>
      <c r="D81" s="41"/>
      <c r="E81" s="41" t="s">
        <v>151</v>
      </c>
      <c r="F81" s="48">
        <v>667936.018622</v>
      </c>
      <c r="G81" s="49">
        <v>0.94885372000000001</v>
      </c>
      <c r="H81" s="40" t="s">
        <v>151</v>
      </c>
      <c r="J81" s="7"/>
    </row>
    <row r="82" spans="1:10" x14ac:dyDescent="0.2">
      <c r="A82" s="41"/>
      <c r="B82" s="41"/>
      <c r="C82" s="50"/>
      <c r="D82" s="41"/>
      <c r="E82" s="41"/>
      <c r="F82" s="51"/>
      <c r="G82" s="51"/>
      <c r="H82" s="40" t="s">
        <v>151</v>
      </c>
      <c r="J82" s="7"/>
    </row>
    <row r="83" spans="1:10" x14ac:dyDescent="0.2">
      <c r="A83" s="41"/>
      <c r="B83" s="41"/>
      <c r="C83" s="42" t="s">
        <v>152</v>
      </c>
      <c r="D83" s="41"/>
      <c r="E83" s="41"/>
      <c r="F83" s="41"/>
      <c r="G83" s="41"/>
      <c r="H83" s="40" t="s">
        <v>151</v>
      </c>
      <c r="J83" s="7"/>
    </row>
    <row r="84" spans="1:10" x14ac:dyDescent="0.2">
      <c r="A84" s="41"/>
      <c r="B84" s="41"/>
      <c r="C84" s="42" t="s">
        <v>150</v>
      </c>
      <c r="D84" s="41"/>
      <c r="E84" s="41" t="s">
        <v>151</v>
      </c>
      <c r="F84" s="52" t="s">
        <v>153</v>
      </c>
      <c r="G84" s="49">
        <v>0</v>
      </c>
      <c r="H84" s="40" t="s">
        <v>151</v>
      </c>
      <c r="J84" s="7"/>
    </row>
    <row r="85" spans="1:10" x14ac:dyDescent="0.2">
      <c r="A85" s="41"/>
      <c r="B85" s="41"/>
      <c r="C85" s="50"/>
      <c r="D85" s="41"/>
      <c r="E85" s="41"/>
      <c r="F85" s="51"/>
      <c r="G85" s="51"/>
      <c r="H85" s="40" t="s">
        <v>151</v>
      </c>
      <c r="J85" s="7"/>
    </row>
    <row r="86" spans="1:10" x14ac:dyDescent="0.2">
      <c r="A86" s="41"/>
      <c r="B86" s="41"/>
      <c r="C86" s="42" t="s">
        <v>154</v>
      </c>
      <c r="D86" s="41"/>
      <c r="E86" s="41"/>
      <c r="F86" s="41"/>
      <c r="G86" s="41"/>
      <c r="H86" s="40" t="s">
        <v>151</v>
      </c>
      <c r="J86" s="7"/>
    </row>
    <row r="87" spans="1:10" x14ac:dyDescent="0.2">
      <c r="A87" s="41"/>
      <c r="B87" s="41"/>
      <c r="C87" s="42" t="s">
        <v>150</v>
      </c>
      <c r="D87" s="41"/>
      <c r="E87" s="41" t="s">
        <v>151</v>
      </c>
      <c r="F87" s="52" t="s">
        <v>153</v>
      </c>
      <c r="G87" s="49">
        <v>0</v>
      </c>
      <c r="H87" s="40" t="s">
        <v>151</v>
      </c>
      <c r="J87" s="7"/>
    </row>
    <row r="88" spans="1:10" x14ac:dyDescent="0.2">
      <c r="A88" s="41"/>
      <c r="B88" s="41"/>
      <c r="C88" s="50"/>
      <c r="D88" s="41"/>
      <c r="E88" s="41"/>
      <c r="F88" s="51"/>
      <c r="G88" s="51"/>
      <c r="H88" s="40" t="s">
        <v>151</v>
      </c>
      <c r="J88" s="7"/>
    </row>
    <row r="89" spans="1:10" x14ac:dyDescent="0.2">
      <c r="A89" s="41"/>
      <c r="B89" s="41"/>
      <c r="C89" s="42" t="s">
        <v>155</v>
      </c>
      <c r="D89" s="41"/>
      <c r="E89" s="41"/>
      <c r="F89" s="41"/>
      <c r="G89" s="41"/>
      <c r="H89" s="40" t="s">
        <v>151</v>
      </c>
      <c r="J89" s="7"/>
    </row>
    <row r="90" spans="1:10" x14ac:dyDescent="0.2">
      <c r="A90" s="41"/>
      <c r="B90" s="41"/>
      <c r="C90" s="42" t="s">
        <v>150</v>
      </c>
      <c r="D90" s="41"/>
      <c r="E90" s="41" t="s">
        <v>151</v>
      </c>
      <c r="F90" s="52" t="s">
        <v>153</v>
      </c>
      <c r="G90" s="49">
        <v>0</v>
      </c>
      <c r="H90" s="40" t="s">
        <v>151</v>
      </c>
      <c r="J90" s="7"/>
    </row>
    <row r="91" spans="1:10" x14ac:dyDescent="0.2">
      <c r="A91" s="41"/>
      <c r="B91" s="41"/>
      <c r="C91" s="50"/>
      <c r="D91" s="41"/>
      <c r="E91" s="41"/>
      <c r="F91" s="51"/>
      <c r="G91" s="51"/>
      <c r="H91" s="40" t="s">
        <v>151</v>
      </c>
      <c r="J91" s="7"/>
    </row>
    <row r="92" spans="1:10" x14ac:dyDescent="0.2">
      <c r="A92" s="41"/>
      <c r="B92" s="41"/>
      <c r="C92" s="42" t="s">
        <v>156</v>
      </c>
      <c r="D92" s="41"/>
      <c r="E92" s="41"/>
      <c r="F92" s="51"/>
      <c r="G92" s="51"/>
      <c r="H92" s="40" t="s">
        <v>151</v>
      </c>
      <c r="J92" s="7"/>
    </row>
    <row r="93" spans="1:10" x14ac:dyDescent="0.2">
      <c r="A93" s="41"/>
      <c r="B93" s="41"/>
      <c r="C93" s="42" t="s">
        <v>150</v>
      </c>
      <c r="D93" s="41"/>
      <c r="E93" s="41" t="s">
        <v>151</v>
      </c>
      <c r="F93" s="52" t="s">
        <v>153</v>
      </c>
      <c r="G93" s="49">
        <v>0</v>
      </c>
      <c r="H93" s="40" t="s">
        <v>151</v>
      </c>
      <c r="J93" s="7"/>
    </row>
    <row r="94" spans="1:10" x14ac:dyDescent="0.2">
      <c r="A94" s="41"/>
      <c r="B94" s="41"/>
      <c r="C94" s="50"/>
      <c r="D94" s="41"/>
      <c r="E94" s="41"/>
      <c r="F94" s="51"/>
      <c r="G94" s="51"/>
      <c r="H94" s="40" t="s">
        <v>151</v>
      </c>
      <c r="J94" s="7"/>
    </row>
    <row r="95" spans="1:10" x14ac:dyDescent="0.2">
      <c r="A95" s="41"/>
      <c r="B95" s="41"/>
      <c r="C95" s="42" t="s">
        <v>157</v>
      </c>
      <c r="D95" s="41"/>
      <c r="E95" s="41"/>
      <c r="F95" s="51"/>
      <c r="G95" s="51"/>
      <c r="H95" s="40" t="s">
        <v>151</v>
      </c>
      <c r="J95" s="7"/>
    </row>
    <row r="96" spans="1:10" x14ac:dyDescent="0.2">
      <c r="A96" s="41"/>
      <c r="B96" s="41"/>
      <c r="C96" s="42" t="s">
        <v>150</v>
      </c>
      <c r="D96" s="41"/>
      <c r="E96" s="41" t="s">
        <v>151</v>
      </c>
      <c r="F96" s="52" t="s">
        <v>153</v>
      </c>
      <c r="G96" s="49">
        <v>0</v>
      </c>
      <c r="H96" s="40" t="s">
        <v>151</v>
      </c>
      <c r="J96" s="7"/>
    </row>
    <row r="97" spans="1:10" x14ac:dyDescent="0.2">
      <c r="A97" s="41"/>
      <c r="B97" s="41"/>
      <c r="C97" s="50"/>
      <c r="D97" s="41"/>
      <c r="E97" s="41"/>
      <c r="F97" s="51"/>
      <c r="G97" s="51"/>
      <c r="H97" s="40" t="s">
        <v>151</v>
      </c>
      <c r="J97" s="7"/>
    </row>
    <row r="98" spans="1:10" x14ac:dyDescent="0.2">
      <c r="A98" s="41"/>
      <c r="B98" s="41"/>
      <c r="C98" s="42" t="s">
        <v>158</v>
      </c>
      <c r="D98" s="41"/>
      <c r="E98" s="41"/>
      <c r="F98" s="48">
        <v>667936.018622</v>
      </c>
      <c r="G98" s="49">
        <v>0.94885372000000001</v>
      </c>
      <c r="H98" s="40" t="s">
        <v>151</v>
      </c>
      <c r="J98" s="7"/>
    </row>
    <row r="99" spans="1:10" x14ac:dyDescent="0.2">
      <c r="A99" s="41"/>
      <c r="B99" s="41"/>
      <c r="C99" s="50"/>
      <c r="D99" s="41"/>
      <c r="E99" s="41"/>
      <c r="F99" s="51"/>
      <c r="G99" s="51"/>
      <c r="H99" s="40" t="s">
        <v>151</v>
      </c>
      <c r="J99" s="7"/>
    </row>
    <row r="100" spans="1:10" x14ac:dyDescent="0.2">
      <c r="A100" s="41"/>
      <c r="B100" s="41"/>
      <c r="C100" s="42" t="s">
        <v>159</v>
      </c>
      <c r="D100" s="41"/>
      <c r="E100" s="41"/>
      <c r="F100" s="51"/>
      <c r="G100" s="51"/>
      <c r="H100" s="40" t="s">
        <v>151</v>
      </c>
      <c r="J100" s="7"/>
    </row>
    <row r="101" spans="1:10" x14ac:dyDescent="0.2">
      <c r="A101" s="41"/>
      <c r="B101" s="41"/>
      <c r="C101" s="42" t="s">
        <v>10</v>
      </c>
      <c r="D101" s="41"/>
      <c r="E101" s="41"/>
      <c r="F101" s="51"/>
      <c r="G101" s="51"/>
      <c r="H101" s="40" t="s">
        <v>151</v>
      </c>
      <c r="J101" s="7"/>
    </row>
    <row r="102" spans="1:10" x14ac:dyDescent="0.2">
      <c r="A102" s="41"/>
      <c r="B102" s="41"/>
      <c r="C102" s="42" t="s">
        <v>150</v>
      </c>
      <c r="D102" s="41"/>
      <c r="E102" s="41" t="s">
        <v>151</v>
      </c>
      <c r="F102" s="52" t="s">
        <v>153</v>
      </c>
      <c r="G102" s="49">
        <v>0</v>
      </c>
      <c r="H102" s="40" t="s">
        <v>151</v>
      </c>
      <c r="J102" s="7"/>
    </row>
    <row r="103" spans="1:10" x14ac:dyDescent="0.2">
      <c r="A103" s="41"/>
      <c r="B103" s="41"/>
      <c r="C103" s="50"/>
      <c r="D103" s="41"/>
      <c r="E103" s="41"/>
      <c r="F103" s="51"/>
      <c r="G103" s="51"/>
      <c r="H103" s="40" t="s">
        <v>151</v>
      </c>
      <c r="J103" s="7"/>
    </row>
    <row r="104" spans="1:10" x14ac:dyDescent="0.2">
      <c r="A104" s="41"/>
      <c r="B104" s="41"/>
      <c r="C104" s="42" t="s">
        <v>160</v>
      </c>
      <c r="D104" s="41"/>
      <c r="E104" s="41"/>
      <c r="F104" s="41"/>
      <c r="G104" s="41"/>
      <c r="H104" s="40" t="s">
        <v>151</v>
      </c>
      <c r="J104" s="7"/>
    </row>
    <row r="105" spans="1:10" x14ac:dyDescent="0.2">
      <c r="A105" s="41"/>
      <c r="B105" s="41"/>
      <c r="C105" s="42" t="s">
        <v>150</v>
      </c>
      <c r="D105" s="41"/>
      <c r="E105" s="41" t="s">
        <v>151</v>
      </c>
      <c r="F105" s="52" t="s">
        <v>153</v>
      </c>
      <c r="G105" s="49">
        <v>0</v>
      </c>
      <c r="H105" s="40" t="s">
        <v>151</v>
      </c>
      <c r="J105" s="7"/>
    </row>
    <row r="106" spans="1:10" x14ac:dyDescent="0.2">
      <c r="A106" s="41"/>
      <c r="B106" s="41"/>
      <c r="C106" s="50"/>
      <c r="D106" s="41"/>
      <c r="E106" s="41"/>
      <c r="F106" s="51"/>
      <c r="G106" s="51"/>
      <c r="H106" s="40" t="s">
        <v>151</v>
      </c>
      <c r="J106" s="7"/>
    </row>
    <row r="107" spans="1:10" x14ac:dyDescent="0.2">
      <c r="A107" s="41"/>
      <c r="B107" s="41"/>
      <c r="C107" s="42" t="s">
        <v>161</v>
      </c>
      <c r="D107" s="41"/>
      <c r="E107" s="41"/>
      <c r="F107" s="41"/>
      <c r="G107" s="41"/>
      <c r="H107" s="40" t="s">
        <v>151</v>
      </c>
      <c r="J107" s="7"/>
    </row>
    <row r="108" spans="1:10" x14ac:dyDescent="0.2">
      <c r="A108" s="41"/>
      <c r="B108" s="41"/>
      <c r="C108" s="42" t="s">
        <v>150</v>
      </c>
      <c r="D108" s="41"/>
      <c r="E108" s="41" t="s">
        <v>151</v>
      </c>
      <c r="F108" s="52" t="s">
        <v>153</v>
      </c>
      <c r="G108" s="49">
        <v>0</v>
      </c>
      <c r="H108" s="40" t="s">
        <v>151</v>
      </c>
      <c r="J108" s="7"/>
    </row>
    <row r="109" spans="1:10" x14ac:dyDescent="0.2">
      <c r="A109" s="41"/>
      <c r="B109" s="41"/>
      <c r="C109" s="50"/>
      <c r="D109" s="41"/>
      <c r="E109" s="41"/>
      <c r="F109" s="51"/>
      <c r="G109" s="51"/>
      <c r="H109" s="40" t="s">
        <v>151</v>
      </c>
      <c r="J109" s="7"/>
    </row>
    <row r="110" spans="1:10" x14ac:dyDescent="0.2">
      <c r="A110" s="41"/>
      <c r="B110" s="41"/>
      <c r="C110" s="42" t="s">
        <v>162</v>
      </c>
      <c r="D110" s="41"/>
      <c r="E110" s="41"/>
      <c r="F110" s="51"/>
      <c r="G110" s="51"/>
      <c r="H110" s="40" t="s">
        <v>151</v>
      </c>
      <c r="J110" s="7"/>
    </row>
    <row r="111" spans="1:10" x14ac:dyDescent="0.2">
      <c r="A111" s="41"/>
      <c r="B111" s="41"/>
      <c r="C111" s="42" t="s">
        <v>150</v>
      </c>
      <c r="D111" s="41"/>
      <c r="E111" s="41" t="s">
        <v>151</v>
      </c>
      <c r="F111" s="52" t="s">
        <v>153</v>
      </c>
      <c r="G111" s="49">
        <v>0</v>
      </c>
      <c r="H111" s="40" t="s">
        <v>151</v>
      </c>
      <c r="J111" s="7"/>
    </row>
    <row r="112" spans="1:10" x14ac:dyDescent="0.2">
      <c r="A112" s="41"/>
      <c r="B112" s="41"/>
      <c r="C112" s="50"/>
      <c r="D112" s="41"/>
      <c r="E112" s="41"/>
      <c r="F112" s="51"/>
      <c r="G112" s="51"/>
      <c r="H112" s="40" t="s">
        <v>151</v>
      </c>
      <c r="J112" s="7"/>
    </row>
    <row r="113" spans="1:10" x14ac:dyDescent="0.2">
      <c r="A113" s="41"/>
      <c r="B113" s="41"/>
      <c r="C113" s="42" t="s">
        <v>163</v>
      </c>
      <c r="D113" s="41"/>
      <c r="E113" s="41"/>
      <c r="F113" s="48">
        <v>0</v>
      </c>
      <c r="G113" s="49">
        <v>0</v>
      </c>
      <c r="H113" s="40" t="s">
        <v>151</v>
      </c>
      <c r="J113" s="7"/>
    </row>
    <row r="114" spans="1:10" x14ac:dyDescent="0.2">
      <c r="A114" s="41"/>
      <c r="B114" s="41"/>
      <c r="C114" s="50"/>
      <c r="D114" s="41"/>
      <c r="E114" s="41"/>
      <c r="F114" s="51"/>
      <c r="G114" s="51"/>
      <c r="H114" s="40" t="s">
        <v>151</v>
      </c>
      <c r="J114" s="7"/>
    </row>
    <row r="115" spans="1:10" x14ac:dyDescent="0.2">
      <c r="A115" s="41"/>
      <c r="B115" s="41"/>
      <c r="C115" s="42" t="s">
        <v>164</v>
      </c>
      <c r="D115" s="41"/>
      <c r="E115" s="41"/>
      <c r="F115" s="51"/>
      <c r="G115" s="51"/>
      <c r="H115" s="40" t="s">
        <v>151</v>
      </c>
      <c r="J115" s="7"/>
    </row>
    <row r="116" spans="1:10" x14ac:dyDescent="0.2">
      <c r="A116" s="41"/>
      <c r="B116" s="41"/>
      <c r="C116" s="42" t="s">
        <v>165</v>
      </c>
      <c r="D116" s="41"/>
      <c r="E116" s="41"/>
      <c r="F116" s="51"/>
      <c r="G116" s="51"/>
      <c r="H116" s="40" t="s">
        <v>151</v>
      </c>
      <c r="J116" s="7"/>
    </row>
    <row r="117" spans="1:10" x14ac:dyDescent="0.2">
      <c r="A117" s="41"/>
      <c r="B117" s="41"/>
      <c r="C117" s="42" t="s">
        <v>150</v>
      </c>
      <c r="D117" s="41"/>
      <c r="E117" s="41" t="s">
        <v>151</v>
      </c>
      <c r="F117" s="52" t="s">
        <v>153</v>
      </c>
      <c r="G117" s="49">
        <v>0</v>
      </c>
      <c r="H117" s="40" t="s">
        <v>151</v>
      </c>
      <c r="J117" s="7"/>
    </row>
    <row r="118" spans="1:10" x14ac:dyDescent="0.2">
      <c r="A118" s="41"/>
      <c r="B118" s="41"/>
      <c r="C118" s="50"/>
      <c r="D118" s="41"/>
      <c r="E118" s="41"/>
      <c r="F118" s="51"/>
      <c r="G118" s="51"/>
      <c r="H118" s="40" t="s">
        <v>151</v>
      </c>
      <c r="J118" s="7"/>
    </row>
    <row r="119" spans="1:10" x14ac:dyDescent="0.2">
      <c r="A119" s="41"/>
      <c r="B119" s="41"/>
      <c r="C119" s="42" t="s">
        <v>166</v>
      </c>
      <c r="D119" s="41"/>
      <c r="E119" s="41"/>
      <c r="F119" s="51"/>
      <c r="G119" s="51"/>
      <c r="H119" s="40" t="s">
        <v>151</v>
      </c>
      <c r="J119" s="7"/>
    </row>
    <row r="120" spans="1:10" x14ac:dyDescent="0.2">
      <c r="A120" s="41"/>
      <c r="B120" s="41"/>
      <c r="C120" s="42" t="s">
        <v>150</v>
      </c>
      <c r="D120" s="41"/>
      <c r="E120" s="41" t="s">
        <v>151</v>
      </c>
      <c r="F120" s="52" t="s">
        <v>153</v>
      </c>
      <c r="G120" s="49">
        <v>0</v>
      </c>
      <c r="H120" s="40" t="s">
        <v>151</v>
      </c>
      <c r="J120" s="7"/>
    </row>
    <row r="121" spans="1:10" x14ac:dyDescent="0.2">
      <c r="A121" s="41"/>
      <c r="B121" s="41"/>
      <c r="C121" s="50"/>
      <c r="D121" s="41"/>
      <c r="E121" s="41"/>
      <c r="F121" s="51"/>
      <c r="G121" s="51"/>
      <c r="H121" s="40" t="s">
        <v>151</v>
      </c>
      <c r="J121" s="7"/>
    </row>
    <row r="122" spans="1:10" x14ac:dyDescent="0.2">
      <c r="A122" s="41"/>
      <c r="B122" s="41"/>
      <c r="C122" s="42" t="s">
        <v>167</v>
      </c>
      <c r="D122" s="41"/>
      <c r="E122" s="41"/>
      <c r="F122" s="51"/>
      <c r="G122" s="51"/>
      <c r="H122" s="40" t="s">
        <v>151</v>
      </c>
      <c r="J122" s="7"/>
    </row>
    <row r="123" spans="1:10" x14ac:dyDescent="0.2">
      <c r="A123" s="41"/>
      <c r="B123" s="41"/>
      <c r="C123" s="42" t="s">
        <v>150</v>
      </c>
      <c r="D123" s="41"/>
      <c r="E123" s="41" t="s">
        <v>151</v>
      </c>
      <c r="F123" s="52" t="s">
        <v>153</v>
      </c>
      <c r="G123" s="49">
        <v>0</v>
      </c>
      <c r="H123" s="40" t="s">
        <v>151</v>
      </c>
      <c r="J123" s="7"/>
    </row>
    <row r="124" spans="1:10" x14ac:dyDescent="0.2">
      <c r="A124" s="41"/>
      <c r="B124" s="41"/>
      <c r="C124" s="50"/>
      <c r="D124" s="41"/>
      <c r="E124" s="41"/>
      <c r="F124" s="51"/>
      <c r="G124" s="51"/>
      <c r="H124" s="40" t="s">
        <v>151</v>
      </c>
      <c r="J124" s="7"/>
    </row>
    <row r="125" spans="1:10" x14ac:dyDescent="0.2">
      <c r="A125" s="41"/>
      <c r="B125" s="41"/>
      <c r="C125" s="42" t="s">
        <v>168</v>
      </c>
      <c r="D125" s="41"/>
      <c r="E125" s="41"/>
      <c r="F125" s="51"/>
      <c r="G125" s="51"/>
      <c r="H125" s="40" t="s">
        <v>151</v>
      </c>
      <c r="J125" s="7"/>
    </row>
    <row r="126" spans="1:10" x14ac:dyDescent="0.2">
      <c r="A126" s="43">
        <v>1</v>
      </c>
      <c r="B126" s="44"/>
      <c r="C126" s="44" t="s">
        <v>169</v>
      </c>
      <c r="D126" s="44"/>
      <c r="E126" s="54"/>
      <c r="F126" s="46">
        <v>33324.468820994</v>
      </c>
      <c r="G126" s="47">
        <v>4.7339930000000002E-2</v>
      </c>
      <c r="H126" s="40">
        <v>6.39</v>
      </c>
      <c r="J126" s="7"/>
    </row>
    <row r="127" spans="1:10" x14ac:dyDescent="0.2">
      <c r="A127" s="41"/>
      <c r="B127" s="41"/>
      <c r="C127" s="42" t="s">
        <v>150</v>
      </c>
      <c r="D127" s="41"/>
      <c r="E127" s="41" t="s">
        <v>151</v>
      </c>
      <c r="F127" s="48">
        <v>33324.468820994</v>
      </c>
      <c r="G127" s="49">
        <v>4.7339930000000002E-2</v>
      </c>
      <c r="H127" s="40" t="s">
        <v>151</v>
      </c>
      <c r="J127" s="7"/>
    </row>
    <row r="128" spans="1:10" x14ac:dyDescent="0.2">
      <c r="A128" s="41"/>
      <c r="B128" s="41"/>
      <c r="C128" s="50"/>
      <c r="D128" s="41"/>
      <c r="E128" s="41"/>
      <c r="F128" s="51"/>
      <c r="G128" s="51"/>
      <c r="H128" s="40" t="s">
        <v>151</v>
      </c>
      <c r="J128" s="7"/>
    </row>
    <row r="129" spans="1:10" x14ac:dyDescent="0.2">
      <c r="A129" s="41"/>
      <c r="B129" s="41"/>
      <c r="C129" s="42" t="s">
        <v>170</v>
      </c>
      <c r="D129" s="41"/>
      <c r="E129" s="41"/>
      <c r="F129" s="48">
        <v>33324.468820994</v>
      </c>
      <c r="G129" s="49">
        <v>4.7339930000000002E-2</v>
      </c>
      <c r="H129" s="40" t="s">
        <v>151</v>
      </c>
      <c r="J129" s="7"/>
    </row>
    <row r="130" spans="1:10" x14ac:dyDescent="0.2">
      <c r="A130" s="41"/>
      <c r="B130" s="41"/>
      <c r="C130" s="51"/>
      <c r="D130" s="41"/>
      <c r="E130" s="41"/>
      <c r="F130" s="41"/>
      <c r="G130" s="41"/>
      <c r="H130" s="40" t="s">
        <v>151</v>
      </c>
      <c r="J130" s="7"/>
    </row>
    <row r="131" spans="1:10" x14ac:dyDescent="0.2">
      <c r="A131" s="41"/>
      <c r="B131" s="41"/>
      <c r="C131" s="42" t="s">
        <v>171</v>
      </c>
      <c r="D131" s="41"/>
      <c r="E131" s="41"/>
      <c r="F131" s="41"/>
      <c r="G131" s="41"/>
      <c r="H131" s="40" t="s">
        <v>151</v>
      </c>
      <c r="J131" s="7"/>
    </row>
    <row r="132" spans="1:10" x14ac:dyDescent="0.2">
      <c r="A132" s="41"/>
      <c r="B132" s="41"/>
      <c r="C132" s="42" t="s">
        <v>172</v>
      </c>
      <c r="D132" s="41"/>
      <c r="E132" s="41"/>
      <c r="F132" s="41"/>
      <c r="G132" s="41"/>
      <c r="H132" s="40" t="s">
        <v>151</v>
      </c>
      <c r="J132" s="7"/>
    </row>
    <row r="133" spans="1:10" x14ac:dyDescent="0.2">
      <c r="A133" s="41"/>
      <c r="B133" s="41"/>
      <c r="C133" s="42" t="s">
        <v>150</v>
      </c>
      <c r="D133" s="41"/>
      <c r="E133" s="41" t="s">
        <v>151</v>
      </c>
      <c r="F133" s="52" t="s">
        <v>153</v>
      </c>
      <c r="G133" s="49">
        <v>0</v>
      </c>
      <c r="H133" s="40" t="s">
        <v>151</v>
      </c>
      <c r="J133" s="7"/>
    </row>
    <row r="134" spans="1:10" x14ac:dyDescent="0.2">
      <c r="A134" s="41"/>
      <c r="B134" s="41"/>
      <c r="C134" s="50"/>
      <c r="D134" s="41"/>
      <c r="E134" s="41"/>
      <c r="F134" s="51"/>
      <c r="G134" s="51"/>
      <c r="H134" s="40" t="s">
        <v>151</v>
      </c>
      <c r="J134" s="7"/>
    </row>
    <row r="135" spans="1:10" x14ac:dyDescent="0.2">
      <c r="A135" s="41"/>
      <c r="B135" s="41"/>
      <c r="C135" s="42" t="s">
        <v>173</v>
      </c>
      <c r="D135" s="41"/>
      <c r="E135" s="41"/>
      <c r="F135" s="41"/>
      <c r="G135" s="41"/>
      <c r="H135" s="40" t="s">
        <v>151</v>
      </c>
      <c r="J135" s="7"/>
    </row>
    <row r="136" spans="1:10" x14ac:dyDescent="0.2">
      <c r="A136" s="41"/>
      <c r="B136" s="41"/>
      <c r="C136" s="42" t="s">
        <v>174</v>
      </c>
      <c r="D136" s="41"/>
      <c r="E136" s="41"/>
      <c r="F136" s="41"/>
      <c r="G136" s="41"/>
      <c r="H136" s="40" t="s">
        <v>151</v>
      </c>
      <c r="J136" s="7"/>
    </row>
    <row r="137" spans="1:10" x14ac:dyDescent="0.2">
      <c r="A137" s="41"/>
      <c r="B137" s="41"/>
      <c r="C137" s="42" t="s">
        <v>150</v>
      </c>
      <c r="D137" s="41"/>
      <c r="E137" s="41" t="s">
        <v>151</v>
      </c>
      <c r="F137" s="52" t="s">
        <v>153</v>
      </c>
      <c r="G137" s="49">
        <v>0</v>
      </c>
      <c r="H137" s="40" t="s">
        <v>151</v>
      </c>
      <c r="J137" s="7"/>
    </row>
    <row r="138" spans="1:10" x14ac:dyDescent="0.2">
      <c r="A138" s="41"/>
      <c r="B138" s="41"/>
      <c r="C138" s="50"/>
      <c r="D138" s="41"/>
      <c r="E138" s="41"/>
      <c r="F138" s="51"/>
      <c r="G138" s="51"/>
      <c r="H138" s="40" t="s">
        <v>151</v>
      </c>
      <c r="J138" s="7"/>
    </row>
    <row r="139" spans="1:10" x14ac:dyDescent="0.2">
      <c r="A139" s="41"/>
      <c r="B139" s="41"/>
      <c r="C139" s="42" t="s">
        <v>175</v>
      </c>
      <c r="D139" s="41"/>
      <c r="E139" s="41"/>
      <c r="F139" s="51"/>
      <c r="G139" s="51"/>
      <c r="H139" s="40" t="s">
        <v>151</v>
      </c>
      <c r="J139" s="7"/>
    </row>
    <row r="140" spans="1:10" x14ac:dyDescent="0.2">
      <c r="A140" s="41"/>
      <c r="B140" s="41"/>
      <c r="C140" s="42" t="s">
        <v>150</v>
      </c>
      <c r="D140" s="41"/>
      <c r="E140" s="41" t="s">
        <v>151</v>
      </c>
      <c r="F140" s="52" t="s">
        <v>153</v>
      </c>
      <c r="G140" s="49">
        <v>0</v>
      </c>
      <c r="H140" s="40" t="s">
        <v>151</v>
      </c>
      <c r="J140" s="7"/>
    </row>
    <row r="141" spans="1:10" x14ac:dyDescent="0.2">
      <c r="A141" s="41"/>
      <c r="B141" s="41"/>
      <c r="C141" s="50"/>
      <c r="D141" s="41"/>
      <c r="E141" s="41"/>
      <c r="F141" s="51"/>
      <c r="G141" s="51"/>
      <c r="H141" s="40" t="s">
        <v>151</v>
      </c>
      <c r="J141" s="7"/>
    </row>
    <row r="142" spans="1:10" x14ac:dyDescent="0.2">
      <c r="A142" s="41"/>
      <c r="B142" s="44"/>
      <c r="C142" s="44"/>
      <c r="D142" s="42"/>
      <c r="E142" s="41"/>
      <c r="F142" s="44"/>
      <c r="G142" s="54"/>
      <c r="H142" s="40" t="s">
        <v>151</v>
      </c>
      <c r="J142" s="7"/>
    </row>
    <row r="143" spans="1:10" x14ac:dyDescent="0.2">
      <c r="A143" s="54"/>
      <c r="B143" s="44"/>
      <c r="C143" s="44" t="s">
        <v>176</v>
      </c>
      <c r="D143" s="44"/>
      <c r="E143" s="54"/>
      <c r="F143" s="46">
        <v>2679.4883768899999</v>
      </c>
      <c r="G143" s="47">
        <v>3.80642E-3</v>
      </c>
      <c r="H143" s="40" t="s">
        <v>151</v>
      </c>
      <c r="J143" s="7"/>
    </row>
    <row r="144" spans="1:10" x14ac:dyDescent="0.2">
      <c r="A144" s="50"/>
      <c r="B144" s="50"/>
      <c r="C144" s="42" t="s">
        <v>177</v>
      </c>
      <c r="D144" s="51"/>
      <c r="E144" s="51"/>
      <c r="F144" s="48">
        <v>703939.97581988398</v>
      </c>
      <c r="G144" s="55">
        <v>1.00000007</v>
      </c>
      <c r="H144" s="40" t="s">
        <v>151</v>
      </c>
      <c r="J144" s="7"/>
    </row>
    <row r="145" spans="1:17" x14ac:dyDescent="0.2">
      <c r="A145" s="56"/>
      <c r="B145" s="56"/>
      <c r="C145" s="56"/>
      <c r="D145" s="57"/>
      <c r="E145" s="57"/>
      <c r="F145" s="57"/>
      <c r="G145" s="57"/>
      <c r="J145" s="7"/>
    </row>
    <row r="146" spans="1:17" ht="12.75" customHeight="1" x14ac:dyDescent="0.2">
      <c r="A146" s="58"/>
      <c r="B146" s="159" t="s">
        <v>923</v>
      </c>
      <c r="C146" s="159"/>
      <c r="D146" s="159"/>
      <c r="E146" s="159"/>
      <c r="F146" s="159"/>
      <c r="G146" s="159"/>
      <c r="H146" s="159"/>
      <c r="J146" s="7"/>
    </row>
    <row r="147" spans="1:17" ht="14.1" customHeight="1" x14ac:dyDescent="0.2">
      <c r="A147" s="58"/>
      <c r="B147" s="159" t="s">
        <v>924</v>
      </c>
      <c r="C147" s="159"/>
      <c r="D147" s="159"/>
      <c r="E147" s="159"/>
      <c r="F147" s="159"/>
      <c r="G147" s="159"/>
      <c r="H147" s="159"/>
      <c r="J147" s="7"/>
    </row>
    <row r="148" spans="1:17" ht="17.100000000000001" customHeight="1" x14ac:dyDescent="0.2">
      <c r="A148" s="58"/>
      <c r="B148" s="159" t="s">
        <v>925</v>
      </c>
      <c r="C148" s="159"/>
      <c r="D148" s="159"/>
      <c r="E148" s="159"/>
      <c r="F148" s="159"/>
      <c r="G148" s="159"/>
      <c r="H148" s="159"/>
      <c r="J148" s="7"/>
    </row>
    <row r="149" spans="1:17" s="8" customFormat="1" ht="65.25" customHeight="1" x14ac:dyDescent="0.25">
      <c r="A149" s="60"/>
      <c r="B149" s="160" t="s">
        <v>926</v>
      </c>
      <c r="C149" s="160"/>
      <c r="D149" s="160"/>
      <c r="E149" s="160"/>
      <c r="F149" s="160"/>
      <c r="G149" s="160"/>
      <c r="H149" s="160"/>
      <c r="I149"/>
      <c r="J149" s="7"/>
      <c r="K149"/>
      <c r="L149"/>
      <c r="M149"/>
      <c r="N149"/>
      <c r="O149"/>
      <c r="P149"/>
      <c r="Q149"/>
    </row>
    <row r="150" spans="1:17" ht="12.75" customHeight="1" x14ac:dyDescent="0.2">
      <c r="A150" s="58"/>
      <c r="B150" s="159" t="s">
        <v>927</v>
      </c>
      <c r="C150" s="159"/>
      <c r="D150" s="159"/>
      <c r="E150" s="159"/>
      <c r="F150" s="159"/>
      <c r="G150" s="159"/>
      <c r="H150" s="159"/>
      <c r="J150" s="7"/>
    </row>
    <row r="151" spans="1:17" x14ac:dyDescent="0.2">
      <c r="A151" s="61"/>
      <c r="B151" s="61"/>
      <c r="C151" s="61"/>
      <c r="D151" s="62"/>
      <c r="E151" s="62"/>
      <c r="F151" s="62"/>
      <c r="G151" s="62"/>
      <c r="J151" s="7"/>
    </row>
    <row r="152" spans="1:17" x14ac:dyDescent="0.2">
      <c r="A152" s="61"/>
      <c r="B152" s="161" t="s">
        <v>178</v>
      </c>
      <c r="C152" s="162"/>
      <c r="D152" s="163"/>
      <c r="E152" s="63"/>
      <c r="F152" s="62"/>
      <c r="G152" s="62"/>
      <c r="J152" s="7"/>
    </row>
    <row r="153" spans="1:17" x14ac:dyDescent="0.2">
      <c r="A153" s="61"/>
      <c r="B153" s="156" t="s">
        <v>179</v>
      </c>
      <c r="C153" s="157"/>
      <c r="D153" s="42" t="s">
        <v>180</v>
      </c>
      <c r="E153" s="63"/>
      <c r="F153" s="62"/>
      <c r="G153" s="62"/>
      <c r="J153" s="7"/>
    </row>
    <row r="154" spans="1:17" x14ac:dyDescent="0.2">
      <c r="A154" s="61"/>
      <c r="B154" s="156" t="s">
        <v>181</v>
      </c>
      <c r="C154" s="157"/>
      <c r="D154" s="42" t="s">
        <v>180</v>
      </c>
      <c r="E154" s="63"/>
      <c r="F154" s="62"/>
      <c r="G154" s="62"/>
      <c r="J154" s="7"/>
    </row>
    <row r="155" spans="1:17" x14ac:dyDescent="0.2">
      <c r="A155" s="61"/>
      <c r="B155" s="156" t="s">
        <v>182</v>
      </c>
      <c r="C155" s="157"/>
      <c r="D155" s="51" t="s">
        <v>151</v>
      </c>
      <c r="E155" s="63"/>
      <c r="F155" s="62"/>
      <c r="G155" s="62"/>
      <c r="J155" s="7"/>
    </row>
    <row r="156" spans="1:17" x14ac:dyDescent="0.2">
      <c r="A156" s="67"/>
      <c r="B156" s="68" t="s">
        <v>151</v>
      </c>
      <c r="C156" s="68" t="s">
        <v>937</v>
      </c>
      <c r="D156" s="68" t="s">
        <v>183</v>
      </c>
      <c r="E156" s="67"/>
      <c r="F156" s="67"/>
      <c r="G156" s="67"/>
      <c r="H156" s="67"/>
      <c r="J156" s="7"/>
    </row>
    <row r="157" spans="1:17" x14ac:dyDescent="0.2">
      <c r="A157" s="69"/>
      <c r="B157" s="70" t="s">
        <v>184</v>
      </c>
      <c r="C157" s="80" t="s">
        <v>185</v>
      </c>
      <c r="D157" s="80" t="s">
        <v>186</v>
      </c>
      <c r="E157" s="69"/>
      <c r="F157" s="69"/>
      <c r="G157" s="69"/>
      <c r="J157" s="7"/>
    </row>
    <row r="158" spans="1:17" x14ac:dyDescent="0.2">
      <c r="A158" s="69"/>
      <c r="B158" s="44" t="s">
        <v>187</v>
      </c>
      <c r="C158" s="72">
        <v>91.983599999999996</v>
      </c>
      <c r="D158" s="72">
        <v>95.266199999999998</v>
      </c>
      <c r="E158" s="69"/>
      <c r="F158" s="73"/>
      <c r="G158" s="74"/>
      <c r="J158" s="7"/>
    </row>
    <row r="159" spans="1:17" x14ac:dyDescent="0.2">
      <c r="A159" s="69"/>
      <c r="B159" s="44" t="s">
        <v>1094</v>
      </c>
      <c r="C159" s="72">
        <v>36.7348</v>
      </c>
      <c r="D159" s="72">
        <v>38.045699999999997</v>
      </c>
      <c r="E159" s="69"/>
      <c r="F159" s="73"/>
      <c r="G159" s="74"/>
      <c r="J159" s="7"/>
    </row>
    <row r="160" spans="1:17" x14ac:dyDescent="0.2">
      <c r="A160" s="69"/>
      <c r="B160" s="44" t="s">
        <v>188</v>
      </c>
      <c r="C160" s="72">
        <v>82.683300000000003</v>
      </c>
      <c r="D160" s="72">
        <v>85.554699999999997</v>
      </c>
      <c r="E160" s="69"/>
      <c r="F160" s="73"/>
      <c r="G160" s="74"/>
      <c r="J160" s="7"/>
    </row>
    <row r="161" spans="1:10" x14ac:dyDescent="0.2">
      <c r="A161" s="69"/>
      <c r="B161" s="44" t="s">
        <v>1095</v>
      </c>
      <c r="C161" s="72">
        <v>32.324100000000001</v>
      </c>
      <c r="D161" s="72">
        <v>33.4465</v>
      </c>
      <c r="E161" s="69"/>
      <c r="F161" s="73"/>
      <c r="G161" s="74"/>
      <c r="J161" s="7"/>
    </row>
    <row r="162" spans="1:10" x14ac:dyDescent="0.2">
      <c r="A162" s="69"/>
      <c r="B162" s="69"/>
      <c r="C162" s="69"/>
      <c r="D162" s="69"/>
      <c r="E162" s="69"/>
      <c r="F162" s="69"/>
      <c r="G162" s="69"/>
      <c r="J162" s="7"/>
    </row>
    <row r="163" spans="1:10" x14ac:dyDescent="0.2">
      <c r="A163" s="69"/>
      <c r="B163" s="156" t="s">
        <v>940</v>
      </c>
      <c r="C163" s="157"/>
      <c r="D163" s="42" t="s">
        <v>180</v>
      </c>
      <c r="E163" s="69"/>
      <c r="F163" s="69"/>
      <c r="G163" s="69"/>
      <c r="J163" s="7"/>
    </row>
    <row r="164" spans="1:10" x14ac:dyDescent="0.2">
      <c r="A164" s="69"/>
      <c r="B164" s="73"/>
      <c r="C164" s="73"/>
      <c r="D164" s="69"/>
      <c r="E164" s="69"/>
      <c r="F164" s="69"/>
      <c r="G164" s="69"/>
      <c r="J164" s="7"/>
    </row>
    <row r="165" spans="1:10" x14ac:dyDescent="0.2">
      <c r="A165" s="69"/>
      <c r="B165" s="156" t="s">
        <v>189</v>
      </c>
      <c r="C165" s="157"/>
      <c r="D165" s="42" t="s">
        <v>180</v>
      </c>
      <c r="E165" s="85"/>
      <c r="F165" s="69"/>
      <c r="G165" s="69"/>
      <c r="J165" s="7"/>
    </row>
    <row r="166" spans="1:10" x14ac:dyDescent="0.2">
      <c r="A166" s="69"/>
      <c r="B166" s="156" t="s">
        <v>190</v>
      </c>
      <c r="C166" s="157"/>
      <c r="D166" s="42" t="s">
        <v>180</v>
      </c>
      <c r="E166" s="85"/>
      <c r="F166" s="69"/>
      <c r="G166" s="69"/>
      <c r="J166" s="7"/>
    </row>
    <row r="167" spans="1:10" x14ac:dyDescent="0.2">
      <c r="A167" s="69"/>
      <c r="B167" s="156" t="s">
        <v>191</v>
      </c>
      <c r="C167" s="157"/>
      <c r="D167" s="42" t="s">
        <v>180</v>
      </c>
      <c r="E167" s="85"/>
      <c r="F167" s="69"/>
      <c r="G167" s="69"/>
      <c r="J167" s="7"/>
    </row>
    <row r="168" spans="1:10" x14ac:dyDescent="0.2">
      <c r="A168" s="69"/>
      <c r="B168" s="156" t="s">
        <v>192</v>
      </c>
      <c r="C168" s="157"/>
      <c r="D168" s="86">
        <v>0.27402952749281878</v>
      </c>
      <c r="E168" s="69"/>
      <c r="F168" s="73"/>
      <c r="G168" s="74"/>
      <c r="J168" s="7"/>
    </row>
    <row r="169" spans="1:10" x14ac:dyDescent="0.2">
      <c r="J169" s="7"/>
    </row>
    <row r="170" spans="1:10" x14ac:dyDescent="0.2">
      <c r="J170" s="7"/>
    </row>
    <row r="171" spans="1:10" x14ac:dyDescent="0.2">
      <c r="J171" s="7"/>
    </row>
    <row r="172" spans="1:10" x14ac:dyDescent="0.2">
      <c r="J172" s="7"/>
    </row>
    <row r="173" spans="1:10" x14ac:dyDescent="0.2">
      <c r="J173" s="7"/>
    </row>
    <row r="174" spans="1:10" x14ac:dyDescent="0.2">
      <c r="J174" s="7"/>
    </row>
    <row r="175" spans="1:10" x14ac:dyDescent="0.2">
      <c r="J175" s="7"/>
    </row>
  </sheetData>
  <mergeCells count="17">
    <mergeCell ref="B168:C168"/>
    <mergeCell ref="B154:C154"/>
    <mergeCell ref="B155:C155"/>
    <mergeCell ref="B163:C163"/>
    <mergeCell ref="B165:C165"/>
    <mergeCell ref="B166:C166"/>
    <mergeCell ref="B167:C167"/>
    <mergeCell ref="B153:C153"/>
    <mergeCell ref="A1:H1"/>
    <mergeCell ref="A2:H2"/>
    <mergeCell ref="A3:H3"/>
    <mergeCell ref="B146:H146"/>
    <mergeCell ref="B147:H147"/>
    <mergeCell ref="B148:H148"/>
    <mergeCell ref="B149:H149"/>
    <mergeCell ref="B150:H150"/>
    <mergeCell ref="B152:D152"/>
  </mergeCells>
  <hyperlinks>
    <hyperlink ref="I1" location="Index!B5" display="Index" xr:uid="{237B2CBE-4261-442A-A868-B0133D596E3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C9896-41A3-46ED-9226-0224695C3EDC}">
  <sheetPr>
    <outlinePr summaryBelow="0" summaryRight="0"/>
  </sheetPr>
  <dimension ref="A1:Q140"/>
  <sheetViews>
    <sheetView showGridLines="0" workbookViewId="0">
      <selection activeCell="A2" sqref="A2:H2"/>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8.7109375" customWidth="1"/>
    <col min="8" max="8" width="8.42578125" bestFit="1" customWidth="1"/>
    <col min="9" max="9" width="5.710937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406</v>
      </c>
      <c r="B2" s="158"/>
      <c r="C2" s="158"/>
      <c r="D2" s="158"/>
      <c r="E2" s="158"/>
      <c r="F2" s="158"/>
      <c r="G2" s="158"/>
      <c r="H2" s="158"/>
      <c r="J2" s="11" t="s">
        <v>942</v>
      </c>
    </row>
    <row r="3" spans="1:10" ht="15" customHeight="1" x14ac:dyDescent="0.2">
      <c r="A3" s="158" t="s">
        <v>880</v>
      </c>
      <c r="B3" s="158"/>
      <c r="C3" s="158"/>
      <c r="D3" s="158"/>
      <c r="E3" s="158"/>
      <c r="F3" s="158"/>
      <c r="G3" s="158"/>
      <c r="H3" s="158"/>
      <c r="J3" s="7"/>
    </row>
    <row r="4" spans="1:10" s="1" customFormat="1" ht="33" customHeight="1"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367</v>
      </c>
      <c r="C7" s="44" t="s">
        <v>368</v>
      </c>
      <c r="D7" s="44" t="s">
        <v>229</v>
      </c>
      <c r="E7" s="45">
        <v>4353</v>
      </c>
      <c r="F7" s="46">
        <v>186.73064099999999</v>
      </c>
      <c r="G7" s="47">
        <v>4.8861469999999997E-2</v>
      </c>
      <c r="H7" s="40" t="s">
        <v>151</v>
      </c>
      <c r="J7" s="7"/>
    </row>
    <row r="8" spans="1:10" x14ac:dyDescent="0.2">
      <c r="A8" s="43">
        <v>2</v>
      </c>
      <c r="B8" s="44" t="s">
        <v>31</v>
      </c>
      <c r="C8" s="44" t="s">
        <v>32</v>
      </c>
      <c r="D8" s="44" t="s">
        <v>33</v>
      </c>
      <c r="E8" s="45">
        <v>18540</v>
      </c>
      <c r="F8" s="46">
        <v>178.28990999999999</v>
      </c>
      <c r="G8" s="47">
        <v>4.6652800000000001E-2</v>
      </c>
      <c r="H8" s="40" t="s">
        <v>151</v>
      </c>
      <c r="J8" s="7"/>
    </row>
    <row r="9" spans="1:10" x14ac:dyDescent="0.2">
      <c r="A9" s="43">
        <v>3</v>
      </c>
      <c r="B9" s="44" t="s">
        <v>94</v>
      </c>
      <c r="C9" s="44" t="s">
        <v>95</v>
      </c>
      <c r="D9" s="44" t="s">
        <v>33</v>
      </c>
      <c r="E9" s="45">
        <v>4013</v>
      </c>
      <c r="F9" s="46">
        <v>173.75688049999999</v>
      </c>
      <c r="G9" s="47">
        <v>4.5466649999999997E-2</v>
      </c>
      <c r="H9" s="40" t="s">
        <v>151</v>
      </c>
      <c r="J9" s="7"/>
    </row>
    <row r="10" spans="1:10" x14ac:dyDescent="0.2">
      <c r="A10" s="43">
        <v>4</v>
      </c>
      <c r="B10" s="44" t="s">
        <v>223</v>
      </c>
      <c r="C10" s="44" t="s">
        <v>224</v>
      </c>
      <c r="D10" s="44" t="s">
        <v>86</v>
      </c>
      <c r="E10" s="45">
        <v>1151</v>
      </c>
      <c r="F10" s="46">
        <v>158.72750400000001</v>
      </c>
      <c r="G10" s="47">
        <v>4.1533939999999998E-2</v>
      </c>
      <c r="H10" s="40" t="s">
        <v>151</v>
      </c>
      <c r="J10" s="7"/>
    </row>
    <row r="11" spans="1:10" x14ac:dyDescent="0.2">
      <c r="A11" s="43">
        <v>5</v>
      </c>
      <c r="B11" s="44" t="s">
        <v>145</v>
      </c>
      <c r="C11" s="44" t="s">
        <v>146</v>
      </c>
      <c r="D11" s="44" t="s">
        <v>100</v>
      </c>
      <c r="E11" s="45">
        <v>43192</v>
      </c>
      <c r="F11" s="46">
        <v>155.75035199999999</v>
      </c>
      <c r="G11" s="47">
        <v>4.075492E-2</v>
      </c>
      <c r="H11" s="40" t="s">
        <v>151</v>
      </c>
      <c r="J11" s="7"/>
    </row>
    <row r="12" spans="1:10" ht="15" x14ac:dyDescent="0.2">
      <c r="A12" s="43">
        <v>6</v>
      </c>
      <c r="B12" s="44" t="s">
        <v>407</v>
      </c>
      <c r="C12" s="44" t="s">
        <v>408</v>
      </c>
      <c r="D12" s="44" t="s">
        <v>100</v>
      </c>
      <c r="E12" s="45">
        <v>7210</v>
      </c>
      <c r="F12" s="46">
        <v>149.31909999999999</v>
      </c>
      <c r="G12" s="47">
        <v>3.9072059999999999E-2</v>
      </c>
      <c r="H12" s="40" t="s">
        <v>151</v>
      </c>
      <c r="J12" s="12"/>
    </row>
    <row r="13" spans="1:10" x14ac:dyDescent="0.2">
      <c r="A13" s="43">
        <v>7</v>
      </c>
      <c r="B13" s="44" t="s">
        <v>409</v>
      </c>
      <c r="C13" s="44" t="s">
        <v>410</v>
      </c>
      <c r="D13" s="44" t="s">
        <v>242</v>
      </c>
      <c r="E13" s="45">
        <v>8970</v>
      </c>
      <c r="F13" s="46">
        <v>148.17094499999999</v>
      </c>
      <c r="G13" s="47">
        <v>3.8771630000000001E-2</v>
      </c>
      <c r="H13" s="40" t="s">
        <v>151</v>
      </c>
    </row>
    <row r="14" spans="1:10" x14ac:dyDescent="0.2">
      <c r="A14" s="43">
        <v>8</v>
      </c>
      <c r="B14" s="44" t="s">
        <v>411</v>
      </c>
      <c r="C14" s="44" t="s">
        <v>412</v>
      </c>
      <c r="D14" s="44" t="s">
        <v>413</v>
      </c>
      <c r="E14" s="45">
        <v>9566</v>
      </c>
      <c r="F14" s="46">
        <v>144.456166</v>
      </c>
      <c r="G14" s="47">
        <v>3.7799590000000001E-2</v>
      </c>
      <c r="H14" s="40" t="s">
        <v>151</v>
      </c>
      <c r="J14" s="7"/>
    </row>
    <row r="15" spans="1:10" x14ac:dyDescent="0.2">
      <c r="A15" s="43">
        <v>9</v>
      </c>
      <c r="B15" s="44" t="s">
        <v>414</v>
      </c>
      <c r="C15" s="44" t="s">
        <v>415</v>
      </c>
      <c r="D15" s="44" t="s">
        <v>45</v>
      </c>
      <c r="E15" s="45">
        <v>149355</v>
      </c>
      <c r="F15" s="46">
        <v>120.6340335</v>
      </c>
      <c r="G15" s="47">
        <v>3.1566089999999998E-2</v>
      </c>
      <c r="H15" s="40" t="s">
        <v>151</v>
      </c>
      <c r="J15" s="7"/>
    </row>
    <row r="16" spans="1:10" x14ac:dyDescent="0.2">
      <c r="A16" s="43">
        <v>10</v>
      </c>
      <c r="B16" s="44" t="s">
        <v>416</v>
      </c>
      <c r="C16" s="44" t="s">
        <v>417</v>
      </c>
      <c r="D16" s="44" t="s">
        <v>45</v>
      </c>
      <c r="E16" s="45">
        <v>268914</v>
      </c>
      <c r="F16" s="46">
        <v>120.5810376</v>
      </c>
      <c r="G16" s="47">
        <v>3.1552219999999999E-2</v>
      </c>
      <c r="H16" s="40" t="s">
        <v>151</v>
      </c>
      <c r="J16" s="7"/>
    </row>
    <row r="17" spans="1:10" x14ac:dyDescent="0.2">
      <c r="A17" s="43">
        <v>11</v>
      </c>
      <c r="B17" s="44" t="s">
        <v>418</v>
      </c>
      <c r="C17" s="44" t="s">
        <v>419</v>
      </c>
      <c r="D17" s="44" t="s">
        <v>219</v>
      </c>
      <c r="E17" s="45">
        <v>14636</v>
      </c>
      <c r="F17" s="46">
        <v>120.190832</v>
      </c>
      <c r="G17" s="47">
        <v>3.1450119999999998E-2</v>
      </c>
      <c r="H17" s="40" t="s">
        <v>151</v>
      </c>
      <c r="J17" s="7" t="s">
        <v>1052</v>
      </c>
    </row>
    <row r="18" spans="1:10" x14ac:dyDescent="0.2">
      <c r="A18" s="43">
        <v>12</v>
      </c>
      <c r="B18" s="44" t="s">
        <v>420</v>
      </c>
      <c r="C18" s="44" t="s">
        <v>421</v>
      </c>
      <c r="D18" s="44" t="s">
        <v>33</v>
      </c>
      <c r="E18" s="45">
        <v>8019</v>
      </c>
      <c r="F18" s="46">
        <v>114.82005150000001</v>
      </c>
      <c r="G18" s="47">
        <v>3.004476E-2</v>
      </c>
      <c r="H18" s="40" t="s">
        <v>151</v>
      </c>
      <c r="J18" s="7"/>
    </row>
    <row r="19" spans="1:10" ht="25.5" x14ac:dyDescent="0.2">
      <c r="A19" s="43">
        <v>13</v>
      </c>
      <c r="B19" s="44" t="s">
        <v>318</v>
      </c>
      <c r="C19" s="44" t="s">
        <v>319</v>
      </c>
      <c r="D19" s="44" t="s">
        <v>247</v>
      </c>
      <c r="E19" s="45">
        <v>2940</v>
      </c>
      <c r="F19" s="46">
        <v>111.74793</v>
      </c>
      <c r="G19" s="47">
        <v>2.924088E-2</v>
      </c>
      <c r="H19" s="40" t="s">
        <v>151</v>
      </c>
      <c r="J19" s="7"/>
    </row>
    <row r="20" spans="1:10" x14ac:dyDescent="0.2">
      <c r="A20" s="43">
        <v>14</v>
      </c>
      <c r="B20" s="44" t="s">
        <v>422</v>
      </c>
      <c r="C20" s="44" t="s">
        <v>423</v>
      </c>
      <c r="D20" s="44" t="s">
        <v>222</v>
      </c>
      <c r="E20" s="45">
        <v>31964</v>
      </c>
      <c r="F20" s="46">
        <v>110.931062</v>
      </c>
      <c r="G20" s="47">
        <v>2.9027130000000002E-2</v>
      </c>
      <c r="H20" s="40" t="s">
        <v>151</v>
      </c>
      <c r="J20" s="7"/>
    </row>
    <row r="21" spans="1:10" x14ac:dyDescent="0.2">
      <c r="A21" s="43">
        <v>15</v>
      </c>
      <c r="B21" s="44" t="s">
        <v>424</v>
      </c>
      <c r="C21" s="44" t="s">
        <v>425</v>
      </c>
      <c r="D21" s="44" t="s">
        <v>45</v>
      </c>
      <c r="E21" s="45">
        <v>33313</v>
      </c>
      <c r="F21" s="46">
        <v>109.26664</v>
      </c>
      <c r="G21" s="47">
        <v>2.859161E-2</v>
      </c>
      <c r="H21" s="40" t="s">
        <v>151</v>
      </c>
      <c r="J21" s="7"/>
    </row>
    <row r="22" spans="1:10" ht="25.5" x14ac:dyDescent="0.2">
      <c r="A22" s="43">
        <v>16</v>
      </c>
      <c r="B22" s="44" t="s">
        <v>426</v>
      </c>
      <c r="C22" s="44" t="s">
        <v>427</v>
      </c>
      <c r="D22" s="44" t="s">
        <v>210</v>
      </c>
      <c r="E22" s="45">
        <v>5362</v>
      </c>
      <c r="F22" s="46">
        <v>103.197052</v>
      </c>
      <c r="G22" s="47">
        <v>2.7003389999999999E-2</v>
      </c>
      <c r="H22" s="40" t="s">
        <v>151</v>
      </c>
      <c r="J22" s="12"/>
    </row>
    <row r="23" spans="1:10" x14ac:dyDescent="0.2">
      <c r="A23" s="43">
        <v>17</v>
      </c>
      <c r="B23" s="44" t="s">
        <v>428</v>
      </c>
      <c r="C23" s="44" t="s">
        <v>429</v>
      </c>
      <c r="D23" s="44" t="s">
        <v>430</v>
      </c>
      <c r="E23" s="45">
        <v>6861</v>
      </c>
      <c r="F23" s="46">
        <v>102.9321525</v>
      </c>
      <c r="G23" s="47">
        <v>2.6934070000000001E-2</v>
      </c>
      <c r="H23" s="40" t="s">
        <v>151</v>
      </c>
      <c r="J23" s="7"/>
    </row>
    <row r="24" spans="1:10" ht="25.5" x14ac:dyDescent="0.2">
      <c r="A24" s="43">
        <v>18</v>
      </c>
      <c r="B24" s="44" t="s">
        <v>431</v>
      </c>
      <c r="C24" s="44" t="s">
        <v>432</v>
      </c>
      <c r="D24" s="44" t="s">
        <v>433</v>
      </c>
      <c r="E24" s="45">
        <v>22120</v>
      </c>
      <c r="F24" s="46">
        <v>94.386039999999994</v>
      </c>
      <c r="G24" s="47">
        <v>2.469783E-2</v>
      </c>
      <c r="H24" s="40" t="s">
        <v>151</v>
      </c>
      <c r="J24" s="7"/>
    </row>
    <row r="25" spans="1:10" x14ac:dyDescent="0.2">
      <c r="A25" s="43">
        <v>19</v>
      </c>
      <c r="B25" s="44" t="s">
        <v>434</v>
      </c>
      <c r="C25" s="44" t="s">
        <v>435</v>
      </c>
      <c r="D25" s="44" t="s">
        <v>86</v>
      </c>
      <c r="E25" s="45">
        <v>11094</v>
      </c>
      <c r="F25" s="46">
        <v>94.149231</v>
      </c>
      <c r="G25" s="47">
        <v>2.4635859999999999E-2</v>
      </c>
      <c r="H25" s="40" t="s">
        <v>151</v>
      </c>
      <c r="J25" s="7"/>
    </row>
    <row r="26" spans="1:10" ht="25.5" x14ac:dyDescent="0.2">
      <c r="A26" s="43">
        <v>20</v>
      </c>
      <c r="B26" s="44" t="s">
        <v>436</v>
      </c>
      <c r="C26" s="44" t="s">
        <v>437</v>
      </c>
      <c r="D26" s="44" t="s">
        <v>210</v>
      </c>
      <c r="E26" s="45">
        <v>1748</v>
      </c>
      <c r="F26" s="46">
        <v>91.776992000000007</v>
      </c>
      <c r="G26" s="47">
        <v>2.4015120000000001E-2</v>
      </c>
      <c r="H26" s="40" t="s">
        <v>151</v>
      </c>
      <c r="J26" s="7"/>
    </row>
    <row r="27" spans="1:10" x14ac:dyDescent="0.2">
      <c r="A27" s="43">
        <v>21</v>
      </c>
      <c r="B27" s="44" t="s">
        <v>59</v>
      </c>
      <c r="C27" s="44" t="s">
        <v>60</v>
      </c>
      <c r="D27" s="44" t="s">
        <v>61</v>
      </c>
      <c r="E27" s="45">
        <v>7207</v>
      </c>
      <c r="F27" s="46">
        <v>90.642438999999996</v>
      </c>
      <c r="G27" s="47">
        <v>2.3718240000000002E-2</v>
      </c>
      <c r="H27" s="40" t="s">
        <v>151</v>
      </c>
      <c r="J27" s="7"/>
    </row>
    <row r="28" spans="1:10" x14ac:dyDescent="0.2">
      <c r="A28" s="43">
        <v>22</v>
      </c>
      <c r="B28" s="44" t="s">
        <v>438</v>
      </c>
      <c r="C28" s="44" t="s">
        <v>439</v>
      </c>
      <c r="D28" s="44" t="s">
        <v>229</v>
      </c>
      <c r="E28" s="45">
        <v>3672</v>
      </c>
      <c r="F28" s="46">
        <v>79.541027999999997</v>
      </c>
      <c r="G28" s="47">
        <v>2.081336E-2</v>
      </c>
      <c r="H28" s="40" t="s">
        <v>151</v>
      </c>
      <c r="J28" s="7"/>
    </row>
    <row r="29" spans="1:10" x14ac:dyDescent="0.2">
      <c r="A29" s="43">
        <v>23</v>
      </c>
      <c r="B29" s="44" t="s">
        <v>440</v>
      </c>
      <c r="C29" s="44" t="s">
        <v>441</v>
      </c>
      <c r="D29" s="44" t="s">
        <v>219</v>
      </c>
      <c r="E29" s="45">
        <v>11397</v>
      </c>
      <c r="F29" s="46">
        <v>77.003830500000007</v>
      </c>
      <c r="G29" s="47">
        <v>2.0149449999999999E-2</v>
      </c>
      <c r="H29" s="40" t="s">
        <v>151</v>
      </c>
      <c r="J29" s="7"/>
    </row>
    <row r="30" spans="1:10" ht="25.5" x14ac:dyDescent="0.2">
      <c r="A30" s="43">
        <v>24</v>
      </c>
      <c r="B30" s="44" t="s">
        <v>82</v>
      </c>
      <c r="C30" s="44" t="s">
        <v>83</v>
      </c>
      <c r="D30" s="44" t="s">
        <v>25</v>
      </c>
      <c r="E30" s="45">
        <v>1736</v>
      </c>
      <c r="F30" s="46">
        <v>76.678252000000001</v>
      </c>
      <c r="G30" s="47">
        <v>2.006426E-2</v>
      </c>
      <c r="H30" s="40" t="s">
        <v>151</v>
      </c>
      <c r="J30" s="7"/>
    </row>
    <row r="31" spans="1:10" ht="25.5" x14ac:dyDescent="0.2">
      <c r="A31" s="43">
        <v>25</v>
      </c>
      <c r="B31" s="44" t="s">
        <v>291</v>
      </c>
      <c r="C31" s="44" t="s">
        <v>292</v>
      </c>
      <c r="D31" s="44" t="s">
        <v>210</v>
      </c>
      <c r="E31" s="45">
        <v>16491</v>
      </c>
      <c r="F31" s="46">
        <v>76.501749000000004</v>
      </c>
      <c r="G31" s="47">
        <v>2.0018080000000001E-2</v>
      </c>
      <c r="H31" s="40" t="s">
        <v>151</v>
      </c>
      <c r="J31" s="7"/>
    </row>
    <row r="32" spans="1:10" x14ac:dyDescent="0.2">
      <c r="A32" s="43">
        <v>26</v>
      </c>
      <c r="B32" s="44" t="s">
        <v>442</v>
      </c>
      <c r="C32" s="44" t="s">
        <v>443</v>
      </c>
      <c r="D32" s="44" t="s">
        <v>33</v>
      </c>
      <c r="E32" s="45">
        <v>12724</v>
      </c>
      <c r="F32" s="46">
        <v>76.483964</v>
      </c>
      <c r="G32" s="47">
        <v>2.0013420000000001E-2</v>
      </c>
      <c r="H32" s="40" t="s">
        <v>151</v>
      </c>
      <c r="J32" s="7"/>
    </row>
    <row r="33" spans="1:10" x14ac:dyDescent="0.2">
      <c r="A33" s="43">
        <v>27</v>
      </c>
      <c r="B33" s="44" t="s">
        <v>444</v>
      </c>
      <c r="C33" s="44" t="s">
        <v>445</v>
      </c>
      <c r="D33" s="44" t="s">
        <v>242</v>
      </c>
      <c r="E33" s="45">
        <v>8151</v>
      </c>
      <c r="F33" s="46">
        <v>67.547336999999999</v>
      </c>
      <c r="G33" s="47">
        <v>1.7674990000000002E-2</v>
      </c>
      <c r="H33" s="40" t="s">
        <v>151</v>
      </c>
      <c r="J33" s="7"/>
    </row>
    <row r="34" spans="1:10" x14ac:dyDescent="0.2">
      <c r="A34" s="43">
        <v>28</v>
      </c>
      <c r="B34" s="44" t="s">
        <v>446</v>
      </c>
      <c r="C34" s="44" t="s">
        <v>447</v>
      </c>
      <c r="D34" s="44" t="s">
        <v>86</v>
      </c>
      <c r="E34" s="45">
        <v>4638</v>
      </c>
      <c r="F34" s="46">
        <v>61.576407000000003</v>
      </c>
      <c r="G34" s="47">
        <v>1.611259E-2</v>
      </c>
      <c r="H34" s="40" t="s">
        <v>151</v>
      </c>
      <c r="J34" s="7"/>
    </row>
    <row r="35" spans="1:10" x14ac:dyDescent="0.2">
      <c r="A35" s="43">
        <v>29</v>
      </c>
      <c r="B35" s="44" t="s">
        <v>96</v>
      </c>
      <c r="C35" s="44" t="s">
        <v>97</v>
      </c>
      <c r="D35" s="44" t="s">
        <v>33</v>
      </c>
      <c r="E35" s="45">
        <v>2356</v>
      </c>
      <c r="F35" s="46">
        <v>60.986238</v>
      </c>
      <c r="G35" s="47">
        <v>1.5958159999999999E-2</v>
      </c>
      <c r="H35" s="40" t="s">
        <v>151</v>
      </c>
      <c r="J35" s="7"/>
    </row>
    <row r="36" spans="1:10" x14ac:dyDescent="0.2">
      <c r="A36" s="43">
        <v>30</v>
      </c>
      <c r="B36" s="44" t="s">
        <v>448</v>
      </c>
      <c r="C36" s="44" t="s">
        <v>449</v>
      </c>
      <c r="D36" s="44" t="s">
        <v>100</v>
      </c>
      <c r="E36" s="45">
        <v>8402</v>
      </c>
      <c r="F36" s="46">
        <v>59.465155000000003</v>
      </c>
      <c r="G36" s="47">
        <v>1.556014E-2</v>
      </c>
      <c r="H36" s="40" t="s">
        <v>151</v>
      </c>
      <c r="J36" s="7"/>
    </row>
    <row r="37" spans="1:10" x14ac:dyDescent="0.2">
      <c r="A37" s="43">
        <v>31</v>
      </c>
      <c r="B37" s="44" t="s">
        <v>264</v>
      </c>
      <c r="C37" s="44" t="s">
        <v>265</v>
      </c>
      <c r="D37" s="44" t="s">
        <v>86</v>
      </c>
      <c r="E37" s="45">
        <v>3675</v>
      </c>
      <c r="F37" s="46">
        <v>55.7736375</v>
      </c>
      <c r="G37" s="47">
        <v>1.459419E-2</v>
      </c>
      <c r="H37" s="40" t="s">
        <v>151</v>
      </c>
      <c r="J37" s="7"/>
    </row>
    <row r="38" spans="1:10" x14ac:dyDescent="0.2">
      <c r="A38" s="43">
        <v>32</v>
      </c>
      <c r="B38" s="44" t="s">
        <v>450</v>
      </c>
      <c r="C38" s="44" t="s">
        <v>451</v>
      </c>
      <c r="D38" s="44" t="s">
        <v>100</v>
      </c>
      <c r="E38" s="45">
        <v>6126</v>
      </c>
      <c r="F38" s="46">
        <v>53.688263999999997</v>
      </c>
      <c r="G38" s="47">
        <v>1.404851E-2</v>
      </c>
      <c r="H38" s="40" t="s">
        <v>151</v>
      </c>
      <c r="J38" s="7"/>
    </row>
    <row r="39" spans="1:10" x14ac:dyDescent="0.2">
      <c r="A39" s="43">
        <v>33</v>
      </c>
      <c r="B39" s="44" t="s">
        <v>382</v>
      </c>
      <c r="C39" s="44" t="s">
        <v>383</v>
      </c>
      <c r="D39" s="44" t="s">
        <v>136</v>
      </c>
      <c r="E39" s="45">
        <v>27808</v>
      </c>
      <c r="F39" s="46">
        <v>45.9749664</v>
      </c>
      <c r="G39" s="47">
        <v>1.203019E-2</v>
      </c>
      <c r="H39" s="40" t="s">
        <v>151</v>
      </c>
      <c r="J39" s="7"/>
    </row>
    <row r="40" spans="1:10" x14ac:dyDescent="0.2">
      <c r="A40" s="43">
        <v>34</v>
      </c>
      <c r="B40" s="44" t="s">
        <v>452</v>
      </c>
      <c r="C40" s="44" t="s">
        <v>453</v>
      </c>
      <c r="D40" s="44" t="s">
        <v>86</v>
      </c>
      <c r="E40" s="45">
        <v>4394</v>
      </c>
      <c r="F40" s="46">
        <v>45.701993999999999</v>
      </c>
      <c r="G40" s="47">
        <v>1.1958760000000001E-2</v>
      </c>
      <c r="H40" s="40" t="s">
        <v>151</v>
      </c>
      <c r="J40" s="7"/>
    </row>
    <row r="41" spans="1:10" x14ac:dyDescent="0.2">
      <c r="A41" s="43">
        <v>35</v>
      </c>
      <c r="B41" s="44" t="s">
        <v>454</v>
      </c>
      <c r="C41" s="44" t="s">
        <v>455</v>
      </c>
      <c r="D41" s="44" t="s">
        <v>76</v>
      </c>
      <c r="E41" s="45">
        <v>4036</v>
      </c>
      <c r="F41" s="46">
        <v>40.955309999999997</v>
      </c>
      <c r="G41" s="47">
        <v>1.0716699999999999E-2</v>
      </c>
      <c r="H41" s="40" t="s">
        <v>151</v>
      </c>
      <c r="J41" s="7"/>
    </row>
    <row r="42" spans="1:10" x14ac:dyDescent="0.2">
      <c r="A42" s="43">
        <v>36</v>
      </c>
      <c r="B42" s="44" t="s">
        <v>456</v>
      </c>
      <c r="C42" s="44" t="s">
        <v>457</v>
      </c>
      <c r="D42" s="44" t="s">
        <v>33</v>
      </c>
      <c r="E42" s="45">
        <v>2283</v>
      </c>
      <c r="F42" s="46">
        <v>39.240203999999999</v>
      </c>
      <c r="G42" s="47">
        <v>1.026791E-2</v>
      </c>
      <c r="H42" s="40" t="s">
        <v>151</v>
      </c>
      <c r="J42" s="7"/>
    </row>
    <row r="43" spans="1:10" x14ac:dyDescent="0.2">
      <c r="A43" s="43">
        <v>37</v>
      </c>
      <c r="B43" s="44" t="s">
        <v>458</v>
      </c>
      <c r="C43" s="44" t="s">
        <v>459</v>
      </c>
      <c r="D43" s="44" t="s">
        <v>61</v>
      </c>
      <c r="E43" s="45">
        <v>1089</v>
      </c>
      <c r="F43" s="46">
        <v>39.173507999999998</v>
      </c>
      <c r="G43" s="47">
        <v>1.0250459999999999E-2</v>
      </c>
      <c r="H43" s="40" t="s">
        <v>151</v>
      </c>
      <c r="J43" s="7"/>
    </row>
    <row r="44" spans="1:10" x14ac:dyDescent="0.2">
      <c r="A44" s="43">
        <v>38</v>
      </c>
      <c r="B44" s="44" t="s">
        <v>460</v>
      </c>
      <c r="C44" s="44" t="s">
        <v>461</v>
      </c>
      <c r="D44" s="44" t="s">
        <v>89</v>
      </c>
      <c r="E44" s="45">
        <v>4214</v>
      </c>
      <c r="F44" s="46">
        <v>25.174436</v>
      </c>
      <c r="G44" s="47">
        <v>6.5873499999999996E-3</v>
      </c>
      <c r="H44" s="40" t="s">
        <v>151</v>
      </c>
      <c r="J44" s="7"/>
    </row>
    <row r="45" spans="1:10" x14ac:dyDescent="0.2">
      <c r="A45" s="43">
        <v>39</v>
      </c>
      <c r="B45" s="44" t="s">
        <v>462</v>
      </c>
      <c r="C45" s="44" t="s">
        <v>463</v>
      </c>
      <c r="D45" s="44" t="s">
        <v>100</v>
      </c>
      <c r="E45" s="45">
        <v>5400</v>
      </c>
      <c r="F45" s="46">
        <v>24.375599999999999</v>
      </c>
      <c r="G45" s="47">
        <v>6.3783199999999998E-3</v>
      </c>
      <c r="H45" s="40" t="s">
        <v>151</v>
      </c>
      <c r="J45" s="7"/>
    </row>
    <row r="46" spans="1:10" x14ac:dyDescent="0.2">
      <c r="A46" s="41"/>
      <c r="B46" s="41"/>
      <c r="C46" s="42" t="s">
        <v>150</v>
      </c>
      <c r="D46" s="41"/>
      <c r="E46" s="41" t="s">
        <v>151</v>
      </c>
      <c r="F46" s="48">
        <v>3686.2988719999998</v>
      </c>
      <c r="G46" s="49">
        <v>0.96458721999999997</v>
      </c>
      <c r="H46" s="40" t="s">
        <v>151</v>
      </c>
      <c r="J46" s="7"/>
    </row>
    <row r="47" spans="1:10" x14ac:dyDescent="0.2">
      <c r="A47" s="41"/>
      <c r="B47" s="41"/>
      <c r="C47" s="50"/>
      <c r="D47" s="41"/>
      <c r="E47" s="41"/>
      <c r="F47" s="51"/>
      <c r="G47" s="51"/>
      <c r="H47" s="40" t="s">
        <v>151</v>
      </c>
      <c r="J47" s="7"/>
    </row>
    <row r="48" spans="1:10" x14ac:dyDescent="0.2">
      <c r="A48" s="41"/>
      <c r="B48" s="41"/>
      <c r="C48" s="42" t="s">
        <v>152</v>
      </c>
      <c r="D48" s="41"/>
      <c r="E48" s="41"/>
      <c r="F48" s="41"/>
      <c r="G48" s="41"/>
      <c r="H48" s="40" t="s">
        <v>151</v>
      </c>
      <c r="J48" s="7"/>
    </row>
    <row r="49" spans="1:10" x14ac:dyDescent="0.2">
      <c r="A49" s="41"/>
      <c r="B49" s="41"/>
      <c r="C49" s="42" t="s">
        <v>150</v>
      </c>
      <c r="D49" s="41"/>
      <c r="E49" s="41" t="s">
        <v>151</v>
      </c>
      <c r="F49" s="52" t="s">
        <v>153</v>
      </c>
      <c r="G49" s="49">
        <v>0</v>
      </c>
      <c r="H49" s="40" t="s">
        <v>151</v>
      </c>
      <c r="J49" s="7"/>
    </row>
    <row r="50" spans="1:10" x14ac:dyDescent="0.2">
      <c r="A50" s="41"/>
      <c r="B50" s="41"/>
      <c r="C50" s="50"/>
      <c r="D50" s="41"/>
      <c r="E50" s="41"/>
      <c r="F50" s="51"/>
      <c r="G50" s="51"/>
      <c r="H50" s="40" t="s">
        <v>151</v>
      </c>
      <c r="J50" s="7"/>
    </row>
    <row r="51" spans="1:10" x14ac:dyDescent="0.2">
      <c r="A51" s="41"/>
      <c r="B51" s="41"/>
      <c r="C51" s="42" t="s">
        <v>154</v>
      </c>
      <c r="D51" s="41"/>
      <c r="E51" s="41"/>
      <c r="F51" s="41"/>
      <c r="G51" s="41"/>
      <c r="H51" s="40" t="s">
        <v>151</v>
      </c>
      <c r="J51" s="7"/>
    </row>
    <row r="52" spans="1:10" x14ac:dyDescent="0.2">
      <c r="A52" s="41"/>
      <c r="B52" s="41"/>
      <c r="C52" s="42" t="s">
        <v>150</v>
      </c>
      <c r="D52" s="41"/>
      <c r="E52" s="41" t="s">
        <v>151</v>
      </c>
      <c r="F52" s="52" t="s">
        <v>153</v>
      </c>
      <c r="G52" s="49">
        <v>0</v>
      </c>
      <c r="H52" s="40" t="s">
        <v>151</v>
      </c>
      <c r="J52" s="7"/>
    </row>
    <row r="53" spans="1:10" x14ac:dyDescent="0.2">
      <c r="A53" s="41"/>
      <c r="B53" s="41"/>
      <c r="C53" s="50"/>
      <c r="D53" s="41"/>
      <c r="E53" s="41"/>
      <c r="F53" s="51"/>
      <c r="G53" s="51"/>
      <c r="H53" s="40" t="s">
        <v>151</v>
      </c>
      <c r="J53" s="7"/>
    </row>
    <row r="54" spans="1:10" x14ac:dyDescent="0.2">
      <c r="A54" s="41"/>
      <c r="B54" s="41"/>
      <c r="C54" s="42" t="s">
        <v>155</v>
      </c>
      <c r="D54" s="41"/>
      <c r="E54" s="41"/>
      <c r="F54" s="41"/>
      <c r="G54" s="41"/>
      <c r="H54" s="40" t="s">
        <v>151</v>
      </c>
      <c r="J54" s="7"/>
    </row>
    <row r="55" spans="1:10" ht="25.5" x14ac:dyDescent="0.2">
      <c r="A55" s="43">
        <v>1</v>
      </c>
      <c r="B55" s="44" t="s">
        <v>338</v>
      </c>
      <c r="C55" s="83" t="s">
        <v>946</v>
      </c>
      <c r="D55" s="44" t="s">
        <v>33</v>
      </c>
      <c r="E55" s="45">
        <v>133</v>
      </c>
      <c r="F55" s="46">
        <v>1.3305320000000001E-2</v>
      </c>
      <c r="G55" s="47" t="s">
        <v>149</v>
      </c>
      <c r="H55" s="40" t="s">
        <v>151</v>
      </c>
      <c r="J55" s="7"/>
    </row>
    <row r="56" spans="1:10" x14ac:dyDescent="0.2">
      <c r="A56" s="41"/>
      <c r="B56" s="41"/>
      <c r="C56" s="42" t="s">
        <v>150</v>
      </c>
      <c r="D56" s="41"/>
      <c r="E56" s="41" t="s">
        <v>151</v>
      </c>
      <c r="F56" s="48">
        <v>1.3305320000000001E-2</v>
      </c>
      <c r="G56" s="49">
        <v>3.4800000000000001E-6</v>
      </c>
      <c r="H56" s="40" t="s">
        <v>151</v>
      </c>
      <c r="J56" s="7"/>
    </row>
    <row r="57" spans="1:10" x14ac:dyDescent="0.2">
      <c r="A57" s="41"/>
      <c r="B57" s="41"/>
      <c r="C57" s="50"/>
      <c r="D57" s="41"/>
      <c r="E57" s="41"/>
      <c r="F57" s="51"/>
      <c r="G57" s="51"/>
      <c r="H57" s="40" t="s">
        <v>151</v>
      </c>
      <c r="J57" s="7"/>
    </row>
    <row r="58" spans="1:10" x14ac:dyDescent="0.2">
      <c r="A58" s="41"/>
      <c r="B58" s="41"/>
      <c r="C58" s="42" t="s">
        <v>156</v>
      </c>
      <c r="D58" s="41"/>
      <c r="E58" s="41"/>
      <c r="F58" s="51"/>
      <c r="G58" s="51"/>
      <c r="H58" s="40" t="s">
        <v>151</v>
      </c>
      <c r="J58" s="7"/>
    </row>
    <row r="59" spans="1:10" x14ac:dyDescent="0.2">
      <c r="A59" s="41"/>
      <c r="B59" s="41"/>
      <c r="C59" s="42" t="s">
        <v>150</v>
      </c>
      <c r="D59" s="41"/>
      <c r="E59" s="41" t="s">
        <v>151</v>
      </c>
      <c r="F59" s="52" t="s">
        <v>153</v>
      </c>
      <c r="G59" s="49">
        <v>0</v>
      </c>
      <c r="H59" s="40" t="s">
        <v>151</v>
      </c>
      <c r="J59" s="7"/>
    </row>
    <row r="60" spans="1:10" x14ac:dyDescent="0.2">
      <c r="A60" s="41"/>
      <c r="B60" s="41"/>
      <c r="C60" s="50"/>
      <c r="D60" s="41"/>
      <c r="E60" s="41"/>
      <c r="F60" s="51"/>
      <c r="G60" s="51"/>
      <c r="H60" s="40" t="s">
        <v>151</v>
      </c>
      <c r="J60" s="7"/>
    </row>
    <row r="61" spans="1:10" x14ac:dyDescent="0.2">
      <c r="A61" s="41"/>
      <c r="B61" s="41"/>
      <c r="C61" s="42" t="s">
        <v>157</v>
      </c>
      <c r="D61" s="41"/>
      <c r="E61" s="41"/>
      <c r="F61" s="51"/>
      <c r="G61" s="51"/>
      <c r="H61" s="40" t="s">
        <v>151</v>
      </c>
      <c r="J61" s="7"/>
    </row>
    <row r="62" spans="1:10" x14ac:dyDescent="0.2">
      <c r="A62" s="41"/>
      <c r="B62" s="41"/>
      <c r="C62" s="42" t="s">
        <v>150</v>
      </c>
      <c r="D62" s="41"/>
      <c r="E62" s="41" t="s">
        <v>151</v>
      </c>
      <c r="F62" s="52" t="s">
        <v>153</v>
      </c>
      <c r="G62" s="49">
        <v>0</v>
      </c>
      <c r="H62" s="40" t="s">
        <v>151</v>
      </c>
      <c r="J62" s="7"/>
    </row>
    <row r="63" spans="1:10" x14ac:dyDescent="0.2">
      <c r="A63" s="41"/>
      <c r="B63" s="41"/>
      <c r="C63" s="50"/>
      <c r="D63" s="41"/>
      <c r="E63" s="41"/>
      <c r="F63" s="51"/>
      <c r="G63" s="51"/>
      <c r="H63" s="40" t="s">
        <v>151</v>
      </c>
      <c r="J63" s="7"/>
    </row>
    <row r="64" spans="1:10" x14ac:dyDescent="0.2">
      <c r="A64" s="41"/>
      <c r="B64" s="41"/>
      <c r="C64" s="42" t="s">
        <v>158</v>
      </c>
      <c r="D64" s="41"/>
      <c r="E64" s="41"/>
      <c r="F64" s="48">
        <v>3686.31217732</v>
      </c>
      <c r="G64" s="49">
        <v>0.96459070000000002</v>
      </c>
      <c r="H64" s="40" t="s">
        <v>151</v>
      </c>
      <c r="J64" s="7"/>
    </row>
    <row r="65" spans="1:10" x14ac:dyDescent="0.2">
      <c r="A65" s="41"/>
      <c r="B65" s="41"/>
      <c r="C65" s="50"/>
      <c r="D65" s="41"/>
      <c r="E65" s="41"/>
      <c r="F65" s="51"/>
      <c r="G65" s="51"/>
      <c r="H65" s="40" t="s">
        <v>151</v>
      </c>
      <c r="J65" s="7"/>
    </row>
    <row r="66" spans="1:10" x14ac:dyDescent="0.2">
      <c r="A66" s="41"/>
      <c r="B66" s="41"/>
      <c r="C66" s="42" t="s">
        <v>159</v>
      </c>
      <c r="D66" s="41"/>
      <c r="E66" s="41"/>
      <c r="F66" s="51"/>
      <c r="G66" s="51"/>
      <c r="H66" s="40" t="s">
        <v>151</v>
      </c>
      <c r="J66" s="7"/>
    </row>
    <row r="67" spans="1:10" x14ac:dyDescent="0.2">
      <c r="A67" s="41"/>
      <c r="B67" s="41"/>
      <c r="C67" s="42" t="s">
        <v>10</v>
      </c>
      <c r="D67" s="41"/>
      <c r="E67" s="41"/>
      <c r="F67" s="51"/>
      <c r="G67" s="51"/>
      <c r="H67" s="40" t="s">
        <v>151</v>
      </c>
      <c r="J67" s="7"/>
    </row>
    <row r="68" spans="1:10" x14ac:dyDescent="0.2">
      <c r="A68" s="41"/>
      <c r="B68" s="41"/>
      <c r="C68" s="42" t="s">
        <v>150</v>
      </c>
      <c r="D68" s="41"/>
      <c r="E68" s="41" t="s">
        <v>151</v>
      </c>
      <c r="F68" s="52" t="s">
        <v>153</v>
      </c>
      <c r="G68" s="49">
        <v>0</v>
      </c>
      <c r="H68" s="40" t="s">
        <v>151</v>
      </c>
      <c r="J68" s="7"/>
    </row>
    <row r="69" spans="1:10" x14ac:dyDescent="0.2">
      <c r="A69" s="41"/>
      <c r="B69" s="41"/>
      <c r="C69" s="50"/>
      <c r="D69" s="41"/>
      <c r="E69" s="41"/>
      <c r="F69" s="51"/>
      <c r="G69" s="51"/>
      <c r="H69" s="40" t="s">
        <v>151</v>
      </c>
      <c r="J69" s="7"/>
    </row>
    <row r="70" spans="1:10" x14ac:dyDescent="0.2">
      <c r="A70" s="41"/>
      <c r="B70" s="41"/>
      <c r="C70" s="42" t="s">
        <v>160</v>
      </c>
      <c r="D70" s="41"/>
      <c r="E70" s="41"/>
      <c r="F70" s="41"/>
      <c r="G70" s="41"/>
      <c r="H70" s="40" t="s">
        <v>151</v>
      </c>
      <c r="J70" s="7"/>
    </row>
    <row r="71" spans="1:10" x14ac:dyDescent="0.2">
      <c r="A71" s="41"/>
      <c r="B71" s="41"/>
      <c r="C71" s="42" t="s">
        <v>150</v>
      </c>
      <c r="D71" s="41"/>
      <c r="E71" s="41" t="s">
        <v>151</v>
      </c>
      <c r="F71" s="52" t="s">
        <v>153</v>
      </c>
      <c r="G71" s="49">
        <v>0</v>
      </c>
      <c r="H71" s="40" t="s">
        <v>151</v>
      </c>
      <c r="J71" s="7"/>
    </row>
    <row r="72" spans="1:10" x14ac:dyDescent="0.2">
      <c r="A72" s="41"/>
      <c r="B72" s="41"/>
      <c r="C72" s="50"/>
      <c r="D72" s="41"/>
      <c r="E72" s="41"/>
      <c r="F72" s="51"/>
      <c r="G72" s="51"/>
      <c r="H72" s="40" t="s">
        <v>151</v>
      </c>
      <c r="J72" s="7"/>
    </row>
    <row r="73" spans="1:10" x14ac:dyDescent="0.2">
      <c r="A73" s="41"/>
      <c r="B73" s="41"/>
      <c r="C73" s="42" t="s">
        <v>161</v>
      </c>
      <c r="D73" s="41"/>
      <c r="E73" s="41"/>
      <c r="F73" s="41"/>
      <c r="G73" s="41"/>
      <c r="H73" s="40" t="s">
        <v>151</v>
      </c>
      <c r="J73" s="7"/>
    </row>
    <row r="74" spans="1:10" x14ac:dyDescent="0.2">
      <c r="A74" s="41"/>
      <c r="B74" s="41"/>
      <c r="C74" s="42" t="s">
        <v>150</v>
      </c>
      <c r="D74" s="41"/>
      <c r="E74" s="41" t="s">
        <v>151</v>
      </c>
      <c r="F74" s="52" t="s">
        <v>153</v>
      </c>
      <c r="G74" s="49">
        <v>0</v>
      </c>
      <c r="H74" s="40" t="s">
        <v>151</v>
      </c>
      <c r="J74" s="7"/>
    </row>
    <row r="75" spans="1:10" x14ac:dyDescent="0.2">
      <c r="A75" s="41"/>
      <c r="B75" s="41"/>
      <c r="C75" s="50"/>
      <c r="D75" s="41"/>
      <c r="E75" s="41"/>
      <c r="F75" s="51"/>
      <c r="G75" s="51"/>
      <c r="H75" s="40" t="s">
        <v>151</v>
      </c>
      <c r="J75" s="7"/>
    </row>
    <row r="76" spans="1:10" x14ac:dyDescent="0.2">
      <c r="A76" s="41"/>
      <c r="B76" s="41"/>
      <c r="C76" s="42" t="s">
        <v>162</v>
      </c>
      <c r="D76" s="41"/>
      <c r="E76" s="41"/>
      <c r="F76" s="51"/>
      <c r="G76" s="51"/>
      <c r="H76" s="40" t="s">
        <v>151</v>
      </c>
      <c r="J76" s="7"/>
    </row>
    <row r="77" spans="1:10" x14ac:dyDescent="0.2">
      <c r="A77" s="41"/>
      <c r="B77" s="41"/>
      <c r="C77" s="42" t="s">
        <v>150</v>
      </c>
      <c r="D77" s="41"/>
      <c r="E77" s="41" t="s">
        <v>151</v>
      </c>
      <c r="F77" s="52" t="s">
        <v>153</v>
      </c>
      <c r="G77" s="49">
        <v>0</v>
      </c>
      <c r="H77" s="40" t="s">
        <v>151</v>
      </c>
      <c r="J77" s="7"/>
    </row>
    <row r="78" spans="1:10" x14ac:dyDescent="0.2">
      <c r="A78" s="41"/>
      <c r="B78" s="41"/>
      <c r="C78" s="50"/>
      <c r="D78" s="41"/>
      <c r="E78" s="41"/>
      <c r="F78" s="51"/>
      <c r="G78" s="51"/>
      <c r="H78" s="40" t="s">
        <v>151</v>
      </c>
      <c r="J78" s="7"/>
    </row>
    <row r="79" spans="1:10" x14ac:dyDescent="0.2">
      <c r="A79" s="41"/>
      <c r="B79" s="41"/>
      <c r="C79" s="42" t="s">
        <v>163</v>
      </c>
      <c r="D79" s="41"/>
      <c r="E79" s="41"/>
      <c r="F79" s="48">
        <v>0</v>
      </c>
      <c r="G79" s="49">
        <v>0</v>
      </c>
      <c r="H79" s="40" t="s">
        <v>151</v>
      </c>
      <c r="J79" s="7"/>
    </row>
    <row r="80" spans="1:10" x14ac:dyDescent="0.2">
      <c r="A80" s="41"/>
      <c r="B80" s="41"/>
      <c r="C80" s="50"/>
      <c r="D80" s="41"/>
      <c r="E80" s="41"/>
      <c r="F80" s="51"/>
      <c r="G80" s="51"/>
      <c r="H80" s="40" t="s">
        <v>151</v>
      </c>
      <c r="J80" s="7"/>
    </row>
    <row r="81" spans="1:10" x14ac:dyDescent="0.2">
      <c r="A81" s="41"/>
      <c r="B81" s="41"/>
      <c r="C81" s="42" t="s">
        <v>164</v>
      </c>
      <c r="D81" s="41"/>
      <c r="E81" s="41"/>
      <c r="F81" s="51"/>
      <c r="G81" s="51"/>
      <c r="H81" s="40" t="s">
        <v>151</v>
      </c>
      <c r="J81" s="7"/>
    </row>
    <row r="82" spans="1:10" x14ac:dyDescent="0.2">
      <c r="A82" s="41"/>
      <c r="B82" s="41"/>
      <c r="C82" s="42" t="s">
        <v>165</v>
      </c>
      <c r="D82" s="41"/>
      <c r="E82" s="41"/>
      <c r="F82" s="51"/>
      <c r="G82" s="51"/>
      <c r="H82" s="40" t="s">
        <v>151</v>
      </c>
      <c r="J82" s="7"/>
    </row>
    <row r="83" spans="1:10" x14ac:dyDescent="0.2">
      <c r="A83" s="41"/>
      <c r="B83" s="41"/>
      <c r="C83" s="42" t="s">
        <v>150</v>
      </c>
      <c r="D83" s="41"/>
      <c r="E83" s="41" t="s">
        <v>151</v>
      </c>
      <c r="F83" s="52" t="s">
        <v>153</v>
      </c>
      <c r="G83" s="49">
        <v>0</v>
      </c>
      <c r="H83" s="40" t="s">
        <v>151</v>
      </c>
      <c r="J83" s="7"/>
    </row>
    <row r="84" spans="1:10" x14ac:dyDescent="0.2">
      <c r="A84" s="41"/>
      <c r="B84" s="41"/>
      <c r="C84" s="50"/>
      <c r="D84" s="41"/>
      <c r="E84" s="41"/>
      <c r="F84" s="51"/>
      <c r="G84" s="51"/>
      <c r="H84" s="40" t="s">
        <v>151</v>
      </c>
      <c r="J84" s="7"/>
    </row>
    <row r="85" spans="1:10" x14ac:dyDescent="0.2">
      <c r="A85" s="41"/>
      <c r="B85" s="41"/>
      <c r="C85" s="42" t="s">
        <v>166</v>
      </c>
      <c r="D85" s="41"/>
      <c r="E85" s="41"/>
      <c r="F85" s="51"/>
      <c r="G85" s="51"/>
      <c r="H85" s="40" t="s">
        <v>151</v>
      </c>
      <c r="J85" s="7"/>
    </row>
    <row r="86" spans="1:10" x14ac:dyDescent="0.2">
      <c r="A86" s="41"/>
      <c r="B86" s="41"/>
      <c r="C86" s="42" t="s">
        <v>150</v>
      </c>
      <c r="D86" s="41"/>
      <c r="E86" s="41" t="s">
        <v>151</v>
      </c>
      <c r="F86" s="52" t="s">
        <v>153</v>
      </c>
      <c r="G86" s="49">
        <v>0</v>
      </c>
      <c r="H86" s="40" t="s">
        <v>151</v>
      </c>
      <c r="J86" s="7"/>
    </row>
    <row r="87" spans="1:10" x14ac:dyDescent="0.2">
      <c r="A87" s="41"/>
      <c r="B87" s="41"/>
      <c r="C87" s="50"/>
      <c r="D87" s="41"/>
      <c r="E87" s="41"/>
      <c r="F87" s="51"/>
      <c r="G87" s="51"/>
      <c r="H87" s="40" t="s">
        <v>151</v>
      </c>
      <c r="J87" s="7"/>
    </row>
    <row r="88" spans="1:10" x14ac:dyDescent="0.2">
      <c r="A88" s="41"/>
      <c r="B88" s="41"/>
      <c r="C88" s="42" t="s">
        <v>167</v>
      </c>
      <c r="D88" s="41"/>
      <c r="E88" s="41"/>
      <c r="F88" s="51"/>
      <c r="G88" s="51"/>
      <c r="H88" s="40" t="s">
        <v>151</v>
      </c>
      <c r="J88" s="7"/>
    </row>
    <row r="89" spans="1:10" x14ac:dyDescent="0.2">
      <c r="A89" s="41"/>
      <c r="B89" s="41"/>
      <c r="C89" s="42" t="s">
        <v>150</v>
      </c>
      <c r="D89" s="41"/>
      <c r="E89" s="41" t="s">
        <v>151</v>
      </c>
      <c r="F89" s="52" t="s">
        <v>153</v>
      </c>
      <c r="G89" s="49">
        <v>0</v>
      </c>
      <c r="H89" s="40" t="s">
        <v>151</v>
      </c>
      <c r="J89" s="7"/>
    </row>
    <row r="90" spans="1:10" x14ac:dyDescent="0.2">
      <c r="A90" s="41"/>
      <c r="B90" s="41"/>
      <c r="C90" s="50"/>
      <c r="D90" s="41"/>
      <c r="E90" s="41"/>
      <c r="F90" s="51"/>
      <c r="G90" s="51"/>
      <c r="H90" s="40" t="s">
        <v>151</v>
      </c>
      <c r="J90" s="7"/>
    </row>
    <row r="91" spans="1:10" x14ac:dyDescent="0.2">
      <c r="A91" s="41"/>
      <c r="B91" s="41"/>
      <c r="C91" s="42" t="s">
        <v>168</v>
      </c>
      <c r="D91" s="41"/>
      <c r="E91" s="41"/>
      <c r="F91" s="51"/>
      <c r="G91" s="51"/>
      <c r="H91" s="40" t="s">
        <v>151</v>
      </c>
      <c r="J91" s="7"/>
    </row>
    <row r="92" spans="1:10" x14ac:dyDescent="0.2">
      <c r="A92" s="43">
        <v>1</v>
      </c>
      <c r="B92" s="44"/>
      <c r="C92" s="44" t="s">
        <v>169</v>
      </c>
      <c r="D92" s="44"/>
      <c r="E92" s="54"/>
      <c r="F92" s="46">
        <v>138.86878400000001</v>
      </c>
      <c r="G92" s="47">
        <v>3.6337550000000003E-2</v>
      </c>
      <c r="H92" s="40">
        <v>6.39</v>
      </c>
      <c r="J92" s="7"/>
    </row>
    <row r="93" spans="1:10" x14ac:dyDescent="0.2">
      <c r="A93" s="41"/>
      <c r="B93" s="41"/>
      <c r="C93" s="42" t="s">
        <v>150</v>
      </c>
      <c r="D93" s="41"/>
      <c r="E93" s="41" t="s">
        <v>151</v>
      </c>
      <c r="F93" s="48">
        <v>138.86878400000001</v>
      </c>
      <c r="G93" s="49">
        <v>3.6337550000000003E-2</v>
      </c>
      <c r="H93" s="40" t="s">
        <v>151</v>
      </c>
      <c r="J93" s="7"/>
    </row>
    <row r="94" spans="1:10" x14ac:dyDescent="0.2">
      <c r="A94" s="41"/>
      <c r="B94" s="41"/>
      <c r="C94" s="50"/>
      <c r="D94" s="41"/>
      <c r="E94" s="41"/>
      <c r="F94" s="51"/>
      <c r="G94" s="51"/>
      <c r="H94" s="40" t="s">
        <v>151</v>
      </c>
      <c r="J94" s="7"/>
    </row>
    <row r="95" spans="1:10" x14ac:dyDescent="0.2">
      <c r="A95" s="41"/>
      <c r="B95" s="41"/>
      <c r="C95" s="42" t="s">
        <v>170</v>
      </c>
      <c r="D95" s="41"/>
      <c r="E95" s="41"/>
      <c r="F95" s="48">
        <v>138.86878400000001</v>
      </c>
      <c r="G95" s="49">
        <v>3.6337550000000003E-2</v>
      </c>
      <c r="H95" s="40" t="s">
        <v>151</v>
      </c>
      <c r="J95" s="7"/>
    </row>
    <row r="96" spans="1:10" x14ac:dyDescent="0.2">
      <c r="A96" s="41"/>
      <c r="B96" s="41"/>
      <c r="C96" s="51"/>
      <c r="D96" s="41"/>
      <c r="E96" s="41"/>
      <c r="F96" s="41"/>
      <c r="G96" s="41"/>
      <c r="H96" s="40" t="s">
        <v>151</v>
      </c>
      <c r="J96" s="7"/>
    </row>
    <row r="97" spans="1:10" x14ac:dyDescent="0.2">
      <c r="A97" s="41"/>
      <c r="B97" s="41"/>
      <c r="C97" s="42" t="s">
        <v>171</v>
      </c>
      <c r="D97" s="41"/>
      <c r="E97" s="41"/>
      <c r="F97" s="41"/>
      <c r="G97" s="41"/>
      <c r="H97" s="40" t="s">
        <v>151</v>
      </c>
      <c r="J97" s="7"/>
    </row>
    <row r="98" spans="1:10" x14ac:dyDescent="0.2">
      <c r="A98" s="41"/>
      <c r="B98" s="41"/>
      <c r="C98" s="42" t="s">
        <v>172</v>
      </c>
      <c r="D98" s="41"/>
      <c r="E98" s="41"/>
      <c r="F98" s="41"/>
      <c r="G98" s="41"/>
      <c r="H98" s="40" t="s">
        <v>151</v>
      </c>
      <c r="J98" s="7"/>
    </row>
    <row r="99" spans="1:10" x14ac:dyDescent="0.2">
      <c r="A99" s="41"/>
      <c r="B99" s="41"/>
      <c r="C99" s="42" t="s">
        <v>150</v>
      </c>
      <c r="D99" s="41"/>
      <c r="E99" s="41" t="s">
        <v>151</v>
      </c>
      <c r="F99" s="52" t="s">
        <v>153</v>
      </c>
      <c r="G99" s="49">
        <v>0</v>
      </c>
      <c r="H99" s="40" t="s">
        <v>151</v>
      </c>
      <c r="J99" s="7"/>
    </row>
    <row r="100" spans="1:10" x14ac:dyDescent="0.2">
      <c r="A100" s="41"/>
      <c r="B100" s="41"/>
      <c r="C100" s="50"/>
      <c r="D100" s="41"/>
      <c r="E100" s="41"/>
      <c r="F100" s="51"/>
      <c r="G100" s="51"/>
      <c r="H100" s="40" t="s">
        <v>151</v>
      </c>
      <c r="J100" s="7"/>
    </row>
    <row r="101" spans="1:10" x14ac:dyDescent="0.2">
      <c r="A101" s="41"/>
      <c r="B101" s="41"/>
      <c r="C101" s="42" t="s">
        <v>173</v>
      </c>
      <c r="D101" s="41"/>
      <c r="E101" s="41"/>
      <c r="F101" s="41"/>
      <c r="G101" s="41"/>
      <c r="H101" s="40" t="s">
        <v>151</v>
      </c>
      <c r="J101" s="7"/>
    </row>
    <row r="102" spans="1:10" x14ac:dyDescent="0.2">
      <c r="A102" s="41"/>
      <c r="B102" s="41"/>
      <c r="C102" s="42" t="s">
        <v>174</v>
      </c>
      <c r="D102" s="41"/>
      <c r="E102" s="41"/>
      <c r="F102" s="41"/>
      <c r="G102" s="41"/>
      <c r="H102" s="40" t="s">
        <v>151</v>
      </c>
      <c r="J102" s="7"/>
    </row>
    <row r="103" spans="1:10" x14ac:dyDescent="0.2">
      <c r="A103" s="41"/>
      <c r="B103" s="41"/>
      <c r="C103" s="42" t="s">
        <v>150</v>
      </c>
      <c r="D103" s="41"/>
      <c r="E103" s="41" t="s">
        <v>151</v>
      </c>
      <c r="F103" s="52" t="s">
        <v>153</v>
      </c>
      <c r="G103" s="49">
        <v>0</v>
      </c>
      <c r="H103" s="40" t="s">
        <v>151</v>
      </c>
      <c r="J103" s="7"/>
    </row>
    <row r="104" spans="1:10" x14ac:dyDescent="0.2">
      <c r="A104" s="41"/>
      <c r="B104" s="41"/>
      <c r="C104" s="50"/>
      <c r="D104" s="41"/>
      <c r="E104" s="41"/>
      <c r="F104" s="51"/>
      <c r="G104" s="51"/>
      <c r="H104" s="40" t="s">
        <v>151</v>
      </c>
      <c r="J104" s="7"/>
    </row>
    <row r="105" spans="1:10" x14ac:dyDescent="0.2">
      <c r="A105" s="41"/>
      <c r="B105" s="41"/>
      <c r="C105" s="42" t="s">
        <v>175</v>
      </c>
      <c r="D105" s="41"/>
      <c r="E105" s="41"/>
      <c r="F105" s="51"/>
      <c r="G105" s="51"/>
      <c r="H105" s="40" t="s">
        <v>151</v>
      </c>
      <c r="J105" s="7"/>
    </row>
    <row r="106" spans="1:10" x14ac:dyDescent="0.2">
      <c r="A106" s="41"/>
      <c r="B106" s="41"/>
      <c r="C106" s="42" t="s">
        <v>150</v>
      </c>
      <c r="D106" s="41"/>
      <c r="E106" s="41" t="s">
        <v>151</v>
      </c>
      <c r="F106" s="52" t="s">
        <v>153</v>
      </c>
      <c r="G106" s="49">
        <v>0</v>
      </c>
      <c r="H106" s="40" t="s">
        <v>151</v>
      </c>
      <c r="J106" s="7"/>
    </row>
    <row r="107" spans="1:10" x14ac:dyDescent="0.2">
      <c r="A107" s="41"/>
      <c r="B107" s="44"/>
      <c r="C107" s="44"/>
      <c r="D107" s="42"/>
      <c r="E107" s="41"/>
      <c r="F107" s="44"/>
      <c r="G107" s="54"/>
      <c r="H107" s="40" t="s">
        <v>151</v>
      </c>
      <c r="J107" s="7"/>
    </row>
    <row r="108" spans="1:10" x14ac:dyDescent="0.2">
      <c r="A108" s="54"/>
      <c r="B108" s="44"/>
      <c r="C108" s="44" t="s">
        <v>176</v>
      </c>
      <c r="D108" s="44"/>
      <c r="E108" s="54"/>
      <c r="F108" s="46">
        <v>-3.5474009199999998</v>
      </c>
      <c r="G108" s="47">
        <v>-9.2823999999999999E-4</v>
      </c>
      <c r="H108" s="40" t="s">
        <v>151</v>
      </c>
      <c r="J108" s="7"/>
    </row>
    <row r="109" spans="1:10" x14ac:dyDescent="0.2">
      <c r="A109" s="50"/>
      <c r="B109" s="50"/>
      <c r="C109" s="42" t="s">
        <v>177</v>
      </c>
      <c r="D109" s="51"/>
      <c r="E109" s="51"/>
      <c r="F109" s="48">
        <v>3821.6335604000001</v>
      </c>
      <c r="G109" s="55">
        <v>1.0000000099999999</v>
      </c>
      <c r="H109" s="40" t="s">
        <v>151</v>
      </c>
      <c r="J109" s="7"/>
    </row>
    <row r="110" spans="1:10" x14ac:dyDescent="0.2">
      <c r="A110" s="56"/>
      <c r="B110" s="56"/>
      <c r="C110" s="56"/>
      <c r="D110" s="57"/>
      <c r="E110" s="57"/>
      <c r="F110" s="57"/>
      <c r="G110" s="57"/>
      <c r="J110" s="7"/>
    </row>
    <row r="111" spans="1:10" ht="12.75" customHeight="1" x14ac:dyDescent="0.2">
      <c r="A111" s="58"/>
      <c r="B111" s="159" t="s">
        <v>923</v>
      </c>
      <c r="C111" s="159"/>
      <c r="D111" s="159"/>
      <c r="E111" s="159"/>
      <c r="F111" s="159"/>
      <c r="G111" s="159"/>
      <c r="H111" s="159"/>
      <c r="J111" s="7"/>
    </row>
    <row r="112" spans="1:10" ht="14.1" customHeight="1" x14ac:dyDescent="0.2">
      <c r="A112" s="58"/>
      <c r="B112" s="159" t="s">
        <v>924</v>
      </c>
      <c r="C112" s="159"/>
      <c r="D112" s="159"/>
      <c r="E112" s="159"/>
      <c r="F112" s="159"/>
      <c r="G112" s="159"/>
      <c r="H112" s="159"/>
      <c r="J112" s="7"/>
    </row>
    <row r="113" spans="1:17" ht="17.100000000000001" customHeight="1" x14ac:dyDescent="0.2">
      <c r="A113" s="58"/>
      <c r="B113" s="159" t="s">
        <v>925</v>
      </c>
      <c r="C113" s="159"/>
      <c r="D113" s="159"/>
      <c r="E113" s="159"/>
      <c r="F113" s="159"/>
      <c r="G113" s="159"/>
      <c r="H113" s="159"/>
      <c r="J113" s="7"/>
    </row>
    <row r="114" spans="1:17" s="8" customFormat="1" ht="65.25" customHeight="1" x14ac:dyDescent="0.25">
      <c r="A114" s="60"/>
      <c r="B114" s="160" t="s">
        <v>926</v>
      </c>
      <c r="C114" s="160"/>
      <c r="D114" s="160"/>
      <c r="E114" s="160"/>
      <c r="F114" s="160"/>
      <c r="G114" s="160"/>
      <c r="H114" s="160"/>
      <c r="I114"/>
      <c r="J114" s="7"/>
      <c r="K114"/>
      <c r="L114"/>
      <c r="M114"/>
      <c r="N114"/>
      <c r="O114"/>
      <c r="P114"/>
      <c r="Q114"/>
    </row>
    <row r="115" spans="1:17" ht="12.75" customHeight="1" x14ac:dyDescent="0.2">
      <c r="A115" s="58"/>
      <c r="B115" s="159" t="s">
        <v>927</v>
      </c>
      <c r="C115" s="159"/>
      <c r="D115" s="159"/>
      <c r="E115" s="159"/>
      <c r="F115" s="159"/>
      <c r="G115" s="159"/>
      <c r="H115" s="159"/>
      <c r="J115" s="7"/>
    </row>
    <row r="116" spans="1:17" x14ac:dyDescent="0.2">
      <c r="A116" s="61"/>
      <c r="B116" s="61"/>
      <c r="C116" s="61"/>
      <c r="D116" s="62"/>
      <c r="E116" s="62"/>
      <c r="F116" s="62"/>
      <c r="G116" s="62"/>
      <c r="J116" s="7"/>
    </row>
    <row r="117" spans="1:17" x14ac:dyDescent="0.2">
      <c r="A117" s="61"/>
      <c r="B117" s="161" t="s">
        <v>178</v>
      </c>
      <c r="C117" s="162"/>
      <c r="D117" s="163"/>
      <c r="E117" s="63"/>
      <c r="F117" s="62"/>
      <c r="G117" s="62"/>
      <c r="J117" s="7"/>
    </row>
    <row r="118" spans="1:17" x14ac:dyDescent="0.2">
      <c r="A118" s="61"/>
      <c r="B118" s="156" t="s">
        <v>179</v>
      </c>
      <c r="C118" s="157"/>
      <c r="D118" s="42" t="s">
        <v>180</v>
      </c>
      <c r="E118" s="63"/>
      <c r="F118" s="62"/>
      <c r="G118" s="62"/>
      <c r="J118" s="7"/>
    </row>
    <row r="119" spans="1:17" ht="12.75" customHeight="1" x14ac:dyDescent="0.2">
      <c r="A119" s="58"/>
      <c r="B119" s="164" t="s">
        <v>939</v>
      </c>
      <c r="C119" s="165"/>
      <c r="D119" s="64" t="str">
        <f>"Rs. "&amp;TEXT(F56,"0.00")&amp;" lacs/ #"</f>
        <v>Rs. 0.01 lacs/ #</v>
      </c>
      <c r="E119" s="65"/>
      <c r="F119" s="66"/>
      <c r="G119" s="66"/>
      <c r="J119" s="7"/>
    </row>
    <row r="120" spans="1:17" x14ac:dyDescent="0.2">
      <c r="A120" s="61"/>
      <c r="B120" s="156" t="s">
        <v>182</v>
      </c>
      <c r="C120" s="157"/>
      <c r="D120" s="51" t="s">
        <v>151</v>
      </c>
      <c r="E120" s="63"/>
      <c r="F120" s="62"/>
      <c r="G120" s="62"/>
      <c r="J120" s="7"/>
    </row>
    <row r="121" spans="1:17" x14ac:dyDescent="0.2">
      <c r="A121" s="67"/>
      <c r="B121" s="68" t="s">
        <v>151</v>
      </c>
      <c r="C121" s="68" t="s">
        <v>937</v>
      </c>
      <c r="D121" s="68" t="s">
        <v>183</v>
      </c>
      <c r="E121" s="67"/>
      <c r="F121" s="67"/>
      <c r="G121" s="67"/>
      <c r="H121" s="67"/>
      <c r="J121" s="7"/>
    </row>
    <row r="122" spans="1:17" x14ac:dyDescent="0.2">
      <c r="A122" s="69"/>
      <c r="B122" s="70" t="s">
        <v>184</v>
      </c>
      <c r="C122" s="80" t="s">
        <v>185</v>
      </c>
      <c r="D122" s="80" t="s">
        <v>186</v>
      </c>
      <c r="E122" s="69"/>
      <c r="F122" s="69"/>
      <c r="G122" s="69"/>
      <c r="J122" s="7"/>
    </row>
    <row r="123" spans="1:17" x14ac:dyDescent="0.2">
      <c r="A123" s="69"/>
      <c r="B123" s="44" t="s">
        <v>187</v>
      </c>
      <c r="C123" s="72">
        <v>28.6662</v>
      </c>
      <c r="D123" s="72">
        <v>28.877500000000001</v>
      </c>
      <c r="E123" s="69"/>
      <c r="F123" s="73"/>
      <c r="G123" s="74"/>
      <c r="J123" s="7"/>
    </row>
    <row r="124" spans="1:17" x14ac:dyDescent="0.2">
      <c r="A124" s="69"/>
      <c r="B124" s="44" t="s">
        <v>1094</v>
      </c>
      <c r="C124" s="72">
        <v>27.290199999999999</v>
      </c>
      <c r="D124" s="72">
        <v>27.491299999999999</v>
      </c>
      <c r="E124" s="69"/>
      <c r="F124" s="73"/>
      <c r="G124" s="74"/>
      <c r="J124" s="7"/>
    </row>
    <row r="125" spans="1:17" x14ac:dyDescent="0.2">
      <c r="A125" s="69"/>
      <c r="B125" s="44" t="s">
        <v>188</v>
      </c>
      <c r="C125" s="72">
        <v>27.837399999999999</v>
      </c>
      <c r="D125" s="72">
        <v>28.037099999999999</v>
      </c>
      <c r="E125" s="69"/>
      <c r="F125" s="73"/>
      <c r="G125" s="74"/>
      <c r="J125" s="7"/>
    </row>
    <row r="126" spans="1:17" x14ac:dyDescent="0.2">
      <c r="A126" s="69"/>
      <c r="B126" s="44" t="s">
        <v>1095</v>
      </c>
      <c r="C126" s="72">
        <v>26.463200000000001</v>
      </c>
      <c r="D126" s="72">
        <v>26.652999999999999</v>
      </c>
      <c r="E126" s="69"/>
      <c r="F126" s="73"/>
      <c r="G126" s="74"/>
      <c r="J126" s="7"/>
    </row>
    <row r="127" spans="1:17" x14ac:dyDescent="0.2">
      <c r="A127" s="69"/>
      <c r="B127" s="69"/>
      <c r="C127" s="69"/>
      <c r="D127" s="69"/>
      <c r="E127" s="69"/>
      <c r="F127" s="69"/>
      <c r="G127" s="69"/>
      <c r="J127" s="7"/>
    </row>
    <row r="128" spans="1:17" x14ac:dyDescent="0.2">
      <c r="A128" s="67"/>
      <c r="B128" s="164" t="s">
        <v>940</v>
      </c>
      <c r="C128" s="165"/>
      <c r="D128" s="64" t="s">
        <v>180</v>
      </c>
      <c r="E128" s="67"/>
      <c r="F128" s="67"/>
      <c r="G128" s="67"/>
      <c r="J128" s="7"/>
    </row>
    <row r="129" spans="1:10" x14ac:dyDescent="0.2">
      <c r="A129" s="67"/>
      <c r="B129" s="84"/>
      <c r="C129" s="84"/>
      <c r="D129" s="84"/>
      <c r="E129" s="67"/>
      <c r="F129" s="67"/>
      <c r="G129" s="67"/>
      <c r="J129" s="7"/>
    </row>
    <row r="130" spans="1:10" x14ac:dyDescent="0.2">
      <c r="A130" s="67"/>
      <c r="B130" s="164" t="s">
        <v>189</v>
      </c>
      <c r="C130" s="165"/>
      <c r="D130" s="64" t="s">
        <v>180</v>
      </c>
      <c r="E130" s="75"/>
      <c r="F130" s="67"/>
      <c r="G130" s="67"/>
      <c r="J130" s="7"/>
    </row>
    <row r="131" spans="1:10" x14ac:dyDescent="0.2">
      <c r="A131" s="67"/>
      <c r="B131" s="164" t="s">
        <v>190</v>
      </c>
      <c r="C131" s="165"/>
      <c r="D131" s="64" t="s">
        <v>180</v>
      </c>
      <c r="E131" s="75"/>
      <c r="F131" s="67"/>
      <c r="G131" s="67"/>
      <c r="J131" s="7"/>
    </row>
    <row r="132" spans="1:10" x14ac:dyDescent="0.2">
      <c r="A132" s="67"/>
      <c r="B132" s="164" t="s">
        <v>191</v>
      </c>
      <c r="C132" s="165"/>
      <c r="D132" s="64" t="s">
        <v>180</v>
      </c>
      <c r="E132" s="75"/>
      <c r="F132" s="67"/>
      <c r="G132" s="67"/>
      <c r="J132" s="7"/>
    </row>
    <row r="133" spans="1:10" x14ac:dyDescent="0.2">
      <c r="A133" s="67"/>
      <c r="B133" s="164" t="s">
        <v>192</v>
      </c>
      <c r="C133" s="165"/>
      <c r="D133" s="76">
        <v>0.27052698353074095</v>
      </c>
      <c r="E133" s="67"/>
      <c r="F133" s="59"/>
      <c r="G133" s="77"/>
      <c r="J133" s="7"/>
    </row>
    <row r="134" spans="1:10" x14ac:dyDescent="0.2">
      <c r="J134" s="7"/>
    </row>
    <row r="135" spans="1:10" x14ac:dyDescent="0.2">
      <c r="J135" s="7"/>
    </row>
    <row r="136" spans="1:10" x14ac:dyDescent="0.2">
      <c r="J136" s="7"/>
    </row>
    <row r="137" spans="1:10" x14ac:dyDescent="0.2">
      <c r="J137" s="7"/>
    </row>
    <row r="138" spans="1:10" x14ac:dyDescent="0.2">
      <c r="J138" s="7"/>
    </row>
    <row r="139" spans="1:10" x14ac:dyDescent="0.2">
      <c r="J139" s="7"/>
    </row>
    <row r="140" spans="1:10" x14ac:dyDescent="0.2">
      <c r="J140" s="7"/>
    </row>
  </sheetData>
  <mergeCells count="17">
    <mergeCell ref="B119:C119"/>
    <mergeCell ref="B120:C120"/>
    <mergeCell ref="B128:C128"/>
    <mergeCell ref="B132:C132"/>
    <mergeCell ref="B133:C133"/>
    <mergeCell ref="B130:C130"/>
    <mergeCell ref="B131:C131"/>
    <mergeCell ref="B118:C118"/>
    <mergeCell ref="A1:H1"/>
    <mergeCell ref="A2:H2"/>
    <mergeCell ref="A3:H3"/>
    <mergeCell ref="B111:H111"/>
    <mergeCell ref="B112:H112"/>
    <mergeCell ref="B113:H113"/>
    <mergeCell ref="B114:H114"/>
    <mergeCell ref="B115:H115"/>
    <mergeCell ref="B117:D117"/>
  </mergeCells>
  <hyperlinks>
    <hyperlink ref="I1" location="Index!B6" display="Index" xr:uid="{A84AFA9D-042F-405D-99FA-9D69446494A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E2797-2A3A-4D1A-AC4D-8659F8277EF1}">
  <sheetPr>
    <outlinePr summaryBelow="0" summaryRight="0"/>
  </sheetPr>
  <dimension ref="A1:Q141"/>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8.85546875" customWidth="1"/>
    <col min="8" max="8" width="8.42578125" bestFit="1" customWidth="1"/>
    <col min="9" max="9" width="5.710937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464</v>
      </c>
      <c r="B2" s="158"/>
      <c r="C2" s="158"/>
      <c r="D2" s="158"/>
      <c r="E2" s="158"/>
      <c r="F2" s="158"/>
      <c r="G2" s="158"/>
      <c r="H2" s="158"/>
      <c r="J2" s="11" t="s">
        <v>942</v>
      </c>
    </row>
    <row r="3" spans="1:10" ht="15" customHeight="1" x14ac:dyDescent="0.2">
      <c r="A3" s="158" t="s">
        <v>880</v>
      </c>
      <c r="B3" s="158"/>
      <c r="C3" s="158"/>
      <c r="D3" s="158"/>
      <c r="E3" s="158"/>
      <c r="F3" s="158"/>
      <c r="G3" s="158"/>
      <c r="H3" s="158"/>
      <c r="J3" s="7"/>
    </row>
    <row r="4" spans="1:10" s="1" customFormat="1" ht="33" customHeight="1"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367</v>
      </c>
      <c r="C7" s="44" t="s">
        <v>368</v>
      </c>
      <c r="D7" s="44" t="s">
        <v>229</v>
      </c>
      <c r="E7" s="45">
        <v>2806</v>
      </c>
      <c r="F7" s="46">
        <v>120.368982</v>
      </c>
      <c r="G7" s="47">
        <v>4.8650470000000001E-2</v>
      </c>
      <c r="H7" s="40" t="s">
        <v>151</v>
      </c>
      <c r="J7" s="7"/>
    </row>
    <row r="8" spans="1:10" x14ac:dyDescent="0.2">
      <c r="A8" s="43">
        <v>2</v>
      </c>
      <c r="B8" s="44" t="s">
        <v>407</v>
      </c>
      <c r="C8" s="44" t="s">
        <v>408</v>
      </c>
      <c r="D8" s="44" t="s">
        <v>100</v>
      </c>
      <c r="E8" s="45">
        <v>5638</v>
      </c>
      <c r="F8" s="46">
        <v>116.76298</v>
      </c>
      <c r="G8" s="47">
        <v>4.7193010000000001E-2</v>
      </c>
      <c r="H8" s="40" t="s">
        <v>151</v>
      </c>
      <c r="J8" s="7"/>
    </row>
    <row r="9" spans="1:10" x14ac:dyDescent="0.2">
      <c r="A9" s="43">
        <v>3</v>
      </c>
      <c r="B9" s="44" t="s">
        <v>31</v>
      </c>
      <c r="C9" s="44" t="s">
        <v>32</v>
      </c>
      <c r="D9" s="44" t="s">
        <v>33</v>
      </c>
      <c r="E9" s="45">
        <v>10955</v>
      </c>
      <c r="F9" s="46">
        <v>105.3487575</v>
      </c>
      <c r="G9" s="47">
        <v>4.257963E-2</v>
      </c>
      <c r="H9" s="40" t="s">
        <v>151</v>
      </c>
      <c r="J9" s="7"/>
    </row>
    <row r="10" spans="1:10" x14ac:dyDescent="0.2">
      <c r="A10" s="43">
        <v>4</v>
      </c>
      <c r="B10" s="44" t="s">
        <v>145</v>
      </c>
      <c r="C10" s="44" t="s">
        <v>146</v>
      </c>
      <c r="D10" s="44" t="s">
        <v>100</v>
      </c>
      <c r="E10" s="45">
        <v>27896</v>
      </c>
      <c r="F10" s="46">
        <v>100.59297599999999</v>
      </c>
      <c r="G10" s="47">
        <v>4.0657449999999998E-2</v>
      </c>
      <c r="H10" s="40" t="s">
        <v>151</v>
      </c>
      <c r="J10" s="7"/>
    </row>
    <row r="11" spans="1:10" x14ac:dyDescent="0.2">
      <c r="A11" s="43">
        <v>5</v>
      </c>
      <c r="B11" s="44" t="s">
        <v>409</v>
      </c>
      <c r="C11" s="44" t="s">
        <v>410</v>
      </c>
      <c r="D11" s="44" t="s">
        <v>242</v>
      </c>
      <c r="E11" s="45">
        <v>6017</v>
      </c>
      <c r="F11" s="46">
        <v>99.391814499999995</v>
      </c>
      <c r="G11" s="47">
        <v>4.0171970000000001E-2</v>
      </c>
      <c r="H11" s="40" t="s">
        <v>151</v>
      </c>
      <c r="J11" s="7"/>
    </row>
    <row r="12" spans="1:10" ht="15" x14ac:dyDescent="0.2">
      <c r="A12" s="43">
        <v>6</v>
      </c>
      <c r="B12" s="44" t="s">
        <v>411</v>
      </c>
      <c r="C12" s="44" t="s">
        <v>412</v>
      </c>
      <c r="D12" s="44" t="s">
        <v>413</v>
      </c>
      <c r="E12" s="45">
        <v>6568</v>
      </c>
      <c r="F12" s="46">
        <v>99.183368000000002</v>
      </c>
      <c r="G12" s="47">
        <v>4.008772E-2</v>
      </c>
      <c r="H12" s="40" t="s">
        <v>151</v>
      </c>
      <c r="J12" s="12"/>
    </row>
    <row r="13" spans="1:10" x14ac:dyDescent="0.2">
      <c r="A13" s="43">
        <v>7</v>
      </c>
      <c r="B13" s="44" t="s">
        <v>223</v>
      </c>
      <c r="C13" s="44" t="s">
        <v>224</v>
      </c>
      <c r="D13" s="44" t="s">
        <v>86</v>
      </c>
      <c r="E13" s="45">
        <v>700</v>
      </c>
      <c r="F13" s="46">
        <v>96.532799999999995</v>
      </c>
      <c r="G13" s="47">
        <v>3.9016420000000003E-2</v>
      </c>
      <c r="H13" s="40" t="s">
        <v>151</v>
      </c>
      <c r="J13" s="7"/>
    </row>
    <row r="14" spans="1:10" x14ac:dyDescent="0.2">
      <c r="A14" s="43">
        <v>8</v>
      </c>
      <c r="B14" s="44" t="s">
        <v>94</v>
      </c>
      <c r="C14" s="44" t="s">
        <v>95</v>
      </c>
      <c r="D14" s="44" t="s">
        <v>33</v>
      </c>
      <c r="E14" s="45">
        <v>2094</v>
      </c>
      <c r="F14" s="46">
        <v>90.667058999999995</v>
      </c>
      <c r="G14" s="47">
        <v>3.6645619999999997E-2</v>
      </c>
      <c r="H14" s="40" t="s">
        <v>151</v>
      </c>
      <c r="J14" s="7"/>
    </row>
    <row r="15" spans="1:10" x14ac:dyDescent="0.2">
      <c r="A15" s="43">
        <v>9</v>
      </c>
      <c r="B15" s="44" t="s">
        <v>414</v>
      </c>
      <c r="C15" s="44" t="s">
        <v>415</v>
      </c>
      <c r="D15" s="44" t="s">
        <v>45</v>
      </c>
      <c r="E15" s="45">
        <v>101192</v>
      </c>
      <c r="F15" s="46">
        <v>81.732778400000001</v>
      </c>
      <c r="G15" s="47">
        <v>3.3034580000000001E-2</v>
      </c>
      <c r="H15" s="40" t="s">
        <v>151</v>
      </c>
      <c r="J15" s="7" t="s">
        <v>1053</v>
      </c>
    </row>
    <row r="16" spans="1:10" x14ac:dyDescent="0.2">
      <c r="A16" s="43">
        <v>10</v>
      </c>
      <c r="B16" s="44" t="s">
        <v>416</v>
      </c>
      <c r="C16" s="44" t="s">
        <v>417</v>
      </c>
      <c r="D16" s="44" t="s">
        <v>45</v>
      </c>
      <c r="E16" s="45">
        <v>178820</v>
      </c>
      <c r="F16" s="46">
        <v>80.182888000000005</v>
      </c>
      <c r="G16" s="47">
        <v>3.2408149999999997E-2</v>
      </c>
      <c r="H16" s="40" t="s">
        <v>151</v>
      </c>
      <c r="J16" s="7"/>
    </row>
    <row r="17" spans="1:10" x14ac:dyDescent="0.2">
      <c r="A17" s="43">
        <v>11</v>
      </c>
      <c r="B17" s="44" t="s">
        <v>418</v>
      </c>
      <c r="C17" s="44" t="s">
        <v>419</v>
      </c>
      <c r="D17" s="44" t="s">
        <v>219</v>
      </c>
      <c r="E17" s="45">
        <v>9732</v>
      </c>
      <c r="F17" s="46">
        <v>79.919184000000001</v>
      </c>
      <c r="G17" s="47">
        <v>3.230156E-2</v>
      </c>
      <c r="H17" s="40" t="s">
        <v>151</v>
      </c>
      <c r="J17" s="7"/>
    </row>
    <row r="18" spans="1:10" x14ac:dyDescent="0.2">
      <c r="A18" s="43">
        <v>12</v>
      </c>
      <c r="B18" s="44" t="s">
        <v>420</v>
      </c>
      <c r="C18" s="44" t="s">
        <v>421</v>
      </c>
      <c r="D18" s="44" t="s">
        <v>33</v>
      </c>
      <c r="E18" s="45">
        <v>5262</v>
      </c>
      <c r="F18" s="46">
        <v>75.343947</v>
      </c>
      <c r="G18" s="47">
        <v>3.045235E-2</v>
      </c>
      <c r="H18" s="40" t="s">
        <v>151</v>
      </c>
      <c r="J18" s="7"/>
    </row>
    <row r="19" spans="1:10" ht="25.5" x14ac:dyDescent="0.2">
      <c r="A19" s="43">
        <v>13</v>
      </c>
      <c r="B19" s="44" t="s">
        <v>318</v>
      </c>
      <c r="C19" s="44" t="s">
        <v>319</v>
      </c>
      <c r="D19" s="44" t="s">
        <v>247</v>
      </c>
      <c r="E19" s="45">
        <v>1976</v>
      </c>
      <c r="F19" s="46">
        <v>75.106772000000007</v>
      </c>
      <c r="G19" s="47">
        <v>3.035649E-2</v>
      </c>
      <c r="H19" s="40" t="s">
        <v>151</v>
      </c>
      <c r="J19" s="7"/>
    </row>
    <row r="20" spans="1:10" x14ac:dyDescent="0.2">
      <c r="A20" s="43">
        <v>14</v>
      </c>
      <c r="B20" s="44" t="s">
        <v>422</v>
      </c>
      <c r="C20" s="44" t="s">
        <v>423</v>
      </c>
      <c r="D20" s="44" t="s">
        <v>222</v>
      </c>
      <c r="E20" s="45">
        <v>21323</v>
      </c>
      <c r="F20" s="46">
        <v>74.001471499999994</v>
      </c>
      <c r="G20" s="47">
        <v>2.9909749999999999E-2</v>
      </c>
      <c r="H20" s="40" t="s">
        <v>151</v>
      </c>
      <c r="J20" s="7"/>
    </row>
    <row r="21" spans="1:10" x14ac:dyDescent="0.2">
      <c r="A21" s="43">
        <v>15</v>
      </c>
      <c r="B21" s="44" t="s">
        <v>424</v>
      </c>
      <c r="C21" s="44" t="s">
        <v>425</v>
      </c>
      <c r="D21" s="44" t="s">
        <v>45</v>
      </c>
      <c r="E21" s="45">
        <v>22305</v>
      </c>
      <c r="F21" s="46">
        <v>73.160399999999996</v>
      </c>
      <c r="G21" s="47">
        <v>2.9569809999999998E-2</v>
      </c>
      <c r="H21" s="40" t="s">
        <v>151</v>
      </c>
      <c r="J21" s="7"/>
    </row>
    <row r="22" spans="1:10" ht="25.5" x14ac:dyDescent="0.2">
      <c r="A22" s="43">
        <v>16</v>
      </c>
      <c r="B22" s="44" t="s">
        <v>426</v>
      </c>
      <c r="C22" s="44" t="s">
        <v>427</v>
      </c>
      <c r="D22" s="44" t="s">
        <v>210</v>
      </c>
      <c r="E22" s="45">
        <v>3630</v>
      </c>
      <c r="F22" s="46">
        <v>69.862979999999993</v>
      </c>
      <c r="G22" s="47">
        <v>2.823707E-2</v>
      </c>
      <c r="H22" s="40" t="s">
        <v>151</v>
      </c>
      <c r="J22" s="12"/>
    </row>
    <row r="23" spans="1:10" x14ac:dyDescent="0.2">
      <c r="A23" s="43">
        <v>17</v>
      </c>
      <c r="B23" s="44" t="s">
        <v>428</v>
      </c>
      <c r="C23" s="44" t="s">
        <v>429</v>
      </c>
      <c r="D23" s="44" t="s">
        <v>430</v>
      </c>
      <c r="E23" s="45">
        <v>4462</v>
      </c>
      <c r="F23" s="46">
        <v>66.941154999999995</v>
      </c>
      <c r="G23" s="47">
        <v>2.7056130000000001E-2</v>
      </c>
      <c r="H23" s="40" t="s">
        <v>151</v>
      </c>
      <c r="J23" s="7"/>
    </row>
    <row r="24" spans="1:10" ht="25.5" x14ac:dyDescent="0.2">
      <c r="A24" s="43">
        <v>18</v>
      </c>
      <c r="B24" s="44" t="s">
        <v>436</v>
      </c>
      <c r="C24" s="44" t="s">
        <v>437</v>
      </c>
      <c r="D24" s="44" t="s">
        <v>210</v>
      </c>
      <c r="E24" s="45">
        <v>1238</v>
      </c>
      <c r="F24" s="46">
        <v>64.999951999999993</v>
      </c>
      <c r="G24" s="47">
        <v>2.6271539999999999E-2</v>
      </c>
      <c r="H24" s="40" t="s">
        <v>151</v>
      </c>
      <c r="J24" s="7"/>
    </row>
    <row r="25" spans="1:10" ht="25.5" x14ac:dyDescent="0.2">
      <c r="A25" s="43">
        <v>19</v>
      </c>
      <c r="B25" s="44" t="s">
        <v>431</v>
      </c>
      <c r="C25" s="44" t="s">
        <v>432</v>
      </c>
      <c r="D25" s="44" t="s">
        <v>433</v>
      </c>
      <c r="E25" s="45">
        <v>14767</v>
      </c>
      <c r="F25" s="46">
        <v>63.010789000000003</v>
      </c>
      <c r="G25" s="47">
        <v>2.546756E-2</v>
      </c>
      <c r="H25" s="40" t="s">
        <v>151</v>
      </c>
      <c r="J25" s="7"/>
    </row>
    <row r="26" spans="1:10" x14ac:dyDescent="0.2">
      <c r="A26" s="43">
        <v>20</v>
      </c>
      <c r="B26" s="44" t="s">
        <v>59</v>
      </c>
      <c r="C26" s="44" t="s">
        <v>60</v>
      </c>
      <c r="D26" s="44" t="s">
        <v>61</v>
      </c>
      <c r="E26" s="45">
        <v>5006</v>
      </c>
      <c r="F26" s="46">
        <v>62.960462</v>
      </c>
      <c r="G26" s="47">
        <v>2.544722E-2</v>
      </c>
      <c r="H26" s="40" t="s">
        <v>151</v>
      </c>
      <c r="J26" s="7"/>
    </row>
    <row r="27" spans="1:10" x14ac:dyDescent="0.2">
      <c r="A27" s="43">
        <v>21</v>
      </c>
      <c r="B27" s="44" t="s">
        <v>434</v>
      </c>
      <c r="C27" s="44" t="s">
        <v>435</v>
      </c>
      <c r="D27" s="44" t="s">
        <v>86</v>
      </c>
      <c r="E27" s="45">
        <v>6934</v>
      </c>
      <c r="F27" s="46">
        <v>58.845390999999999</v>
      </c>
      <c r="G27" s="47">
        <v>2.3784E-2</v>
      </c>
      <c r="H27" s="40" t="s">
        <v>151</v>
      </c>
      <c r="J27" s="7"/>
    </row>
    <row r="28" spans="1:10" ht="25.5" x14ac:dyDescent="0.2">
      <c r="A28" s="43">
        <v>22</v>
      </c>
      <c r="B28" s="44" t="s">
        <v>82</v>
      </c>
      <c r="C28" s="44" t="s">
        <v>83</v>
      </c>
      <c r="D28" s="44" t="s">
        <v>25</v>
      </c>
      <c r="E28" s="45">
        <v>1193</v>
      </c>
      <c r="F28" s="46">
        <v>52.694213499999996</v>
      </c>
      <c r="G28" s="47">
        <v>2.129783E-2</v>
      </c>
      <c r="H28" s="40" t="s">
        <v>151</v>
      </c>
      <c r="J28" s="7"/>
    </row>
    <row r="29" spans="1:10" x14ac:dyDescent="0.2">
      <c r="A29" s="43">
        <v>23</v>
      </c>
      <c r="B29" s="44" t="s">
        <v>438</v>
      </c>
      <c r="C29" s="44" t="s">
        <v>439</v>
      </c>
      <c r="D29" s="44" t="s">
        <v>229</v>
      </c>
      <c r="E29" s="45">
        <v>2367</v>
      </c>
      <c r="F29" s="46">
        <v>51.2727705</v>
      </c>
      <c r="G29" s="47">
        <v>2.072332E-2</v>
      </c>
      <c r="H29" s="40" t="s">
        <v>151</v>
      </c>
      <c r="J29" s="7"/>
    </row>
    <row r="30" spans="1:10" x14ac:dyDescent="0.2">
      <c r="A30" s="43">
        <v>24</v>
      </c>
      <c r="B30" s="44" t="s">
        <v>440</v>
      </c>
      <c r="C30" s="44" t="s">
        <v>441</v>
      </c>
      <c r="D30" s="44" t="s">
        <v>219</v>
      </c>
      <c r="E30" s="45">
        <v>7579</v>
      </c>
      <c r="F30" s="46">
        <v>51.207513499999997</v>
      </c>
      <c r="G30" s="47">
        <v>2.069694E-2</v>
      </c>
      <c r="H30" s="40" t="s">
        <v>151</v>
      </c>
      <c r="J30" s="7"/>
    </row>
    <row r="31" spans="1:10" x14ac:dyDescent="0.2">
      <c r="A31" s="43">
        <v>25</v>
      </c>
      <c r="B31" s="44" t="s">
        <v>442</v>
      </c>
      <c r="C31" s="44" t="s">
        <v>443</v>
      </c>
      <c r="D31" s="44" t="s">
        <v>33</v>
      </c>
      <c r="E31" s="45">
        <v>8416</v>
      </c>
      <c r="F31" s="46">
        <v>50.588576000000003</v>
      </c>
      <c r="G31" s="47">
        <v>2.0446780000000001E-2</v>
      </c>
      <c r="H31" s="40" t="s">
        <v>151</v>
      </c>
      <c r="J31" s="7"/>
    </row>
    <row r="32" spans="1:10" x14ac:dyDescent="0.2">
      <c r="A32" s="43">
        <v>26</v>
      </c>
      <c r="B32" s="44" t="s">
        <v>96</v>
      </c>
      <c r="C32" s="44" t="s">
        <v>97</v>
      </c>
      <c r="D32" s="44" t="s">
        <v>33</v>
      </c>
      <c r="E32" s="45">
        <v>1906</v>
      </c>
      <c r="F32" s="46">
        <v>49.337763000000002</v>
      </c>
      <c r="G32" s="47">
        <v>1.9941230000000001E-2</v>
      </c>
      <c r="H32" s="40" t="s">
        <v>151</v>
      </c>
      <c r="J32" s="7"/>
    </row>
    <row r="33" spans="1:10" x14ac:dyDescent="0.2">
      <c r="A33" s="43">
        <v>27</v>
      </c>
      <c r="B33" s="44" t="s">
        <v>446</v>
      </c>
      <c r="C33" s="44" t="s">
        <v>447</v>
      </c>
      <c r="D33" s="44" t="s">
        <v>86</v>
      </c>
      <c r="E33" s="45">
        <v>3328</v>
      </c>
      <c r="F33" s="46">
        <v>44.184192000000003</v>
      </c>
      <c r="G33" s="47">
        <v>1.7858269999999999E-2</v>
      </c>
      <c r="H33" s="40" t="s">
        <v>151</v>
      </c>
      <c r="J33" s="7"/>
    </row>
    <row r="34" spans="1:10" ht="25.5" x14ac:dyDescent="0.2">
      <c r="A34" s="43">
        <v>28</v>
      </c>
      <c r="B34" s="44" t="s">
        <v>291</v>
      </c>
      <c r="C34" s="44" t="s">
        <v>292</v>
      </c>
      <c r="D34" s="44" t="s">
        <v>210</v>
      </c>
      <c r="E34" s="45">
        <v>9440</v>
      </c>
      <c r="F34" s="46">
        <v>43.792160000000003</v>
      </c>
      <c r="G34" s="47">
        <v>1.7699820000000002E-2</v>
      </c>
      <c r="H34" s="40" t="s">
        <v>151</v>
      </c>
      <c r="J34" s="7"/>
    </row>
    <row r="35" spans="1:10" x14ac:dyDescent="0.2">
      <c r="A35" s="43">
        <v>29</v>
      </c>
      <c r="B35" s="44" t="s">
        <v>444</v>
      </c>
      <c r="C35" s="44" t="s">
        <v>445</v>
      </c>
      <c r="D35" s="44" t="s">
        <v>242</v>
      </c>
      <c r="E35" s="45">
        <v>5099</v>
      </c>
      <c r="F35" s="46">
        <v>42.255412999999997</v>
      </c>
      <c r="G35" s="47">
        <v>1.7078699999999999E-2</v>
      </c>
      <c r="H35" s="40" t="s">
        <v>151</v>
      </c>
      <c r="J35" s="7"/>
    </row>
    <row r="36" spans="1:10" x14ac:dyDescent="0.2">
      <c r="A36" s="43">
        <v>30</v>
      </c>
      <c r="B36" s="44" t="s">
        <v>448</v>
      </c>
      <c r="C36" s="44" t="s">
        <v>449</v>
      </c>
      <c r="D36" s="44" t="s">
        <v>100</v>
      </c>
      <c r="E36" s="45">
        <v>5778</v>
      </c>
      <c r="F36" s="46">
        <v>40.893794999999997</v>
      </c>
      <c r="G36" s="47">
        <v>1.6528370000000001E-2</v>
      </c>
      <c r="H36" s="40" t="s">
        <v>151</v>
      </c>
      <c r="J36" s="7"/>
    </row>
    <row r="37" spans="1:10" x14ac:dyDescent="0.2">
      <c r="A37" s="43">
        <v>31</v>
      </c>
      <c r="B37" s="44" t="s">
        <v>264</v>
      </c>
      <c r="C37" s="44" t="s">
        <v>265</v>
      </c>
      <c r="D37" s="44" t="s">
        <v>86</v>
      </c>
      <c r="E37" s="45">
        <v>2453</v>
      </c>
      <c r="F37" s="46">
        <v>37.227954500000003</v>
      </c>
      <c r="G37" s="47">
        <v>1.504671E-2</v>
      </c>
      <c r="H37" s="40" t="s">
        <v>151</v>
      </c>
      <c r="J37" s="7"/>
    </row>
    <row r="38" spans="1:10" x14ac:dyDescent="0.2">
      <c r="A38" s="43">
        <v>32</v>
      </c>
      <c r="B38" s="44" t="s">
        <v>450</v>
      </c>
      <c r="C38" s="44" t="s">
        <v>451</v>
      </c>
      <c r="D38" s="44" t="s">
        <v>100</v>
      </c>
      <c r="E38" s="45">
        <v>4055</v>
      </c>
      <c r="F38" s="46">
        <v>35.538020000000003</v>
      </c>
      <c r="G38" s="47">
        <v>1.436368E-2</v>
      </c>
      <c r="H38" s="40" t="s">
        <v>151</v>
      </c>
      <c r="J38" s="7"/>
    </row>
    <row r="39" spans="1:10" x14ac:dyDescent="0.2">
      <c r="A39" s="43">
        <v>33</v>
      </c>
      <c r="B39" s="44" t="s">
        <v>382</v>
      </c>
      <c r="C39" s="44" t="s">
        <v>383</v>
      </c>
      <c r="D39" s="44" t="s">
        <v>136</v>
      </c>
      <c r="E39" s="45">
        <v>18454</v>
      </c>
      <c r="F39" s="46">
        <v>30.509998199999998</v>
      </c>
      <c r="G39" s="47">
        <v>1.2331470000000001E-2</v>
      </c>
      <c r="H39" s="40" t="s">
        <v>151</v>
      </c>
      <c r="J39" s="7"/>
    </row>
    <row r="40" spans="1:10" x14ac:dyDescent="0.2">
      <c r="A40" s="43">
        <v>34</v>
      </c>
      <c r="B40" s="44" t="s">
        <v>454</v>
      </c>
      <c r="C40" s="44" t="s">
        <v>455</v>
      </c>
      <c r="D40" s="44" t="s">
        <v>76</v>
      </c>
      <c r="E40" s="45">
        <v>2557</v>
      </c>
      <c r="F40" s="46">
        <v>25.947157499999999</v>
      </c>
      <c r="G40" s="47">
        <v>1.048727E-2</v>
      </c>
      <c r="H40" s="40" t="s">
        <v>151</v>
      </c>
      <c r="J40" s="7"/>
    </row>
    <row r="41" spans="1:10" x14ac:dyDescent="0.2">
      <c r="A41" s="43">
        <v>35</v>
      </c>
      <c r="B41" s="44" t="s">
        <v>456</v>
      </c>
      <c r="C41" s="44" t="s">
        <v>457</v>
      </c>
      <c r="D41" s="44" t="s">
        <v>33</v>
      </c>
      <c r="E41" s="45">
        <v>1475</v>
      </c>
      <c r="F41" s="46">
        <v>25.3523</v>
      </c>
      <c r="G41" s="47">
        <v>1.024684E-2</v>
      </c>
      <c r="H41" s="40" t="s">
        <v>151</v>
      </c>
      <c r="J41" s="7"/>
    </row>
    <row r="42" spans="1:10" x14ac:dyDescent="0.2">
      <c r="A42" s="43">
        <v>36</v>
      </c>
      <c r="B42" s="44" t="s">
        <v>458</v>
      </c>
      <c r="C42" s="44" t="s">
        <v>459</v>
      </c>
      <c r="D42" s="44" t="s">
        <v>61</v>
      </c>
      <c r="E42" s="45">
        <v>695</v>
      </c>
      <c r="F42" s="46">
        <v>25.000540000000001</v>
      </c>
      <c r="G42" s="47">
        <v>1.010466E-2</v>
      </c>
      <c r="H42" s="40" t="s">
        <v>151</v>
      </c>
      <c r="J42" s="7"/>
    </row>
    <row r="43" spans="1:10" x14ac:dyDescent="0.2">
      <c r="A43" s="43">
        <v>37</v>
      </c>
      <c r="B43" s="44" t="s">
        <v>460</v>
      </c>
      <c r="C43" s="44" t="s">
        <v>461</v>
      </c>
      <c r="D43" s="44" t="s">
        <v>89</v>
      </c>
      <c r="E43" s="45">
        <v>2606</v>
      </c>
      <c r="F43" s="46">
        <v>15.568244</v>
      </c>
      <c r="G43" s="47">
        <v>6.2923400000000004E-3</v>
      </c>
      <c r="H43" s="40" t="s">
        <v>151</v>
      </c>
      <c r="J43" s="7"/>
    </row>
    <row r="44" spans="1:10" x14ac:dyDescent="0.2">
      <c r="A44" s="43">
        <v>38</v>
      </c>
      <c r="B44" s="44" t="s">
        <v>462</v>
      </c>
      <c r="C44" s="44" t="s">
        <v>463</v>
      </c>
      <c r="D44" s="44" t="s">
        <v>100</v>
      </c>
      <c r="E44" s="45">
        <v>2931</v>
      </c>
      <c r="F44" s="46">
        <v>13.230534</v>
      </c>
      <c r="G44" s="47">
        <v>5.3474899999999999E-3</v>
      </c>
      <c r="H44" s="40" t="s">
        <v>151</v>
      </c>
      <c r="J44" s="7"/>
    </row>
    <row r="45" spans="1:10" x14ac:dyDescent="0.2">
      <c r="A45" s="41"/>
      <c r="B45" s="41"/>
      <c r="C45" s="42" t="s">
        <v>150</v>
      </c>
      <c r="D45" s="41"/>
      <c r="E45" s="41" t="s">
        <v>151</v>
      </c>
      <c r="F45" s="48">
        <v>2389.5180516</v>
      </c>
      <c r="G45" s="49">
        <v>0.96579022000000003</v>
      </c>
      <c r="H45" s="40" t="s">
        <v>151</v>
      </c>
      <c r="J45" s="7"/>
    </row>
    <row r="46" spans="1:10" x14ac:dyDescent="0.2">
      <c r="A46" s="41"/>
      <c r="B46" s="41"/>
      <c r="C46" s="50"/>
      <c r="D46" s="41"/>
      <c r="E46" s="41"/>
      <c r="F46" s="51"/>
      <c r="G46" s="51"/>
      <c r="H46" s="40" t="s">
        <v>151</v>
      </c>
      <c r="J46" s="7"/>
    </row>
    <row r="47" spans="1:10" x14ac:dyDescent="0.2">
      <c r="A47" s="41"/>
      <c r="B47" s="41"/>
      <c r="C47" s="42" t="s">
        <v>152</v>
      </c>
      <c r="D47" s="41"/>
      <c r="E47" s="41"/>
      <c r="F47" s="41"/>
      <c r="G47" s="41"/>
      <c r="H47" s="40" t="s">
        <v>151</v>
      </c>
      <c r="J47" s="7"/>
    </row>
    <row r="48" spans="1:10" x14ac:dyDescent="0.2">
      <c r="A48" s="41"/>
      <c r="B48" s="41"/>
      <c r="C48" s="42" t="s">
        <v>150</v>
      </c>
      <c r="D48" s="41"/>
      <c r="E48" s="41" t="s">
        <v>151</v>
      </c>
      <c r="F48" s="52" t="s">
        <v>153</v>
      </c>
      <c r="G48" s="49">
        <v>0</v>
      </c>
      <c r="H48" s="40" t="s">
        <v>151</v>
      </c>
      <c r="J48" s="7"/>
    </row>
    <row r="49" spans="1:10" x14ac:dyDescent="0.2">
      <c r="A49" s="41"/>
      <c r="B49" s="41"/>
      <c r="C49" s="50"/>
      <c r="D49" s="41"/>
      <c r="E49" s="41"/>
      <c r="F49" s="51"/>
      <c r="G49" s="51"/>
      <c r="H49" s="40" t="s">
        <v>151</v>
      </c>
      <c r="J49" s="7"/>
    </row>
    <row r="50" spans="1:10" x14ac:dyDescent="0.2">
      <c r="A50" s="41"/>
      <c r="B50" s="41"/>
      <c r="C50" s="42" t="s">
        <v>154</v>
      </c>
      <c r="D50" s="41"/>
      <c r="E50" s="41"/>
      <c r="F50" s="41"/>
      <c r="G50" s="41"/>
      <c r="H50" s="40" t="s">
        <v>151</v>
      </c>
      <c r="J50" s="7"/>
    </row>
    <row r="51" spans="1:10" x14ac:dyDescent="0.2">
      <c r="A51" s="41"/>
      <c r="B51" s="41"/>
      <c r="C51" s="42" t="s">
        <v>150</v>
      </c>
      <c r="D51" s="41"/>
      <c r="E51" s="41" t="s">
        <v>151</v>
      </c>
      <c r="F51" s="52" t="s">
        <v>153</v>
      </c>
      <c r="G51" s="49">
        <v>0</v>
      </c>
      <c r="H51" s="40" t="s">
        <v>151</v>
      </c>
      <c r="J51" s="7"/>
    </row>
    <row r="52" spans="1:10" x14ac:dyDescent="0.2">
      <c r="A52" s="41"/>
      <c r="B52" s="41"/>
      <c r="C52" s="50"/>
      <c r="D52" s="41"/>
      <c r="E52" s="41"/>
      <c r="F52" s="51"/>
      <c r="G52" s="51"/>
      <c r="H52" s="40" t="s">
        <v>151</v>
      </c>
      <c r="J52" s="7"/>
    </row>
    <row r="53" spans="1:10" x14ac:dyDescent="0.2">
      <c r="A53" s="41"/>
      <c r="B53" s="41"/>
      <c r="C53" s="42" t="s">
        <v>155</v>
      </c>
      <c r="D53" s="41"/>
      <c r="E53" s="41"/>
      <c r="F53" s="41"/>
      <c r="G53" s="41"/>
      <c r="H53" s="40" t="s">
        <v>151</v>
      </c>
      <c r="J53" s="7"/>
    </row>
    <row r="54" spans="1:10" ht="25.5" x14ac:dyDescent="0.2">
      <c r="A54" s="43">
        <v>1</v>
      </c>
      <c r="B54" s="44" t="s">
        <v>338</v>
      </c>
      <c r="C54" s="83" t="s">
        <v>946</v>
      </c>
      <c r="D54" s="44" t="s">
        <v>33</v>
      </c>
      <c r="E54" s="45">
        <v>81</v>
      </c>
      <c r="F54" s="46">
        <v>8.1032399999999994E-3</v>
      </c>
      <c r="G54" s="47" t="s">
        <v>149</v>
      </c>
      <c r="H54" s="40" t="s">
        <v>151</v>
      </c>
      <c r="J54" s="7"/>
    </row>
    <row r="55" spans="1:10" x14ac:dyDescent="0.2">
      <c r="A55" s="41"/>
      <c r="B55" s="41"/>
      <c r="C55" s="42" t="s">
        <v>150</v>
      </c>
      <c r="D55" s="41"/>
      <c r="E55" s="41" t="s">
        <v>151</v>
      </c>
      <c r="F55" s="48">
        <v>8.1032399999999994E-3</v>
      </c>
      <c r="G55" s="49">
        <v>3.2799999999999999E-6</v>
      </c>
      <c r="H55" s="40" t="s">
        <v>151</v>
      </c>
      <c r="J55" s="7"/>
    </row>
    <row r="56" spans="1:10" x14ac:dyDescent="0.2">
      <c r="A56" s="41"/>
      <c r="B56" s="41"/>
      <c r="C56" s="50"/>
      <c r="D56" s="41"/>
      <c r="E56" s="41"/>
      <c r="F56" s="51"/>
      <c r="G56" s="51"/>
      <c r="H56" s="40" t="s">
        <v>151</v>
      </c>
      <c r="J56" s="7"/>
    </row>
    <row r="57" spans="1:10" x14ac:dyDescent="0.2">
      <c r="A57" s="41"/>
      <c r="B57" s="41"/>
      <c r="C57" s="42" t="s">
        <v>156</v>
      </c>
      <c r="D57" s="41"/>
      <c r="E57" s="41"/>
      <c r="F57" s="51"/>
      <c r="G57" s="51"/>
      <c r="H57" s="40" t="s">
        <v>151</v>
      </c>
      <c r="J57" s="7"/>
    </row>
    <row r="58" spans="1:10" x14ac:dyDescent="0.2">
      <c r="A58" s="41"/>
      <c r="B58" s="41"/>
      <c r="C58" s="42" t="s">
        <v>150</v>
      </c>
      <c r="D58" s="41"/>
      <c r="E58" s="41" t="s">
        <v>151</v>
      </c>
      <c r="F58" s="52" t="s">
        <v>153</v>
      </c>
      <c r="G58" s="49">
        <v>0</v>
      </c>
      <c r="H58" s="40" t="s">
        <v>151</v>
      </c>
      <c r="J58" s="7"/>
    </row>
    <row r="59" spans="1:10" x14ac:dyDescent="0.2">
      <c r="A59" s="41"/>
      <c r="B59" s="41"/>
      <c r="C59" s="50"/>
      <c r="D59" s="41"/>
      <c r="E59" s="41"/>
      <c r="F59" s="51"/>
      <c r="G59" s="51"/>
      <c r="H59" s="40" t="s">
        <v>151</v>
      </c>
      <c r="J59" s="7"/>
    </row>
    <row r="60" spans="1:10" x14ac:dyDescent="0.2">
      <c r="A60" s="41"/>
      <c r="B60" s="41"/>
      <c r="C60" s="42" t="s">
        <v>157</v>
      </c>
      <c r="D60" s="41"/>
      <c r="E60" s="41"/>
      <c r="F60" s="51"/>
      <c r="G60" s="51"/>
      <c r="H60" s="40" t="s">
        <v>151</v>
      </c>
      <c r="J60" s="7"/>
    </row>
    <row r="61" spans="1:10" x14ac:dyDescent="0.2">
      <c r="A61" s="41"/>
      <c r="B61" s="41"/>
      <c r="C61" s="42" t="s">
        <v>150</v>
      </c>
      <c r="D61" s="41"/>
      <c r="E61" s="41" t="s">
        <v>151</v>
      </c>
      <c r="F61" s="52" t="s">
        <v>153</v>
      </c>
      <c r="G61" s="49">
        <v>0</v>
      </c>
      <c r="H61" s="40" t="s">
        <v>151</v>
      </c>
      <c r="J61" s="7"/>
    </row>
    <row r="62" spans="1:10" x14ac:dyDescent="0.2">
      <c r="A62" s="41"/>
      <c r="B62" s="41"/>
      <c r="C62" s="50"/>
      <c r="D62" s="41"/>
      <c r="E62" s="41"/>
      <c r="F62" s="51"/>
      <c r="G62" s="51"/>
      <c r="H62" s="40" t="s">
        <v>151</v>
      </c>
      <c r="J62" s="7"/>
    </row>
    <row r="63" spans="1:10" x14ac:dyDescent="0.2">
      <c r="A63" s="41"/>
      <c r="B63" s="41"/>
      <c r="C63" s="42" t="s">
        <v>158</v>
      </c>
      <c r="D63" s="41"/>
      <c r="E63" s="41"/>
      <c r="F63" s="48">
        <v>2389.5261548399999</v>
      </c>
      <c r="G63" s="49">
        <v>0.96579349999999997</v>
      </c>
      <c r="H63" s="40" t="s">
        <v>151</v>
      </c>
      <c r="J63" s="7"/>
    </row>
    <row r="64" spans="1:10" x14ac:dyDescent="0.2">
      <c r="A64" s="41"/>
      <c r="B64" s="41"/>
      <c r="C64" s="50"/>
      <c r="D64" s="41"/>
      <c r="E64" s="41"/>
      <c r="F64" s="51"/>
      <c r="G64" s="51"/>
      <c r="H64" s="40" t="s">
        <v>151</v>
      </c>
      <c r="J64" s="7"/>
    </row>
    <row r="65" spans="1:10" x14ac:dyDescent="0.2">
      <c r="A65" s="41"/>
      <c r="B65" s="41"/>
      <c r="C65" s="42" t="s">
        <v>159</v>
      </c>
      <c r="D65" s="41"/>
      <c r="E65" s="41"/>
      <c r="F65" s="51"/>
      <c r="G65" s="51"/>
      <c r="H65" s="40" t="s">
        <v>151</v>
      </c>
      <c r="J65" s="7"/>
    </row>
    <row r="66" spans="1:10" x14ac:dyDescent="0.2">
      <c r="A66" s="41"/>
      <c r="B66" s="41"/>
      <c r="C66" s="42" t="s">
        <v>10</v>
      </c>
      <c r="D66" s="41"/>
      <c r="E66" s="41"/>
      <c r="F66" s="51"/>
      <c r="G66" s="51"/>
      <c r="H66" s="40" t="s">
        <v>151</v>
      </c>
      <c r="J66" s="7"/>
    </row>
    <row r="67" spans="1:10" x14ac:dyDescent="0.2">
      <c r="A67" s="41"/>
      <c r="B67" s="41"/>
      <c r="C67" s="42" t="s">
        <v>150</v>
      </c>
      <c r="D67" s="41"/>
      <c r="E67" s="41" t="s">
        <v>151</v>
      </c>
      <c r="F67" s="52" t="s">
        <v>153</v>
      </c>
      <c r="G67" s="49">
        <v>0</v>
      </c>
      <c r="H67" s="40" t="s">
        <v>151</v>
      </c>
      <c r="J67" s="7"/>
    </row>
    <row r="68" spans="1:10" x14ac:dyDescent="0.2">
      <c r="A68" s="41"/>
      <c r="B68" s="41"/>
      <c r="C68" s="50"/>
      <c r="D68" s="41"/>
      <c r="E68" s="41"/>
      <c r="F68" s="51"/>
      <c r="G68" s="51"/>
      <c r="H68" s="40" t="s">
        <v>151</v>
      </c>
      <c r="J68" s="7"/>
    </row>
    <row r="69" spans="1:10" x14ac:dyDescent="0.2">
      <c r="A69" s="41"/>
      <c r="B69" s="41"/>
      <c r="C69" s="42" t="s">
        <v>160</v>
      </c>
      <c r="D69" s="41"/>
      <c r="E69" s="41"/>
      <c r="F69" s="41"/>
      <c r="G69" s="41"/>
      <c r="H69" s="40" t="s">
        <v>151</v>
      </c>
      <c r="J69" s="7"/>
    </row>
    <row r="70" spans="1:10" x14ac:dyDescent="0.2">
      <c r="A70" s="41"/>
      <c r="B70" s="41"/>
      <c r="C70" s="42" t="s">
        <v>150</v>
      </c>
      <c r="D70" s="41"/>
      <c r="E70" s="41" t="s">
        <v>151</v>
      </c>
      <c r="F70" s="52" t="s">
        <v>153</v>
      </c>
      <c r="G70" s="49">
        <v>0</v>
      </c>
      <c r="H70" s="40" t="s">
        <v>151</v>
      </c>
      <c r="J70" s="7"/>
    </row>
    <row r="71" spans="1:10" x14ac:dyDescent="0.2">
      <c r="A71" s="41"/>
      <c r="B71" s="41"/>
      <c r="C71" s="50"/>
      <c r="D71" s="41"/>
      <c r="E71" s="41"/>
      <c r="F71" s="51"/>
      <c r="G71" s="51"/>
      <c r="H71" s="40" t="s">
        <v>151</v>
      </c>
      <c r="J71" s="7"/>
    </row>
    <row r="72" spans="1:10" x14ac:dyDescent="0.2">
      <c r="A72" s="41"/>
      <c r="B72" s="41"/>
      <c r="C72" s="42" t="s">
        <v>161</v>
      </c>
      <c r="D72" s="41"/>
      <c r="E72" s="41"/>
      <c r="F72" s="41"/>
      <c r="G72" s="41"/>
      <c r="H72" s="40" t="s">
        <v>151</v>
      </c>
      <c r="J72" s="7"/>
    </row>
    <row r="73" spans="1:10" x14ac:dyDescent="0.2">
      <c r="A73" s="41"/>
      <c r="B73" s="41"/>
      <c r="C73" s="42" t="s">
        <v>150</v>
      </c>
      <c r="D73" s="41"/>
      <c r="E73" s="41" t="s">
        <v>151</v>
      </c>
      <c r="F73" s="52" t="s">
        <v>153</v>
      </c>
      <c r="G73" s="49">
        <v>0</v>
      </c>
      <c r="H73" s="40" t="s">
        <v>151</v>
      </c>
      <c r="J73" s="7"/>
    </row>
    <row r="74" spans="1:10" x14ac:dyDescent="0.2">
      <c r="A74" s="41"/>
      <c r="B74" s="41"/>
      <c r="C74" s="50"/>
      <c r="D74" s="41"/>
      <c r="E74" s="41"/>
      <c r="F74" s="51"/>
      <c r="G74" s="51"/>
      <c r="H74" s="40" t="s">
        <v>151</v>
      </c>
      <c r="J74" s="7"/>
    </row>
    <row r="75" spans="1:10" x14ac:dyDescent="0.2">
      <c r="A75" s="41"/>
      <c r="B75" s="41"/>
      <c r="C75" s="42" t="s">
        <v>162</v>
      </c>
      <c r="D75" s="41"/>
      <c r="E75" s="41"/>
      <c r="F75" s="51"/>
      <c r="G75" s="51"/>
      <c r="H75" s="40" t="s">
        <v>151</v>
      </c>
      <c r="J75" s="7"/>
    </row>
    <row r="76" spans="1:10" x14ac:dyDescent="0.2">
      <c r="A76" s="41"/>
      <c r="B76" s="41"/>
      <c r="C76" s="42" t="s">
        <v>150</v>
      </c>
      <c r="D76" s="41"/>
      <c r="E76" s="41" t="s">
        <v>151</v>
      </c>
      <c r="F76" s="52" t="s">
        <v>153</v>
      </c>
      <c r="G76" s="49">
        <v>0</v>
      </c>
      <c r="H76" s="40" t="s">
        <v>151</v>
      </c>
      <c r="J76" s="7"/>
    </row>
    <row r="77" spans="1:10" x14ac:dyDescent="0.2">
      <c r="A77" s="41"/>
      <c r="B77" s="41"/>
      <c r="C77" s="50"/>
      <c r="D77" s="41"/>
      <c r="E77" s="41"/>
      <c r="F77" s="51"/>
      <c r="G77" s="51"/>
      <c r="H77" s="40" t="s">
        <v>151</v>
      </c>
      <c r="J77" s="7"/>
    </row>
    <row r="78" spans="1:10" x14ac:dyDescent="0.2">
      <c r="A78" s="41"/>
      <c r="B78" s="41"/>
      <c r="C78" s="42" t="s">
        <v>163</v>
      </c>
      <c r="D78" s="41"/>
      <c r="E78" s="41"/>
      <c r="F78" s="48">
        <v>0</v>
      </c>
      <c r="G78" s="49">
        <v>0</v>
      </c>
      <c r="H78" s="40" t="s">
        <v>151</v>
      </c>
      <c r="J78" s="7"/>
    </row>
    <row r="79" spans="1:10" x14ac:dyDescent="0.2">
      <c r="A79" s="41"/>
      <c r="B79" s="41"/>
      <c r="C79" s="50"/>
      <c r="D79" s="41"/>
      <c r="E79" s="41"/>
      <c r="F79" s="51"/>
      <c r="G79" s="51"/>
      <c r="H79" s="40" t="s">
        <v>151</v>
      </c>
      <c r="J79" s="7"/>
    </row>
    <row r="80" spans="1:10" x14ac:dyDescent="0.2">
      <c r="A80" s="41"/>
      <c r="B80" s="41"/>
      <c r="C80" s="42" t="s">
        <v>164</v>
      </c>
      <c r="D80" s="41"/>
      <c r="E80" s="41"/>
      <c r="F80" s="51"/>
      <c r="G80" s="51"/>
      <c r="H80" s="40" t="s">
        <v>151</v>
      </c>
      <c r="J80" s="7"/>
    </row>
    <row r="81" spans="1:10" x14ac:dyDescent="0.2">
      <c r="A81" s="41"/>
      <c r="B81" s="41"/>
      <c r="C81" s="42" t="s">
        <v>165</v>
      </c>
      <c r="D81" s="41"/>
      <c r="E81" s="41"/>
      <c r="F81" s="51"/>
      <c r="G81" s="51"/>
      <c r="H81" s="40" t="s">
        <v>151</v>
      </c>
      <c r="J81" s="7"/>
    </row>
    <row r="82" spans="1:10" x14ac:dyDescent="0.2">
      <c r="A82" s="41"/>
      <c r="B82" s="41"/>
      <c r="C82" s="42" t="s">
        <v>150</v>
      </c>
      <c r="D82" s="41"/>
      <c r="E82" s="41" t="s">
        <v>151</v>
      </c>
      <c r="F82" s="52" t="s">
        <v>153</v>
      </c>
      <c r="G82" s="49">
        <v>0</v>
      </c>
      <c r="H82" s="40" t="s">
        <v>151</v>
      </c>
      <c r="J82" s="7"/>
    </row>
    <row r="83" spans="1:10" x14ac:dyDescent="0.2">
      <c r="A83" s="41"/>
      <c r="B83" s="41"/>
      <c r="C83" s="50"/>
      <c r="D83" s="41"/>
      <c r="E83" s="41"/>
      <c r="F83" s="51"/>
      <c r="G83" s="51"/>
      <c r="H83" s="40" t="s">
        <v>151</v>
      </c>
      <c r="J83" s="7"/>
    </row>
    <row r="84" spans="1:10" x14ac:dyDescent="0.2">
      <c r="A84" s="41"/>
      <c r="B84" s="41"/>
      <c r="C84" s="42" t="s">
        <v>166</v>
      </c>
      <c r="D84" s="41"/>
      <c r="E84" s="41"/>
      <c r="F84" s="51"/>
      <c r="G84" s="51"/>
      <c r="H84" s="40" t="s">
        <v>151</v>
      </c>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167</v>
      </c>
      <c r="D87" s="41"/>
      <c r="E87" s="41"/>
      <c r="F87" s="51"/>
      <c r="G87" s="51"/>
      <c r="H87" s="40" t="s">
        <v>151</v>
      </c>
      <c r="J87" s="7"/>
    </row>
    <row r="88" spans="1:10" x14ac:dyDescent="0.2">
      <c r="A88" s="41"/>
      <c r="B88" s="41"/>
      <c r="C88" s="42" t="s">
        <v>150</v>
      </c>
      <c r="D88" s="41"/>
      <c r="E88" s="41" t="s">
        <v>151</v>
      </c>
      <c r="F88" s="52" t="s">
        <v>153</v>
      </c>
      <c r="G88" s="49">
        <v>0</v>
      </c>
      <c r="H88" s="40" t="s">
        <v>151</v>
      </c>
      <c r="J88" s="7"/>
    </row>
    <row r="89" spans="1:10" x14ac:dyDescent="0.2">
      <c r="A89" s="41"/>
      <c r="B89" s="41"/>
      <c r="C89" s="50"/>
      <c r="D89" s="41"/>
      <c r="E89" s="41"/>
      <c r="F89" s="51"/>
      <c r="G89" s="51"/>
      <c r="H89" s="40" t="s">
        <v>151</v>
      </c>
      <c r="J89" s="7"/>
    </row>
    <row r="90" spans="1:10" x14ac:dyDescent="0.2">
      <c r="A90" s="41"/>
      <c r="B90" s="41"/>
      <c r="C90" s="42" t="s">
        <v>168</v>
      </c>
      <c r="D90" s="41"/>
      <c r="E90" s="41"/>
      <c r="F90" s="51"/>
      <c r="G90" s="51"/>
      <c r="H90" s="40" t="s">
        <v>151</v>
      </c>
      <c r="J90" s="7"/>
    </row>
    <row r="91" spans="1:10" x14ac:dyDescent="0.2">
      <c r="A91" s="43">
        <v>1</v>
      </c>
      <c r="B91" s="44"/>
      <c r="C91" s="44" t="s">
        <v>169</v>
      </c>
      <c r="D91" s="44"/>
      <c r="E91" s="54"/>
      <c r="F91" s="46">
        <v>81.553503000000006</v>
      </c>
      <c r="G91" s="47">
        <v>3.2962119999999998E-2</v>
      </c>
      <c r="H91" s="40">
        <v>6.39</v>
      </c>
      <c r="J91" s="7"/>
    </row>
    <row r="92" spans="1:10" x14ac:dyDescent="0.2">
      <c r="A92" s="41"/>
      <c r="B92" s="41"/>
      <c r="C92" s="42" t="s">
        <v>150</v>
      </c>
      <c r="D92" s="41"/>
      <c r="E92" s="41" t="s">
        <v>151</v>
      </c>
      <c r="F92" s="48">
        <v>81.553503000000006</v>
      </c>
      <c r="G92" s="49">
        <v>3.2962119999999998E-2</v>
      </c>
      <c r="H92" s="40" t="s">
        <v>151</v>
      </c>
      <c r="J92" s="7"/>
    </row>
    <row r="93" spans="1:10" x14ac:dyDescent="0.2">
      <c r="A93" s="41"/>
      <c r="B93" s="41"/>
      <c r="C93" s="50"/>
      <c r="D93" s="41"/>
      <c r="E93" s="41"/>
      <c r="F93" s="51"/>
      <c r="G93" s="51"/>
      <c r="H93" s="40" t="s">
        <v>151</v>
      </c>
      <c r="J93" s="7"/>
    </row>
    <row r="94" spans="1:10" x14ac:dyDescent="0.2">
      <c r="A94" s="41"/>
      <c r="B94" s="41"/>
      <c r="C94" s="42" t="s">
        <v>170</v>
      </c>
      <c r="D94" s="41"/>
      <c r="E94" s="41"/>
      <c r="F94" s="48">
        <v>81.553503000000006</v>
      </c>
      <c r="G94" s="49">
        <v>3.2962119999999998E-2</v>
      </c>
      <c r="H94" s="40" t="s">
        <v>151</v>
      </c>
      <c r="J94" s="7"/>
    </row>
    <row r="95" spans="1:10" x14ac:dyDescent="0.2">
      <c r="A95" s="41"/>
      <c r="B95" s="41"/>
      <c r="C95" s="51"/>
      <c r="D95" s="41"/>
      <c r="E95" s="41"/>
      <c r="F95" s="41"/>
      <c r="G95" s="41"/>
      <c r="H95" s="40" t="s">
        <v>151</v>
      </c>
      <c r="J95" s="7"/>
    </row>
    <row r="96" spans="1:10" x14ac:dyDescent="0.2">
      <c r="A96" s="41"/>
      <c r="B96" s="41"/>
      <c r="C96" s="42" t="s">
        <v>171</v>
      </c>
      <c r="D96" s="41"/>
      <c r="E96" s="41"/>
      <c r="F96" s="41"/>
      <c r="G96" s="41"/>
      <c r="H96" s="40" t="s">
        <v>151</v>
      </c>
      <c r="J96" s="7"/>
    </row>
    <row r="97" spans="1:10" x14ac:dyDescent="0.2">
      <c r="A97" s="41"/>
      <c r="B97" s="41"/>
      <c r="C97" s="42" t="s">
        <v>172</v>
      </c>
      <c r="D97" s="41"/>
      <c r="E97" s="41"/>
      <c r="F97" s="41"/>
      <c r="G97" s="41"/>
      <c r="H97" s="40" t="s">
        <v>151</v>
      </c>
      <c r="J97" s="7"/>
    </row>
    <row r="98" spans="1:10" x14ac:dyDescent="0.2">
      <c r="A98" s="41"/>
      <c r="B98" s="41"/>
      <c r="C98" s="42" t="s">
        <v>150</v>
      </c>
      <c r="D98" s="41"/>
      <c r="E98" s="41" t="s">
        <v>151</v>
      </c>
      <c r="F98" s="52" t="s">
        <v>153</v>
      </c>
      <c r="G98" s="49">
        <v>0</v>
      </c>
      <c r="H98" s="40" t="s">
        <v>151</v>
      </c>
      <c r="J98" s="7"/>
    </row>
    <row r="99" spans="1:10" x14ac:dyDescent="0.2">
      <c r="A99" s="41"/>
      <c r="B99" s="41"/>
      <c r="C99" s="50"/>
      <c r="D99" s="41"/>
      <c r="E99" s="41"/>
      <c r="F99" s="51"/>
      <c r="G99" s="51"/>
      <c r="H99" s="40" t="s">
        <v>151</v>
      </c>
      <c r="J99" s="7"/>
    </row>
    <row r="100" spans="1:10" x14ac:dyDescent="0.2">
      <c r="A100" s="41"/>
      <c r="B100" s="41"/>
      <c r="C100" s="42" t="s">
        <v>173</v>
      </c>
      <c r="D100" s="41"/>
      <c r="E100" s="41"/>
      <c r="F100" s="41"/>
      <c r="G100" s="41"/>
      <c r="H100" s="40" t="s">
        <v>151</v>
      </c>
      <c r="J100" s="7"/>
    </row>
    <row r="101" spans="1:10" x14ac:dyDescent="0.2">
      <c r="A101" s="41"/>
      <c r="B101" s="41"/>
      <c r="C101" s="42" t="s">
        <v>174</v>
      </c>
      <c r="D101" s="41"/>
      <c r="E101" s="41"/>
      <c r="F101" s="41"/>
      <c r="G101" s="41"/>
      <c r="H101" s="40" t="s">
        <v>151</v>
      </c>
      <c r="J101" s="7"/>
    </row>
    <row r="102" spans="1:10" x14ac:dyDescent="0.2">
      <c r="A102" s="41"/>
      <c r="B102" s="41"/>
      <c r="C102" s="42" t="s">
        <v>150</v>
      </c>
      <c r="D102" s="41"/>
      <c r="E102" s="41" t="s">
        <v>151</v>
      </c>
      <c r="F102" s="52" t="s">
        <v>153</v>
      </c>
      <c r="G102" s="49">
        <v>0</v>
      </c>
      <c r="H102" s="40" t="s">
        <v>151</v>
      </c>
      <c r="J102" s="7"/>
    </row>
    <row r="103" spans="1:10" x14ac:dyDescent="0.2">
      <c r="A103" s="41"/>
      <c r="B103" s="41"/>
      <c r="C103" s="50"/>
      <c r="D103" s="41"/>
      <c r="E103" s="41"/>
      <c r="F103" s="51"/>
      <c r="G103" s="51"/>
      <c r="H103" s="40" t="s">
        <v>151</v>
      </c>
      <c r="J103" s="7"/>
    </row>
    <row r="104" spans="1:10" x14ac:dyDescent="0.2">
      <c r="A104" s="41"/>
      <c r="B104" s="41"/>
      <c r="C104" s="42" t="s">
        <v>175</v>
      </c>
      <c r="D104" s="41"/>
      <c r="E104" s="41"/>
      <c r="F104" s="51"/>
      <c r="G104" s="51"/>
      <c r="H104" s="40" t="s">
        <v>151</v>
      </c>
      <c r="J104" s="7"/>
    </row>
    <row r="105" spans="1:10" x14ac:dyDescent="0.2">
      <c r="A105" s="41"/>
      <c r="B105" s="41"/>
      <c r="C105" s="42" t="s">
        <v>150</v>
      </c>
      <c r="D105" s="41"/>
      <c r="E105" s="41" t="s">
        <v>151</v>
      </c>
      <c r="F105" s="52" t="s">
        <v>153</v>
      </c>
      <c r="G105" s="49">
        <v>0</v>
      </c>
      <c r="H105" s="40" t="s">
        <v>151</v>
      </c>
      <c r="J105" s="7"/>
    </row>
    <row r="106" spans="1:10" x14ac:dyDescent="0.2">
      <c r="A106" s="41"/>
      <c r="B106" s="41"/>
      <c r="C106" s="50"/>
      <c r="D106" s="41"/>
      <c r="E106" s="41"/>
      <c r="F106" s="51"/>
      <c r="G106" s="51"/>
      <c r="H106" s="40" t="s">
        <v>151</v>
      </c>
      <c r="J106" s="7"/>
    </row>
    <row r="107" spans="1:10" x14ac:dyDescent="0.2">
      <c r="A107" s="41"/>
      <c r="B107" s="44"/>
      <c r="C107" s="44"/>
      <c r="D107" s="42"/>
      <c r="E107" s="41"/>
      <c r="F107" s="44"/>
      <c r="G107" s="54"/>
      <c r="H107" s="40" t="s">
        <v>151</v>
      </c>
      <c r="J107" s="7"/>
    </row>
    <row r="108" spans="1:10" x14ac:dyDescent="0.2">
      <c r="A108" s="54"/>
      <c r="B108" s="44"/>
      <c r="C108" s="44" t="s">
        <v>176</v>
      </c>
      <c r="D108" s="44"/>
      <c r="E108" s="54"/>
      <c r="F108" s="46">
        <v>3.0787811399999998</v>
      </c>
      <c r="G108" s="47">
        <v>1.24438E-3</v>
      </c>
      <c r="H108" s="40" t="s">
        <v>151</v>
      </c>
      <c r="J108" s="7"/>
    </row>
    <row r="109" spans="1:10" x14ac:dyDescent="0.2">
      <c r="A109" s="50"/>
      <c r="B109" s="50"/>
      <c r="C109" s="42" t="s">
        <v>177</v>
      </c>
      <c r="D109" s="51"/>
      <c r="E109" s="51"/>
      <c r="F109" s="48">
        <v>2474.15843898</v>
      </c>
      <c r="G109" s="55">
        <v>1</v>
      </c>
      <c r="H109" s="40" t="s">
        <v>151</v>
      </c>
      <c r="J109" s="7"/>
    </row>
    <row r="110" spans="1:10" x14ac:dyDescent="0.2">
      <c r="A110" s="56"/>
      <c r="B110" s="56"/>
      <c r="C110" s="56"/>
      <c r="D110" s="57"/>
      <c r="E110" s="57"/>
      <c r="F110" s="57"/>
      <c r="G110" s="57"/>
      <c r="J110" s="7"/>
    </row>
    <row r="111" spans="1:10" ht="12.75" customHeight="1" x14ac:dyDescent="0.2">
      <c r="A111" s="58"/>
      <c r="B111" s="159" t="s">
        <v>923</v>
      </c>
      <c r="C111" s="159"/>
      <c r="D111" s="159"/>
      <c r="E111" s="159"/>
      <c r="F111" s="159"/>
      <c r="G111" s="159"/>
      <c r="H111" s="159"/>
      <c r="J111" s="7"/>
    </row>
    <row r="112" spans="1:10" ht="14.1" customHeight="1" x14ac:dyDescent="0.2">
      <c r="A112" s="58"/>
      <c r="B112" s="159" t="s">
        <v>924</v>
      </c>
      <c r="C112" s="159"/>
      <c r="D112" s="159"/>
      <c r="E112" s="159"/>
      <c r="F112" s="159"/>
      <c r="G112" s="159"/>
      <c r="H112" s="159"/>
      <c r="J112" s="7"/>
    </row>
    <row r="113" spans="1:17" ht="17.100000000000001" customHeight="1" x14ac:dyDescent="0.2">
      <c r="A113" s="58"/>
      <c r="B113" s="159" t="s">
        <v>925</v>
      </c>
      <c r="C113" s="159"/>
      <c r="D113" s="159"/>
      <c r="E113" s="159"/>
      <c r="F113" s="159"/>
      <c r="G113" s="159"/>
      <c r="H113" s="159"/>
      <c r="J113" s="7"/>
    </row>
    <row r="114" spans="1:17" s="8" customFormat="1" ht="65.25" customHeight="1" x14ac:dyDescent="0.25">
      <c r="A114" s="60"/>
      <c r="B114" s="160" t="s">
        <v>926</v>
      </c>
      <c r="C114" s="160"/>
      <c r="D114" s="160"/>
      <c r="E114" s="160"/>
      <c r="F114" s="160"/>
      <c r="G114" s="160"/>
      <c r="H114" s="160"/>
      <c r="I114"/>
      <c r="J114" s="7"/>
      <c r="K114"/>
      <c r="L114"/>
      <c r="M114"/>
      <c r="N114"/>
      <c r="O114"/>
      <c r="P114"/>
      <c r="Q114"/>
    </row>
    <row r="115" spans="1:17" ht="12.75" customHeight="1" x14ac:dyDescent="0.2">
      <c r="A115" s="58"/>
      <c r="B115" s="159" t="s">
        <v>927</v>
      </c>
      <c r="C115" s="159"/>
      <c r="D115" s="159"/>
      <c r="E115" s="159"/>
      <c r="F115" s="159"/>
      <c r="G115" s="159"/>
      <c r="H115" s="159"/>
      <c r="J115" s="7"/>
    </row>
    <row r="116" spans="1:17" x14ac:dyDescent="0.2">
      <c r="A116" s="61"/>
      <c r="B116" s="61"/>
      <c r="C116" s="61"/>
      <c r="D116" s="62"/>
      <c r="E116" s="62"/>
      <c r="F116" s="62"/>
      <c r="G116" s="62"/>
      <c r="J116" s="7"/>
    </row>
    <row r="117" spans="1:17" x14ac:dyDescent="0.2">
      <c r="A117" s="61"/>
      <c r="B117" s="161" t="s">
        <v>178</v>
      </c>
      <c r="C117" s="162"/>
      <c r="D117" s="163"/>
      <c r="E117" s="63"/>
      <c r="F117" s="62"/>
      <c r="G117" s="62"/>
      <c r="J117" s="7"/>
    </row>
    <row r="118" spans="1:17" x14ac:dyDescent="0.2">
      <c r="A118" s="61"/>
      <c r="B118" s="156" t="s">
        <v>179</v>
      </c>
      <c r="C118" s="157"/>
      <c r="D118" s="42" t="s">
        <v>180</v>
      </c>
      <c r="E118" s="63"/>
      <c r="F118" s="62"/>
      <c r="G118" s="62"/>
      <c r="J118" s="7"/>
    </row>
    <row r="119" spans="1:17" ht="12.75" customHeight="1" x14ac:dyDescent="0.2">
      <c r="A119" s="58"/>
      <c r="B119" s="164" t="s">
        <v>939</v>
      </c>
      <c r="C119" s="165"/>
      <c r="D119" s="64" t="str">
        <f>"Rs. "&amp;TEXT(F55,"0.00")&amp;" lacs/ #"</f>
        <v>Rs. 0.01 lacs/ #</v>
      </c>
      <c r="E119" s="65"/>
      <c r="F119" s="66"/>
      <c r="G119" s="66"/>
      <c r="J119" s="7"/>
    </row>
    <row r="120" spans="1:17" x14ac:dyDescent="0.2">
      <c r="A120" s="61"/>
      <c r="B120" s="156" t="s">
        <v>182</v>
      </c>
      <c r="C120" s="157"/>
      <c r="D120" s="51" t="s">
        <v>151</v>
      </c>
      <c r="E120" s="63"/>
      <c r="F120" s="62"/>
      <c r="G120" s="62"/>
      <c r="J120" s="7"/>
    </row>
    <row r="121" spans="1:17" x14ac:dyDescent="0.2">
      <c r="A121" s="67"/>
      <c r="B121" s="68" t="s">
        <v>151</v>
      </c>
      <c r="C121" s="68" t="s">
        <v>937</v>
      </c>
      <c r="D121" s="68" t="s">
        <v>183</v>
      </c>
      <c r="E121" s="67"/>
      <c r="F121" s="67"/>
      <c r="G121" s="67"/>
      <c r="H121" s="67"/>
      <c r="J121" s="7"/>
    </row>
    <row r="122" spans="1:17" x14ac:dyDescent="0.2">
      <c r="A122" s="69"/>
      <c r="B122" s="70" t="s">
        <v>184</v>
      </c>
      <c r="C122" s="80" t="s">
        <v>185</v>
      </c>
      <c r="D122" s="80" t="s">
        <v>186</v>
      </c>
      <c r="E122" s="69"/>
      <c r="F122" s="69"/>
      <c r="G122" s="69"/>
      <c r="J122" s="7"/>
    </row>
    <row r="123" spans="1:17" x14ac:dyDescent="0.2">
      <c r="A123" s="69"/>
      <c r="B123" s="44" t="s">
        <v>187</v>
      </c>
      <c r="C123" s="72">
        <v>32.791699999999999</v>
      </c>
      <c r="D123" s="72">
        <v>33.023400000000002</v>
      </c>
      <c r="E123" s="69"/>
      <c r="F123" s="73"/>
      <c r="G123" s="74"/>
      <c r="J123" s="7"/>
    </row>
    <row r="124" spans="1:17" x14ac:dyDescent="0.2">
      <c r="A124" s="69"/>
      <c r="B124" s="44" t="s">
        <v>1094</v>
      </c>
      <c r="C124" s="72">
        <v>30.128299999999999</v>
      </c>
      <c r="D124" s="72">
        <v>30.341200000000001</v>
      </c>
      <c r="E124" s="69"/>
      <c r="F124" s="73"/>
      <c r="G124" s="74"/>
      <c r="J124" s="7"/>
    </row>
    <row r="125" spans="1:17" x14ac:dyDescent="0.2">
      <c r="A125" s="69"/>
      <c r="B125" s="44" t="s">
        <v>188</v>
      </c>
      <c r="C125" s="72">
        <v>32.225700000000003</v>
      </c>
      <c r="D125" s="72">
        <v>32.447400000000002</v>
      </c>
      <c r="E125" s="69"/>
      <c r="F125" s="73"/>
      <c r="G125" s="74"/>
      <c r="J125" s="7"/>
    </row>
    <row r="126" spans="1:17" x14ac:dyDescent="0.2">
      <c r="A126" s="69"/>
      <c r="B126" s="44" t="s">
        <v>1095</v>
      </c>
      <c r="C126" s="72">
        <v>29.572199999999999</v>
      </c>
      <c r="D126" s="72">
        <v>29.775600000000001</v>
      </c>
      <c r="E126" s="69"/>
      <c r="F126" s="73"/>
      <c r="G126" s="74"/>
      <c r="J126" s="7"/>
    </row>
    <row r="127" spans="1:17" x14ac:dyDescent="0.2">
      <c r="A127" s="69"/>
      <c r="B127" s="69"/>
      <c r="C127" s="69"/>
      <c r="D127" s="69"/>
      <c r="E127" s="69"/>
      <c r="F127" s="69"/>
      <c r="G127" s="69"/>
      <c r="J127" s="7"/>
    </row>
    <row r="128" spans="1:17" x14ac:dyDescent="0.2">
      <c r="A128" s="67"/>
      <c r="B128" s="164" t="s">
        <v>940</v>
      </c>
      <c r="C128" s="165"/>
      <c r="D128" s="64" t="s">
        <v>180</v>
      </c>
      <c r="E128" s="67"/>
      <c r="F128" s="67"/>
      <c r="G128" s="67"/>
      <c r="J128" s="7"/>
    </row>
    <row r="129" spans="1:10" x14ac:dyDescent="0.2">
      <c r="A129" s="67"/>
      <c r="B129" s="84"/>
      <c r="C129" s="84"/>
      <c r="D129" s="84"/>
      <c r="E129" s="67"/>
      <c r="F129" s="67"/>
      <c r="G129" s="67"/>
      <c r="J129" s="7"/>
    </row>
    <row r="130" spans="1:10" x14ac:dyDescent="0.2">
      <c r="A130" s="67"/>
      <c r="B130" s="164" t="s">
        <v>189</v>
      </c>
      <c r="C130" s="165"/>
      <c r="D130" s="64" t="s">
        <v>180</v>
      </c>
      <c r="E130" s="84"/>
      <c r="F130" s="84"/>
      <c r="G130" s="84"/>
      <c r="J130" s="7"/>
    </row>
    <row r="131" spans="1:10" x14ac:dyDescent="0.2">
      <c r="A131" s="67"/>
      <c r="B131" s="164" t="s">
        <v>190</v>
      </c>
      <c r="C131" s="165"/>
      <c r="D131" s="64" t="s">
        <v>180</v>
      </c>
      <c r="E131" s="67"/>
      <c r="F131" s="67"/>
      <c r="G131" s="67"/>
      <c r="J131" s="7"/>
    </row>
    <row r="132" spans="1:10" ht="12.75" customHeight="1" x14ac:dyDescent="0.2">
      <c r="A132" s="67"/>
      <c r="B132" s="164" t="s">
        <v>191</v>
      </c>
      <c r="C132" s="165"/>
      <c r="D132" s="64" t="s">
        <v>180</v>
      </c>
      <c r="E132" s="75"/>
      <c r="F132" s="67"/>
      <c r="G132" s="67"/>
      <c r="J132" s="7"/>
    </row>
    <row r="133" spans="1:10" ht="12.75" customHeight="1" x14ac:dyDescent="0.2">
      <c r="A133" s="67"/>
      <c r="B133" s="164" t="s">
        <v>192</v>
      </c>
      <c r="C133" s="165"/>
      <c r="D133" s="76">
        <v>0.27129650222506735</v>
      </c>
      <c r="E133" s="75"/>
      <c r="F133" s="67"/>
      <c r="G133" s="67"/>
      <c r="J133" s="7"/>
    </row>
    <row r="134" spans="1:10" x14ac:dyDescent="0.2">
      <c r="J134" s="7"/>
    </row>
    <row r="135" spans="1:10" x14ac:dyDescent="0.2">
      <c r="J135" s="7"/>
    </row>
    <row r="136" spans="1:10" x14ac:dyDescent="0.2">
      <c r="J136" s="7"/>
    </row>
    <row r="137" spans="1:10" x14ac:dyDescent="0.2">
      <c r="J137" s="7"/>
    </row>
    <row r="138" spans="1:10" x14ac:dyDescent="0.2">
      <c r="J138" s="7"/>
    </row>
    <row r="139" spans="1:10" x14ac:dyDescent="0.2">
      <c r="J139" s="7"/>
    </row>
    <row r="140" spans="1:10" x14ac:dyDescent="0.2">
      <c r="J140" s="7"/>
    </row>
    <row r="141" spans="1:10" x14ac:dyDescent="0.2">
      <c r="J141" s="7"/>
    </row>
  </sheetData>
  <mergeCells count="17">
    <mergeCell ref="B119:C119"/>
    <mergeCell ref="B120:C120"/>
    <mergeCell ref="B128:C128"/>
    <mergeCell ref="B132:C132"/>
    <mergeCell ref="B133:C133"/>
    <mergeCell ref="B130:C130"/>
    <mergeCell ref="B131:C131"/>
    <mergeCell ref="B118:C118"/>
    <mergeCell ref="A1:H1"/>
    <mergeCell ref="A2:H2"/>
    <mergeCell ref="A3:H3"/>
    <mergeCell ref="B111:H111"/>
    <mergeCell ref="B112:H112"/>
    <mergeCell ref="B113:H113"/>
    <mergeCell ref="B114:H114"/>
    <mergeCell ref="B115:H115"/>
    <mergeCell ref="B117:D117"/>
  </mergeCells>
  <hyperlinks>
    <hyperlink ref="I1" location="Index!B7" display="Index" xr:uid="{02F5FE4D-5D8A-4442-B65A-2FABF6B0A22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0452D-9BAE-4646-9FB2-360320F85391}">
  <sheetPr>
    <outlinePr summaryBelow="0" summaryRight="0"/>
  </sheetPr>
  <dimension ref="A1:Q126"/>
  <sheetViews>
    <sheetView showGridLines="0" workbookViewId="0">
      <selection sqref="A1:H1"/>
    </sheetView>
  </sheetViews>
  <sheetFormatPr defaultRowHeight="12.75" x14ac:dyDescent="0.2"/>
  <cols>
    <col min="1" max="1" width="5.85546875" bestFit="1" customWidth="1"/>
    <col min="2" max="2" width="19.7109375" bestFit="1" customWidth="1"/>
    <col min="3" max="3" width="37.28515625" customWidth="1"/>
    <col min="4" max="4" width="17.7109375" bestFit="1" customWidth="1"/>
    <col min="5" max="5" width="8.7109375" bestFit="1" customWidth="1"/>
    <col min="6" max="6" width="10.140625" bestFit="1" customWidth="1"/>
    <col min="7" max="7" width="8.7109375" customWidth="1"/>
    <col min="8" max="8" width="8.42578125" bestFit="1" customWidth="1"/>
    <col min="9" max="9" width="5.710937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465</v>
      </c>
      <c r="B2" s="158"/>
      <c r="C2" s="158"/>
      <c r="D2" s="158"/>
      <c r="E2" s="158"/>
      <c r="F2" s="158"/>
      <c r="G2" s="158"/>
      <c r="H2" s="158"/>
      <c r="J2" s="11" t="s">
        <v>942</v>
      </c>
    </row>
    <row r="3" spans="1:10" ht="15" customHeight="1" x14ac:dyDescent="0.2">
      <c r="A3" s="158" t="s">
        <v>880</v>
      </c>
      <c r="B3" s="158"/>
      <c r="C3" s="158"/>
      <c r="D3" s="158"/>
      <c r="E3" s="158"/>
      <c r="F3" s="158"/>
      <c r="G3" s="158"/>
      <c r="H3" s="158"/>
      <c r="J3" s="7"/>
    </row>
    <row r="4" spans="1:10" s="1" customFormat="1" ht="33" customHeight="1"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43</v>
      </c>
      <c r="C7" s="44" t="s">
        <v>44</v>
      </c>
      <c r="D7" s="44" t="s">
        <v>45</v>
      </c>
      <c r="E7" s="45">
        <v>16013</v>
      </c>
      <c r="F7" s="46">
        <v>194.54193699999999</v>
      </c>
      <c r="G7" s="47">
        <v>9.2118259999999993E-2</v>
      </c>
      <c r="H7" s="40" t="s">
        <v>151</v>
      </c>
      <c r="J7" s="7"/>
    </row>
    <row r="8" spans="1:10" x14ac:dyDescent="0.2">
      <c r="A8" s="43">
        <v>2</v>
      </c>
      <c r="B8" s="44" t="s">
        <v>20</v>
      </c>
      <c r="C8" s="44" t="s">
        <v>21</v>
      </c>
      <c r="D8" s="44" t="s">
        <v>22</v>
      </c>
      <c r="E8" s="45">
        <v>5610</v>
      </c>
      <c r="F8" s="46">
        <v>168.90868499999999</v>
      </c>
      <c r="G8" s="47">
        <v>7.9980570000000001E-2</v>
      </c>
      <c r="H8" s="40" t="s">
        <v>151</v>
      </c>
      <c r="J8" s="7"/>
    </row>
    <row r="9" spans="1:10" x14ac:dyDescent="0.2">
      <c r="A9" s="43">
        <v>3</v>
      </c>
      <c r="B9" s="44" t="s">
        <v>341</v>
      </c>
      <c r="C9" s="44" t="s">
        <v>342</v>
      </c>
      <c r="D9" s="44" t="s">
        <v>45</v>
      </c>
      <c r="E9" s="45">
        <v>10200</v>
      </c>
      <c r="F9" s="46">
        <v>164.8065</v>
      </c>
      <c r="G9" s="47">
        <v>7.8038120000000002E-2</v>
      </c>
      <c r="H9" s="40" t="s">
        <v>151</v>
      </c>
      <c r="J9" s="7"/>
    </row>
    <row r="10" spans="1:10" x14ac:dyDescent="0.2">
      <c r="A10" s="43">
        <v>4</v>
      </c>
      <c r="B10" s="44" t="s">
        <v>343</v>
      </c>
      <c r="C10" s="44" t="s">
        <v>344</v>
      </c>
      <c r="D10" s="44" t="s">
        <v>219</v>
      </c>
      <c r="E10" s="45">
        <v>8300</v>
      </c>
      <c r="F10" s="46">
        <v>155.06475</v>
      </c>
      <c r="G10" s="47">
        <v>7.3425270000000001E-2</v>
      </c>
      <c r="H10" s="40" t="s">
        <v>151</v>
      </c>
      <c r="J10" s="7"/>
    </row>
    <row r="11" spans="1:10" x14ac:dyDescent="0.2">
      <c r="A11" s="43">
        <v>5</v>
      </c>
      <c r="B11" s="44" t="s">
        <v>51</v>
      </c>
      <c r="C11" s="44" t="s">
        <v>52</v>
      </c>
      <c r="D11" s="44" t="s">
        <v>45</v>
      </c>
      <c r="E11" s="45">
        <v>14847</v>
      </c>
      <c r="F11" s="46">
        <v>129.525228</v>
      </c>
      <c r="G11" s="47">
        <v>6.1331959999999998E-2</v>
      </c>
      <c r="H11" s="40" t="s">
        <v>151</v>
      </c>
      <c r="J11" s="7"/>
    </row>
    <row r="12" spans="1:10" ht="15" x14ac:dyDescent="0.2">
      <c r="A12" s="43">
        <v>6</v>
      </c>
      <c r="B12" s="44" t="s">
        <v>17</v>
      </c>
      <c r="C12" s="44" t="s">
        <v>18</v>
      </c>
      <c r="D12" s="44" t="s">
        <v>19</v>
      </c>
      <c r="E12" s="45">
        <v>6757</v>
      </c>
      <c r="F12" s="46">
        <v>100.78403350000001</v>
      </c>
      <c r="G12" s="47">
        <v>4.7722609999999999E-2</v>
      </c>
      <c r="H12" s="40" t="s">
        <v>151</v>
      </c>
      <c r="J12" s="12"/>
    </row>
    <row r="13" spans="1:10" x14ac:dyDescent="0.2">
      <c r="A13" s="43">
        <v>7</v>
      </c>
      <c r="B13" s="44" t="s">
        <v>11</v>
      </c>
      <c r="C13" s="44" t="s">
        <v>12</v>
      </c>
      <c r="D13" s="44" t="s">
        <v>13</v>
      </c>
      <c r="E13" s="45">
        <v>2429</v>
      </c>
      <c r="F13" s="46">
        <v>92.666349999999994</v>
      </c>
      <c r="G13" s="47">
        <v>4.3878779999999999E-2</v>
      </c>
      <c r="H13" s="40" t="s">
        <v>151</v>
      </c>
      <c r="J13" s="7"/>
    </row>
    <row r="14" spans="1:10" x14ac:dyDescent="0.2">
      <c r="A14" s="43">
        <v>8</v>
      </c>
      <c r="B14" s="44" t="s">
        <v>466</v>
      </c>
      <c r="C14" s="44" t="s">
        <v>994</v>
      </c>
      <c r="D14" s="44" t="s">
        <v>282</v>
      </c>
      <c r="E14" s="45">
        <v>9900</v>
      </c>
      <c r="F14" s="46">
        <v>78.507000000000005</v>
      </c>
      <c r="G14" s="47">
        <v>3.7174140000000001E-2</v>
      </c>
      <c r="H14" s="40" t="s">
        <v>151</v>
      </c>
      <c r="J14" s="7"/>
    </row>
    <row r="15" spans="1:10" ht="25.5" x14ac:dyDescent="0.2">
      <c r="A15" s="43">
        <v>9</v>
      </c>
      <c r="B15" s="44" t="s">
        <v>23</v>
      </c>
      <c r="C15" s="44" t="s">
        <v>24</v>
      </c>
      <c r="D15" s="44" t="s">
        <v>25</v>
      </c>
      <c r="E15" s="45">
        <v>651</v>
      </c>
      <c r="F15" s="46">
        <v>77.385672</v>
      </c>
      <c r="G15" s="47">
        <v>3.6643170000000003E-2</v>
      </c>
      <c r="H15" s="40" t="s">
        <v>151</v>
      </c>
      <c r="J15" s="7"/>
    </row>
    <row r="16" spans="1:10" x14ac:dyDescent="0.2">
      <c r="A16" s="43">
        <v>10</v>
      </c>
      <c r="B16" s="44" t="s">
        <v>347</v>
      </c>
      <c r="C16" s="44" t="s">
        <v>348</v>
      </c>
      <c r="D16" s="44" t="s">
        <v>45</v>
      </c>
      <c r="E16" s="45">
        <v>6081</v>
      </c>
      <c r="F16" s="46">
        <v>70.910540999999995</v>
      </c>
      <c r="G16" s="47">
        <v>3.357711E-2</v>
      </c>
      <c r="H16" s="40" t="s">
        <v>151</v>
      </c>
      <c r="J16" s="7" t="s">
        <v>1053</v>
      </c>
    </row>
    <row r="17" spans="1:10" ht="25.5" x14ac:dyDescent="0.2">
      <c r="A17" s="43">
        <v>11</v>
      </c>
      <c r="B17" s="44" t="s">
        <v>203</v>
      </c>
      <c r="C17" s="44" t="s">
        <v>204</v>
      </c>
      <c r="D17" s="44" t="s">
        <v>205</v>
      </c>
      <c r="E17" s="45">
        <v>4000</v>
      </c>
      <c r="F17" s="46">
        <v>66.48</v>
      </c>
      <c r="G17" s="47">
        <v>3.1479189999999997E-2</v>
      </c>
      <c r="H17" s="40" t="s">
        <v>151</v>
      </c>
      <c r="J17" s="7"/>
    </row>
    <row r="18" spans="1:10" x14ac:dyDescent="0.2">
      <c r="A18" s="43">
        <v>12</v>
      </c>
      <c r="B18" s="44" t="s">
        <v>134</v>
      </c>
      <c r="C18" s="44" t="s">
        <v>135</v>
      </c>
      <c r="D18" s="44" t="s">
        <v>136</v>
      </c>
      <c r="E18" s="45">
        <v>6000</v>
      </c>
      <c r="F18" s="46">
        <v>59.295000000000002</v>
      </c>
      <c r="G18" s="47">
        <v>2.807699E-2</v>
      </c>
      <c r="H18" s="40" t="s">
        <v>151</v>
      </c>
      <c r="J18" s="7"/>
    </row>
    <row r="19" spans="1:10" x14ac:dyDescent="0.2">
      <c r="A19" s="43">
        <v>13</v>
      </c>
      <c r="B19" s="44" t="s">
        <v>467</v>
      </c>
      <c r="C19" s="44" t="s">
        <v>468</v>
      </c>
      <c r="D19" s="44" t="s">
        <v>232</v>
      </c>
      <c r="E19" s="45">
        <v>3200</v>
      </c>
      <c r="F19" s="46">
        <v>56.116799999999998</v>
      </c>
      <c r="G19" s="47">
        <v>2.657207E-2</v>
      </c>
      <c r="H19" s="40" t="s">
        <v>151</v>
      </c>
      <c r="J19" s="7"/>
    </row>
    <row r="20" spans="1:10" x14ac:dyDescent="0.2">
      <c r="A20" s="43">
        <v>14</v>
      </c>
      <c r="B20" s="44" t="s">
        <v>120</v>
      </c>
      <c r="C20" s="44" t="s">
        <v>121</v>
      </c>
      <c r="D20" s="44" t="s">
        <v>89</v>
      </c>
      <c r="E20" s="45">
        <v>1240</v>
      </c>
      <c r="F20" s="46">
        <v>52.915140000000001</v>
      </c>
      <c r="G20" s="47">
        <v>2.5056040000000002E-2</v>
      </c>
      <c r="H20" s="40" t="s">
        <v>151</v>
      </c>
      <c r="J20" s="7"/>
    </row>
    <row r="21" spans="1:10" x14ac:dyDescent="0.2">
      <c r="A21" s="43">
        <v>15</v>
      </c>
      <c r="B21" s="44" t="s">
        <v>364</v>
      </c>
      <c r="C21" s="44" t="s">
        <v>365</v>
      </c>
      <c r="D21" s="44" t="s">
        <v>366</v>
      </c>
      <c r="E21" s="45">
        <v>10141</v>
      </c>
      <c r="F21" s="46">
        <v>50.2334435</v>
      </c>
      <c r="G21" s="47">
        <v>2.378622E-2</v>
      </c>
      <c r="H21" s="40" t="s">
        <v>151</v>
      </c>
      <c r="J21" s="7"/>
    </row>
    <row r="22" spans="1:10" ht="15" x14ac:dyDescent="0.2">
      <c r="A22" s="43">
        <v>16</v>
      </c>
      <c r="B22" s="44" t="s">
        <v>397</v>
      </c>
      <c r="C22" s="44" t="s">
        <v>398</v>
      </c>
      <c r="D22" s="44" t="s">
        <v>100</v>
      </c>
      <c r="E22" s="45">
        <v>1421</v>
      </c>
      <c r="F22" s="46">
        <v>49.1516795</v>
      </c>
      <c r="G22" s="47">
        <v>2.3273990000000001E-2</v>
      </c>
      <c r="H22" s="40" t="s">
        <v>151</v>
      </c>
      <c r="J22" s="12"/>
    </row>
    <row r="23" spans="1:10" ht="25.5" x14ac:dyDescent="0.2">
      <c r="A23" s="43">
        <v>17</v>
      </c>
      <c r="B23" s="44" t="s">
        <v>318</v>
      </c>
      <c r="C23" s="44" t="s">
        <v>319</v>
      </c>
      <c r="D23" s="44" t="s">
        <v>247</v>
      </c>
      <c r="E23" s="45">
        <v>1204</v>
      </c>
      <c r="F23" s="46">
        <v>45.763438000000001</v>
      </c>
      <c r="G23" s="47">
        <v>2.1669609999999999E-2</v>
      </c>
      <c r="H23" s="40" t="s">
        <v>151</v>
      </c>
      <c r="J23" s="7"/>
    </row>
    <row r="24" spans="1:10" x14ac:dyDescent="0.2">
      <c r="A24" s="43">
        <v>18</v>
      </c>
      <c r="B24" s="44" t="s">
        <v>469</v>
      </c>
      <c r="C24" s="44" t="s">
        <v>470</v>
      </c>
      <c r="D24" s="44" t="s">
        <v>45</v>
      </c>
      <c r="E24" s="45">
        <v>17989</v>
      </c>
      <c r="F24" s="46">
        <v>45.629098499999998</v>
      </c>
      <c r="G24" s="47">
        <v>2.1606E-2</v>
      </c>
      <c r="H24" s="40" t="s">
        <v>151</v>
      </c>
      <c r="J24" s="7"/>
    </row>
    <row r="25" spans="1:10" ht="25.5" x14ac:dyDescent="0.2">
      <c r="A25" s="43">
        <v>19</v>
      </c>
      <c r="B25" s="44" t="s">
        <v>353</v>
      </c>
      <c r="C25" s="44" t="s">
        <v>354</v>
      </c>
      <c r="D25" s="44" t="s">
        <v>210</v>
      </c>
      <c r="E25" s="45">
        <v>2650</v>
      </c>
      <c r="F25" s="46">
        <v>45.562775000000002</v>
      </c>
      <c r="G25" s="47">
        <v>2.1574599999999999E-2</v>
      </c>
      <c r="H25" s="40" t="s">
        <v>151</v>
      </c>
      <c r="J25" s="7"/>
    </row>
    <row r="26" spans="1:10" x14ac:dyDescent="0.2">
      <c r="A26" s="43">
        <v>20</v>
      </c>
      <c r="B26" s="44" t="s">
        <v>238</v>
      </c>
      <c r="C26" s="44" t="s">
        <v>239</v>
      </c>
      <c r="D26" s="44" t="s">
        <v>22</v>
      </c>
      <c r="E26" s="45">
        <v>11251</v>
      </c>
      <c r="F26" s="46">
        <v>44.132047499999999</v>
      </c>
      <c r="G26" s="47">
        <v>2.089713E-2</v>
      </c>
      <c r="H26" s="40" t="s">
        <v>151</v>
      </c>
      <c r="J26" s="7"/>
    </row>
    <row r="27" spans="1:10" x14ac:dyDescent="0.2">
      <c r="A27" s="43">
        <v>21</v>
      </c>
      <c r="B27" s="44" t="s">
        <v>471</v>
      </c>
      <c r="C27" s="44" t="s">
        <v>472</v>
      </c>
      <c r="D27" s="44" t="s">
        <v>219</v>
      </c>
      <c r="E27" s="45">
        <v>2560</v>
      </c>
      <c r="F27" s="46">
        <v>42.050559999999997</v>
      </c>
      <c r="G27" s="47">
        <v>1.991151E-2</v>
      </c>
      <c r="H27" s="40" t="s">
        <v>151</v>
      </c>
      <c r="J27" s="7"/>
    </row>
    <row r="28" spans="1:10" x14ac:dyDescent="0.2">
      <c r="A28" s="43">
        <v>22</v>
      </c>
      <c r="B28" s="44" t="s">
        <v>39</v>
      </c>
      <c r="C28" s="44" t="s">
        <v>40</v>
      </c>
      <c r="D28" s="44" t="s">
        <v>22</v>
      </c>
      <c r="E28" s="45">
        <v>11824</v>
      </c>
      <c r="F28" s="46">
        <v>41.389912000000002</v>
      </c>
      <c r="G28" s="47">
        <v>1.9598689999999998E-2</v>
      </c>
      <c r="H28" s="40" t="s">
        <v>151</v>
      </c>
      <c r="J28" s="7"/>
    </row>
    <row r="29" spans="1:10" x14ac:dyDescent="0.2">
      <c r="A29" s="43">
        <v>23</v>
      </c>
      <c r="B29" s="44" t="s">
        <v>349</v>
      </c>
      <c r="C29" s="44" t="s">
        <v>350</v>
      </c>
      <c r="D29" s="44" t="s">
        <v>219</v>
      </c>
      <c r="E29" s="45">
        <v>937</v>
      </c>
      <c r="F29" s="46">
        <v>41.090729500000002</v>
      </c>
      <c r="G29" s="47">
        <v>1.9457019999999998E-2</v>
      </c>
      <c r="H29" s="40" t="s">
        <v>151</v>
      </c>
      <c r="J29" s="7"/>
    </row>
    <row r="30" spans="1:10" ht="25.5" x14ac:dyDescent="0.2">
      <c r="A30" s="43">
        <v>24</v>
      </c>
      <c r="B30" s="44" t="s">
        <v>473</v>
      </c>
      <c r="C30" s="44" t="s">
        <v>474</v>
      </c>
      <c r="D30" s="44" t="s">
        <v>25</v>
      </c>
      <c r="E30" s="45">
        <v>1871</v>
      </c>
      <c r="F30" s="46">
        <v>28.616945000000001</v>
      </c>
      <c r="G30" s="47">
        <v>1.355051E-2</v>
      </c>
      <c r="H30" s="40" t="s">
        <v>151</v>
      </c>
      <c r="J30" s="7"/>
    </row>
    <row r="31" spans="1:10" ht="25.5" x14ac:dyDescent="0.2">
      <c r="A31" s="43">
        <v>25</v>
      </c>
      <c r="B31" s="44" t="s">
        <v>475</v>
      </c>
      <c r="C31" s="44" t="s">
        <v>476</v>
      </c>
      <c r="D31" s="44" t="s">
        <v>210</v>
      </c>
      <c r="E31" s="45">
        <v>1814</v>
      </c>
      <c r="F31" s="46">
        <v>28.013601999999999</v>
      </c>
      <c r="G31" s="47">
        <v>1.326482E-2</v>
      </c>
      <c r="H31" s="40" t="s">
        <v>151</v>
      </c>
      <c r="J31" s="7"/>
    </row>
    <row r="32" spans="1:10" ht="25.5" x14ac:dyDescent="0.2">
      <c r="A32" s="43">
        <v>26</v>
      </c>
      <c r="B32" s="44" t="s">
        <v>477</v>
      </c>
      <c r="C32" s="44" t="s">
        <v>478</v>
      </c>
      <c r="D32" s="44" t="s">
        <v>313</v>
      </c>
      <c r="E32" s="45">
        <v>2272</v>
      </c>
      <c r="F32" s="46">
        <v>27.012944000000001</v>
      </c>
      <c r="G32" s="47">
        <v>1.2791E-2</v>
      </c>
      <c r="H32" s="40" t="s">
        <v>151</v>
      </c>
      <c r="J32" s="7"/>
    </row>
    <row r="33" spans="1:10" x14ac:dyDescent="0.2">
      <c r="A33" s="43">
        <v>27</v>
      </c>
      <c r="B33" s="44" t="s">
        <v>74</v>
      </c>
      <c r="C33" s="44" t="s">
        <v>75</v>
      </c>
      <c r="D33" s="44" t="s">
        <v>76</v>
      </c>
      <c r="E33" s="45">
        <v>2464</v>
      </c>
      <c r="F33" s="46">
        <v>25.636687999999999</v>
      </c>
      <c r="G33" s="47">
        <v>1.213932E-2</v>
      </c>
      <c r="H33" s="40" t="s">
        <v>151</v>
      </c>
      <c r="J33" s="7"/>
    </row>
    <row r="34" spans="1:10" x14ac:dyDescent="0.2">
      <c r="A34" s="43">
        <v>28</v>
      </c>
      <c r="B34" s="44" t="s">
        <v>378</v>
      </c>
      <c r="C34" s="44" t="s">
        <v>379</v>
      </c>
      <c r="D34" s="44" t="s">
        <v>366</v>
      </c>
      <c r="E34" s="45">
        <v>788</v>
      </c>
      <c r="F34" s="46">
        <v>21.320522</v>
      </c>
      <c r="G34" s="47">
        <v>1.009556E-2</v>
      </c>
      <c r="H34" s="40" t="s">
        <v>151</v>
      </c>
      <c r="J34" s="7"/>
    </row>
    <row r="35" spans="1:10" x14ac:dyDescent="0.2">
      <c r="A35" s="43">
        <v>29</v>
      </c>
      <c r="B35" s="44" t="s">
        <v>479</v>
      </c>
      <c r="C35" s="44" t="s">
        <v>480</v>
      </c>
      <c r="D35" s="44" t="s">
        <v>45</v>
      </c>
      <c r="E35" s="45">
        <v>1250</v>
      </c>
      <c r="F35" s="46">
        <v>17.8475</v>
      </c>
      <c r="G35" s="47">
        <v>8.4510399999999999E-3</v>
      </c>
      <c r="H35" s="40" t="s">
        <v>151</v>
      </c>
      <c r="J35" s="7"/>
    </row>
    <row r="36" spans="1:10" x14ac:dyDescent="0.2">
      <c r="A36" s="43">
        <v>30</v>
      </c>
      <c r="B36" s="44" t="s">
        <v>359</v>
      </c>
      <c r="C36" s="44" t="s">
        <v>360</v>
      </c>
      <c r="D36" s="44" t="s">
        <v>361</v>
      </c>
      <c r="E36" s="45">
        <v>2289</v>
      </c>
      <c r="F36" s="46">
        <v>15.327144000000001</v>
      </c>
      <c r="G36" s="47">
        <v>7.2576100000000003E-3</v>
      </c>
      <c r="H36" s="40" t="s">
        <v>151</v>
      </c>
      <c r="J36" s="7"/>
    </row>
    <row r="37" spans="1:10" x14ac:dyDescent="0.2">
      <c r="A37" s="43">
        <v>31</v>
      </c>
      <c r="B37" s="44" t="s">
        <v>482</v>
      </c>
      <c r="C37" s="83" t="s">
        <v>1011</v>
      </c>
      <c r="D37" s="44" t="s">
        <v>19</v>
      </c>
      <c r="E37" s="45">
        <v>482</v>
      </c>
      <c r="F37" s="46">
        <v>5.2287359999999996</v>
      </c>
      <c r="G37" s="47">
        <v>2.4758800000000002E-3</v>
      </c>
      <c r="H37" s="40" t="s">
        <v>151</v>
      </c>
      <c r="J37" s="7"/>
    </row>
    <row r="38" spans="1:10" ht="25.5" x14ac:dyDescent="0.2">
      <c r="A38" s="43">
        <v>32</v>
      </c>
      <c r="B38" s="44" t="s">
        <v>481</v>
      </c>
      <c r="C38" s="44" t="s">
        <v>478</v>
      </c>
      <c r="D38" s="44" t="s">
        <v>313</v>
      </c>
      <c r="E38" s="45">
        <v>87</v>
      </c>
      <c r="F38" s="46">
        <v>0.32272650000000003</v>
      </c>
      <c r="G38" s="47">
        <v>1.5281999999999999E-4</v>
      </c>
      <c r="H38" s="40" t="s">
        <v>151</v>
      </c>
      <c r="J38" s="7"/>
    </row>
    <row r="39" spans="1:10" x14ac:dyDescent="0.2">
      <c r="A39" s="41"/>
      <c r="B39" s="41"/>
      <c r="C39" s="42" t="s">
        <v>150</v>
      </c>
      <c r="D39" s="41"/>
      <c r="E39" s="41" t="s">
        <v>151</v>
      </c>
      <c r="F39" s="48">
        <f>SUM(F7:F38)</f>
        <v>2042.2381275000005</v>
      </c>
      <c r="G39" s="49">
        <f>SUM(G7:G38)</f>
        <v>0.96702760999999982</v>
      </c>
      <c r="H39" s="40" t="s">
        <v>151</v>
      </c>
      <c r="J39" s="7"/>
    </row>
    <row r="40" spans="1:10" x14ac:dyDescent="0.2">
      <c r="A40" s="41"/>
      <c r="B40" s="41"/>
      <c r="C40" s="50"/>
      <c r="D40" s="41"/>
      <c r="E40" s="41"/>
      <c r="F40" s="51"/>
      <c r="G40" s="51"/>
      <c r="H40" s="40" t="s">
        <v>151</v>
      </c>
      <c r="J40" s="7"/>
    </row>
    <row r="41" spans="1:10" x14ac:dyDescent="0.2">
      <c r="A41" s="41"/>
      <c r="B41" s="41"/>
      <c r="C41" s="42" t="s">
        <v>152</v>
      </c>
      <c r="D41" s="41"/>
      <c r="E41" s="41"/>
      <c r="F41" s="41"/>
      <c r="G41" s="41"/>
      <c r="H41" s="40" t="s">
        <v>151</v>
      </c>
      <c r="J41" s="7"/>
    </row>
    <row r="42" spans="1:10" x14ac:dyDescent="0.2">
      <c r="A42" s="41"/>
      <c r="B42" s="41"/>
      <c r="C42" s="42" t="s">
        <v>150</v>
      </c>
      <c r="D42" s="41"/>
      <c r="E42" s="41" t="s">
        <v>151</v>
      </c>
      <c r="F42" s="52" t="s">
        <v>153</v>
      </c>
      <c r="G42" s="49">
        <v>0</v>
      </c>
      <c r="H42" s="40" t="s">
        <v>151</v>
      </c>
      <c r="J42" s="7"/>
    </row>
    <row r="43" spans="1:10" x14ac:dyDescent="0.2">
      <c r="A43" s="41"/>
      <c r="B43" s="41"/>
      <c r="C43" s="50"/>
      <c r="D43" s="41"/>
      <c r="E43" s="41"/>
      <c r="F43" s="51"/>
      <c r="G43" s="51"/>
      <c r="H43" s="40" t="s">
        <v>151</v>
      </c>
      <c r="J43" s="7"/>
    </row>
    <row r="44" spans="1:10" x14ac:dyDescent="0.2">
      <c r="A44" s="41"/>
      <c r="B44" s="41"/>
      <c r="C44" s="42" t="s">
        <v>154</v>
      </c>
      <c r="D44" s="41"/>
      <c r="E44" s="41"/>
      <c r="F44" s="41"/>
      <c r="G44" s="41"/>
      <c r="H44" s="40" t="s">
        <v>151</v>
      </c>
      <c r="J44" s="7"/>
    </row>
    <row r="45" spans="1:10" x14ac:dyDescent="0.2">
      <c r="A45" s="41"/>
      <c r="B45" s="41"/>
      <c r="C45" s="42" t="s">
        <v>150</v>
      </c>
      <c r="D45" s="41"/>
      <c r="E45" s="41" t="s">
        <v>151</v>
      </c>
      <c r="F45" s="52" t="s">
        <v>153</v>
      </c>
      <c r="G45" s="49">
        <v>0</v>
      </c>
      <c r="H45" s="40" t="s">
        <v>151</v>
      </c>
      <c r="J45" s="7"/>
    </row>
    <row r="46" spans="1:10" x14ac:dyDescent="0.2">
      <c r="A46" s="41"/>
      <c r="B46" s="41"/>
      <c r="C46" s="50"/>
      <c r="D46" s="41"/>
      <c r="E46" s="41"/>
      <c r="F46" s="51"/>
      <c r="G46" s="51"/>
      <c r="H46" s="40" t="s">
        <v>151</v>
      </c>
      <c r="J46" s="7"/>
    </row>
    <row r="47" spans="1:10" x14ac:dyDescent="0.2">
      <c r="A47" s="41"/>
      <c r="B47" s="41"/>
      <c r="C47" s="42" t="s">
        <v>155</v>
      </c>
      <c r="D47" s="41"/>
      <c r="E47" s="41"/>
      <c r="F47" s="41"/>
      <c r="G47" s="41"/>
      <c r="H47" s="40" t="s">
        <v>151</v>
      </c>
      <c r="J47" s="7"/>
    </row>
    <row r="48" spans="1:10" x14ac:dyDescent="0.2">
      <c r="A48" s="41"/>
      <c r="B48" s="41"/>
      <c r="C48" s="42" t="s">
        <v>150</v>
      </c>
      <c r="D48" s="41"/>
      <c r="E48" s="41" t="s">
        <v>151</v>
      </c>
      <c r="F48" s="52" t="s">
        <v>153</v>
      </c>
      <c r="G48" s="49">
        <v>0</v>
      </c>
      <c r="H48" s="40" t="s">
        <v>151</v>
      </c>
      <c r="J48" s="7"/>
    </row>
    <row r="49" spans="1:10" x14ac:dyDescent="0.2">
      <c r="A49" s="41"/>
      <c r="B49" s="41"/>
      <c r="C49" s="50"/>
      <c r="D49" s="41"/>
      <c r="E49" s="41"/>
      <c r="F49" s="51"/>
      <c r="G49" s="51"/>
      <c r="H49" s="40" t="s">
        <v>151</v>
      </c>
      <c r="J49" s="7"/>
    </row>
    <row r="50" spans="1:10" x14ac:dyDescent="0.2">
      <c r="A50" s="41"/>
      <c r="B50" s="41"/>
      <c r="C50" s="42" t="s">
        <v>156</v>
      </c>
      <c r="D50" s="41"/>
      <c r="E50" s="41"/>
      <c r="F50" s="51"/>
      <c r="G50" s="51"/>
      <c r="H50" s="40" t="s">
        <v>151</v>
      </c>
      <c r="J50" s="7"/>
    </row>
    <row r="51" spans="1:10" x14ac:dyDescent="0.2">
      <c r="A51" s="41"/>
      <c r="B51" s="41"/>
      <c r="C51" s="42" t="s">
        <v>150</v>
      </c>
      <c r="D51" s="41"/>
      <c r="E51" s="41" t="s">
        <v>151</v>
      </c>
      <c r="F51" s="52" t="s">
        <v>153</v>
      </c>
      <c r="G51" s="49">
        <v>0</v>
      </c>
      <c r="H51" s="40" t="s">
        <v>151</v>
      </c>
      <c r="J51" s="7"/>
    </row>
    <row r="52" spans="1:10" x14ac:dyDescent="0.2">
      <c r="A52" s="41"/>
      <c r="B52" s="41"/>
      <c r="C52" s="50"/>
      <c r="D52" s="41"/>
      <c r="E52" s="41"/>
      <c r="F52" s="51"/>
      <c r="G52" s="51"/>
      <c r="H52" s="40" t="s">
        <v>151</v>
      </c>
      <c r="J52" s="7"/>
    </row>
    <row r="53" spans="1:10" x14ac:dyDescent="0.2">
      <c r="A53" s="41"/>
      <c r="B53" s="41"/>
      <c r="C53" s="42" t="s">
        <v>157</v>
      </c>
      <c r="D53" s="41"/>
      <c r="E53" s="41"/>
      <c r="F53" s="51"/>
      <c r="G53" s="51"/>
      <c r="H53" s="40" t="s">
        <v>151</v>
      </c>
      <c r="J53" s="7"/>
    </row>
    <row r="54" spans="1:10" x14ac:dyDescent="0.2">
      <c r="A54" s="41"/>
      <c r="B54" s="41"/>
      <c r="C54" s="42" t="s">
        <v>150</v>
      </c>
      <c r="D54" s="41"/>
      <c r="E54" s="41" t="s">
        <v>151</v>
      </c>
      <c r="F54" s="52" t="s">
        <v>153</v>
      </c>
      <c r="G54" s="49">
        <v>0</v>
      </c>
      <c r="H54" s="40" t="s">
        <v>151</v>
      </c>
      <c r="J54" s="7"/>
    </row>
    <row r="55" spans="1:10" x14ac:dyDescent="0.2">
      <c r="A55" s="41"/>
      <c r="B55" s="41"/>
      <c r="C55" s="50"/>
      <c r="D55" s="41"/>
      <c r="E55" s="41"/>
      <c r="F55" s="51"/>
      <c r="G55" s="51"/>
      <c r="H55" s="40" t="s">
        <v>151</v>
      </c>
      <c r="J55" s="7"/>
    </row>
    <row r="56" spans="1:10" x14ac:dyDescent="0.2">
      <c r="A56" s="41"/>
      <c r="B56" s="41"/>
      <c r="C56" s="42" t="s">
        <v>158</v>
      </c>
      <c r="D56" s="41"/>
      <c r="E56" s="41"/>
      <c r="F56" s="48">
        <v>2042.2381275</v>
      </c>
      <c r="G56" s="49">
        <v>0.96702761000000004</v>
      </c>
      <c r="H56" s="40" t="s">
        <v>151</v>
      </c>
      <c r="J56" s="7"/>
    </row>
    <row r="57" spans="1:10" x14ac:dyDescent="0.2">
      <c r="A57" s="41"/>
      <c r="B57" s="41"/>
      <c r="C57" s="50"/>
      <c r="D57" s="41"/>
      <c r="E57" s="41"/>
      <c r="F57" s="51"/>
      <c r="G57" s="51"/>
      <c r="H57" s="40" t="s">
        <v>151</v>
      </c>
      <c r="J57" s="7"/>
    </row>
    <row r="58" spans="1:10" x14ac:dyDescent="0.2">
      <c r="A58" s="41"/>
      <c r="B58" s="41"/>
      <c r="C58" s="42" t="s">
        <v>159</v>
      </c>
      <c r="D58" s="41"/>
      <c r="E58" s="41"/>
      <c r="F58" s="51"/>
      <c r="G58" s="51"/>
      <c r="H58" s="40" t="s">
        <v>151</v>
      </c>
      <c r="J58" s="7"/>
    </row>
    <row r="59" spans="1:10" x14ac:dyDescent="0.2">
      <c r="A59" s="41"/>
      <c r="B59" s="41"/>
      <c r="C59" s="42" t="s">
        <v>10</v>
      </c>
      <c r="D59" s="41"/>
      <c r="E59" s="41"/>
      <c r="F59" s="51"/>
      <c r="G59" s="51"/>
      <c r="H59" s="40" t="s">
        <v>151</v>
      </c>
      <c r="J59" s="7"/>
    </row>
    <row r="60" spans="1:10" x14ac:dyDescent="0.2">
      <c r="A60" s="41"/>
      <c r="B60" s="41"/>
      <c r="C60" s="42" t="s">
        <v>150</v>
      </c>
      <c r="D60" s="41"/>
      <c r="E60" s="41" t="s">
        <v>151</v>
      </c>
      <c r="F60" s="52" t="s">
        <v>153</v>
      </c>
      <c r="G60" s="49">
        <v>0</v>
      </c>
      <c r="H60" s="40" t="s">
        <v>151</v>
      </c>
      <c r="J60" s="7"/>
    </row>
    <row r="61" spans="1:10" x14ac:dyDescent="0.2">
      <c r="A61" s="41"/>
      <c r="B61" s="41"/>
      <c r="C61" s="50"/>
      <c r="D61" s="41"/>
      <c r="E61" s="41"/>
      <c r="F61" s="51"/>
      <c r="G61" s="51"/>
      <c r="H61" s="40" t="s">
        <v>151</v>
      </c>
      <c r="J61" s="7"/>
    </row>
    <row r="62" spans="1:10" x14ac:dyDescent="0.2">
      <c r="A62" s="41"/>
      <c r="B62" s="41"/>
      <c r="C62" s="42" t="s">
        <v>160</v>
      </c>
      <c r="D62" s="41"/>
      <c r="E62" s="41"/>
      <c r="F62" s="41"/>
      <c r="G62" s="41"/>
      <c r="H62" s="40" t="s">
        <v>151</v>
      </c>
      <c r="J62" s="7"/>
    </row>
    <row r="63" spans="1:10" x14ac:dyDescent="0.2">
      <c r="A63" s="41"/>
      <c r="B63" s="41"/>
      <c r="C63" s="42" t="s">
        <v>150</v>
      </c>
      <c r="D63" s="41"/>
      <c r="E63" s="41" t="s">
        <v>151</v>
      </c>
      <c r="F63" s="52" t="s">
        <v>153</v>
      </c>
      <c r="G63" s="49">
        <v>0</v>
      </c>
      <c r="H63" s="40" t="s">
        <v>151</v>
      </c>
      <c r="J63" s="7"/>
    </row>
    <row r="64" spans="1:10" x14ac:dyDescent="0.2">
      <c r="A64" s="41"/>
      <c r="B64" s="41"/>
      <c r="C64" s="50"/>
      <c r="D64" s="41"/>
      <c r="E64" s="41"/>
      <c r="F64" s="51"/>
      <c r="G64" s="51"/>
      <c r="H64" s="40" t="s">
        <v>151</v>
      </c>
      <c r="J64" s="7"/>
    </row>
    <row r="65" spans="1:10" x14ac:dyDescent="0.2">
      <c r="A65" s="41"/>
      <c r="B65" s="41"/>
      <c r="C65" s="42" t="s">
        <v>161</v>
      </c>
      <c r="D65" s="41"/>
      <c r="E65" s="41"/>
      <c r="F65" s="41"/>
      <c r="G65" s="41"/>
      <c r="H65" s="40" t="s">
        <v>151</v>
      </c>
      <c r="J65" s="7"/>
    </row>
    <row r="66" spans="1:10" x14ac:dyDescent="0.2">
      <c r="A66" s="41"/>
      <c r="B66" s="41"/>
      <c r="C66" s="42" t="s">
        <v>150</v>
      </c>
      <c r="D66" s="41"/>
      <c r="E66" s="41" t="s">
        <v>151</v>
      </c>
      <c r="F66" s="52" t="s">
        <v>153</v>
      </c>
      <c r="G66" s="49">
        <v>0</v>
      </c>
      <c r="H66" s="40" t="s">
        <v>151</v>
      </c>
      <c r="J66" s="7"/>
    </row>
    <row r="67" spans="1:10" x14ac:dyDescent="0.2">
      <c r="A67" s="41"/>
      <c r="B67" s="41"/>
      <c r="C67" s="50"/>
      <c r="D67" s="41"/>
      <c r="E67" s="41"/>
      <c r="F67" s="51"/>
      <c r="G67" s="51"/>
      <c r="H67" s="40" t="s">
        <v>151</v>
      </c>
      <c r="J67" s="7"/>
    </row>
    <row r="68" spans="1:10" x14ac:dyDescent="0.2">
      <c r="A68" s="41"/>
      <c r="B68" s="41"/>
      <c r="C68" s="42" t="s">
        <v>162</v>
      </c>
      <c r="D68" s="41"/>
      <c r="E68" s="41"/>
      <c r="F68" s="51"/>
      <c r="G68" s="51"/>
      <c r="H68" s="40" t="s">
        <v>151</v>
      </c>
      <c r="J68" s="7"/>
    </row>
    <row r="69" spans="1:10" x14ac:dyDescent="0.2">
      <c r="A69" s="41"/>
      <c r="B69" s="41"/>
      <c r="C69" s="42" t="s">
        <v>150</v>
      </c>
      <c r="D69" s="41"/>
      <c r="E69" s="41" t="s">
        <v>151</v>
      </c>
      <c r="F69" s="52" t="s">
        <v>153</v>
      </c>
      <c r="G69" s="49">
        <v>0</v>
      </c>
      <c r="H69" s="40" t="s">
        <v>151</v>
      </c>
      <c r="J69" s="7"/>
    </row>
    <row r="70" spans="1:10" x14ac:dyDescent="0.2">
      <c r="A70" s="41"/>
      <c r="B70" s="41"/>
      <c r="C70" s="50"/>
      <c r="D70" s="41"/>
      <c r="E70" s="41"/>
      <c r="F70" s="51"/>
      <c r="G70" s="51"/>
      <c r="H70" s="40" t="s">
        <v>151</v>
      </c>
      <c r="J70" s="7"/>
    </row>
    <row r="71" spans="1:10" x14ac:dyDescent="0.2">
      <c r="A71" s="41"/>
      <c r="B71" s="41"/>
      <c r="C71" s="42" t="s">
        <v>163</v>
      </c>
      <c r="D71" s="41"/>
      <c r="E71" s="41"/>
      <c r="F71" s="48">
        <v>0</v>
      </c>
      <c r="G71" s="49">
        <v>0</v>
      </c>
      <c r="H71" s="40" t="s">
        <v>151</v>
      </c>
      <c r="J71" s="7"/>
    </row>
    <row r="72" spans="1:10" x14ac:dyDescent="0.2">
      <c r="A72" s="41"/>
      <c r="B72" s="41"/>
      <c r="C72" s="50"/>
      <c r="D72" s="41"/>
      <c r="E72" s="41"/>
      <c r="F72" s="51"/>
      <c r="G72" s="51"/>
      <c r="H72" s="40" t="s">
        <v>151</v>
      </c>
      <c r="J72" s="7"/>
    </row>
    <row r="73" spans="1:10" x14ac:dyDescent="0.2">
      <c r="A73" s="41"/>
      <c r="B73" s="41"/>
      <c r="C73" s="42" t="s">
        <v>164</v>
      </c>
      <c r="D73" s="41"/>
      <c r="E73" s="41"/>
      <c r="F73" s="51"/>
      <c r="G73" s="51"/>
      <c r="H73" s="40" t="s">
        <v>151</v>
      </c>
      <c r="J73" s="7"/>
    </row>
    <row r="74" spans="1:10" x14ac:dyDescent="0.2">
      <c r="A74" s="41"/>
      <c r="B74" s="41"/>
      <c r="C74" s="42" t="s">
        <v>165</v>
      </c>
      <c r="D74" s="41"/>
      <c r="E74" s="41"/>
      <c r="F74" s="51"/>
      <c r="G74" s="51"/>
      <c r="H74" s="40" t="s">
        <v>151</v>
      </c>
      <c r="J74" s="7"/>
    </row>
    <row r="75" spans="1:10" x14ac:dyDescent="0.2">
      <c r="A75" s="41"/>
      <c r="B75" s="41"/>
      <c r="C75" s="42" t="s">
        <v>150</v>
      </c>
      <c r="D75" s="41"/>
      <c r="E75" s="41" t="s">
        <v>151</v>
      </c>
      <c r="F75" s="52" t="s">
        <v>153</v>
      </c>
      <c r="G75" s="49">
        <v>0</v>
      </c>
      <c r="H75" s="40" t="s">
        <v>151</v>
      </c>
      <c r="J75" s="7"/>
    </row>
    <row r="76" spans="1:10" x14ac:dyDescent="0.2">
      <c r="A76" s="41"/>
      <c r="B76" s="41"/>
      <c r="C76" s="50"/>
      <c r="D76" s="41"/>
      <c r="E76" s="41"/>
      <c r="F76" s="51"/>
      <c r="G76" s="51"/>
      <c r="H76" s="40" t="s">
        <v>151</v>
      </c>
      <c r="J76" s="7"/>
    </row>
    <row r="77" spans="1:10" x14ac:dyDescent="0.2">
      <c r="A77" s="41"/>
      <c r="B77" s="41"/>
      <c r="C77" s="42" t="s">
        <v>166</v>
      </c>
      <c r="D77" s="41"/>
      <c r="E77" s="41"/>
      <c r="F77" s="51"/>
      <c r="G77" s="51"/>
      <c r="H77" s="40" t="s">
        <v>151</v>
      </c>
      <c r="J77" s="7"/>
    </row>
    <row r="78" spans="1:10" x14ac:dyDescent="0.2">
      <c r="A78" s="41"/>
      <c r="B78" s="41"/>
      <c r="C78" s="42" t="s">
        <v>150</v>
      </c>
      <c r="D78" s="41"/>
      <c r="E78" s="41" t="s">
        <v>151</v>
      </c>
      <c r="F78" s="52" t="s">
        <v>153</v>
      </c>
      <c r="G78" s="49">
        <v>0</v>
      </c>
      <c r="H78" s="40" t="s">
        <v>151</v>
      </c>
      <c r="J78" s="7"/>
    </row>
    <row r="79" spans="1:10" x14ac:dyDescent="0.2">
      <c r="A79" s="41"/>
      <c r="B79" s="41"/>
      <c r="C79" s="50"/>
      <c r="D79" s="41"/>
      <c r="E79" s="41"/>
      <c r="F79" s="51"/>
      <c r="G79" s="51"/>
      <c r="H79" s="40" t="s">
        <v>151</v>
      </c>
      <c r="J79" s="7"/>
    </row>
    <row r="80" spans="1:10" x14ac:dyDescent="0.2">
      <c r="A80" s="41"/>
      <c r="B80" s="41"/>
      <c r="C80" s="42" t="s">
        <v>167</v>
      </c>
      <c r="D80" s="41"/>
      <c r="E80" s="41"/>
      <c r="F80" s="51"/>
      <c r="G80" s="51"/>
      <c r="H80" s="40" t="s">
        <v>151</v>
      </c>
      <c r="J80" s="7"/>
    </row>
    <row r="81" spans="1:10" x14ac:dyDescent="0.2">
      <c r="A81" s="41"/>
      <c r="B81" s="41"/>
      <c r="C81" s="42" t="s">
        <v>150</v>
      </c>
      <c r="D81" s="41"/>
      <c r="E81" s="41" t="s">
        <v>151</v>
      </c>
      <c r="F81" s="52" t="s">
        <v>153</v>
      </c>
      <c r="G81" s="49">
        <v>0</v>
      </c>
      <c r="H81" s="40" t="s">
        <v>151</v>
      </c>
      <c r="J81" s="7"/>
    </row>
    <row r="82" spans="1:10" x14ac:dyDescent="0.2">
      <c r="A82" s="41"/>
      <c r="B82" s="41"/>
      <c r="C82" s="50"/>
      <c r="D82" s="41"/>
      <c r="E82" s="41"/>
      <c r="F82" s="51"/>
      <c r="G82" s="51"/>
      <c r="H82" s="40" t="s">
        <v>151</v>
      </c>
      <c r="J82" s="7"/>
    </row>
    <row r="83" spans="1:10" x14ac:dyDescent="0.2">
      <c r="A83" s="41"/>
      <c r="B83" s="41"/>
      <c r="C83" s="42" t="s">
        <v>168</v>
      </c>
      <c r="D83" s="41"/>
      <c r="E83" s="41"/>
      <c r="F83" s="51"/>
      <c r="G83" s="51"/>
      <c r="H83" s="40" t="s">
        <v>151</v>
      </c>
      <c r="J83" s="7"/>
    </row>
    <row r="84" spans="1:10" x14ac:dyDescent="0.2">
      <c r="A84" s="43">
        <v>1</v>
      </c>
      <c r="B84" s="44"/>
      <c r="C84" s="44" t="s">
        <v>169</v>
      </c>
      <c r="D84" s="44"/>
      <c r="E84" s="54"/>
      <c r="F84" s="46">
        <v>66.558111999999994</v>
      </c>
      <c r="G84" s="47">
        <v>3.1516170000000003E-2</v>
      </c>
      <c r="H84" s="40">
        <v>6.39</v>
      </c>
      <c r="J84" s="7"/>
    </row>
    <row r="85" spans="1:10" x14ac:dyDescent="0.2">
      <c r="A85" s="41"/>
      <c r="B85" s="41"/>
      <c r="C85" s="42" t="s">
        <v>150</v>
      </c>
      <c r="D85" s="41"/>
      <c r="E85" s="41" t="s">
        <v>151</v>
      </c>
      <c r="F85" s="48">
        <v>66.558111999999994</v>
      </c>
      <c r="G85" s="49">
        <v>3.1516170000000003E-2</v>
      </c>
      <c r="H85" s="40" t="s">
        <v>151</v>
      </c>
      <c r="J85" s="7"/>
    </row>
    <row r="86" spans="1:10" x14ac:dyDescent="0.2">
      <c r="A86" s="41"/>
      <c r="B86" s="41"/>
      <c r="C86" s="50"/>
      <c r="D86" s="41"/>
      <c r="E86" s="41"/>
      <c r="F86" s="51"/>
      <c r="G86" s="51"/>
      <c r="H86" s="40" t="s">
        <v>151</v>
      </c>
      <c r="J86" s="7"/>
    </row>
    <row r="87" spans="1:10" x14ac:dyDescent="0.2">
      <c r="A87" s="41"/>
      <c r="B87" s="41"/>
      <c r="C87" s="42" t="s">
        <v>170</v>
      </c>
      <c r="D87" s="41"/>
      <c r="E87" s="41"/>
      <c r="F87" s="48">
        <v>66.558111999999994</v>
      </c>
      <c r="G87" s="49">
        <v>3.1516170000000003E-2</v>
      </c>
      <c r="H87" s="40" t="s">
        <v>151</v>
      </c>
      <c r="J87" s="7"/>
    </row>
    <row r="88" spans="1:10" x14ac:dyDescent="0.2">
      <c r="A88" s="41"/>
      <c r="B88" s="41"/>
      <c r="C88" s="51"/>
      <c r="D88" s="41"/>
      <c r="E88" s="41"/>
      <c r="F88" s="41"/>
      <c r="G88" s="41"/>
      <c r="H88" s="40" t="s">
        <v>151</v>
      </c>
      <c r="J88" s="7"/>
    </row>
    <row r="89" spans="1:10" x14ac:dyDescent="0.2">
      <c r="A89" s="41"/>
      <c r="B89" s="41"/>
      <c r="C89" s="42" t="s">
        <v>171</v>
      </c>
      <c r="D89" s="41"/>
      <c r="E89" s="41"/>
      <c r="F89" s="41"/>
      <c r="G89" s="41"/>
      <c r="H89" s="40" t="s">
        <v>151</v>
      </c>
      <c r="J89" s="7"/>
    </row>
    <row r="90" spans="1:10" x14ac:dyDescent="0.2">
      <c r="A90" s="41"/>
      <c r="B90" s="41"/>
      <c r="C90" s="42" t="s">
        <v>172</v>
      </c>
      <c r="D90" s="41"/>
      <c r="E90" s="41"/>
      <c r="F90" s="41"/>
      <c r="G90" s="41"/>
      <c r="H90" s="40" t="s">
        <v>151</v>
      </c>
      <c r="J90" s="7"/>
    </row>
    <row r="91" spans="1:10" x14ac:dyDescent="0.2">
      <c r="A91" s="41"/>
      <c r="B91" s="41"/>
      <c r="C91" s="42" t="s">
        <v>150</v>
      </c>
      <c r="D91" s="41"/>
      <c r="E91" s="41" t="s">
        <v>151</v>
      </c>
      <c r="F91" s="52" t="s">
        <v>153</v>
      </c>
      <c r="G91" s="49">
        <v>0</v>
      </c>
      <c r="H91" s="40" t="s">
        <v>151</v>
      </c>
      <c r="J91" s="7"/>
    </row>
    <row r="92" spans="1:10" x14ac:dyDescent="0.2">
      <c r="A92" s="41"/>
      <c r="B92" s="41"/>
      <c r="C92" s="50"/>
      <c r="D92" s="41"/>
      <c r="E92" s="41"/>
      <c r="F92" s="51"/>
      <c r="G92" s="51"/>
      <c r="H92" s="40" t="s">
        <v>151</v>
      </c>
      <c r="J92" s="7"/>
    </row>
    <row r="93" spans="1:10" x14ac:dyDescent="0.2">
      <c r="A93" s="41"/>
      <c r="B93" s="41"/>
      <c r="C93" s="42" t="s">
        <v>173</v>
      </c>
      <c r="D93" s="41"/>
      <c r="E93" s="41"/>
      <c r="F93" s="41"/>
      <c r="G93" s="41"/>
      <c r="H93" s="40" t="s">
        <v>151</v>
      </c>
      <c r="J93" s="7"/>
    </row>
    <row r="94" spans="1:10" x14ac:dyDescent="0.2">
      <c r="A94" s="41"/>
      <c r="B94" s="41"/>
      <c r="C94" s="42" t="s">
        <v>174</v>
      </c>
      <c r="D94" s="41"/>
      <c r="E94" s="41"/>
      <c r="F94" s="41"/>
      <c r="G94" s="41"/>
      <c r="H94" s="40" t="s">
        <v>151</v>
      </c>
      <c r="J94" s="7"/>
    </row>
    <row r="95" spans="1:10" x14ac:dyDescent="0.2">
      <c r="A95" s="41"/>
      <c r="B95" s="41"/>
      <c r="C95" s="42" t="s">
        <v>150</v>
      </c>
      <c r="D95" s="41"/>
      <c r="E95" s="41" t="s">
        <v>151</v>
      </c>
      <c r="F95" s="52" t="s">
        <v>153</v>
      </c>
      <c r="G95" s="49">
        <v>0</v>
      </c>
      <c r="H95" s="40" t="s">
        <v>151</v>
      </c>
      <c r="J95" s="7"/>
    </row>
    <row r="96" spans="1:10" x14ac:dyDescent="0.2">
      <c r="A96" s="41"/>
      <c r="B96" s="41"/>
      <c r="C96" s="50"/>
      <c r="D96" s="41"/>
      <c r="E96" s="41"/>
      <c r="F96" s="51"/>
      <c r="G96" s="51"/>
      <c r="H96" s="40" t="s">
        <v>151</v>
      </c>
      <c r="J96" s="7"/>
    </row>
    <row r="97" spans="1:17" ht="25.5" x14ac:dyDescent="0.2">
      <c r="A97" s="41"/>
      <c r="B97" s="41"/>
      <c r="C97" s="42" t="s">
        <v>175</v>
      </c>
      <c r="D97" s="41"/>
      <c r="E97" s="41"/>
      <c r="F97" s="51"/>
      <c r="G97" s="51"/>
      <c r="H97" s="40" t="s">
        <v>151</v>
      </c>
      <c r="J97" s="7"/>
    </row>
    <row r="98" spans="1:17" x14ac:dyDescent="0.2">
      <c r="A98" s="41"/>
      <c r="B98" s="41"/>
      <c r="C98" s="42" t="s">
        <v>150</v>
      </c>
      <c r="D98" s="41"/>
      <c r="E98" s="41" t="s">
        <v>151</v>
      </c>
      <c r="F98" s="52" t="s">
        <v>153</v>
      </c>
      <c r="G98" s="49">
        <v>0</v>
      </c>
      <c r="H98" s="40" t="s">
        <v>151</v>
      </c>
      <c r="J98" s="7"/>
    </row>
    <row r="99" spans="1:17" x14ac:dyDescent="0.2">
      <c r="A99" s="41"/>
      <c r="B99" s="41"/>
      <c r="C99" s="50"/>
      <c r="D99" s="41"/>
      <c r="E99" s="41"/>
      <c r="F99" s="51"/>
      <c r="G99" s="51"/>
      <c r="H99" s="40" t="s">
        <v>151</v>
      </c>
      <c r="J99" s="7"/>
    </row>
    <row r="100" spans="1:17" x14ac:dyDescent="0.2">
      <c r="A100" s="41"/>
      <c r="B100" s="44"/>
      <c r="C100" s="44"/>
      <c r="D100" s="42"/>
      <c r="E100" s="41"/>
      <c r="F100" s="44"/>
      <c r="G100" s="54"/>
      <c r="H100" s="40" t="s">
        <v>151</v>
      </c>
      <c r="J100" s="7"/>
    </row>
    <row r="101" spans="1:17" x14ac:dyDescent="0.2">
      <c r="A101" s="54"/>
      <c r="B101" s="44"/>
      <c r="C101" s="44" t="s">
        <v>176</v>
      </c>
      <c r="D101" s="44"/>
      <c r="E101" s="54"/>
      <c r="F101" s="46">
        <v>3.0753862299999999</v>
      </c>
      <c r="G101" s="47">
        <v>1.4562399999999999E-3</v>
      </c>
      <c r="H101" s="40" t="s">
        <v>151</v>
      </c>
      <c r="J101" s="7"/>
    </row>
    <row r="102" spans="1:17" x14ac:dyDescent="0.2">
      <c r="A102" s="50"/>
      <c r="B102" s="50"/>
      <c r="C102" s="42" t="s">
        <v>177</v>
      </c>
      <c r="D102" s="51"/>
      <c r="E102" s="51"/>
      <c r="F102" s="48">
        <v>2111.8716257299998</v>
      </c>
      <c r="G102" s="55">
        <v>1.0000000200000001</v>
      </c>
      <c r="H102" s="40" t="s">
        <v>151</v>
      </c>
      <c r="J102" s="7"/>
    </row>
    <row r="103" spans="1:17" x14ac:dyDescent="0.2">
      <c r="A103" s="56"/>
      <c r="B103" s="56"/>
      <c r="C103" s="56"/>
      <c r="D103" s="57"/>
      <c r="E103" s="57"/>
      <c r="F103" s="57"/>
      <c r="G103" s="57"/>
      <c r="J103" s="7"/>
    </row>
    <row r="104" spans="1:17" ht="12.75" customHeight="1" x14ac:dyDescent="0.2">
      <c r="A104" s="58"/>
      <c r="B104" s="159" t="s">
        <v>923</v>
      </c>
      <c r="C104" s="159"/>
      <c r="D104" s="159"/>
      <c r="E104" s="159"/>
      <c r="F104" s="159"/>
      <c r="G104" s="159"/>
      <c r="H104" s="159"/>
      <c r="J104" s="7"/>
    </row>
    <row r="105" spans="1:17" ht="14.1" customHeight="1" x14ac:dyDescent="0.2">
      <c r="A105" s="58"/>
      <c r="B105" s="159" t="s">
        <v>924</v>
      </c>
      <c r="C105" s="159"/>
      <c r="D105" s="159"/>
      <c r="E105" s="159"/>
      <c r="F105" s="159"/>
      <c r="G105" s="159"/>
      <c r="H105" s="159"/>
      <c r="J105" s="7"/>
    </row>
    <row r="106" spans="1:17" ht="17.100000000000001" customHeight="1" x14ac:dyDescent="0.2">
      <c r="A106" s="58"/>
      <c r="B106" s="159" t="s">
        <v>925</v>
      </c>
      <c r="C106" s="159"/>
      <c r="D106" s="159"/>
      <c r="E106" s="159"/>
      <c r="F106" s="159"/>
      <c r="G106" s="159"/>
      <c r="H106" s="159"/>
      <c r="J106" s="7"/>
    </row>
    <row r="107" spans="1:17" s="8" customFormat="1" ht="65.25" customHeight="1" x14ac:dyDescent="0.25">
      <c r="A107" s="60"/>
      <c r="B107" s="160" t="s">
        <v>926</v>
      </c>
      <c r="C107" s="160"/>
      <c r="D107" s="160"/>
      <c r="E107" s="160"/>
      <c r="F107" s="160"/>
      <c r="G107" s="160"/>
      <c r="H107" s="160"/>
      <c r="I107"/>
      <c r="J107" s="7"/>
      <c r="K107"/>
      <c r="L107"/>
      <c r="M107"/>
      <c r="N107"/>
      <c r="O107"/>
      <c r="P107"/>
      <c r="Q107"/>
    </row>
    <row r="108" spans="1:17" ht="12.75" customHeight="1" x14ac:dyDescent="0.2">
      <c r="A108" s="58"/>
      <c r="B108" s="159" t="s">
        <v>927</v>
      </c>
      <c r="C108" s="159"/>
      <c r="D108" s="159"/>
      <c r="E108" s="159"/>
      <c r="F108" s="159"/>
      <c r="G108" s="159"/>
      <c r="H108" s="159"/>
      <c r="J108" s="7"/>
    </row>
    <row r="109" spans="1:17" x14ac:dyDescent="0.2">
      <c r="A109" s="61"/>
      <c r="B109" s="61"/>
      <c r="C109" s="61"/>
      <c r="D109" s="62"/>
      <c r="E109" s="62"/>
      <c r="F109" s="62"/>
      <c r="G109" s="62"/>
      <c r="J109" s="7"/>
    </row>
    <row r="110" spans="1:17" x14ac:dyDescent="0.2">
      <c r="A110" s="61"/>
      <c r="B110" s="161" t="s">
        <v>178</v>
      </c>
      <c r="C110" s="162"/>
      <c r="D110" s="163"/>
      <c r="E110" s="63"/>
      <c r="F110" s="62"/>
      <c r="G110" s="62"/>
      <c r="J110" s="7"/>
    </row>
    <row r="111" spans="1:17" x14ac:dyDescent="0.2">
      <c r="A111" s="61"/>
      <c r="B111" s="156" t="s">
        <v>179</v>
      </c>
      <c r="C111" s="157"/>
      <c r="D111" s="42" t="s">
        <v>180</v>
      </c>
      <c r="E111" s="63"/>
      <c r="F111" s="62"/>
      <c r="G111" s="62"/>
      <c r="J111" s="7"/>
    </row>
    <row r="112" spans="1:17" x14ac:dyDescent="0.2">
      <c r="A112" s="61"/>
      <c r="B112" s="156" t="s">
        <v>181</v>
      </c>
      <c r="C112" s="157"/>
      <c r="D112" s="42" t="s">
        <v>180</v>
      </c>
      <c r="E112" s="63"/>
      <c r="F112" s="62"/>
      <c r="G112" s="62"/>
      <c r="J112" s="7"/>
    </row>
    <row r="113" spans="1:10" x14ac:dyDescent="0.2">
      <c r="A113" s="61"/>
      <c r="B113" s="156" t="s">
        <v>182</v>
      </c>
      <c r="C113" s="157"/>
      <c r="D113" s="51" t="s">
        <v>151</v>
      </c>
      <c r="E113" s="63"/>
      <c r="F113" s="62"/>
      <c r="G113" s="62"/>
      <c r="J113" s="7"/>
    </row>
    <row r="114" spans="1:10" x14ac:dyDescent="0.2">
      <c r="A114" s="67"/>
      <c r="B114" s="68" t="s">
        <v>151</v>
      </c>
      <c r="C114" s="68" t="s">
        <v>937</v>
      </c>
      <c r="D114" s="68" t="s">
        <v>183</v>
      </c>
      <c r="E114" s="67"/>
      <c r="F114" s="67"/>
      <c r="G114" s="67"/>
      <c r="H114" s="67"/>
      <c r="J114" s="7"/>
    </row>
    <row r="115" spans="1:10" x14ac:dyDescent="0.2">
      <c r="A115" s="69"/>
      <c r="B115" s="70" t="s">
        <v>184</v>
      </c>
      <c r="C115" s="80" t="s">
        <v>185</v>
      </c>
      <c r="D115" s="80" t="s">
        <v>186</v>
      </c>
      <c r="E115" s="69"/>
      <c r="F115" s="69"/>
      <c r="G115" s="69"/>
      <c r="J115" s="7"/>
    </row>
    <row r="116" spans="1:10" x14ac:dyDescent="0.2">
      <c r="A116" s="69"/>
      <c r="B116" s="44" t="s">
        <v>187</v>
      </c>
      <c r="C116" s="72">
        <v>32.506100000000004</v>
      </c>
      <c r="D116" s="72">
        <v>33.662199999999999</v>
      </c>
      <c r="E116" s="69"/>
      <c r="F116" s="73"/>
      <c r="G116" s="74"/>
      <c r="J116" s="7"/>
    </row>
    <row r="117" spans="1:10" x14ac:dyDescent="0.2">
      <c r="A117" s="69"/>
      <c r="B117" s="44" t="s">
        <v>1094</v>
      </c>
      <c r="C117" s="72">
        <v>25.8141</v>
      </c>
      <c r="D117" s="72">
        <v>26.732099999999999</v>
      </c>
      <c r="E117" s="69"/>
      <c r="F117" s="73"/>
      <c r="G117" s="74"/>
      <c r="J117" s="7"/>
    </row>
    <row r="118" spans="1:10" x14ac:dyDescent="0.2">
      <c r="A118" s="69"/>
      <c r="B118" s="44" t="s">
        <v>188</v>
      </c>
      <c r="C118" s="72">
        <v>31.7531</v>
      </c>
      <c r="D118" s="72">
        <v>32.881</v>
      </c>
      <c r="E118" s="69"/>
      <c r="F118" s="73"/>
      <c r="G118" s="74"/>
      <c r="J118" s="7"/>
    </row>
    <row r="119" spans="1:10" x14ac:dyDescent="0.2">
      <c r="A119" s="69"/>
      <c r="B119" s="44" t="s">
        <v>1095</v>
      </c>
      <c r="C119" s="72">
        <v>25.096900000000002</v>
      </c>
      <c r="D119" s="72">
        <v>25.988299999999999</v>
      </c>
      <c r="E119" s="69"/>
      <c r="F119" s="73"/>
      <c r="G119" s="74"/>
      <c r="J119" s="7"/>
    </row>
    <row r="120" spans="1:10" x14ac:dyDescent="0.2">
      <c r="A120" s="69"/>
      <c r="B120" s="69"/>
      <c r="C120" s="69"/>
      <c r="D120" s="69"/>
      <c r="E120" s="69"/>
      <c r="F120" s="69"/>
      <c r="G120" s="69"/>
      <c r="J120" s="7"/>
    </row>
    <row r="121" spans="1:10" x14ac:dyDescent="0.2">
      <c r="A121" s="67"/>
      <c r="B121" s="164" t="s">
        <v>940</v>
      </c>
      <c r="C121" s="165"/>
      <c r="D121" s="64" t="s">
        <v>180</v>
      </c>
      <c r="E121" s="67"/>
      <c r="F121" s="67"/>
      <c r="G121" s="67"/>
      <c r="J121" s="7"/>
    </row>
    <row r="122" spans="1:10" x14ac:dyDescent="0.2">
      <c r="A122" s="67"/>
      <c r="B122" s="84"/>
      <c r="C122" s="84"/>
      <c r="D122" s="84"/>
      <c r="E122" s="67"/>
      <c r="F122" s="67"/>
      <c r="G122" s="67"/>
      <c r="J122" s="7"/>
    </row>
    <row r="123" spans="1:10" x14ac:dyDescent="0.2">
      <c r="A123" s="67"/>
      <c r="B123" s="164" t="s">
        <v>189</v>
      </c>
      <c r="C123" s="165"/>
      <c r="D123" s="64" t="s">
        <v>180</v>
      </c>
      <c r="E123" s="75"/>
      <c r="F123" s="67"/>
      <c r="G123" s="67"/>
      <c r="J123" s="7"/>
    </row>
    <row r="124" spans="1:10" x14ac:dyDescent="0.2">
      <c r="A124" s="67"/>
      <c r="B124" s="164" t="s">
        <v>190</v>
      </c>
      <c r="C124" s="165"/>
      <c r="D124" s="64" t="s">
        <v>180</v>
      </c>
      <c r="E124" s="75"/>
      <c r="F124" s="67"/>
      <c r="G124" s="67"/>
      <c r="J124" s="7"/>
    </row>
    <row r="125" spans="1:10" x14ac:dyDescent="0.2">
      <c r="A125" s="67"/>
      <c r="B125" s="164" t="s">
        <v>191</v>
      </c>
      <c r="C125" s="165"/>
      <c r="D125" s="64" t="s">
        <v>180</v>
      </c>
      <c r="E125" s="75"/>
      <c r="F125" s="67"/>
      <c r="G125" s="67"/>
      <c r="J125" s="7"/>
    </row>
    <row r="126" spans="1:10" x14ac:dyDescent="0.2">
      <c r="A126" s="67"/>
      <c r="B126" s="164" t="s">
        <v>192</v>
      </c>
      <c r="C126" s="165"/>
      <c r="D126" s="76">
        <v>3.1891650535163081E-2</v>
      </c>
      <c r="E126" s="67"/>
      <c r="F126" s="59"/>
      <c r="G126" s="77"/>
    </row>
  </sheetData>
  <mergeCells count="17">
    <mergeCell ref="B112:C112"/>
    <mergeCell ref="B113:C113"/>
    <mergeCell ref="B121:C121"/>
    <mergeCell ref="B125:C125"/>
    <mergeCell ref="B126:C126"/>
    <mergeCell ref="B123:C123"/>
    <mergeCell ref="B124:C124"/>
    <mergeCell ref="B111:C111"/>
    <mergeCell ref="A1:H1"/>
    <mergeCell ref="A2:H2"/>
    <mergeCell ref="A3:H3"/>
    <mergeCell ref="B104:H104"/>
    <mergeCell ref="B105:H105"/>
    <mergeCell ref="B106:H106"/>
    <mergeCell ref="B107:H107"/>
    <mergeCell ref="B108:H108"/>
    <mergeCell ref="B110:D110"/>
  </mergeCells>
  <hyperlinks>
    <hyperlink ref="I1" location="Index!B8" display="Index" xr:uid="{A73806AB-AF1B-4478-90C8-DC4CCBBEB23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C5FA7-9AEF-4B63-9DA7-91A1BC475087}">
  <sheetPr>
    <outlinePr summaryBelow="0" summaryRight="0"/>
  </sheetPr>
  <dimension ref="A1:Q126"/>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9.140625" customWidth="1"/>
    <col min="8" max="8" width="8.42578125" bestFit="1" customWidth="1"/>
    <col min="9" max="9" width="6.140625"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483</v>
      </c>
      <c r="B2" s="158"/>
      <c r="C2" s="158"/>
      <c r="D2" s="158"/>
      <c r="E2" s="158"/>
      <c r="F2" s="158"/>
      <c r="G2" s="158"/>
      <c r="H2" s="158"/>
      <c r="J2" s="11" t="s">
        <v>942</v>
      </c>
    </row>
    <row r="3" spans="1:10" ht="15" customHeight="1" x14ac:dyDescent="0.2">
      <c r="A3" s="158" t="s">
        <v>880</v>
      </c>
      <c r="B3" s="158"/>
      <c r="C3" s="158"/>
      <c r="D3" s="158"/>
      <c r="E3" s="158"/>
      <c r="F3" s="158"/>
      <c r="G3" s="158"/>
      <c r="H3" s="158"/>
      <c r="J3" s="7"/>
    </row>
    <row r="4" spans="1:10" s="1" customFormat="1" ht="33" customHeight="1"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43</v>
      </c>
      <c r="C7" s="44" t="s">
        <v>44</v>
      </c>
      <c r="D7" s="44" t="s">
        <v>45</v>
      </c>
      <c r="E7" s="45">
        <v>9931</v>
      </c>
      <c r="F7" s="46">
        <v>120.651719</v>
      </c>
      <c r="G7" s="47">
        <v>8.877786E-2</v>
      </c>
      <c r="H7" s="40" t="s">
        <v>151</v>
      </c>
      <c r="J7" s="7"/>
    </row>
    <row r="8" spans="1:10" x14ac:dyDescent="0.2">
      <c r="A8" s="43">
        <v>2</v>
      </c>
      <c r="B8" s="44" t="s">
        <v>341</v>
      </c>
      <c r="C8" s="44" t="s">
        <v>342</v>
      </c>
      <c r="D8" s="44" t="s">
        <v>45</v>
      </c>
      <c r="E8" s="45">
        <v>6942</v>
      </c>
      <c r="F8" s="46">
        <v>112.16536499999999</v>
      </c>
      <c r="G8" s="47">
        <v>8.253344E-2</v>
      </c>
      <c r="H8" s="40" t="s">
        <v>151</v>
      </c>
      <c r="J8" s="7"/>
    </row>
    <row r="9" spans="1:10" x14ac:dyDescent="0.2">
      <c r="A9" s="43">
        <v>3</v>
      </c>
      <c r="B9" s="44" t="s">
        <v>20</v>
      </c>
      <c r="C9" s="44" t="s">
        <v>21</v>
      </c>
      <c r="D9" s="44" t="s">
        <v>22</v>
      </c>
      <c r="E9" s="45">
        <v>3489</v>
      </c>
      <c r="F9" s="46">
        <v>105.0485565</v>
      </c>
      <c r="G9" s="47">
        <v>7.7296749999999997E-2</v>
      </c>
      <c r="H9" s="40" t="s">
        <v>151</v>
      </c>
      <c r="J9" s="7"/>
    </row>
    <row r="10" spans="1:10" x14ac:dyDescent="0.2">
      <c r="A10" s="43">
        <v>4</v>
      </c>
      <c r="B10" s="44" t="s">
        <v>51</v>
      </c>
      <c r="C10" s="44" t="s">
        <v>52</v>
      </c>
      <c r="D10" s="44" t="s">
        <v>45</v>
      </c>
      <c r="E10" s="45">
        <v>11730</v>
      </c>
      <c r="F10" s="46">
        <v>102.33252</v>
      </c>
      <c r="G10" s="47">
        <v>7.5298240000000002E-2</v>
      </c>
      <c r="H10" s="40" t="s">
        <v>151</v>
      </c>
      <c r="J10" s="7"/>
    </row>
    <row r="11" spans="1:10" x14ac:dyDescent="0.2">
      <c r="A11" s="43">
        <v>5</v>
      </c>
      <c r="B11" s="44" t="s">
        <v>343</v>
      </c>
      <c r="C11" s="44" t="s">
        <v>344</v>
      </c>
      <c r="D11" s="44" t="s">
        <v>219</v>
      </c>
      <c r="E11" s="45">
        <v>5430</v>
      </c>
      <c r="F11" s="46">
        <v>101.445975</v>
      </c>
      <c r="G11" s="47">
        <v>7.4645900000000001E-2</v>
      </c>
      <c r="H11" s="40" t="s">
        <v>151</v>
      </c>
      <c r="J11" s="7"/>
    </row>
    <row r="12" spans="1:10" ht="15" x14ac:dyDescent="0.2">
      <c r="A12" s="43">
        <v>6</v>
      </c>
      <c r="B12" s="44" t="s">
        <v>11</v>
      </c>
      <c r="C12" s="44" t="s">
        <v>12</v>
      </c>
      <c r="D12" s="44" t="s">
        <v>13</v>
      </c>
      <c r="E12" s="45">
        <v>1772</v>
      </c>
      <c r="F12" s="46">
        <v>67.601799999999997</v>
      </c>
      <c r="G12" s="47">
        <v>4.9742710000000002E-2</v>
      </c>
      <c r="H12" s="40" t="s">
        <v>151</v>
      </c>
      <c r="J12" s="12"/>
    </row>
    <row r="13" spans="1:10" x14ac:dyDescent="0.2">
      <c r="A13" s="43">
        <v>7</v>
      </c>
      <c r="B13" s="44" t="s">
        <v>17</v>
      </c>
      <c r="C13" s="44" t="s">
        <v>18</v>
      </c>
      <c r="D13" s="44" t="s">
        <v>19</v>
      </c>
      <c r="E13" s="45">
        <v>4294</v>
      </c>
      <c r="F13" s="46">
        <v>64.047156999999999</v>
      </c>
      <c r="G13" s="47">
        <v>4.7127130000000003E-2</v>
      </c>
      <c r="H13" s="40" t="s">
        <v>151</v>
      </c>
      <c r="J13" s="7"/>
    </row>
    <row r="14" spans="1:10" x14ac:dyDescent="0.2">
      <c r="A14" s="43">
        <v>8</v>
      </c>
      <c r="B14" s="44" t="s">
        <v>466</v>
      </c>
      <c r="C14" s="44" t="s">
        <v>994</v>
      </c>
      <c r="D14" s="44" t="s">
        <v>282</v>
      </c>
      <c r="E14" s="45">
        <v>6976</v>
      </c>
      <c r="F14" s="46">
        <v>55.319679999999998</v>
      </c>
      <c r="G14" s="47">
        <v>4.0705289999999998E-2</v>
      </c>
      <c r="H14" s="40" t="s">
        <v>151</v>
      </c>
      <c r="J14" s="7"/>
    </row>
    <row r="15" spans="1:10" ht="25.5" x14ac:dyDescent="0.2">
      <c r="A15" s="43">
        <v>9</v>
      </c>
      <c r="B15" s="44" t="s">
        <v>23</v>
      </c>
      <c r="C15" s="44" t="s">
        <v>24</v>
      </c>
      <c r="D15" s="44" t="s">
        <v>25</v>
      </c>
      <c r="E15" s="45">
        <v>424</v>
      </c>
      <c r="F15" s="46">
        <v>50.401727999999999</v>
      </c>
      <c r="G15" s="47">
        <v>3.7086559999999998E-2</v>
      </c>
      <c r="H15" s="40" t="s">
        <v>151</v>
      </c>
      <c r="J15" s="7"/>
    </row>
    <row r="16" spans="1:10" x14ac:dyDescent="0.2">
      <c r="A16" s="43">
        <v>10</v>
      </c>
      <c r="B16" s="44" t="s">
        <v>347</v>
      </c>
      <c r="C16" s="44" t="s">
        <v>348</v>
      </c>
      <c r="D16" s="44" t="s">
        <v>45</v>
      </c>
      <c r="E16" s="45">
        <v>3621</v>
      </c>
      <c r="F16" s="46">
        <v>42.224480999999997</v>
      </c>
      <c r="G16" s="47">
        <v>3.1069590000000001E-2</v>
      </c>
      <c r="H16" s="40" t="s">
        <v>151</v>
      </c>
      <c r="J16" s="7" t="s">
        <v>1053</v>
      </c>
    </row>
    <row r="17" spans="1:10" x14ac:dyDescent="0.2">
      <c r="A17" s="43">
        <v>11</v>
      </c>
      <c r="B17" s="44" t="s">
        <v>364</v>
      </c>
      <c r="C17" s="44" t="s">
        <v>365</v>
      </c>
      <c r="D17" s="44" t="s">
        <v>366</v>
      </c>
      <c r="E17" s="45">
        <v>7286</v>
      </c>
      <c r="F17" s="46">
        <v>36.091200999999998</v>
      </c>
      <c r="G17" s="47">
        <v>2.65566E-2</v>
      </c>
      <c r="H17" s="40" t="s">
        <v>151</v>
      </c>
      <c r="J17" s="7"/>
    </row>
    <row r="18" spans="1:10" x14ac:dyDescent="0.2">
      <c r="A18" s="43">
        <v>12</v>
      </c>
      <c r="B18" s="44" t="s">
        <v>238</v>
      </c>
      <c r="C18" s="44" t="s">
        <v>239</v>
      </c>
      <c r="D18" s="44" t="s">
        <v>22</v>
      </c>
      <c r="E18" s="45">
        <v>9124</v>
      </c>
      <c r="F18" s="46">
        <v>35.788890000000002</v>
      </c>
      <c r="G18" s="47">
        <v>2.6334159999999999E-2</v>
      </c>
      <c r="H18" s="40" t="s">
        <v>151</v>
      </c>
      <c r="J18" s="7"/>
    </row>
    <row r="19" spans="1:10" x14ac:dyDescent="0.2">
      <c r="A19" s="43">
        <v>13</v>
      </c>
      <c r="B19" s="44" t="s">
        <v>134</v>
      </c>
      <c r="C19" s="44" t="s">
        <v>135</v>
      </c>
      <c r="D19" s="44" t="s">
        <v>136</v>
      </c>
      <c r="E19" s="45">
        <v>3580</v>
      </c>
      <c r="F19" s="46">
        <v>35.379350000000002</v>
      </c>
      <c r="G19" s="47">
        <v>2.603281E-2</v>
      </c>
      <c r="H19" s="40" t="s">
        <v>151</v>
      </c>
      <c r="J19" s="7"/>
    </row>
    <row r="20" spans="1:10" x14ac:dyDescent="0.2">
      <c r="A20" s="43">
        <v>14</v>
      </c>
      <c r="B20" s="44" t="s">
        <v>397</v>
      </c>
      <c r="C20" s="44" t="s">
        <v>398</v>
      </c>
      <c r="D20" s="44" t="s">
        <v>100</v>
      </c>
      <c r="E20" s="45">
        <v>901</v>
      </c>
      <c r="F20" s="46">
        <v>31.165139499999999</v>
      </c>
      <c r="G20" s="47">
        <v>2.293191E-2</v>
      </c>
      <c r="H20" s="40" t="s">
        <v>151</v>
      </c>
      <c r="J20" s="7"/>
    </row>
    <row r="21" spans="1:10" ht="25.5" x14ac:dyDescent="0.2">
      <c r="A21" s="43">
        <v>15</v>
      </c>
      <c r="B21" s="44" t="s">
        <v>203</v>
      </c>
      <c r="C21" s="44" t="s">
        <v>204</v>
      </c>
      <c r="D21" s="44" t="s">
        <v>205</v>
      </c>
      <c r="E21" s="45">
        <v>1637</v>
      </c>
      <c r="F21" s="46">
        <v>27.206939999999999</v>
      </c>
      <c r="G21" s="47">
        <v>2.0019390000000001E-2</v>
      </c>
      <c r="H21" s="40" t="s">
        <v>151</v>
      </c>
      <c r="J21" s="7"/>
    </row>
    <row r="22" spans="1:10" ht="15" x14ac:dyDescent="0.2">
      <c r="A22" s="43">
        <v>16</v>
      </c>
      <c r="B22" s="44" t="s">
        <v>349</v>
      </c>
      <c r="C22" s="44" t="s">
        <v>350</v>
      </c>
      <c r="D22" s="44" t="s">
        <v>219</v>
      </c>
      <c r="E22" s="45">
        <v>617</v>
      </c>
      <c r="F22" s="46">
        <v>27.057609500000002</v>
      </c>
      <c r="G22" s="47">
        <v>1.9909509999999998E-2</v>
      </c>
      <c r="H22" s="40" t="s">
        <v>151</v>
      </c>
      <c r="J22" s="12"/>
    </row>
    <row r="23" spans="1:10" x14ac:dyDescent="0.2">
      <c r="A23" s="43">
        <v>17</v>
      </c>
      <c r="B23" s="44" t="s">
        <v>39</v>
      </c>
      <c r="C23" s="44" t="s">
        <v>40</v>
      </c>
      <c r="D23" s="44" t="s">
        <v>22</v>
      </c>
      <c r="E23" s="45">
        <v>7496</v>
      </c>
      <c r="F23" s="46">
        <v>26.239747999999999</v>
      </c>
      <c r="G23" s="47">
        <v>1.9307709999999999E-2</v>
      </c>
      <c r="H23" s="40" t="s">
        <v>151</v>
      </c>
      <c r="J23" s="7"/>
    </row>
    <row r="24" spans="1:10" x14ac:dyDescent="0.2">
      <c r="A24" s="43">
        <v>18</v>
      </c>
      <c r="B24" s="44" t="s">
        <v>471</v>
      </c>
      <c r="C24" s="44" t="s">
        <v>472</v>
      </c>
      <c r="D24" s="44" t="s">
        <v>219</v>
      </c>
      <c r="E24" s="45">
        <v>1555</v>
      </c>
      <c r="F24" s="46">
        <v>25.54243</v>
      </c>
      <c r="G24" s="47">
        <v>1.879461E-2</v>
      </c>
      <c r="H24" s="40" t="s">
        <v>151</v>
      </c>
      <c r="J24" s="7"/>
    </row>
    <row r="25" spans="1:10" x14ac:dyDescent="0.2">
      <c r="A25" s="43">
        <v>19</v>
      </c>
      <c r="B25" s="44" t="s">
        <v>120</v>
      </c>
      <c r="C25" s="44" t="s">
        <v>121</v>
      </c>
      <c r="D25" s="44" t="s">
        <v>89</v>
      </c>
      <c r="E25" s="45">
        <v>587</v>
      </c>
      <c r="F25" s="46">
        <v>25.0493445</v>
      </c>
      <c r="G25" s="47">
        <v>1.843179E-2</v>
      </c>
      <c r="H25" s="40" t="s">
        <v>151</v>
      </c>
      <c r="J25" s="7"/>
    </row>
    <row r="26" spans="1:10" x14ac:dyDescent="0.2">
      <c r="A26" s="43">
        <v>20</v>
      </c>
      <c r="B26" s="44" t="s">
        <v>469</v>
      </c>
      <c r="C26" s="44" t="s">
        <v>470</v>
      </c>
      <c r="D26" s="44" t="s">
        <v>45</v>
      </c>
      <c r="E26" s="45">
        <v>9495</v>
      </c>
      <c r="F26" s="46">
        <v>24.0840675</v>
      </c>
      <c r="G26" s="47">
        <v>1.7721520000000001E-2</v>
      </c>
      <c r="H26" s="40" t="s">
        <v>151</v>
      </c>
      <c r="J26" s="7"/>
    </row>
    <row r="27" spans="1:10" x14ac:dyDescent="0.2">
      <c r="A27" s="43">
        <v>21</v>
      </c>
      <c r="B27" s="44" t="s">
        <v>467</v>
      </c>
      <c r="C27" s="44" t="s">
        <v>468</v>
      </c>
      <c r="D27" s="44" t="s">
        <v>232</v>
      </c>
      <c r="E27" s="45">
        <v>1169</v>
      </c>
      <c r="F27" s="46">
        <v>20.500168500000001</v>
      </c>
      <c r="G27" s="47">
        <v>1.5084419999999999E-2</v>
      </c>
      <c r="H27" s="40" t="s">
        <v>151</v>
      </c>
      <c r="J27" s="7"/>
    </row>
    <row r="28" spans="1:10" ht="25.5" x14ac:dyDescent="0.2">
      <c r="A28" s="43">
        <v>22</v>
      </c>
      <c r="B28" s="44" t="s">
        <v>318</v>
      </c>
      <c r="C28" s="44" t="s">
        <v>319</v>
      </c>
      <c r="D28" s="44" t="s">
        <v>247</v>
      </c>
      <c r="E28" s="45">
        <v>526</v>
      </c>
      <c r="F28" s="46">
        <v>19.992996999999999</v>
      </c>
      <c r="G28" s="47">
        <v>1.471123E-2</v>
      </c>
      <c r="H28" s="40" t="s">
        <v>151</v>
      </c>
      <c r="J28" s="7"/>
    </row>
    <row r="29" spans="1:10" x14ac:dyDescent="0.2">
      <c r="A29" s="43">
        <v>23</v>
      </c>
      <c r="B29" s="44" t="s">
        <v>359</v>
      </c>
      <c r="C29" s="44" t="s">
        <v>360</v>
      </c>
      <c r="D29" s="44" t="s">
        <v>361</v>
      </c>
      <c r="E29" s="45">
        <v>2810</v>
      </c>
      <c r="F29" s="46">
        <v>18.815760000000001</v>
      </c>
      <c r="G29" s="47">
        <v>1.3845E-2</v>
      </c>
      <c r="H29" s="40" t="s">
        <v>151</v>
      </c>
      <c r="J29" s="7"/>
    </row>
    <row r="30" spans="1:10" ht="25.5" x14ac:dyDescent="0.2">
      <c r="A30" s="43">
        <v>24</v>
      </c>
      <c r="B30" s="44" t="s">
        <v>477</v>
      </c>
      <c r="C30" s="44" t="s">
        <v>478</v>
      </c>
      <c r="D30" s="44" t="s">
        <v>313</v>
      </c>
      <c r="E30" s="45">
        <v>1535</v>
      </c>
      <c r="F30" s="46">
        <v>18.250382500000001</v>
      </c>
      <c r="G30" s="47">
        <v>1.342898E-2</v>
      </c>
      <c r="H30" s="40" t="s">
        <v>151</v>
      </c>
      <c r="J30" s="7"/>
    </row>
    <row r="31" spans="1:10" ht="25.5" x14ac:dyDescent="0.2">
      <c r="A31" s="43">
        <v>25</v>
      </c>
      <c r="B31" s="44" t="s">
        <v>473</v>
      </c>
      <c r="C31" s="44" t="s">
        <v>474</v>
      </c>
      <c r="D31" s="44" t="s">
        <v>25</v>
      </c>
      <c r="E31" s="45">
        <v>1190</v>
      </c>
      <c r="F31" s="46">
        <v>18.201049999999999</v>
      </c>
      <c r="G31" s="47">
        <v>1.3392680000000001E-2</v>
      </c>
      <c r="H31" s="40" t="s">
        <v>151</v>
      </c>
      <c r="J31" s="7"/>
    </row>
    <row r="32" spans="1:10" ht="25.5" x14ac:dyDescent="0.2">
      <c r="A32" s="43">
        <v>26</v>
      </c>
      <c r="B32" s="44" t="s">
        <v>475</v>
      </c>
      <c r="C32" s="44" t="s">
        <v>476</v>
      </c>
      <c r="D32" s="44" t="s">
        <v>210</v>
      </c>
      <c r="E32" s="45">
        <v>1140</v>
      </c>
      <c r="F32" s="46">
        <v>17.60502</v>
      </c>
      <c r="G32" s="47">
        <v>1.295411E-2</v>
      </c>
      <c r="H32" s="40" t="s">
        <v>151</v>
      </c>
      <c r="J32" s="7"/>
    </row>
    <row r="33" spans="1:10" x14ac:dyDescent="0.2">
      <c r="A33" s="43">
        <v>27</v>
      </c>
      <c r="B33" s="44" t="s">
        <v>74</v>
      </c>
      <c r="C33" s="44" t="s">
        <v>75</v>
      </c>
      <c r="D33" s="44" t="s">
        <v>76</v>
      </c>
      <c r="E33" s="45">
        <v>1497</v>
      </c>
      <c r="F33" s="46">
        <v>15.5755365</v>
      </c>
      <c r="G33" s="47">
        <v>1.146078E-2</v>
      </c>
      <c r="H33" s="40" t="s">
        <v>151</v>
      </c>
      <c r="J33" s="7"/>
    </row>
    <row r="34" spans="1:10" x14ac:dyDescent="0.2">
      <c r="A34" s="43">
        <v>28</v>
      </c>
      <c r="B34" s="44" t="s">
        <v>479</v>
      </c>
      <c r="C34" s="44" t="s">
        <v>480</v>
      </c>
      <c r="D34" s="44" t="s">
        <v>45</v>
      </c>
      <c r="E34" s="45">
        <v>989</v>
      </c>
      <c r="F34" s="46">
        <v>14.120941999999999</v>
      </c>
      <c r="G34" s="47">
        <v>1.0390460000000001E-2</v>
      </c>
      <c r="H34" s="40" t="s">
        <v>151</v>
      </c>
      <c r="J34" s="7"/>
    </row>
    <row r="35" spans="1:10" x14ac:dyDescent="0.2">
      <c r="A35" s="43">
        <v>29</v>
      </c>
      <c r="B35" s="44" t="s">
        <v>378</v>
      </c>
      <c r="C35" s="44" t="s">
        <v>379</v>
      </c>
      <c r="D35" s="44" t="s">
        <v>366</v>
      </c>
      <c r="E35" s="45">
        <v>517</v>
      </c>
      <c r="F35" s="46">
        <v>13.988210499999999</v>
      </c>
      <c r="G35" s="47">
        <v>1.02928E-2</v>
      </c>
      <c r="H35" s="40" t="s">
        <v>151</v>
      </c>
      <c r="J35" s="7"/>
    </row>
    <row r="36" spans="1:10" x14ac:dyDescent="0.2">
      <c r="A36" s="43">
        <v>30</v>
      </c>
      <c r="B36" s="44" t="s">
        <v>355</v>
      </c>
      <c r="C36" s="44" t="s">
        <v>356</v>
      </c>
      <c r="D36" s="44" t="s">
        <v>45</v>
      </c>
      <c r="E36" s="45">
        <v>731</v>
      </c>
      <c r="F36" s="46">
        <v>13.215749000000001</v>
      </c>
      <c r="G36" s="47">
        <v>9.7243999999999994E-3</v>
      </c>
      <c r="H36" s="40" t="s">
        <v>151</v>
      </c>
      <c r="J36" s="7"/>
    </row>
    <row r="37" spans="1:10" x14ac:dyDescent="0.2">
      <c r="A37" s="43">
        <v>31</v>
      </c>
      <c r="B37" s="44" t="s">
        <v>484</v>
      </c>
      <c r="C37" s="44" t="s">
        <v>485</v>
      </c>
      <c r="D37" s="44" t="s">
        <v>219</v>
      </c>
      <c r="E37" s="45">
        <v>1558</v>
      </c>
      <c r="F37" s="46">
        <v>8.1327599999999993</v>
      </c>
      <c r="G37" s="47">
        <v>5.98424E-3</v>
      </c>
      <c r="H37" s="40" t="s">
        <v>151</v>
      </c>
      <c r="J37" s="7"/>
    </row>
    <row r="38" spans="1:10" x14ac:dyDescent="0.2">
      <c r="A38" s="43">
        <v>32</v>
      </c>
      <c r="B38" s="44" t="s">
        <v>482</v>
      </c>
      <c r="C38" s="44" t="s">
        <v>1011</v>
      </c>
      <c r="D38" s="44" t="s">
        <v>19</v>
      </c>
      <c r="E38" s="45">
        <v>327</v>
      </c>
      <c r="F38" s="46">
        <v>3.5472959999999998</v>
      </c>
      <c r="G38" s="47">
        <v>2.6101700000000002E-3</v>
      </c>
      <c r="H38" s="40" t="s">
        <v>151</v>
      </c>
      <c r="J38" s="7"/>
    </row>
    <row r="39" spans="1:10" ht="25.5" x14ac:dyDescent="0.2">
      <c r="A39" s="43">
        <v>33</v>
      </c>
      <c r="B39" s="44" t="s">
        <v>481</v>
      </c>
      <c r="C39" s="44" t="s">
        <v>478</v>
      </c>
      <c r="D39" s="44" t="s">
        <v>313</v>
      </c>
      <c r="E39" s="45">
        <v>59</v>
      </c>
      <c r="F39" s="46">
        <v>0.21886050000000001</v>
      </c>
      <c r="G39" s="47">
        <v>1.6103999999999999E-4</v>
      </c>
      <c r="H39" s="40" t="s">
        <v>151</v>
      </c>
      <c r="J39" s="7"/>
    </row>
    <row r="40" spans="1:10" x14ac:dyDescent="0.2">
      <c r="A40" s="41"/>
      <c r="B40" s="41"/>
      <c r="C40" s="42" t="s">
        <v>150</v>
      </c>
      <c r="D40" s="41"/>
      <c r="E40" s="41" t="s">
        <v>151</v>
      </c>
      <c r="F40" s="48">
        <f>SUM(F7:F39)</f>
        <v>1297.0084339999994</v>
      </c>
      <c r="G40" s="49">
        <f>SUM(G7:G39)</f>
        <v>0.95436378999999971</v>
      </c>
      <c r="H40" s="40" t="s">
        <v>151</v>
      </c>
      <c r="J40" s="7"/>
    </row>
    <row r="41" spans="1:10" x14ac:dyDescent="0.2">
      <c r="A41" s="41"/>
      <c r="B41" s="41"/>
      <c r="C41" s="50"/>
      <c r="D41" s="41"/>
      <c r="E41" s="41"/>
      <c r="F41" s="51"/>
      <c r="G41" s="51"/>
      <c r="H41" s="40" t="s">
        <v>151</v>
      </c>
      <c r="J41" s="7"/>
    </row>
    <row r="42" spans="1:10" x14ac:dyDescent="0.2">
      <c r="A42" s="41"/>
      <c r="B42" s="41"/>
      <c r="C42" s="42" t="s">
        <v>152</v>
      </c>
      <c r="D42" s="41"/>
      <c r="E42" s="41"/>
      <c r="F42" s="41"/>
      <c r="G42" s="41"/>
      <c r="H42" s="40" t="s">
        <v>151</v>
      </c>
      <c r="J42" s="7"/>
    </row>
    <row r="43" spans="1:10" x14ac:dyDescent="0.2">
      <c r="A43" s="41"/>
      <c r="B43" s="41"/>
      <c r="C43" s="42" t="s">
        <v>150</v>
      </c>
      <c r="D43" s="41"/>
      <c r="E43" s="41" t="s">
        <v>151</v>
      </c>
      <c r="F43" s="52" t="s">
        <v>153</v>
      </c>
      <c r="G43" s="49">
        <v>0</v>
      </c>
      <c r="H43" s="40" t="s">
        <v>151</v>
      </c>
      <c r="J43" s="7"/>
    </row>
    <row r="44" spans="1:10" x14ac:dyDescent="0.2">
      <c r="A44" s="41"/>
      <c r="B44" s="41"/>
      <c r="C44" s="50"/>
      <c r="D44" s="41"/>
      <c r="E44" s="41"/>
      <c r="F44" s="51"/>
      <c r="G44" s="51"/>
      <c r="H44" s="40" t="s">
        <v>151</v>
      </c>
      <c r="J44" s="7"/>
    </row>
    <row r="45" spans="1:10" x14ac:dyDescent="0.2">
      <c r="A45" s="41"/>
      <c r="B45" s="41"/>
      <c r="C45" s="42" t="s">
        <v>154</v>
      </c>
      <c r="D45" s="41"/>
      <c r="E45" s="41"/>
      <c r="F45" s="41"/>
      <c r="G45" s="41"/>
      <c r="H45" s="40" t="s">
        <v>151</v>
      </c>
      <c r="J45" s="7"/>
    </row>
    <row r="46" spans="1:10" x14ac:dyDescent="0.2">
      <c r="A46" s="41"/>
      <c r="B46" s="41"/>
      <c r="C46" s="42" t="s">
        <v>150</v>
      </c>
      <c r="D46" s="41"/>
      <c r="E46" s="41" t="s">
        <v>151</v>
      </c>
      <c r="F46" s="52" t="s">
        <v>153</v>
      </c>
      <c r="G46" s="49">
        <v>0</v>
      </c>
      <c r="H46" s="40" t="s">
        <v>151</v>
      </c>
      <c r="J46" s="7"/>
    </row>
    <row r="47" spans="1:10" x14ac:dyDescent="0.2">
      <c r="A47" s="41"/>
      <c r="B47" s="41"/>
      <c r="C47" s="50"/>
      <c r="D47" s="41"/>
      <c r="E47" s="41"/>
      <c r="F47" s="51"/>
      <c r="G47" s="51"/>
      <c r="H47" s="40" t="s">
        <v>151</v>
      </c>
      <c r="J47" s="7"/>
    </row>
    <row r="48" spans="1:10" x14ac:dyDescent="0.2">
      <c r="A48" s="41"/>
      <c r="B48" s="41"/>
      <c r="C48" s="42" t="s">
        <v>155</v>
      </c>
      <c r="D48" s="41"/>
      <c r="E48" s="41"/>
      <c r="F48" s="52"/>
      <c r="G48" s="49"/>
      <c r="H48" s="40" t="s">
        <v>151</v>
      </c>
      <c r="J48" s="7"/>
    </row>
    <row r="49" spans="1:10" x14ac:dyDescent="0.2">
      <c r="A49" s="41"/>
      <c r="B49" s="41"/>
      <c r="C49" s="42" t="s">
        <v>150</v>
      </c>
      <c r="D49" s="41"/>
      <c r="E49" s="41" t="s">
        <v>151</v>
      </c>
      <c r="F49" s="52" t="s">
        <v>153</v>
      </c>
      <c r="G49" s="49">
        <v>0</v>
      </c>
      <c r="H49" s="40" t="s">
        <v>151</v>
      </c>
      <c r="J49" s="7"/>
    </row>
    <row r="50" spans="1:10" x14ac:dyDescent="0.2">
      <c r="A50" s="41"/>
      <c r="B50" s="41"/>
      <c r="C50" s="50"/>
      <c r="D50" s="41"/>
      <c r="E50" s="41"/>
      <c r="F50" s="51"/>
      <c r="G50" s="51"/>
      <c r="H50" s="40" t="s">
        <v>151</v>
      </c>
      <c r="J50" s="7"/>
    </row>
    <row r="51" spans="1:10" x14ac:dyDescent="0.2">
      <c r="A51" s="41"/>
      <c r="B51" s="41"/>
      <c r="C51" s="42" t="s">
        <v>156</v>
      </c>
      <c r="D51" s="41"/>
      <c r="E51" s="41"/>
      <c r="F51" s="51"/>
      <c r="G51" s="51"/>
      <c r="H51" s="40" t="s">
        <v>151</v>
      </c>
      <c r="J51" s="7"/>
    </row>
    <row r="52" spans="1:10" x14ac:dyDescent="0.2">
      <c r="A52" s="41"/>
      <c r="B52" s="41"/>
      <c r="C52" s="42" t="s">
        <v>150</v>
      </c>
      <c r="D52" s="41"/>
      <c r="E52" s="41" t="s">
        <v>151</v>
      </c>
      <c r="F52" s="52" t="s">
        <v>153</v>
      </c>
      <c r="G52" s="49">
        <v>0</v>
      </c>
      <c r="H52" s="40" t="s">
        <v>151</v>
      </c>
      <c r="J52" s="7"/>
    </row>
    <row r="53" spans="1:10" x14ac:dyDescent="0.2">
      <c r="A53" s="41"/>
      <c r="B53" s="41"/>
      <c r="C53" s="50"/>
      <c r="D53" s="41"/>
      <c r="E53" s="41"/>
      <c r="F53" s="51"/>
      <c r="G53" s="51"/>
      <c r="H53" s="40" t="s">
        <v>151</v>
      </c>
      <c r="J53" s="7"/>
    </row>
    <row r="54" spans="1:10" x14ac:dyDescent="0.2">
      <c r="A54" s="41"/>
      <c r="B54" s="41"/>
      <c r="C54" s="42" t="s">
        <v>157</v>
      </c>
      <c r="D54" s="41"/>
      <c r="E54" s="41"/>
      <c r="F54" s="51"/>
      <c r="G54" s="51"/>
      <c r="H54" s="40" t="s">
        <v>151</v>
      </c>
      <c r="J54" s="7"/>
    </row>
    <row r="55" spans="1:10" x14ac:dyDescent="0.2">
      <c r="A55" s="41"/>
      <c r="B55" s="41"/>
      <c r="C55" s="42" t="s">
        <v>150</v>
      </c>
      <c r="D55" s="41"/>
      <c r="E55" s="41" t="s">
        <v>151</v>
      </c>
      <c r="F55" s="52" t="s">
        <v>153</v>
      </c>
      <c r="G55" s="49">
        <v>0</v>
      </c>
      <c r="H55" s="40" t="s">
        <v>151</v>
      </c>
      <c r="J55" s="7"/>
    </row>
    <row r="56" spans="1:10" x14ac:dyDescent="0.2">
      <c r="A56" s="41"/>
      <c r="B56" s="41"/>
      <c r="C56" s="50"/>
      <c r="D56" s="41"/>
      <c r="E56" s="41"/>
      <c r="F56" s="51"/>
      <c r="G56" s="51"/>
      <c r="H56" s="40" t="s">
        <v>151</v>
      </c>
      <c r="J56" s="7"/>
    </row>
    <row r="57" spans="1:10" x14ac:dyDescent="0.2">
      <c r="A57" s="41"/>
      <c r="B57" s="41"/>
      <c r="C57" s="42" t="s">
        <v>158</v>
      </c>
      <c r="D57" s="41"/>
      <c r="E57" s="41"/>
      <c r="F57" s="48">
        <v>1297.0084340000001</v>
      </c>
      <c r="G57" s="49">
        <v>0.95436379000000005</v>
      </c>
      <c r="H57" s="40" t="s">
        <v>151</v>
      </c>
      <c r="J57" s="7"/>
    </row>
    <row r="58" spans="1:10" x14ac:dyDescent="0.2">
      <c r="A58" s="41"/>
      <c r="B58" s="41"/>
      <c r="C58" s="50"/>
      <c r="D58" s="41"/>
      <c r="E58" s="41"/>
      <c r="F58" s="51"/>
      <c r="G58" s="51"/>
      <c r="H58" s="40" t="s">
        <v>151</v>
      </c>
      <c r="J58" s="7"/>
    </row>
    <row r="59" spans="1:10" x14ac:dyDescent="0.2">
      <c r="A59" s="41"/>
      <c r="B59" s="41"/>
      <c r="C59" s="42" t="s">
        <v>159</v>
      </c>
      <c r="D59" s="41"/>
      <c r="E59" s="41"/>
      <c r="F59" s="51"/>
      <c r="G59" s="51"/>
      <c r="H59" s="40" t="s">
        <v>151</v>
      </c>
      <c r="J59" s="7"/>
    </row>
    <row r="60" spans="1:10" x14ac:dyDescent="0.2">
      <c r="A60" s="41"/>
      <c r="B60" s="41"/>
      <c r="C60" s="42" t="s">
        <v>10</v>
      </c>
      <c r="D60" s="41"/>
      <c r="E60" s="41"/>
      <c r="F60" s="51"/>
      <c r="G60" s="51"/>
      <c r="H60" s="40" t="s">
        <v>151</v>
      </c>
      <c r="J60" s="7"/>
    </row>
    <row r="61" spans="1:10" x14ac:dyDescent="0.2">
      <c r="A61" s="41"/>
      <c r="B61" s="41"/>
      <c r="C61" s="42" t="s">
        <v>150</v>
      </c>
      <c r="D61" s="41"/>
      <c r="E61" s="41" t="s">
        <v>151</v>
      </c>
      <c r="F61" s="52" t="s">
        <v>153</v>
      </c>
      <c r="G61" s="49">
        <v>0</v>
      </c>
      <c r="H61" s="40" t="s">
        <v>151</v>
      </c>
      <c r="J61" s="7"/>
    </row>
    <row r="62" spans="1:10" x14ac:dyDescent="0.2">
      <c r="A62" s="41"/>
      <c r="B62" s="41"/>
      <c r="C62" s="50"/>
      <c r="D62" s="41"/>
      <c r="E62" s="41"/>
      <c r="F62" s="51"/>
      <c r="G62" s="51"/>
      <c r="H62" s="40" t="s">
        <v>151</v>
      </c>
      <c r="J62" s="7"/>
    </row>
    <row r="63" spans="1:10" x14ac:dyDescent="0.2">
      <c r="A63" s="41"/>
      <c r="B63" s="41"/>
      <c r="C63" s="42" t="s">
        <v>160</v>
      </c>
      <c r="D63" s="41"/>
      <c r="E63" s="41"/>
      <c r="F63" s="41"/>
      <c r="G63" s="41"/>
      <c r="H63" s="40" t="s">
        <v>151</v>
      </c>
      <c r="J63" s="7"/>
    </row>
    <row r="64" spans="1:10" x14ac:dyDescent="0.2">
      <c r="A64" s="41"/>
      <c r="B64" s="41"/>
      <c r="C64" s="42" t="s">
        <v>150</v>
      </c>
      <c r="D64" s="41"/>
      <c r="E64" s="41" t="s">
        <v>151</v>
      </c>
      <c r="F64" s="52" t="s">
        <v>153</v>
      </c>
      <c r="G64" s="49">
        <v>0</v>
      </c>
      <c r="H64" s="40" t="s">
        <v>151</v>
      </c>
      <c r="J64" s="7"/>
    </row>
    <row r="65" spans="1:10" x14ac:dyDescent="0.2">
      <c r="A65" s="41"/>
      <c r="B65" s="41"/>
      <c r="C65" s="50"/>
      <c r="D65" s="41"/>
      <c r="E65" s="41"/>
      <c r="F65" s="51"/>
      <c r="G65" s="51"/>
      <c r="H65" s="40" t="s">
        <v>151</v>
      </c>
      <c r="J65" s="7"/>
    </row>
    <row r="66" spans="1:10" x14ac:dyDescent="0.2">
      <c r="A66" s="41"/>
      <c r="B66" s="41"/>
      <c r="C66" s="42" t="s">
        <v>161</v>
      </c>
      <c r="D66" s="41"/>
      <c r="E66" s="41"/>
      <c r="F66" s="41"/>
      <c r="G66" s="41"/>
      <c r="H66" s="40" t="s">
        <v>151</v>
      </c>
      <c r="J66" s="7"/>
    </row>
    <row r="67" spans="1:10" x14ac:dyDescent="0.2">
      <c r="A67" s="41"/>
      <c r="B67" s="41"/>
      <c r="C67" s="42" t="s">
        <v>150</v>
      </c>
      <c r="D67" s="41"/>
      <c r="E67" s="41" t="s">
        <v>151</v>
      </c>
      <c r="F67" s="52" t="s">
        <v>153</v>
      </c>
      <c r="G67" s="49">
        <v>0</v>
      </c>
      <c r="H67" s="40" t="s">
        <v>151</v>
      </c>
      <c r="J67" s="7"/>
    </row>
    <row r="68" spans="1:10" x14ac:dyDescent="0.2">
      <c r="A68" s="41"/>
      <c r="B68" s="41"/>
      <c r="C68" s="50"/>
      <c r="D68" s="41"/>
      <c r="E68" s="41"/>
      <c r="F68" s="51"/>
      <c r="G68" s="51"/>
      <c r="H68" s="40" t="s">
        <v>151</v>
      </c>
      <c r="J68" s="7"/>
    </row>
    <row r="69" spans="1:10" x14ac:dyDescent="0.2">
      <c r="A69" s="41"/>
      <c r="B69" s="41"/>
      <c r="C69" s="42" t="s">
        <v>162</v>
      </c>
      <c r="D69" s="41"/>
      <c r="E69" s="41"/>
      <c r="F69" s="51"/>
      <c r="G69" s="51"/>
      <c r="H69" s="40" t="s">
        <v>151</v>
      </c>
      <c r="J69" s="7"/>
    </row>
    <row r="70" spans="1:10" x14ac:dyDescent="0.2">
      <c r="A70" s="41"/>
      <c r="B70" s="41"/>
      <c r="C70" s="42" t="s">
        <v>150</v>
      </c>
      <c r="D70" s="41"/>
      <c r="E70" s="41" t="s">
        <v>151</v>
      </c>
      <c r="F70" s="52" t="s">
        <v>153</v>
      </c>
      <c r="G70" s="49">
        <v>0</v>
      </c>
      <c r="H70" s="40" t="s">
        <v>151</v>
      </c>
      <c r="J70" s="7"/>
    </row>
    <row r="71" spans="1:10" x14ac:dyDescent="0.2">
      <c r="A71" s="41"/>
      <c r="B71" s="41"/>
      <c r="C71" s="50"/>
      <c r="D71" s="41"/>
      <c r="E71" s="41"/>
      <c r="F71" s="51"/>
      <c r="G71" s="51"/>
      <c r="H71" s="40" t="s">
        <v>151</v>
      </c>
      <c r="J71" s="7"/>
    </row>
    <row r="72" spans="1:10" x14ac:dyDescent="0.2">
      <c r="A72" s="41"/>
      <c r="B72" s="41"/>
      <c r="C72" s="42" t="s">
        <v>163</v>
      </c>
      <c r="D72" s="41"/>
      <c r="E72" s="41"/>
      <c r="F72" s="48">
        <v>0</v>
      </c>
      <c r="G72" s="49">
        <v>0</v>
      </c>
      <c r="H72" s="40" t="s">
        <v>151</v>
      </c>
      <c r="J72" s="7"/>
    </row>
    <row r="73" spans="1:10" x14ac:dyDescent="0.2">
      <c r="A73" s="41"/>
      <c r="B73" s="41"/>
      <c r="C73" s="50"/>
      <c r="D73" s="41"/>
      <c r="E73" s="41"/>
      <c r="F73" s="51"/>
      <c r="G73" s="51"/>
      <c r="H73" s="40" t="s">
        <v>151</v>
      </c>
      <c r="J73" s="7"/>
    </row>
    <row r="74" spans="1:10" x14ac:dyDescent="0.2">
      <c r="A74" s="41"/>
      <c r="B74" s="41"/>
      <c r="C74" s="42" t="s">
        <v>164</v>
      </c>
      <c r="D74" s="41"/>
      <c r="E74" s="41"/>
      <c r="F74" s="51"/>
      <c r="G74" s="51"/>
      <c r="H74" s="40" t="s">
        <v>151</v>
      </c>
      <c r="J74" s="7"/>
    </row>
    <row r="75" spans="1:10" x14ac:dyDescent="0.2">
      <c r="A75" s="41"/>
      <c r="B75" s="41"/>
      <c r="C75" s="42" t="s">
        <v>165</v>
      </c>
      <c r="D75" s="41"/>
      <c r="E75" s="41"/>
      <c r="F75" s="51"/>
      <c r="G75" s="51"/>
      <c r="H75" s="40" t="s">
        <v>151</v>
      </c>
      <c r="J75" s="7"/>
    </row>
    <row r="76" spans="1:10" x14ac:dyDescent="0.2">
      <c r="A76" s="41"/>
      <c r="B76" s="41"/>
      <c r="C76" s="42" t="s">
        <v>150</v>
      </c>
      <c r="D76" s="41"/>
      <c r="E76" s="41" t="s">
        <v>151</v>
      </c>
      <c r="F76" s="52" t="s">
        <v>153</v>
      </c>
      <c r="G76" s="49">
        <v>0</v>
      </c>
      <c r="H76" s="40" t="s">
        <v>151</v>
      </c>
      <c r="J76" s="7"/>
    </row>
    <row r="77" spans="1:10" x14ac:dyDescent="0.2">
      <c r="A77" s="41"/>
      <c r="B77" s="41"/>
      <c r="C77" s="50"/>
      <c r="D77" s="41"/>
      <c r="E77" s="41"/>
      <c r="F77" s="51"/>
      <c r="G77" s="51"/>
      <c r="H77" s="40" t="s">
        <v>151</v>
      </c>
      <c r="J77" s="7"/>
    </row>
    <row r="78" spans="1:10" x14ac:dyDescent="0.2">
      <c r="A78" s="41"/>
      <c r="B78" s="41"/>
      <c r="C78" s="42" t="s">
        <v>166</v>
      </c>
      <c r="D78" s="41"/>
      <c r="E78" s="41"/>
      <c r="F78" s="51"/>
      <c r="G78" s="51"/>
      <c r="H78" s="40" t="s">
        <v>151</v>
      </c>
      <c r="J78" s="7"/>
    </row>
    <row r="79" spans="1:10" x14ac:dyDescent="0.2">
      <c r="A79" s="41"/>
      <c r="B79" s="41"/>
      <c r="C79" s="42" t="s">
        <v>150</v>
      </c>
      <c r="D79" s="41"/>
      <c r="E79" s="41" t="s">
        <v>151</v>
      </c>
      <c r="F79" s="52" t="s">
        <v>153</v>
      </c>
      <c r="G79" s="49">
        <v>0</v>
      </c>
      <c r="H79" s="40" t="s">
        <v>151</v>
      </c>
      <c r="J79" s="7"/>
    </row>
    <row r="80" spans="1:10" x14ac:dyDescent="0.2">
      <c r="A80" s="41"/>
      <c r="B80" s="41"/>
      <c r="C80" s="50"/>
      <c r="D80" s="41"/>
      <c r="E80" s="41"/>
      <c r="F80" s="51"/>
      <c r="G80" s="51"/>
      <c r="H80" s="40" t="s">
        <v>151</v>
      </c>
      <c r="J80" s="7"/>
    </row>
    <row r="81" spans="1:10" x14ac:dyDescent="0.2">
      <c r="A81" s="41"/>
      <c r="B81" s="41"/>
      <c r="C81" s="42" t="s">
        <v>167</v>
      </c>
      <c r="D81" s="41"/>
      <c r="E81" s="41"/>
      <c r="F81" s="51"/>
      <c r="G81" s="51"/>
      <c r="H81" s="40" t="s">
        <v>151</v>
      </c>
      <c r="J81" s="7"/>
    </row>
    <row r="82" spans="1:10" x14ac:dyDescent="0.2">
      <c r="A82" s="41"/>
      <c r="B82" s="41"/>
      <c r="C82" s="42" t="s">
        <v>150</v>
      </c>
      <c r="D82" s="41"/>
      <c r="E82" s="41" t="s">
        <v>151</v>
      </c>
      <c r="F82" s="52" t="s">
        <v>153</v>
      </c>
      <c r="G82" s="49">
        <v>0</v>
      </c>
      <c r="H82" s="40" t="s">
        <v>151</v>
      </c>
      <c r="J82" s="7"/>
    </row>
    <row r="83" spans="1:10" x14ac:dyDescent="0.2">
      <c r="A83" s="41"/>
      <c r="B83" s="41"/>
      <c r="C83" s="50"/>
      <c r="D83" s="41"/>
      <c r="E83" s="41"/>
      <c r="F83" s="51"/>
      <c r="G83" s="51"/>
      <c r="H83" s="40" t="s">
        <v>151</v>
      </c>
      <c r="J83" s="7"/>
    </row>
    <row r="84" spans="1:10" x14ac:dyDescent="0.2">
      <c r="A84" s="41"/>
      <c r="B84" s="41"/>
      <c r="C84" s="42" t="s">
        <v>168</v>
      </c>
      <c r="D84" s="41"/>
      <c r="E84" s="41"/>
      <c r="F84" s="51"/>
      <c r="G84" s="51"/>
      <c r="H84" s="40" t="s">
        <v>151</v>
      </c>
      <c r="J84" s="7"/>
    </row>
    <row r="85" spans="1:10" x14ac:dyDescent="0.2">
      <c r="A85" s="43">
        <v>1</v>
      </c>
      <c r="B85" s="44"/>
      <c r="C85" s="44" t="s">
        <v>169</v>
      </c>
      <c r="D85" s="44"/>
      <c r="E85" s="54"/>
      <c r="F85" s="46">
        <v>58.979512999999997</v>
      </c>
      <c r="G85" s="47">
        <v>4.3398260000000001E-2</v>
      </c>
      <c r="H85" s="40">
        <v>6.39</v>
      </c>
      <c r="J85" s="7"/>
    </row>
    <row r="86" spans="1:10" x14ac:dyDescent="0.2">
      <c r="A86" s="41"/>
      <c r="B86" s="41"/>
      <c r="C86" s="42" t="s">
        <v>150</v>
      </c>
      <c r="D86" s="41"/>
      <c r="E86" s="41" t="s">
        <v>151</v>
      </c>
      <c r="F86" s="48">
        <v>58.979512999999997</v>
      </c>
      <c r="G86" s="49">
        <v>4.3398260000000001E-2</v>
      </c>
      <c r="H86" s="40" t="s">
        <v>151</v>
      </c>
      <c r="J86" s="7"/>
    </row>
    <row r="87" spans="1:10" x14ac:dyDescent="0.2">
      <c r="A87" s="41"/>
      <c r="B87" s="41"/>
      <c r="C87" s="50"/>
      <c r="D87" s="41"/>
      <c r="E87" s="41"/>
      <c r="F87" s="51"/>
      <c r="G87" s="51"/>
      <c r="H87" s="40" t="s">
        <v>151</v>
      </c>
      <c r="J87" s="7"/>
    </row>
    <row r="88" spans="1:10" x14ac:dyDescent="0.2">
      <c r="A88" s="41"/>
      <c r="B88" s="41"/>
      <c r="C88" s="42" t="s">
        <v>170</v>
      </c>
      <c r="D88" s="41"/>
      <c r="E88" s="41"/>
      <c r="F88" s="48">
        <v>58.979512999999997</v>
      </c>
      <c r="G88" s="49">
        <v>4.3398260000000001E-2</v>
      </c>
      <c r="H88" s="40" t="s">
        <v>151</v>
      </c>
      <c r="J88" s="7"/>
    </row>
    <row r="89" spans="1:10" x14ac:dyDescent="0.2">
      <c r="A89" s="41"/>
      <c r="B89" s="41"/>
      <c r="C89" s="51"/>
      <c r="D89" s="41"/>
      <c r="E89" s="41"/>
      <c r="F89" s="41"/>
      <c r="G89" s="41"/>
      <c r="H89" s="40" t="s">
        <v>151</v>
      </c>
      <c r="J89" s="7"/>
    </row>
    <row r="90" spans="1:10" x14ac:dyDescent="0.2">
      <c r="A90" s="41"/>
      <c r="B90" s="41"/>
      <c r="C90" s="42" t="s">
        <v>171</v>
      </c>
      <c r="D90" s="41"/>
      <c r="E90" s="41"/>
      <c r="F90" s="41"/>
      <c r="G90" s="41"/>
      <c r="H90" s="40" t="s">
        <v>151</v>
      </c>
      <c r="J90" s="7"/>
    </row>
    <row r="91" spans="1:10" x14ac:dyDescent="0.2">
      <c r="A91" s="41"/>
      <c r="B91" s="41"/>
      <c r="C91" s="42" t="s">
        <v>172</v>
      </c>
      <c r="D91" s="41"/>
      <c r="E91" s="41"/>
      <c r="F91" s="41"/>
      <c r="G91" s="41"/>
      <c r="H91" s="40" t="s">
        <v>151</v>
      </c>
      <c r="J91" s="7"/>
    </row>
    <row r="92" spans="1:10" x14ac:dyDescent="0.2">
      <c r="A92" s="41"/>
      <c r="B92" s="41"/>
      <c r="C92" s="42" t="s">
        <v>150</v>
      </c>
      <c r="D92" s="41"/>
      <c r="E92" s="41" t="s">
        <v>151</v>
      </c>
      <c r="F92" s="52" t="s">
        <v>153</v>
      </c>
      <c r="G92" s="49">
        <v>0</v>
      </c>
      <c r="H92" s="40" t="s">
        <v>151</v>
      </c>
      <c r="J92" s="7"/>
    </row>
    <row r="93" spans="1:10" x14ac:dyDescent="0.2">
      <c r="A93" s="41"/>
      <c r="B93" s="41"/>
      <c r="C93" s="50"/>
      <c r="D93" s="41"/>
      <c r="E93" s="41"/>
      <c r="F93" s="51"/>
      <c r="G93" s="51"/>
      <c r="H93" s="40" t="s">
        <v>151</v>
      </c>
      <c r="J93" s="7"/>
    </row>
    <row r="94" spans="1:10" x14ac:dyDescent="0.2">
      <c r="A94" s="41"/>
      <c r="B94" s="41"/>
      <c r="C94" s="42" t="s">
        <v>173</v>
      </c>
      <c r="D94" s="41"/>
      <c r="E94" s="41"/>
      <c r="F94" s="41"/>
      <c r="G94" s="41"/>
      <c r="H94" s="40" t="s">
        <v>151</v>
      </c>
      <c r="J94" s="7"/>
    </row>
    <row r="95" spans="1:10" x14ac:dyDescent="0.2">
      <c r="A95" s="41"/>
      <c r="B95" s="41"/>
      <c r="C95" s="42" t="s">
        <v>174</v>
      </c>
      <c r="D95" s="41"/>
      <c r="E95" s="41"/>
      <c r="F95" s="41"/>
      <c r="G95" s="41"/>
      <c r="H95" s="40" t="s">
        <v>151</v>
      </c>
      <c r="J95" s="7"/>
    </row>
    <row r="96" spans="1:10" x14ac:dyDescent="0.2">
      <c r="A96" s="41"/>
      <c r="B96" s="41"/>
      <c r="C96" s="42" t="s">
        <v>150</v>
      </c>
      <c r="D96" s="41"/>
      <c r="E96" s="41" t="s">
        <v>151</v>
      </c>
      <c r="F96" s="52" t="s">
        <v>153</v>
      </c>
      <c r="G96" s="49">
        <v>0</v>
      </c>
      <c r="H96" s="40" t="s">
        <v>151</v>
      </c>
      <c r="J96" s="7"/>
    </row>
    <row r="97" spans="1:17" x14ac:dyDescent="0.2">
      <c r="A97" s="41"/>
      <c r="B97" s="41"/>
      <c r="C97" s="50"/>
      <c r="D97" s="41"/>
      <c r="E97" s="41"/>
      <c r="F97" s="51"/>
      <c r="G97" s="51"/>
      <c r="H97" s="40" t="s">
        <v>151</v>
      </c>
      <c r="J97" s="7"/>
    </row>
    <row r="98" spans="1:17" x14ac:dyDescent="0.2">
      <c r="A98" s="41"/>
      <c r="B98" s="41"/>
      <c r="C98" s="42" t="s">
        <v>175</v>
      </c>
      <c r="D98" s="41"/>
      <c r="E98" s="41"/>
      <c r="F98" s="51"/>
      <c r="G98" s="51"/>
      <c r="H98" s="40" t="s">
        <v>151</v>
      </c>
      <c r="J98" s="7"/>
    </row>
    <row r="99" spans="1:17" x14ac:dyDescent="0.2">
      <c r="A99" s="41"/>
      <c r="B99" s="41"/>
      <c r="C99" s="42" t="s">
        <v>150</v>
      </c>
      <c r="D99" s="41"/>
      <c r="E99" s="41" t="s">
        <v>151</v>
      </c>
      <c r="F99" s="52" t="s">
        <v>153</v>
      </c>
      <c r="G99" s="49">
        <v>0</v>
      </c>
      <c r="H99" s="40" t="s">
        <v>151</v>
      </c>
      <c r="J99" s="7"/>
    </row>
    <row r="100" spans="1:17" x14ac:dyDescent="0.2">
      <c r="A100" s="41"/>
      <c r="B100" s="44"/>
      <c r="C100" s="44"/>
      <c r="D100" s="42"/>
      <c r="E100" s="41"/>
      <c r="F100" s="44"/>
      <c r="G100" s="54"/>
      <c r="H100" s="40" t="s">
        <v>151</v>
      </c>
      <c r="J100" s="7"/>
    </row>
    <row r="101" spans="1:17" x14ac:dyDescent="0.2">
      <c r="A101" s="54"/>
      <c r="B101" s="44"/>
      <c r="C101" s="44" t="s">
        <v>176</v>
      </c>
      <c r="D101" s="44"/>
      <c r="E101" s="54"/>
      <c r="F101" s="46">
        <v>3.0414454900000001</v>
      </c>
      <c r="G101" s="47">
        <v>2.2379499999999998E-3</v>
      </c>
      <c r="H101" s="40" t="s">
        <v>151</v>
      </c>
      <c r="J101" s="7"/>
    </row>
    <row r="102" spans="1:17" x14ac:dyDescent="0.2">
      <c r="A102" s="50"/>
      <c r="B102" s="50"/>
      <c r="C102" s="42" t="s">
        <v>177</v>
      </c>
      <c r="D102" s="51"/>
      <c r="E102" s="51"/>
      <c r="F102" s="48">
        <v>1359.02939249</v>
      </c>
      <c r="G102" s="55">
        <v>1</v>
      </c>
      <c r="H102" s="40" t="s">
        <v>151</v>
      </c>
      <c r="J102" s="7"/>
    </row>
    <row r="103" spans="1:17" x14ac:dyDescent="0.2">
      <c r="A103" s="56"/>
      <c r="B103" s="56"/>
      <c r="C103" s="56"/>
      <c r="D103" s="57"/>
      <c r="E103" s="57"/>
      <c r="F103" s="57"/>
      <c r="G103" s="57"/>
      <c r="J103" s="7"/>
    </row>
    <row r="104" spans="1:17" ht="12.75" customHeight="1" x14ac:dyDescent="0.2">
      <c r="A104" s="58"/>
      <c r="B104" s="159" t="s">
        <v>923</v>
      </c>
      <c r="C104" s="159"/>
      <c r="D104" s="159"/>
      <c r="E104" s="159"/>
      <c r="F104" s="159"/>
      <c r="G104" s="159"/>
      <c r="H104" s="159"/>
      <c r="J104" s="7"/>
    </row>
    <row r="105" spans="1:17" ht="14.1" customHeight="1" x14ac:dyDescent="0.2">
      <c r="A105" s="58"/>
      <c r="B105" s="159" t="s">
        <v>924</v>
      </c>
      <c r="C105" s="159"/>
      <c r="D105" s="159"/>
      <c r="E105" s="159"/>
      <c r="F105" s="159"/>
      <c r="G105" s="159"/>
      <c r="H105" s="159"/>
      <c r="J105" s="7"/>
    </row>
    <row r="106" spans="1:17" ht="17.100000000000001" customHeight="1" x14ac:dyDescent="0.2">
      <c r="A106" s="58"/>
      <c r="B106" s="159" t="s">
        <v>925</v>
      </c>
      <c r="C106" s="159"/>
      <c r="D106" s="159"/>
      <c r="E106" s="159"/>
      <c r="F106" s="159"/>
      <c r="G106" s="159"/>
      <c r="H106" s="159"/>
      <c r="J106" s="7"/>
    </row>
    <row r="107" spans="1:17" s="8" customFormat="1" ht="65.25" customHeight="1" x14ac:dyDescent="0.25">
      <c r="A107" s="60"/>
      <c r="B107" s="160" t="s">
        <v>926</v>
      </c>
      <c r="C107" s="160"/>
      <c r="D107" s="160"/>
      <c r="E107" s="160"/>
      <c r="F107" s="160"/>
      <c r="G107" s="160"/>
      <c r="H107" s="160"/>
      <c r="I107"/>
      <c r="J107" s="7"/>
      <c r="K107"/>
      <c r="L107"/>
      <c r="M107"/>
      <c r="N107"/>
      <c r="O107"/>
      <c r="P107"/>
      <c r="Q107"/>
    </row>
    <row r="108" spans="1:17" ht="12.75" customHeight="1" x14ac:dyDescent="0.2">
      <c r="A108" s="58"/>
      <c r="B108" s="159" t="s">
        <v>927</v>
      </c>
      <c r="C108" s="159"/>
      <c r="D108" s="159"/>
      <c r="E108" s="159"/>
      <c r="F108" s="159"/>
      <c r="G108" s="159"/>
      <c r="H108" s="159"/>
      <c r="J108" s="7"/>
    </row>
    <row r="109" spans="1:17" x14ac:dyDescent="0.2">
      <c r="A109" s="61"/>
      <c r="B109" s="61"/>
      <c r="C109" s="61"/>
      <c r="D109" s="62"/>
      <c r="E109" s="62"/>
      <c r="F109" s="62"/>
      <c r="G109" s="62"/>
      <c r="J109" s="7"/>
    </row>
    <row r="110" spans="1:17" x14ac:dyDescent="0.2">
      <c r="A110" s="61"/>
      <c r="B110" s="161" t="s">
        <v>178</v>
      </c>
      <c r="C110" s="162"/>
      <c r="D110" s="163"/>
      <c r="E110" s="63"/>
      <c r="F110" s="62"/>
      <c r="G110" s="62"/>
      <c r="J110" s="7"/>
    </row>
    <row r="111" spans="1:17" x14ac:dyDescent="0.2">
      <c r="A111" s="61"/>
      <c r="B111" s="156" t="s">
        <v>179</v>
      </c>
      <c r="C111" s="157"/>
      <c r="D111" s="42" t="s">
        <v>180</v>
      </c>
      <c r="E111" s="63"/>
      <c r="F111" s="62"/>
      <c r="G111" s="62"/>
      <c r="J111" s="7"/>
    </row>
    <row r="112" spans="1:17" x14ac:dyDescent="0.2">
      <c r="A112" s="61"/>
      <c r="B112" s="156" t="s">
        <v>181</v>
      </c>
      <c r="C112" s="157"/>
      <c r="D112" s="42" t="s">
        <v>180</v>
      </c>
      <c r="E112" s="63"/>
      <c r="F112" s="62"/>
      <c r="G112" s="62"/>
      <c r="J112" s="7"/>
    </row>
    <row r="113" spans="1:10" x14ac:dyDescent="0.2">
      <c r="A113" s="61"/>
      <c r="B113" s="156" t="s">
        <v>182</v>
      </c>
      <c r="C113" s="157"/>
      <c r="D113" s="51" t="s">
        <v>151</v>
      </c>
      <c r="E113" s="63"/>
      <c r="F113" s="62"/>
      <c r="G113" s="62"/>
      <c r="J113" s="7"/>
    </row>
    <row r="114" spans="1:10" x14ac:dyDescent="0.2">
      <c r="A114" s="67"/>
      <c r="B114" s="68" t="s">
        <v>151</v>
      </c>
      <c r="C114" s="68" t="s">
        <v>937</v>
      </c>
      <c r="D114" s="68" t="s">
        <v>183</v>
      </c>
      <c r="E114" s="67"/>
      <c r="F114" s="67"/>
      <c r="G114" s="67"/>
      <c r="H114" s="67"/>
      <c r="J114" s="7"/>
    </row>
    <row r="115" spans="1:10" x14ac:dyDescent="0.2">
      <c r="A115" s="69"/>
      <c r="B115" s="70" t="s">
        <v>184</v>
      </c>
      <c r="C115" s="80" t="s">
        <v>185</v>
      </c>
      <c r="D115" s="80" t="s">
        <v>186</v>
      </c>
      <c r="E115" s="69"/>
      <c r="F115" s="69"/>
      <c r="G115" s="69"/>
      <c r="J115" s="7"/>
    </row>
    <row r="116" spans="1:10" x14ac:dyDescent="0.2">
      <c r="A116" s="69"/>
      <c r="B116" s="44" t="s">
        <v>187</v>
      </c>
      <c r="C116" s="72">
        <v>35.639699999999998</v>
      </c>
      <c r="D116" s="72">
        <v>36.956899999999997</v>
      </c>
      <c r="E116" s="69"/>
      <c r="F116" s="73"/>
      <c r="G116" s="74"/>
      <c r="J116" s="7"/>
    </row>
    <row r="117" spans="1:10" x14ac:dyDescent="0.2">
      <c r="A117" s="69"/>
      <c r="B117" s="44" t="s">
        <v>1094</v>
      </c>
      <c r="C117" s="72">
        <v>27.534800000000001</v>
      </c>
      <c r="D117" s="72">
        <v>28.552499999999998</v>
      </c>
      <c r="E117" s="69"/>
      <c r="F117" s="73"/>
      <c r="G117" s="74"/>
      <c r="J117" s="7"/>
    </row>
    <row r="118" spans="1:10" x14ac:dyDescent="0.2">
      <c r="A118" s="69"/>
      <c r="B118" s="44" t="s">
        <v>188</v>
      </c>
      <c r="C118" s="72">
        <v>34.645699999999998</v>
      </c>
      <c r="D118" s="72">
        <v>35.919800000000002</v>
      </c>
      <c r="E118" s="69"/>
      <c r="F118" s="73"/>
      <c r="G118" s="74"/>
      <c r="J118" s="7"/>
    </row>
    <row r="119" spans="1:10" x14ac:dyDescent="0.2">
      <c r="A119" s="69"/>
      <c r="B119" s="44" t="s">
        <v>1095</v>
      </c>
      <c r="C119" s="72">
        <v>26.6233</v>
      </c>
      <c r="D119" s="72">
        <v>27.602399999999999</v>
      </c>
      <c r="E119" s="69"/>
      <c r="F119" s="73"/>
      <c r="G119" s="74"/>
      <c r="J119" s="7"/>
    </row>
    <row r="120" spans="1:10" x14ac:dyDescent="0.2">
      <c r="A120" s="69"/>
      <c r="B120" s="69"/>
      <c r="C120" s="69"/>
      <c r="D120" s="69"/>
      <c r="E120" s="69"/>
      <c r="F120" s="69"/>
      <c r="G120" s="69"/>
      <c r="J120" s="7"/>
    </row>
    <row r="121" spans="1:10" x14ac:dyDescent="0.2">
      <c r="A121" s="67"/>
      <c r="B121" s="164" t="s">
        <v>940</v>
      </c>
      <c r="C121" s="165"/>
      <c r="D121" s="64" t="s">
        <v>180</v>
      </c>
      <c r="E121" s="67"/>
      <c r="F121" s="67"/>
      <c r="G121" s="67"/>
      <c r="J121" s="7"/>
    </row>
    <row r="122" spans="1:10" x14ac:dyDescent="0.2">
      <c r="A122" s="67"/>
      <c r="B122" s="84"/>
      <c r="C122" s="84"/>
      <c r="D122" s="84"/>
      <c r="E122" s="67"/>
      <c r="F122" s="67"/>
      <c r="G122" s="67"/>
      <c r="J122" s="7"/>
    </row>
    <row r="123" spans="1:10" x14ac:dyDescent="0.2">
      <c r="A123" s="67"/>
      <c r="B123" s="164" t="s">
        <v>189</v>
      </c>
      <c r="C123" s="165"/>
      <c r="D123" s="64" t="s">
        <v>180</v>
      </c>
      <c r="E123" s="75"/>
      <c r="F123" s="67"/>
      <c r="G123" s="67"/>
      <c r="J123" s="7"/>
    </row>
    <row r="124" spans="1:10" x14ac:dyDescent="0.2">
      <c r="A124" s="67"/>
      <c r="B124" s="164" t="s">
        <v>190</v>
      </c>
      <c r="C124" s="165"/>
      <c r="D124" s="64" t="s">
        <v>180</v>
      </c>
      <c r="E124" s="75"/>
      <c r="F124" s="67"/>
      <c r="G124" s="67"/>
      <c r="J124" s="7"/>
    </row>
    <row r="125" spans="1:10" x14ac:dyDescent="0.2">
      <c r="A125" s="67"/>
      <c r="B125" s="164" t="s">
        <v>191</v>
      </c>
      <c r="C125" s="165"/>
      <c r="D125" s="64" t="s">
        <v>180</v>
      </c>
      <c r="E125" s="75"/>
      <c r="F125" s="67"/>
      <c r="G125" s="67"/>
      <c r="J125" s="7"/>
    </row>
    <row r="126" spans="1:10" x14ac:dyDescent="0.2">
      <c r="A126" s="67"/>
      <c r="B126" s="164" t="s">
        <v>192</v>
      </c>
      <c r="C126" s="165"/>
      <c r="D126" s="76">
        <v>4.1080063953706954E-2</v>
      </c>
      <c r="E126" s="67"/>
      <c r="F126" s="59"/>
      <c r="G126" s="77"/>
    </row>
  </sheetData>
  <mergeCells count="17">
    <mergeCell ref="B112:C112"/>
    <mergeCell ref="B113:C113"/>
    <mergeCell ref="B121:C121"/>
    <mergeCell ref="B125:C125"/>
    <mergeCell ref="B126:C126"/>
    <mergeCell ref="B123:C123"/>
    <mergeCell ref="B124:C124"/>
    <mergeCell ref="B111:C111"/>
    <mergeCell ref="A1:H1"/>
    <mergeCell ref="A2:H2"/>
    <mergeCell ref="A3:H3"/>
    <mergeCell ref="B104:H104"/>
    <mergeCell ref="B105:H105"/>
    <mergeCell ref="B106:H106"/>
    <mergeCell ref="B107:H107"/>
    <mergeCell ref="B108:H108"/>
    <mergeCell ref="B110:D110"/>
  </mergeCells>
  <hyperlinks>
    <hyperlink ref="I1" location="Index!B9" display="Index" xr:uid="{5D43B38F-2998-4830-B9E1-39F3D87006E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FCF76-8CAA-4DA7-93C7-867AEF0EE715}">
  <sheetPr>
    <outlinePr summaryBelow="0" summaryRight="0"/>
  </sheetPr>
  <dimension ref="A1:Q138"/>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9" customWidth="1"/>
    <col min="8" max="8" width="8.42578125" bestFit="1" customWidth="1"/>
    <col min="9" max="9" width="5.710937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486</v>
      </c>
      <c r="B2" s="158"/>
      <c r="C2" s="158"/>
      <c r="D2" s="158"/>
      <c r="E2" s="158"/>
      <c r="F2" s="158"/>
      <c r="G2" s="158"/>
      <c r="H2" s="158"/>
      <c r="J2" s="11" t="s">
        <v>942</v>
      </c>
    </row>
    <row r="3" spans="1:10" ht="15" customHeight="1" x14ac:dyDescent="0.2">
      <c r="A3" s="158" t="s">
        <v>880</v>
      </c>
      <c r="B3" s="158"/>
      <c r="C3" s="158"/>
      <c r="D3" s="158"/>
      <c r="E3" s="158"/>
      <c r="F3" s="158"/>
      <c r="G3" s="158"/>
      <c r="H3" s="158"/>
      <c r="J3" s="7"/>
    </row>
    <row r="4" spans="1:10" s="1" customFormat="1" ht="33" customHeight="1"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59</v>
      </c>
      <c r="C7" s="44" t="s">
        <v>60</v>
      </c>
      <c r="D7" s="44" t="s">
        <v>61</v>
      </c>
      <c r="E7" s="45">
        <v>34821</v>
      </c>
      <c r="F7" s="46">
        <v>437.94371699999999</v>
      </c>
      <c r="G7" s="47">
        <v>5.1409690000000001E-2</v>
      </c>
      <c r="H7" s="40" t="s">
        <v>151</v>
      </c>
      <c r="J7" s="7"/>
    </row>
    <row r="8" spans="1:10" x14ac:dyDescent="0.2">
      <c r="A8" s="43">
        <v>2</v>
      </c>
      <c r="B8" s="44" t="s">
        <v>407</v>
      </c>
      <c r="C8" s="44" t="s">
        <v>408</v>
      </c>
      <c r="D8" s="44" t="s">
        <v>100</v>
      </c>
      <c r="E8" s="45">
        <v>19836</v>
      </c>
      <c r="F8" s="46">
        <v>410.80356</v>
      </c>
      <c r="G8" s="47">
        <v>4.8223740000000001E-2</v>
      </c>
      <c r="H8" s="40" t="s">
        <v>151</v>
      </c>
      <c r="J8" s="7"/>
    </row>
    <row r="9" spans="1:10" x14ac:dyDescent="0.2">
      <c r="A9" s="43">
        <v>3</v>
      </c>
      <c r="B9" s="44" t="s">
        <v>367</v>
      </c>
      <c r="C9" s="44" t="s">
        <v>368</v>
      </c>
      <c r="D9" s="44" t="s">
        <v>229</v>
      </c>
      <c r="E9" s="45">
        <v>9524</v>
      </c>
      <c r="F9" s="46">
        <v>408.55102799999997</v>
      </c>
      <c r="G9" s="47">
        <v>4.795932E-2</v>
      </c>
      <c r="H9" s="40" t="s">
        <v>151</v>
      </c>
      <c r="J9" s="7"/>
    </row>
    <row r="10" spans="1:10" x14ac:dyDescent="0.2">
      <c r="A10" s="43">
        <v>4</v>
      </c>
      <c r="B10" s="44" t="s">
        <v>94</v>
      </c>
      <c r="C10" s="44" t="s">
        <v>95</v>
      </c>
      <c r="D10" s="44" t="s">
        <v>33</v>
      </c>
      <c r="E10" s="45">
        <v>9356</v>
      </c>
      <c r="F10" s="46">
        <v>405.10076600000002</v>
      </c>
      <c r="G10" s="47">
        <v>4.7554300000000001E-2</v>
      </c>
      <c r="H10" s="40" t="s">
        <v>151</v>
      </c>
      <c r="J10" s="7"/>
    </row>
    <row r="11" spans="1:10" x14ac:dyDescent="0.2">
      <c r="A11" s="43">
        <v>5</v>
      </c>
      <c r="B11" s="44" t="s">
        <v>31</v>
      </c>
      <c r="C11" s="44" t="s">
        <v>32</v>
      </c>
      <c r="D11" s="44" t="s">
        <v>33</v>
      </c>
      <c r="E11" s="45">
        <v>38992</v>
      </c>
      <c r="F11" s="46">
        <v>374.966568</v>
      </c>
      <c r="G11" s="47">
        <v>4.4016880000000001E-2</v>
      </c>
      <c r="H11" s="40" t="s">
        <v>151</v>
      </c>
      <c r="J11" s="7"/>
    </row>
    <row r="12" spans="1:10" ht="15" x14ac:dyDescent="0.2">
      <c r="A12" s="43">
        <v>6</v>
      </c>
      <c r="B12" s="44" t="s">
        <v>409</v>
      </c>
      <c r="C12" s="44" t="s">
        <v>410</v>
      </c>
      <c r="D12" s="44" t="s">
        <v>242</v>
      </c>
      <c r="E12" s="45">
        <v>21269</v>
      </c>
      <c r="F12" s="46">
        <v>351.3319765</v>
      </c>
      <c r="G12" s="47">
        <v>4.1242439999999998E-2</v>
      </c>
      <c r="H12" s="40" t="s">
        <v>151</v>
      </c>
      <c r="J12" s="12"/>
    </row>
    <row r="13" spans="1:10" x14ac:dyDescent="0.2">
      <c r="A13" s="43">
        <v>7</v>
      </c>
      <c r="B13" s="44" t="s">
        <v>145</v>
      </c>
      <c r="C13" s="44" t="s">
        <v>146</v>
      </c>
      <c r="D13" s="44" t="s">
        <v>100</v>
      </c>
      <c r="E13" s="45">
        <v>96717</v>
      </c>
      <c r="F13" s="46">
        <v>348.76150200000001</v>
      </c>
      <c r="G13" s="47">
        <v>4.0940699999999997E-2</v>
      </c>
      <c r="H13" s="40" t="s">
        <v>151</v>
      </c>
      <c r="J13" s="7"/>
    </row>
    <row r="14" spans="1:10" x14ac:dyDescent="0.2">
      <c r="A14" s="43">
        <v>8</v>
      </c>
      <c r="B14" s="44" t="s">
        <v>411</v>
      </c>
      <c r="C14" s="44" t="s">
        <v>412</v>
      </c>
      <c r="D14" s="44" t="s">
        <v>413</v>
      </c>
      <c r="E14" s="45">
        <v>21388</v>
      </c>
      <c r="F14" s="46">
        <v>322.980188</v>
      </c>
      <c r="G14" s="47">
        <v>3.7914259999999998E-2</v>
      </c>
      <c r="H14" s="40" t="s">
        <v>151</v>
      </c>
      <c r="J14" s="7"/>
    </row>
    <row r="15" spans="1:10" x14ac:dyDescent="0.2">
      <c r="A15" s="43">
        <v>9</v>
      </c>
      <c r="B15" s="44" t="s">
        <v>414</v>
      </c>
      <c r="C15" s="44" t="s">
        <v>415</v>
      </c>
      <c r="D15" s="44" t="s">
        <v>45</v>
      </c>
      <c r="E15" s="45">
        <v>382570</v>
      </c>
      <c r="F15" s="46">
        <v>309.00178899999997</v>
      </c>
      <c r="G15" s="47">
        <v>3.6273350000000003E-2</v>
      </c>
      <c r="H15" s="40" t="s">
        <v>151</v>
      </c>
      <c r="J15" s="7" t="s">
        <v>1054</v>
      </c>
    </row>
    <row r="16" spans="1:10" x14ac:dyDescent="0.2">
      <c r="A16" s="43">
        <v>10</v>
      </c>
      <c r="B16" s="44" t="s">
        <v>438</v>
      </c>
      <c r="C16" s="44" t="s">
        <v>439</v>
      </c>
      <c r="D16" s="44" t="s">
        <v>229</v>
      </c>
      <c r="E16" s="45">
        <v>13073</v>
      </c>
      <c r="F16" s="46">
        <v>283.1807895</v>
      </c>
      <c r="G16" s="47">
        <v>3.3242260000000003E-2</v>
      </c>
      <c r="H16" s="40" t="s">
        <v>151</v>
      </c>
      <c r="J16" s="7"/>
    </row>
    <row r="17" spans="1:10" ht="25.5" x14ac:dyDescent="0.2">
      <c r="A17" s="43">
        <v>11</v>
      </c>
      <c r="B17" s="44" t="s">
        <v>318</v>
      </c>
      <c r="C17" s="44" t="s">
        <v>319</v>
      </c>
      <c r="D17" s="44" t="s">
        <v>247</v>
      </c>
      <c r="E17" s="45">
        <v>7415</v>
      </c>
      <c r="F17" s="46">
        <v>281.84044249999999</v>
      </c>
      <c r="G17" s="47">
        <v>3.3084910000000002E-2</v>
      </c>
      <c r="H17" s="40" t="s">
        <v>151</v>
      </c>
      <c r="J17" s="7"/>
    </row>
    <row r="18" spans="1:10" x14ac:dyDescent="0.2">
      <c r="A18" s="43">
        <v>12</v>
      </c>
      <c r="B18" s="44" t="s">
        <v>418</v>
      </c>
      <c r="C18" s="44" t="s">
        <v>419</v>
      </c>
      <c r="D18" s="44" t="s">
        <v>219</v>
      </c>
      <c r="E18" s="45">
        <v>33039</v>
      </c>
      <c r="F18" s="46">
        <v>271.31626799999998</v>
      </c>
      <c r="G18" s="47">
        <v>3.1849490000000001E-2</v>
      </c>
      <c r="H18" s="40" t="s">
        <v>151</v>
      </c>
      <c r="J18" s="7"/>
    </row>
    <row r="19" spans="1:10" x14ac:dyDescent="0.2">
      <c r="A19" s="43">
        <v>13</v>
      </c>
      <c r="B19" s="44" t="s">
        <v>416</v>
      </c>
      <c r="C19" s="44" t="s">
        <v>417</v>
      </c>
      <c r="D19" s="44" t="s">
        <v>45</v>
      </c>
      <c r="E19" s="45">
        <v>604881</v>
      </c>
      <c r="F19" s="46">
        <v>271.22864040000002</v>
      </c>
      <c r="G19" s="47">
        <v>3.183921E-2</v>
      </c>
      <c r="H19" s="40" t="s">
        <v>151</v>
      </c>
      <c r="J19" s="7"/>
    </row>
    <row r="20" spans="1:10" x14ac:dyDescent="0.2">
      <c r="A20" s="43">
        <v>14</v>
      </c>
      <c r="B20" s="44" t="s">
        <v>96</v>
      </c>
      <c r="C20" s="44" t="s">
        <v>97</v>
      </c>
      <c r="D20" s="44" t="s">
        <v>33</v>
      </c>
      <c r="E20" s="45">
        <v>10116</v>
      </c>
      <c r="F20" s="46">
        <v>261.85771799999998</v>
      </c>
      <c r="G20" s="47">
        <v>3.073917E-2</v>
      </c>
      <c r="H20" s="40" t="s">
        <v>151</v>
      </c>
      <c r="J20" s="7"/>
    </row>
    <row r="21" spans="1:10" x14ac:dyDescent="0.2">
      <c r="A21" s="43">
        <v>15</v>
      </c>
      <c r="B21" s="44" t="s">
        <v>440</v>
      </c>
      <c r="C21" s="44" t="s">
        <v>441</v>
      </c>
      <c r="D21" s="44" t="s">
        <v>219</v>
      </c>
      <c r="E21" s="45">
        <v>38673</v>
      </c>
      <c r="F21" s="46">
        <v>261.29412450000001</v>
      </c>
      <c r="G21" s="47">
        <v>3.0673010000000001E-2</v>
      </c>
      <c r="H21" s="40" t="s">
        <v>151</v>
      </c>
      <c r="J21" s="7"/>
    </row>
    <row r="22" spans="1:10" ht="15" x14ac:dyDescent="0.2">
      <c r="A22" s="43">
        <v>16</v>
      </c>
      <c r="B22" s="44" t="s">
        <v>424</v>
      </c>
      <c r="C22" s="44" t="s">
        <v>425</v>
      </c>
      <c r="D22" s="44" t="s">
        <v>45</v>
      </c>
      <c r="E22" s="45">
        <v>76163</v>
      </c>
      <c r="F22" s="46">
        <v>249.81464</v>
      </c>
      <c r="G22" s="47">
        <v>2.9325440000000001E-2</v>
      </c>
      <c r="H22" s="40" t="s">
        <v>151</v>
      </c>
      <c r="J22" s="12"/>
    </row>
    <row r="23" spans="1:10" x14ac:dyDescent="0.2">
      <c r="A23" s="43">
        <v>17</v>
      </c>
      <c r="B23" s="44" t="s">
        <v>422</v>
      </c>
      <c r="C23" s="44" t="s">
        <v>423</v>
      </c>
      <c r="D23" s="44" t="s">
        <v>222</v>
      </c>
      <c r="E23" s="45">
        <v>71973</v>
      </c>
      <c r="F23" s="46">
        <v>249.7822965</v>
      </c>
      <c r="G23" s="47">
        <v>2.9321650000000001E-2</v>
      </c>
      <c r="H23" s="40" t="s">
        <v>151</v>
      </c>
      <c r="J23" s="7"/>
    </row>
    <row r="24" spans="1:10" ht="25.5" x14ac:dyDescent="0.2">
      <c r="A24" s="43">
        <v>18</v>
      </c>
      <c r="B24" s="44" t="s">
        <v>431</v>
      </c>
      <c r="C24" s="44" t="s">
        <v>432</v>
      </c>
      <c r="D24" s="44" t="s">
        <v>433</v>
      </c>
      <c r="E24" s="45">
        <v>54534</v>
      </c>
      <c r="F24" s="46">
        <v>232.69657799999999</v>
      </c>
      <c r="G24" s="47">
        <v>2.731598E-2</v>
      </c>
      <c r="H24" s="40" t="s">
        <v>151</v>
      </c>
      <c r="J24" s="7"/>
    </row>
    <row r="25" spans="1:10" x14ac:dyDescent="0.2">
      <c r="A25" s="43">
        <v>19</v>
      </c>
      <c r="B25" s="44" t="s">
        <v>434</v>
      </c>
      <c r="C25" s="44" t="s">
        <v>435</v>
      </c>
      <c r="D25" s="44" t="s">
        <v>86</v>
      </c>
      <c r="E25" s="45">
        <v>26340</v>
      </c>
      <c r="F25" s="46">
        <v>223.53441000000001</v>
      </c>
      <c r="G25" s="47">
        <v>2.624044E-2</v>
      </c>
      <c r="H25" s="40" t="s">
        <v>151</v>
      </c>
      <c r="J25" s="7"/>
    </row>
    <row r="26" spans="1:10" x14ac:dyDescent="0.2">
      <c r="A26" s="43">
        <v>20</v>
      </c>
      <c r="B26" s="44" t="s">
        <v>57</v>
      </c>
      <c r="C26" s="44" t="s">
        <v>58</v>
      </c>
      <c r="D26" s="44" t="s">
        <v>13</v>
      </c>
      <c r="E26" s="45">
        <v>15091</v>
      </c>
      <c r="F26" s="46">
        <v>206.89006449999999</v>
      </c>
      <c r="G26" s="47">
        <v>2.4286579999999999E-2</v>
      </c>
      <c r="H26" s="40" t="s">
        <v>151</v>
      </c>
      <c r="J26" s="7"/>
    </row>
    <row r="27" spans="1:10" x14ac:dyDescent="0.2">
      <c r="A27" s="43">
        <v>21</v>
      </c>
      <c r="B27" s="44" t="s">
        <v>223</v>
      </c>
      <c r="C27" s="44" t="s">
        <v>224</v>
      </c>
      <c r="D27" s="44" t="s">
        <v>86</v>
      </c>
      <c r="E27" s="45">
        <v>1412</v>
      </c>
      <c r="F27" s="46">
        <v>194.720448</v>
      </c>
      <c r="G27" s="47">
        <v>2.2858E-2</v>
      </c>
      <c r="H27" s="40" t="s">
        <v>151</v>
      </c>
      <c r="J27" s="7"/>
    </row>
    <row r="28" spans="1:10" x14ac:dyDescent="0.2">
      <c r="A28" s="43">
        <v>22</v>
      </c>
      <c r="B28" s="44" t="s">
        <v>428</v>
      </c>
      <c r="C28" s="44" t="s">
        <v>429</v>
      </c>
      <c r="D28" s="44" t="s">
        <v>430</v>
      </c>
      <c r="E28" s="45">
        <v>12930</v>
      </c>
      <c r="F28" s="46">
        <v>193.982325</v>
      </c>
      <c r="G28" s="47">
        <v>2.2771349999999999E-2</v>
      </c>
      <c r="H28" s="40" t="s">
        <v>151</v>
      </c>
      <c r="J28" s="7"/>
    </row>
    <row r="29" spans="1:10" ht="25.5" x14ac:dyDescent="0.2">
      <c r="A29" s="43">
        <v>23</v>
      </c>
      <c r="B29" s="44" t="s">
        <v>82</v>
      </c>
      <c r="C29" s="44" t="s">
        <v>83</v>
      </c>
      <c r="D29" s="44" t="s">
        <v>25</v>
      </c>
      <c r="E29" s="45">
        <v>4362</v>
      </c>
      <c r="F29" s="46">
        <v>192.667359</v>
      </c>
      <c r="G29" s="47">
        <v>2.261699E-2</v>
      </c>
      <c r="H29" s="40" t="s">
        <v>151</v>
      </c>
      <c r="J29" s="7"/>
    </row>
    <row r="30" spans="1:10" ht="25.5" x14ac:dyDescent="0.2">
      <c r="A30" s="43">
        <v>24</v>
      </c>
      <c r="B30" s="44" t="s">
        <v>436</v>
      </c>
      <c r="C30" s="44" t="s">
        <v>437</v>
      </c>
      <c r="D30" s="44" t="s">
        <v>210</v>
      </c>
      <c r="E30" s="45">
        <v>3653</v>
      </c>
      <c r="F30" s="46">
        <v>191.797112</v>
      </c>
      <c r="G30" s="47">
        <v>2.2514840000000001E-2</v>
      </c>
      <c r="H30" s="40" t="s">
        <v>151</v>
      </c>
      <c r="J30" s="7"/>
    </row>
    <row r="31" spans="1:10" x14ac:dyDescent="0.2">
      <c r="A31" s="43">
        <v>25</v>
      </c>
      <c r="B31" s="44" t="s">
        <v>442</v>
      </c>
      <c r="C31" s="44" t="s">
        <v>443</v>
      </c>
      <c r="D31" s="44" t="s">
        <v>33</v>
      </c>
      <c r="E31" s="45">
        <v>28519</v>
      </c>
      <c r="F31" s="46">
        <v>171.42770899999999</v>
      </c>
      <c r="G31" s="47">
        <v>2.0123700000000001E-2</v>
      </c>
      <c r="H31" s="40" t="s">
        <v>151</v>
      </c>
      <c r="J31" s="7"/>
    </row>
    <row r="32" spans="1:10" x14ac:dyDescent="0.2">
      <c r="A32" s="43">
        <v>26</v>
      </c>
      <c r="B32" s="44" t="s">
        <v>448</v>
      </c>
      <c r="C32" s="44" t="s">
        <v>449</v>
      </c>
      <c r="D32" s="44" t="s">
        <v>100</v>
      </c>
      <c r="E32" s="45">
        <v>22755</v>
      </c>
      <c r="F32" s="46">
        <v>161.04851249999999</v>
      </c>
      <c r="G32" s="47">
        <v>1.8905290000000002E-2</v>
      </c>
      <c r="H32" s="40" t="s">
        <v>151</v>
      </c>
      <c r="J32" s="7"/>
    </row>
    <row r="33" spans="1:10" x14ac:dyDescent="0.2">
      <c r="A33" s="43">
        <v>27</v>
      </c>
      <c r="B33" s="44" t="s">
        <v>452</v>
      </c>
      <c r="C33" s="44" t="s">
        <v>453</v>
      </c>
      <c r="D33" s="44" t="s">
        <v>86</v>
      </c>
      <c r="E33" s="45">
        <v>15340</v>
      </c>
      <c r="F33" s="46">
        <v>159.55134000000001</v>
      </c>
      <c r="G33" s="47">
        <v>1.8729539999999999E-2</v>
      </c>
      <c r="H33" s="40" t="s">
        <v>151</v>
      </c>
      <c r="J33" s="7"/>
    </row>
    <row r="34" spans="1:10" x14ac:dyDescent="0.2">
      <c r="A34" s="43">
        <v>28</v>
      </c>
      <c r="B34" s="44" t="s">
        <v>444</v>
      </c>
      <c r="C34" s="44" t="s">
        <v>445</v>
      </c>
      <c r="D34" s="44" t="s">
        <v>242</v>
      </c>
      <c r="E34" s="45">
        <v>18794</v>
      </c>
      <c r="F34" s="46">
        <v>155.745878</v>
      </c>
      <c r="G34" s="47">
        <v>1.8282820000000002E-2</v>
      </c>
      <c r="H34" s="40" t="s">
        <v>151</v>
      </c>
      <c r="J34" s="7"/>
    </row>
    <row r="35" spans="1:10" x14ac:dyDescent="0.2">
      <c r="A35" s="43">
        <v>29</v>
      </c>
      <c r="B35" s="44" t="s">
        <v>264</v>
      </c>
      <c r="C35" s="44" t="s">
        <v>265</v>
      </c>
      <c r="D35" s="44" t="s">
        <v>86</v>
      </c>
      <c r="E35" s="45">
        <v>8289</v>
      </c>
      <c r="F35" s="46">
        <v>125.79800849999999</v>
      </c>
      <c r="G35" s="47">
        <v>1.4767280000000001E-2</v>
      </c>
      <c r="H35" s="40" t="s">
        <v>151</v>
      </c>
      <c r="J35" s="7"/>
    </row>
    <row r="36" spans="1:10" ht="25.5" x14ac:dyDescent="0.2">
      <c r="A36" s="43">
        <v>30</v>
      </c>
      <c r="B36" s="44" t="s">
        <v>487</v>
      </c>
      <c r="C36" s="44" t="s">
        <v>488</v>
      </c>
      <c r="D36" s="44" t="s">
        <v>100</v>
      </c>
      <c r="E36" s="45">
        <v>5046</v>
      </c>
      <c r="F36" s="46">
        <v>102.466599</v>
      </c>
      <c r="G36" s="47">
        <v>1.202843E-2</v>
      </c>
      <c r="H36" s="40" t="s">
        <v>151</v>
      </c>
      <c r="J36" s="7"/>
    </row>
    <row r="37" spans="1:10" x14ac:dyDescent="0.2">
      <c r="A37" s="43">
        <v>31</v>
      </c>
      <c r="B37" s="44" t="s">
        <v>450</v>
      </c>
      <c r="C37" s="44" t="s">
        <v>451</v>
      </c>
      <c r="D37" s="44" t="s">
        <v>100</v>
      </c>
      <c r="E37" s="45">
        <v>11192</v>
      </c>
      <c r="F37" s="46">
        <v>98.086687999999995</v>
      </c>
      <c r="G37" s="47">
        <v>1.151428E-2</v>
      </c>
      <c r="H37" s="40" t="s">
        <v>151</v>
      </c>
      <c r="J37" s="7"/>
    </row>
    <row r="38" spans="1:10" x14ac:dyDescent="0.2">
      <c r="A38" s="43">
        <v>32</v>
      </c>
      <c r="B38" s="44" t="s">
        <v>382</v>
      </c>
      <c r="C38" s="44" t="s">
        <v>383</v>
      </c>
      <c r="D38" s="44" t="s">
        <v>136</v>
      </c>
      <c r="E38" s="45">
        <v>56603</v>
      </c>
      <c r="F38" s="46">
        <v>93.581739900000002</v>
      </c>
      <c r="G38" s="47">
        <v>1.0985450000000001E-2</v>
      </c>
      <c r="H38" s="40" t="s">
        <v>151</v>
      </c>
      <c r="J38" s="7"/>
    </row>
    <row r="39" spans="1:10" x14ac:dyDescent="0.2">
      <c r="A39" s="43">
        <v>33</v>
      </c>
      <c r="B39" s="44" t="s">
        <v>420</v>
      </c>
      <c r="C39" s="44" t="s">
        <v>421</v>
      </c>
      <c r="D39" s="44" t="s">
        <v>33</v>
      </c>
      <c r="E39" s="45">
        <v>5901</v>
      </c>
      <c r="F39" s="46">
        <v>84.493468500000006</v>
      </c>
      <c r="G39" s="47">
        <v>9.9185899999999997E-3</v>
      </c>
      <c r="H39" s="40" t="s">
        <v>151</v>
      </c>
      <c r="J39" s="7"/>
    </row>
    <row r="40" spans="1:10" x14ac:dyDescent="0.2">
      <c r="A40" s="43">
        <v>34</v>
      </c>
      <c r="B40" s="44" t="s">
        <v>34</v>
      </c>
      <c r="C40" s="44" t="s">
        <v>35</v>
      </c>
      <c r="D40" s="44" t="s">
        <v>33</v>
      </c>
      <c r="E40" s="45">
        <v>1239</v>
      </c>
      <c r="F40" s="46">
        <v>79.1429835</v>
      </c>
      <c r="G40" s="47">
        <v>9.2905000000000001E-3</v>
      </c>
      <c r="H40" s="40" t="s">
        <v>151</v>
      </c>
      <c r="J40" s="7"/>
    </row>
    <row r="41" spans="1:10" x14ac:dyDescent="0.2">
      <c r="A41" s="43">
        <v>35</v>
      </c>
      <c r="B41" s="44" t="s">
        <v>460</v>
      </c>
      <c r="C41" s="44" t="s">
        <v>461</v>
      </c>
      <c r="D41" s="44" t="s">
        <v>89</v>
      </c>
      <c r="E41" s="45">
        <v>8886</v>
      </c>
      <c r="F41" s="46">
        <v>53.084963999999999</v>
      </c>
      <c r="G41" s="47">
        <v>6.2315799999999996E-3</v>
      </c>
      <c r="H41" s="40" t="s">
        <v>151</v>
      </c>
      <c r="J41" s="7"/>
    </row>
    <row r="42" spans="1:10" x14ac:dyDescent="0.2">
      <c r="A42" s="43">
        <v>36</v>
      </c>
      <c r="B42" s="44" t="s">
        <v>489</v>
      </c>
      <c r="C42" s="44" t="s">
        <v>490</v>
      </c>
      <c r="D42" s="44" t="s">
        <v>100</v>
      </c>
      <c r="E42" s="45">
        <v>177</v>
      </c>
      <c r="F42" s="46">
        <v>15.8116755</v>
      </c>
      <c r="G42" s="47">
        <v>1.85611E-3</v>
      </c>
      <c r="H42" s="40" t="s">
        <v>151</v>
      </c>
      <c r="J42" s="7"/>
    </row>
    <row r="43" spans="1:10" x14ac:dyDescent="0.2">
      <c r="A43" s="41"/>
      <c r="B43" s="41"/>
      <c r="C43" s="42" t="s">
        <v>150</v>
      </c>
      <c r="D43" s="41"/>
      <c r="E43" s="41" t="s">
        <v>151</v>
      </c>
      <c r="F43" s="48">
        <v>8236.2838768000001</v>
      </c>
      <c r="G43" s="49">
        <v>0.96684756999999999</v>
      </c>
      <c r="H43" s="40" t="s">
        <v>151</v>
      </c>
      <c r="J43" s="7"/>
    </row>
    <row r="44" spans="1:10" x14ac:dyDescent="0.2">
      <c r="A44" s="41"/>
      <c r="B44" s="41"/>
      <c r="C44" s="50"/>
      <c r="D44" s="41"/>
      <c r="E44" s="41"/>
      <c r="F44" s="51"/>
      <c r="G44" s="51"/>
      <c r="H44" s="40" t="s">
        <v>151</v>
      </c>
      <c r="J44" s="7"/>
    </row>
    <row r="45" spans="1:10" x14ac:dyDescent="0.2">
      <c r="A45" s="41"/>
      <c r="B45" s="41"/>
      <c r="C45" s="42" t="s">
        <v>152</v>
      </c>
      <c r="D45" s="41"/>
      <c r="E45" s="41"/>
      <c r="F45" s="41"/>
      <c r="G45" s="41"/>
      <c r="H45" s="40" t="s">
        <v>151</v>
      </c>
      <c r="J45" s="7"/>
    </row>
    <row r="46" spans="1:10" x14ac:dyDescent="0.2">
      <c r="A46" s="41"/>
      <c r="B46" s="41"/>
      <c r="C46" s="42" t="s">
        <v>150</v>
      </c>
      <c r="D46" s="41"/>
      <c r="E46" s="41" t="s">
        <v>151</v>
      </c>
      <c r="F46" s="52" t="s">
        <v>153</v>
      </c>
      <c r="G46" s="49">
        <v>0</v>
      </c>
      <c r="H46" s="40" t="s">
        <v>151</v>
      </c>
      <c r="J46" s="7"/>
    </row>
    <row r="47" spans="1:10" x14ac:dyDescent="0.2">
      <c r="A47" s="41"/>
      <c r="B47" s="41"/>
      <c r="C47" s="50"/>
      <c r="D47" s="41"/>
      <c r="E47" s="41"/>
      <c r="F47" s="51"/>
      <c r="G47" s="51"/>
      <c r="H47" s="40" t="s">
        <v>151</v>
      </c>
      <c r="J47" s="7"/>
    </row>
    <row r="48" spans="1:10" x14ac:dyDescent="0.2">
      <c r="A48" s="41"/>
      <c r="B48" s="41"/>
      <c r="C48" s="42" t="s">
        <v>154</v>
      </c>
      <c r="D48" s="41"/>
      <c r="E48" s="41"/>
      <c r="F48" s="41"/>
      <c r="G48" s="41"/>
      <c r="H48" s="40" t="s">
        <v>151</v>
      </c>
      <c r="J48" s="7"/>
    </row>
    <row r="49" spans="1:10" x14ac:dyDescent="0.2">
      <c r="A49" s="41"/>
      <c r="B49" s="41"/>
      <c r="C49" s="42" t="s">
        <v>150</v>
      </c>
      <c r="D49" s="41"/>
      <c r="E49" s="41" t="s">
        <v>151</v>
      </c>
      <c r="F49" s="52" t="s">
        <v>153</v>
      </c>
      <c r="G49" s="49">
        <v>0</v>
      </c>
      <c r="H49" s="40" t="s">
        <v>151</v>
      </c>
      <c r="J49" s="7"/>
    </row>
    <row r="50" spans="1:10" x14ac:dyDescent="0.2">
      <c r="A50" s="41"/>
      <c r="B50" s="41"/>
      <c r="C50" s="50"/>
      <c r="D50" s="41"/>
      <c r="E50" s="41"/>
      <c r="F50" s="51"/>
      <c r="G50" s="51"/>
      <c r="H50" s="40" t="s">
        <v>151</v>
      </c>
      <c r="J50" s="7"/>
    </row>
    <row r="51" spans="1:10" x14ac:dyDescent="0.2">
      <c r="A51" s="41"/>
      <c r="B51" s="41"/>
      <c r="C51" s="42" t="s">
        <v>155</v>
      </c>
      <c r="D51" s="41"/>
      <c r="E51" s="41"/>
      <c r="F51" s="41"/>
      <c r="G51" s="41"/>
      <c r="H51" s="40" t="s">
        <v>151</v>
      </c>
      <c r="J51" s="7"/>
    </row>
    <row r="52" spans="1:10" ht="25.5" x14ac:dyDescent="0.2">
      <c r="A52" s="43">
        <v>1</v>
      </c>
      <c r="B52" s="44" t="s">
        <v>338</v>
      </c>
      <c r="C52" s="83" t="s">
        <v>946</v>
      </c>
      <c r="D52" s="44" t="s">
        <v>33</v>
      </c>
      <c r="E52" s="45">
        <v>163</v>
      </c>
      <c r="F52" s="46">
        <v>1.6306520000000001E-2</v>
      </c>
      <c r="G52" s="47" t="s">
        <v>149</v>
      </c>
      <c r="H52" s="40" t="s">
        <v>151</v>
      </c>
      <c r="J52" s="7"/>
    </row>
    <row r="53" spans="1:10" x14ac:dyDescent="0.2">
      <c r="A53" s="41"/>
      <c r="B53" s="41"/>
      <c r="C53" s="42" t="s">
        <v>150</v>
      </c>
      <c r="D53" s="41"/>
      <c r="E53" s="41" t="s">
        <v>151</v>
      </c>
      <c r="F53" s="48">
        <v>1.6306520000000001E-2</v>
      </c>
      <c r="G53" s="49">
        <v>1.9099999999999999E-6</v>
      </c>
      <c r="H53" s="40" t="s">
        <v>151</v>
      </c>
      <c r="J53" s="7"/>
    </row>
    <row r="54" spans="1:10" x14ac:dyDescent="0.2">
      <c r="A54" s="41"/>
      <c r="B54" s="41"/>
      <c r="C54" s="50"/>
      <c r="D54" s="41"/>
      <c r="E54" s="41"/>
      <c r="F54" s="51"/>
      <c r="G54" s="51"/>
      <c r="H54" s="40" t="s">
        <v>151</v>
      </c>
      <c r="J54" s="7"/>
    </row>
    <row r="55" spans="1:10" x14ac:dyDescent="0.2">
      <c r="A55" s="41"/>
      <c r="B55" s="41"/>
      <c r="C55" s="42" t="s">
        <v>156</v>
      </c>
      <c r="D55" s="41"/>
      <c r="E55" s="41"/>
      <c r="F55" s="51"/>
      <c r="G55" s="51"/>
      <c r="H55" s="40" t="s">
        <v>151</v>
      </c>
      <c r="J55" s="7"/>
    </row>
    <row r="56" spans="1:10" x14ac:dyDescent="0.2">
      <c r="A56" s="41"/>
      <c r="B56" s="41"/>
      <c r="C56" s="42" t="s">
        <v>150</v>
      </c>
      <c r="D56" s="41"/>
      <c r="E56" s="41" t="s">
        <v>151</v>
      </c>
      <c r="F56" s="52" t="s">
        <v>153</v>
      </c>
      <c r="G56" s="49">
        <v>0</v>
      </c>
      <c r="H56" s="40" t="s">
        <v>151</v>
      </c>
      <c r="J56" s="7"/>
    </row>
    <row r="57" spans="1:10" x14ac:dyDescent="0.2">
      <c r="A57" s="41"/>
      <c r="B57" s="41"/>
      <c r="C57" s="50"/>
      <c r="D57" s="41"/>
      <c r="E57" s="41"/>
      <c r="F57" s="51"/>
      <c r="G57" s="51"/>
      <c r="H57" s="40" t="s">
        <v>151</v>
      </c>
      <c r="J57" s="7"/>
    </row>
    <row r="58" spans="1:10" x14ac:dyDescent="0.2">
      <c r="A58" s="41"/>
      <c r="B58" s="41"/>
      <c r="C58" s="42" t="s">
        <v>157</v>
      </c>
      <c r="D58" s="41"/>
      <c r="E58" s="41"/>
      <c r="F58" s="51"/>
      <c r="G58" s="51"/>
      <c r="H58" s="40" t="s">
        <v>151</v>
      </c>
      <c r="J58" s="7"/>
    </row>
    <row r="59" spans="1:10" x14ac:dyDescent="0.2">
      <c r="A59" s="41"/>
      <c r="B59" s="41"/>
      <c r="C59" s="42" t="s">
        <v>150</v>
      </c>
      <c r="D59" s="41"/>
      <c r="E59" s="41" t="s">
        <v>151</v>
      </c>
      <c r="F59" s="52" t="s">
        <v>153</v>
      </c>
      <c r="G59" s="49">
        <v>0</v>
      </c>
      <c r="H59" s="40" t="s">
        <v>151</v>
      </c>
      <c r="J59" s="7"/>
    </row>
    <row r="60" spans="1:10" x14ac:dyDescent="0.2">
      <c r="A60" s="41"/>
      <c r="B60" s="41"/>
      <c r="C60" s="50"/>
      <c r="D60" s="41"/>
      <c r="E60" s="41"/>
      <c r="F60" s="51"/>
      <c r="G60" s="51"/>
      <c r="H60" s="40" t="s">
        <v>151</v>
      </c>
      <c r="J60" s="7"/>
    </row>
    <row r="61" spans="1:10" x14ac:dyDescent="0.2">
      <c r="A61" s="41"/>
      <c r="B61" s="41"/>
      <c r="C61" s="42" t="s">
        <v>158</v>
      </c>
      <c r="D61" s="41"/>
      <c r="E61" s="41"/>
      <c r="F61" s="48">
        <v>8236.3001833199996</v>
      </c>
      <c r="G61" s="49">
        <v>0.96684948000000004</v>
      </c>
      <c r="H61" s="40" t="s">
        <v>151</v>
      </c>
      <c r="J61" s="7"/>
    </row>
    <row r="62" spans="1:10" x14ac:dyDescent="0.2">
      <c r="A62" s="41"/>
      <c r="B62" s="41"/>
      <c r="C62" s="50"/>
      <c r="D62" s="41"/>
      <c r="E62" s="41"/>
      <c r="F62" s="51"/>
      <c r="G62" s="51"/>
      <c r="H62" s="40" t="s">
        <v>151</v>
      </c>
      <c r="J62" s="7"/>
    </row>
    <row r="63" spans="1:10" x14ac:dyDescent="0.2">
      <c r="A63" s="41"/>
      <c r="B63" s="41"/>
      <c r="C63" s="42" t="s">
        <v>159</v>
      </c>
      <c r="D63" s="41"/>
      <c r="E63" s="41"/>
      <c r="F63" s="51"/>
      <c r="G63" s="51"/>
      <c r="H63" s="40" t="s">
        <v>151</v>
      </c>
      <c r="J63" s="7"/>
    </row>
    <row r="64" spans="1:10" x14ac:dyDescent="0.2">
      <c r="A64" s="41"/>
      <c r="B64" s="41"/>
      <c r="C64" s="42" t="s">
        <v>10</v>
      </c>
      <c r="D64" s="41"/>
      <c r="E64" s="41"/>
      <c r="F64" s="51"/>
      <c r="G64" s="51"/>
      <c r="H64" s="40" t="s">
        <v>151</v>
      </c>
      <c r="J64" s="7"/>
    </row>
    <row r="65" spans="1:10" x14ac:dyDescent="0.2">
      <c r="A65" s="41"/>
      <c r="B65" s="41"/>
      <c r="C65" s="42" t="s">
        <v>150</v>
      </c>
      <c r="D65" s="41"/>
      <c r="E65" s="41" t="s">
        <v>151</v>
      </c>
      <c r="F65" s="52" t="s">
        <v>153</v>
      </c>
      <c r="G65" s="49">
        <v>0</v>
      </c>
      <c r="H65" s="40" t="s">
        <v>151</v>
      </c>
      <c r="J65" s="7"/>
    </row>
    <row r="66" spans="1:10" x14ac:dyDescent="0.2">
      <c r="A66" s="41"/>
      <c r="B66" s="41"/>
      <c r="C66" s="50"/>
      <c r="D66" s="41"/>
      <c r="E66" s="41"/>
      <c r="F66" s="51"/>
      <c r="G66" s="51"/>
      <c r="H66" s="40" t="s">
        <v>151</v>
      </c>
      <c r="J66" s="7"/>
    </row>
    <row r="67" spans="1:10" x14ac:dyDescent="0.2">
      <c r="A67" s="41"/>
      <c r="B67" s="41"/>
      <c r="C67" s="42" t="s">
        <v>160</v>
      </c>
      <c r="D67" s="41"/>
      <c r="E67" s="41"/>
      <c r="F67" s="41"/>
      <c r="G67" s="41"/>
      <c r="H67" s="40" t="s">
        <v>151</v>
      </c>
      <c r="J67" s="7"/>
    </row>
    <row r="68" spans="1:10" x14ac:dyDescent="0.2">
      <c r="A68" s="41"/>
      <c r="B68" s="41"/>
      <c r="C68" s="42" t="s">
        <v>150</v>
      </c>
      <c r="D68" s="41"/>
      <c r="E68" s="41" t="s">
        <v>151</v>
      </c>
      <c r="F68" s="52" t="s">
        <v>153</v>
      </c>
      <c r="G68" s="49">
        <v>0</v>
      </c>
      <c r="H68" s="40" t="s">
        <v>151</v>
      </c>
      <c r="J68" s="7"/>
    </row>
    <row r="69" spans="1:10" x14ac:dyDescent="0.2">
      <c r="A69" s="41"/>
      <c r="B69" s="41"/>
      <c r="C69" s="50"/>
      <c r="D69" s="41"/>
      <c r="E69" s="41"/>
      <c r="F69" s="51"/>
      <c r="G69" s="51"/>
      <c r="H69" s="40" t="s">
        <v>151</v>
      </c>
      <c r="J69" s="7"/>
    </row>
    <row r="70" spans="1:10" x14ac:dyDescent="0.2">
      <c r="A70" s="41"/>
      <c r="B70" s="41"/>
      <c r="C70" s="42" t="s">
        <v>161</v>
      </c>
      <c r="D70" s="41"/>
      <c r="E70" s="41"/>
      <c r="F70" s="41"/>
      <c r="G70" s="41"/>
      <c r="H70" s="40" t="s">
        <v>151</v>
      </c>
      <c r="J70" s="7"/>
    </row>
    <row r="71" spans="1:10" x14ac:dyDescent="0.2">
      <c r="A71" s="41"/>
      <c r="B71" s="41"/>
      <c r="C71" s="42" t="s">
        <v>150</v>
      </c>
      <c r="D71" s="41"/>
      <c r="E71" s="41" t="s">
        <v>151</v>
      </c>
      <c r="F71" s="52" t="s">
        <v>153</v>
      </c>
      <c r="G71" s="49">
        <v>0</v>
      </c>
      <c r="H71" s="40" t="s">
        <v>151</v>
      </c>
      <c r="J71" s="7"/>
    </row>
    <row r="72" spans="1:10" x14ac:dyDescent="0.2">
      <c r="A72" s="41"/>
      <c r="B72" s="41"/>
      <c r="C72" s="50"/>
      <c r="D72" s="41"/>
      <c r="E72" s="41"/>
      <c r="F72" s="51"/>
      <c r="G72" s="51"/>
      <c r="H72" s="40" t="s">
        <v>151</v>
      </c>
      <c r="J72" s="7"/>
    </row>
    <row r="73" spans="1:10" x14ac:dyDescent="0.2">
      <c r="A73" s="41"/>
      <c r="B73" s="41"/>
      <c r="C73" s="42" t="s">
        <v>162</v>
      </c>
      <c r="D73" s="41"/>
      <c r="E73" s="41"/>
      <c r="F73" s="51"/>
      <c r="G73" s="51"/>
      <c r="H73" s="40" t="s">
        <v>151</v>
      </c>
      <c r="J73" s="7"/>
    </row>
    <row r="74" spans="1:10" x14ac:dyDescent="0.2">
      <c r="A74" s="41"/>
      <c r="B74" s="41"/>
      <c r="C74" s="42" t="s">
        <v>150</v>
      </c>
      <c r="D74" s="41"/>
      <c r="E74" s="41" t="s">
        <v>151</v>
      </c>
      <c r="F74" s="52" t="s">
        <v>153</v>
      </c>
      <c r="G74" s="49">
        <v>0</v>
      </c>
      <c r="H74" s="40" t="s">
        <v>151</v>
      </c>
      <c r="J74" s="7"/>
    </row>
    <row r="75" spans="1:10" x14ac:dyDescent="0.2">
      <c r="A75" s="41"/>
      <c r="B75" s="41"/>
      <c r="C75" s="50"/>
      <c r="D75" s="41"/>
      <c r="E75" s="41"/>
      <c r="F75" s="51"/>
      <c r="G75" s="51"/>
      <c r="H75" s="40" t="s">
        <v>151</v>
      </c>
      <c r="J75" s="7"/>
    </row>
    <row r="76" spans="1:10" x14ac:dyDescent="0.2">
      <c r="A76" s="41"/>
      <c r="B76" s="41"/>
      <c r="C76" s="42" t="s">
        <v>163</v>
      </c>
      <c r="D76" s="41"/>
      <c r="E76" s="41"/>
      <c r="F76" s="48">
        <v>0</v>
      </c>
      <c r="G76" s="49">
        <v>0</v>
      </c>
      <c r="H76" s="40" t="s">
        <v>151</v>
      </c>
      <c r="J76" s="7"/>
    </row>
    <row r="77" spans="1:10" x14ac:dyDescent="0.2">
      <c r="A77" s="41"/>
      <c r="B77" s="41"/>
      <c r="C77" s="50"/>
      <c r="D77" s="41"/>
      <c r="E77" s="41"/>
      <c r="F77" s="51"/>
      <c r="G77" s="51"/>
      <c r="H77" s="40" t="s">
        <v>151</v>
      </c>
      <c r="J77" s="7"/>
    </row>
    <row r="78" spans="1:10" x14ac:dyDescent="0.2">
      <c r="A78" s="41"/>
      <c r="B78" s="41"/>
      <c r="C78" s="42" t="s">
        <v>164</v>
      </c>
      <c r="D78" s="41"/>
      <c r="E78" s="41"/>
      <c r="F78" s="51"/>
      <c r="G78" s="51"/>
      <c r="H78" s="40" t="s">
        <v>151</v>
      </c>
      <c r="J78" s="7"/>
    </row>
    <row r="79" spans="1:10" x14ac:dyDescent="0.2">
      <c r="A79" s="41"/>
      <c r="B79" s="41"/>
      <c r="C79" s="42" t="s">
        <v>165</v>
      </c>
      <c r="D79" s="41"/>
      <c r="E79" s="41"/>
      <c r="F79" s="51"/>
      <c r="G79" s="51"/>
      <c r="H79" s="40" t="s">
        <v>151</v>
      </c>
      <c r="J79" s="7"/>
    </row>
    <row r="80" spans="1:10" x14ac:dyDescent="0.2">
      <c r="A80" s="41"/>
      <c r="B80" s="41"/>
      <c r="C80" s="42" t="s">
        <v>150</v>
      </c>
      <c r="D80" s="41"/>
      <c r="E80" s="41" t="s">
        <v>151</v>
      </c>
      <c r="F80" s="52" t="s">
        <v>153</v>
      </c>
      <c r="G80" s="49">
        <v>0</v>
      </c>
      <c r="H80" s="40" t="s">
        <v>151</v>
      </c>
      <c r="J80" s="7"/>
    </row>
    <row r="81" spans="1:10" x14ac:dyDescent="0.2">
      <c r="A81" s="41"/>
      <c r="B81" s="41"/>
      <c r="C81" s="50"/>
      <c r="D81" s="41"/>
      <c r="E81" s="41"/>
      <c r="F81" s="51"/>
      <c r="G81" s="51"/>
      <c r="H81" s="40" t="s">
        <v>151</v>
      </c>
      <c r="J81" s="7"/>
    </row>
    <row r="82" spans="1:10" x14ac:dyDescent="0.2">
      <c r="A82" s="41"/>
      <c r="B82" s="41"/>
      <c r="C82" s="42" t="s">
        <v>166</v>
      </c>
      <c r="D82" s="41"/>
      <c r="E82" s="41"/>
      <c r="F82" s="51"/>
      <c r="G82" s="51"/>
      <c r="H82" s="40" t="s">
        <v>151</v>
      </c>
      <c r="J82" s="7"/>
    </row>
    <row r="83" spans="1:10" x14ac:dyDescent="0.2">
      <c r="A83" s="41"/>
      <c r="B83" s="41"/>
      <c r="C83" s="42" t="s">
        <v>150</v>
      </c>
      <c r="D83" s="41"/>
      <c r="E83" s="41" t="s">
        <v>151</v>
      </c>
      <c r="F83" s="52" t="s">
        <v>153</v>
      </c>
      <c r="G83" s="49">
        <v>0</v>
      </c>
      <c r="H83" s="40" t="s">
        <v>151</v>
      </c>
      <c r="J83" s="7"/>
    </row>
    <row r="84" spans="1:10" x14ac:dyDescent="0.2">
      <c r="A84" s="41"/>
      <c r="B84" s="41"/>
      <c r="C84" s="50"/>
      <c r="D84" s="41"/>
      <c r="E84" s="41"/>
      <c r="F84" s="51"/>
      <c r="G84" s="51"/>
      <c r="H84" s="40" t="s">
        <v>151</v>
      </c>
      <c r="J84" s="7"/>
    </row>
    <row r="85" spans="1:10" x14ac:dyDescent="0.2">
      <c r="A85" s="41"/>
      <c r="B85" s="41"/>
      <c r="C85" s="42" t="s">
        <v>167</v>
      </c>
      <c r="D85" s="41"/>
      <c r="E85" s="41"/>
      <c r="F85" s="51"/>
      <c r="G85" s="51"/>
      <c r="H85" s="40" t="s">
        <v>151</v>
      </c>
      <c r="J85" s="7"/>
    </row>
    <row r="86" spans="1:10" x14ac:dyDescent="0.2">
      <c r="A86" s="41"/>
      <c r="B86" s="41"/>
      <c r="C86" s="42" t="s">
        <v>150</v>
      </c>
      <c r="D86" s="41"/>
      <c r="E86" s="41" t="s">
        <v>151</v>
      </c>
      <c r="F86" s="52" t="s">
        <v>153</v>
      </c>
      <c r="G86" s="49">
        <v>0</v>
      </c>
      <c r="H86" s="40" t="s">
        <v>151</v>
      </c>
      <c r="J86" s="7"/>
    </row>
    <row r="87" spans="1:10" x14ac:dyDescent="0.2">
      <c r="A87" s="41"/>
      <c r="B87" s="41"/>
      <c r="C87" s="50"/>
      <c r="D87" s="41"/>
      <c r="E87" s="41"/>
      <c r="F87" s="51"/>
      <c r="G87" s="51"/>
      <c r="H87" s="40" t="s">
        <v>151</v>
      </c>
      <c r="J87" s="7"/>
    </row>
    <row r="88" spans="1:10" x14ac:dyDescent="0.2">
      <c r="A88" s="41"/>
      <c r="B88" s="41"/>
      <c r="C88" s="42" t="s">
        <v>168</v>
      </c>
      <c r="D88" s="41"/>
      <c r="E88" s="41"/>
      <c r="F88" s="51"/>
      <c r="G88" s="51"/>
      <c r="H88" s="40" t="s">
        <v>151</v>
      </c>
      <c r="J88" s="7"/>
    </row>
    <row r="89" spans="1:10" x14ac:dyDescent="0.2">
      <c r="A89" s="43">
        <v>1</v>
      </c>
      <c r="B89" s="44"/>
      <c r="C89" s="44" t="s">
        <v>169</v>
      </c>
      <c r="D89" s="44"/>
      <c r="E89" s="54"/>
      <c r="F89" s="46">
        <v>278.48688500100002</v>
      </c>
      <c r="G89" s="47">
        <v>3.2691240000000003E-2</v>
      </c>
      <c r="H89" s="40">
        <v>6.39</v>
      </c>
      <c r="J89" s="7"/>
    </row>
    <row r="90" spans="1:10" x14ac:dyDescent="0.2">
      <c r="A90" s="41"/>
      <c r="B90" s="41"/>
      <c r="C90" s="42" t="s">
        <v>150</v>
      </c>
      <c r="D90" s="41"/>
      <c r="E90" s="41" t="s">
        <v>151</v>
      </c>
      <c r="F90" s="48">
        <v>278.48688500100002</v>
      </c>
      <c r="G90" s="49">
        <v>3.2691240000000003E-2</v>
      </c>
      <c r="H90" s="40" t="s">
        <v>151</v>
      </c>
      <c r="J90" s="7"/>
    </row>
    <row r="91" spans="1:10" x14ac:dyDescent="0.2">
      <c r="A91" s="41"/>
      <c r="B91" s="41"/>
      <c r="C91" s="50"/>
      <c r="D91" s="41"/>
      <c r="E91" s="41"/>
      <c r="F91" s="51"/>
      <c r="G91" s="51"/>
      <c r="H91" s="40" t="s">
        <v>151</v>
      </c>
      <c r="J91" s="7"/>
    </row>
    <row r="92" spans="1:10" x14ac:dyDescent="0.2">
      <c r="A92" s="41"/>
      <c r="B92" s="41"/>
      <c r="C92" s="42" t="s">
        <v>170</v>
      </c>
      <c r="D92" s="41"/>
      <c r="E92" s="41"/>
      <c r="F92" s="48">
        <v>278.48688500100002</v>
      </c>
      <c r="G92" s="49">
        <v>3.2691240000000003E-2</v>
      </c>
      <c r="H92" s="40" t="s">
        <v>151</v>
      </c>
      <c r="J92" s="7"/>
    </row>
    <row r="93" spans="1:10" x14ac:dyDescent="0.2">
      <c r="A93" s="41"/>
      <c r="B93" s="41"/>
      <c r="C93" s="51"/>
      <c r="D93" s="41"/>
      <c r="E93" s="41"/>
      <c r="F93" s="41"/>
      <c r="G93" s="41"/>
      <c r="H93" s="40" t="s">
        <v>151</v>
      </c>
      <c r="J93" s="7"/>
    </row>
    <row r="94" spans="1:10" x14ac:dyDescent="0.2">
      <c r="A94" s="41"/>
      <c r="B94" s="41"/>
      <c r="C94" s="42" t="s">
        <v>171</v>
      </c>
      <c r="D94" s="41"/>
      <c r="E94" s="41"/>
      <c r="F94" s="41"/>
      <c r="G94" s="41"/>
      <c r="H94" s="40" t="s">
        <v>151</v>
      </c>
      <c r="J94" s="7"/>
    </row>
    <row r="95" spans="1:10" x14ac:dyDescent="0.2">
      <c r="A95" s="41"/>
      <c r="B95" s="41"/>
      <c r="C95" s="42" t="s">
        <v>172</v>
      </c>
      <c r="D95" s="41"/>
      <c r="E95" s="41"/>
      <c r="F95" s="41"/>
      <c r="G95" s="41"/>
      <c r="H95" s="40" t="s">
        <v>151</v>
      </c>
      <c r="J95" s="7"/>
    </row>
    <row r="96" spans="1:10" x14ac:dyDescent="0.2">
      <c r="A96" s="41"/>
      <c r="B96" s="41"/>
      <c r="C96" s="42" t="s">
        <v>150</v>
      </c>
      <c r="D96" s="41"/>
      <c r="E96" s="41" t="s">
        <v>151</v>
      </c>
      <c r="F96" s="52" t="s">
        <v>153</v>
      </c>
      <c r="G96" s="49">
        <v>0</v>
      </c>
      <c r="H96" s="40" t="s">
        <v>151</v>
      </c>
      <c r="J96" s="7"/>
    </row>
    <row r="97" spans="1:17" x14ac:dyDescent="0.2">
      <c r="A97" s="41"/>
      <c r="B97" s="41"/>
      <c r="C97" s="50"/>
      <c r="D97" s="41"/>
      <c r="E97" s="41"/>
      <c r="F97" s="51"/>
      <c r="G97" s="51"/>
      <c r="H97" s="40" t="s">
        <v>151</v>
      </c>
      <c r="J97" s="7"/>
    </row>
    <row r="98" spans="1:17" x14ac:dyDescent="0.2">
      <c r="A98" s="41"/>
      <c r="B98" s="41"/>
      <c r="C98" s="42" t="s">
        <v>173</v>
      </c>
      <c r="D98" s="41"/>
      <c r="E98" s="41"/>
      <c r="F98" s="41"/>
      <c r="G98" s="41"/>
      <c r="H98" s="40" t="s">
        <v>151</v>
      </c>
      <c r="J98" s="7"/>
    </row>
    <row r="99" spans="1:17" x14ac:dyDescent="0.2">
      <c r="A99" s="41"/>
      <c r="B99" s="41"/>
      <c r="C99" s="42" t="s">
        <v>174</v>
      </c>
      <c r="D99" s="41"/>
      <c r="E99" s="41"/>
      <c r="F99" s="41"/>
      <c r="G99" s="41"/>
      <c r="H99" s="40" t="s">
        <v>151</v>
      </c>
      <c r="J99" s="7"/>
    </row>
    <row r="100" spans="1:17" x14ac:dyDescent="0.2">
      <c r="A100" s="41"/>
      <c r="B100" s="41"/>
      <c r="C100" s="42" t="s">
        <v>150</v>
      </c>
      <c r="D100" s="41"/>
      <c r="E100" s="41" t="s">
        <v>151</v>
      </c>
      <c r="F100" s="52" t="s">
        <v>153</v>
      </c>
      <c r="G100" s="49">
        <v>0</v>
      </c>
      <c r="H100" s="40" t="s">
        <v>151</v>
      </c>
      <c r="J100" s="7"/>
    </row>
    <row r="101" spans="1:17" x14ac:dyDescent="0.2">
      <c r="A101" s="41"/>
      <c r="B101" s="41"/>
      <c r="C101" s="50"/>
      <c r="D101" s="41"/>
      <c r="E101" s="41"/>
      <c r="F101" s="51"/>
      <c r="G101" s="51"/>
      <c r="H101" s="40" t="s">
        <v>151</v>
      </c>
      <c r="J101" s="7"/>
    </row>
    <row r="102" spans="1:17" x14ac:dyDescent="0.2">
      <c r="A102" s="41"/>
      <c r="B102" s="41"/>
      <c r="C102" s="42" t="s">
        <v>175</v>
      </c>
      <c r="D102" s="41"/>
      <c r="E102" s="41"/>
      <c r="F102" s="51"/>
      <c r="G102" s="51"/>
      <c r="H102" s="40" t="s">
        <v>151</v>
      </c>
      <c r="J102" s="7"/>
    </row>
    <row r="103" spans="1:17" x14ac:dyDescent="0.2">
      <c r="A103" s="41"/>
      <c r="B103" s="41"/>
      <c r="C103" s="42" t="s">
        <v>150</v>
      </c>
      <c r="D103" s="41"/>
      <c r="E103" s="41" t="s">
        <v>151</v>
      </c>
      <c r="F103" s="52" t="s">
        <v>153</v>
      </c>
      <c r="G103" s="49">
        <v>0</v>
      </c>
      <c r="H103" s="40" t="s">
        <v>151</v>
      </c>
      <c r="J103" s="7"/>
    </row>
    <row r="104" spans="1:17" x14ac:dyDescent="0.2">
      <c r="A104" s="41"/>
      <c r="B104" s="41"/>
      <c r="C104" s="50"/>
      <c r="D104" s="41"/>
      <c r="E104" s="41"/>
      <c r="F104" s="51"/>
      <c r="G104" s="51"/>
      <c r="H104" s="40" t="s">
        <v>151</v>
      </c>
      <c r="J104" s="7"/>
    </row>
    <row r="105" spans="1:17" x14ac:dyDescent="0.2">
      <c r="A105" s="41"/>
      <c r="B105" s="44"/>
      <c r="C105" s="44"/>
      <c r="D105" s="42"/>
      <c r="E105" s="41"/>
      <c r="F105" s="44"/>
      <c r="G105" s="54"/>
      <c r="H105" s="40" t="s">
        <v>151</v>
      </c>
      <c r="J105" s="7"/>
    </row>
    <row r="106" spans="1:17" x14ac:dyDescent="0.2">
      <c r="A106" s="54"/>
      <c r="B106" s="44"/>
      <c r="C106" s="44" t="s">
        <v>176</v>
      </c>
      <c r="D106" s="44"/>
      <c r="E106" s="54"/>
      <c r="F106" s="46">
        <v>3.9123830000000002</v>
      </c>
      <c r="G106" s="47">
        <v>4.5927000000000001E-4</v>
      </c>
      <c r="H106" s="40" t="s">
        <v>151</v>
      </c>
      <c r="J106" s="7"/>
    </row>
    <row r="107" spans="1:17" x14ac:dyDescent="0.2">
      <c r="A107" s="50"/>
      <c r="B107" s="50"/>
      <c r="C107" s="42" t="s">
        <v>177</v>
      </c>
      <c r="D107" s="51"/>
      <c r="E107" s="51"/>
      <c r="F107" s="48">
        <v>8518.6994513209993</v>
      </c>
      <c r="G107" s="55">
        <v>0.99999998999999995</v>
      </c>
      <c r="H107" s="40" t="s">
        <v>151</v>
      </c>
      <c r="J107" s="7"/>
    </row>
    <row r="108" spans="1:17" x14ac:dyDescent="0.2">
      <c r="A108" s="56"/>
      <c r="B108" s="56"/>
      <c r="C108" s="56"/>
      <c r="D108" s="57"/>
      <c r="E108" s="57"/>
      <c r="F108" s="57"/>
      <c r="G108" s="57"/>
      <c r="J108" s="7"/>
    </row>
    <row r="109" spans="1:17" ht="12.75" customHeight="1" x14ac:dyDescent="0.2">
      <c r="A109" s="58"/>
      <c r="B109" s="159" t="s">
        <v>923</v>
      </c>
      <c r="C109" s="159"/>
      <c r="D109" s="159"/>
      <c r="E109" s="159"/>
      <c r="F109" s="159"/>
      <c r="G109" s="159"/>
      <c r="H109" s="159"/>
      <c r="J109" s="7"/>
    </row>
    <row r="110" spans="1:17" ht="14.1" customHeight="1" x14ac:dyDescent="0.2">
      <c r="A110" s="58"/>
      <c r="B110" s="159" t="s">
        <v>924</v>
      </c>
      <c r="C110" s="159"/>
      <c r="D110" s="159"/>
      <c r="E110" s="159"/>
      <c r="F110" s="159"/>
      <c r="G110" s="159"/>
      <c r="H110" s="159"/>
      <c r="J110" s="7"/>
    </row>
    <row r="111" spans="1:17" ht="17.100000000000001" customHeight="1" x14ac:dyDescent="0.2">
      <c r="A111" s="58"/>
      <c r="B111" s="159" t="s">
        <v>925</v>
      </c>
      <c r="C111" s="159"/>
      <c r="D111" s="159"/>
      <c r="E111" s="159"/>
      <c r="F111" s="159"/>
      <c r="G111" s="159"/>
      <c r="H111" s="159"/>
      <c r="J111" s="7"/>
    </row>
    <row r="112" spans="1:17" s="8" customFormat="1" ht="65.25" customHeight="1" x14ac:dyDescent="0.25">
      <c r="A112" s="60"/>
      <c r="B112" s="160" t="s">
        <v>926</v>
      </c>
      <c r="C112" s="160"/>
      <c r="D112" s="160"/>
      <c r="E112" s="160"/>
      <c r="F112" s="160"/>
      <c r="G112" s="160"/>
      <c r="H112" s="160"/>
      <c r="I112"/>
      <c r="J112" s="7"/>
      <c r="K112"/>
      <c r="L112"/>
      <c r="M112"/>
      <c r="N112"/>
      <c r="O112"/>
      <c r="P112"/>
      <c r="Q112"/>
    </row>
    <row r="113" spans="1:10" ht="12.75" customHeight="1" x14ac:dyDescent="0.2">
      <c r="A113" s="58"/>
      <c r="B113" s="159" t="s">
        <v>927</v>
      </c>
      <c r="C113" s="159"/>
      <c r="D113" s="159"/>
      <c r="E113" s="159"/>
      <c r="F113" s="159"/>
      <c r="G113" s="159"/>
      <c r="H113" s="159"/>
      <c r="J113" s="7"/>
    </row>
    <row r="114" spans="1:10" x14ac:dyDescent="0.2">
      <c r="A114" s="61"/>
      <c r="B114" s="61"/>
      <c r="C114" s="61"/>
      <c r="D114" s="62"/>
      <c r="E114" s="62"/>
      <c r="F114" s="62"/>
      <c r="G114" s="62"/>
      <c r="J114" s="7"/>
    </row>
    <row r="115" spans="1:10" x14ac:dyDescent="0.2">
      <c r="A115" s="61"/>
      <c r="B115" s="161" t="s">
        <v>178</v>
      </c>
      <c r="C115" s="162"/>
      <c r="D115" s="163"/>
      <c r="E115" s="63"/>
      <c r="F115" s="62"/>
      <c r="G115" s="62"/>
      <c r="J115" s="7"/>
    </row>
    <row r="116" spans="1:10" x14ac:dyDescent="0.2">
      <c r="A116" s="61"/>
      <c r="B116" s="156" t="s">
        <v>179</v>
      </c>
      <c r="C116" s="157"/>
      <c r="D116" s="42" t="s">
        <v>180</v>
      </c>
      <c r="E116" s="63"/>
      <c r="F116" s="62"/>
      <c r="G116" s="62"/>
      <c r="J116" s="7"/>
    </row>
    <row r="117" spans="1:10" ht="12.75" customHeight="1" x14ac:dyDescent="0.2">
      <c r="A117" s="58"/>
      <c r="B117" s="164" t="s">
        <v>939</v>
      </c>
      <c r="C117" s="165"/>
      <c r="D117" s="64" t="str">
        <f>"Rs. "&amp;TEXT(F53,"0.00")&amp;" lacs/ #"</f>
        <v>Rs. 0.02 lacs/ #</v>
      </c>
      <c r="E117" s="65"/>
      <c r="F117" s="66"/>
      <c r="G117" s="66"/>
      <c r="J117" s="7"/>
    </row>
    <row r="118" spans="1:10" x14ac:dyDescent="0.2">
      <c r="A118" s="61"/>
      <c r="B118" s="156" t="s">
        <v>182</v>
      </c>
      <c r="C118" s="157"/>
      <c r="D118" s="51" t="s">
        <v>151</v>
      </c>
      <c r="E118" s="63"/>
      <c r="F118" s="62"/>
      <c r="G118" s="62"/>
      <c r="J118" s="7"/>
    </row>
    <row r="119" spans="1:10" x14ac:dyDescent="0.2">
      <c r="A119" s="67"/>
      <c r="B119" s="68" t="s">
        <v>151</v>
      </c>
      <c r="C119" s="68" t="s">
        <v>937</v>
      </c>
      <c r="D119" s="68" t="s">
        <v>183</v>
      </c>
      <c r="E119" s="67"/>
      <c r="F119" s="67"/>
      <c r="G119" s="67"/>
      <c r="H119" s="67"/>
      <c r="J119" s="7"/>
    </row>
    <row r="120" spans="1:10" x14ac:dyDescent="0.2">
      <c r="A120" s="69"/>
      <c r="B120" s="70" t="s">
        <v>184</v>
      </c>
      <c r="C120" s="80" t="s">
        <v>185</v>
      </c>
      <c r="D120" s="80" t="s">
        <v>186</v>
      </c>
      <c r="E120" s="69"/>
      <c r="F120" s="69"/>
      <c r="G120" s="69"/>
      <c r="J120" s="7"/>
    </row>
    <row r="121" spans="1:10" x14ac:dyDescent="0.2">
      <c r="A121" s="69"/>
      <c r="B121" s="44" t="s">
        <v>187</v>
      </c>
      <c r="C121" s="72">
        <v>33.980600000000003</v>
      </c>
      <c r="D121" s="72">
        <v>33.9011</v>
      </c>
      <c r="E121" s="69"/>
      <c r="F121" s="73"/>
      <c r="G121" s="74"/>
      <c r="J121" s="7"/>
    </row>
    <row r="122" spans="1:10" x14ac:dyDescent="0.2">
      <c r="A122" s="69"/>
      <c r="B122" s="44" t="s">
        <v>1094</v>
      </c>
      <c r="C122" s="72">
        <v>29.799800000000001</v>
      </c>
      <c r="D122" s="72">
        <v>29.73</v>
      </c>
      <c r="E122" s="69"/>
      <c r="F122" s="73"/>
      <c r="G122" s="74"/>
      <c r="J122" s="7"/>
    </row>
    <row r="123" spans="1:10" x14ac:dyDescent="0.2">
      <c r="A123" s="69"/>
      <c r="B123" s="44" t="s">
        <v>188</v>
      </c>
      <c r="C123" s="72">
        <v>33.0608</v>
      </c>
      <c r="D123" s="72">
        <v>32.978400000000001</v>
      </c>
      <c r="E123" s="69"/>
      <c r="F123" s="73"/>
      <c r="G123" s="74"/>
      <c r="J123" s="7"/>
    </row>
    <row r="124" spans="1:10" x14ac:dyDescent="0.2">
      <c r="A124" s="69"/>
      <c r="B124" s="44" t="s">
        <v>1095</v>
      </c>
      <c r="C124" s="72">
        <v>28.925699999999999</v>
      </c>
      <c r="D124" s="72">
        <v>28.8536</v>
      </c>
      <c r="E124" s="69"/>
      <c r="F124" s="73"/>
      <c r="G124" s="74"/>
      <c r="J124" s="7"/>
    </row>
    <row r="125" spans="1:10" x14ac:dyDescent="0.2">
      <c r="A125" s="69"/>
      <c r="B125" s="69"/>
      <c r="C125" s="69"/>
      <c r="D125" s="69"/>
      <c r="E125" s="69"/>
      <c r="F125" s="69"/>
      <c r="G125" s="69"/>
      <c r="J125" s="7"/>
    </row>
    <row r="126" spans="1:10" x14ac:dyDescent="0.2">
      <c r="A126" s="67"/>
      <c r="B126" s="164" t="s">
        <v>940</v>
      </c>
      <c r="C126" s="165"/>
      <c r="D126" s="64" t="s">
        <v>180</v>
      </c>
      <c r="E126" s="67"/>
      <c r="F126" s="67"/>
      <c r="G126" s="67"/>
      <c r="J126" s="7"/>
    </row>
    <row r="127" spans="1:10" x14ac:dyDescent="0.2">
      <c r="A127" s="67"/>
      <c r="B127" s="84"/>
      <c r="C127" s="84"/>
      <c r="D127" s="84"/>
      <c r="E127" s="67"/>
      <c r="F127" s="67"/>
      <c r="G127" s="67"/>
      <c r="J127" s="7"/>
    </row>
    <row r="128" spans="1:10" x14ac:dyDescent="0.2">
      <c r="A128" s="67"/>
      <c r="B128" s="164" t="s">
        <v>189</v>
      </c>
      <c r="C128" s="165"/>
      <c r="D128" s="64" t="s">
        <v>180</v>
      </c>
      <c r="E128" s="75"/>
      <c r="F128" s="67"/>
      <c r="G128" s="67"/>
      <c r="J128" s="7"/>
    </row>
    <row r="129" spans="1:10" x14ac:dyDescent="0.2">
      <c r="A129" s="67"/>
      <c r="B129" s="164" t="s">
        <v>190</v>
      </c>
      <c r="C129" s="165"/>
      <c r="D129" s="64" t="s">
        <v>180</v>
      </c>
      <c r="E129" s="75"/>
      <c r="F129" s="67"/>
      <c r="G129" s="67"/>
      <c r="J129" s="7"/>
    </row>
    <row r="130" spans="1:10" x14ac:dyDescent="0.2">
      <c r="A130" s="67"/>
      <c r="B130" s="164" t="s">
        <v>191</v>
      </c>
      <c r="C130" s="165"/>
      <c r="D130" s="64" t="s">
        <v>180</v>
      </c>
      <c r="E130" s="75"/>
      <c r="F130" s="67"/>
      <c r="G130" s="67"/>
      <c r="J130" s="7"/>
    </row>
    <row r="131" spans="1:10" x14ac:dyDescent="0.2">
      <c r="A131" s="67"/>
      <c r="B131" s="164" t="s">
        <v>192</v>
      </c>
      <c r="C131" s="165"/>
      <c r="D131" s="76">
        <v>0.30572201944363586</v>
      </c>
      <c r="E131" s="67"/>
      <c r="F131" s="59"/>
      <c r="G131" s="77"/>
      <c r="J131" s="7"/>
    </row>
    <row r="132" spans="1:10" x14ac:dyDescent="0.2">
      <c r="J132" s="7"/>
    </row>
    <row r="133" spans="1:10" x14ac:dyDescent="0.2">
      <c r="J133" s="7"/>
    </row>
    <row r="134" spans="1:10" x14ac:dyDescent="0.2">
      <c r="J134" s="7"/>
    </row>
    <row r="135" spans="1:10" x14ac:dyDescent="0.2">
      <c r="J135" s="7"/>
    </row>
    <row r="136" spans="1:10" x14ac:dyDescent="0.2">
      <c r="J136" s="7"/>
    </row>
    <row r="137" spans="1:10" x14ac:dyDescent="0.2">
      <c r="J137" s="7"/>
    </row>
    <row r="138" spans="1:10" x14ac:dyDescent="0.2">
      <c r="J138" s="7"/>
    </row>
  </sheetData>
  <mergeCells count="17">
    <mergeCell ref="B117:C117"/>
    <mergeCell ref="B118:C118"/>
    <mergeCell ref="B126:C126"/>
    <mergeCell ref="B130:C130"/>
    <mergeCell ref="B131:C131"/>
    <mergeCell ref="B128:C128"/>
    <mergeCell ref="B129:C129"/>
    <mergeCell ref="B116:C116"/>
    <mergeCell ref="A1:H1"/>
    <mergeCell ref="A2:H2"/>
    <mergeCell ref="A3:H3"/>
    <mergeCell ref="B109:H109"/>
    <mergeCell ref="B110:H110"/>
    <mergeCell ref="B111:H111"/>
    <mergeCell ref="B112:H112"/>
    <mergeCell ref="B113:H113"/>
    <mergeCell ref="B115:D115"/>
  </mergeCells>
  <hyperlinks>
    <hyperlink ref="I1" location="Index!B10" display="Index" xr:uid="{D429E3D4-774B-48F7-ABCA-0A16436DEE6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65D3D-544E-4978-87A6-17D58CEE7948}">
  <sheetPr>
    <outlinePr summaryBelow="0" summaryRight="0"/>
  </sheetPr>
  <dimension ref="A1:Q137"/>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8.7109375" customWidth="1"/>
    <col min="8" max="8" width="8.42578125" bestFit="1" customWidth="1"/>
    <col min="9" max="9" width="5.710937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491</v>
      </c>
      <c r="B2" s="158"/>
      <c r="C2" s="158"/>
      <c r="D2" s="158"/>
      <c r="E2" s="158"/>
      <c r="F2" s="158"/>
      <c r="G2" s="158"/>
      <c r="H2" s="158"/>
      <c r="J2" s="11" t="s">
        <v>942</v>
      </c>
    </row>
    <row r="3" spans="1:10" ht="15" customHeight="1" x14ac:dyDescent="0.2">
      <c r="A3" s="158" t="s">
        <v>880</v>
      </c>
      <c r="B3" s="158"/>
      <c r="C3" s="158"/>
      <c r="D3" s="158"/>
      <c r="E3" s="158"/>
      <c r="F3" s="158"/>
      <c r="G3" s="158"/>
      <c r="H3" s="158"/>
      <c r="J3" s="7"/>
    </row>
    <row r="4" spans="1:10" s="1" customFormat="1" ht="33" customHeight="1"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407</v>
      </c>
      <c r="C7" s="44" t="s">
        <v>408</v>
      </c>
      <c r="D7" s="44" t="s">
        <v>100</v>
      </c>
      <c r="E7" s="45">
        <v>9824</v>
      </c>
      <c r="F7" s="46">
        <v>203.45504</v>
      </c>
      <c r="G7" s="47">
        <v>5.1504939999999999E-2</v>
      </c>
      <c r="H7" s="40" t="s">
        <v>151</v>
      </c>
      <c r="J7" s="7"/>
    </row>
    <row r="8" spans="1:10" x14ac:dyDescent="0.2">
      <c r="A8" s="43">
        <v>2</v>
      </c>
      <c r="B8" s="44" t="s">
        <v>59</v>
      </c>
      <c r="C8" s="44" t="s">
        <v>60</v>
      </c>
      <c r="D8" s="44" t="s">
        <v>61</v>
      </c>
      <c r="E8" s="45">
        <v>15508</v>
      </c>
      <c r="F8" s="46">
        <v>195.044116</v>
      </c>
      <c r="G8" s="47">
        <v>4.9375700000000002E-2</v>
      </c>
      <c r="H8" s="40" t="s">
        <v>151</v>
      </c>
      <c r="J8" s="7"/>
    </row>
    <row r="9" spans="1:10" x14ac:dyDescent="0.2">
      <c r="A9" s="43">
        <v>3</v>
      </c>
      <c r="B9" s="44" t="s">
        <v>367</v>
      </c>
      <c r="C9" s="44" t="s">
        <v>368</v>
      </c>
      <c r="D9" s="44" t="s">
        <v>229</v>
      </c>
      <c r="E9" s="45">
        <v>4337</v>
      </c>
      <c r="F9" s="46">
        <v>186.04428899999999</v>
      </c>
      <c r="G9" s="47">
        <v>4.7097380000000001E-2</v>
      </c>
      <c r="H9" s="40" t="s">
        <v>151</v>
      </c>
      <c r="J9" s="7"/>
    </row>
    <row r="10" spans="1:10" x14ac:dyDescent="0.2">
      <c r="A10" s="43">
        <v>4</v>
      </c>
      <c r="B10" s="44" t="s">
        <v>31</v>
      </c>
      <c r="C10" s="44" t="s">
        <v>32</v>
      </c>
      <c r="D10" s="44" t="s">
        <v>33</v>
      </c>
      <c r="E10" s="45">
        <v>18229</v>
      </c>
      <c r="F10" s="46">
        <v>175.29917850000001</v>
      </c>
      <c r="G10" s="47">
        <v>4.4377239999999998E-2</v>
      </c>
      <c r="H10" s="40" t="s">
        <v>151</v>
      </c>
      <c r="J10" s="7"/>
    </row>
    <row r="11" spans="1:10" x14ac:dyDescent="0.2">
      <c r="A11" s="43">
        <v>5</v>
      </c>
      <c r="B11" s="44" t="s">
        <v>145</v>
      </c>
      <c r="C11" s="44" t="s">
        <v>146</v>
      </c>
      <c r="D11" s="44" t="s">
        <v>100</v>
      </c>
      <c r="E11" s="45">
        <v>47004</v>
      </c>
      <c r="F11" s="46">
        <v>169.49642399999999</v>
      </c>
      <c r="G11" s="47">
        <v>4.2908269999999998E-2</v>
      </c>
      <c r="H11" s="40" t="s">
        <v>151</v>
      </c>
      <c r="J11" s="7"/>
    </row>
    <row r="12" spans="1:10" ht="15" x14ac:dyDescent="0.2">
      <c r="A12" s="43">
        <v>6</v>
      </c>
      <c r="B12" s="44" t="s">
        <v>94</v>
      </c>
      <c r="C12" s="44" t="s">
        <v>95</v>
      </c>
      <c r="D12" s="44" t="s">
        <v>33</v>
      </c>
      <c r="E12" s="45">
        <v>3851</v>
      </c>
      <c r="F12" s="46">
        <v>166.7425235</v>
      </c>
      <c r="G12" s="47">
        <v>4.2211110000000003E-2</v>
      </c>
      <c r="H12" s="40" t="s">
        <v>151</v>
      </c>
      <c r="J12" s="12"/>
    </row>
    <row r="13" spans="1:10" x14ac:dyDescent="0.2">
      <c r="A13" s="43">
        <v>7</v>
      </c>
      <c r="B13" s="44" t="s">
        <v>409</v>
      </c>
      <c r="C13" s="44" t="s">
        <v>410</v>
      </c>
      <c r="D13" s="44" t="s">
        <v>242</v>
      </c>
      <c r="E13" s="45">
        <v>9717</v>
      </c>
      <c r="F13" s="46">
        <v>160.51026450000001</v>
      </c>
      <c r="G13" s="47">
        <v>4.0633410000000002E-2</v>
      </c>
      <c r="H13" s="40" t="s">
        <v>151</v>
      </c>
      <c r="J13" s="7"/>
    </row>
    <row r="14" spans="1:10" x14ac:dyDescent="0.2">
      <c r="A14" s="43">
        <v>8</v>
      </c>
      <c r="B14" s="44" t="s">
        <v>411</v>
      </c>
      <c r="C14" s="44" t="s">
        <v>412</v>
      </c>
      <c r="D14" s="44" t="s">
        <v>413</v>
      </c>
      <c r="E14" s="45">
        <v>10366</v>
      </c>
      <c r="F14" s="46">
        <v>156.53696600000001</v>
      </c>
      <c r="G14" s="47">
        <v>3.9627559999999999E-2</v>
      </c>
      <c r="H14" s="40" t="s">
        <v>151</v>
      </c>
      <c r="J14" s="7" t="s">
        <v>1054</v>
      </c>
    </row>
    <row r="15" spans="1:10" x14ac:dyDescent="0.2">
      <c r="A15" s="43">
        <v>9</v>
      </c>
      <c r="B15" s="44" t="s">
        <v>414</v>
      </c>
      <c r="C15" s="44" t="s">
        <v>415</v>
      </c>
      <c r="D15" s="44" t="s">
        <v>45</v>
      </c>
      <c r="E15" s="45">
        <v>187038</v>
      </c>
      <c r="F15" s="46">
        <v>151.0705926</v>
      </c>
      <c r="G15" s="47">
        <v>3.8243739999999998E-2</v>
      </c>
      <c r="H15" s="40" t="s">
        <v>151</v>
      </c>
      <c r="J15" s="7"/>
    </row>
    <row r="16" spans="1:10" x14ac:dyDescent="0.2">
      <c r="A16" s="43">
        <v>10</v>
      </c>
      <c r="B16" s="44" t="s">
        <v>438</v>
      </c>
      <c r="C16" s="44" t="s">
        <v>439</v>
      </c>
      <c r="D16" s="44" t="s">
        <v>229</v>
      </c>
      <c r="E16" s="45">
        <v>6306</v>
      </c>
      <c r="F16" s="46">
        <v>136.597419</v>
      </c>
      <c r="G16" s="47">
        <v>3.4579840000000001E-2</v>
      </c>
      <c r="H16" s="40" t="s">
        <v>151</v>
      </c>
      <c r="J16" s="7"/>
    </row>
    <row r="17" spans="1:10" ht="25.5" x14ac:dyDescent="0.2">
      <c r="A17" s="43">
        <v>11</v>
      </c>
      <c r="B17" s="44" t="s">
        <v>318</v>
      </c>
      <c r="C17" s="44" t="s">
        <v>319</v>
      </c>
      <c r="D17" s="44" t="s">
        <v>247</v>
      </c>
      <c r="E17" s="45">
        <v>3525</v>
      </c>
      <c r="F17" s="46">
        <v>133.9834875</v>
      </c>
      <c r="G17" s="47">
        <v>3.3918120000000003E-2</v>
      </c>
      <c r="H17" s="40" t="s">
        <v>151</v>
      </c>
      <c r="J17" s="7"/>
    </row>
    <row r="18" spans="1:10" x14ac:dyDescent="0.2">
      <c r="A18" s="43">
        <v>12</v>
      </c>
      <c r="B18" s="44" t="s">
        <v>416</v>
      </c>
      <c r="C18" s="44" t="s">
        <v>417</v>
      </c>
      <c r="D18" s="44" t="s">
        <v>45</v>
      </c>
      <c r="E18" s="45">
        <v>290098</v>
      </c>
      <c r="F18" s="46">
        <v>130.0799432</v>
      </c>
      <c r="G18" s="47">
        <v>3.2929930000000003E-2</v>
      </c>
      <c r="H18" s="40" t="s">
        <v>151</v>
      </c>
      <c r="J18" s="7"/>
    </row>
    <row r="19" spans="1:10" x14ac:dyDescent="0.2">
      <c r="A19" s="43">
        <v>13</v>
      </c>
      <c r="B19" s="44" t="s">
        <v>418</v>
      </c>
      <c r="C19" s="44" t="s">
        <v>419</v>
      </c>
      <c r="D19" s="44" t="s">
        <v>219</v>
      </c>
      <c r="E19" s="45">
        <v>15581</v>
      </c>
      <c r="F19" s="46">
        <v>127.951172</v>
      </c>
      <c r="G19" s="47">
        <v>3.2391030000000001E-2</v>
      </c>
      <c r="H19" s="40" t="s">
        <v>151</v>
      </c>
      <c r="J19" s="7"/>
    </row>
    <row r="20" spans="1:10" x14ac:dyDescent="0.2">
      <c r="A20" s="43">
        <v>14</v>
      </c>
      <c r="B20" s="44" t="s">
        <v>440</v>
      </c>
      <c r="C20" s="44" t="s">
        <v>441</v>
      </c>
      <c r="D20" s="44" t="s">
        <v>219</v>
      </c>
      <c r="E20" s="45">
        <v>18242</v>
      </c>
      <c r="F20" s="46">
        <v>123.252073</v>
      </c>
      <c r="G20" s="47">
        <v>3.120144E-2</v>
      </c>
      <c r="H20" s="40" t="s">
        <v>151</v>
      </c>
      <c r="J20" s="7"/>
    </row>
    <row r="21" spans="1:10" x14ac:dyDescent="0.2">
      <c r="A21" s="43">
        <v>15</v>
      </c>
      <c r="B21" s="44" t="s">
        <v>424</v>
      </c>
      <c r="C21" s="44" t="s">
        <v>425</v>
      </c>
      <c r="D21" s="44" t="s">
        <v>45</v>
      </c>
      <c r="E21" s="45">
        <v>36437</v>
      </c>
      <c r="F21" s="46">
        <v>119.51336000000001</v>
      </c>
      <c r="G21" s="47">
        <v>3.0254980000000001E-2</v>
      </c>
      <c r="H21" s="40" t="s">
        <v>151</v>
      </c>
      <c r="J21" s="7"/>
    </row>
    <row r="22" spans="1:10" ht="15" x14ac:dyDescent="0.2">
      <c r="A22" s="43">
        <v>16</v>
      </c>
      <c r="B22" s="44" t="s">
        <v>422</v>
      </c>
      <c r="C22" s="44" t="s">
        <v>423</v>
      </c>
      <c r="D22" s="44" t="s">
        <v>222</v>
      </c>
      <c r="E22" s="45">
        <v>33900</v>
      </c>
      <c r="F22" s="46">
        <v>117.64995</v>
      </c>
      <c r="G22" s="47">
        <v>2.9783259999999999E-2</v>
      </c>
      <c r="H22" s="40" t="s">
        <v>151</v>
      </c>
      <c r="J22" s="12"/>
    </row>
    <row r="23" spans="1:10" x14ac:dyDescent="0.2">
      <c r="A23" s="43">
        <v>17</v>
      </c>
      <c r="B23" s="44" t="s">
        <v>96</v>
      </c>
      <c r="C23" s="44" t="s">
        <v>97</v>
      </c>
      <c r="D23" s="44" t="s">
        <v>33</v>
      </c>
      <c r="E23" s="45">
        <v>4465</v>
      </c>
      <c r="F23" s="46">
        <v>115.57875749999999</v>
      </c>
      <c r="G23" s="47">
        <v>2.9258929999999999E-2</v>
      </c>
      <c r="H23" s="40" t="s">
        <v>151</v>
      </c>
      <c r="J23" s="7"/>
    </row>
    <row r="24" spans="1:10" ht="25.5" x14ac:dyDescent="0.2">
      <c r="A24" s="43">
        <v>18</v>
      </c>
      <c r="B24" s="44" t="s">
        <v>82</v>
      </c>
      <c r="C24" s="44" t="s">
        <v>83</v>
      </c>
      <c r="D24" s="44" t="s">
        <v>25</v>
      </c>
      <c r="E24" s="45">
        <v>2480</v>
      </c>
      <c r="F24" s="46">
        <v>109.54036000000001</v>
      </c>
      <c r="G24" s="47">
        <v>2.7730299999999999E-2</v>
      </c>
      <c r="H24" s="40" t="s">
        <v>151</v>
      </c>
      <c r="J24" s="7"/>
    </row>
    <row r="25" spans="1:10" ht="25.5" x14ac:dyDescent="0.2">
      <c r="A25" s="43">
        <v>19</v>
      </c>
      <c r="B25" s="44" t="s">
        <v>431</v>
      </c>
      <c r="C25" s="44" t="s">
        <v>432</v>
      </c>
      <c r="D25" s="44" t="s">
        <v>433</v>
      </c>
      <c r="E25" s="45">
        <v>25470</v>
      </c>
      <c r="F25" s="46">
        <v>108.68049000000001</v>
      </c>
      <c r="G25" s="47">
        <v>2.751263E-2</v>
      </c>
      <c r="H25" s="40" t="s">
        <v>151</v>
      </c>
      <c r="J25" s="7"/>
    </row>
    <row r="26" spans="1:10" x14ac:dyDescent="0.2">
      <c r="A26" s="43">
        <v>20</v>
      </c>
      <c r="B26" s="44" t="s">
        <v>434</v>
      </c>
      <c r="C26" s="44" t="s">
        <v>435</v>
      </c>
      <c r="D26" s="44" t="s">
        <v>86</v>
      </c>
      <c r="E26" s="45">
        <v>12457</v>
      </c>
      <c r="F26" s="46">
        <v>105.7163305</v>
      </c>
      <c r="G26" s="47">
        <v>2.676224E-2</v>
      </c>
      <c r="H26" s="40" t="s">
        <v>151</v>
      </c>
      <c r="J26" s="7"/>
    </row>
    <row r="27" spans="1:10" x14ac:dyDescent="0.2">
      <c r="A27" s="43">
        <v>21</v>
      </c>
      <c r="B27" s="44" t="s">
        <v>57</v>
      </c>
      <c r="C27" s="44" t="s">
        <v>58</v>
      </c>
      <c r="D27" s="44" t="s">
        <v>13</v>
      </c>
      <c r="E27" s="45">
        <v>7151</v>
      </c>
      <c r="F27" s="46">
        <v>98.036634500000005</v>
      </c>
      <c r="G27" s="47">
        <v>2.4818119999999999E-2</v>
      </c>
      <c r="H27" s="40" t="s">
        <v>151</v>
      </c>
      <c r="J27" s="7"/>
    </row>
    <row r="28" spans="1:10" x14ac:dyDescent="0.2">
      <c r="A28" s="43">
        <v>22</v>
      </c>
      <c r="B28" s="44" t="s">
        <v>223</v>
      </c>
      <c r="C28" s="44" t="s">
        <v>224</v>
      </c>
      <c r="D28" s="44" t="s">
        <v>86</v>
      </c>
      <c r="E28" s="45">
        <v>692</v>
      </c>
      <c r="F28" s="46">
        <v>95.429568000000003</v>
      </c>
      <c r="G28" s="47">
        <v>2.4158140000000002E-2</v>
      </c>
      <c r="H28" s="40" t="s">
        <v>151</v>
      </c>
      <c r="J28" s="7"/>
    </row>
    <row r="29" spans="1:10" x14ac:dyDescent="0.2">
      <c r="A29" s="43">
        <v>23</v>
      </c>
      <c r="B29" s="44" t="s">
        <v>428</v>
      </c>
      <c r="C29" s="44" t="s">
        <v>429</v>
      </c>
      <c r="D29" s="44" t="s">
        <v>430</v>
      </c>
      <c r="E29" s="45">
        <v>6011</v>
      </c>
      <c r="F29" s="46">
        <v>90.180027499999994</v>
      </c>
      <c r="G29" s="47">
        <v>2.2829209999999999E-2</v>
      </c>
      <c r="H29" s="40" t="s">
        <v>151</v>
      </c>
      <c r="J29" s="7"/>
    </row>
    <row r="30" spans="1:10" ht="25.5" x14ac:dyDescent="0.2">
      <c r="A30" s="43">
        <v>24</v>
      </c>
      <c r="B30" s="44" t="s">
        <v>436</v>
      </c>
      <c r="C30" s="44" t="s">
        <v>437</v>
      </c>
      <c r="D30" s="44" t="s">
        <v>210</v>
      </c>
      <c r="E30" s="45">
        <v>1708</v>
      </c>
      <c r="F30" s="46">
        <v>89.676832000000005</v>
      </c>
      <c r="G30" s="47">
        <v>2.2701820000000001E-2</v>
      </c>
      <c r="H30" s="40" t="s">
        <v>151</v>
      </c>
      <c r="J30" s="7"/>
    </row>
    <row r="31" spans="1:10" x14ac:dyDescent="0.2">
      <c r="A31" s="43">
        <v>25</v>
      </c>
      <c r="B31" s="44" t="s">
        <v>442</v>
      </c>
      <c r="C31" s="44" t="s">
        <v>443</v>
      </c>
      <c r="D31" s="44" t="s">
        <v>33</v>
      </c>
      <c r="E31" s="45">
        <v>13623</v>
      </c>
      <c r="F31" s="46">
        <v>81.887853000000007</v>
      </c>
      <c r="G31" s="47">
        <v>2.073003E-2</v>
      </c>
      <c r="H31" s="40" t="s">
        <v>151</v>
      </c>
      <c r="J31" s="7"/>
    </row>
    <row r="32" spans="1:10" x14ac:dyDescent="0.2">
      <c r="A32" s="43">
        <v>26</v>
      </c>
      <c r="B32" s="44" t="s">
        <v>444</v>
      </c>
      <c r="C32" s="44" t="s">
        <v>445</v>
      </c>
      <c r="D32" s="44" t="s">
        <v>242</v>
      </c>
      <c r="E32" s="45">
        <v>9165</v>
      </c>
      <c r="F32" s="46">
        <v>75.950355000000002</v>
      </c>
      <c r="G32" s="47">
        <v>1.9226940000000001E-2</v>
      </c>
      <c r="H32" s="40" t="s">
        <v>151</v>
      </c>
      <c r="J32" s="7"/>
    </row>
    <row r="33" spans="1:10" x14ac:dyDescent="0.2">
      <c r="A33" s="43">
        <v>27</v>
      </c>
      <c r="B33" s="44" t="s">
        <v>448</v>
      </c>
      <c r="C33" s="44" t="s">
        <v>449</v>
      </c>
      <c r="D33" s="44" t="s">
        <v>100</v>
      </c>
      <c r="E33" s="45">
        <v>10630</v>
      </c>
      <c r="F33" s="46">
        <v>75.233824999999996</v>
      </c>
      <c r="G33" s="47">
        <v>1.9045550000000001E-2</v>
      </c>
      <c r="H33" s="40" t="s">
        <v>151</v>
      </c>
      <c r="J33" s="7"/>
    </row>
    <row r="34" spans="1:10" x14ac:dyDescent="0.2">
      <c r="A34" s="43">
        <v>28</v>
      </c>
      <c r="B34" s="44" t="s">
        <v>452</v>
      </c>
      <c r="C34" s="44" t="s">
        <v>453</v>
      </c>
      <c r="D34" s="44" t="s">
        <v>86</v>
      </c>
      <c r="E34" s="45">
        <v>7127</v>
      </c>
      <c r="F34" s="46">
        <v>74.127927</v>
      </c>
      <c r="G34" s="47">
        <v>1.8765589999999999E-2</v>
      </c>
      <c r="H34" s="40" t="s">
        <v>151</v>
      </c>
      <c r="J34" s="7"/>
    </row>
    <row r="35" spans="1:10" x14ac:dyDescent="0.2">
      <c r="A35" s="43">
        <v>29</v>
      </c>
      <c r="B35" s="44" t="s">
        <v>264</v>
      </c>
      <c r="C35" s="44" t="s">
        <v>265</v>
      </c>
      <c r="D35" s="44" t="s">
        <v>86</v>
      </c>
      <c r="E35" s="45">
        <v>4021</v>
      </c>
      <c r="F35" s="46">
        <v>61.024706500000001</v>
      </c>
      <c r="G35" s="47">
        <v>1.544849E-2</v>
      </c>
      <c r="H35" s="40" t="s">
        <v>151</v>
      </c>
      <c r="J35" s="7"/>
    </row>
    <row r="36" spans="1:10" ht="25.5" x14ac:dyDescent="0.2">
      <c r="A36" s="43">
        <v>30</v>
      </c>
      <c r="B36" s="44" t="s">
        <v>487</v>
      </c>
      <c r="C36" s="44" t="s">
        <v>488</v>
      </c>
      <c r="D36" s="44" t="s">
        <v>100</v>
      </c>
      <c r="E36" s="45">
        <v>2514</v>
      </c>
      <c r="F36" s="46">
        <v>51.050541000000003</v>
      </c>
      <c r="G36" s="47">
        <v>1.2923520000000001E-2</v>
      </c>
      <c r="H36" s="40" t="s">
        <v>151</v>
      </c>
      <c r="J36" s="7"/>
    </row>
    <row r="37" spans="1:10" x14ac:dyDescent="0.2">
      <c r="A37" s="43">
        <v>31</v>
      </c>
      <c r="B37" s="44" t="s">
        <v>450</v>
      </c>
      <c r="C37" s="44" t="s">
        <v>451</v>
      </c>
      <c r="D37" s="44" t="s">
        <v>100</v>
      </c>
      <c r="E37" s="45">
        <v>5528</v>
      </c>
      <c r="F37" s="46">
        <v>48.447392000000001</v>
      </c>
      <c r="G37" s="47">
        <v>1.2264529999999999E-2</v>
      </c>
      <c r="H37" s="40" t="s">
        <v>151</v>
      </c>
      <c r="J37" s="7"/>
    </row>
    <row r="38" spans="1:10" x14ac:dyDescent="0.2">
      <c r="A38" s="43">
        <v>32</v>
      </c>
      <c r="B38" s="44" t="s">
        <v>382</v>
      </c>
      <c r="C38" s="44" t="s">
        <v>383</v>
      </c>
      <c r="D38" s="44" t="s">
        <v>136</v>
      </c>
      <c r="E38" s="45">
        <v>25659</v>
      </c>
      <c r="F38" s="46">
        <v>42.422024700000001</v>
      </c>
      <c r="G38" s="47">
        <v>1.0739200000000001E-2</v>
      </c>
      <c r="H38" s="40" t="s">
        <v>151</v>
      </c>
      <c r="J38" s="7"/>
    </row>
    <row r="39" spans="1:10" x14ac:dyDescent="0.2">
      <c r="A39" s="43">
        <v>33</v>
      </c>
      <c r="B39" s="44" t="s">
        <v>420</v>
      </c>
      <c r="C39" s="44" t="s">
        <v>421</v>
      </c>
      <c r="D39" s="44" t="s">
        <v>33</v>
      </c>
      <c r="E39" s="45">
        <v>2772</v>
      </c>
      <c r="F39" s="46">
        <v>39.690882000000002</v>
      </c>
      <c r="G39" s="47">
        <v>1.0047810000000001E-2</v>
      </c>
      <c r="H39" s="40" t="s">
        <v>151</v>
      </c>
      <c r="J39" s="7"/>
    </row>
    <row r="40" spans="1:10" x14ac:dyDescent="0.2">
      <c r="A40" s="43">
        <v>34</v>
      </c>
      <c r="B40" s="44" t="s">
        <v>34</v>
      </c>
      <c r="C40" s="44" t="s">
        <v>35</v>
      </c>
      <c r="D40" s="44" t="s">
        <v>33</v>
      </c>
      <c r="E40" s="45">
        <v>582</v>
      </c>
      <c r="F40" s="46">
        <v>37.176122999999997</v>
      </c>
      <c r="G40" s="47">
        <v>9.4111899999999998E-3</v>
      </c>
      <c r="H40" s="40" t="s">
        <v>151</v>
      </c>
      <c r="J40" s="7"/>
    </row>
    <row r="41" spans="1:10" x14ac:dyDescent="0.2">
      <c r="A41" s="43">
        <v>35</v>
      </c>
      <c r="B41" s="44" t="s">
        <v>460</v>
      </c>
      <c r="C41" s="44" t="s">
        <v>461</v>
      </c>
      <c r="D41" s="44" t="s">
        <v>89</v>
      </c>
      <c r="E41" s="45">
        <v>4314</v>
      </c>
      <c r="F41" s="46">
        <v>25.771836</v>
      </c>
      <c r="G41" s="47">
        <v>6.5241800000000001E-3</v>
      </c>
      <c r="H41" s="40" t="s">
        <v>151</v>
      </c>
      <c r="J41" s="7"/>
    </row>
    <row r="42" spans="1:10" x14ac:dyDescent="0.2">
      <c r="A42" s="43">
        <v>36</v>
      </c>
      <c r="B42" s="44" t="s">
        <v>489</v>
      </c>
      <c r="C42" s="44" t="s">
        <v>490</v>
      </c>
      <c r="D42" s="44" t="s">
        <v>100</v>
      </c>
      <c r="E42" s="45">
        <v>84</v>
      </c>
      <c r="F42" s="46">
        <v>7.5038460000000002</v>
      </c>
      <c r="G42" s="47">
        <v>1.8996099999999999E-3</v>
      </c>
      <c r="H42" s="40" t="s">
        <v>151</v>
      </c>
      <c r="J42" s="7"/>
    </row>
    <row r="43" spans="1:10" x14ac:dyDescent="0.2">
      <c r="A43" s="41"/>
      <c r="B43" s="41"/>
      <c r="C43" s="42" t="s">
        <v>150</v>
      </c>
      <c r="D43" s="41"/>
      <c r="E43" s="41" t="s">
        <v>151</v>
      </c>
      <c r="F43" s="48">
        <v>3886.35311</v>
      </c>
      <c r="G43" s="49">
        <v>0.98383598000000005</v>
      </c>
      <c r="H43" s="40" t="s">
        <v>151</v>
      </c>
      <c r="J43" s="7"/>
    </row>
    <row r="44" spans="1:10" x14ac:dyDescent="0.2">
      <c r="A44" s="41"/>
      <c r="B44" s="41"/>
      <c r="C44" s="50"/>
      <c r="D44" s="41"/>
      <c r="E44" s="41"/>
      <c r="F44" s="51"/>
      <c r="G44" s="51"/>
      <c r="H44" s="40" t="s">
        <v>151</v>
      </c>
      <c r="J44" s="7"/>
    </row>
    <row r="45" spans="1:10" x14ac:dyDescent="0.2">
      <c r="A45" s="41"/>
      <c r="B45" s="41"/>
      <c r="C45" s="42" t="s">
        <v>152</v>
      </c>
      <c r="D45" s="41"/>
      <c r="E45" s="41"/>
      <c r="F45" s="41"/>
      <c r="G45" s="41"/>
      <c r="H45" s="40" t="s">
        <v>151</v>
      </c>
      <c r="J45" s="7"/>
    </row>
    <row r="46" spans="1:10" x14ac:dyDescent="0.2">
      <c r="A46" s="41"/>
      <c r="B46" s="41"/>
      <c r="C46" s="42" t="s">
        <v>150</v>
      </c>
      <c r="D46" s="41"/>
      <c r="E46" s="41" t="s">
        <v>151</v>
      </c>
      <c r="F46" s="52" t="s">
        <v>153</v>
      </c>
      <c r="G46" s="49">
        <v>0</v>
      </c>
      <c r="H46" s="40" t="s">
        <v>151</v>
      </c>
      <c r="J46" s="7"/>
    </row>
    <row r="47" spans="1:10" x14ac:dyDescent="0.2">
      <c r="A47" s="41"/>
      <c r="B47" s="41"/>
      <c r="C47" s="50"/>
      <c r="D47" s="41"/>
      <c r="E47" s="41"/>
      <c r="F47" s="51"/>
      <c r="G47" s="51"/>
      <c r="H47" s="40" t="s">
        <v>151</v>
      </c>
      <c r="J47" s="7"/>
    </row>
    <row r="48" spans="1:10" x14ac:dyDescent="0.2">
      <c r="A48" s="41"/>
      <c r="B48" s="41"/>
      <c r="C48" s="42" t="s">
        <v>154</v>
      </c>
      <c r="D48" s="41"/>
      <c r="E48" s="41"/>
      <c r="F48" s="41"/>
      <c r="G48" s="41"/>
      <c r="H48" s="40" t="s">
        <v>151</v>
      </c>
      <c r="J48" s="7"/>
    </row>
    <row r="49" spans="1:10" x14ac:dyDescent="0.2">
      <c r="A49" s="41"/>
      <c r="B49" s="41"/>
      <c r="C49" s="42" t="s">
        <v>150</v>
      </c>
      <c r="D49" s="41"/>
      <c r="E49" s="41" t="s">
        <v>151</v>
      </c>
      <c r="F49" s="52" t="s">
        <v>153</v>
      </c>
      <c r="G49" s="49">
        <v>0</v>
      </c>
      <c r="H49" s="40" t="s">
        <v>151</v>
      </c>
      <c r="J49" s="7"/>
    </row>
    <row r="50" spans="1:10" x14ac:dyDescent="0.2">
      <c r="A50" s="41"/>
      <c r="B50" s="41"/>
      <c r="C50" s="50"/>
      <c r="D50" s="41"/>
      <c r="E50" s="41"/>
      <c r="F50" s="51"/>
      <c r="G50" s="51"/>
      <c r="H50" s="40" t="s">
        <v>151</v>
      </c>
      <c r="J50" s="7"/>
    </row>
    <row r="51" spans="1:10" x14ac:dyDescent="0.2">
      <c r="A51" s="41"/>
      <c r="B51" s="41"/>
      <c r="C51" s="42" t="s">
        <v>155</v>
      </c>
      <c r="D51" s="41"/>
      <c r="E51" s="41"/>
      <c r="F51" s="41"/>
      <c r="G51" s="41"/>
      <c r="H51" s="40" t="s">
        <v>151</v>
      </c>
      <c r="J51" s="7"/>
    </row>
    <row r="52" spans="1:10" ht="25.5" x14ac:dyDescent="0.2">
      <c r="A52" s="43">
        <v>1</v>
      </c>
      <c r="B52" s="44" t="s">
        <v>338</v>
      </c>
      <c r="C52" s="83" t="s">
        <v>946</v>
      </c>
      <c r="D52" s="44" t="s">
        <v>33</v>
      </c>
      <c r="E52" s="45">
        <v>80</v>
      </c>
      <c r="F52" s="46">
        <v>8.0032000000000002E-3</v>
      </c>
      <c r="G52" s="87" t="s">
        <v>149</v>
      </c>
      <c r="H52" s="40" t="s">
        <v>151</v>
      </c>
      <c r="J52" s="7"/>
    </row>
    <row r="53" spans="1:10" x14ac:dyDescent="0.2">
      <c r="A53" s="41"/>
      <c r="B53" s="41"/>
      <c r="C53" s="42" t="s">
        <v>150</v>
      </c>
      <c r="D53" s="41"/>
      <c r="E53" s="41" t="s">
        <v>151</v>
      </c>
      <c r="F53" s="48">
        <v>8.0032000000000002E-3</v>
      </c>
      <c r="G53" s="49">
        <v>2.03E-6</v>
      </c>
      <c r="H53" s="40" t="s">
        <v>151</v>
      </c>
      <c r="J53" s="7"/>
    </row>
    <row r="54" spans="1:10" x14ac:dyDescent="0.2">
      <c r="A54" s="41"/>
      <c r="B54" s="41"/>
      <c r="C54" s="50"/>
      <c r="D54" s="41"/>
      <c r="E54" s="41"/>
      <c r="F54" s="51"/>
      <c r="G54" s="51"/>
      <c r="H54" s="40" t="s">
        <v>151</v>
      </c>
      <c r="J54" s="7"/>
    </row>
    <row r="55" spans="1:10" x14ac:dyDescent="0.2">
      <c r="A55" s="41"/>
      <c r="B55" s="41"/>
      <c r="C55" s="42" t="s">
        <v>156</v>
      </c>
      <c r="D55" s="41"/>
      <c r="E55" s="41"/>
      <c r="F55" s="51"/>
      <c r="G55" s="51"/>
      <c r="H55" s="40" t="s">
        <v>151</v>
      </c>
      <c r="J55" s="7"/>
    </row>
    <row r="56" spans="1:10" x14ac:dyDescent="0.2">
      <c r="A56" s="41"/>
      <c r="B56" s="41"/>
      <c r="C56" s="42" t="s">
        <v>150</v>
      </c>
      <c r="D56" s="41"/>
      <c r="E56" s="41" t="s">
        <v>151</v>
      </c>
      <c r="F56" s="52" t="s">
        <v>153</v>
      </c>
      <c r="G56" s="49">
        <v>0</v>
      </c>
      <c r="H56" s="40" t="s">
        <v>151</v>
      </c>
      <c r="J56" s="7"/>
    </row>
    <row r="57" spans="1:10" x14ac:dyDescent="0.2">
      <c r="A57" s="41"/>
      <c r="B57" s="41"/>
      <c r="C57" s="50"/>
      <c r="D57" s="41"/>
      <c r="E57" s="41"/>
      <c r="F57" s="51"/>
      <c r="G57" s="51"/>
      <c r="H57" s="40" t="s">
        <v>151</v>
      </c>
      <c r="J57" s="7"/>
    </row>
    <row r="58" spans="1:10" x14ac:dyDescent="0.2">
      <c r="A58" s="41"/>
      <c r="B58" s="41"/>
      <c r="C58" s="42" t="s">
        <v>157</v>
      </c>
      <c r="D58" s="41"/>
      <c r="E58" s="41"/>
      <c r="F58" s="51"/>
      <c r="G58" s="51"/>
      <c r="H58" s="40" t="s">
        <v>151</v>
      </c>
      <c r="J58" s="7"/>
    </row>
    <row r="59" spans="1:10" x14ac:dyDescent="0.2">
      <c r="A59" s="41"/>
      <c r="B59" s="41"/>
      <c r="C59" s="42" t="s">
        <v>150</v>
      </c>
      <c r="D59" s="41"/>
      <c r="E59" s="41" t="s">
        <v>151</v>
      </c>
      <c r="F59" s="52" t="s">
        <v>153</v>
      </c>
      <c r="G59" s="49">
        <v>0</v>
      </c>
      <c r="H59" s="40" t="s">
        <v>151</v>
      </c>
      <c r="J59" s="7"/>
    </row>
    <row r="60" spans="1:10" x14ac:dyDescent="0.2">
      <c r="A60" s="41"/>
      <c r="B60" s="41"/>
      <c r="C60" s="50"/>
      <c r="D60" s="41"/>
      <c r="E60" s="41"/>
      <c r="F60" s="51"/>
      <c r="G60" s="51"/>
      <c r="H60" s="40" t="s">
        <v>151</v>
      </c>
      <c r="J60" s="7"/>
    </row>
    <row r="61" spans="1:10" x14ac:dyDescent="0.2">
      <c r="A61" s="41"/>
      <c r="B61" s="41"/>
      <c r="C61" s="42" t="s">
        <v>158</v>
      </c>
      <c r="D61" s="41"/>
      <c r="E61" s="41"/>
      <c r="F61" s="48">
        <v>3886.3611132000001</v>
      </c>
      <c r="G61" s="49">
        <v>0.98383801000000004</v>
      </c>
      <c r="H61" s="40" t="s">
        <v>151</v>
      </c>
      <c r="J61" s="7"/>
    </row>
    <row r="62" spans="1:10" x14ac:dyDescent="0.2">
      <c r="A62" s="41"/>
      <c r="B62" s="41"/>
      <c r="C62" s="50"/>
      <c r="D62" s="41"/>
      <c r="E62" s="41"/>
      <c r="F62" s="51"/>
      <c r="G62" s="51"/>
      <c r="H62" s="40" t="s">
        <v>151</v>
      </c>
      <c r="J62" s="7"/>
    </row>
    <row r="63" spans="1:10" x14ac:dyDescent="0.2">
      <c r="A63" s="41"/>
      <c r="B63" s="41"/>
      <c r="C63" s="42" t="s">
        <v>159</v>
      </c>
      <c r="D63" s="41"/>
      <c r="E63" s="41"/>
      <c r="F63" s="51"/>
      <c r="G63" s="51"/>
      <c r="H63" s="40" t="s">
        <v>151</v>
      </c>
      <c r="J63" s="7"/>
    </row>
    <row r="64" spans="1:10" x14ac:dyDescent="0.2">
      <c r="A64" s="41"/>
      <c r="B64" s="41"/>
      <c r="C64" s="42" t="s">
        <v>10</v>
      </c>
      <c r="D64" s="41"/>
      <c r="E64" s="41"/>
      <c r="F64" s="51"/>
      <c r="G64" s="51"/>
      <c r="H64" s="40" t="s">
        <v>151</v>
      </c>
      <c r="J64" s="7"/>
    </row>
    <row r="65" spans="1:10" x14ac:dyDescent="0.2">
      <c r="A65" s="41"/>
      <c r="B65" s="41"/>
      <c r="C65" s="42" t="s">
        <v>150</v>
      </c>
      <c r="D65" s="41"/>
      <c r="E65" s="41" t="s">
        <v>151</v>
      </c>
      <c r="F65" s="52" t="s">
        <v>153</v>
      </c>
      <c r="G65" s="49">
        <v>0</v>
      </c>
      <c r="H65" s="40" t="s">
        <v>151</v>
      </c>
      <c r="J65" s="7"/>
    </row>
    <row r="66" spans="1:10" x14ac:dyDescent="0.2">
      <c r="A66" s="41"/>
      <c r="B66" s="41"/>
      <c r="C66" s="50"/>
      <c r="D66" s="41"/>
      <c r="E66" s="41"/>
      <c r="F66" s="51"/>
      <c r="G66" s="51"/>
      <c r="H66" s="40" t="s">
        <v>151</v>
      </c>
      <c r="J66" s="7"/>
    </row>
    <row r="67" spans="1:10" x14ac:dyDescent="0.2">
      <c r="A67" s="41"/>
      <c r="B67" s="41"/>
      <c r="C67" s="42" t="s">
        <v>160</v>
      </c>
      <c r="D67" s="41"/>
      <c r="E67" s="41"/>
      <c r="F67" s="41"/>
      <c r="G67" s="41"/>
      <c r="H67" s="40" t="s">
        <v>151</v>
      </c>
      <c r="J67" s="7"/>
    </row>
    <row r="68" spans="1:10" x14ac:dyDescent="0.2">
      <c r="A68" s="41"/>
      <c r="B68" s="41"/>
      <c r="C68" s="42" t="s">
        <v>150</v>
      </c>
      <c r="D68" s="41"/>
      <c r="E68" s="41" t="s">
        <v>151</v>
      </c>
      <c r="F68" s="52" t="s">
        <v>153</v>
      </c>
      <c r="G68" s="49">
        <v>0</v>
      </c>
      <c r="H68" s="40" t="s">
        <v>151</v>
      </c>
      <c r="J68" s="7"/>
    </row>
    <row r="69" spans="1:10" x14ac:dyDescent="0.2">
      <c r="A69" s="41"/>
      <c r="B69" s="41"/>
      <c r="C69" s="50"/>
      <c r="D69" s="41"/>
      <c r="E69" s="41"/>
      <c r="F69" s="51"/>
      <c r="G69" s="51"/>
      <c r="H69" s="40" t="s">
        <v>151</v>
      </c>
      <c r="J69" s="7"/>
    </row>
    <row r="70" spans="1:10" x14ac:dyDescent="0.2">
      <c r="A70" s="41"/>
      <c r="B70" s="41"/>
      <c r="C70" s="42" t="s">
        <v>161</v>
      </c>
      <c r="D70" s="41"/>
      <c r="E70" s="41"/>
      <c r="F70" s="41"/>
      <c r="G70" s="41"/>
      <c r="H70" s="40" t="s">
        <v>151</v>
      </c>
      <c r="J70" s="7"/>
    </row>
    <row r="71" spans="1:10" x14ac:dyDescent="0.2">
      <c r="A71" s="41"/>
      <c r="B71" s="41"/>
      <c r="C71" s="42" t="s">
        <v>150</v>
      </c>
      <c r="D71" s="41"/>
      <c r="E71" s="41" t="s">
        <v>151</v>
      </c>
      <c r="F71" s="52" t="s">
        <v>153</v>
      </c>
      <c r="G71" s="49">
        <v>0</v>
      </c>
      <c r="H71" s="40" t="s">
        <v>151</v>
      </c>
      <c r="J71" s="7"/>
    </row>
    <row r="72" spans="1:10" x14ac:dyDescent="0.2">
      <c r="A72" s="41"/>
      <c r="B72" s="41"/>
      <c r="C72" s="50"/>
      <c r="D72" s="41"/>
      <c r="E72" s="41"/>
      <c r="F72" s="51"/>
      <c r="G72" s="51"/>
      <c r="H72" s="40" t="s">
        <v>151</v>
      </c>
      <c r="J72" s="7"/>
    </row>
    <row r="73" spans="1:10" x14ac:dyDescent="0.2">
      <c r="A73" s="41"/>
      <c r="B73" s="41"/>
      <c r="C73" s="42" t="s">
        <v>162</v>
      </c>
      <c r="D73" s="41"/>
      <c r="E73" s="41"/>
      <c r="F73" s="51"/>
      <c r="G73" s="51"/>
      <c r="H73" s="40" t="s">
        <v>151</v>
      </c>
      <c r="J73" s="7"/>
    </row>
    <row r="74" spans="1:10" x14ac:dyDescent="0.2">
      <c r="A74" s="41"/>
      <c r="B74" s="41"/>
      <c r="C74" s="42" t="s">
        <v>150</v>
      </c>
      <c r="D74" s="41"/>
      <c r="E74" s="41" t="s">
        <v>151</v>
      </c>
      <c r="F74" s="52" t="s">
        <v>153</v>
      </c>
      <c r="G74" s="49">
        <v>0</v>
      </c>
      <c r="H74" s="40" t="s">
        <v>151</v>
      </c>
      <c r="J74" s="7"/>
    </row>
    <row r="75" spans="1:10" x14ac:dyDescent="0.2">
      <c r="A75" s="41"/>
      <c r="B75" s="41"/>
      <c r="C75" s="50"/>
      <c r="D75" s="41"/>
      <c r="E75" s="41"/>
      <c r="F75" s="51"/>
      <c r="G75" s="51"/>
      <c r="H75" s="40" t="s">
        <v>151</v>
      </c>
      <c r="J75" s="7"/>
    </row>
    <row r="76" spans="1:10" x14ac:dyDescent="0.2">
      <c r="A76" s="41"/>
      <c r="B76" s="41"/>
      <c r="C76" s="42" t="s">
        <v>163</v>
      </c>
      <c r="D76" s="41"/>
      <c r="E76" s="41"/>
      <c r="F76" s="48">
        <v>0</v>
      </c>
      <c r="G76" s="49">
        <v>0</v>
      </c>
      <c r="H76" s="40" t="s">
        <v>151</v>
      </c>
      <c r="J76" s="7"/>
    </row>
    <row r="77" spans="1:10" x14ac:dyDescent="0.2">
      <c r="A77" s="41"/>
      <c r="B77" s="41"/>
      <c r="C77" s="50"/>
      <c r="D77" s="41"/>
      <c r="E77" s="41"/>
      <c r="F77" s="51"/>
      <c r="G77" s="51"/>
      <c r="H77" s="40" t="s">
        <v>151</v>
      </c>
      <c r="J77" s="7"/>
    </row>
    <row r="78" spans="1:10" x14ac:dyDescent="0.2">
      <c r="A78" s="41"/>
      <c r="B78" s="41"/>
      <c r="C78" s="42" t="s">
        <v>164</v>
      </c>
      <c r="D78" s="41"/>
      <c r="E78" s="41"/>
      <c r="F78" s="51"/>
      <c r="G78" s="51"/>
      <c r="H78" s="40" t="s">
        <v>151</v>
      </c>
      <c r="J78" s="7"/>
    </row>
    <row r="79" spans="1:10" x14ac:dyDescent="0.2">
      <c r="A79" s="41"/>
      <c r="B79" s="41"/>
      <c r="C79" s="42" t="s">
        <v>165</v>
      </c>
      <c r="D79" s="41"/>
      <c r="E79" s="41"/>
      <c r="F79" s="51"/>
      <c r="G79" s="51"/>
      <c r="H79" s="40" t="s">
        <v>151</v>
      </c>
      <c r="J79" s="7"/>
    </row>
    <row r="80" spans="1:10" x14ac:dyDescent="0.2">
      <c r="A80" s="41"/>
      <c r="B80" s="41"/>
      <c r="C80" s="42" t="s">
        <v>150</v>
      </c>
      <c r="D80" s="41"/>
      <c r="E80" s="41" t="s">
        <v>151</v>
      </c>
      <c r="F80" s="52" t="s">
        <v>153</v>
      </c>
      <c r="G80" s="49">
        <v>0</v>
      </c>
      <c r="H80" s="40" t="s">
        <v>151</v>
      </c>
      <c r="J80" s="7"/>
    </row>
    <row r="81" spans="1:10" x14ac:dyDescent="0.2">
      <c r="A81" s="41"/>
      <c r="B81" s="41"/>
      <c r="C81" s="50"/>
      <c r="D81" s="41"/>
      <c r="E81" s="41"/>
      <c r="F81" s="51"/>
      <c r="G81" s="51"/>
      <c r="H81" s="40" t="s">
        <v>151</v>
      </c>
      <c r="J81" s="7"/>
    </row>
    <row r="82" spans="1:10" x14ac:dyDescent="0.2">
      <c r="A82" s="41"/>
      <c r="B82" s="41"/>
      <c r="C82" s="42" t="s">
        <v>166</v>
      </c>
      <c r="D82" s="41"/>
      <c r="E82" s="41"/>
      <c r="F82" s="51"/>
      <c r="G82" s="51"/>
      <c r="H82" s="40" t="s">
        <v>151</v>
      </c>
      <c r="J82" s="7"/>
    </row>
    <row r="83" spans="1:10" x14ac:dyDescent="0.2">
      <c r="A83" s="41"/>
      <c r="B83" s="41"/>
      <c r="C83" s="42" t="s">
        <v>150</v>
      </c>
      <c r="D83" s="41"/>
      <c r="E83" s="41" t="s">
        <v>151</v>
      </c>
      <c r="F83" s="52" t="s">
        <v>153</v>
      </c>
      <c r="G83" s="49">
        <v>0</v>
      </c>
      <c r="H83" s="40" t="s">
        <v>151</v>
      </c>
      <c r="J83" s="7"/>
    </row>
    <row r="84" spans="1:10" x14ac:dyDescent="0.2">
      <c r="A84" s="41"/>
      <c r="B84" s="41"/>
      <c r="C84" s="50"/>
      <c r="D84" s="41"/>
      <c r="E84" s="41"/>
      <c r="F84" s="51"/>
      <c r="G84" s="51"/>
      <c r="H84" s="40" t="s">
        <v>151</v>
      </c>
      <c r="J84" s="7"/>
    </row>
    <row r="85" spans="1:10" x14ac:dyDescent="0.2">
      <c r="A85" s="41"/>
      <c r="B85" s="41"/>
      <c r="C85" s="42" t="s">
        <v>167</v>
      </c>
      <c r="D85" s="41"/>
      <c r="E85" s="41"/>
      <c r="F85" s="51"/>
      <c r="G85" s="51"/>
      <c r="H85" s="40" t="s">
        <v>151</v>
      </c>
      <c r="J85" s="7"/>
    </row>
    <row r="86" spans="1:10" x14ac:dyDescent="0.2">
      <c r="A86" s="41"/>
      <c r="B86" s="41"/>
      <c r="C86" s="42" t="s">
        <v>150</v>
      </c>
      <c r="D86" s="41"/>
      <c r="E86" s="41" t="s">
        <v>151</v>
      </c>
      <c r="F86" s="52" t="s">
        <v>153</v>
      </c>
      <c r="G86" s="49">
        <v>0</v>
      </c>
      <c r="H86" s="40" t="s">
        <v>151</v>
      </c>
      <c r="J86" s="7"/>
    </row>
    <row r="87" spans="1:10" x14ac:dyDescent="0.2">
      <c r="A87" s="41"/>
      <c r="B87" s="41"/>
      <c r="C87" s="50"/>
      <c r="D87" s="41"/>
      <c r="E87" s="41"/>
      <c r="F87" s="51"/>
      <c r="G87" s="51"/>
      <c r="H87" s="40" t="s">
        <v>151</v>
      </c>
      <c r="J87" s="7"/>
    </row>
    <row r="88" spans="1:10" x14ac:dyDescent="0.2">
      <c r="A88" s="41"/>
      <c r="B88" s="41"/>
      <c r="C88" s="42" t="s">
        <v>168</v>
      </c>
      <c r="D88" s="41"/>
      <c r="E88" s="41"/>
      <c r="F88" s="51"/>
      <c r="G88" s="51"/>
      <c r="H88" s="40" t="s">
        <v>151</v>
      </c>
      <c r="J88" s="7"/>
    </row>
    <row r="89" spans="1:10" x14ac:dyDescent="0.2">
      <c r="A89" s="43">
        <v>1</v>
      </c>
      <c r="B89" s="44"/>
      <c r="C89" s="44" t="s">
        <v>169</v>
      </c>
      <c r="D89" s="44"/>
      <c r="E89" s="54"/>
      <c r="F89" s="46">
        <v>62.086736999999999</v>
      </c>
      <c r="G89" s="47">
        <v>1.5717350000000001E-2</v>
      </c>
      <c r="H89" s="40">
        <v>6.39</v>
      </c>
      <c r="J89" s="7"/>
    </row>
    <row r="90" spans="1:10" x14ac:dyDescent="0.2">
      <c r="A90" s="41"/>
      <c r="B90" s="41"/>
      <c r="C90" s="42" t="s">
        <v>150</v>
      </c>
      <c r="D90" s="41"/>
      <c r="E90" s="41" t="s">
        <v>151</v>
      </c>
      <c r="F90" s="48">
        <v>62.086736999999999</v>
      </c>
      <c r="G90" s="49">
        <v>1.5717350000000001E-2</v>
      </c>
      <c r="H90" s="40" t="s">
        <v>151</v>
      </c>
      <c r="J90" s="7"/>
    </row>
    <row r="91" spans="1:10" x14ac:dyDescent="0.2">
      <c r="A91" s="41"/>
      <c r="B91" s="41"/>
      <c r="C91" s="50"/>
      <c r="D91" s="41"/>
      <c r="E91" s="41"/>
      <c r="F91" s="51"/>
      <c r="G91" s="51"/>
      <c r="H91" s="40" t="s">
        <v>151</v>
      </c>
      <c r="J91" s="7"/>
    </row>
    <row r="92" spans="1:10" x14ac:dyDescent="0.2">
      <c r="A92" s="41"/>
      <c r="B92" s="41"/>
      <c r="C92" s="42" t="s">
        <v>170</v>
      </c>
      <c r="D92" s="41"/>
      <c r="E92" s="41"/>
      <c r="F92" s="48">
        <v>62.086736999999999</v>
      </c>
      <c r="G92" s="49">
        <v>1.5717350000000001E-2</v>
      </c>
      <c r="H92" s="40" t="s">
        <v>151</v>
      </c>
      <c r="J92" s="7"/>
    </row>
    <row r="93" spans="1:10" x14ac:dyDescent="0.2">
      <c r="A93" s="41"/>
      <c r="B93" s="41"/>
      <c r="C93" s="51"/>
      <c r="D93" s="41"/>
      <c r="E93" s="41"/>
      <c r="F93" s="41"/>
      <c r="G93" s="41"/>
      <c r="H93" s="40" t="s">
        <v>151</v>
      </c>
      <c r="J93" s="7"/>
    </row>
    <row r="94" spans="1:10" x14ac:dyDescent="0.2">
      <c r="A94" s="41"/>
      <c r="B94" s="41"/>
      <c r="C94" s="42" t="s">
        <v>171</v>
      </c>
      <c r="D94" s="41"/>
      <c r="E94" s="41"/>
      <c r="F94" s="41"/>
      <c r="G94" s="41"/>
      <c r="H94" s="40" t="s">
        <v>151</v>
      </c>
      <c r="J94" s="7"/>
    </row>
    <row r="95" spans="1:10" x14ac:dyDescent="0.2">
      <c r="A95" s="41"/>
      <c r="B95" s="41"/>
      <c r="C95" s="42" t="s">
        <v>172</v>
      </c>
      <c r="D95" s="41"/>
      <c r="E95" s="41"/>
      <c r="F95" s="41"/>
      <c r="G95" s="41"/>
      <c r="H95" s="40" t="s">
        <v>151</v>
      </c>
      <c r="J95" s="7"/>
    </row>
    <row r="96" spans="1:10" x14ac:dyDescent="0.2">
      <c r="A96" s="41"/>
      <c r="B96" s="41"/>
      <c r="C96" s="42" t="s">
        <v>150</v>
      </c>
      <c r="D96" s="41"/>
      <c r="E96" s="41" t="s">
        <v>151</v>
      </c>
      <c r="F96" s="52" t="s">
        <v>153</v>
      </c>
      <c r="G96" s="49">
        <v>0</v>
      </c>
      <c r="H96" s="40" t="s">
        <v>151</v>
      </c>
      <c r="J96" s="7"/>
    </row>
    <row r="97" spans="1:17" x14ac:dyDescent="0.2">
      <c r="A97" s="41"/>
      <c r="B97" s="41"/>
      <c r="C97" s="50"/>
      <c r="D97" s="41"/>
      <c r="E97" s="41"/>
      <c r="F97" s="51"/>
      <c r="G97" s="51"/>
      <c r="H97" s="40" t="s">
        <v>151</v>
      </c>
      <c r="J97" s="7"/>
    </row>
    <row r="98" spans="1:17" x14ac:dyDescent="0.2">
      <c r="A98" s="41"/>
      <c r="B98" s="41"/>
      <c r="C98" s="42" t="s">
        <v>173</v>
      </c>
      <c r="D98" s="41"/>
      <c r="E98" s="41"/>
      <c r="F98" s="41"/>
      <c r="G98" s="41"/>
      <c r="H98" s="40" t="s">
        <v>151</v>
      </c>
      <c r="J98" s="7"/>
    </row>
    <row r="99" spans="1:17" x14ac:dyDescent="0.2">
      <c r="A99" s="41"/>
      <c r="B99" s="41"/>
      <c r="C99" s="42" t="s">
        <v>174</v>
      </c>
      <c r="D99" s="41"/>
      <c r="E99" s="41"/>
      <c r="F99" s="41"/>
      <c r="G99" s="41"/>
      <c r="H99" s="40" t="s">
        <v>151</v>
      </c>
      <c r="J99" s="7"/>
    </row>
    <row r="100" spans="1:17" x14ac:dyDescent="0.2">
      <c r="A100" s="41"/>
      <c r="B100" s="41"/>
      <c r="C100" s="42" t="s">
        <v>150</v>
      </c>
      <c r="D100" s="41"/>
      <c r="E100" s="41" t="s">
        <v>151</v>
      </c>
      <c r="F100" s="52" t="s">
        <v>153</v>
      </c>
      <c r="G100" s="49">
        <v>0</v>
      </c>
      <c r="H100" s="40" t="s">
        <v>151</v>
      </c>
      <c r="J100" s="7"/>
    </row>
    <row r="101" spans="1:17" x14ac:dyDescent="0.2">
      <c r="A101" s="41"/>
      <c r="B101" s="41"/>
      <c r="C101" s="50"/>
      <c r="D101" s="41"/>
      <c r="E101" s="41"/>
      <c r="F101" s="51"/>
      <c r="G101" s="51"/>
      <c r="H101" s="40" t="s">
        <v>151</v>
      </c>
      <c r="J101" s="7"/>
    </row>
    <row r="102" spans="1:17" x14ac:dyDescent="0.2">
      <c r="A102" s="41"/>
      <c r="B102" s="41"/>
      <c r="C102" s="42" t="s">
        <v>175</v>
      </c>
      <c r="D102" s="41"/>
      <c r="E102" s="41"/>
      <c r="F102" s="51"/>
      <c r="G102" s="51"/>
      <c r="H102" s="40" t="s">
        <v>151</v>
      </c>
      <c r="J102" s="7"/>
    </row>
    <row r="103" spans="1:17" x14ac:dyDescent="0.2">
      <c r="A103" s="41"/>
      <c r="B103" s="41"/>
      <c r="C103" s="42" t="s">
        <v>150</v>
      </c>
      <c r="D103" s="41"/>
      <c r="E103" s="41" t="s">
        <v>151</v>
      </c>
      <c r="F103" s="52" t="s">
        <v>153</v>
      </c>
      <c r="G103" s="49">
        <v>0</v>
      </c>
      <c r="H103" s="40" t="s">
        <v>151</v>
      </c>
      <c r="J103" s="7"/>
    </row>
    <row r="104" spans="1:17" x14ac:dyDescent="0.2">
      <c r="A104" s="41"/>
      <c r="B104" s="41"/>
      <c r="C104" s="50"/>
      <c r="D104" s="41"/>
      <c r="E104" s="41"/>
      <c r="F104" s="51"/>
      <c r="G104" s="51"/>
      <c r="H104" s="40" t="s">
        <v>151</v>
      </c>
      <c r="J104" s="7"/>
    </row>
    <row r="105" spans="1:17" x14ac:dyDescent="0.2">
      <c r="A105" s="41"/>
      <c r="B105" s="44"/>
      <c r="C105" s="44"/>
      <c r="D105" s="42"/>
      <c r="E105" s="41"/>
      <c r="F105" s="44"/>
      <c r="G105" s="54"/>
      <c r="H105" s="40" t="s">
        <v>151</v>
      </c>
      <c r="J105" s="7"/>
    </row>
    <row r="106" spans="1:17" x14ac:dyDescent="0.2">
      <c r="A106" s="54"/>
      <c r="B106" s="44"/>
      <c r="C106" s="44" t="s">
        <v>176</v>
      </c>
      <c r="D106" s="44"/>
      <c r="E106" s="54"/>
      <c r="F106" s="46">
        <v>1.75642272</v>
      </c>
      <c r="G106" s="47">
        <v>4.4464E-4</v>
      </c>
      <c r="H106" s="40" t="s">
        <v>151</v>
      </c>
      <c r="J106" s="7"/>
    </row>
    <row r="107" spans="1:17" x14ac:dyDescent="0.2">
      <c r="A107" s="50"/>
      <c r="B107" s="50"/>
      <c r="C107" s="42" t="s">
        <v>177</v>
      </c>
      <c r="D107" s="51"/>
      <c r="E107" s="51"/>
      <c r="F107" s="48">
        <v>3950.2042729200002</v>
      </c>
      <c r="G107" s="55">
        <v>1</v>
      </c>
      <c r="H107" s="40" t="s">
        <v>151</v>
      </c>
      <c r="J107" s="7"/>
    </row>
    <row r="108" spans="1:17" x14ac:dyDescent="0.2">
      <c r="A108" s="56"/>
      <c r="B108" s="56"/>
      <c r="C108" s="56"/>
      <c r="D108" s="57"/>
      <c r="E108" s="57"/>
      <c r="F108" s="57"/>
      <c r="G108" s="57"/>
      <c r="J108" s="7"/>
    </row>
    <row r="109" spans="1:17" ht="12.75" customHeight="1" x14ac:dyDescent="0.2">
      <c r="A109" s="58"/>
      <c r="B109" s="159" t="s">
        <v>923</v>
      </c>
      <c r="C109" s="159"/>
      <c r="D109" s="159"/>
      <c r="E109" s="159"/>
      <c r="F109" s="159"/>
      <c r="G109" s="159"/>
      <c r="H109" s="159"/>
      <c r="J109" s="7"/>
    </row>
    <row r="110" spans="1:17" ht="14.1" customHeight="1" x14ac:dyDescent="0.2">
      <c r="A110" s="58"/>
      <c r="B110" s="159" t="s">
        <v>924</v>
      </c>
      <c r="C110" s="159"/>
      <c r="D110" s="159"/>
      <c r="E110" s="159"/>
      <c r="F110" s="159"/>
      <c r="G110" s="159"/>
      <c r="H110" s="159"/>
      <c r="J110" s="7"/>
    </row>
    <row r="111" spans="1:17" ht="17.100000000000001" customHeight="1" x14ac:dyDescent="0.2">
      <c r="A111" s="58"/>
      <c r="B111" s="159" t="s">
        <v>925</v>
      </c>
      <c r="C111" s="159"/>
      <c r="D111" s="159"/>
      <c r="E111" s="159"/>
      <c r="F111" s="159"/>
      <c r="G111" s="159"/>
      <c r="H111" s="159"/>
      <c r="J111" s="7"/>
    </row>
    <row r="112" spans="1:17" s="8" customFormat="1" ht="65.25" customHeight="1" x14ac:dyDescent="0.25">
      <c r="A112" s="60"/>
      <c r="B112" s="160" t="s">
        <v>926</v>
      </c>
      <c r="C112" s="160"/>
      <c r="D112" s="160"/>
      <c r="E112" s="160"/>
      <c r="F112" s="160"/>
      <c r="G112" s="160"/>
      <c r="H112" s="160"/>
      <c r="I112"/>
      <c r="J112" s="7"/>
      <c r="K112"/>
      <c r="L112"/>
      <c r="M112"/>
      <c r="N112"/>
      <c r="O112"/>
      <c r="P112"/>
      <c r="Q112"/>
    </row>
    <row r="113" spans="1:10" ht="12.75" customHeight="1" x14ac:dyDescent="0.2">
      <c r="A113" s="58"/>
      <c r="B113" s="159" t="s">
        <v>927</v>
      </c>
      <c r="C113" s="159"/>
      <c r="D113" s="159"/>
      <c r="E113" s="159"/>
      <c r="F113" s="159"/>
      <c r="G113" s="159"/>
      <c r="H113" s="159"/>
      <c r="J113" s="7"/>
    </row>
    <row r="114" spans="1:10" x14ac:dyDescent="0.2">
      <c r="A114" s="61"/>
      <c r="B114" s="61"/>
      <c r="C114" s="61"/>
      <c r="D114" s="62"/>
      <c r="E114" s="62"/>
      <c r="F114" s="62"/>
      <c r="G114" s="62"/>
      <c r="J114" s="7"/>
    </row>
    <row r="115" spans="1:10" x14ac:dyDescent="0.2">
      <c r="A115" s="61"/>
      <c r="B115" s="161" t="s">
        <v>178</v>
      </c>
      <c r="C115" s="162"/>
      <c r="D115" s="163"/>
      <c r="E115" s="63"/>
      <c r="F115" s="62"/>
      <c r="G115" s="62"/>
      <c r="J115" s="7"/>
    </row>
    <row r="116" spans="1:10" x14ac:dyDescent="0.2">
      <c r="A116" s="61"/>
      <c r="B116" s="156" t="s">
        <v>179</v>
      </c>
      <c r="C116" s="157"/>
      <c r="D116" s="42" t="s">
        <v>180</v>
      </c>
      <c r="E116" s="63"/>
      <c r="F116" s="62"/>
      <c r="G116" s="62"/>
      <c r="J116" s="7"/>
    </row>
    <row r="117" spans="1:10" ht="12.75" customHeight="1" x14ac:dyDescent="0.2">
      <c r="A117" s="58"/>
      <c r="B117" s="164" t="s">
        <v>939</v>
      </c>
      <c r="C117" s="165"/>
      <c r="D117" s="64" t="str">
        <f>"Rs. "&amp;TEXT(F53,"0.00")&amp;" lacs/ #"</f>
        <v>Rs. 0.01 lacs/ #</v>
      </c>
      <c r="E117" s="65"/>
      <c r="F117" s="66"/>
      <c r="G117" s="66"/>
      <c r="J117" s="7"/>
    </row>
    <row r="118" spans="1:10" x14ac:dyDescent="0.2">
      <c r="A118" s="61"/>
      <c r="B118" s="156" t="s">
        <v>182</v>
      </c>
      <c r="C118" s="157"/>
      <c r="D118" s="51" t="s">
        <v>151</v>
      </c>
      <c r="E118" s="63"/>
      <c r="F118" s="62"/>
      <c r="G118" s="62"/>
      <c r="J118" s="7"/>
    </row>
    <row r="119" spans="1:10" x14ac:dyDescent="0.2">
      <c r="A119" s="67"/>
      <c r="B119" s="68" t="s">
        <v>151</v>
      </c>
      <c r="C119" s="68" t="s">
        <v>937</v>
      </c>
      <c r="D119" s="68" t="s">
        <v>183</v>
      </c>
      <c r="E119" s="67"/>
      <c r="F119" s="67"/>
      <c r="G119" s="67"/>
      <c r="H119" s="67"/>
      <c r="J119" s="7"/>
    </row>
    <row r="120" spans="1:10" x14ac:dyDescent="0.2">
      <c r="A120" s="69"/>
      <c r="B120" s="70" t="s">
        <v>184</v>
      </c>
      <c r="C120" s="80" t="s">
        <v>185</v>
      </c>
      <c r="D120" s="80" t="s">
        <v>186</v>
      </c>
      <c r="E120" s="69"/>
      <c r="F120" s="69"/>
      <c r="G120" s="69"/>
      <c r="J120" s="7"/>
    </row>
    <row r="121" spans="1:10" x14ac:dyDescent="0.2">
      <c r="A121" s="69"/>
      <c r="B121" s="44" t="s">
        <v>187</v>
      </c>
      <c r="C121" s="72">
        <v>29.236699999999999</v>
      </c>
      <c r="D121" s="72">
        <v>29.1754</v>
      </c>
      <c r="E121" s="69"/>
      <c r="F121" s="73"/>
      <c r="G121" s="74"/>
      <c r="J121" s="7"/>
    </row>
    <row r="122" spans="1:10" x14ac:dyDescent="0.2">
      <c r="A122" s="69"/>
      <c r="B122" s="44" t="s">
        <v>1094</v>
      </c>
      <c r="C122" s="72">
        <v>27.827300000000001</v>
      </c>
      <c r="D122" s="72">
        <v>27.768999999999998</v>
      </c>
      <c r="E122" s="69"/>
      <c r="F122" s="73"/>
      <c r="G122" s="74"/>
      <c r="J122" s="7"/>
    </row>
    <row r="123" spans="1:10" x14ac:dyDescent="0.2">
      <c r="A123" s="69"/>
      <c r="B123" s="44" t="s">
        <v>188</v>
      </c>
      <c r="C123" s="72">
        <v>28.6265</v>
      </c>
      <c r="D123" s="72">
        <v>28.563800000000001</v>
      </c>
      <c r="E123" s="69"/>
      <c r="F123" s="73"/>
      <c r="G123" s="74"/>
      <c r="J123" s="7"/>
    </row>
    <row r="124" spans="1:10" x14ac:dyDescent="0.2">
      <c r="A124" s="69"/>
      <c r="B124" s="44" t="s">
        <v>1095</v>
      </c>
      <c r="C124" s="72">
        <v>27.217700000000001</v>
      </c>
      <c r="D124" s="72">
        <v>27.158100000000001</v>
      </c>
      <c r="E124" s="69"/>
      <c r="F124" s="73"/>
      <c r="G124" s="74"/>
      <c r="J124" s="7"/>
    </row>
    <row r="125" spans="1:10" x14ac:dyDescent="0.2">
      <c r="A125" s="69"/>
      <c r="B125" s="69"/>
      <c r="C125" s="69"/>
      <c r="D125" s="69"/>
      <c r="E125" s="69"/>
      <c r="F125" s="69"/>
      <c r="G125" s="69"/>
      <c r="J125" s="7"/>
    </row>
    <row r="126" spans="1:10" x14ac:dyDescent="0.2">
      <c r="A126" s="67"/>
      <c r="B126" s="164" t="s">
        <v>940</v>
      </c>
      <c r="C126" s="165"/>
      <c r="D126" s="64" t="s">
        <v>180</v>
      </c>
      <c r="E126" s="67"/>
      <c r="F126" s="67"/>
      <c r="G126" s="67"/>
      <c r="J126" s="7"/>
    </row>
    <row r="127" spans="1:10" x14ac:dyDescent="0.2">
      <c r="A127" s="67"/>
      <c r="B127" s="84"/>
      <c r="C127" s="84"/>
      <c r="D127" s="84"/>
      <c r="E127" s="67"/>
      <c r="F127" s="67"/>
      <c r="G127" s="67"/>
      <c r="J127" s="7"/>
    </row>
    <row r="128" spans="1:10" x14ac:dyDescent="0.2">
      <c r="A128" s="67"/>
      <c r="B128" s="164" t="s">
        <v>189</v>
      </c>
      <c r="C128" s="165"/>
      <c r="D128" s="64" t="s">
        <v>180</v>
      </c>
      <c r="E128" s="75"/>
      <c r="F128" s="67"/>
      <c r="G128" s="67"/>
      <c r="J128" s="7"/>
    </row>
    <row r="129" spans="1:10" x14ac:dyDescent="0.2">
      <c r="A129" s="67"/>
      <c r="B129" s="164" t="s">
        <v>190</v>
      </c>
      <c r="C129" s="165"/>
      <c r="D129" s="64" t="s">
        <v>180</v>
      </c>
      <c r="E129" s="75"/>
      <c r="F129" s="67"/>
      <c r="G129" s="67"/>
      <c r="J129" s="7"/>
    </row>
    <row r="130" spans="1:10" x14ac:dyDescent="0.2">
      <c r="A130" s="67"/>
      <c r="B130" s="164" t="s">
        <v>191</v>
      </c>
      <c r="C130" s="165"/>
      <c r="D130" s="64" t="s">
        <v>180</v>
      </c>
      <c r="E130" s="75"/>
      <c r="F130" s="67"/>
      <c r="G130" s="67"/>
      <c r="J130" s="7"/>
    </row>
    <row r="131" spans="1:10" x14ac:dyDescent="0.2">
      <c r="A131" s="67"/>
      <c r="B131" s="164" t="s">
        <v>192</v>
      </c>
      <c r="C131" s="165"/>
      <c r="D131" s="76">
        <v>0.29844024499416538</v>
      </c>
      <c r="E131" s="67"/>
      <c r="F131" s="59"/>
      <c r="G131" s="77"/>
      <c r="J131" s="7"/>
    </row>
    <row r="132" spans="1:10" x14ac:dyDescent="0.2">
      <c r="J132" s="7"/>
    </row>
    <row r="133" spans="1:10" x14ac:dyDescent="0.2">
      <c r="J133" s="7"/>
    </row>
    <row r="134" spans="1:10" x14ac:dyDescent="0.2">
      <c r="J134" s="7"/>
    </row>
    <row r="135" spans="1:10" x14ac:dyDescent="0.2">
      <c r="J135" s="7"/>
    </row>
    <row r="136" spans="1:10" x14ac:dyDescent="0.2">
      <c r="J136" s="7"/>
    </row>
    <row r="137" spans="1:10" x14ac:dyDescent="0.2">
      <c r="J137" s="7"/>
    </row>
  </sheetData>
  <mergeCells count="17">
    <mergeCell ref="B117:C117"/>
    <mergeCell ref="B118:C118"/>
    <mergeCell ref="B126:C126"/>
    <mergeCell ref="B130:C130"/>
    <mergeCell ref="B131:C131"/>
    <mergeCell ref="B128:C128"/>
    <mergeCell ref="B129:C129"/>
    <mergeCell ref="B116:C116"/>
    <mergeCell ref="A1:H1"/>
    <mergeCell ref="A2:H2"/>
    <mergeCell ref="A3:H3"/>
    <mergeCell ref="B109:H109"/>
    <mergeCell ref="B110:H110"/>
    <mergeCell ref="B111:H111"/>
    <mergeCell ref="B112:H112"/>
    <mergeCell ref="B113:H113"/>
    <mergeCell ref="B115:D115"/>
  </mergeCells>
  <hyperlinks>
    <hyperlink ref="I1" location="Index!B11" display="Index" xr:uid="{2C6DAF78-1970-48A4-8A12-DF29C7FDB79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F514B-9C7F-4607-B717-D7FA7A7D3A94}">
  <sheetPr>
    <outlinePr summaryBelow="0" summaryRight="0"/>
  </sheetPr>
  <dimension ref="A1:Q139"/>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9" customWidth="1"/>
    <col min="8" max="8" width="8.42578125" bestFit="1" customWidth="1"/>
    <col min="9" max="9" width="5.7109375" bestFit="1" customWidth="1"/>
    <col min="10" max="10" width="50.7109375" style="9" customWidth="1"/>
    <col min="11" max="11" width="5.7109375" bestFit="1" customWidth="1"/>
  </cols>
  <sheetData>
    <row r="1" spans="1:11" ht="15" x14ac:dyDescent="0.2">
      <c r="A1" s="158" t="s">
        <v>0</v>
      </c>
      <c r="B1" s="158"/>
      <c r="C1" s="158"/>
      <c r="D1" s="158"/>
      <c r="E1" s="158"/>
      <c r="F1" s="158"/>
      <c r="G1" s="158"/>
      <c r="H1" s="158"/>
      <c r="I1" s="13" t="s">
        <v>941</v>
      </c>
      <c r="J1" s="7"/>
      <c r="K1" s="10"/>
    </row>
    <row r="2" spans="1:11" ht="15" x14ac:dyDescent="0.2">
      <c r="A2" s="158" t="s">
        <v>492</v>
      </c>
      <c r="B2" s="158"/>
      <c r="C2" s="158"/>
      <c r="D2" s="158"/>
      <c r="E2" s="158"/>
      <c r="F2" s="158"/>
      <c r="G2" s="158"/>
      <c r="H2" s="158"/>
      <c r="J2" s="11" t="s">
        <v>942</v>
      </c>
    </row>
    <row r="3" spans="1:11" ht="15" customHeight="1" x14ac:dyDescent="0.2">
      <c r="A3" s="158" t="s">
        <v>880</v>
      </c>
      <c r="B3" s="158"/>
      <c r="C3" s="158"/>
      <c r="D3" s="158"/>
      <c r="E3" s="158"/>
      <c r="F3" s="158"/>
      <c r="G3" s="158"/>
      <c r="H3" s="158"/>
      <c r="J3" s="7"/>
    </row>
    <row r="4" spans="1:11" s="1" customFormat="1" ht="33" customHeight="1" x14ac:dyDescent="0.2">
      <c r="A4" s="36" t="s">
        <v>2</v>
      </c>
      <c r="B4" s="36" t="s">
        <v>3</v>
      </c>
      <c r="C4" s="36" t="s">
        <v>4</v>
      </c>
      <c r="D4" s="36" t="s">
        <v>5</v>
      </c>
      <c r="E4" s="36" t="s">
        <v>6</v>
      </c>
      <c r="F4" s="36" t="s">
        <v>7</v>
      </c>
      <c r="G4" s="36" t="s">
        <v>8</v>
      </c>
      <c r="H4" s="37" t="s">
        <v>921</v>
      </c>
      <c r="J4" s="7"/>
    </row>
    <row r="5" spans="1:11" x14ac:dyDescent="0.2">
      <c r="A5" s="41"/>
      <c r="B5" s="41"/>
      <c r="C5" s="42" t="s">
        <v>9</v>
      </c>
      <c r="D5" s="41"/>
      <c r="E5" s="41"/>
      <c r="F5" s="41"/>
      <c r="G5" s="41"/>
      <c r="H5" s="40" t="s">
        <v>151</v>
      </c>
      <c r="J5" s="7"/>
    </row>
    <row r="6" spans="1:11" x14ac:dyDescent="0.2">
      <c r="A6" s="41"/>
      <c r="B6" s="41"/>
      <c r="C6" s="42" t="s">
        <v>10</v>
      </c>
      <c r="D6" s="41"/>
      <c r="E6" s="41"/>
      <c r="F6" s="41"/>
      <c r="G6" s="41"/>
      <c r="H6" s="40" t="s">
        <v>151</v>
      </c>
      <c r="J6" s="7"/>
    </row>
    <row r="7" spans="1:11" x14ac:dyDescent="0.2">
      <c r="A7" s="43">
        <v>1</v>
      </c>
      <c r="B7" s="44" t="s">
        <v>59</v>
      </c>
      <c r="C7" s="44" t="s">
        <v>60</v>
      </c>
      <c r="D7" s="44" t="s">
        <v>61</v>
      </c>
      <c r="E7" s="45">
        <v>13587</v>
      </c>
      <c r="F7" s="46">
        <v>170.88369900000001</v>
      </c>
      <c r="G7" s="47">
        <v>5.0046109999999998E-2</v>
      </c>
      <c r="H7" s="40" t="s">
        <v>151</v>
      </c>
      <c r="J7" s="7"/>
    </row>
    <row r="8" spans="1:11" x14ac:dyDescent="0.2">
      <c r="A8" s="43">
        <v>2</v>
      </c>
      <c r="B8" s="44" t="s">
        <v>367</v>
      </c>
      <c r="C8" s="44" t="s">
        <v>368</v>
      </c>
      <c r="D8" s="44" t="s">
        <v>229</v>
      </c>
      <c r="E8" s="45">
        <v>3743</v>
      </c>
      <c r="F8" s="46">
        <v>160.56347099999999</v>
      </c>
      <c r="G8" s="47">
        <v>4.7023660000000002E-2</v>
      </c>
      <c r="H8" s="40" t="s">
        <v>151</v>
      </c>
      <c r="J8" s="7"/>
    </row>
    <row r="9" spans="1:11" x14ac:dyDescent="0.2">
      <c r="A9" s="43">
        <v>3</v>
      </c>
      <c r="B9" s="44" t="s">
        <v>31</v>
      </c>
      <c r="C9" s="44" t="s">
        <v>32</v>
      </c>
      <c r="D9" s="44" t="s">
        <v>33</v>
      </c>
      <c r="E9" s="45">
        <v>15343</v>
      </c>
      <c r="F9" s="46">
        <v>147.54595950000001</v>
      </c>
      <c r="G9" s="47">
        <v>4.3211260000000001E-2</v>
      </c>
      <c r="H9" s="40" t="s">
        <v>151</v>
      </c>
      <c r="J9" s="7"/>
    </row>
    <row r="10" spans="1:11" x14ac:dyDescent="0.2">
      <c r="A10" s="43">
        <v>4</v>
      </c>
      <c r="B10" s="44" t="s">
        <v>94</v>
      </c>
      <c r="C10" s="44" t="s">
        <v>95</v>
      </c>
      <c r="D10" s="44" t="s">
        <v>33</v>
      </c>
      <c r="E10" s="45">
        <v>3334</v>
      </c>
      <c r="F10" s="46">
        <v>144.35719900000001</v>
      </c>
      <c r="G10" s="47">
        <v>4.2277380000000003E-2</v>
      </c>
      <c r="H10" s="40" t="s">
        <v>151</v>
      </c>
      <c r="J10" s="7"/>
    </row>
    <row r="11" spans="1:11" x14ac:dyDescent="0.2">
      <c r="A11" s="43">
        <v>5</v>
      </c>
      <c r="B11" s="44" t="s">
        <v>145</v>
      </c>
      <c r="C11" s="44" t="s">
        <v>146</v>
      </c>
      <c r="D11" s="44" t="s">
        <v>100</v>
      </c>
      <c r="E11" s="45">
        <v>39512</v>
      </c>
      <c r="F11" s="46">
        <v>142.48027200000001</v>
      </c>
      <c r="G11" s="47">
        <v>4.1727689999999998E-2</v>
      </c>
      <c r="H11" s="40" t="s">
        <v>151</v>
      </c>
      <c r="J11" s="7"/>
    </row>
    <row r="12" spans="1:11" ht="15" x14ac:dyDescent="0.2">
      <c r="A12" s="43">
        <v>6</v>
      </c>
      <c r="B12" s="44" t="s">
        <v>409</v>
      </c>
      <c r="C12" s="44" t="s">
        <v>410</v>
      </c>
      <c r="D12" s="44" t="s">
        <v>242</v>
      </c>
      <c r="E12" s="45">
        <v>8607</v>
      </c>
      <c r="F12" s="46">
        <v>142.17472950000001</v>
      </c>
      <c r="G12" s="47">
        <v>4.1638210000000002E-2</v>
      </c>
      <c r="H12" s="40" t="s">
        <v>151</v>
      </c>
      <c r="J12" s="12"/>
    </row>
    <row r="13" spans="1:11" x14ac:dyDescent="0.2">
      <c r="A13" s="43">
        <v>7</v>
      </c>
      <c r="B13" s="44" t="s">
        <v>407</v>
      </c>
      <c r="C13" s="44" t="s">
        <v>408</v>
      </c>
      <c r="D13" s="44" t="s">
        <v>100</v>
      </c>
      <c r="E13" s="45">
        <v>6658</v>
      </c>
      <c r="F13" s="46">
        <v>137.88718</v>
      </c>
      <c r="G13" s="47">
        <v>4.038253E-2</v>
      </c>
      <c r="H13" s="40" t="s">
        <v>151</v>
      </c>
      <c r="J13" s="7"/>
    </row>
    <row r="14" spans="1:11" x14ac:dyDescent="0.2">
      <c r="A14" s="43">
        <v>8</v>
      </c>
      <c r="B14" s="44" t="s">
        <v>411</v>
      </c>
      <c r="C14" s="44" t="s">
        <v>412</v>
      </c>
      <c r="D14" s="44" t="s">
        <v>413</v>
      </c>
      <c r="E14" s="45">
        <v>8793</v>
      </c>
      <c r="F14" s="46">
        <v>132.78309300000001</v>
      </c>
      <c r="G14" s="47">
        <v>3.8887720000000001E-2</v>
      </c>
      <c r="H14" s="40" t="s">
        <v>151</v>
      </c>
      <c r="J14" s="7"/>
    </row>
    <row r="15" spans="1:11" x14ac:dyDescent="0.2">
      <c r="A15" s="43">
        <v>9</v>
      </c>
      <c r="B15" s="44" t="s">
        <v>414</v>
      </c>
      <c r="C15" s="44" t="s">
        <v>415</v>
      </c>
      <c r="D15" s="44" t="s">
        <v>45</v>
      </c>
      <c r="E15" s="45">
        <v>141618</v>
      </c>
      <c r="F15" s="46">
        <v>114.3848586</v>
      </c>
      <c r="G15" s="47">
        <v>3.349949E-2</v>
      </c>
      <c r="H15" s="40" t="s">
        <v>151</v>
      </c>
      <c r="J15" s="7"/>
    </row>
    <row r="16" spans="1:11" x14ac:dyDescent="0.2">
      <c r="A16" s="43">
        <v>10</v>
      </c>
      <c r="B16" s="44" t="s">
        <v>418</v>
      </c>
      <c r="C16" s="44" t="s">
        <v>419</v>
      </c>
      <c r="D16" s="44" t="s">
        <v>219</v>
      </c>
      <c r="E16" s="45">
        <v>13180</v>
      </c>
      <c r="F16" s="46">
        <v>108.23416</v>
      </c>
      <c r="G16" s="47">
        <v>3.1698160000000003E-2</v>
      </c>
      <c r="H16" s="40" t="s">
        <v>151</v>
      </c>
      <c r="J16" s="7" t="s">
        <v>1054</v>
      </c>
    </row>
    <row r="17" spans="1:10" x14ac:dyDescent="0.2">
      <c r="A17" s="43">
        <v>11</v>
      </c>
      <c r="B17" s="44" t="s">
        <v>416</v>
      </c>
      <c r="C17" s="44" t="s">
        <v>417</v>
      </c>
      <c r="D17" s="44" t="s">
        <v>45</v>
      </c>
      <c r="E17" s="45">
        <v>241296</v>
      </c>
      <c r="F17" s="46">
        <v>108.1971264</v>
      </c>
      <c r="G17" s="47">
        <v>3.1687310000000003E-2</v>
      </c>
      <c r="H17" s="40" t="s">
        <v>151</v>
      </c>
      <c r="J17" s="7"/>
    </row>
    <row r="18" spans="1:10" ht="25.5" x14ac:dyDescent="0.2">
      <c r="A18" s="43">
        <v>12</v>
      </c>
      <c r="B18" s="44" t="s">
        <v>318</v>
      </c>
      <c r="C18" s="44" t="s">
        <v>319</v>
      </c>
      <c r="D18" s="44" t="s">
        <v>247</v>
      </c>
      <c r="E18" s="45">
        <v>2841</v>
      </c>
      <c r="F18" s="46">
        <v>107.9849895</v>
      </c>
      <c r="G18" s="47">
        <v>3.1625180000000003E-2</v>
      </c>
      <c r="H18" s="40" t="s">
        <v>151</v>
      </c>
      <c r="J18" s="7"/>
    </row>
    <row r="19" spans="1:10" x14ac:dyDescent="0.2">
      <c r="A19" s="43">
        <v>13</v>
      </c>
      <c r="B19" s="44" t="s">
        <v>440</v>
      </c>
      <c r="C19" s="44" t="s">
        <v>441</v>
      </c>
      <c r="D19" s="44" t="s">
        <v>219</v>
      </c>
      <c r="E19" s="45">
        <v>15429</v>
      </c>
      <c r="F19" s="46">
        <v>104.2460385</v>
      </c>
      <c r="G19" s="47">
        <v>3.0530169999999999E-2</v>
      </c>
      <c r="H19" s="40" t="s">
        <v>151</v>
      </c>
      <c r="J19" s="7"/>
    </row>
    <row r="20" spans="1:10" x14ac:dyDescent="0.2">
      <c r="A20" s="43">
        <v>14</v>
      </c>
      <c r="B20" s="44" t="s">
        <v>434</v>
      </c>
      <c r="C20" s="44" t="s">
        <v>435</v>
      </c>
      <c r="D20" s="44" t="s">
        <v>86</v>
      </c>
      <c r="E20" s="45">
        <v>12229</v>
      </c>
      <c r="F20" s="46">
        <v>103.7814085</v>
      </c>
      <c r="G20" s="47">
        <v>3.0394089999999999E-2</v>
      </c>
      <c r="H20" s="40" t="s">
        <v>151</v>
      </c>
      <c r="J20" s="7"/>
    </row>
    <row r="21" spans="1:10" x14ac:dyDescent="0.2">
      <c r="A21" s="43">
        <v>15</v>
      </c>
      <c r="B21" s="44" t="s">
        <v>424</v>
      </c>
      <c r="C21" s="44" t="s">
        <v>425</v>
      </c>
      <c r="D21" s="44" t="s">
        <v>45</v>
      </c>
      <c r="E21" s="45">
        <v>31040</v>
      </c>
      <c r="F21" s="46">
        <v>101.8112</v>
      </c>
      <c r="G21" s="47">
        <v>2.9817090000000001E-2</v>
      </c>
      <c r="H21" s="40" t="s">
        <v>151</v>
      </c>
      <c r="J21" s="7"/>
    </row>
    <row r="22" spans="1:10" ht="15" x14ac:dyDescent="0.2">
      <c r="A22" s="43">
        <v>16</v>
      </c>
      <c r="B22" s="44" t="s">
        <v>422</v>
      </c>
      <c r="C22" s="44" t="s">
        <v>423</v>
      </c>
      <c r="D22" s="44" t="s">
        <v>222</v>
      </c>
      <c r="E22" s="45">
        <v>28701</v>
      </c>
      <c r="F22" s="46">
        <v>99.606820499999998</v>
      </c>
      <c r="G22" s="47">
        <v>2.91715E-2</v>
      </c>
      <c r="H22" s="40" t="s">
        <v>151</v>
      </c>
      <c r="J22" s="12"/>
    </row>
    <row r="23" spans="1:10" x14ac:dyDescent="0.2">
      <c r="A23" s="43">
        <v>17</v>
      </c>
      <c r="B23" s="44" t="s">
        <v>438</v>
      </c>
      <c r="C23" s="44" t="s">
        <v>439</v>
      </c>
      <c r="D23" s="44" t="s">
        <v>229</v>
      </c>
      <c r="E23" s="45">
        <v>4435</v>
      </c>
      <c r="F23" s="46">
        <v>96.068752500000002</v>
      </c>
      <c r="G23" s="47">
        <v>2.8135319999999998E-2</v>
      </c>
      <c r="H23" s="40" t="s">
        <v>151</v>
      </c>
      <c r="J23" s="7"/>
    </row>
    <row r="24" spans="1:10" ht="25.5" x14ac:dyDescent="0.2">
      <c r="A24" s="43">
        <v>18</v>
      </c>
      <c r="B24" s="44" t="s">
        <v>431</v>
      </c>
      <c r="C24" s="44" t="s">
        <v>432</v>
      </c>
      <c r="D24" s="44" t="s">
        <v>433</v>
      </c>
      <c r="E24" s="45">
        <v>21854</v>
      </c>
      <c r="F24" s="46">
        <v>93.251018000000002</v>
      </c>
      <c r="G24" s="47">
        <v>2.73101E-2</v>
      </c>
      <c r="H24" s="40" t="s">
        <v>151</v>
      </c>
      <c r="J24" s="7"/>
    </row>
    <row r="25" spans="1:10" x14ac:dyDescent="0.2">
      <c r="A25" s="43">
        <v>19</v>
      </c>
      <c r="B25" s="44" t="s">
        <v>428</v>
      </c>
      <c r="C25" s="44" t="s">
        <v>429</v>
      </c>
      <c r="D25" s="44" t="s">
        <v>430</v>
      </c>
      <c r="E25" s="45">
        <v>5857</v>
      </c>
      <c r="F25" s="46">
        <v>87.869642499999998</v>
      </c>
      <c r="G25" s="47">
        <v>2.5734070000000001E-2</v>
      </c>
      <c r="H25" s="40" t="s">
        <v>151</v>
      </c>
      <c r="J25" s="7"/>
    </row>
    <row r="26" spans="1:10" x14ac:dyDescent="0.2">
      <c r="A26" s="43">
        <v>20</v>
      </c>
      <c r="B26" s="44" t="s">
        <v>57</v>
      </c>
      <c r="C26" s="44" t="s">
        <v>58</v>
      </c>
      <c r="D26" s="44" t="s">
        <v>13</v>
      </c>
      <c r="E26" s="45">
        <v>6049</v>
      </c>
      <c r="F26" s="46">
        <v>82.928765499999997</v>
      </c>
      <c r="G26" s="47">
        <v>2.4287050000000001E-2</v>
      </c>
      <c r="H26" s="40" t="s">
        <v>151</v>
      </c>
      <c r="J26" s="7"/>
    </row>
    <row r="27" spans="1:10" x14ac:dyDescent="0.2">
      <c r="A27" s="43">
        <v>21</v>
      </c>
      <c r="B27" s="44" t="s">
        <v>223</v>
      </c>
      <c r="C27" s="44" t="s">
        <v>224</v>
      </c>
      <c r="D27" s="44" t="s">
        <v>86</v>
      </c>
      <c r="E27" s="45">
        <v>601</v>
      </c>
      <c r="F27" s="46">
        <v>82.880303999999995</v>
      </c>
      <c r="G27" s="47">
        <v>2.427286E-2</v>
      </c>
      <c r="H27" s="40" t="s">
        <v>151</v>
      </c>
      <c r="J27" s="7"/>
    </row>
    <row r="28" spans="1:10" ht="25.5" x14ac:dyDescent="0.2">
      <c r="A28" s="43">
        <v>22</v>
      </c>
      <c r="B28" s="44" t="s">
        <v>436</v>
      </c>
      <c r="C28" s="44" t="s">
        <v>437</v>
      </c>
      <c r="D28" s="44" t="s">
        <v>210</v>
      </c>
      <c r="E28" s="45">
        <v>1573</v>
      </c>
      <c r="F28" s="46">
        <v>82.588791999999998</v>
      </c>
      <c r="G28" s="47">
        <v>2.4187489999999999E-2</v>
      </c>
      <c r="H28" s="40" t="s">
        <v>151</v>
      </c>
      <c r="J28" s="7"/>
    </row>
    <row r="29" spans="1:10" x14ac:dyDescent="0.2">
      <c r="A29" s="43">
        <v>23</v>
      </c>
      <c r="B29" s="44" t="s">
        <v>96</v>
      </c>
      <c r="C29" s="44" t="s">
        <v>97</v>
      </c>
      <c r="D29" s="44" t="s">
        <v>33</v>
      </c>
      <c r="E29" s="45">
        <v>3026</v>
      </c>
      <c r="F29" s="46">
        <v>78.329522999999995</v>
      </c>
      <c r="G29" s="47">
        <v>2.294009E-2</v>
      </c>
      <c r="H29" s="40" t="s">
        <v>151</v>
      </c>
      <c r="J29" s="7"/>
    </row>
    <row r="30" spans="1:10" ht="25.5" x14ac:dyDescent="0.2">
      <c r="A30" s="43">
        <v>24</v>
      </c>
      <c r="B30" s="44" t="s">
        <v>291</v>
      </c>
      <c r="C30" s="44" t="s">
        <v>292</v>
      </c>
      <c r="D30" s="44" t="s">
        <v>210</v>
      </c>
      <c r="E30" s="45">
        <v>15078</v>
      </c>
      <c r="F30" s="46">
        <v>69.946842000000004</v>
      </c>
      <c r="G30" s="47">
        <v>2.0485079999999999E-2</v>
      </c>
      <c r="H30" s="40" t="s">
        <v>151</v>
      </c>
      <c r="J30" s="7"/>
    </row>
    <row r="31" spans="1:10" x14ac:dyDescent="0.2">
      <c r="A31" s="43">
        <v>25</v>
      </c>
      <c r="B31" s="44" t="s">
        <v>442</v>
      </c>
      <c r="C31" s="44" t="s">
        <v>443</v>
      </c>
      <c r="D31" s="44" t="s">
        <v>33</v>
      </c>
      <c r="E31" s="45">
        <v>11627</v>
      </c>
      <c r="F31" s="46">
        <v>69.889897000000005</v>
      </c>
      <c r="G31" s="47">
        <v>2.0468409999999999E-2</v>
      </c>
      <c r="H31" s="40" t="s">
        <v>151</v>
      </c>
      <c r="J31" s="7"/>
    </row>
    <row r="32" spans="1:10" x14ac:dyDescent="0.2">
      <c r="A32" s="43">
        <v>26</v>
      </c>
      <c r="B32" s="44" t="s">
        <v>444</v>
      </c>
      <c r="C32" s="44" t="s">
        <v>445</v>
      </c>
      <c r="D32" s="44" t="s">
        <v>242</v>
      </c>
      <c r="E32" s="45">
        <v>8090</v>
      </c>
      <c r="F32" s="46">
        <v>67.041830000000004</v>
      </c>
      <c r="G32" s="47">
        <v>1.96343E-2</v>
      </c>
      <c r="H32" s="40" t="s">
        <v>151</v>
      </c>
      <c r="J32" s="7"/>
    </row>
    <row r="33" spans="1:10" x14ac:dyDescent="0.2">
      <c r="A33" s="43">
        <v>27</v>
      </c>
      <c r="B33" s="44" t="s">
        <v>448</v>
      </c>
      <c r="C33" s="44" t="s">
        <v>449</v>
      </c>
      <c r="D33" s="44" t="s">
        <v>100</v>
      </c>
      <c r="E33" s="45">
        <v>9198</v>
      </c>
      <c r="F33" s="46">
        <v>65.098844999999997</v>
      </c>
      <c r="G33" s="47">
        <v>1.9065269999999999E-2</v>
      </c>
      <c r="H33" s="40" t="s">
        <v>151</v>
      </c>
      <c r="J33" s="7"/>
    </row>
    <row r="34" spans="1:10" x14ac:dyDescent="0.2">
      <c r="A34" s="43">
        <v>28</v>
      </c>
      <c r="B34" s="44" t="s">
        <v>452</v>
      </c>
      <c r="C34" s="44" t="s">
        <v>453</v>
      </c>
      <c r="D34" s="44" t="s">
        <v>86</v>
      </c>
      <c r="E34" s="45">
        <v>6095</v>
      </c>
      <c r="F34" s="46">
        <v>63.394095</v>
      </c>
      <c r="G34" s="47">
        <v>1.8565999999999999E-2</v>
      </c>
      <c r="H34" s="40" t="s">
        <v>151</v>
      </c>
      <c r="J34" s="7"/>
    </row>
    <row r="35" spans="1:10" ht="25.5" x14ac:dyDescent="0.2">
      <c r="A35" s="43">
        <v>29</v>
      </c>
      <c r="B35" s="44" t="s">
        <v>82</v>
      </c>
      <c r="C35" s="44" t="s">
        <v>83</v>
      </c>
      <c r="D35" s="44" t="s">
        <v>25</v>
      </c>
      <c r="E35" s="45">
        <v>1255</v>
      </c>
      <c r="F35" s="46">
        <v>55.432722499999997</v>
      </c>
      <c r="G35" s="47">
        <v>1.6234390000000001E-2</v>
      </c>
      <c r="H35" s="40" t="s">
        <v>151</v>
      </c>
      <c r="J35" s="7"/>
    </row>
    <row r="36" spans="1:10" x14ac:dyDescent="0.2">
      <c r="A36" s="43">
        <v>30</v>
      </c>
      <c r="B36" s="44" t="s">
        <v>264</v>
      </c>
      <c r="C36" s="44" t="s">
        <v>265</v>
      </c>
      <c r="D36" s="44" t="s">
        <v>86</v>
      </c>
      <c r="E36" s="45">
        <v>3287</v>
      </c>
      <c r="F36" s="46">
        <v>49.885155500000003</v>
      </c>
      <c r="G36" s="47">
        <v>1.460969E-2</v>
      </c>
      <c r="H36" s="40" t="s">
        <v>151</v>
      </c>
      <c r="J36" s="7"/>
    </row>
    <row r="37" spans="1:10" ht="25.5" x14ac:dyDescent="0.2">
      <c r="A37" s="43">
        <v>31</v>
      </c>
      <c r="B37" s="44" t="s">
        <v>487</v>
      </c>
      <c r="C37" s="44" t="s">
        <v>488</v>
      </c>
      <c r="D37" s="44" t="s">
        <v>100</v>
      </c>
      <c r="E37" s="45">
        <v>2262</v>
      </c>
      <c r="F37" s="46">
        <v>45.933303000000002</v>
      </c>
      <c r="G37" s="47">
        <v>1.345232E-2</v>
      </c>
      <c r="H37" s="40" t="s">
        <v>151</v>
      </c>
      <c r="J37" s="7"/>
    </row>
    <row r="38" spans="1:10" x14ac:dyDescent="0.2">
      <c r="A38" s="43">
        <v>32</v>
      </c>
      <c r="B38" s="44" t="s">
        <v>450</v>
      </c>
      <c r="C38" s="44" t="s">
        <v>451</v>
      </c>
      <c r="D38" s="44" t="s">
        <v>100</v>
      </c>
      <c r="E38" s="45">
        <v>4636</v>
      </c>
      <c r="F38" s="46">
        <v>40.629904000000003</v>
      </c>
      <c r="G38" s="47">
        <v>1.1899140000000001E-2</v>
      </c>
      <c r="H38" s="40" t="s">
        <v>151</v>
      </c>
      <c r="J38" s="7"/>
    </row>
    <row r="39" spans="1:10" x14ac:dyDescent="0.2">
      <c r="A39" s="43">
        <v>33</v>
      </c>
      <c r="B39" s="44" t="s">
        <v>420</v>
      </c>
      <c r="C39" s="44" t="s">
        <v>421</v>
      </c>
      <c r="D39" s="44" t="s">
        <v>33</v>
      </c>
      <c r="E39" s="45">
        <v>2350</v>
      </c>
      <c r="F39" s="46">
        <v>33.648474999999998</v>
      </c>
      <c r="G39" s="47">
        <v>9.8545100000000004E-3</v>
      </c>
      <c r="H39" s="40" t="s">
        <v>151</v>
      </c>
      <c r="J39" s="7"/>
    </row>
    <row r="40" spans="1:10" x14ac:dyDescent="0.2">
      <c r="A40" s="43">
        <v>34</v>
      </c>
      <c r="B40" s="44" t="s">
        <v>382</v>
      </c>
      <c r="C40" s="44" t="s">
        <v>383</v>
      </c>
      <c r="D40" s="44" t="s">
        <v>136</v>
      </c>
      <c r="E40" s="45">
        <v>19513</v>
      </c>
      <c r="F40" s="46">
        <v>32.2608429</v>
      </c>
      <c r="G40" s="47">
        <v>9.4481200000000008E-3</v>
      </c>
      <c r="H40" s="40" t="s">
        <v>151</v>
      </c>
      <c r="J40" s="7"/>
    </row>
    <row r="41" spans="1:10" x14ac:dyDescent="0.2">
      <c r="A41" s="43">
        <v>35</v>
      </c>
      <c r="B41" s="44" t="s">
        <v>34</v>
      </c>
      <c r="C41" s="44" t="s">
        <v>35</v>
      </c>
      <c r="D41" s="44" t="s">
        <v>33</v>
      </c>
      <c r="E41" s="45">
        <v>493</v>
      </c>
      <c r="F41" s="46">
        <v>31.491114499999998</v>
      </c>
      <c r="G41" s="47">
        <v>9.2226900000000004E-3</v>
      </c>
      <c r="H41" s="40" t="s">
        <v>151</v>
      </c>
      <c r="J41" s="7"/>
    </row>
    <row r="42" spans="1:10" x14ac:dyDescent="0.2">
      <c r="A42" s="43">
        <v>36</v>
      </c>
      <c r="B42" s="44" t="s">
        <v>462</v>
      </c>
      <c r="C42" s="44" t="s">
        <v>463</v>
      </c>
      <c r="D42" s="44" t="s">
        <v>100</v>
      </c>
      <c r="E42" s="45">
        <v>6110</v>
      </c>
      <c r="F42" s="46">
        <v>27.580539999999999</v>
      </c>
      <c r="G42" s="47">
        <v>8.0774200000000001E-3</v>
      </c>
      <c r="H42" s="40" t="s">
        <v>151</v>
      </c>
      <c r="J42" s="7"/>
    </row>
    <row r="43" spans="1:10" x14ac:dyDescent="0.2">
      <c r="A43" s="43">
        <v>37</v>
      </c>
      <c r="B43" s="44" t="s">
        <v>460</v>
      </c>
      <c r="C43" s="44" t="s">
        <v>461</v>
      </c>
      <c r="D43" s="44" t="s">
        <v>89</v>
      </c>
      <c r="E43" s="45">
        <v>4242</v>
      </c>
      <c r="F43" s="46">
        <v>25.341708000000001</v>
      </c>
      <c r="G43" s="47">
        <v>7.4217399999999996E-3</v>
      </c>
      <c r="H43" s="40" t="s">
        <v>151</v>
      </c>
      <c r="J43" s="7"/>
    </row>
    <row r="44" spans="1:10" x14ac:dyDescent="0.2">
      <c r="A44" s="43">
        <v>38</v>
      </c>
      <c r="B44" s="44" t="s">
        <v>489</v>
      </c>
      <c r="C44" s="44" t="s">
        <v>490</v>
      </c>
      <c r="D44" s="44" t="s">
        <v>100</v>
      </c>
      <c r="E44" s="45">
        <v>71</v>
      </c>
      <c r="F44" s="46">
        <v>6.3425364999999996</v>
      </c>
      <c r="G44" s="47">
        <v>1.8575200000000001E-3</v>
      </c>
      <c r="H44" s="40" t="s">
        <v>151</v>
      </c>
      <c r="J44" s="7"/>
    </row>
    <row r="45" spans="1:10" x14ac:dyDescent="0.2">
      <c r="A45" s="41"/>
      <c r="B45" s="41"/>
      <c r="C45" s="42" t="s">
        <v>150</v>
      </c>
      <c r="D45" s="41"/>
      <c r="E45" s="41" t="s">
        <v>151</v>
      </c>
      <c r="F45" s="48">
        <v>3314.7568133999998</v>
      </c>
      <c r="G45" s="49">
        <v>0.97078112999999999</v>
      </c>
      <c r="H45" s="40" t="s">
        <v>151</v>
      </c>
      <c r="J45" s="7"/>
    </row>
    <row r="46" spans="1:10" x14ac:dyDescent="0.2">
      <c r="A46" s="41"/>
      <c r="B46" s="41"/>
      <c r="C46" s="50"/>
      <c r="D46" s="41"/>
      <c r="E46" s="41"/>
      <c r="F46" s="51"/>
      <c r="G46" s="51"/>
      <c r="H46" s="40" t="s">
        <v>151</v>
      </c>
      <c r="J46" s="7"/>
    </row>
    <row r="47" spans="1:10" x14ac:dyDescent="0.2">
      <c r="A47" s="41"/>
      <c r="B47" s="41"/>
      <c r="C47" s="42" t="s">
        <v>152</v>
      </c>
      <c r="D47" s="41"/>
      <c r="E47" s="41"/>
      <c r="F47" s="41"/>
      <c r="G47" s="41"/>
      <c r="H47" s="40" t="s">
        <v>151</v>
      </c>
      <c r="J47" s="7"/>
    </row>
    <row r="48" spans="1:10" x14ac:dyDescent="0.2">
      <c r="A48" s="41"/>
      <c r="B48" s="41"/>
      <c r="C48" s="42" t="s">
        <v>150</v>
      </c>
      <c r="D48" s="41"/>
      <c r="E48" s="41" t="s">
        <v>151</v>
      </c>
      <c r="F48" s="52" t="s">
        <v>153</v>
      </c>
      <c r="G48" s="49">
        <v>0</v>
      </c>
      <c r="H48" s="40" t="s">
        <v>151</v>
      </c>
      <c r="J48" s="7"/>
    </row>
    <row r="49" spans="1:10" x14ac:dyDescent="0.2">
      <c r="A49" s="41"/>
      <c r="B49" s="41"/>
      <c r="C49" s="50"/>
      <c r="D49" s="41"/>
      <c r="E49" s="41"/>
      <c r="F49" s="51"/>
      <c r="G49" s="51"/>
      <c r="H49" s="40" t="s">
        <v>151</v>
      </c>
      <c r="J49" s="7"/>
    </row>
    <row r="50" spans="1:10" x14ac:dyDescent="0.2">
      <c r="A50" s="41"/>
      <c r="B50" s="41"/>
      <c r="C50" s="42" t="s">
        <v>154</v>
      </c>
      <c r="D50" s="41"/>
      <c r="E50" s="41"/>
      <c r="F50" s="41"/>
      <c r="G50" s="41"/>
      <c r="H50" s="40" t="s">
        <v>151</v>
      </c>
      <c r="J50" s="7"/>
    </row>
    <row r="51" spans="1:10" x14ac:dyDescent="0.2">
      <c r="A51" s="41"/>
      <c r="B51" s="41"/>
      <c r="C51" s="42" t="s">
        <v>150</v>
      </c>
      <c r="D51" s="41"/>
      <c r="E51" s="41" t="s">
        <v>151</v>
      </c>
      <c r="F51" s="52" t="s">
        <v>153</v>
      </c>
      <c r="G51" s="49">
        <v>0</v>
      </c>
      <c r="H51" s="40" t="s">
        <v>151</v>
      </c>
      <c r="J51" s="7"/>
    </row>
    <row r="52" spans="1:10" x14ac:dyDescent="0.2">
      <c r="A52" s="41"/>
      <c r="B52" s="41"/>
      <c r="C52" s="50"/>
      <c r="D52" s="41"/>
      <c r="E52" s="41"/>
      <c r="F52" s="51"/>
      <c r="G52" s="51"/>
      <c r="H52" s="40" t="s">
        <v>151</v>
      </c>
      <c r="J52" s="7"/>
    </row>
    <row r="53" spans="1:10" x14ac:dyDescent="0.2">
      <c r="A53" s="41"/>
      <c r="B53" s="41"/>
      <c r="C53" s="42" t="s">
        <v>155</v>
      </c>
      <c r="D53" s="41"/>
      <c r="E53" s="41"/>
      <c r="F53" s="41"/>
      <c r="G53" s="41"/>
      <c r="H53" s="40" t="s">
        <v>151</v>
      </c>
      <c r="J53" s="7"/>
    </row>
    <row r="54" spans="1:10" ht="25.5" x14ac:dyDescent="0.2">
      <c r="A54" s="43">
        <v>1</v>
      </c>
      <c r="B54" s="44" t="s">
        <v>338</v>
      </c>
      <c r="C54" s="83" t="s">
        <v>946</v>
      </c>
      <c r="D54" s="44" t="s">
        <v>33</v>
      </c>
      <c r="E54" s="45">
        <v>69</v>
      </c>
      <c r="F54" s="46">
        <v>6.90276E-3</v>
      </c>
      <c r="G54" s="87" t="s">
        <v>149</v>
      </c>
      <c r="H54" s="40" t="s">
        <v>151</v>
      </c>
      <c r="J54" s="7"/>
    </row>
    <row r="55" spans="1:10" x14ac:dyDescent="0.2">
      <c r="A55" s="41"/>
      <c r="B55" s="41"/>
      <c r="C55" s="42" t="s">
        <v>150</v>
      </c>
      <c r="D55" s="41"/>
      <c r="E55" s="41" t="s">
        <v>151</v>
      </c>
      <c r="F55" s="48">
        <v>6.90276E-3</v>
      </c>
      <c r="G55" s="49">
        <v>2.0200000000000001E-6</v>
      </c>
      <c r="H55" s="40" t="s">
        <v>151</v>
      </c>
      <c r="J55" s="7"/>
    </row>
    <row r="56" spans="1:10" x14ac:dyDescent="0.2">
      <c r="A56" s="41"/>
      <c r="B56" s="41"/>
      <c r="C56" s="50"/>
      <c r="D56" s="41"/>
      <c r="E56" s="41"/>
      <c r="F56" s="51"/>
      <c r="G56" s="51"/>
      <c r="H56" s="40" t="s">
        <v>151</v>
      </c>
      <c r="J56" s="7"/>
    </row>
    <row r="57" spans="1:10" x14ac:dyDescent="0.2">
      <c r="A57" s="41"/>
      <c r="B57" s="41"/>
      <c r="C57" s="42" t="s">
        <v>156</v>
      </c>
      <c r="D57" s="41"/>
      <c r="E57" s="41"/>
      <c r="F57" s="51"/>
      <c r="G57" s="51"/>
      <c r="H57" s="40" t="s">
        <v>151</v>
      </c>
      <c r="J57" s="7"/>
    </row>
    <row r="58" spans="1:10" x14ac:dyDescent="0.2">
      <c r="A58" s="41"/>
      <c r="B58" s="41"/>
      <c r="C58" s="42" t="s">
        <v>150</v>
      </c>
      <c r="D58" s="41"/>
      <c r="E58" s="41" t="s">
        <v>151</v>
      </c>
      <c r="F58" s="52" t="s">
        <v>153</v>
      </c>
      <c r="G58" s="49">
        <v>0</v>
      </c>
      <c r="H58" s="40" t="s">
        <v>151</v>
      </c>
      <c r="J58" s="7"/>
    </row>
    <row r="59" spans="1:10" x14ac:dyDescent="0.2">
      <c r="A59" s="41"/>
      <c r="B59" s="41"/>
      <c r="C59" s="50"/>
      <c r="D59" s="41"/>
      <c r="E59" s="41"/>
      <c r="F59" s="51"/>
      <c r="G59" s="51"/>
      <c r="H59" s="40" t="s">
        <v>151</v>
      </c>
      <c r="J59" s="7"/>
    </row>
    <row r="60" spans="1:10" x14ac:dyDescent="0.2">
      <c r="A60" s="41"/>
      <c r="B60" s="41"/>
      <c r="C60" s="42" t="s">
        <v>157</v>
      </c>
      <c r="D60" s="41"/>
      <c r="E60" s="41"/>
      <c r="F60" s="51"/>
      <c r="G60" s="51"/>
      <c r="H60" s="40" t="s">
        <v>151</v>
      </c>
      <c r="J60" s="7"/>
    </row>
    <row r="61" spans="1:10" x14ac:dyDescent="0.2">
      <c r="A61" s="41"/>
      <c r="B61" s="41"/>
      <c r="C61" s="42" t="s">
        <v>150</v>
      </c>
      <c r="D61" s="41"/>
      <c r="E61" s="41" t="s">
        <v>151</v>
      </c>
      <c r="F61" s="52" t="s">
        <v>153</v>
      </c>
      <c r="G61" s="49">
        <v>0</v>
      </c>
      <c r="H61" s="40" t="s">
        <v>151</v>
      </c>
      <c r="J61" s="7"/>
    </row>
    <row r="62" spans="1:10" x14ac:dyDescent="0.2">
      <c r="A62" s="41"/>
      <c r="B62" s="41"/>
      <c r="C62" s="50"/>
      <c r="D62" s="41"/>
      <c r="E62" s="41"/>
      <c r="F62" s="51"/>
      <c r="G62" s="51"/>
      <c r="H62" s="40" t="s">
        <v>151</v>
      </c>
      <c r="J62" s="7"/>
    </row>
    <row r="63" spans="1:10" x14ac:dyDescent="0.2">
      <c r="A63" s="41"/>
      <c r="B63" s="41"/>
      <c r="C63" s="42" t="s">
        <v>158</v>
      </c>
      <c r="D63" s="41"/>
      <c r="E63" s="41"/>
      <c r="F63" s="48">
        <v>3314.7637161600001</v>
      </c>
      <c r="G63" s="49">
        <v>0.97078315000000004</v>
      </c>
      <c r="H63" s="40" t="s">
        <v>151</v>
      </c>
      <c r="J63" s="7"/>
    </row>
    <row r="64" spans="1:10" x14ac:dyDescent="0.2">
      <c r="A64" s="41"/>
      <c r="B64" s="41"/>
      <c r="C64" s="50"/>
      <c r="D64" s="41"/>
      <c r="E64" s="41"/>
      <c r="F64" s="51"/>
      <c r="G64" s="51"/>
      <c r="H64" s="40" t="s">
        <v>151</v>
      </c>
      <c r="J64" s="7"/>
    </row>
    <row r="65" spans="1:10" x14ac:dyDescent="0.2">
      <c r="A65" s="41"/>
      <c r="B65" s="41"/>
      <c r="C65" s="42" t="s">
        <v>159</v>
      </c>
      <c r="D65" s="41"/>
      <c r="E65" s="41"/>
      <c r="F65" s="51"/>
      <c r="G65" s="51"/>
      <c r="H65" s="40" t="s">
        <v>151</v>
      </c>
      <c r="J65" s="7"/>
    </row>
    <row r="66" spans="1:10" x14ac:dyDescent="0.2">
      <c r="A66" s="41"/>
      <c r="B66" s="41"/>
      <c r="C66" s="42" t="s">
        <v>10</v>
      </c>
      <c r="D66" s="41"/>
      <c r="E66" s="41"/>
      <c r="F66" s="51"/>
      <c r="G66" s="51"/>
      <c r="H66" s="40" t="s">
        <v>151</v>
      </c>
      <c r="J66" s="7"/>
    </row>
    <row r="67" spans="1:10" x14ac:dyDescent="0.2">
      <c r="A67" s="41"/>
      <c r="B67" s="41"/>
      <c r="C67" s="42" t="s">
        <v>150</v>
      </c>
      <c r="D67" s="41"/>
      <c r="E67" s="41" t="s">
        <v>151</v>
      </c>
      <c r="F67" s="52" t="s">
        <v>153</v>
      </c>
      <c r="G67" s="49">
        <v>0</v>
      </c>
      <c r="H67" s="40" t="s">
        <v>151</v>
      </c>
      <c r="J67" s="7"/>
    </row>
    <row r="68" spans="1:10" x14ac:dyDescent="0.2">
      <c r="A68" s="41"/>
      <c r="B68" s="41"/>
      <c r="C68" s="50"/>
      <c r="D68" s="41"/>
      <c r="E68" s="41"/>
      <c r="F68" s="51"/>
      <c r="G68" s="51"/>
      <c r="H68" s="40" t="s">
        <v>151</v>
      </c>
      <c r="J68" s="7"/>
    </row>
    <row r="69" spans="1:10" x14ac:dyDescent="0.2">
      <c r="A69" s="41"/>
      <c r="B69" s="41"/>
      <c r="C69" s="42" t="s">
        <v>160</v>
      </c>
      <c r="D69" s="41"/>
      <c r="E69" s="41"/>
      <c r="F69" s="41"/>
      <c r="G69" s="41"/>
      <c r="H69" s="40" t="s">
        <v>151</v>
      </c>
      <c r="J69" s="7"/>
    </row>
    <row r="70" spans="1:10" x14ac:dyDescent="0.2">
      <c r="A70" s="41"/>
      <c r="B70" s="41"/>
      <c r="C70" s="42" t="s">
        <v>150</v>
      </c>
      <c r="D70" s="41"/>
      <c r="E70" s="41" t="s">
        <v>151</v>
      </c>
      <c r="F70" s="52" t="s">
        <v>153</v>
      </c>
      <c r="G70" s="49">
        <v>0</v>
      </c>
      <c r="H70" s="40" t="s">
        <v>151</v>
      </c>
      <c r="J70" s="7"/>
    </row>
    <row r="71" spans="1:10" x14ac:dyDescent="0.2">
      <c r="A71" s="41"/>
      <c r="B71" s="41"/>
      <c r="C71" s="50"/>
      <c r="D71" s="41"/>
      <c r="E71" s="41"/>
      <c r="F71" s="51"/>
      <c r="G71" s="51"/>
      <c r="H71" s="40" t="s">
        <v>151</v>
      </c>
      <c r="J71" s="7"/>
    </row>
    <row r="72" spans="1:10" x14ac:dyDescent="0.2">
      <c r="A72" s="41"/>
      <c r="B72" s="41"/>
      <c r="C72" s="42" t="s">
        <v>161</v>
      </c>
      <c r="D72" s="41"/>
      <c r="E72" s="41"/>
      <c r="F72" s="41"/>
      <c r="G72" s="41"/>
      <c r="H72" s="40" t="s">
        <v>151</v>
      </c>
      <c r="J72" s="7"/>
    </row>
    <row r="73" spans="1:10" x14ac:dyDescent="0.2">
      <c r="A73" s="41"/>
      <c r="B73" s="41"/>
      <c r="C73" s="42" t="s">
        <v>150</v>
      </c>
      <c r="D73" s="41"/>
      <c r="E73" s="41" t="s">
        <v>151</v>
      </c>
      <c r="F73" s="52" t="s">
        <v>153</v>
      </c>
      <c r="G73" s="49">
        <v>0</v>
      </c>
      <c r="H73" s="40" t="s">
        <v>151</v>
      </c>
      <c r="J73" s="7"/>
    </row>
    <row r="74" spans="1:10" x14ac:dyDescent="0.2">
      <c r="A74" s="41"/>
      <c r="B74" s="41"/>
      <c r="C74" s="50"/>
      <c r="D74" s="41"/>
      <c r="E74" s="41"/>
      <c r="F74" s="51"/>
      <c r="G74" s="51"/>
      <c r="H74" s="40" t="s">
        <v>151</v>
      </c>
      <c r="J74" s="7"/>
    </row>
    <row r="75" spans="1:10" x14ac:dyDescent="0.2">
      <c r="A75" s="41"/>
      <c r="B75" s="41"/>
      <c r="C75" s="42" t="s">
        <v>162</v>
      </c>
      <c r="D75" s="41"/>
      <c r="E75" s="41"/>
      <c r="F75" s="51"/>
      <c r="G75" s="51"/>
      <c r="H75" s="40" t="s">
        <v>151</v>
      </c>
      <c r="J75" s="7"/>
    </row>
    <row r="76" spans="1:10" x14ac:dyDescent="0.2">
      <c r="A76" s="41"/>
      <c r="B76" s="41"/>
      <c r="C76" s="42" t="s">
        <v>150</v>
      </c>
      <c r="D76" s="41"/>
      <c r="E76" s="41" t="s">
        <v>151</v>
      </c>
      <c r="F76" s="52" t="s">
        <v>153</v>
      </c>
      <c r="G76" s="49">
        <v>0</v>
      </c>
      <c r="H76" s="40" t="s">
        <v>151</v>
      </c>
      <c r="J76" s="7"/>
    </row>
    <row r="77" spans="1:10" x14ac:dyDescent="0.2">
      <c r="A77" s="41"/>
      <c r="B77" s="41"/>
      <c r="C77" s="50"/>
      <c r="D77" s="41"/>
      <c r="E77" s="41"/>
      <c r="F77" s="51"/>
      <c r="G77" s="51"/>
      <c r="H77" s="40" t="s">
        <v>151</v>
      </c>
      <c r="J77" s="7"/>
    </row>
    <row r="78" spans="1:10" x14ac:dyDescent="0.2">
      <c r="A78" s="41"/>
      <c r="B78" s="41"/>
      <c r="C78" s="42" t="s">
        <v>163</v>
      </c>
      <c r="D78" s="41"/>
      <c r="E78" s="41"/>
      <c r="F78" s="48">
        <v>0</v>
      </c>
      <c r="G78" s="49">
        <v>0</v>
      </c>
      <c r="H78" s="40" t="s">
        <v>151</v>
      </c>
      <c r="J78" s="7"/>
    </row>
    <row r="79" spans="1:10" x14ac:dyDescent="0.2">
      <c r="A79" s="41"/>
      <c r="B79" s="41"/>
      <c r="C79" s="50"/>
      <c r="D79" s="41"/>
      <c r="E79" s="41"/>
      <c r="F79" s="51"/>
      <c r="G79" s="51"/>
      <c r="H79" s="40" t="s">
        <v>151</v>
      </c>
      <c r="J79" s="7"/>
    </row>
    <row r="80" spans="1:10" x14ac:dyDescent="0.2">
      <c r="A80" s="41"/>
      <c r="B80" s="41"/>
      <c r="C80" s="42" t="s">
        <v>164</v>
      </c>
      <c r="D80" s="41"/>
      <c r="E80" s="41"/>
      <c r="F80" s="51"/>
      <c r="G80" s="51"/>
      <c r="H80" s="40" t="s">
        <v>151</v>
      </c>
      <c r="J80" s="7"/>
    </row>
    <row r="81" spans="1:10" x14ac:dyDescent="0.2">
      <c r="A81" s="41"/>
      <c r="B81" s="41"/>
      <c r="C81" s="42" t="s">
        <v>165</v>
      </c>
      <c r="D81" s="41"/>
      <c r="E81" s="41"/>
      <c r="F81" s="51"/>
      <c r="G81" s="51"/>
      <c r="H81" s="40" t="s">
        <v>151</v>
      </c>
      <c r="J81" s="7"/>
    </row>
    <row r="82" spans="1:10" x14ac:dyDescent="0.2">
      <c r="A82" s="41"/>
      <c r="B82" s="41"/>
      <c r="C82" s="42" t="s">
        <v>150</v>
      </c>
      <c r="D82" s="41"/>
      <c r="E82" s="41" t="s">
        <v>151</v>
      </c>
      <c r="F82" s="52" t="s">
        <v>153</v>
      </c>
      <c r="G82" s="49">
        <v>0</v>
      </c>
      <c r="H82" s="40" t="s">
        <v>151</v>
      </c>
      <c r="J82" s="7"/>
    </row>
    <row r="83" spans="1:10" x14ac:dyDescent="0.2">
      <c r="A83" s="41"/>
      <c r="B83" s="41"/>
      <c r="C83" s="50"/>
      <c r="D83" s="41"/>
      <c r="E83" s="41"/>
      <c r="F83" s="51"/>
      <c r="G83" s="51"/>
      <c r="H83" s="40" t="s">
        <v>151</v>
      </c>
      <c r="J83" s="7"/>
    </row>
    <row r="84" spans="1:10" x14ac:dyDescent="0.2">
      <c r="A84" s="41"/>
      <c r="B84" s="41"/>
      <c r="C84" s="42" t="s">
        <v>166</v>
      </c>
      <c r="D84" s="41"/>
      <c r="E84" s="41"/>
      <c r="F84" s="51"/>
      <c r="G84" s="51"/>
      <c r="H84" s="40" t="s">
        <v>151</v>
      </c>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167</v>
      </c>
      <c r="D87" s="41"/>
      <c r="E87" s="41"/>
      <c r="F87" s="51"/>
      <c r="G87" s="51"/>
      <c r="H87" s="40" t="s">
        <v>151</v>
      </c>
      <c r="J87" s="7"/>
    </row>
    <row r="88" spans="1:10" x14ac:dyDescent="0.2">
      <c r="A88" s="41"/>
      <c r="B88" s="41"/>
      <c r="C88" s="42" t="s">
        <v>150</v>
      </c>
      <c r="D88" s="41"/>
      <c r="E88" s="41" t="s">
        <v>151</v>
      </c>
      <c r="F88" s="52" t="s">
        <v>153</v>
      </c>
      <c r="G88" s="49">
        <v>0</v>
      </c>
      <c r="H88" s="40" t="s">
        <v>151</v>
      </c>
      <c r="J88" s="7"/>
    </row>
    <row r="89" spans="1:10" x14ac:dyDescent="0.2">
      <c r="A89" s="41"/>
      <c r="B89" s="41"/>
      <c r="C89" s="50"/>
      <c r="D89" s="41"/>
      <c r="E89" s="41"/>
      <c r="F89" s="51"/>
      <c r="G89" s="51"/>
      <c r="H89" s="40" t="s">
        <v>151</v>
      </c>
      <c r="J89" s="7"/>
    </row>
    <row r="90" spans="1:10" x14ac:dyDescent="0.2">
      <c r="A90" s="41"/>
      <c r="B90" s="41"/>
      <c r="C90" s="42" t="s">
        <v>168</v>
      </c>
      <c r="D90" s="41"/>
      <c r="E90" s="41"/>
      <c r="F90" s="51"/>
      <c r="G90" s="51"/>
      <c r="H90" s="40" t="s">
        <v>151</v>
      </c>
      <c r="J90" s="7"/>
    </row>
    <row r="91" spans="1:10" x14ac:dyDescent="0.2">
      <c r="A91" s="43">
        <v>1</v>
      </c>
      <c r="B91" s="44"/>
      <c r="C91" s="44" t="s">
        <v>169</v>
      </c>
      <c r="D91" s="44"/>
      <c r="E91" s="54"/>
      <c r="F91" s="46">
        <v>96.370214000000004</v>
      </c>
      <c r="G91" s="47">
        <v>2.8223600000000001E-2</v>
      </c>
      <c r="H91" s="40">
        <v>6.39</v>
      </c>
      <c r="J91" s="7"/>
    </row>
    <row r="92" spans="1:10" x14ac:dyDescent="0.2">
      <c r="A92" s="41"/>
      <c r="B92" s="41"/>
      <c r="C92" s="42" t="s">
        <v>150</v>
      </c>
      <c r="D92" s="41"/>
      <c r="E92" s="41" t="s">
        <v>151</v>
      </c>
      <c r="F92" s="48">
        <v>96.370214000000004</v>
      </c>
      <c r="G92" s="49">
        <v>2.8223600000000001E-2</v>
      </c>
      <c r="H92" s="40" t="s">
        <v>151</v>
      </c>
      <c r="J92" s="7"/>
    </row>
    <row r="93" spans="1:10" x14ac:dyDescent="0.2">
      <c r="A93" s="41"/>
      <c r="B93" s="41"/>
      <c r="C93" s="50"/>
      <c r="D93" s="41"/>
      <c r="E93" s="41"/>
      <c r="F93" s="51"/>
      <c r="G93" s="51"/>
      <c r="H93" s="40" t="s">
        <v>151</v>
      </c>
      <c r="J93" s="7"/>
    </row>
    <row r="94" spans="1:10" x14ac:dyDescent="0.2">
      <c r="A94" s="41"/>
      <c r="B94" s="41"/>
      <c r="C94" s="42" t="s">
        <v>170</v>
      </c>
      <c r="D94" s="41"/>
      <c r="E94" s="41"/>
      <c r="F94" s="48">
        <v>96.370214000000004</v>
      </c>
      <c r="G94" s="49">
        <v>2.8223600000000001E-2</v>
      </c>
      <c r="H94" s="40" t="s">
        <v>151</v>
      </c>
      <c r="J94" s="7"/>
    </row>
    <row r="95" spans="1:10" x14ac:dyDescent="0.2">
      <c r="A95" s="41"/>
      <c r="B95" s="41"/>
      <c r="C95" s="51"/>
      <c r="D95" s="41"/>
      <c r="E95" s="41"/>
      <c r="F95" s="41"/>
      <c r="G95" s="41"/>
      <c r="H95" s="40" t="s">
        <v>151</v>
      </c>
      <c r="J95" s="7"/>
    </row>
    <row r="96" spans="1:10" x14ac:dyDescent="0.2">
      <c r="A96" s="41"/>
      <c r="B96" s="41"/>
      <c r="C96" s="42" t="s">
        <v>171</v>
      </c>
      <c r="D96" s="41"/>
      <c r="E96" s="41"/>
      <c r="F96" s="41"/>
      <c r="G96" s="41"/>
      <c r="H96" s="40" t="s">
        <v>151</v>
      </c>
      <c r="J96" s="7"/>
    </row>
    <row r="97" spans="1:10" x14ac:dyDescent="0.2">
      <c r="A97" s="41"/>
      <c r="B97" s="41"/>
      <c r="C97" s="42" t="s">
        <v>172</v>
      </c>
      <c r="D97" s="41"/>
      <c r="E97" s="41"/>
      <c r="F97" s="41"/>
      <c r="G97" s="41"/>
      <c r="H97" s="40" t="s">
        <v>151</v>
      </c>
      <c r="J97" s="7"/>
    </row>
    <row r="98" spans="1:10" x14ac:dyDescent="0.2">
      <c r="A98" s="41"/>
      <c r="B98" s="41"/>
      <c r="C98" s="42" t="s">
        <v>150</v>
      </c>
      <c r="D98" s="41"/>
      <c r="E98" s="41" t="s">
        <v>151</v>
      </c>
      <c r="F98" s="52" t="s">
        <v>153</v>
      </c>
      <c r="G98" s="49">
        <v>0</v>
      </c>
      <c r="H98" s="40" t="s">
        <v>151</v>
      </c>
      <c r="J98" s="7"/>
    </row>
    <row r="99" spans="1:10" x14ac:dyDescent="0.2">
      <c r="A99" s="41"/>
      <c r="B99" s="41"/>
      <c r="C99" s="50"/>
      <c r="D99" s="41"/>
      <c r="E99" s="41"/>
      <c r="F99" s="51"/>
      <c r="G99" s="51"/>
      <c r="H99" s="40" t="s">
        <v>151</v>
      </c>
      <c r="J99" s="7"/>
    </row>
    <row r="100" spans="1:10" x14ac:dyDescent="0.2">
      <c r="A100" s="41"/>
      <c r="B100" s="41"/>
      <c r="C100" s="42" t="s">
        <v>173</v>
      </c>
      <c r="D100" s="41"/>
      <c r="E100" s="41"/>
      <c r="F100" s="41"/>
      <c r="G100" s="41"/>
      <c r="H100" s="40" t="s">
        <v>151</v>
      </c>
      <c r="J100" s="7"/>
    </row>
    <row r="101" spans="1:10" x14ac:dyDescent="0.2">
      <c r="A101" s="41"/>
      <c r="B101" s="41"/>
      <c r="C101" s="42" t="s">
        <v>174</v>
      </c>
      <c r="D101" s="41"/>
      <c r="E101" s="41"/>
      <c r="F101" s="41"/>
      <c r="G101" s="41"/>
      <c r="H101" s="40" t="s">
        <v>151</v>
      </c>
      <c r="J101" s="7"/>
    </row>
    <row r="102" spans="1:10" x14ac:dyDescent="0.2">
      <c r="A102" s="41"/>
      <c r="B102" s="41"/>
      <c r="C102" s="42" t="s">
        <v>150</v>
      </c>
      <c r="D102" s="41"/>
      <c r="E102" s="41" t="s">
        <v>151</v>
      </c>
      <c r="F102" s="52" t="s">
        <v>153</v>
      </c>
      <c r="G102" s="49">
        <v>0</v>
      </c>
      <c r="H102" s="40" t="s">
        <v>151</v>
      </c>
      <c r="J102" s="7"/>
    </row>
    <row r="103" spans="1:10" x14ac:dyDescent="0.2">
      <c r="A103" s="41"/>
      <c r="B103" s="41"/>
      <c r="C103" s="50"/>
      <c r="D103" s="41"/>
      <c r="E103" s="41"/>
      <c r="F103" s="51"/>
      <c r="G103" s="51"/>
      <c r="H103" s="40" t="s">
        <v>151</v>
      </c>
      <c r="J103" s="7"/>
    </row>
    <row r="104" spans="1:10" x14ac:dyDescent="0.2">
      <c r="A104" s="41"/>
      <c r="B104" s="41"/>
      <c r="C104" s="42" t="s">
        <v>175</v>
      </c>
      <c r="D104" s="41"/>
      <c r="E104" s="41"/>
      <c r="F104" s="51"/>
      <c r="G104" s="51"/>
      <c r="H104" s="40" t="s">
        <v>151</v>
      </c>
      <c r="J104" s="7"/>
    </row>
    <row r="105" spans="1:10" x14ac:dyDescent="0.2">
      <c r="A105" s="41"/>
      <c r="B105" s="41"/>
      <c r="C105" s="42" t="s">
        <v>150</v>
      </c>
      <c r="D105" s="41"/>
      <c r="E105" s="41" t="s">
        <v>151</v>
      </c>
      <c r="F105" s="52" t="s">
        <v>153</v>
      </c>
      <c r="G105" s="49">
        <v>0</v>
      </c>
      <c r="H105" s="40" t="s">
        <v>151</v>
      </c>
      <c r="J105" s="7"/>
    </row>
    <row r="106" spans="1:10" x14ac:dyDescent="0.2">
      <c r="A106" s="41"/>
      <c r="B106" s="41"/>
      <c r="C106" s="50"/>
      <c r="D106" s="41"/>
      <c r="E106" s="41"/>
      <c r="F106" s="51"/>
      <c r="G106" s="51"/>
      <c r="H106" s="40" t="s">
        <v>151</v>
      </c>
      <c r="J106" s="7"/>
    </row>
    <row r="107" spans="1:10" x14ac:dyDescent="0.2">
      <c r="A107" s="41"/>
      <c r="B107" s="44"/>
      <c r="C107" s="44"/>
      <c r="D107" s="42"/>
      <c r="E107" s="41"/>
      <c r="F107" s="44"/>
      <c r="G107" s="54"/>
      <c r="H107" s="40" t="s">
        <v>151</v>
      </c>
      <c r="J107" s="7"/>
    </row>
    <row r="108" spans="1:10" x14ac:dyDescent="0.2">
      <c r="A108" s="54"/>
      <c r="B108" s="44"/>
      <c r="C108" s="44" t="s">
        <v>176</v>
      </c>
      <c r="D108" s="44"/>
      <c r="E108" s="54"/>
      <c r="F108" s="46">
        <v>3.3915363900000002</v>
      </c>
      <c r="G108" s="47">
        <v>9.9327000000000009E-4</v>
      </c>
      <c r="H108" s="40" t="s">
        <v>151</v>
      </c>
      <c r="J108" s="7"/>
    </row>
    <row r="109" spans="1:10" x14ac:dyDescent="0.2">
      <c r="A109" s="50"/>
      <c r="B109" s="50"/>
      <c r="C109" s="42" t="s">
        <v>177</v>
      </c>
      <c r="D109" s="51"/>
      <c r="E109" s="51"/>
      <c r="F109" s="48">
        <v>3414.5254665500001</v>
      </c>
      <c r="G109" s="55">
        <v>1.0000000200000001</v>
      </c>
      <c r="H109" s="40" t="s">
        <v>151</v>
      </c>
      <c r="J109" s="7"/>
    </row>
    <row r="110" spans="1:10" x14ac:dyDescent="0.2">
      <c r="A110" s="56"/>
      <c r="B110" s="56"/>
      <c r="C110" s="56"/>
      <c r="D110" s="57"/>
      <c r="E110" s="57"/>
      <c r="F110" s="57"/>
      <c r="G110" s="57"/>
      <c r="J110" s="7"/>
    </row>
    <row r="111" spans="1:10" ht="12.75" customHeight="1" x14ac:dyDescent="0.2">
      <c r="A111" s="58"/>
      <c r="B111" s="159" t="s">
        <v>923</v>
      </c>
      <c r="C111" s="159"/>
      <c r="D111" s="159"/>
      <c r="E111" s="159"/>
      <c r="F111" s="159"/>
      <c r="G111" s="159"/>
      <c r="H111" s="159"/>
      <c r="J111" s="7"/>
    </row>
    <row r="112" spans="1:10" ht="14.1" customHeight="1" x14ac:dyDescent="0.2">
      <c r="A112" s="58"/>
      <c r="B112" s="159" t="s">
        <v>924</v>
      </c>
      <c r="C112" s="159"/>
      <c r="D112" s="159"/>
      <c r="E112" s="159"/>
      <c r="F112" s="159"/>
      <c r="G112" s="159"/>
      <c r="H112" s="159"/>
      <c r="J112" s="7"/>
    </row>
    <row r="113" spans="1:17" ht="17.100000000000001" customHeight="1" x14ac:dyDescent="0.2">
      <c r="A113" s="58"/>
      <c r="B113" s="159" t="s">
        <v>925</v>
      </c>
      <c r="C113" s="159"/>
      <c r="D113" s="159"/>
      <c r="E113" s="159"/>
      <c r="F113" s="159"/>
      <c r="G113" s="159"/>
      <c r="H113" s="159"/>
      <c r="J113" s="7"/>
    </row>
    <row r="114" spans="1:17" s="8" customFormat="1" ht="65.25" customHeight="1" x14ac:dyDescent="0.25">
      <c r="A114" s="60"/>
      <c r="B114" s="160" t="s">
        <v>926</v>
      </c>
      <c r="C114" s="160"/>
      <c r="D114" s="160"/>
      <c r="E114" s="160"/>
      <c r="F114" s="160"/>
      <c r="G114" s="160"/>
      <c r="H114" s="160"/>
      <c r="I114"/>
      <c r="J114" s="7"/>
      <c r="K114"/>
      <c r="L114"/>
      <c r="M114"/>
      <c r="N114"/>
      <c r="O114"/>
      <c r="P114"/>
      <c r="Q114"/>
    </row>
    <row r="115" spans="1:17" ht="12.75" customHeight="1" x14ac:dyDescent="0.2">
      <c r="A115" s="58"/>
      <c r="B115" s="159" t="s">
        <v>927</v>
      </c>
      <c r="C115" s="159"/>
      <c r="D115" s="159"/>
      <c r="E115" s="159"/>
      <c r="F115" s="159"/>
      <c r="G115" s="159"/>
      <c r="H115" s="159"/>
      <c r="J115" s="7"/>
    </row>
    <row r="116" spans="1:17" x14ac:dyDescent="0.2">
      <c r="A116" s="61"/>
      <c r="B116" s="61"/>
      <c r="C116" s="61"/>
      <c r="D116" s="62"/>
      <c r="E116" s="62"/>
      <c r="F116" s="62"/>
      <c r="G116" s="62"/>
      <c r="J116" s="7"/>
    </row>
    <row r="117" spans="1:17" x14ac:dyDescent="0.2">
      <c r="A117" s="61"/>
      <c r="B117" s="161" t="s">
        <v>178</v>
      </c>
      <c r="C117" s="162"/>
      <c r="D117" s="163"/>
      <c r="E117" s="63"/>
      <c r="F117" s="62"/>
      <c r="G117" s="62"/>
      <c r="J117" s="7"/>
    </row>
    <row r="118" spans="1:17" x14ac:dyDescent="0.2">
      <c r="A118" s="61"/>
      <c r="B118" s="156" t="s">
        <v>179</v>
      </c>
      <c r="C118" s="157"/>
      <c r="D118" s="42" t="s">
        <v>180</v>
      </c>
      <c r="E118" s="63"/>
      <c r="F118" s="62"/>
      <c r="G118" s="62"/>
      <c r="J118" s="7"/>
    </row>
    <row r="119" spans="1:17" ht="12.75" customHeight="1" x14ac:dyDescent="0.2">
      <c r="A119" s="58"/>
      <c r="B119" s="164" t="s">
        <v>939</v>
      </c>
      <c r="C119" s="165"/>
      <c r="D119" s="64" t="str">
        <f>"Rs. "&amp;TEXT(F55,"0.00")&amp;" lacs/ #"</f>
        <v>Rs. 0.01 lacs/ #</v>
      </c>
      <c r="E119" s="65"/>
      <c r="F119" s="66"/>
      <c r="G119" s="66"/>
      <c r="J119" s="7"/>
    </row>
    <row r="120" spans="1:17" x14ac:dyDescent="0.2">
      <c r="A120" s="61"/>
      <c r="B120" s="156" t="s">
        <v>182</v>
      </c>
      <c r="C120" s="157"/>
      <c r="D120" s="51" t="s">
        <v>151</v>
      </c>
      <c r="E120" s="63"/>
      <c r="F120" s="62"/>
      <c r="G120" s="62"/>
      <c r="J120" s="7"/>
    </row>
    <row r="121" spans="1:17" x14ac:dyDescent="0.2">
      <c r="A121" s="67"/>
      <c r="B121" s="68" t="s">
        <v>151</v>
      </c>
      <c r="C121" s="68" t="s">
        <v>937</v>
      </c>
      <c r="D121" s="68" t="s">
        <v>183</v>
      </c>
      <c r="E121" s="67"/>
      <c r="F121" s="67"/>
      <c r="G121" s="67"/>
      <c r="H121" s="67"/>
      <c r="J121" s="7"/>
    </row>
    <row r="122" spans="1:17" x14ac:dyDescent="0.2">
      <c r="A122" s="69"/>
      <c r="B122" s="70" t="s">
        <v>184</v>
      </c>
      <c r="C122" s="80" t="s">
        <v>185</v>
      </c>
      <c r="D122" s="80" t="s">
        <v>186</v>
      </c>
      <c r="E122" s="69"/>
      <c r="F122" s="69"/>
      <c r="G122" s="69"/>
      <c r="J122" s="7"/>
    </row>
    <row r="123" spans="1:17" x14ac:dyDescent="0.2">
      <c r="A123" s="69"/>
      <c r="B123" s="44" t="s">
        <v>187</v>
      </c>
      <c r="C123" s="72">
        <v>28.245000000000001</v>
      </c>
      <c r="D123" s="72">
        <v>28.313199999999998</v>
      </c>
      <c r="E123" s="69"/>
      <c r="F123" s="73"/>
      <c r="G123" s="74"/>
      <c r="J123" s="7"/>
    </row>
    <row r="124" spans="1:17" x14ac:dyDescent="0.2">
      <c r="A124" s="69"/>
      <c r="B124" s="44" t="s">
        <v>1094</v>
      </c>
      <c r="C124" s="72">
        <v>26.890699999999999</v>
      </c>
      <c r="D124" s="72">
        <v>26.9556</v>
      </c>
      <c r="E124" s="69"/>
      <c r="F124" s="73"/>
      <c r="G124" s="74"/>
      <c r="J124" s="7"/>
    </row>
    <row r="125" spans="1:17" x14ac:dyDescent="0.2">
      <c r="A125" s="69"/>
      <c r="B125" s="44" t="s">
        <v>188</v>
      </c>
      <c r="C125" s="72">
        <v>27.5261</v>
      </c>
      <c r="D125" s="72">
        <v>27.587299999999999</v>
      </c>
      <c r="E125" s="69"/>
      <c r="F125" s="73"/>
      <c r="G125" s="74"/>
      <c r="J125" s="7"/>
    </row>
    <row r="126" spans="1:17" x14ac:dyDescent="0.2">
      <c r="A126" s="69"/>
      <c r="B126" s="44" t="s">
        <v>1095</v>
      </c>
      <c r="C126" s="72">
        <v>26.173500000000001</v>
      </c>
      <c r="D126" s="72">
        <v>26.2317</v>
      </c>
      <c r="E126" s="69"/>
      <c r="F126" s="73"/>
      <c r="G126" s="74"/>
      <c r="J126" s="7"/>
    </row>
    <row r="127" spans="1:17" x14ac:dyDescent="0.2">
      <c r="A127" s="69"/>
      <c r="B127" s="69"/>
      <c r="C127" s="69"/>
      <c r="D127" s="69"/>
      <c r="E127" s="69"/>
      <c r="F127" s="69"/>
      <c r="G127" s="69"/>
      <c r="J127" s="7"/>
    </row>
    <row r="128" spans="1:17" x14ac:dyDescent="0.2">
      <c r="A128" s="67"/>
      <c r="B128" s="164" t="s">
        <v>940</v>
      </c>
      <c r="C128" s="165"/>
      <c r="D128" s="64" t="s">
        <v>180</v>
      </c>
      <c r="E128" s="67"/>
      <c r="F128" s="67"/>
      <c r="G128" s="67"/>
      <c r="J128" s="7"/>
    </row>
    <row r="129" spans="1:10" x14ac:dyDescent="0.2">
      <c r="A129" s="67"/>
      <c r="B129" s="84"/>
      <c r="C129" s="84"/>
      <c r="D129" s="84"/>
      <c r="E129" s="67"/>
      <c r="F129" s="67"/>
      <c r="G129" s="67"/>
      <c r="J129" s="7"/>
    </row>
    <row r="130" spans="1:10" x14ac:dyDescent="0.2">
      <c r="A130" s="67"/>
      <c r="B130" s="164" t="s">
        <v>189</v>
      </c>
      <c r="C130" s="165"/>
      <c r="D130" s="64" t="s">
        <v>180</v>
      </c>
      <c r="E130" s="75"/>
      <c r="F130" s="67"/>
      <c r="G130" s="67"/>
      <c r="J130" s="7"/>
    </row>
    <row r="131" spans="1:10" x14ac:dyDescent="0.2">
      <c r="A131" s="67"/>
      <c r="B131" s="164" t="s">
        <v>190</v>
      </c>
      <c r="C131" s="165"/>
      <c r="D131" s="64" t="s">
        <v>180</v>
      </c>
      <c r="E131" s="75"/>
      <c r="F131" s="67"/>
      <c r="G131" s="67"/>
      <c r="J131" s="7"/>
    </row>
    <row r="132" spans="1:10" x14ac:dyDescent="0.2">
      <c r="A132" s="67"/>
      <c r="B132" s="164" t="s">
        <v>191</v>
      </c>
      <c r="C132" s="165"/>
      <c r="D132" s="64" t="s">
        <v>180</v>
      </c>
      <c r="E132" s="75"/>
      <c r="F132" s="67"/>
      <c r="G132" s="67"/>
      <c r="J132" s="7"/>
    </row>
    <row r="133" spans="1:10" x14ac:dyDescent="0.2">
      <c r="A133" s="67"/>
      <c r="B133" s="164" t="s">
        <v>192</v>
      </c>
      <c r="C133" s="165"/>
      <c r="D133" s="76">
        <v>0.29510987566401858</v>
      </c>
      <c r="E133" s="67"/>
      <c r="F133" s="59"/>
      <c r="G133" s="77"/>
      <c r="J133" s="7"/>
    </row>
    <row r="134" spans="1:10" x14ac:dyDescent="0.2">
      <c r="J134" s="7"/>
    </row>
    <row r="135" spans="1:10" x14ac:dyDescent="0.2">
      <c r="J135" s="7"/>
    </row>
    <row r="136" spans="1:10" x14ac:dyDescent="0.2">
      <c r="J136" s="7"/>
    </row>
    <row r="137" spans="1:10" x14ac:dyDescent="0.2">
      <c r="J137" s="7"/>
    </row>
    <row r="138" spans="1:10" x14ac:dyDescent="0.2">
      <c r="J138" s="7"/>
    </row>
    <row r="139" spans="1:10" x14ac:dyDescent="0.2">
      <c r="J139" s="7"/>
    </row>
  </sheetData>
  <mergeCells count="17">
    <mergeCell ref="B119:C119"/>
    <mergeCell ref="B120:C120"/>
    <mergeCell ref="B128:C128"/>
    <mergeCell ref="B132:C132"/>
    <mergeCell ref="B133:C133"/>
    <mergeCell ref="B130:C130"/>
    <mergeCell ref="B131:C131"/>
    <mergeCell ref="B118:C118"/>
    <mergeCell ref="A1:H1"/>
    <mergeCell ref="A2:H2"/>
    <mergeCell ref="A3:H3"/>
    <mergeCell ref="B111:H111"/>
    <mergeCell ref="B112:H112"/>
    <mergeCell ref="B113:H113"/>
    <mergeCell ref="B114:H114"/>
    <mergeCell ref="B115:H115"/>
    <mergeCell ref="B117:D117"/>
  </mergeCells>
  <hyperlinks>
    <hyperlink ref="I1" location="Index!B12" display="Index" xr:uid="{8F746168-386A-4DB2-AF5A-B764358AC96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52B80-A3EE-4A71-8155-00F7A35170FE}">
  <sheetPr>
    <outlinePr summaryBelow="0" summaryRight="0"/>
  </sheetPr>
  <dimension ref="A1:Q139"/>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8.7109375" bestFit="1" customWidth="1"/>
    <col min="6" max="6" width="10.140625" bestFit="1" customWidth="1"/>
    <col min="7" max="7" width="9" customWidth="1"/>
    <col min="8" max="8" width="8.42578125" bestFit="1" customWidth="1"/>
    <col min="9" max="9" width="5.710937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493</v>
      </c>
      <c r="B2" s="158"/>
      <c r="C2" s="158"/>
      <c r="D2" s="158"/>
      <c r="E2" s="158"/>
      <c r="F2" s="158"/>
      <c r="G2" s="158"/>
      <c r="H2" s="158"/>
      <c r="J2" s="11" t="s">
        <v>942</v>
      </c>
    </row>
    <row r="3" spans="1:10" ht="15" customHeight="1" x14ac:dyDescent="0.2">
      <c r="A3" s="158" t="s">
        <v>880</v>
      </c>
      <c r="B3" s="158"/>
      <c r="C3" s="158"/>
      <c r="D3" s="158"/>
      <c r="E3" s="158"/>
      <c r="F3" s="158"/>
      <c r="G3" s="158"/>
      <c r="H3" s="158"/>
      <c r="J3" s="7"/>
    </row>
    <row r="4" spans="1:10" s="1" customFormat="1" ht="33" customHeight="1"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31</v>
      </c>
      <c r="C7" s="44" t="s">
        <v>32</v>
      </c>
      <c r="D7" s="44" t="s">
        <v>33</v>
      </c>
      <c r="E7" s="45">
        <v>22800</v>
      </c>
      <c r="F7" s="46">
        <v>219.25620000000001</v>
      </c>
      <c r="G7" s="47">
        <v>5.303066E-2</v>
      </c>
      <c r="H7" s="40" t="s">
        <v>151</v>
      </c>
      <c r="J7" s="7"/>
    </row>
    <row r="8" spans="1:10" x14ac:dyDescent="0.2">
      <c r="A8" s="43">
        <v>2</v>
      </c>
      <c r="B8" s="44" t="s">
        <v>407</v>
      </c>
      <c r="C8" s="44" t="s">
        <v>408</v>
      </c>
      <c r="D8" s="44" t="s">
        <v>100</v>
      </c>
      <c r="E8" s="45">
        <v>10034</v>
      </c>
      <c r="F8" s="46">
        <v>207.80413999999999</v>
      </c>
      <c r="G8" s="47">
        <v>5.026079E-2</v>
      </c>
      <c r="H8" s="40" t="s">
        <v>151</v>
      </c>
      <c r="J8" s="7"/>
    </row>
    <row r="9" spans="1:10" x14ac:dyDescent="0.2">
      <c r="A9" s="43">
        <v>3</v>
      </c>
      <c r="B9" s="44" t="s">
        <v>59</v>
      </c>
      <c r="C9" s="44" t="s">
        <v>60</v>
      </c>
      <c r="D9" s="44" t="s">
        <v>61</v>
      </c>
      <c r="E9" s="45">
        <v>15970</v>
      </c>
      <c r="F9" s="46">
        <v>200.85469000000001</v>
      </c>
      <c r="G9" s="47">
        <v>4.8579959999999998E-2</v>
      </c>
      <c r="H9" s="40" t="s">
        <v>151</v>
      </c>
      <c r="J9" s="7"/>
    </row>
    <row r="10" spans="1:10" x14ac:dyDescent="0.2">
      <c r="A10" s="43">
        <v>4</v>
      </c>
      <c r="B10" s="44" t="s">
        <v>367</v>
      </c>
      <c r="C10" s="44" t="s">
        <v>368</v>
      </c>
      <c r="D10" s="44" t="s">
        <v>229</v>
      </c>
      <c r="E10" s="45">
        <v>4545</v>
      </c>
      <c r="F10" s="46">
        <v>194.96686500000001</v>
      </c>
      <c r="G10" s="47">
        <v>4.7155889999999999E-2</v>
      </c>
      <c r="H10" s="40" t="s">
        <v>151</v>
      </c>
      <c r="J10" s="7"/>
    </row>
    <row r="11" spans="1:10" x14ac:dyDescent="0.2">
      <c r="A11" s="43">
        <v>5</v>
      </c>
      <c r="B11" s="44" t="s">
        <v>409</v>
      </c>
      <c r="C11" s="44" t="s">
        <v>410</v>
      </c>
      <c r="D11" s="44" t="s">
        <v>242</v>
      </c>
      <c r="E11" s="45">
        <v>10676</v>
      </c>
      <c r="F11" s="46">
        <v>176.351506</v>
      </c>
      <c r="G11" s="47">
        <v>4.2653459999999997E-2</v>
      </c>
      <c r="H11" s="40" t="s">
        <v>151</v>
      </c>
      <c r="J11" s="7"/>
    </row>
    <row r="12" spans="1:10" ht="15" x14ac:dyDescent="0.2">
      <c r="A12" s="43">
        <v>6</v>
      </c>
      <c r="B12" s="44" t="s">
        <v>94</v>
      </c>
      <c r="C12" s="44" t="s">
        <v>95</v>
      </c>
      <c r="D12" s="44" t="s">
        <v>33</v>
      </c>
      <c r="E12" s="45">
        <v>3986</v>
      </c>
      <c r="F12" s="46">
        <v>172.58782099999999</v>
      </c>
      <c r="G12" s="47">
        <v>4.1743160000000001E-2</v>
      </c>
      <c r="H12" s="40" t="s">
        <v>151</v>
      </c>
      <c r="J12" s="12"/>
    </row>
    <row r="13" spans="1:10" x14ac:dyDescent="0.2">
      <c r="A13" s="43">
        <v>7</v>
      </c>
      <c r="B13" s="44" t="s">
        <v>145</v>
      </c>
      <c r="C13" s="44" t="s">
        <v>146</v>
      </c>
      <c r="D13" s="44" t="s">
        <v>100</v>
      </c>
      <c r="E13" s="45">
        <v>46205</v>
      </c>
      <c r="F13" s="46">
        <v>166.61523</v>
      </c>
      <c r="G13" s="47">
        <v>4.0298590000000002E-2</v>
      </c>
      <c r="H13" s="40" t="s">
        <v>151</v>
      </c>
      <c r="J13" s="7"/>
    </row>
    <row r="14" spans="1:10" x14ac:dyDescent="0.2">
      <c r="A14" s="43">
        <v>8</v>
      </c>
      <c r="B14" s="44" t="s">
        <v>411</v>
      </c>
      <c r="C14" s="44" t="s">
        <v>412</v>
      </c>
      <c r="D14" s="44" t="s">
        <v>413</v>
      </c>
      <c r="E14" s="45">
        <v>10679</v>
      </c>
      <c r="F14" s="46">
        <v>161.26357899999999</v>
      </c>
      <c r="G14" s="47">
        <v>3.9004200000000003E-2</v>
      </c>
      <c r="H14" s="40" t="s">
        <v>151</v>
      </c>
      <c r="J14" s="7" t="s">
        <v>1054</v>
      </c>
    </row>
    <row r="15" spans="1:10" x14ac:dyDescent="0.2">
      <c r="A15" s="43">
        <v>9</v>
      </c>
      <c r="B15" s="44" t="s">
        <v>414</v>
      </c>
      <c r="C15" s="44" t="s">
        <v>415</v>
      </c>
      <c r="D15" s="44" t="s">
        <v>45</v>
      </c>
      <c r="E15" s="45">
        <v>180840</v>
      </c>
      <c r="F15" s="46">
        <v>146.06446800000001</v>
      </c>
      <c r="G15" s="47">
        <v>3.532805E-2</v>
      </c>
      <c r="H15" s="40" t="s">
        <v>151</v>
      </c>
      <c r="J15" s="7"/>
    </row>
    <row r="16" spans="1:10" x14ac:dyDescent="0.2">
      <c r="A16" s="43">
        <v>10</v>
      </c>
      <c r="B16" s="44" t="s">
        <v>418</v>
      </c>
      <c r="C16" s="44" t="s">
        <v>419</v>
      </c>
      <c r="D16" s="44" t="s">
        <v>219</v>
      </c>
      <c r="E16" s="45">
        <v>16328</v>
      </c>
      <c r="F16" s="46">
        <v>134.08553599999999</v>
      </c>
      <c r="G16" s="47">
        <v>3.2430760000000003E-2</v>
      </c>
      <c r="H16" s="40" t="s">
        <v>151</v>
      </c>
      <c r="J16" s="7"/>
    </row>
    <row r="17" spans="1:10" x14ac:dyDescent="0.2">
      <c r="A17" s="43">
        <v>11</v>
      </c>
      <c r="B17" s="44" t="s">
        <v>416</v>
      </c>
      <c r="C17" s="44" t="s">
        <v>417</v>
      </c>
      <c r="D17" s="44" t="s">
        <v>45</v>
      </c>
      <c r="E17" s="45">
        <v>298383</v>
      </c>
      <c r="F17" s="46">
        <v>133.79493719999999</v>
      </c>
      <c r="G17" s="47">
        <v>3.2360470000000002E-2</v>
      </c>
      <c r="H17" s="40" t="s">
        <v>151</v>
      </c>
      <c r="J17" s="7"/>
    </row>
    <row r="18" spans="1:10" x14ac:dyDescent="0.2">
      <c r="A18" s="43">
        <v>12</v>
      </c>
      <c r="B18" s="44" t="s">
        <v>440</v>
      </c>
      <c r="C18" s="44" t="s">
        <v>441</v>
      </c>
      <c r="D18" s="44" t="s">
        <v>219</v>
      </c>
      <c r="E18" s="45">
        <v>19125</v>
      </c>
      <c r="F18" s="46">
        <v>129.2180625</v>
      </c>
      <c r="G18" s="47">
        <v>3.125348E-2</v>
      </c>
      <c r="H18" s="40" t="s">
        <v>151</v>
      </c>
      <c r="J18" s="7"/>
    </row>
    <row r="19" spans="1:10" x14ac:dyDescent="0.2">
      <c r="A19" s="43">
        <v>13</v>
      </c>
      <c r="B19" s="44" t="s">
        <v>438</v>
      </c>
      <c r="C19" s="44" t="s">
        <v>439</v>
      </c>
      <c r="D19" s="44" t="s">
        <v>229</v>
      </c>
      <c r="E19" s="45">
        <v>5956</v>
      </c>
      <c r="F19" s="46">
        <v>129.015894</v>
      </c>
      <c r="G19" s="47">
        <v>3.1204579999999999E-2</v>
      </c>
      <c r="H19" s="40" t="s">
        <v>151</v>
      </c>
      <c r="J19" s="7"/>
    </row>
    <row r="20" spans="1:10" ht="25.5" x14ac:dyDescent="0.2">
      <c r="A20" s="43">
        <v>14</v>
      </c>
      <c r="B20" s="44" t="s">
        <v>318</v>
      </c>
      <c r="C20" s="44" t="s">
        <v>319</v>
      </c>
      <c r="D20" s="44" t="s">
        <v>247</v>
      </c>
      <c r="E20" s="45">
        <v>3361</v>
      </c>
      <c r="F20" s="46">
        <v>127.74992949999999</v>
      </c>
      <c r="G20" s="47">
        <v>3.0898390000000001E-2</v>
      </c>
      <c r="H20" s="40" t="s">
        <v>151</v>
      </c>
      <c r="J20" s="7"/>
    </row>
    <row r="21" spans="1:10" x14ac:dyDescent="0.2">
      <c r="A21" s="43">
        <v>15</v>
      </c>
      <c r="B21" s="44" t="s">
        <v>420</v>
      </c>
      <c r="C21" s="44" t="s">
        <v>421</v>
      </c>
      <c r="D21" s="44" t="s">
        <v>33</v>
      </c>
      <c r="E21" s="45">
        <v>8741</v>
      </c>
      <c r="F21" s="46">
        <v>125.15800849999999</v>
      </c>
      <c r="G21" s="47">
        <v>3.0271490000000002E-2</v>
      </c>
      <c r="H21" s="40" t="s">
        <v>151</v>
      </c>
      <c r="J21" s="7"/>
    </row>
    <row r="22" spans="1:10" ht="15" x14ac:dyDescent="0.2">
      <c r="A22" s="43">
        <v>16</v>
      </c>
      <c r="B22" s="44" t="s">
        <v>422</v>
      </c>
      <c r="C22" s="44" t="s">
        <v>423</v>
      </c>
      <c r="D22" s="44" t="s">
        <v>222</v>
      </c>
      <c r="E22" s="45">
        <v>35553</v>
      </c>
      <c r="F22" s="46">
        <v>123.3866865</v>
      </c>
      <c r="G22" s="47">
        <v>2.9843069999999999E-2</v>
      </c>
      <c r="H22" s="40" t="s">
        <v>151</v>
      </c>
      <c r="J22" s="12"/>
    </row>
    <row r="23" spans="1:10" x14ac:dyDescent="0.2">
      <c r="A23" s="43">
        <v>17</v>
      </c>
      <c r="B23" s="44" t="s">
        <v>424</v>
      </c>
      <c r="C23" s="44" t="s">
        <v>425</v>
      </c>
      <c r="D23" s="44" t="s">
        <v>45</v>
      </c>
      <c r="E23" s="45">
        <v>37549</v>
      </c>
      <c r="F23" s="46">
        <v>123.16072</v>
      </c>
      <c r="G23" s="47">
        <v>2.9788410000000001E-2</v>
      </c>
      <c r="H23" s="40" t="s">
        <v>151</v>
      </c>
      <c r="J23" s="7"/>
    </row>
    <row r="24" spans="1:10" ht="25.5" x14ac:dyDescent="0.2">
      <c r="A24" s="43">
        <v>18</v>
      </c>
      <c r="B24" s="44" t="s">
        <v>431</v>
      </c>
      <c r="C24" s="44" t="s">
        <v>432</v>
      </c>
      <c r="D24" s="44" t="s">
        <v>433</v>
      </c>
      <c r="E24" s="45">
        <v>26872</v>
      </c>
      <c r="F24" s="46">
        <v>114.662824</v>
      </c>
      <c r="G24" s="47">
        <v>2.773306E-2</v>
      </c>
      <c r="H24" s="40" t="s">
        <v>151</v>
      </c>
      <c r="J24" s="7"/>
    </row>
    <row r="25" spans="1:10" x14ac:dyDescent="0.2">
      <c r="A25" s="43">
        <v>19</v>
      </c>
      <c r="B25" s="44" t="s">
        <v>428</v>
      </c>
      <c r="C25" s="44" t="s">
        <v>429</v>
      </c>
      <c r="D25" s="44" t="s">
        <v>430</v>
      </c>
      <c r="E25" s="45">
        <v>7495</v>
      </c>
      <c r="F25" s="46">
        <v>112.4437375</v>
      </c>
      <c r="G25" s="47">
        <v>2.7196339999999999E-2</v>
      </c>
      <c r="H25" s="40" t="s">
        <v>151</v>
      </c>
      <c r="J25" s="7"/>
    </row>
    <row r="26" spans="1:10" x14ac:dyDescent="0.2">
      <c r="A26" s="43">
        <v>20</v>
      </c>
      <c r="B26" s="44" t="s">
        <v>57</v>
      </c>
      <c r="C26" s="44" t="s">
        <v>58</v>
      </c>
      <c r="D26" s="44" t="s">
        <v>13</v>
      </c>
      <c r="E26" s="45">
        <v>7465</v>
      </c>
      <c r="F26" s="46">
        <v>102.34141750000001</v>
      </c>
      <c r="G26" s="47">
        <v>2.4752929999999999E-2</v>
      </c>
      <c r="H26" s="40" t="s">
        <v>151</v>
      </c>
      <c r="J26" s="7"/>
    </row>
    <row r="27" spans="1:10" ht="25.5" x14ac:dyDescent="0.2">
      <c r="A27" s="43">
        <v>21</v>
      </c>
      <c r="B27" s="44" t="s">
        <v>82</v>
      </c>
      <c r="C27" s="44" t="s">
        <v>83</v>
      </c>
      <c r="D27" s="44" t="s">
        <v>25</v>
      </c>
      <c r="E27" s="45">
        <v>2267</v>
      </c>
      <c r="F27" s="46">
        <v>100.1322565</v>
      </c>
      <c r="G27" s="47">
        <v>2.4218610000000002E-2</v>
      </c>
      <c r="H27" s="40" t="s">
        <v>151</v>
      </c>
      <c r="J27" s="7"/>
    </row>
    <row r="28" spans="1:10" x14ac:dyDescent="0.2">
      <c r="A28" s="43">
        <v>22</v>
      </c>
      <c r="B28" s="44" t="s">
        <v>223</v>
      </c>
      <c r="C28" s="44" t="s">
        <v>224</v>
      </c>
      <c r="D28" s="44" t="s">
        <v>86</v>
      </c>
      <c r="E28" s="45">
        <v>707</v>
      </c>
      <c r="F28" s="46">
        <v>97.498127999999994</v>
      </c>
      <c r="G28" s="47">
        <v>2.3581499999999998E-2</v>
      </c>
      <c r="H28" s="40" t="s">
        <v>151</v>
      </c>
      <c r="J28" s="7"/>
    </row>
    <row r="29" spans="1:10" ht="25.5" x14ac:dyDescent="0.2">
      <c r="A29" s="43">
        <v>23</v>
      </c>
      <c r="B29" s="44" t="s">
        <v>436</v>
      </c>
      <c r="C29" s="44" t="s">
        <v>437</v>
      </c>
      <c r="D29" s="44" t="s">
        <v>210</v>
      </c>
      <c r="E29" s="45">
        <v>1831</v>
      </c>
      <c r="F29" s="46">
        <v>96.134823999999995</v>
      </c>
      <c r="G29" s="47">
        <v>2.325176E-2</v>
      </c>
      <c r="H29" s="40" t="s">
        <v>151</v>
      </c>
      <c r="J29" s="7"/>
    </row>
    <row r="30" spans="1:10" x14ac:dyDescent="0.2">
      <c r="A30" s="43">
        <v>24</v>
      </c>
      <c r="B30" s="44" t="s">
        <v>434</v>
      </c>
      <c r="C30" s="44" t="s">
        <v>435</v>
      </c>
      <c r="D30" s="44" t="s">
        <v>86</v>
      </c>
      <c r="E30" s="45">
        <v>11039</v>
      </c>
      <c r="F30" s="46">
        <v>93.6824735</v>
      </c>
      <c r="G30" s="47">
        <v>2.2658620000000001E-2</v>
      </c>
      <c r="H30" s="40" t="s">
        <v>151</v>
      </c>
      <c r="J30" s="7"/>
    </row>
    <row r="31" spans="1:10" x14ac:dyDescent="0.2">
      <c r="A31" s="43">
        <v>25</v>
      </c>
      <c r="B31" s="44" t="s">
        <v>442</v>
      </c>
      <c r="C31" s="44" t="s">
        <v>443</v>
      </c>
      <c r="D31" s="44" t="s">
        <v>33</v>
      </c>
      <c r="E31" s="45">
        <v>14157</v>
      </c>
      <c r="F31" s="46">
        <v>85.097727000000006</v>
      </c>
      <c r="G31" s="47">
        <v>2.0582260000000002E-2</v>
      </c>
      <c r="H31" s="40" t="s">
        <v>151</v>
      </c>
      <c r="J31" s="7"/>
    </row>
    <row r="32" spans="1:10" x14ac:dyDescent="0.2">
      <c r="A32" s="43">
        <v>26</v>
      </c>
      <c r="B32" s="44" t="s">
        <v>444</v>
      </c>
      <c r="C32" s="44" t="s">
        <v>445</v>
      </c>
      <c r="D32" s="44" t="s">
        <v>242</v>
      </c>
      <c r="E32" s="45">
        <v>9506</v>
      </c>
      <c r="F32" s="46">
        <v>78.776222000000004</v>
      </c>
      <c r="G32" s="47">
        <v>1.9053299999999999E-2</v>
      </c>
      <c r="H32" s="40" t="s">
        <v>151</v>
      </c>
      <c r="J32" s="7"/>
    </row>
    <row r="33" spans="1:10" x14ac:dyDescent="0.2">
      <c r="A33" s="43">
        <v>27</v>
      </c>
      <c r="B33" s="44" t="s">
        <v>448</v>
      </c>
      <c r="C33" s="44" t="s">
        <v>449</v>
      </c>
      <c r="D33" s="44" t="s">
        <v>100</v>
      </c>
      <c r="E33" s="45">
        <v>10705</v>
      </c>
      <c r="F33" s="46">
        <v>75.764637500000006</v>
      </c>
      <c r="G33" s="47">
        <v>1.8324900000000002E-2</v>
      </c>
      <c r="H33" s="40" t="s">
        <v>151</v>
      </c>
      <c r="J33" s="7"/>
    </row>
    <row r="34" spans="1:10" ht="25.5" x14ac:dyDescent="0.2">
      <c r="A34" s="43">
        <v>28</v>
      </c>
      <c r="B34" s="44" t="s">
        <v>291</v>
      </c>
      <c r="C34" s="44" t="s">
        <v>292</v>
      </c>
      <c r="D34" s="44" t="s">
        <v>210</v>
      </c>
      <c r="E34" s="45">
        <v>14944</v>
      </c>
      <c r="F34" s="46">
        <v>69.325215999999998</v>
      </c>
      <c r="G34" s="47">
        <v>1.676743E-2</v>
      </c>
      <c r="H34" s="40" t="s">
        <v>151</v>
      </c>
      <c r="J34" s="7"/>
    </row>
    <row r="35" spans="1:10" x14ac:dyDescent="0.2">
      <c r="A35" s="43">
        <v>29</v>
      </c>
      <c r="B35" s="44" t="s">
        <v>452</v>
      </c>
      <c r="C35" s="44" t="s">
        <v>453</v>
      </c>
      <c r="D35" s="44" t="s">
        <v>86</v>
      </c>
      <c r="E35" s="45">
        <v>6413</v>
      </c>
      <c r="F35" s="46">
        <v>66.701612999999995</v>
      </c>
      <c r="G35" s="47">
        <v>1.6132859999999999E-2</v>
      </c>
      <c r="H35" s="40" t="s">
        <v>151</v>
      </c>
      <c r="J35" s="7"/>
    </row>
    <row r="36" spans="1:10" x14ac:dyDescent="0.2">
      <c r="A36" s="43">
        <v>30</v>
      </c>
      <c r="B36" s="44" t="s">
        <v>264</v>
      </c>
      <c r="C36" s="44" t="s">
        <v>265</v>
      </c>
      <c r="D36" s="44" t="s">
        <v>86</v>
      </c>
      <c r="E36" s="45">
        <v>4105</v>
      </c>
      <c r="F36" s="46">
        <v>62.299532499999998</v>
      </c>
      <c r="G36" s="47">
        <v>1.5068150000000001E-2</v>
      </c>
      <c r="H36" s="40" t="s">
        <v>151</v>
      </c>
      <c r="J36" s="7"/>
    </row>
    <row r="37" spans="1:10" x14ac:dyDescent="0.2">
      <c r="A37" s="43">
        <v>31</v>
      </c>
      <c r="B37" s="44" t="s">
        <v>450</v>
      </c>
      <c r="C37" s="44" t="s">
        <v>451</v>
      </c>
      <c r="D37" s="44" t="s">
        <v>100</v>
      </c>
      <c r="E37" s="45">
        <v>5457</v>
      </c>
      <c r="F37" s="46">
        <v>47.825147999999999</v>
      </c>
      <c r="G37" s="47">
        <v>1.1567289999999999E-2</v>
      </c>
      <c r="H37" s="40" t="s">
        <v>151</v>
      </c>
      <c r="J37" s="7"/>
    </row>
    <row r="38" spans="1:10" ht="25.5" x14ac:dyDescent="0.2">
      <c r="A38" s="43">
        <v>32</v>
      </c>
      <c r="B38" s="44" t="s">
        <v>487</v>
      </c>
      <c r="C38" s="44" t="s">
        <v>488</v>
      </c>
      <c r="D38" s="44" t="s">
        <v>100</v>
      </c>
      <c r="E38" s="45">
        <v>2285</v>
      </c>
      <c r="F38" s="46">
        <v>46.400352499999997</v>
      </c>
      <c r="G38" s="47">
        <v>1.1222680000000001E-2</v>
      </c>
      <c r="H38" s="40" t="s">
        <v>151</v>
      </c>
      <c r="J38" s="7"/>
    </row>
    <row r="39" spans="1:10" x14ac:dyDescent="0.2">
      <c r="A39" s="43">
        <v>33</v>
      </c>
      <c r="B39" s="44" t="s">
        <v>34</v>
      </c>
      <c r="C39" s="44" t="s">
        <v>35</v>
      </c>
      <c r="D39" s="44" t="s">
        <v>33</v>
      </c>
      <c r="E39" s="45">
        <v>617</v>
      </c>
      <c r="F39" s="46">
        <v>39.411800499999998</v>
      </c>
      <c r="G39" s="47">
        <v>9.53238E-3</v>
      </c>
      <c r="H39" s="40" t="s">
        <v>151</v>
      </c>
      <c r="J39" s="7"/>
    </row>
    <row r="40" spans="1:10" x14ac:dyDescent="0.2">
      <c r="A40" s="43">
        <v>34</v>
      </c>
      <c r="B40" s="44" t="s">
        <v>460</v>
      </c>
      <c r="C40" s="44" t="s">
        <v>461</v>
      </c>
      <c r="D40" s="44" t="s">
        <v>89</v>
      </c>
      <c r="E40" s="45">
        <v>4604</v>
      </c>
      <c r="F40" s="46">
        <v>27.504296</v>
      </c>
      <c r="G40" s="47">
        <v>6.6523600000000004E-3</v>
      </c>
      <c r="H40" s="40" t="s">
        <v>151</v>
      </c>
      <c r="J40" s="7"/>
    </row>
    <row r="41" spans="1:10" x14ac:dyDescent="0.2">
      <c r="A41" s="43">
        <v>35</v>
      </c>
      <c r="B41" s="44" t="s">
        <v>489</v>
      </c>
      <c r="C41" s="44" t="s">
        <v>490</v>
      </c>
      <c r="D41" s="44" t="s">
        <v>100</v>
      </c>
      <c r="E41" s="45">
        <v>88</v>
      </c>
      <c r="F41" s="46">
        <v>7.8611719999999998</v>
      </c>
      <c r="G41" s="47">
        <v>1.90135E-3</v>
      </c>
      <c r="H41" s="40" t="s">
        <v>151</v>
      </c>
      <c r="J41" s="7"/>
    </row>
    <row r="42" spans="1:10" x14ac:dyDescent="0.2">
      <c r="A42" s="41"/>
      <c r="B42" s="41"/>
      <c r="C42" s="42" t="s">
        <v>150</v>
      </c>
      <c r="D42" s="41"/>
      <c r="E42" s="41" t="s">
        <v>151</v>
      </c>
      <c r="F42" s="48">
        <v>3995.1976512000001</v>
      </c>
      <c r="G42" s="49">
        <v>0.96630318999999998</v>
      </c>
      <c r="H42" s="40" t="s">
        <v>151</v>
      </c>
      <c r="J42" s="7"/>
    </row>
    <row r="43" spans="1:10" x14ac:dyDescent="0.2">
      <c r="A43" s="41"/>
      <c r="B43" s="41"/>
      <c r="C43" s="50"/>
      <c r="D43" s="41"/>
      <c r="E43" s="41"/>
      <c r="F43" s="51"/>
      <c r="G43" s="51"/>
      <c r="H43" s="40" t="s">
        <v>151</v>
      </c>
      <c r="J43" s="7"/>
    </row>
    <row r="44" spans="1:10" x14ac:dyDescent="0.2">
      <c r="A44" s="41"/>
      <c r="B44" s="41"/>
      <c r="C44" s="42" t="s">
        <v>152</v>
      </c>
      <c r="D44" s="41"/>
      <c r="E44" s="41"/>
      <c r="F44" s="41"/>
      <c r="G44" s="41"/>
      <c r="H44" s="40" t="s">
        <v>151</v>
      </c>
      <c r="J44" s="7"/>
    </row>
    <row r="45" spans="1:10" x14ac:dyDescent="0.2">
      <c r="A45" s="41"/>
      <c r="B45" s="41"/>
      <c r="C45" s="42" t="s">
        <v>150</v>
      </c>
      <c r="D45" s="41"/>
      <c r="E45" s="41" t="s">
        <v>151</v>
      </c>
      <c r="F45" s="52" t="s">
        <v>153</v>
      </c>
      <c r="G45" s="49">
        <v>0</v>
      </c>
      <c r="H45" s="40" t="s">
        <v>151</v>
      </c>
      <c r="J45" s="7"/>
    </row>
    <row r="46" spans="1:10" x14ac:dyDescent="0.2">
      <c r="A46" s="41"/>
      <c r="B46" s="41"/>
      <c r="C46" s="50"/>
      <c r="D46" s="41"/>
      <c r="E46" s="41"/>
      <c r="F46" s="51"/>
      <c r="G46" s="51"/>
      <c r="H46" s="40" t="s">
        <v>151</v>
      </c>
      <c r="J46" s="7"/>
    </row>
    <row r="47" spans="1:10" x14ac:dyDescent="0.2">
      <c r="A47" s="41"/>
      <c r="B47" s="41"/>
      <c r="C47" s="42" t="s">
        <v>154</v>
      </c>
      <c r="D47" s="41"/>
      <c r="E47" s="41"/>
      <c r="F47" s="41"/>
      <c r="G47" s="41"/>
      <c r="H47" s="40" t="s">
        <v>151</v>
      </c>
      <c r="J47" s="7"/>
    </row>
    <row r="48" spans="1:10" x14ac:dyDescent="0.2">
      <c r="A48" s="41"/>
      <c r="B48" s="41"/>
      <c r="C48" s="42" t="s">
        <v>150</v>
      </c>
      <c r="D48" s="41"/>
      <c r="E48" s="41" t="s">
        <v>151</v>
      </c>
      <c r="F48" s="52" t="s">
        <v>153</v>
      </c>
      <c r="G48" s="49">
        <v>0</v>
      </c>
      <c r="H48" s="40" t="s">
        <v>151</v>
      </c>
      <c r="J48" s="7"/>
    </row>
    <row r="49" spans="1:10" x14ac:dyDescent="0.2">
      <c r="A49" s="41"/>
      <c r="B49" s="41"/>
      <c r="C49" s="50"/>
      <c r="D49" s="41"/>
      <c r="E49" s="41"/>
      <c r="F49" s="51"/>
      <c r="G49" s="51"/>
      <c r="H49" s="40" t="s">
        <v>151</v>
      </c>
      <c r="J49" s="7"/>
    </row>
    <row r="50" spans="1:10" x14ac:dyDescent="0.2">
      <c r="A50" s="41"/>
      <c r="B50" s="41"/>
      <c r="C50" s="42" t="s">
        <v>155</v>
      </c>
      <c r="D50" s="41"/>
      <c r="E50" s="41"/>
      <c r="F50" s="41"/>
      <c r="G50" s="41"/>
      <c r="H50" s="40" t="s">
        <v>151</v>
      </c>
      <c r="J50" s="7"/>
    </row>
    <row r="51" spans="1:10" ht="25.5" x14ac:dyDescent="0.2">
      <c r="A51" s="43">
        <v>1</v>
      </c>
      <c r="B51" s="44" t="s">
        <v>338</v>
      </c>
      <c r="C51" s="83" t="s">
        <v>946</v>
      </c>
      <c r="D51" s="44" t="s">
        <v>33</v>
      </c>
      <c r="E51" s="45">
        <v>82</v>
      </c>
      <c r="F51" s="46">
        <v>8.2032800000000003E-3</v>
      </c>
      <c r="G51" s="87" t="s">
        <v>149</v>
      </c>
      <c r="H51" s="40" t="s">
        <v>151</v>
      </c>
      <c r="J51" s="7"/>
    </row>
    <row r="52" spans="1:10" x14ac:dyDescent="0.2">
      <c r="A52" s="41"/>
      <c r="B52" s="41"/>
      <c r="C52" s="42" t="s">
        <v>150</v>
      </c>
      <c r="D52" s="41"/>
      <c r="E52" s="41" t="s">
        <v>151</v>
      </c>
      <c r="F52" s="48">
        <v>8.2032800000000003E-3</v>
      </c>
      <c r="G52" s="49">
        <v>1.9800000000000001E-6</v>
      </c>
      <c r="H52" s="40" t="s">
        <v>151</v>
      </c>
      <c r="J52" s="7"/>
    </row>
    <row r="53" spans="1:10" x14ac:dyDescent="0.2">
      <c r="A53" s="41"/>
      <c r="B53" s="41"/>
      <c r="C53" s="50"/>
      <c r="D53" s="41"/>
      <c r="E53" s="41"/>
      <c r="F53" s="51"/>
      <c r="G53" s="51"/>
      <c r="H53" s="40" t="s">
        <v>151</v>
      </c>
      <c r="J53" s="7"/>
    </row>
    <row r="54" spans="1:10" x14ac:dyDescent="0.2">
      <c r="A54" s="41"/>
      <c r="B54" s="41"/>
      <c r="C54" s="42" t="s">
        <v>156</v>
      </c>
      <c r="D54" s="41"/>
      <c r="E54" s="41"/>
      <c r="F54" s="51"/>
      <c r="G54" s="51"/>
      <c r="H54" s="40" t="s">
        <v>151</v>
      </c>
      <c r="J54" s="7"/>
    </row>
    <row r="55" spans="1:10" x14ac:dyDescent="0.2">
      <c r="A55" s="41"/>
      <c r="B55" s="41"/>
      <c r="C55" s="42" t="s">
        <v>150</v>
      </c>
      <c r="D55" s="41"/>
      <c r="E55" s="41" t="s">
        <v>151</v>
      </c>
      <c r="F55" s="52" t="s">
        <v>153</v>
      </c>
      <c r="G55" s="49">
        <v>0</v>
      </c>
      <c r="H55" s="40" t="s">
        <v>151</v>
      </c>
      <c r="J55" s="7"/>
    </row>
    <row r="56" spans="1:10" x14ac:dyDescent="0.2">
      <c r="A56" s="41"/>
      <c r="B56" s="41"/>
      <c r="C56" s="50"/>
      <c r="D56" s="41"/>
      <c r="E56" s="41"/>
      <c r="F56" s="51"/>
      <c r="G56" s="51"/>
      <c r="H56" s="40" t="s">
        <v>151</v>
      </c>
      <c r="J56" s="7"/>
    </row>
    <row r="57" spans="1:10" x14ac:dyDescent="0.2">
      <c r="A57" s="41"/>
      <c r="B57" s="41"/>
      <c r="C57" s="42" t="s">
        <v>157</v>
      </c>
      <c r="D57" s="41"/>
      <c r="E57" s="41"/>
      <c r="F57" s="51"/>
      <c r="G57" s="51"/>
      <c r="H57" s="40" t="s">
        <v>151</v>
      </c>
      <c r="J57" s="7"/>
    </row>
    <row r="58" spans="1:10" x14ac:dyDescent="0.2">
      <c r="A58" s="41"/>
      <c r="B58" s="41"/>
      <c r="C58" s="42" t="s">
        <v>150</v>
      </c>
      <c r="D58" s="41"/>
      <c r="E58" s="41" t="s">
        <v>151</v>
      </c>
      <c r="F58" s="52" t="s">
        <v>153</v>
      </c>
      <c r="G58" s="49">
        <v>0</v>
      </c>
      <c r="H58" s="40" t="s">
        <v>151</v>
      </c>
      <c r="J58" s="7"/>
    </row>
    <row r="59" spans="1:10" x14ac:dyDescent="0.2">
      <c r="A59" s="41"/>
      <c r="B59" s="41"/>
      <c r="C59" s="50"/>
      <c r="D59" s="41"/>
      <c r="E59" s="41"/>
      <c r="F59" s="51"/>
      <c r="G59" s="51"/>
      <c r="H59" s="40" t="s">
        <v>151</v>
      </c>
      <c r="J59" s="7"/>
    </row>
    <row r="60" spans="1:10" x14ac:dyDescent="0.2">
      <c r="A60" s="41"/>
      <c r="B60" s="41"/>
      <c r="C60" s="42" t="s">
        <v>158</v>
      </c>
      <c r="D60" s="41"/>
      <c r="E60" s="41"/>
      <c r="F60" s="48">
        <v>3995.2058544800002</v>
      </c>
      <c r="G60" s="49">
        <v>0.96630517000000005</v>
      </c>
      <c r="H60" s="40" t="s">
        <v>151</v>
      </c>
      <c r="J60" s="7"/>
    </row>
    <row r="61" spans="1:10" x14ac:dyDescent="0.2">
      <c r="A61" s="41"/>
      <c r="B61" s="41"/>
      <c r="C61" s="50"/>
      <c r="D61" s="41"/>
      <c r="E61" s="41"/>
      <c r="F61" s="51"/>
      <c r="G61" s="51"/>
      <c r="H61" s="40" t="s">
        <v>151</v>
      </c>
      <c r="J61" s="7"/>
    </row>
    <row r="62" spans="1:10" x14ac:dyDescent="0.2">
      <c r="A62" s="41"/>
      <c r="B62" s="41"/>
      <c r="C62" s="42" t="s">
        <v>159</v>
      </c>
      <c r="D62" s="41"/>
      <c r="E62" s="41"/>
      <c r="F62" s="51"/>
      <c r="G62" s="51"/>
      <c r="H62" s="40" t="s">
        <v>151</v>
      </c>
      <c r="J62" s="7"/>
    </row>
    <row r="63" spans="1:10" x14ac:dyDescent="0.2">
      <c r="A63" s="41"/>
      <c r="B63" s="41"/>
      <c r="C63" s="42" t="s">
        <v>10</v>
      </c>
      <c r="D63" s="41"/>
      <c r="E63" s="41"/>
      <c r="F63" s="51"/>
      <c r="G63" s="51"/>
      <c r="H63" s="40" t="s">
        <v>151</v>
      </c>
      <c r="J63" s="7"/>
    </row>
    <row r="64" spans="1:10" x14ac:dyDescent="0.2">
      <c r="A64" s="41"/>
      <c r="B64" s="41"/>
      <c r="C64" s="42" t="s">
        <v>150</v>
      </c>
      <c r="D64" s="41"/>
      <c r="E64" s="41" t="s">
        <v>151</v>
      </c>
      <c r="F64" s="52" t="s">
        <v>153</v>
      </c>
      <c r="G64" s="49">
        <v>0</v>
      </c>
      <c r="H64" s="40" t="s">
        <v>151</v>
      </c>
      <c r="J64" s="7"/>
    </row>
    <row r="65" spans="1:10" x14ac:dyDescent="0.2">
      <c r="A65" s="41"/>
      <c r="B65" s="41"/>
      <c r="C65" s="50"/>
      <c r="D65" s="41"/>
      <c r="E65" s="41"/>
      <c r="F65" s="51"/>
      <c r="G65" s="51"/>
      <c r="H65" s="40" t="s">
        <v>151</v>
      </c>
      <c r="J65" s="7"/>
    </row>
    <row r="66" spans="1:10" x14ac:dyDescent="0.2">
      <c r="A66" s="41"/>
      <c r="B66" s="41"/>
      <c r="C66" s="42" t="s">
        <v>160</v>
      </c>
      <c r="D66" s="41"/>
      <c r="E66" s="41"/>
      <c r="F66" s="41"/>
      <c r="G66" s="41"/>
      <c r="H66" s="40" t="s">
        <v>151</v>
      </c>
      <c r="J66" s="7"/>
    </row>
    <row r="67" spans="1:10" x14ac:dyDescent="0.2">
      <c r="A67" s="41"/>
      <c r="B67" s="41"/>
      <c r="C67" s="42" t="s">
        <v>150</v>
      </c>
      <c r="D67" s="41"/>
      <c r="E67" s="41" t="s">
        <v>151</v>
      </c>
      <c r="F67" s="52" t="s">
        <v>153</v>
      </c>
      <c r="G67" s="49">
        <v>0</v>
      </c>
      <c r="H67" s="40" t="s">
        <v>151</v>
      </c>
      <c r="J67" s="7"/>
    </row>
    <row r="68" spans="1:10" x14ac:dyDescent="0.2">
      <c r="A68" s="41"/>
      <c r="B68" s="41"/>
      <c r="C68" s="50"/>
      <c r="D68" s="41"/>
      <c r="E68" s="41"/>
      <c r="F68" s="51"/>
      <c r="G68" s="51"/>
      <c r="H68" s="40" t="s">
        <v>151</v>
      </c>
      <c r="J68" s="7"/>
    </row>
    <row r="69" spans="1:10" x14ac:dyDescent="0.2">
      <c r="A69" s="41"/>
      <c r="B69" s="41"/>
      <c r="C69" s="42" t="s">
        <v>161</v>
      </c>
      <c r="D69" s="41"/>
      <c r="E69" s="41"/>
      <c r="F69" s="41"/>
      <c r="G69" s="41"/>
      <c r="H69" s="40" t="s">
        <v>151</v>
      </c>
      <c r="J69" s="7"/>
    </row>
    <row r="70" spans="1:10" x14ac:dyDescent="0.2">
      <c r="A70" s="41"/>
      <c r="B70" s="41"/>
      <c r="C70" s="42" t="s">
        <v>150</v>
      </c>
      <c r="D70" s="41"/>
      <c r="E70" s="41" t="s">
        <v>151</v>
      </c>
      <c r="F70" s="52" t="s">
        <v>153</v>
      </c>
      <c r="G70" s="49">
        <v>0</v>
      </c>
      <c r="H70" s="40" t="s">
        <v>151</v>
      </c>
      <c r="J70" s="7"/>
    </row>
    <row r="71" spans="1:10" x14ac:dyDescent="0.2">
      <c r="A71" s="41"/>
      <c r="B71" s="41"/>
      <c r="C71" s="50"/>
      <c r="D71" s="41"/>
      <c r="E71" s="41"/>
      <c r="F71" s="51"/>
      <c r="G71" s="51"/>
      <c r="H71" s="40" t="s">
        <v>151</v>
      </c>
      <c r="J71" s="7"/>
    </row>
    <row r="72" spans="1:10" x14ac:dyDescent="0.2">
      <c r="A72" s="41"/>
      <c r="B72" s="41"/>
      <c r="C72" s="42" t="s">
        <v>162</v>
      </c>
      <c r="D72" s="41"/>
      <c r="E72" s="41"/>
      <c r="F72" s="51"/>
      <c r="G72" s="51"/>
      <c r="H72" s="40" t="s">
        <v>151</v>
      </c>
      <c r="J72" s="7"/>
    </row>
    <row r="73" spans="1:10" x14ac:dyDescent="0.2">
      <c r="A73" s="41"/>
      <c r="B73" s="41"/>
      <c r="C73" s="42" t="s">
        <v>150</v>
      </c>
      <c r="D73" s="41"/>
      <c r="E73" s="41" t="s">
        <v>151</v>
      </c>
      <c r="F73" s="52" t="s">
        <v>153</v>
      </c>
      <c r="G73" s="49">
        <v>0</v>
      </c>
      <c r="H73" s="40" t="s">
        <v>151</v>
      </c>
      <c r="J73" s="7"/>
    </row>
    <row r="74" spans="1:10" x14ac:dyDescent="0.2">
      <c r="A74" s="41"/>
      <c r="B74" s="41"/>
      <c r="C74" s="50"/>
      <c r="D74" s="41"/>
      <c r="E74" s="41"/>
      <c r="F74" s="51"/>
      <c r="G74" s="51"/>
      <c r="H74" s="40" t="s">
        <v>151</v>
      </c>
      <c r="J74" s="7"/>
    </row>
    <row r="75" spans="1:10" x14ac:dyDescent="0.2">
      <c r="A75" s="41"/>
      <c r="B75" s="41"/>
      <c r="C75" s="42" t="s">
        <v>163</v>
      </c>
      <c r="D75" s="41"/>
      <c r="E75" s="41"/>
      <c r="F75" s="48">
        <v>0</v>
      </c>
      <c r="G75" s="49">
        <v>0</v>
      </c>
      <c r="H75" s="40" t="s">
        <v>151</v>
      </c>
      <c r="J75" s="7"/>
    </row>
    <row r="76" spans="1:10" x14ac:dyDescent="0.2">
      <c r="A76" s="41"/>
      <c r="B76" s="41"/>
      <c r="C76" s="50"/>
      <c r="D76" s="41"/>
      <c r="E76" s="41"/>
      <c r="F76" s="51"/>
      <c r="G76" s="51"/>
      <c r="H76" s="40" t="s">
        <v>151</v>
      </c>
      <c r="J76" s="7"/>
    </row>
    <row r="77" spans="1:10" x14ac:dyDescent="0.2">
      <c r="A77" s="41"/>
      <c r="B77" s="41"/>
      <c r="C77" s="42" t="s">
        <v>164</v>
      </c>
      <c r="D77" s="41"/>
      <c r="E77" s="41"/>
      <c r="F77" s="51"/>
      <c r="G77" s="51"/>
      <c r="H77" s="40" t="s">
        <v>151</v>
      </c>
      <c r="J77" s="7"/>
    </row>
    <row r="78" spans="1:10" x14ac:dyDescent="0.2">
      <c r="A78" s="41"/>
      <c r="B78" s="41"/>
      <c r="C78" s="42" t="s">
        <v>165</v>
      </c>
      <c r="D78" s="41"/>
      <c r="E78" s="41"/>
      <c r="F78" s="51"/>
      <c r="G78" s="51"/>
      <c r="H78" s="40" t="s">
        <v>151</v>
      </c>
      <c r="J78" s="7"/>
    </row>
    <row r="79" spans="1:10" x14ac:dyDescent="0.2">
      <c r="A79" s="41"/>
      <c r="B79" s="41"/>
      <c r="C79" s="42" t="s">
        <v>150</v>
      </c>
      <c r="D79" s="41"/>
      <c r="E79" s="41" t="s">
        <v>151</v>
      </c>
      <c r="F79" s="52" t="s">
        <v>153</v>
      </c>
      <c r="G79" s="49">
        <v>0</v>
      </c>
      <c r="H79" s="40" t="s">
        <v>151</v>
      </c>
      <c r="J79" s="7"/>
    </row>
    <row r="80" spans="1:10" x14ac:dyDescent="0.2">
      <c r="A80" s="41"/>
      <c r="B80" s="41"/>
      <c r="C80" s="50"/>
      <c r="D80" s="41"/>
      <c r="E80" s="41"/>
      <c r="F80" s="51"/>
      <c r="G80" s="51"/>
      <c r="H80" s="40" t="s">
        <v>151</v>
      </c>
      <c r="J80" s="7"/>
    </row>
    <row r="81" spans="1:10" x14ac:dyDescent="0.2">
      <c r="A81" s="41"/>
      <c r="B81" s="41"/>
      <c r="C81" s="42" t="s">
        <v>166</v>
      </c>
      <c r="D81" s="41"/>
      <c r="E81" s="41"/>
      <c r="F81" s="51"/>
      <c r="G81" s="51"/>
      <c r="H81" s="40" t="s">
        <v>151</v>
      </c>
      <c r="J81" s="7"/>
    </row>
    <row r="82" spans="1:10" x14ac:dyDescent="0.2">
      <c r="A82" s="41"/>
      <c r="B82" s="41"/>
      <c r="C82" s="42" t="s">
        <v>150</v>
      </c>
      <c r="D82" s="41"/>
      <c r="E82" s="41" t="s">
        <v>151</v>
      </c>
      <c r="F82" s="52" t="s">
        <v>153</v>
      </c>
      <c r="G82" s="49">
        <v>0</v>
      </c>
      <c r="H82" s="40" t="s">
        <v>151</v>
      </c>
      <c r="J82" s="7"/>
    </row>
    <row r="83" spans="1:10" x14ac:dyDescent="0.2">
      <c r="A83" s="41"/>
      <c r="B83" s="41"/>
      <c r="C83" s="50"/>
      <c r="D83" s="41"/>
      <c r="E83" s="41"/>
      <c r="F83" s="51"/>
      <c r="G83" s="51"/>
      <c r="H83" s="40" t="s">
        <v>151</v>
      </c>
      <c r="J83" s="7"/>
    </row>
    <row r="84" spans="1:10" x14ac:dyDescent="0.2">
      <c r="A84" s="41"/>
      <c r="B84" s="41"/>
      <c r="C84" s="42" t="s">
        <v>167</v>
      </c>
      <c r="D84" s="41"/>
      <c r="E84" s="41"/>
      <c r="F84" s="51"/>
      <c r="G84" s="51"/>
      <c r="H84" s="40" t="s">
        <v>151</v>
      </c>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168</v>
      </c>
      <c r="D87" s="41"/>
      <c r="E87" s="41"/>
      <c r="F87" s="51"/>
      <c r="G87" s="51"/>
      <c r="H87" s="40" t="s">
        <v>151</v>
      </c>
      <c r="J87" s="7"/>
    </row>
    <row r="88" spans="1:10" x14ac:dyDescent="0.2">
      <c r="A88" s="43">
        <v>1</v>
      </c>
      <c r="B88" s="44"/>
      <c r="C88" s="44" t="s">
        <v>169</v>
      </c>
      <c r="D88" s="44"/>
      <c r="E88" s="54"/>
      <c r="F88" s="46">
        <v>143.398664</v>
      </c>
      <c r="G88" s="47">
        <v>3.4683289999999999E-2</v>
      </c>
      <c r="H88" s="40">
        <v>6.39</v>
      </c>
      <c r="J88" s="7"/>
    </row>
    <row r="89" spans="1:10" x14ac:dyDescent="0.2">
      <c r="A89" s="41"/>
      <c r="B89" s="41"/>
      <c r="C89" s="42" t="s">
        <v>150</v>
      </c>
      <c r="D89" s="41"/>
      <c r="E89" s="41" t="s">
        <v>151</v>
      </c>
      <c r="F89" s="48">
        <v>143.398664</v>
      </c>
      <c r="G89" s="49">
        <v>3.4683289999999999E-2</v>
      </c>
      <c r="H89" s="40" t="s">
        <v>151</v>
      </c>
      <c r="J89" s="7"/>
    </row>
    <row r="90" spans="1:10" x14ac:dyDescent="0.2">
      <c r="A90" s="41"/>
      <c r="B90" s="41"/>
      <c r="C90" s="50"/>
      <c r="D90" s="41"/>
      <c r="E90" s="41"/>
      <c r="F90" s="51"/>
      <c r="G90" s="51"/>
      <c r="H90" s="40" t="s">
        <v>151</v>
      </c>
      <c r="J90" s="7"/>
    </row>
    <row r="91" spans="1:10" x14ac:dyDescent="0.2">
      <c r="A91" s="41"/>
      <c r="B91" s="41"/>
      <c r="C91" s="42" t="s">
        <v>170</v>
      </c>
      <c r="D91" s="41"/>
      <c r="E91" s="41"/>
      <c r="F91" s="48">
        <v>143.398664</v>
      </c>
      <c r="G91" s="49">
        <v>3.4683289999999999E-2</v>
      </c>
      <c r="H91" s="40" t="s">
        <v>151</v>
      </c>
      <c r="J91" s="7"/>
    </row>
    <row r="92" spans="1:10" x14ac:dyDescent="0.2">
      <c r="A92" s="41"/>
      <c r="B92" s="41"/>
      <c r="C92" s="51"/>
      <c r="D92" s="41"/>
      <c r="E92" s="41"/>
      <c r="F92" s="41"/>
      <c r="G92" s="41"/>
      <c r="H92" s="40" t="s">
        <v>151</v>
      </c>
      <c r="J92" s="7"/>
    </row>
    <row r="93" spans="1:10" x14ac:dyDescent="0.2">
      <c r="A93" s="41"/>
      <c r="B93" s="41"/>
      <c r="C93" s="42" t="s">
        <v>171</v>
      </c>
      <c r="D93" s="41"/>
      <c r="E93" s="41"/>
      <c r="F93" s="41"/>
      <c r="G93" s="41"/>
      <c r="H93" s="40" t="s">
        <v>151</v>
      </c>
      <c r="J93" s="7"/>
    </row>
    <row r="94" spans="1:10" x14ac:dyDescent="0.2">
      <c r="A94" s="41"/>
      <c r="B94" s="41"/>
      <c r="C94" s="42" t="s">
        <v>172</v>
      </c>
      <c r="D94" s="41"/>
      <c r="E94" s="41"/>
      <c r="F94" s="41"/>
      <c r="G94" s="41"/>
      <c r="H94" s="40" t="s">
        <v>151</v>
      </c>
      <c r="J94" s="7"/>
    </row>
    <row r="95" spans="1:10" x14ac:dyDescent="0.2">
      <c r="A95" s="41"/>
      <c r="B95" s="41"/>
      <c r="C95" s="42" t="s">
        <v>150</v>
      </c>
      <c r="D95" s="41"/>
      <c r="E95" s="41" t="s">
        <v>151</v>
      </c>
      <c r="F95" s="52" t="s">
        <v>153</v>
      </c>
      <c r="G95" s="49">
        <v>0</v>
      </c>
      <c r="H95" s="40" t="s">
        <v>151</v>
      </c>
      <c r="J95" s="7"/>
    </row>
    <row r="96" spans="1:10" x14ac:dyDescent="0.2">
      <c r="A96" s="41"/>
      <c r="B96" s="41"/>
      <c r="C96" s="50"/>
      <c r="D96" s="41"/>
      <c r="E96" s="41"/>
      <c r="F96" s="51"/>
      <c r="G96" s="51"/>
      <c r="H96" s="40" t="s">
        <v>151</v>
      </c>
      <c r="J96" s="7"/>
    </row>
    <row r="97" spans="1:17" x14ac:dyDescent="0.2">
      <c r="A97" s="41"/>
      <c r="B97" s="41"/>
      <c r="C97" s="42" t="s">
        <v>173</v>
      </c>
      <c r="D97" s="41"/>
      <c r="E97" s="41"/>
      <c r="F97" s="41"/>
      <c r="G97" s="41"/>
      <c r="H97" s="40" t="s">
        <v>151</v>
      </c>
      <c r="J97" s="7"/>
    </row>
    <row r="98" spans="1:17" x14ac:dyDescent="0.2">
      <c r="A98" s="41"/>
      <c r="B98" s="41"/>
      <c r="C98" s="42" t="s">
        <v>174</v>
      </c>
      <c r="D98" s="41"/>
      <c r="E98" s="41"/>
      <c r="F98" s="41"/>
      <c r="G98" s="41"/>
      <c r="H98" s="40" t="s">
        <v>151</v>
      </c>
      <c r="J98" s="7"/>
    </row>
    <row r="99" spans="1:17" x14ac:dyDescent="0.2">
      <c r="A99" s="41"/>
      <c r="B99" s="41"/>
      <c r="C99" s="42" t="s">
        <v>150</v>
      </c>
      <c r="D99" s="41"/>
      <c r="E99" s="41" t="s">
        <v>151</v>
      </c>
      <c r="F99" s="52" t="s">
        <v>153</v>
      </c>
      <c r="G99" s="49">
        <v>0</v>
      </c>
      <c r="H99" s="40" t="s">
        <v>151</v>
      </c>
      <c r="J99" s="7"/>
    </row>
    <row r="100" spans="1:17" x14ac:dyDescent="0.2">
      <c r="A100" s="41"/>
      <c r="B100" s="41"/>
      <c r="C100" s="50"/>
      <c r="D100" s="41"/>
      <c r="E100" s="41"/>
      <c r="F100" s="51"/>
      <c r="G100" s="51"/>
      <c r="H100" s="40" t="s">
        <v>151</v>
      </c>
      <c r="J100" s="7"/>
    </row>
    <row r="101" spans="1:17" x14ac:dyDescent="0.2">
      <c r="A101" s="41"/>
      <c r="B101" s="41"/>
      <c r="C101" s="42" t="s">
        <v>175</v>
      </c>
      <c r="D101" s="41"/>
      <c r="E101" s="41"/>
      <c r="F101" s="51"/>
      <c r="G101" s="51"/>
      <c r="H101" s="40" t="s">
        <v>151</v>
      </c>
      <c r="J101" s="7"/>
    </row>
    <row r="102" spans="1:17" x14ac:dyDescent="0.2">
      <c r="A102" s="41"/>
      <c r="B102" s="41"/>
      <c r="C102" s="42" t="s">
        <v>150</v>
      </c>
      <c r="D102" s="41"/>
      <c r="E102" s="41" t="s">
        <v>151</v>
      </c>
      <c r="F102" s="52" t="s">
        <v>153</v>
      </c>
      <c r="G102" s="49">
        <v>0</v>
      </c>
      <c r="H102" s="40" t="s">
        <v>151</v>
      </c>
      <c r="J102" s="7"/>
    </row>
    <row r="103" spans="1:17" x14ac:dyDescent="0.2">
      <c r="A103" s="41"/>
      <c r="B103" s="41"/>
      <c r="C103" s="50"/>
      <c r="D103" s="41"/>
      <c r="E103" s="41"/>
      <c r="F103" s="51"/>
      <c r="G103" s="51"/>
      <c r="H103" s="40" t="s">
        <v>151</v>
      </c>
      <c r="J103" s="7"/>
    </row>
    <row r="104" spans="1:17" x14ac:dyDescent="0.2">
      <c r="A104" s="41"/>
      <c r="B104" s="44"/>
      <c r="C104" s="44"/>
      <c r="D104" s="42"/>
      <c r="E104" s="41"/>
      <c r="F104" s="44"/>
      <c r="G104" s="54"/>
      <c r="H104" s="40" t="s">
        <v>151</v>
      </c>
      <c r="J104" s="7"/>
    </row>
    <row r="105" spans="1:17" x14ac:dyDescent="0.2">
      <c r="A105" s="54"/>
      <c r="B105" s="44"/>
      <c r="C105" s="44" t="s">
        <v>176</v>
      </c>
      <c r="D105" s="44"/>
      <c r="E105" s="54"/>
      <c r="F105" s="46">
        <v>-4.0866735199999997</v>
      </c>
      <c r="G105" s="47">
        <v>-9.8842999999999999E-4</v>
      </c>
      <c r="H105" s="40" t="s">
        <v>151</v>
      </c>
      <c r="J105" s="7"/>
    </row>
    <row r="106" spans="1:17" x14ac:dyDescent="0.2">
      <c r="A106" s="50"/>
      <c r="B106" s="50"/>
      <c r="C106" s="42" t="s">
        <v>177</v>
      </c>
      <c r="D106" s="51"/>
      <c r="E106" s="51"/>
      <c r="F106" s="48">
        <v>4134.5178449599998</v>
      </c>
      <c r="G106" s="55">
        <v>1.00000003</v>
      </c>
      <c r="H106" s="40" t="s">
        <v>151</v>
      </c>
      <c r="J106" s="7"/>
    </row>
    <row r="107" spans="1:17" x14ac:dyDescent="0.2">
      <c r="A107" s="56"/>
      <c r="B107" s="56"/>
      <c r="C107" s="56"/>
      <c r="D107" s="57"/>
      <c r="E107" s="57"/>
      <c r="F107" s="57"/>
      <c r="G107" s="57"/>
      <c r="J107" s="7"/>
    </row>
    <row r="108" spans="1:17" ht="12.75" customHeight="1" x14ac:dyDescent="0.2">
      <c r="A108" s="58"/>
      <c r="B108" s="159" t="s">
        <v>923</v>
      </c>
      <c r="C108" s="159"/>
      <c r="D108" s="159"/>
      <c r="E108" s="159"/>
      <c r="F108" s="159"/>
      <c r="G108" s="159"/>
      <c r="H108" s="159"/>
      <c r="J108" s="7"/>
    </row>
    <row r="109" spans="1:17" ht="14.1" customHeight="1" x14ac:dyDescent="0.2">
      <c r="A109" s="58"/>
      <c r="B109" s="159" t="s">
        <v>924</v>
      </c>
      <c r="C109" s="159"/>
      <c r="D109" s="159"/>
      <c r="E109" s="159"/>
      <c r="F109" s="159"/>
      <c r="G109" s="159"/>
      <c r="H109" s="159"/>
      <c r="J109" s="7"/>
    </row>
    <row r="110" spans="1:17" ht="17.100000000000001" customHeight="1" x14ac:dyDescent="0.2">
      <c r="A110" s="58"/>
      <c r="B110" s="159" t="s">
        <v>925</v>
      </c>
      <c r="C110" s="159"/>
      <c r="D110" s="159"/>
      <c r="E110" s="159"/>
      <c r="F110" s="159"/>
      <c r="G110" s="159"/>
      <c r="H110" s="159"/>
      <c r="J110" s="7"/>
    </row>
    <row r="111" spans="1:17" s="8" customFormat="1" ht="65.25" customHeight="1" x14ac:dyDescent="0.25">
      <c r="A111" s="60"/>
      <c r="B111" s="160" t="s">
        <v>926</v>
      </c>
      <c r="C111" s="160"/>
      <c r="D111" s="160"/>
      <c r="E111" s="160"/>
      <c r="F111" s="160"/>
      <c r="G111" s="160"/>
      <c r="H111" s="160"/>
      <c r="I111"/>
      <c r="J111" s="7"/>
      <c r="K111"/>
      <c r="L111"/>
      <c r="M111"/>
      <c r="N111"/>
      <c r="O111"/>
      <c r="P111"/>
      <c r="Q111"/>
    </row>
    <row r="112" spans="1:17" ht="12.75" customHeight="1" x14ac:dyDescent="0.2">
      <c r="A112" s="58"/>
      <c r="B112" s="159" t="s">
        <v>927</v>
      </c>
      <c r="C112" s="159"/>
      <c r="D112" s="159"/>
      <c r="E112" s="159"/>
      <c r="F112" s="159"/>
      <c r="G112" s="159"/>
      <c r="H112" s="159"/>
      <c r="J112" s="7"/>
    </row>
    <row r="113" spans="1:10" x14ac:dyDescent="0.2">
      <c r="A113" s="61"/>
      <c r="B113" s="61"/>
      <c r="C113" s="61"/>
      <c r="D113" s="62"/>
      <c r="E113" s="62"/>
      <c r="F113" s="62"/>
      <c r="G113" s="62"/>
      <c r="J113" s="7"/>
    </row>
    <row r="114" spans="1:10" x14ac:dyDescent="0.2">
      <c r="A114" s="61"/>
      <c r="B114" s="161" t="s">
        <v>178</v>
      </c>
      <c r="C114" s="162"/>
      <c r="D114" s="163"/>
      <c r="E114" s="63"/>
      <c r="F114" s="62"/>
      <c r="G114" s="62"/>
      <c r="J114" s="7"/>
    </row>
    <row r="115" spans="1:10" x14ac:dyDescent="0.2">
      <c r="A115" s="61"/>
      <c r="B115" s="156" t="s">
        <v>179</v>
      </c>
      <c r="C115" s="157"/>
      <c r="D115" s="42" t="s">
        <v>180</v>
      </c>
      <c r="E115" s="63"/>
      <c r="F115" s="62"/>
      <c r="G115" s="62"/>
      <c r="J115" s="7"/>
    </row>
    <row r="116" spans="1:10" ht="12.75" customHeight="1" x14ac:dyDescent="0.2">
      <c r="A116" s="58"/>
      <c r="B116" s="164" t="s">
        <v>939</v>
      </c>
      <c r="C116" s="165"/>
      <c r="D116" s="64" t="str">
        <f>"Rs. "&amp;TEXT(F52,"0.00")&amp;" lacs/ #"</f>
        <v>Rs. 0.01 lacs/ #</v>
      </c>
      <c r="E116" s="65"/>
      <c r="F116" s="66"/>
      <c r="G116" s="66"/>
      <c r="J116" s="7"/>
    </row>
    <row r="117" spans="1:10" x14ac:dyDescent="0.2">
      <c r="A117" s="61"/>
      <c r="B117" s="156" t="s">
        <v>182</v>
      </c>
      <c r="C117" s="157"/>
      <c r="D117" s="51" t="s">
        <v>151</v>
      </c>
      <c r="E117" s="63"/>
      <c r="F117" s="62"/>
      <c r="G117" s="62"/>
      <c r="J117" s="7"/>
    </row>
    <row r="118" spans="1:10" x14ac:dyDescent="0.2">
      <c r="A118" s="67"/>
      <c r="B118" s="68" t="s">
        <v>151</v>
      </c>
      <c r="C118" s="68" t="s">
        <v>937</v>
      </c>
      <c r="D118" s="68" t="s">
        <v>183</v>
      </c>
      <c r="E118" s="67"/>
      <c r="F118" s="67"/>
      <c r="G118" s="67"/>
      <c r="H118" s="67"/>
      <c r="J118" s="7"/>
    </row>
    <row r="119" spans="1:10" x14ac:dyDescent="0.2">
      <c r="A119" s="69"/>
      <c r="B119" s="70" t="s">
        <v>184</v>
      </c>
      <c r="C119" s="80" t="s">
        <v>185</v>
      </c>
      <c r="D119" s="80" t="s">
        <v>186</v>
      </c>
      <c r="E119" s="69"/>
      <c r="F119" s="69"/>
      <c r="G119" s="69"/>
      <c r="J119" s="7"/>
    </row>
    <row r="120" spans="1:10" x14ac:dyDescent="0.2">
      <c r="A120" s="69"/>
      <c r="B120" s="44" t="s">
        <v>187</v>
      </c>
      <c r="C120" s="72">
        <v>27.464400000000001</v>
      </c>
      <c r="D120" s="72">
        <v>27.543900000000001</v>
      </c>
      <c r="E120" s="69"/>
      <c r="F120" s="73"/>
      <c r="G120" s="74"/>
      <c r="J120" s="7"/>
    </row>
    <row r="121" spans="1:10" x14ac:dyDescent="0.2">
      <c r="A121" s="69"/>
      <c r="B121" s="44" t="s">
        <v>1094</v>
      </c>
      <c r="C121" s="72">
        <v>26.581700000000001</v>
      </c>
      <c r="D121" s="72">
        <v>26.6585</v>
      </c>
      <c r="E121" s="69"/>
      <c r="F121" s="73"/>
      <c r="G121" s="74"/>
      <c r="J121" s="7"/>
    </row>
    <row r="122" spans="1:10" x14ac:dyDescent="0.2">
      <c r="A122" s="69"/>
      <c r="B122" s="44" t="s">
        <v>188</v>
      </c>
      <c r="C122" s="72">
        <v>26.266400000000001</v>
      </c>
      <c r="D122" s="72">
        <v>26.337</v>
      </c>
      <c r="E122" s="69"/>
      <c r="F122" s="73"/>
      <c r="G122" s="74"/>
      <c r="J122" s="7"/>
    </row>
    <row r="123" spans="1:10" x14ac:dyDescent="0.2">
      <c r="A123" s="69"/>
      <c r="B123" s="44" t="s">
        <v>1095</v>
      </c>
      <c r="C123" s="72">
        <v>25.384799999999998</v>
      </c>
      <c r="D123" s="72">
        <v>25.452999999999999</v>
      </c>
      <c r="E123" s="69"/>
      <c r="F123" s="73"/>
      <c r="G123" s="74"/>
      <c r="J123" s="7"/>
    </row>
    <row r="124" spans="1:10" x14ac:dyDescent="0.2">
      <c r="A124" s="69"/>
      <c r="B124" s="69"/>
      <c r="C124" s="69"/>
      <c r="D124" s="69"/>
      <c r="E124" s="69"/>
      <c r="F124" s="69"/>
      <c r="G124" s="69"/>
      <c r="J124" s="7"/>
    </row>
    <row r="125" spans="1:10" x14ac:dyDescent="0.2">
      <c r="A125" s="67"/>
      <c r="B125" s="164" t="s">
        <v>940</v>
      </c>
      <c r="C125" s="165"/>
      <c r="D125" s="64" t="s">
        <v>180</v>
      </c>
      <c r="E125" s="67"/>
      <c r="F125" s="67"/>
      <c r="G125" s="67"/>
      <c r="J125" s="7"/>
    </row>
    <row r="126" spans="1:10" x14ac:dyDescent="0.2">
      <c r="A126" s="67"/>
      <c r="B126" s="84"/>
      <c r="C126" s="84"/>
      <c r="D126" s="84"/>
      <c r="E126" s="67"/>
      <c r="F126" s="67"/>
      <c r="G126" s="67"/>
      <c r="J126" s="7"/>
    </row>
    <row r="127" spans="1:10" x14ac:dyDescent="0.2">
      <c r="A127" s="67"/>
      <c r="B127" s="164" t="s">
        <v>189</v>
      </c>
      <c r="C127" s="165"/>
      <c r="D127" s="64" t="s">
        <v>180</v>
      </c>
      <c r="E127" s="75"/>
      <c r="F127" s="67"/>
      <c r="G127" s="67"/>
      <c r="J127" s="7"/>
    </row>
    <row r="128" spans="1:10" x14ac:dyDescent="0.2">
      <c r="A128" s="67"/>
      <c r="B128" s="164" t="s">
        <v>190</v>
      </c>
      <c r="C128" s="165"/>
      <c r="D128" s="64" t="s">
        <v>180</v>
      </c>
      <c r="E128" s="75"/>
      <c r="F128" s="67"/>
      <c r="G128" s="67"/>
      <c r="J128" s="7"/>
    </row>
    <row r="129" spans="1:10" x14ac:dyDescent="0.2">
      <c r="A129" s="67"/>
      <c r="B129" s="164" t="s">
        <v>191</v>
      </c>
      <c r="C129" s="165"/>
      <c r="D129" s="64" t="s">
        <v>180</v>
      </c>
      <c r="E129" s="75"/>
      <c r="F129" s="67"/>
      <c r="G129" s="67"/>
      <c r="J129" s="7"/>
    </row>
    <row r="130" spans="1:10" x14ac:dyDescent="0.2">
      <c r="A130" s="67"/>
      <c r="B130" s="164" t="s">
        <v>192</v>
      </c>
      <c r="C130" s="165"/>
      <c r="D130" s="76">
        <v>0.29845876557046941</v>
      </c>
      <c r="E130" s="67"/>
      <c r="F130" s="59"/>
      <c r="G130" s="77"/>
      <c r="J130" s="7"/>
    </row>
    <row r="131" spans="1:10" x14ac:dyDescent="0.2">
      <c r="J131" s="7"/>
    </row>
    <row r="132" spans="1:10" x14ac:dyDescent="0.2">
      <c r="J132" s="7"/>
    </row>
    <row r="133" spans="1:10" x14ac:dyDescent="0.2">
      <c r="J133" s="7"/>
    </row>
    <row r="134" spans="1:10" x14ac:dyDescent="0.2">
      <c r="J134" s="7"/>
    </row>
    <row r="135" spans="1:10" x14ac:dyDescent="0.2">
      <c r="J135" s="7"/>
    </row>
    <row r="136" spans="1:10" x14ac:dyDescent="0.2">
      <c r="J136" s="7"/>
    </row>
    <row r="137" spans="1:10" x14ac:dyDescent="0.2">
      <c r="J137" s="7"/>
    </row>
    <row r="138" spans="1:10" x14ac:dyDescent="0.2">
      <c r="J138" s="7"/>
    </row>
    <row r="139" spans="1:10" x14ac:dyDescent="0.2">
      <c r="J139" s="7"/>
    </row>
  </sheetData>
  <mergeCells count="17">
    <mergeCell ref="B116:C116"/>
    <mergeCell ref="B117:C117"/>
    <mergeCell ref="B125:C125"/>
    <mergeCell ref="B129:C129"/>
    <mergeCell ref="B130:C130"/>
    <mergeCell ref="B127:C127"/>
    <mergeCell ref="B128:C128"/>
    <mergeCell ref="B115:C115"/>
    <mergeCell ref="A1:H1"/>
    <mergeCell ref="A2:H2"/>
    <mergeCell ref="A3:H3"/>
    <mergeCell ref="B108:H108"/>
    <mergeCell ref="B109:H109"/>
    <mergeCell ref="B110:H110"/>
    <mergeCell ref="B111:H111"/>
    <mergeCell ref="B112:H112"/>
    <mergeCell ref="B114:D114"/>
  </mergeCells>
  <hyperlinks>
    <hyperlink ref="I1" location="Index!B13" display="Index" xr:uid="{915D2999-0DD2-4EDC-B32D-56622DD9026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6ADB4-0868-4255-B22E-52831DDAE0C4}">
  <sheetPr>
    <outlinePr summaryBelow="0" summaryRight="0"/>
  </sheetPr>
  <dimension ref="A1:Q178"/>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42578125" bestFit="1" customWidth="1"/>
    <col min="5" max="5" width="9" bestFit="1" customWidth="1"/>
    <col min="6" max="6" width="10.140625" bestFit="1" customWidth="1"/>
    <col min="7" max="7" width="9.140625" customWidth="1"/>
    <col min="8" max="8" width="8.42578125" bestFit="1" customWidth="1"/>
    <col min="9" max="9" width="5.710937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494</v>
      </c>
      <c r="B2" s="158"/>
      <c r="C2" s="158"/>
      <c r="D2" s="158"/>
      <c r="E2" s="158"/>
      <c r="F2" s="158"/>
      <c r="G2" s="158"/>
      <c r="H2" s="158"/>
      <c r="J2" s="11" t="s">
        <v>942</v>
      </c>
    </row>
    <row r="3" spans="1:10" ht="15" customHeight="1" x14ac:dyDescent="0.2">
      <c r="A3" s="158" t="s">
        <v>880</v>
      </c>
      <c r="B3" s="158"/>
      <c r="C3" s="158"/>
      <c r="D3" s="158"/>
      <c r="E3" s="158"/>
      <c r="F3" s="158"/>
      <c r="G3" s="158"/>
      <c r="H3" s="158"/>
      <c r="J3" s="7"/>
    </row>
    <row r="4" spans="1:10" s="1" customFormat="1" ht="33" customHeight="1"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264</v>
      </c>
      <c r="C7" s="44" t="s">
        <v>265</v>
      </c>
      <c r="D7" s="44" t="s">
        <v>86</v>
      </c>
      <c r="E7" s="45">
        <v>680275</v>
      </c>
      <c r="F7" s="46">
        <v>10324.193537499999</v>
      </c>
      <c r="G7" s="47">
        <v>3.02347E-2</v>
      </c>
      <c r="H7" s="40" t="s">
        <v>151</v>
      </c>
      <c r="J7" s="7"/>
    </row>
    <row r="8" spans="1:10" x14ac:dyDescent="0.2">
      <c r="A8" s="43">
        <v>2</v>
      </c>
      <c r="B8" s="44" t="s">
        <v>31</v>
      </c>
      <c r="C8" s="44" t="s">
        <v>32</v>
      </c>
      <c r="D8" s="44" t="s">
        <v>33</v>
      </c>
      <c r="E8" s="45">
        <v>936780</v>
      </c>
      <c r="F8" s="46">
        <v>9008.5448699999997</v>
      </c>
      <c r="G8" s="47">
        <v>2.6381780000000001E-2</v>
      </c>
      <c r="H8" s="40" t="s">
        <v>151</v>
      </c>
      <c r="J8" s="7"/>
    </row>
    <row r="9" spans="1:10" x14ac:dyDescent="0.2">
      <c r="A9" s="43">
        <v>3</v>
      </c>
      <c r="B9" s="44" t="s">
        <v>416</v>
      </c>
      <c r="C9" s="44" t="s">
        <v>417</v>
      </c>
      <c r="D9" s="44" t="s">
        <v>45</v>
      </c>
      <c r="E9" s="45">
        <v>18825767</v>
      </c>
      <c r="F9" s="46">
        <v>8441.4739227999999</v>
      </c>
      <c r="G9" s="47">
        <v>2.4721099999999999E-2</v>
      </c>
      <c r="H9" s="40" t="s">
        <v>151</v>
      </c>
      <c r="J9" s="7"/>
    </row>
    <row r="10" spans="1:10" x14ac:dyDescent="0.2">
      <c r="A10" s="43">
        <v>4</v>
      </c>
      <c r="B10" s="44" t="s">
        <v>407</v>
      </c>
      <c r="C10" s="44" t="s">
        <v>408</v>
      </c>
      <c r="D10" s="44" t="s">
        <v>100</v>
      </c>
      <c r="E10" s="45">
        <v>387840</v>
      </c>
      <c r="F10" s="46">
        <v>8032.1664000000001</v>
      </c>
      <c r="G10" s="47">
        <v>2.352243E-2</v>
      </c>
      <c r="H10" s="40" t="s">
        <v>151</v>
      </c>
      <c r="J10" s="7"/>
    </row>
    <row r="11" spans="1:10" x14ac:dyDescent="0.2">
      <c r="A11" s="43">
        <v>5</v>
      </c>
      <c r="B11" s="44" t="s">
        <v>367</v>
      </c>
      <c r="C11" s="44" t="s">
        <v>368</v>
      </c>
      <c r="D11" s="44" t="s">
        <v>229</v>
      </c>
      <c r="E11" s="45">
        <v>180746</v>
      </c>
      <c r="F11" s="46">
        <v>7753.4611619999996</v>
      </c>
      <c r="G11" s="47">
        <v>2.2706230000000001E-2</v>
      </c>
      <c r="H11" s="40" t="s">
        <v>151</v>
      </c>
      <c r="J11" s="7"/>
    </row>
    <row r="12" spans="1:10" ht="15" x14ac:dyDescent="0.2">
      <c r="A12" s="43">
        <v>6</v>
      </c>
      <c r="B12" s="44" t="s">
        <v>145</v>
      </c>
      <c r="C12" s="44" t="s">
        <v>146</v>
      </c>
      <c r="D12" s="44" t="s">
        <v>100</v>
      </c>
      <c r="E12" s="45">
        <v>2132517</v>
      </c>
      <c r="F12" s="46">
        <v>7689.8563020000001</v>
      </c>
      <c r="G12" s="47">
        <v>2.251997E-2</v>
      </c>
      <c r="H12" s="40" t="s">
        <v>151</v>
      </c>
      <c r="J12" s="12"/>
    </row>
    <row r="13" spans="1:10" x14ac:dyDescent="0.2">
      <c r="A13" s="43">
        <v>7</v>
      </c>
      <c r="B13" s="44" t="s">
        <v>418</v>
      </c>
      <c r="C13" s="44" t="s">
        <v>419</v>
      </c>
      <c r="D13" s="44" t="s">
        <v>219</v>
      </c>
      <c r="E13" s="45">
        <v>890833</v>
      </c>
      <c r="F13" s="46">
        <v>7315.5205960000003</v>
      </c>
      <c r="G13" s="47">
        <v>2.1423709999999999E-2</v>
      </c>
      <c r="H13" s="40" t="s">
        <v>151</v>
      </c>
      <c r="J13" s="7"/>
    </row>
    <row r="14" spans="1:10" x14ac:dyDescent="0.2">
      <c r="A14" s="43">
        <v>8</v>
      </c>
      <c r="B14" s="44" t="s">
        <v>414</v>
      </c>
      <c r="C14" s="44" t="s">
        <v>415</v>
      </c>
      <c r="D14" s="44" t="s">
        <v>45</v>
      </c>
      <c r="E14" s="45">
        <v>8886124</v>
      </c>
      <c r="F14" s="46">
        <v>7177.3223547999996</v>
      </c>
      <c r="G14" s="47">
        <v>2.1018990000000001E-2</v>
      </c>
      <c r="H14" s="40" t="s">
        <v>151</v>
      </c>
      <c r="J14" s="7"/>
    </row>
    <row r="15" spans="1:10" x14ac:dyDescent="0.2">
      <c r="A15" s="43">
        <v>9</v>
      </c>
      <c r="B15" s="44" t="s">
        <v>59</v>
      </c>
      <c r="C15" s="44" t="s">
        <v>60</v>
      </c>
      <c r="D15" s="44" t="s">
        <v>61</v>
      </c>
      <c r="E15" s="45">
        <v>570602</v>
      </c>
      <c r="F15" s="46">
        <v>7176.461354</v>
      </c>
      <c r="G15" s="47">
        <v>2.1016469999999999E-2</v>
      </c>
      <c r="H15" s="40" t="s">
        <v>151</v>
      </c>
      <c r="J15" s="7"/>
    </row>
    <row r="16" spans="1:10" x14ac:dyDescent="0.2">
      <c r="A16" s="43">
        <v>10</v>
      </c>
      <c r="B16" s="44" t="s">
        <v>495</v>
      </c>
      <c r="C16" s="44" t="s">
        <v>496</v>
      </c>
      <c r="D16" s="44" t="s">
        <v>268</v>
      </c>
      <c r="E16" s="45">
        <v>410580</v>
      </c>
      <c r="F16" s="46">
        <v>7076.3463000000002</v>
      </c>
      <c r="G16" s="47">
        <v>2.072328E-2</v>
      </c>
      <c r="H16" s="40" t="s">
        <v>151</v>
      </c>
      <c r="J16" s="7"/>
    </row>
    <row r="17" spans="1:10" ht="25.5" x14ac:dyDescent="0.2">
      <c r="A17" s="43">
        <v>11</v>
      </c>
      <c r="B17" s="44" t="s">
        <v>411</v>
      </c>
      <c r="C17" s="44" t="s">
        <v>412</v>
      </c>
      <c r="D17" s="44" t="s">
        <v>413</v>
      </c>
      <c r="E17" s="45">
        <v>467145</v>
      </c>
      <c r="F17" s="46">
        <v>7054.3566449999998</v>
      </c>
      <c r="G17" s="47">
        <v>2.0658889999999999E-2</v>
      </c>
      <c r="H17" s="40" t="s">
        <v>151</v>
      </c>
      <c r="J17" s="7" t="s">
        <v>1055</v>
      </c>
    </row>
    <row r="18" spans="1:10" x14ac:dyDescent="0.2">
      <c r="A18" s="43">
        <v>12</v>
      </c>
      <c r="B18" s="44" t="s">
        <v>444</v>
      </c>
      <c r="C18" s="44" t="s">
        <v>445</v>
      </c>
      <c r="D18" s="44" t="s">
        <v>242</v>
      </c>
      <c r="E18" s="45">
        <v>762252</v>
      </c>
      <c r="F18" s="46">
        <v>6316.7823239999998</v>
      </c>
      <c r="G18" s="47">
        <v>1.8498879999999999E-2</v>
      </c>
      <c r="H18" s="40" t="s">
        <v>151</v>
      </c>
      <c r="J18" s="7"/>
    </row>
    <row r="19" spans="1:10" ht="25.5" x14ac:dyDescent="0.2">
      <c r="A19" s="43">
        <v>13</v>
      </c>
      <c r="B19" s="44" t="s">
        <v>426</v>
      </c>
      <c r="C19" s="44" t="s">
        <v>427</v>
      </c>
      <c r="D19" s="44" t="s">
        <v>210</v>
      </c>
      <c r="E19" s="45">
        <v>311732</v>
      </c>
      <c r="F19" s="46">
        <v>5999.5940719999999</v>
      </c>
      <c r="G19" s="47">
        <v>1.7569979999999999E-2</v>
      </c>
      <c r="H19" s="40" t="s">
        <v>151</v>
      </c>
      <c r="J19" s="7"/>
    </row>
    <row r="20" spans="1:10" x14ac:dyDescent="0.2">
      <c r="A20" s="43">
        <v>14</v>
      </c>
      <c r="B20" s="44" t="s">
        <v>422</v>
      </c>
      <c r="C20" s="44" t="s">
        <v>423</v>
      </c>
      <c r="D20" s="44" t="s">
        <v>222</v>
      </c>
      <c r="E20" s="45">
        <v>1690672</v>
      </c>
      <c r="F20" s="46">
        <v>5867.4771760000003</v>
      </c>
      <c r="G20" s="47">
        <v>1.718308E-2</v>
      </c>
      <c r="H20" s="40" t="s">
        <v>151</v>
      </c>
      <c r="J20" s="7"/>
    </row>
    <row r="21" spans="1:10" x14ac:dyDescent="0.2">
      <c r="A21" s="43">
        <v>15</v>
      </c>
      <c r="B21" s="44" t="s">
        <v>92</v>
      </c>
      <c r="C21" s="44" t="s">
        <v>93</v>
      </c>
      <c r="D21" s="44" t="s">
        <v>61</v>
      </c>
      <c r="E21" s="45">
        <v>325117</v>
      </c>
      <c r="F21" s="46">
        <v>5852.7562340000004</v>
      </c>
      <c r="G21" s="47">
        <v>1.7139970000000001E-2</v>
      </c>
      <c r="H21" s="40" t="s">
        <v>151</v>
      </c>
      <c r="J21" s="7"/>
    </row>
    <row r="22" spans="1:10" ht="15" x14ac:dyDescent="0.2">
      <c r="A22" s="43">
        <v>16</v>
      </c>
      <c r="B22" s="44" t="s">
        <v>94</v>
      </c>
      <c r="C22" s="44" t="s">
        <v>95</v>
      </c>
      <c r="D22" s="44" t="s">
        <v>33</v>
      </c>
      <c r="E22" s="45">
        <v>126168</v>
      </c>
      <c r="F22" s="46">
        <v>5462.8851480000003</v>
      </c>
      <c r="G22" s="47">
        <v>1.599822E-2</v>
      </c>
      <c r="H22" s="40" t="s">
        <v>151</v>
      </c>
      <c r="J22" s="12"/>
    </row>
    <row r="23" spans="1:10" x14ac:dyDescent="0.2">
      <c r="A23" s="43">
        <v>17</v>
      </c>
      <c r="B23" s="44" t="s">
        <v>110</v>
      </c>
      <c r="C23" s="44" t="s">
        <v>111</v>
      </c>
      <c r="D23" s="44" t="s">
        <v>13</v>
      </c>
      <c r="E23" s="45">
        <v>774293</v>
      </c>
      <c r="F23" s="46">
        <v>5325.2001074999998</v>
      </c>
      <c r="G23" s="47">
        <v>1.5594999999999999E-2</v>
      </c>
      <c r="H23" s="40" t="s">
        <v>151</v>
      </c>
      <c r="J23" s="7"/>
    </row>
    <row r="24" spans="1:10" x14ac:dyDescent="0.2">
      <c r="A24" s="43">
        <v>18</v>
      </c>
      <c r="B24" s="44" t="s">
        <v>252</v>
      </c>
      <c r="C24" s="44" t="s">
        <v>253</v>
      </c>
      <c r="D24" s="44" t="s">
        <v>242</v>
      </c>
      <c r="E24" s="45">
        <v>626510</v>
      </c>
      <c r="F24" s="46">
        <v>5284.9251050000003</v>
      </c>
      <c r="G24" s="47">
        <v>1.5477060000000001E-2</v>
      </c>
      <c r="H24" s="40" t="s">
        <v>151</v>
      </c>
      <c r="J24" s="7"/>
    </row>
    <row r="25" spans="1:10" x14ac:dyDescent="0.2">
      <c r="A25" s="43">
        <v>19</v>
      </c>
      <c r="B25" s="44" t="s">
        <v>497</v>
      </c>
      <c r="C25" s="44" t="s">
        <v>498</v>
      </c>
      <c r="D25" s="44" t="s">
        <v>413</v>
      </c>
      <c r="E25" s="45">
        <v>287733</v>
      </c>
      <c r="F25" s="46">
        <v>5054.8933440000001</v>
      </c>
      <c r="G25" s="47">
        <v>1.48034E-2</v>
      </c>
      <c r="H25" s="40" t="s">
        <v>151</v>
      </c>
      <c r="J25" s="7"/>
    </row>
    <row r="26" spans="1:10" x14ac:dyDescent="0.2">
      <c r="A26" s="43">
        <v>20</v>
      </c>
      <c r="B26" s="44" t="s">
        <v>499</v>
      </c>
      <c r="C26" s="44" t="s">
        <v>500</v>
      </c>
      <c r="D26" s="44" t="s">
        <v>89</v>
      </c>
      <c r="E26" s="45">
        <v>185687</v>
      </c>
      <c r="F26" s="46">
        <v>4992.8448994999999</v>
      </c>
      <c r="G26" s="47">
        <v>1.462169E-2</v>
      </c>
      <c r="H26" s="40" t="s">
        <v>151</v>
      </c>
      <c r="J26" s="7"/>
    </row>
    <row r="27" spans="1:10" x14ac:dyDescent="0.2">
      <c r="A27" s="43">
        <v>21</v>
      </c>
      <c r="B27" s="44" t="s">
        <v>278</v>
      </c>
      <c r="C27" s="44" t="s">
        <v>279</v>
      </c>
      <c r="D27" s="44" t="s">
        <v>219</v>
      </c>
      <c r="E27" s="45">
        <v>77065</v>
      </c>
      <c r="F27" s="46">
        <v>4859.3335749999997</v>
      </c>
      <c r="G27" s="47">
        <v>1.4230700000000001E-2</v>
      </c>
      <c r="H27" s="40" t="s">
        <v>151</v>
      </c>
      <c r="J27" s="7"/>
    </row>
    <row r="28" spans="1:10" x14ac:dyDescent="0.2">
      <c r="A28" s="43">
        <v>22</v>
      </c>
      <c r="B28" s="44" t="s">
        <v>90</v>
      </c>
      <c r="C28" s="44" t="s">
        <v>91</v>
      </c>
      <c r="D28" s="44" t="s">
        <v>86</v>
      </c>
      <c r="E28" s="45">
        <v>872038</v>
      </c>
      <c r="F28" s="46">
        <v>4855.507584</v>
      </c>
      <c r="G28" s="47">
        <v>1.421949E-2</v>
      </c>
      <c r="H28" s="40" t="s">
        <v>151</v>
      </c>
      <c r="J28" s="7"/>
    </row>
    <row r="29" spans="1:10" x14ac:dyDescent="0.2">
      <c r="A29" s="43">
        <v>23</v>
      </c>
      <c r="B29" s="44" t="s">
        <v>424</v>
      </c>
      <c r="C29" s="44" t="s">
        <v>425</v>
      </c>
      <c r="D29" s="44" t="s">
        <v>45</v>
      </c>
      <c r="E29" s="45">
        <v>1475316</v>
      </c>
      <c r="F29" s="46">
        <v>4839.0364799999998</v>
      </c>
      <c r="G29" s="47">
        <v>1.417126E-2</v>
      </c>
      <c r="H29" s="40" t="s">
        <v>151</v>
      </c>
      <c r="J29" s="7"/>
    </row>
    <row r="30" spans="1:10" ht="25.5" x14ac:dyDescent="0.2">
      <c r="A30" s="43">
        <v>24</v>
      </c>
      <c r="B30" s="44" t="s">
        <v>456</v>
      </c>
      <c r="C30" s="44" t="s">
        <v>457</v>
      </c>
      <c r="D30" s="44" t="s">
        <v>33</v>
      </c>
      <c r="E30" s="45">
        <v>275772</v>
      </c>
      <c r="F30" s="46">
        <v>4739.9691359999997</v>
      </c>
      <c r="G30" s="47">
        <v>1.388114E-2</v>
      </c>
      <c r="H30" s="40" t="s">
        <v>151</v>
      </c>
      <c r="J30" s="7" t="s">
        <v>1056</v>
      </c>
    </row>
    <row r="31" spans="1:10" x14ac:dyDescent="0.2">
      <c r="A31" s="43">
        <v>25</v>
      </c>
      <c r="B31" s="44" t="s">
        <v>446</v>
      </c>
      <c r="C31" s="44" t="s">
        <v>447</v>
      </c>
      <c r="D31" s="44" t="s">
        <v>86</v>
      </c>
      <c r="E31" s="45">
        <v>348279</v>
      </c>
      <c r="F31" s="46">
        <v>4623.9261434999999</v>
      </c>
      <c r="G31" s="47">
        <v>1.3541299999999999E-2</v>
      </c>
      <c r="H31" s="40" t="s">
        <v>151</v>
      </c>
      <c r="J31" s="7"/>
    </row>
    <row r="32" spans="1:10" x14ac:dyDescent="0.2">
      <c r="A32" s="43">
        <v>26</v>
      </c>
      <c r="B32" s="44" t="s">
        <v>428</v>
      </c>
      <c r="C32" s="44" t="s">
        <v>429</v>
      </c>
      <c r="D32" s="44" t="s">
        <v>430</v>
      </c>
      <c r="E32" s="45">
        <v>308127</v>
      </c>
      <c r="F32" s="46">
        <v>4622.6753175000003</v>
      </c>
      <c r="G32" s="47">
        <v>1.353764E-2</v>
      </c>
      <c r="H32" s="40" t="s">
        <v>151</v>
      </c>
      <c r="J32" s="7"/>
    </row>
    <row r="33" spans="1:10" x14ac:dyDescent="0.2">
      <c r="A33" s="43">
        <v>27</v>
      </c>
      <c r="B33" s="44" t="s">
        <v>57</v>
      </c>
      <c r="C33" s="44" t="s">
        <v>58</v>
      </c>
      <c r="D33" s="44" t="s">
        <v>13</v>
      </c>
      <c r="E33" s="45">
        <v>337012</v>
      </c>
      <c r="F33" s="46">
        <v>4620.2660139999998</v>
      </c>
      <c r="G33" s="47">
        <v>1.353058E-2</v>
      </c>
      <c r="H33" s="40" t="s">
        <v>151</v>
      </c>
      <c r="J33" s="7"/>
    </row>
    <row r="34" spans="1:10" x14ac:dyDescent="0.2">
      <c r="A34" s="43">
        <v>28</v>
      </c>
      <c r="B34" s="44" t="s">
        <v>48</v>
      </c>
      <c r="C34" s="44" t="s">
        <v>49</v>
      </c>
      <c r="D34" s="44" t="s">
        <v>50</v>
      </c>
      <c r="E34" s="45">
        <v>1099317</v>
      </c>
      <c r="F34" s="46">
        <v>4566.5628180000003</v>
      </c>
      <c r="G34" s="47">
        <v>1.3373309999999999E-2</v>
      </c>
      <c r="H34" s="40" t="s">
        <v>151</v>
      </c>
      <c r="J34" s="7"/>
    </row>
    <row r="35" spans="1:10" ht="25.5" x14ac:dyDescent="0.2">
      <c r="A35" s="43">
        <v>29</v>
      </c>
      <c r="B35" s="44" t="s">
        <v>318</v>
      </c>
      <c r="C35" s="44" t="s">
        <v>319</v>
      </c>
      <c r="D35" s="44" t="s">
        <v>247</v>
      </c>
      <c r="E35" s="45">
        <v>120016</v>
      </c>
      <c r="F35" s="46">
        <v>4561.7481520000001</v>
      </c>
      <c r="G35" s="47">
        <v>1.335921E-2</v>
      </c>
      <c r="H35" s="40" t="s">
        <v>151</v>
      </c>
      <c r="J35" s="7"/>
    </row>
    <row r="36" spans="1:10" x14ac:dyDescent="0.2">
      <c r="A36" s="43">
        <v>30</v>
      </c>
      <c r="B36" s="44" t="s">
        <v>11</v>
      </c>
      <c r="C36" s="44" t="s">
        <v>12</v>
      </c>
      <c r="D36" s="44" t="s">
        <v>13</v>
      </c>
      <c r="E36" s="45">
        <v>119155</v>
      </c>
      <c r="F36" s="46">
        <v>4545.76325</v>
      </c>
      <c r="G36" s="47">
        <v>1.33124E-2</v>
      </c>
      <c r="H36" s="40" t="s">
        <v>151</v>
      </c>
      <c r="J36" s="7"/>
    </row>
    <row r="37" spans="1:10" x14ac:dyDescent="0.2">
      <c r="A37" s="43">
        <v>31</v>
      </c>
      <c r="B37" s="44" t="s">
        <v>442</v>
      </c>
      <c r="C37" s="44" t="s">
        <v>443</v>
      </c>
      <c r="D37" s="44" t="s">
        <v>33</v>
      </c>
      <c r="E37" s="45">
        <v>750707</v>
      </c>
      <c r="F37" s="46">
        <v>4512.499777</v>
      </c>
      <c r="G37" s="47">
        <v>1.3214989999999999E-2</v>
      </c>
      <c r="H37" s="40" t="s">
        <v>151</v>
      </c>
      <c r="J37" s="7"/>
    </row>
    <row r="38" spans="1:10" x14ac:dyDescent="0.2">
      <c r="A38" s="43">
        <v>32</v>
      </c>
      <c r="B38" s="44" t="s">
        <v>438</v>
      </c>
      <c r="C38" s="44" t="s">
        <v>439</v>
      </c>
      <c r="D38" s="44" t="s">
        <v>229</v>
      </c>
      <c r="E38" s="45">
        <v>206106</v>
      </c>
      <c r="F38" s="46">
        <v>4464.5651189999999</v>
      </c>
      <c r="G38" s="47">
        <v>1.307461E-2</v>
      </c>
      <c r="H38" s="40" t="s">
        <v>151</v>
      </c>
      <c r="J38" s="7"/>
    </row>
    <row r="39" spans="1:10" x14ac:dyDescent="0.2">
      <c r="A39" s="43">
        <v>33</v>
      </c>
      <c r="B39" s="44" t="s">
        <v>501</v>
      </c>
      <c r="C39" s="44" t="s">
        <v>502</v>
      </c>
      <c r="D39" s="44" t="s">
        <v>503</v>
      </c>
      <c r="E39" s="45">
        <v>545271</v>
      </c>
      <c r="F39" s="46">
        <v>4454.5914345000001</v>
      </c>
      <c r="G39" s="47">
        <v>1.30454E-2</v>
      </c>
      <c r="H39" s="40" t="s">
        <v>151</v>
      </c>
      <c r="J39" s="7"/>
    </row>
    <row r="40" spans="1:10" ht="25.5" x14ac:dyDescent="0.2">
      <c r="A40" s="43">
        <v>34</v>
      </c>
      <c r="B40" s="44" t="s">
        <v>504</v>
      </c>
      <c r="C40" s="44" t="s">
        <v>505</v>
      </c>
      <c r="D40" s="44" t="s">
        <v>247</v>
      </c>
      <c r="E40" s="45">
        <v>265529</v>
      </c>
      <c r="F40" s="46">
        <v>4431.6790099999998</v>
      </c>
      <c r="G40" s="47">
        <v>1.29783E-2</v>
      </c>
      <c r="H40" s="40" t="s">
        <v>151</v>
      </c>
      <c r="J40" s="7"/>
    </row>
    <row r="41" spans="1:10" x14ac:dyDescent="0.2">
      <c r="A41" s="43">
        <v>35</v>
      </c>
      <c r="B41" s="44" t="s">
        <v>297</v>
      </c>
      <c r="C41" s="44" t="s">
        <v>298</v>
      </c>
      <c r="D41" s="44" t="s">
        <v>64</v>
      </c>
      <c r="E41" s="45">
        <v>1291266</v>
      </c>
      <c r="F41" s="46">
        <v>4380.6199049999996</v>
      </c>
      <c r="G41" s="47">
        <v>1.282877E-2</v>
      </c>
      <c r="H41" s="40" t="s">
        <v>151</v>
      </c>
      <c r="J41" s="7"/>
    </row>
    <row r="42" spans="1:10" x14ac:dyDescent="0.2">
      <c r="A42" s="43">
        <v>36</v>
      </c>
      <c r="B42" s="44" t="s">
        <v>506</v>
      </c>
      <c r="C42" s="44" t="s">
        <v>507</v>
      </c>
      <c r="D42" s="44" t="s">
        <v>100</v>
      </c>
      <c r="E42" s="45">
        <v>1467882</v>
      </c>
      <c r="F42" s="46">
        <v>4270.0687379999999</v>
      </c>
      <c r="G42" s="47">
        <v>1.250502E-2</v>
      </c>
      <c r="H42" s="40" t="s">
        <v>151</v>
      </c>
      <c r="J42" s="7"/>
    </row>
    <row r="43" spans="1:10" ht="25.5" x14ac:dyDescent="0.2">
      <c r="A43" s="43">
        <v>37</v>
      </c>
      <c r="B43" s="44" t="s">
        <v>473</v>
      </c>
      <c r="C43" s="44" t="s">
        <v>474</v>
      </c>
      <c r="D43" s="44" t="s">
        <v>25</v>
      </c>
      <c r="E43" s="45">
        <v>274747</v>
      </c>
      <c r="F43" s="46">
        <v>4202.255365</v>
      </c>
      <c r="G43" s="47">
        <v>1.230643E-2</v>
      </c>
      <c r="H43" s="40" t="s">
        <v>151</v>
      </c>
      <c r="J43" s="7"/>
    </row>
    <row r="44" spans="1:10" x14ac:dyDescent="0.2">
      <c r="A44" s="43">
        <v>38</v>
      </c>
      <c r="B44" s="44" t="s">
        <v>508</v>
      </c>
      <c r="C44" s="44" t="s">
        <v>509</v>
      </c>
      <c r="D44" s="44" t="s">
        <v>45</v>
      </c>
      <c r="E44" s="45">
        <v>3237028</v>
      </c>
      <c r="F44" s="46">
        <v>4072.1812239999999</v>
      </c>
      <c r="G44" s="47">
        <v>1.19255E-2</v>
      </c>
      <c r="H44" s="40" t="s">
        <v>151</v>
      </c>
      <c r="J44" s="7"/>
    </row>
    <row r="45" spans="1:10" x14ac:dyDescent="0.2">
      <c r="A45" s="43">
        <v>39</v>
      </c>
      <c r="B45" s="44" t="s">
        <v>139</v>
      </c>
      <c r="C45" s="44" t="s">
        <v>140</v>
      </c>
      <c r="D45" s="44" t="s">
        <v>89</v>
      </c>
      <c r="E45" s="45">
        <v>449718</v>
      </c>
      <c r="F45" s="46">
        <v>3918.168075</v>
      </c>
      <c r="G45" s="47">
        <v>1.1474470000000001E-2</v>
      </c>
      <c r="H45" s="40" t="s">
        <v>151</v>
      </c>
      <c r="J45" s="7"/>
    </row>
    <row r="46" spans="1:10" ht="25.5" x14ac:dyDescent="0.2">
      <c r="A46" s="43">
        <v>40</v>
      </c>
      <c r="B46" s="44" t="s">
        <v>436</v>
      </c>
      <c r="C46" s="44" t="s">
        <v>437</v>
      </c>
      <c r="D46" s="44" t="s">
        <v>210</v>
      </c>
      <c r="E46" s="45">
        <v>74554</v>
      </c>
      <c r="F46" s="46">
        <v>3914.3832160000002</v>
      </c>
      <c r="G46" s="47">
        <v>1.146338E-2</v>
      </c>
      <c r="H46" s="40" t="s">
        <v>151</v>
      </c>
      <c r="J46" s="7"/>
    </row>
    <row r="47" spans="1:10" x14ac:dyDescent="0.2">
      <c r="A47" s="43">
        <v>41</v>
      </c>
      <c r="B47" s="44" t="s">
        <v>466</v>
      </c>
      <c r="C47" s="44" t="s">
        <v>994</v>
      </c>
      <c r="D47" s="44" t="s">
        <v>282</v>
      </c>
      <c r="E47" s="45">
        <v>493112</v>
      </c>
      <c r="F47" s="46">
        <v>3910.3781600000002</v>
      </c>
      <c r="G47" s="47">
        <v>1.1451660000000001E-2</v>
      </c>
      <c r="H47" s="40" t="s">
        <v>151</v>
      </c>
      <c r="J47" s="7"/>
    </row>
    <row r="48" spans="1:10" x14ac:dyDescent="0.2">
      <c r="A48" s="43">
        <v>42</v>
      </c>
      <c r="B48" s="44" t="s">
        <v>510</v>
      </c>
      <c r="C48" s="44" t="s">
        <v>511</v>
      </c>
      <c r="D48" s="44" t="s">
        <v>222</v>
      </c>
      <c r="E48" s="45">
        <v>85682</v>
      </c>
      <c r="F48" s="46">
        <v>3874.839927</v>
      </c>
      <c r="G48" s="47">
        <v>1.1347579999999999E-2</v>
      </c>
      <c r="H48" s="40" t="s">
        <v>151</v>
      </c>
      <c r="J48" s="7"/>
    </row>
    <row r="49" spans="1:10" ht="25.5" x14ac:dyDescent="0.2">
      <c r="A49" s="43">
        <v>43</v>
      </c>
      <c r="B49" s="44" t="s">
        <v>512</v>
      </c>
      <c r="C49" s="44" t="s">
        <v>513</v>
      </c>
      <c r="D49" s="44" t="s">
        <v>210</v>
      </c>
      <c r="E49" s="45">
        <v>484538</v>
      </c>
      <c r="F49" s="46">
        <v>3661.169128</v>
      </c>
      <c r="G49" s="47">
        <v>1.072184E-2</v>
      </c>
      <c r="H49" s="40" t="s">
        <v>151</v>
      </c>
      <c r="J49" s="7"/>
    </row>
    <row r="50" spans="1:10" x14ac:dyDescent="0.2">
      <c r="A50" s="43">
        <v>44</v>
      </c>
      <c r="B50" s="44" t="s">
        <v>514</v>
      </c>
      <c r="C50" s="44" t="s">
        <v>515</v>
      </c>
      <c r="D50" s="44" t="s">
        <v>401</v>
      </c>
      <c r="E50" s="45">
        <v>413643</v>
      </c>
      <c r="F50" s="46">
        <v>3598.2804569999998</v>
      </c>
      <c r="G50" s="47">
        <v>1.0537670000000001E-2</v>
      </c>
      <c r="H50" s="40" t="s">
        <v>151</v>
      </c>
      <c r="J50" s="7"/>
    </row>
    <row r="51" spans="1:10" x14ac:dyDescent="0.2">
      <c r="A51" s="43">
        <v>45</v>
      </c>
      <c r="B51" s="44" t="s">
        <v>434</v>
      </c>
      <c r="C51" s="44" t="s">
        <v>435</v>
      </c>
      <c r="D51" s="44" t="s">
        <v>86</v>
      </c>
      <c r="E51" s="45">
        <v>423980</v>
      </c>
      <c r="F51" s="46">
        <v>3598.1062700000002</v>
      </c>
      <c r="G51" s="47">
        <v>1.053716E-2</v>
      </c>
      <c r="H51" s="40" t="s">
        <v>151</v>
      </c>
      <c r="J51" s="7"/>
    </row>
    <row r="52" spans="1:10" x14ac:dyDescent="0.2">
      <c r="A52" s="43">
        <v>46</v>
      </c>
      <c r="B52" s="44" t="s">
        <v>516</v>
      </c>
      <c r="C52" s="44" t="s">
        <v>517</v>
      </c>
      <c r="D52" s="44" t="s">
        <v>100</v>
      </c>
      <c r="E52" s="45">
        <v>369948</v>
      </c>
      <c r="F52" s="46">
        <v>3590.1603660000001</v>
      </c>
      <c r="G52" s="47">
        <v>1.051389E-2</v>
      </c>
      <c r="H52" s="40" t="s">
        <v>151</v>
      </c>
      <c r="J52" s="7"/>
    </row>
    <row r="53" spans="1:10" x14ac:dyDescent="0.2">
      <c r="A53" s="43">
        <v>47</v>
      </c>
      <c r="B53" s="44" t="s">
        <v>198</v>
      </c>
      <c r="C53" s="44" t="s">
        <v>199</v>
      </c>
      <c r="D53" s="44" t="s">
        <v>89</v>
      </c>
      <c r="E53" s="45">
        <v>86208</v>
      </c>
      <c r="F53" s="46">
        <v>3567.761184</v>
      </c>
      <c r="G53" s="47">
        <v>1.0448290000000001E-2</v>
      </c>
      <c r="H53" s="40" t="s">
        <v>151</v>
      </c>
      <c r="J53" s="7"/>
    </row>
    <row r="54" spans="1:10" ht="25.5" x14ac:dyDescent="0.2">
      <c r="A54" s="43">
        <v>48</v>
      </c>
      <c r="B54" s="44" t="s">
        <v>518</v>
      </c>
      <c r="C54" s="44" t="s">
        <v>519</v>
      </c>
      <c r="D54" s="44" t="s">
        <v>205</v>
      </c>
      <c r="E54" s="45">
        <v>429311</v>
      </c>
      <c r="F54" s="46">
        <v>3524.2139990000001</v>
      </c>
      <c r="G54" s="47">
        <v>1.032076E-2</v>
      </c>
      <c r="H54" s="40" t="s">
        <v>151</v>
      </c>
      <c r="J54" s="7"/>
    </row>
    <row r="55" spans="1:10" x14ac:dyDescent="0.2">
      <c r="A55" s="43">
        <v>49</v>
      </c>
      <c r="B55" s="44" t="s">
        <v>520</v>
      </c>
      <c r="C55" s="44" t="s">
        <v>521</v>
      </c>
      <c r="D55" s="44" t="s">
        <v>86</v>
      </c>
      <c r="E55" s="45">
        <v>436426</v>
      </c>
      <c r="F55" s="46">
        <v>3515.4114300000001</v>
      </c>
      <c r="G55" s="47">
        <v>1.029498E-2</v>
      </c>
      <c r="H55" s="40" t="s">
        <v>151</v>
      </c>
      <c r="J55" s="7"/>
    </row>
    <row r="56" spans="1:10" ht="25.5" x14ac:dyDescent="0.2">
      <c r="A56" s="43">
        <v>50</v>
      </c>
      <c r="B56" s="44" t="s">
        <v>522</v>
      </c>
      <c r="C56" s="44" t="s">
        <v>523</v>
      </c>
      <c r="D56" s="44" t="s">
        <v>313</v>
      </c>
      <c r="E56" s="45">
        <v>709805</v>
      </c>
      <c r="F56" s="46">
        <v>3413.0973425000002</v>
      </c>
      <c r="G56" s="47">
        <v>9.9953500000000001E-3</v>
      </c>
      <c r="H56" s="40" t="s">
        <v>151</v>
      </c>
      <c r="J56" s="7"/>
    </row>
    <row r="57" spans="1:10" x14ac:dyDescent="0.2">
      <c r="A57" s="43">
        <v>51</v>
      </c>
      <c r="B57" s="44" t="s">
        <v>341</v>
      </c>
      <c r="C57" s="44" t="s">
        <v>342</v>
      </c>
      <c r="D57" s="44" t="s">
        <v>45</v>
      </c>
      <c r="E57" s="45">
        <v>211043</v>
      </c>
      <c r="F57" s="46">
        <v>3409.9272725000001</v>
      </c>
      <c r="G57" s="47">
        <v>9.9860699999999997E-3</v>
      </c>
      <c r="H57" s="40" t="s">
        <v>151</v>
      </c>
      <c r="J57" s="7"/>
    </row>
    <row r="58" spans="1:10" x14ac:dyDescent="0.2">
      <c r="A58" s="43">
        <v>52</v>
      </c>
      <c r="B58" s="44" t="s">
        <v>440</v>
      </c>
      <c r="C58" s="44" t="s">
        <v>441</v>
      </c>
      <c r="D58" s="44" t="s">
        <v>219</v>
      </c>
      <c r="E58" s="45">
        <v>498569</v>
      </c>
      <c r="F58" s="46">
        <v>3368.5814485000001</v>
      </c>
      <c r="G58" s="47">
        <v>9.8649900000000006E-3</v>
      </c>
      <c r="H58" s="40" t="s">
        <v>151</v>
      </c>
      <c r="J58" s="7"/>
    </row>
    <row r="59" spans="1:10" x14ac:dyDescent="0.2">
      <c r="A59" s="43">
        <v>53</v>
      </c>
      <c r="B59" s="44" t="s">
        <v>524</v>
      </c>
      <c r="C59" s="44" t="s">
        <v>525</v>
      </c>
      <c r="D59" s="44" t="s">
        <v>503</v>
      </c>
      <c r="E59" s="45">
        <v>41146</v>
      </c>
      <c r="F59" s="46">
        <v>3219.551062</v>
      </c>
      <c r="G59" s="47">
        <v>9.4285500000000008E-3</v>
      </c>
      <c r="H59" s="40" t="s">
        <v>151</v>
      </c>
      <c r="J59" s="7"/>
    </row>
    <row r="60" spans="1:10" x14ac:dyDescent="0.2">
      <c r="A60" s="43">
        <v>54</v>
      </c>
      <c r="B60" s="44" t="s">
        <v>526</v>
      </c>
      <c r="C60" s="44" t="s">
        <v>527</v>
      </c>
      <c r="D60" s="44" t="s">
        <v>45</v>
      </c>
      <c r="E60" s="45">
        <v>1319170</v>
      </c>
      <c r="F60" s="46">
        <v>3102.6878400000001</v>
      </c>
      <c r="G60" s="47">
        <v>9.0863100000000002E-3</v>
      </c>
      <c r="H60" s="40" t="s">
        <v>151</v>
      </c>
      <c r="J60" s="7"/>
    </row>
    <row r="61" spans="1:10" x14ac:dyDescent="0.2">
      <c r="A61" s="43">
        <v>55</v>
      </c>
      <c r="B61" s="44" t="s">
        <v>324</v>
      </c>
      <c r="C61" s="44" t="s">
        <v>325</v>
      </c>
      <c r="D61" s="44" t="s">
        <v>100</v>
      </c>
      <c r="E61" s="45">
        <v>69500</v>
      </c>
      <c r="F61" s="46">
        <v>3012.4775</v>
      </c>
      <c r="G61" s="47">
        <v>8.8221299999999992E-3</v>
      </c>
      <c r="H61" s="40" t="s">
        <v>151</v>
      </c>
      <c r="J61" s="7"/>
    </row>
    <row r="62" spans="1:10" x14ac:dyDescent="0.2">
      <c r="A62" s="43">
        <v>56</v>
      </c>
      <c r="B62" s="44" t="s">
        <v>528</v>
      </c>
      <c r="C62" s="44" t="s">
        <v>529</v>
      </c>
      <c r="D62" s="44" t="s">
        <v>229</v>
      </c>
      <c r="E62" s="45">
        <v>127388</v>
      </c>
      <c r="F62" s="46">
        <v>2924.1278459999999</v>
      </c>
      <c r="G62" s="47">
        <v>8.5633900000000006E-3</v>
      </c>
      <c r="H62" s="40" t="s">
        <v>151</v>
      </c>
      <c r="J62" s="7"/>
    </row>
    <row r="63" spans="1:10" x14ac:dyDescent="0.2">
      <c r="A63" s="43">
        <v>57</v>
      </c>
      <c r="B63" s="44" t="s">
        <v>530</v>
      </c>
      <c r="C63" s="44" t="s">
        <v>531</v>
      </c>
      <c r="D63" s="44" t="s">
        <v>229</v>
      </c>
      <c r="E63" s="45">
        <v>278168</v>
      </c>
      <c r="F63" s="46">
        <v>2886.4102520000001</v>
      </c>
      <c r="G63" s="47">
        <v>8.4529400000000008E-3</v>
      </c>
      <c r="H63" s="40" t="s">
        <v>151</v>
      </c>
      <c r="J63" s="7"/>
    </row>
    <row r="64" spans="1:10" ht="25.5" x14ac:dyDescent="0.2">
      <c r="A64" s="43">
        <v>58</v>
      </c>
      <c r="B64" s="44" t="s">
        <v>532</v>
      </c>
      <c r="C64" s="44" t="s">
        <v>533</v>
      </c>
      <c r="D64" s="44" t="s">
        <v>534</v>
      </c>
      <c r="E64" s="45">
        <v>593089</v>
      </c>
      <c r="F64" s="46">
        <v>2781.2908655000001</v>
      </c>
      <c r="G64" s="47">
        <v>8.1450900000000007E-3</v>
      </c>
      <c r="H64" s="40" t="s">
        <v>151</v>
      </c>
      <c r="J64" s="7"/>
    </row>
    <row r="65" spans="1:10" x14ac:dyDescent="0.2">
      <c r="A65" s="43">
        <v>59</v>
      </c>
      <c r="B65" s="44" t="s">
        <v>309</v>
      </c>
      <c r="C65" s="44" t="s">
        <v>310</v>
      </c>
      <c r="D65" s="44" t="s">
        <v>229</v>
      </c>
      <c r="E65" s="45">
        <v>100527</v>
      </c>
      <c r="F65" s="46">
        <v>2569.9224915</v>
      </c>
      <c r="G65" s="47">
        <v>7.52609E-3</v>
      </c>
      <c r="H65" s="40" t="s">
        <v>151</v>
      </c>
      <c r="J65" s="7"/>
    </row>
    <row r="66" spans="1:10" x14ac:dyDescent="0.2">
      <c r="A66" s="43">
        <v>60</v>
      </c>
      <c r="B66" s="44" t="s">
        <v>369</v>
      </c>
      <c r="C66" s="44" t="s">
        <v>370</v>
      </c>
      <c r="D66" s="44" t="s">
        <v>371</v>
      </c>
      <c r="E66" s="45">
        <v>107428</v>
      </c>
      <c r="F66" s="46">
        <v>2540.4036299999998</v>
      </c>
      <c r="G66" s="47">
        <v>7.4396499999999999E-3</v>
      </c>
      <c r="H66" s="40" t="s">
        <v>151</v>
      </c>
      <c r="J66" s="7"/>
    </row>
    <row r="67" spans="1:10" x14ac:dyDescent="0.2">
      <c r="A67" s="43">
        <v>61</v>
      </c>
      <c r="B67" s="44" t="s">
        <v>46</v>
      </c>
      <c r="C67" s="44" t="s">
        <v>47</v>
      </c>
      <c r="D67" s="44" t="s">
        <v>13</v>
      </c>
      <c r="E67" s="45">
        <v>500873</v>
      </c>
      <c r="F67" s="46">
        <v>2534.9182529999998</v>
      </c>
      <c r="G67" s="47">
        <v>7.4235799999999999E-3</v>
      </c>
      <c r="H67" s="40" t="s">
        <v>151</v>
      </c>
      <c r="J67" s="7"/>
    </row>
    <row r="68" spans="1:10" x14ac:dyDescent="0.2">
      <c r="A68" s="43">
        <v>62</v>
      </c>
      <c r="B68" s="44" t="s">
        <v>388</v>
      </c>
      <c r="C68" s="44" t="s">
        <v>389</v>
      </c>
      <c r="D68" s="44" t="s">
        <v>33</v>
      </c>
      <c r="E68" s="45">
        <v>298151</v>
      </c>
      <c r="F68" s="46">
        <v>2490.6043785000002</v>
      </c>
      <c r="G68" s="47">
        <v>7.2938100000000004E-3</v>
      </c>
      <c r="H68" s="40" t="s">
        <v>151</v>
      </c>
      <c r="J68" s="7"/>
    </row>
    <row r="69" spans="1:10" x14ac:dyDescent="0.2">
      <c r="A69" s="43">
        <v>63</v>
      </c>
      <c r="B69" s="44" t="s">
        <v>217</v>
      </c>
      <c r="C69" s="44" t="s">
        <v>218</v>
      </c>
      <c r="D69" s="44" t="s">
        <v>219</v>
      </c>
      <c r="E69" s="45">
        <v>48973</v>
      </c>
      <c r="F69" s="46">
        <v>2366.5222789999998</v>
      </c>
      <c r="G69" s="47">
        <v>6.9304299999999996E-3</v>
      </c>
      <c r="H69" s="40" t="s">
        <v>151</v>
      </c>
      <c r="J69" s="7"/>
    </row>
    <row r="70" spans="1:10" ht="25.5" x14ac:dyDescent="0.2">
      <c r="A70" s="43">
        <v>64</v>
      </c>
      <c r="B70" s="44" t="s">
        <v>82</v>
      </c>
      <c r="C70" s="44" t="s">
        <v>83</v>
      </c>
      <c r="D70" s="44" t="s">
        <v>25</v>
      </c>
      <c r="E70" s="45">
        <v>52854</v>
      </c>
      <c r="F70" s="46">
        <v>2334.5347529999999</v>
      </c>
      <c r="G70" s="47">
        <v>6.8367499999999999E-3</v>
      </c>
      <c r="H70" s="40" t="s">
        <v>151</v>
      </c>
      <c r="J70" s="7"/>
    </row>
    <row r="71" spans="1:10" x14ac:dyDescent="0.2">
      <c r="A71" s="43">
        <v>65</v>
      </c>
      <c r="B71" s="44" t="s">
        <v>124</v>
      </c>
      <c r="C71" s="44" t="s">
        <v>125</v>
      </c>
      <c r="D71" s="44" t="s">
        <v>50</v>
      </c>
      <c r="E71" s="45">
        <v>385350</v>
      </c>
      <c r="F71" s="46">
        <v>2291.2910999999999</v>
      </c>
      <c r="G71" s="47">
        <v>6.71011E-3</v>
      </c>
      <c r="H71" s="40" t="s">
        <v>151</v>
      </c>
      <c r="J71" s="7"/>
    </row>
    <row r="72" spans="1:10" ht="25.5" x14ac:dyDescent="0.2">
      <c r="A72" s="43">
        <v>66</v>
      </c>
      <c r="B72" s="44" t="s">
        <v>245</v>
      </c>
      <c r="C72" s="44" t="s">
        <v>246</v>
      </c>
      <c r="D72" s="44" t="s">
        <v>247</v>
      </c>
      <c r="E72" s="45">
        <v>65271</v>
      </c>
      <c r="F72" s="46">
        <v>2018.375133</v>
      </c>
      <c r="G72" s="47">
        <v>5.9108700000000004E-3</v>
      </c>
      <c r="H72" s="40" t="s">
        <v>151</v>
      </c>
      <c r="J72" s="7"/>
    </row>
    <row r="73" spans="1:10" x14ac:dyDescent="0.2">
      <c r="A73" s="43">
        <v>67</v>
      </c>
      <c r="B73" s="44" t="s">
        <v>535</v>
      </c>
      <c r="C73" s="44" t="s">
        <v>536</v>
      </c>
      <c r="D73" s="44" t="s">
        <v>100</v>
      </c>
      <c r="E73" s="45">
        <v>199530</v>
      </c>
      <c r="F73" s="46">
        <v>1901.421135</v>
      </c>
      <c r="G73" s="47">
        <v>5.5683699999999996E-3</v>
      </c>
      <c r="H73" s="40" t="s">
        <v>151</v>
      </c>
      <c r="J73" s="7"/>
    </row>
    <row r="74" spans="1:10" x14ac:dyDescent="0.2">
      <c r="A74" s="43">
        <v>68</v>
      </c>
      <c r="B74" s="44" t="s">
        <v>87</v>
      </c>
      <c r="C74" s="44" t="s">
        <v>88</v>
      </c>
      <c r="D74" s="44" t="s">
        <v>89</v>
      </c>
      <c r="E74" s="45">
        <v>33962</v>
      </c>
      <c r="F74" s="46">
        <v>1898.3059900000001</v>
      </c>
      <c r="G74" s="47">
        <v>5.55924E-3</v>
      </c>
      <c r="H74" s="40" t="s">
        <v>151</v>
      </c>
      <c r="J74" s="7"/>
    </row>
    <row r="75" spans="1:10" ht="25.5" x14ac:dyDescent="0.2">
      <c r="A75" s="43">
        <v>69</v>
      </c>
      <c r="B75" s="44" t="s">
        <v>537</v>
      </c>
      <c r="C75" s="44" t="s">
        <v>538</v>
      </c>
      <c r="D75" s="44" t="s">
        <v>433</v>
      </c>
      <c r="E75" s="45">
        <v>629891</v>
      </c>
      <c r="F75" s="46">
        <v>1722.3739504</v>
      </c>
      <c r="G75" s="47">
        <v>5.0440199999999998E-3</v>
      </c>
      <c r="H75" s="40" t="s">
        <v>151</v>
      </c>
      <c r="J75" s="7"/>
    </row>
    <row r="76" spans="1:10" x14ac:dyDescent="0.2">
      <c r="A76" s="43">
        <v>70</v>
      </c>
      <c r="B76" s="44" t="s">
        <v>460</v>
      </c>
      <c r="C76" s="44" t="s">
        <v>461</v>
      </c>
      <c r="D76" s="44" t="s">
        <v>89</v>
      </c>
      <c r="E76" s="45">
        <v>286238</v>
      </c>
      <c r="F76" s="46">
        <v>1709.9858119999999</v>
      </c>
      <c r="G76" s="47">
        <v>5.0077400000000001E-3</v>
      </c>
      <c r="H76" s="40" t="s">
        <v>151</v>
      </c>
      <c r="J76" s="7"/>
    </row>
    <row r="77" spans="1:10" x14ac:dyDescent="0.2">
      <c r="A77" s="43">
        <v>71</v>
      </c>
      <c r="B77" s="44" t="s">
        <v>227</v>
      </c>
      <c r="C77" s="44" t="s">
        <v>228</v>
      </c>
      <c r="D77" s="44" t="s">
        <v>229</v>
      </c>
      <c r="E77" s="45">
        <v>37713</v>
      </c>
      <c r="F77" s="46">
        <v>1709.9828460000001</v>
      </c>
      <c r="G77" s="47">
        <v>5.0077300000000002E-3</v>
      </c>
      <c r="H77" s="40" t="s">
        <v>151</v>
      </c>
      <c r="J77" s="7"/>
    </row>
    <row r="78" spans="1:10" x14ac:dyDescent="0.2">
      <c r="A78" s="43">
        <v>72</v>
      </c>
      <c r="B78" s="44" t="s">
        <v>34</v>
      </c>
      <c r="C78" s="44" t="s">
        <v>35</v>
      </c>
      <c r="D78" s="44" t="s">
        <v>33</v>
      </c>
      <c r="E78" s="45">
        <v>23460</v>
      </c>
      <c r="F78" s="46">
        <v>1498.54269</v>
      </c>
      <c r="G78" s="47">
        <v>4.3885299999999999E-3</v>
      </c>
      <c r="H78" s="40" t="s">
        <v>151</v>
      </c>
      <c r="J78" s="7"/>
    </row>
    <row r="79" spans="1:10" x14ac:dyDescent="0.2">
      <c r="A79" s="43">
        <v>73</v>
      </c>
      <c r="B79" s="44" t="s">
        <v>98</v>
      </c>
      <c r="C79" s="44" t="s">
        <v>99</v>
      </c>
      <c r="D79" s="44" t="s">
        <v>100</v>
      </c>
      <c r="E79" s="45">
        <v>12268</v>
      </c>
      <c r="F79" s="46">
        <v>1485.219286</v>
      </c>
      <c r="G79" s="47">
        <v>4.34951E-3</v>
      </c>
      <c r="H79" s="40" t="s">
        <v>151</v>
      </c>
      <c r="J79" s="7"/>
    </row>
    <row r="80" spans="1:10" x14ac:dyDescent="0.2">
      <c r="A80" s="43">
        <v>74</v>
      </c>
      <c r="B80" s="44" t="s">
        <v>539</v>
      </c>
      <c r="C80" s="44" t="s">
        <v>540</v>
      </c>
      <c r="D80" s="44" t="s">
        <v>229</v>
      </c>
      <c r="E80" s="45">
        <v>55126</v>
      </c>
      <c r="F80" s="46">
        <v>1378.9768899999999</v>
      </c>
      <c r="G80" s="47">
        <v>4.0383700000000003E-3</v>
      </c>
      <c r="H80" s="40" t="s">
        <v>151</v>
      </c>
      <c r="J80" s="7"/>
    </row>
    <row r="81" spans="1:10" x14ac:dyDescent="0.2">
      <c r="A81" s="43">
        <v>75</v>
      </c>
      <c r="B81" s="44" t="s">
        <v>541</v>
      </c>
      <c r="C81" s="44" t="s">
        <v>542</v>
      </c>
      <c r="D81" s="44" t="s">
        <v>232</v>
      </c>
      <c r="E81" s="45">
        <v>219379</v>
      </c>
      <c r="F81" s="46">
        <v>1314.299589</v>
      </c>
      <c r="G81" s="47">
        <v>3.8489599999999998E-3</v>
      </c>
      <c r="H81" s="40" t="s">
        <v>151</v>
      </c>
      <c r="J81" s="7"/>
    </row>
    <row r="82" spans="1:10" x14ac:dyDescent="0.2">
      <c r="A82" s="43">
        <v>76</v>
      </c>
      <c r="B82" s="44" t="s">
        <v>450</v>
      </c>
      <c r="C82" s="44" t="s">
        <v>451</v>
      </c>
      <c r="D82" s="44" t="s">
        <v>100</v>
      </c>
      <c r="E82" s="45">
        <v>143771</v>
      </c>
      <c r="F82" s="46">
        <v>1260.0090439999999</v>
      </c>
      <c r="G82" s="47">
        <v>3.6899699999999999E-3</v>
      </c>
      <c r="H82" s="40" t="s">
        <v>151</v>
      </c>
      <c r="J82" s="7"/>
    </row>
    <row r="83" spans="1:10" x14ac:dyDescent="0.2">
      <c r="A83" s="43">
        <v>77</v>
      </c>
      <c r="B83" s="44" t="s">
        <v>543</v>
      </c>
      <c r="C83" s="44" t="s">
        <v>544</v>
      </c>
      <c r="D83" s="44" t="s">
        <v>76</v>
      </c>
      <c r="E83" s="45">
        <v>98055</v>
      </c>
      <c r="F83" s="46">
        <v>1183.3277399999999</v>
      </c>
      <c r="G83" s="47">
        <v>3.4654099999999999E-3</v>
      </c>
      <c r="H83" s="40" t="s">
        <v>151</v>
      </c>
      <c r="J83" s="7"/>
    </row>
    <row r="84" spans="1:10" x14ac:dyDescent="0.2">
      <c r="A84" s="43">
        <v>78</v>
      </c>
      <c r="B84" s="44" t="s">
        <v>143</v>
      </c>
      <c r="C84" s="44" t="s">
        <v>144</v>
      </c>
      <c r="D84" s="44" t="s">
        <v>33</v>
      </c>
      <c r="E84" s="45">
        <v>90412</v>
      </c>
      <c r="F84" s="46">
        <v>1170.6093699999999</v>
      </c>
      <c r="G84" s="47">
        <v>3.42816E-3</v>
      </c>
      <c r="H84" s="40" t="s">
        <v>151</v>
      </c>
      <c r="J84" s="7"/>
    </row>
    <row r="85" spans="1:10" ht="25.5" x14ac:dyDescent="0.2">
      <c r="A85" s="43">
        <v>79</v>
      </c>
      <c r="B85" s="44" t="s">
        <v>291</v>
      </c>
      <c r="C85" s="44" t="s">
        <v>292</v>
      </c>
      <c r="D85" s="44" t="s">
        <v>210</v>
      </c>
      <c r="E85" s="45">
        <v>223096</v>
      </c>
      <c r="F85" s="46">
        <v>1034.942344</v>
      </c>
      <c r="G85" s="47">
        <v>3.0308599999999998E-3</v>
      </c>
      <c r="H85" s="40" t="s">
        <v>151</v>
      </c>
      <c r="J85" s="7"/>
    </row>
    <row r="86" spans="1:10" x14ac:dyDescent="0.2">
      <c r="A86" s="43">
        <v>80</v>
      </c>
      <c r="B86" s="44" t="s">
        <v>489</v>
      </c>
      <c r="C86" s="44" t="s">
        <v>490</v>
      </c>
      <c r="D86" s="44" t="s">
        <v>100</v>
      </c>
      <c r="E86" s="45">
        <v>11242</v>
      </c>
      <c r="F86" s="46">
        <v>1004.264723</v>
      </c>
      <c r="G86" s="47">
        <v>2.9410199999999999E-3</v>
      </c>
      <c r="H86" s="40" t="s">
        <v>151</v>
      </c>
      <c r="J86" s="7"/>
    </row>
    <row r="87" spans="1:10" x14ac:dyDescent="0.2">
      <c r="A87" s="43">
        <v>81</v>
      </c>
      <c r="B87" s="44" t="s">
        <v>545</v>
      </c>
      <c r="C87" s="44" t="s">
        <v>546</v>
      </c>
      <c r="D87" s="44" t="s">
        <v>229</v>
      </c>
      <c r="E87" s="45">
        <v>15920</v>
      </c>
      <c r="F87" s="46">
        <v>893.77268000000004</v>
      </c>
      <c r="G87" s="47">
        <v>2.61744E-3</v>
      </c>
      <c r="H87" s="40" t="s">
        <v>151</v>
      </c>
      <c r="J87" s="7"/>
    </row>
    <row r="88" spans="1:10" x14ac:dyDescent="0.2">
      <c r="A88" s="43">
        <v>82</v>
      </c>
      <c r="B88" s="44" t="s">
        <v>547</v>
      </c>
      <c r="C88" s="44" t="s">
        <v>93</v>
      </c>
      <c r="D88" s="44" t="s">
        <v>61</v>
      </c>
      <c r="E88" s="45">
        <v>62998</v>
      </c>
      <c r="F88" s="46">
        <v>585.15692300000001</v>
      </c>
      <c r="G88" s="47">
        <v>1.7136499999999999E-3</v>
      </c>
      <c r="H88" s="40" t="s">
        <v>151</v>
      </c>
      <c r="J88" s="7"/>
    </row>
    <row r="89" spans="1:10" x14ac:dyDescent="0.2">
      <c r="A89" s="41"/>
      <c r="B89" s="41"/>
      <c r="C89" s="42" t="s">
        <v>150</v>
      </c>
      <c r="D89" s="41"/>
      <c r="E89" s="41" t="s">
        <v>151</v>
      </c>
      <c r="F89" s="48">
        <v>328519.097575519</v>
      </c>
      <c r="G89" s="49">
        <v>0.96207765000000001</v>
      </c>
      <c r="H89" s="40" t="s">
        <v>151</v>
      </c>
      <c r="J89" s="7"/>
    </row>
    <row r="90" spans="1:10" x14ac:dyDescent="0.2">
      <c r="A90" s="41"/>
      <c r="B90" s="41"/>
      <c r="C90" s="50"/>
      <c r="D90" s="41"/>
      <c r="E90" s="41"/>
      <c r="F90" s="51"/>
      <c r="G90" s="51"/>
      <c r="H90" s="40" t="s">
        <v>151</v>
      </c>
      <c r="J90" s="7"/>
    </row>
    <row r="91" spans="1:10" x14ac:dyDescent="0.2">
      <c r="A91" s="41"/>
      <c r="B91" s="41"/>
      <c r="C91" s="42" t="s">
        <v>152</v>
      </c>
      <c r="D91" s="41"/>
      <c r="E91" s="41"/>
      <c r="F91" s="41"/>
      <c r="G91" s="41"/>
      <c r="H91" s="40" t="s">
        <v>151</v>
      </c>
      <c r="J91" s="7"/>
    </row>
    <row r="92" spans="1:10" x14ac:dyDescent="0.2">
      <c r="A92" s="41"/>
      <c r="B92" s="41"/>
      <c r="C92" s="42" t="s">
        <v>150</v>
      </c>
      <c r="D92" s="41"/>
      <c r="E92" s="41" t="s">
        <v>151</v>
      </c>
      <c r="F92" s="52" t="s">
        <v>153</v>
      </c>
      <c r="G92" s="49">
        <v>0</v>
      </c>
      <c r="H92" s="40" t="s">
        <v>151</v>
      </c>
      <c r="J92" s="7"/>
    </row>
    <row r="93" spans="1:10" x14ac:dyDescent="0.2">
      <c r="A93" s="41"/>
      <c r="B93" s="41"/>
      <c r="C93" s="50"/>
      <c r="D93" s="41"/>
      <c r="E93" s="41"/>
      <c r="F93" s="51"/>
      <c r="G93" s="51"/>
      <c r="H93" s="40" t="s">
        <v>151</v>
      </c>
      <c r="J93" s="7"/>
    </row>
    <row r="94" spans="1:10" x14ac:dyDescent="0.2">
      <c r="A94" s="41"/>
      <c r="B94" s="41"/>
      <c r="C94" s="42" t="s">
        <v>154</v>
      </c>
      <c r="D94" s="41"/>
      <c r="E94" s="41"/>
      <c r="F94" s="41"/>
      <c r="G94" s="41"/>
      <c r="H94" s="40" t="s">
        <v>151</v>
      </c>
      <c r="J94" s="7"/>
    </row>
    <row r="95" spans="1:10" x14ac:dyDescent="0.2">
      <c r="A95" s="43">
        <v>1</v>
      </c>
      <c r="B95" s="44" t="s">
        <v>147</v>
      </c>
      <c r="C95" s="53" t="s">
        <v>938</v>
      </c>
      <c r="D95" s="44" t="s">
        <v>148</v>
      </c>
      <c r="E95" s="45">
        <v>375961</v>
      </c>
      <c r="F95" s="46">
        <v>7.5190000000000003E-6</v>
      </c>
      <c r="G95" s="54" t="s">
        <v>149</v>
      </c>
      <c r="H95" s="40" t="s">
        <v>151</v>
      </c>
      <c r="J95" s="7"/>
    </row>
    <row r="96" spans="1:10" x14ac:dyDescent="0.2">
      <c r="A96" s="41"/>
      <c r="B96" s="41"/>
      <c r="C96" s="42" t="s">
        <v>150</v>
      </c>
      <c r="D96" s="41"/>
      <c r="E96" s="41" t="s">
        <v>151</v>
      </c>
      <c r="F96" s="52" t="s">
        <v>153</v>
      </c>
      <c r="G96" s="49">
        <v>0</v>
      </c>
      <c r="H96" s="40" t="s">
        <v>151</v>
      </c>
      <c r="J96" s="7"/>
    </row>
    <row r="97" spans="1:10" x14ac:dyDescent="0.2">
      <c r="A97" s="41"/>
      <c r="B97" s="41"/>
      <c r="C97" s="50"/>
      <c r="D97" s="41"/>
      <c r="E97" s="41"/>
      <c r="F97" s="51"/>
      <c r="G97" s="51"/>
      <c r="H97" s="40" t="s">
        <v>151</v>
      </c>
      <c r="J97" s="7"/>
    </row>
    <row r="98" spans="1:10" x14ac:dyDescent="0.2">
      <c r="A98" s="41"/>
      <c r="B98" s="41"/>
      <c r="C98" s="42" t="s">
        <v>155</v>
      </c>
      <c r="D98" s="41"/>
      <c r="E98" s="41"/>
      <c r="F98" s="41"/>
      <c r="G98" s="41"/>
      <c r="H98" s="40" t="s">
        <v>151</v>
      </c>
      <c r="J98" s="7"/>
    </row>
    <row r="99" spans="1:10" x14ac:dyDescent="0.2">
      <c r="A99" s="41"/>
      <c r="B99" s="41"/>
      <c r="C99" s="42" t="s">
        <v>150</v>
      </c>
      <c r="D99" s="41"/>
      <c r="E99" s="41" t="s">
        <v>151</v>
      </c>
      <c r="F99" s="52" t="s">
        <v>153</v>
      </c>
      <c r="G99" s="49">
        <v>0</v>
      </c>
      <c r="H99" s="40" t="s">
        <v>151</v>
      </c>
      <c r="J99" s="7"/>
    </row>
    <row r="100" spans="1:10" x14ac:dyDescent="0.2">
      <c r="A100" s="41"/>
      <c r="B100" s="41"/>
      <c r="C100" s="50"/>
      <c r="D100" s="41"/>
      <c r="E100" s="41"/>
      <c r="F100" s="51"/>
      <c r="G100" s="51"/>
      <c r="H100" s="40" t="s">
        <v>151</v>
      </c>
      <c r="J100" s="7"/>
    </row>
    <row r="101" spans="1:10" x14ac:dyDescent="0.2">
      <c r="A101" s="41"/>
      <c r="B101" s="41"/>
      <c r="C101" s="42" t="s">
        <v>156</v>
      </c>
      <c r="D101" s="41"/>
      <c r="E101" s="41"/>
      <c r="F101" s="51"/>
      <c r="G101" s="51"/>
      <c r="H101" s="40" t="s">
        <v>151</v>
      </c>
      <c r="J101" s="7"/>
    </row>
    <row r="102" spans="1:10" x14ac:dyDescent="0.2">
      <c r="A102" s="41"/>
      <c r="B102" s="41"/>
      <c r="C102" s="42" t="s">
        <v>150</v>
      </c>
      <c r="D102" s="41"/>
      <c r="E102" s="41" t="s">
        <v>151</v>
      </c>
      <c r="F102" s="52" t="s">
        <v>153</v>
      </c>
      <c r="G102" s="49">
        <v>0</v>
      </c>
      <c r="H102" s="40" t="s">
        <v>151</v>
      </c>
      <c r="J102" s="7"/>
    </row>
    <row r="103" spans="1:10" x14ac:dyDescent="0.2">
      <c r="A103" s="41"/>
      <c r="B103" s="41"/>
      <c r="C103" s="50"/>
      <c r="D103" s="41"/>
      <c r="E103" s="41"/>
      <c r="F103" s="51"/>
      <c r="G103" s="51"/>
      <c r="H103" s="40" t="s">
        <v>151</v>
      </c>
      <c r="J103" s="7"/>
    </row>
    <row r="104" spans="1:10" x14ac:dyDescent="0.2">
      <c r="A104" s="41"/>
      <c r="B104" s="41"/>
      <c r="C104" s="42" t="s">
        <v>157</v>
      </c>
      <c r="D104" s="41"/>
      <c r="E104" s="41"/>
      <c r="F104" s="51"/>
      <c r="G104" s="51"/>
      <c r="H104" s="40" t="s">
        <v>151</v>
      </c>
      <c r="J104" s="7"/>
    </row>
    <row r="105" spans="1:10" x14ac:dyDescent="0.2">
      <c r="A105" s="41"/>
      <c r="B105" s="41"/>
      <c r="C105" s="42" t="s">
        <v>150</v>
      </c>
      <c r="D105" s="41"/>
      <c r="E105" s="41" t="s">
        <v>151</v>
      </c>
      <c r="F105" s="52" t="s">
        <v>153</v>
      </c>
      <c r="G105" s="49">
        <v>0</v>
      </c>
      <c r="H105" s="40" t="s">
        <v>151</v>
      </c>
      <c r="J105" s="7"/>
    </row>
    <row r="106" spans="1:10" x14ac:dyDescent="0.2">
      <c r="A106" s="41"/>
      <c r="B106" s="41"/>
      <c r="C106" s="50"/>
      <c r="D106" s="41"/>
      <c r="E106" s="41"/>
      <c r="F106" s="51"/>
      <c r="G106" s="51"/>
      <c r="H106" s="40" t="s">
        <v>151</v>
      </c>
      <c r="J106" s="7"/>
    </row>
    <row r="107" spans="1:10" x14ac:dyDescent="0.2">
      <c r="A107" s="41"/>
      <c r="B107" s="41"/>
      <c r="C107" s="42" t="s">
        <v>158</v>
      </c>
      <c r="D107" s="41"/>
      <c r="E107" s="41"/>
      <c r="F107" s="48">
        <v>328519.097575519</v>
      </c>
      <c r="G107" s="49">
        <v>0.96207765000000001</v>
      </c>
      <c r="H107" s="40" t="s">
        <v>151</v>
      </c>
      <c r="J107" s="7"/>
    </row>
    <row r="108" spans="1:10" x14ac:dyDescent="0.2">
      <c r="A108" s="41"/>
      <c r="B108" s="41"/>
      <c r="C108" s="50"/>
      <c r="D108" s="41"/>
      <c r="E108" s="41"/>
      <c r="F108" s="51"/>
      <c r="G108" s="51"/>
      <c r="H108" s="40" t="s">
        <v>151</v>
      </c>
      <c r="J108" s="7"/>
    </row>
    <row r="109" spans="1:10" x14ac:dyDescent="0.2">
      <c r="A109" s="41"/>
      <c r="B109" s="41"/>
      <c r="C109" s="42" t="s">
        <v>159</v>
      </c>
      <c r="D109" s="41"/>
      <c r="E109" s="41"/>
      <c r="F109" s="51"/>
      <c r="G109" s="51"/>
      <c r="H109" s="40" t="s">
        <v>151</v>
      </c>
      <c r="J109" s="7"/>
    </row>
    <row r="110" spans="1:10" x14ac:dyDescent="0.2">
      <c r="A110" s="41"/>
      <c r="B110" s="41"/>
      <c r="C110" s="42" t="s">
        <v>10</v>
      </c>
      <c r="D110" s="41"/>
      <c r="E110" s="41"/>
      <c r="F110" s="51"/>
      <c r="G110" s="51"/>
      <c r="H110" s="40" t="s">
        <v>151</v>
      </c>
      <c r="J110" s="7"/>
    </row>
    <row r="111" spans="1:10" x14ac:dyDescent="0.2">
      <c r="A111" s="41"/>
      <c r="B111" s="41"/>
      <c r="C111" s="42" t="s">
        <v>150</v>
      </c>
      <c r="D111" s="41"/>
      <c r="E111" s="41" t="s">
        <v>151</v>
      </c>
      <c r="F111" s="52" t="s">
        <v>153</v>
      </c>
      <c r="G111" s="49">
        <v>0</v>
      </c>
      <c r="H111" s="40" t="s">
        <v>151</v>
      </c>
      <c r="J111" s="7"/>
    </row>
    <row r="112" spans="1:10" x14ac:dyDescent="0.2">
      <c r="A112" s="41"/>
      <c r="B112" s="41"/>
      <c r="C112" s="50"/>
      <c r="D112" s="41"/>
      <c r="E112" s="41"/>
      <c r="F112" s="51"/>
      <c r="G112" s="51"/>
      <c r="H112" s="40" t="s">
        <v>151</v>
      </c>
      <c r="J112" s="7"/>
    </row>
    <row r="113" spans="1:10" x14ac:dyDescent="0.2">
      <c r="A113" s="41"/>
      <c r="B113" s="41"/>
      <c r="C113" s="42" t="s">
        <v>160</v>
      </c>
      <c r="D113" s="41"/>
      <c r="E113" s="41"/>
      <c r="F113" s="41"/>
      <c r="G113" s="41"/>
      <c r="H113" s="40" t="s">
        <v>151</v>
      </c>
      <c r="J113" s="7"/>
    </row>
    <row r="114" spans="1:10" x14ac:dyDescent="0.2">
      <c r="A114" s="41"/>
      <c r="B114" s="41"/>
      <c r="C114" s="42" t="s">
        <v>150</v>
      </c>
      <c r="D114" s="41"/>
      <c r="E114" s="41" t="s">
        <v>151</v>
      </c>
      <c r="F114" s="52" t="s">
        <v>153</v>
      </c>
      <c r="G114" s="49">
        <v>0</v>
      </c>
      <c r="H114" s="40" t="s">
        <v>151</v>
      </c>
      <c r="J114" s="7"/>
    </row>
    <row r="115" spans="1:10" x14ac:dyDescent="0.2">
      <c r="A115" s="41"/>
      <c r="B115" s="41"/>
      <c r="C115" s="50"/>
      <c r="D115" s="41"/>
      <c r="E115" s="41"/>
      <c r="F115" s="51"/>
      <c r="G115" s="51"/>
      <c r="H115" s="40" t="s">
        <v>151</v>
      </c>
      <c r="J115" s="7"/>
    </row>
    <row r="116" spans="1:10" x14ac:dyDescent="0.2">
      <c r="A116" s="41"/>
      <c r="B116" s="41"/>
      <c r="C116" s="42" t="s">
        <v>161</v>
      </c>
      <c r="D116" s="41"/>
      <c r="E116" s="41"/>
      <c r="F116" s="41"/>
      <c r="G116" s="41"/>
      <c r="H116" s="40" t="s">
        <v>151</v>
      </c>
      <c r="J116" s="7"/>
    </row>
    <row r="117" spans="1:10" x14ac:dyDescent="0.2">
      <c r="A117" s="41"/>
      <c r="B117" s="41"/>
      <c r="C117" s="42" t="s">
        <v>150</v>
      </c>
      <c r="D117" s="41"/>
      <c r="E117" s="41" t="s">
        <v>151</v>
      </c>
      <c r="F117" s="52" t="s">
        <v>153</v>
      </c>
      <c r="G117" s="49">
        <v>0</v>
      </c>
      <c r="H117" s="40" t="s">
        <v>151</v>
      </c>
      <c r="J117" s="7"/>
    </row>
    <row r="118" spans="1:10" x14ac:dyDescent="0.2">
      <c r="A118" s="41"/>
      <c r="B118" s="41"/>
      <c r="C118" s="50"/>
      <c r="D118" s="41"/>
      <c r="E118" s="41"/>
      <c r="F118" s="51"/>
      <c r="G118" s="51"/>
      <c r="H118" s="40" t="s">
        <v>151</v>
      </c>
      <c r="J118" s="7"/>
    </row>
    <row r="119" spans="1:10" x14ac:dyDescent="0.2">
      <c r="A119" s="41"/>
      <c r="B119" s="41"/>
      <c r="C119" s="42" t="s">
        <v>162</v>
      </c>
      <c r="D119" s="41"/>
      <c r="E119" s="41"/>
      <c r="F119" s="51"/>
      <c r="G119" s="51"/>
      <c r="H119" s="40" t="s">
        <v>151</v>
      </c>
      <c r="J119" s="7"/>
    </row>
    <row r="120" spans="1:10" x14ac:dyDescent="0.2">
      <c r="A120" s="41"/>
      <c r="B120" s="41"/>
      <c r="C120" s="42" t="s">
        <v>150</v>
      </c>
      <c r="D120" s="41"/>
      <c r="E120" s="41" t="s">
        <v>151</v>
      </c>
      <c r="F120" s="52" t="s">
        <v>153</v>
      </c>
      <c r="G120" s="49">
        <v>0</v>
      </c>
      <c r="H120" s="40" t="s">
        <v>151</v>
      </c>
      <c r="J120" s="7"/>
    </row>
    <row r="121" spans="1:10" x14ac:dyDescent="0.2">
      <c r="A121" s="41"/>
      <c r="B121" s="41"/>
      <c r="C121" s="50"/>
      <c r="D121" s="41"/>
      <c r="E121" s="41"/>
      <c r="F121" s="51"/>
      <c r="G121" s="51"/>
      <c r="H121" s="40" t="s">
        <v>151</v>
      </c>
      <c r="J121" s="7"/>
    </row>
    <row r="122" spans="1:10" x14ac:dyDescent="0.2">
      <c r="A122" s="41"/>
      <c r="B122" s="41"/>
      <c r="C122" s="42" t="s">
        <v>163</v>
      </c>
      <c r="D122" s="41"/>
      <c r="E122" s="41"/>
      <c r="F122" s="48">
        <v>0</v>
      </c>
      <c r="G122" s="49">
        <v>0</v>
      </c>
      <c r="H122" s="40" t="s">
        <v>151</v>
      </c>
      <c r="J122" s="7"/>
    </row>
    <row r="123" spans="1:10" x14ac:dyDescent="0.2">
      <c r="A123" s="41"/>
      <c r="B123" s="41"/>
      <c r="C123" s="50"/>
      <c r="D123" s="41"/>
      <c r="E123" s="41"/>
      <c r="F123" s="51"/>
      <c r="G123" s="51"/>
      <c r="H123" s="40" t="s">
        <v>151</v>
      </c>
      <c r="J123" s="7"/>
    </row>
    <row r="124" spans="1:10" x14ac:dyDescent="0.2">
      <c r="A124" s="41"/>
      <c r="B124" s="41"/>
      <c r="C124" s="42" t="s">
        <v>164</v>
      </c>
      <c r="D124" s="41"/>
      <c r="E124" s="41"/>
      <c r="F124" s="51"/>
      <c r="G124" s="51"/>
      <c r="H124" s="40" t="s">
        <v>151</v>
      </c>
      <c r="J124" s="7"/>
    </row>
    <row r="125" spans="1:10" x14ac:dyDescent="0.2">
      <c r="A125" s="41"/>
      <c r="B125" s="41"/>
      <c r="C125" s="42" t="s">
        <v>165</v>
      </c>
      <c r="D125" s="41"/>
      <c r="E125" s="41"/>
      <c r="F125" s="51"/>
      <c r="G125" s="51"/>
      <c r="H125" s="40" t="s">
        <v>151</v>
      </c>
      <c r="J125" s="7"/>
    </row>
    <row r="126" spans="1:10" x14ac:dyDescent="0.2">
      <c r="A126" s="41"/>
      <c r="B126" s="41"/>
      <c r="C126" s="42" t="s">
        <v>150</v>
      </c>
      <c r="D126" s="41"/>
      <c r="E126" s="41" t="s">
        <v>151</v>
      </c>
      <c r="F126" s="52" t="s">
        <v>153</v>
      </c>
      <c r="G126" s="49">
        <v>0</v>
      </c>
      <c r="H126" s="40" t="s">
        <v>151</v>
      </c>
      <c r="J126" s="7"/>
    </row>
    <row r="127" spans="1:10" x14ac:dyDescent="0.2">
      <c r="A127" s="41"/>
      <c r="B127" s="41"/>
      <c r="C127" s="50"/>
      <c r="D127" s="41"/>
      <c r="E127" s="41"/>
      <c r="F127" s="51"/>
      <c r="G127" s="51"/>
      <c r="H127" s="40" t="s">
        <v>151</v>
      </c>
      <c r="J127" s="7"/>
    </row>
    <row r="128" spans="1:10" x14ac:dyDescent="0.2">
      <c r="A128" s="41"/>
      <c r="B128" s="41"/>
      <c r="C128" s="42" t="s">
        <v>166</v>
      </c>
      <c r="D128" s="41"/>
      <c r="E128" s="41"/>
      <c r="F128" s="51"/>
      <c r="G128" s="51"/>
      <c r="H128" s="40" t="s">
        <v>151</v>
      </c>
      <c r="J128" s="7"/>
    </row>
    <row r="129" spans="1:10" x14ac:dyDescent="0.2">
      <c r="A129" s="41"/>
      <c r="B129" s="41"/>
      <c r="C129" s="42" t="s">
        <v>150</v>
      </c>
      <c r="D129" s="41"/>
      <c r="E129" s="41" t="s">
        <v>151</v>
      </c>
      <c r="F129" s="52" t="s">
        <v>153</v>
      </c>
      <c r="G129" s="49">
        <v>0</v>
      </c>
      <c r="H129" s="40" t="s">
        <v>151</v>
      </c>
      <c r="J129" s="7"/>
    </row>
    <row r="130" spans="1:10" x14ac:dyDescent="0.2">
      <c r="A130" s="41"/>
      <c r="B130" s="41"/>
      <c r="C130" s="50"/>
      <c r="D130" s="41"/>
      <c r="E130" s="41"/>
      <c r="F130" s="51"/>
      <c r="G130" s="51"/>
      <c r="H130" s="40" t="s">
        <v>151</v>
      </c>
      <c r="J130" s="7"/>
    </row>
    <row r="131" spans="1:10" x14ac:dyDescent="0.2">
      <c r="A131" s="41"/>
      <c r="B131" s="41"/>
      <c r="C131" s="42" t="s">
        <v>167</v>
      </c>
      <c r="D131" s="41"/>
      <c r="E131" s="41"/>
      <c r="F131" s="51"/>
      <c r="G131" s="51"/>
      <c r="H131" s="40" t="s">
        <v>151</v>
      </c>
      <c r="J131" s="7"/>
    </row>
    <row r="132" spans="1:10" x14ac:dyDescent="0.2">
      <c r="A132" s="43">
        <v>1</v>
      </c>
      <c r="B132" s="44" t="s">
        <v>548</v>
      </c>
      <c r="C132" s="44" t="s">
        <v>1080</v>
      </c>
      <c r="D132" s="44" t="s">
        <v>549</v>
      </c>
      <c r="E132" s="45">
        <v>2000000</v>
      </c>
      <c r="F132" s="46">
        <v>1903.0440000000001</v>
      </c>
      <c r="G132" s="47">
        <v>5.57312E-3</v>
      </c>
      <c r="H132" s="40">
        <v>6.7868000000000004</v>
      </c>
      <c r="J132" s="7"/>
    </row>
    <row r="133" spans="1:10" x14ac:dyDescent="0.2">
      <c r="A133" s="41"/>
      <c r="B133" s="41"/>
      <c r="C133" s="42" t="s">
        <v>150</v>
      </c>
      <c r="D133" s="41"/>
      <c r="E133" s="41" t="s">
        <v>151</v>
      </c>
      <c r="F133" s="48">
        <v>1903.0440000000001</v>
      </c>
      <c r="G133" s="49">
        <v>5.57312E-3</v>
      </c>
      <c r="H133" s="40" t="s">
        <v>151</v>
      </c>
      <c r="J133" s="7"/>
    </row>
    <row r="134" spans="1:10" x14ac:dyDescent="0.2">
      <c r="A134" s="41"/>
      <c r="B134" s="41"/>
      <c r="C134" s="50"/>
      <c r="D134" s="41"/>
      <c r="E134" s="41"/>
      <c r="F134" s="51"/>
      <c r="G134" s="51"/>
      <c r="H134" s="40" t="s">
        <v>151</v>
      </c>
      <c r="J134" s="7"/>
    </row>
    <row r="135" spans="1:10" x14ac:dyDescent="0.2">
      <c r="A135" s="41"/>
      <c r="B135" s="41"/>
      <c r="C135" s="42" t="s">
        <v>168</v>
      </c>
      <c r="D135" s="41"/>
      <c r="E135" s="41"/>
      <c r="F135" s="51"/>
      <c r="G135" s="51"/>
      <c r="H135" s="40" t="s">
        <v>151</v>
      </c>
      <c r="J135" s="7"/>
    </row>
    <row r="136" spans="1:10" x14ac:dyDescent="0.2">
      <c r="A136" s="43">
        <v>1</v>
      </c>
      <c r="B136" s="44"/>
      <c r="C136" s="44" t="s">
        <v>169</v>
      </c>
      <c r="D136" s="44"/>
      <c r="E136" s="54"/>
      <c r="F136" s="46">
        <v>9089.5014479929996</v>
      </c>
      <c r="G136" s="47">
        <v>2.6618869999999999E-2</v>
      </c>
      <c r="H136" s="40">
        <v>6.39</v>
      </c>
      <c r="J136" s="7"/>
    </row>
    <row r="137" spans="1:10" x14ac:dyDescent="0.2">
      <c r="A137" s="41"/>
      <c r="B137" s="41"/>
      <c r="C137" s="42" t="s">
        <v>150</v>
      </c>
      <c r="D137" s="41"/>
      <c r="E137" s="41" t="s">
        <v>151</v>
      </c>
      <c r="F137" s="48">
        <v>9089.5014479929996</v>
      </c>
      <c r="G137" s="49">
        <v>2.6618869999999999E-2</v>
      </c>
      <c r="H137" s="40" t="s">
        <v>151</v>
      </c>
      <c r="J137" s="7"/>
    </row>
    <row r="138" spans="1:10" x14ac:dyDescent="0.2">
      <c r="A138" s="41"/>
      <c r="B138" s="41"/>
      <c r="C138" s="50"/>
      <c r="D138" s="41"/>
      <c r="E138" s="41"/>
      <c r="F138" s="51"/>
      <c r="G138" s="51"/>
      <c r="H138" s="40" t="s">
        <v>151</v>
      </c>
      <c r="J138" s="7"/>
    </row>
    <row r="139" spans="1:10" x14ac:dyDescent="0.2">
      <c r="A139" s="41"/>
      <c r="B139" s="41"/>
      <c r="C139" s="42" t="s">
        <v>170</v>
      </c>
      <c r="D139" s="41"/>
      <c r="E139" s="41"/>
      <c r="F139" s="48">
        <v>10992.545447992999</v>
      </c>
      <c r="G139" s="49">
        <v>3.2191989999999997E-2</v>
      </c>
      <c r="H139" s="40" t="s">
        <v>151</v>
      </c>
      <c r="J139" s="7"/>
    </row>
    <row r="140" spans="1:10" x14ac:dyDescent="0.2">
      <c r="A140" s="41"/>
      <c r="B140" s="41"/>
      <c r="C140" s="51"/>
      <c r="D140" s="41"/>
      <c r="E140" s="41"/>
      <c r="F140" s="41"/>
      <c r="G140" s="41"/>
      <c r="H140" s="40" t="s">
        <v>151</v>
      </c>
      <c r="J140" s="7"/>
    </row>
    <row r="141" spans="1:10" x14ac:dyDescent="0.2">
      <c r="A141" s="41"/>
      <c r="B141" s="41"/>
      <c r="C141" s="42" t="s">
        <v>171</v>
      </c>
      <c r="D141" s="41"/>
      <c r="E141" s="41"/>
      <c r="F141" s="41"/>
      <c r="G141" s="41"/>
      <c r="H141" s="40" t="s">
        <v>151</v>
      </c>
      <c r="J141" s="7"/>
    </row>
    <row r="142" spans="1:10" x14ac:dyDescent="0.2">
      <c r="A142" s="41"/>
      <c r="B142" s="41"/>
      <c r="C142" s="42" t="s">
        <v>172</v>
      </c>
      <c r="D142" s="41"/>
      <c r="E142" s="41"/>
      <c r="F142" s="41"/>
      <c r="G142" s="41"/>
      <c r="H142" s="40" t="s">
        <v>151</v>
      </c>
      <c r="J142" s="7"/>
    </row>
    <row r="143" spans="1:10" x14ac:dyDescent="0.2">
      <c r="A143" s="41"/>
      <c r="B143" s="41"/>
      <c r="C143" s="42" t="s">
        <v>150</v>
      </c>
      <c r="D143" s="41"/>
      <c r="E143" s="41" t="s">
        <v>151</v>
      </c>
      <c r="F143" s="52" t="s">
        <v>153</v>
      </c>
      <c r="G143" s="49">
        <v>0</v>
      </c>
      <c r="H143" s="40" t="s">
        <v>151</v>
      </c>
      <c r="J143" s="7"/>
    </row>
    <row r="144" spans="1:10" x14ac:dyDescent="0.2">
      <c r="A144" s="41"/>
      <c r="B144" s="41"/>
      <c r="C144" s="50"/>
      <c r="D144" s="41"/>
      <c r="E144" s="41"/>
      <c r="F144" s="51"/>
      <c r="G144" s="51"/>
      <c r="H144" s="40" t="s">
        <v>151</v>
      </c>
      <c r="J144" s="7"/>
    </row>
    <row r="145" spans="1:17" x14ac:dyDescent="0.2">
      <c r="A145" s="41"/>
      <c r="B145" s="41"/>
      <c r="C145" s="42" t="s">
        <v>173</v>
      </c>
      <c r="D145" s="41"/>
      <c r="E145" s="41"/>
      <c r="F145" s="41"/>
      <c r="G145" s="41"/>
      <c r="H145" s="40" t="s">
        <v>151</v>
      </c>
      <c r="J145" s="7"/>
    </row>
    <row r="146" spans="1:17" x14ac:dyDescent="0.2">
      <c r="A146" s="41"/>
      <c r="B146" s="41"/>
      <c r="C146" s="42" t="s">
        <v>174</v>
      </c>
      <c r="D146" s="41"/>
      <c r="E146" s="41"/>
      <c r="F146" s="41"/>
      <c r="G146" s="41"/>
      <c r="H146" s="40" t="s">
        <v>151</v>
      </c>
      <c r="J146" s="7"/>
    </row>
    <row r="147" spans="1:17" x14ac:dyDescent="0.2">
      <c r="A147" s="41"/>
      <c r="B147" s="41"/>
      <c r="C147" s="42" t="s">
        <v>150</v>
      </c>
      <c r="D147" s="41"/>
      <c r="E147" s="41" t="s">
        <v>151</v>
      </c>
      <c r="F147" s="52" t="s">
        <v>153</v>
      </c>
      <c r="G147" s="49">
        <v>0</v>
      </c>
      <c r="H147" s="40" t="s">
        <v>151</v>
      </c>
      <c r="J147" s="7"/>
    </row>
    <row r="148" spans="1:17" x14ac:dyDescent="0.2">
      <c r="A148" s="41"/>
      <c r="B148" s="41"/>
      <c r="C148" s="50"/>
      <c r="D148" s="41"/>
      <c r="E148" s="41"/>
      <c r="F148" s="51"/>
      <c r="G148" s="51"/>
      <c r="H148" s="40" t="s">
        <v>151</v>
      </c>
      <c r="J148" s="7"/>
    </row>
    <row r="149" spans="1:17" x14ac:dyDescent="0.2">
      <c r="A149" s="41"/>
      <c r="B149" s="41"/>
      <c r="C149" s="42" t="s">
        <v>175</v>
      </c>
      <c r="D149" s="41"/>
      <c r="E149" s="41"/>
      <c r="F149" s="51"/>
      <c r="G149" s="51"/>
      <c r="H149" s="40" t="s">
        <v>151</v>
      </c>
      <c r="J149" s="7"/>
    </row>
    <row r="150" spans="1:17" x14ac:dyDescent="0.2">
      <c r="A150" s="41"/>
      <c r="B150" s="41"/>
      <c r="C150" s="42" t="s">
        <v>150</v>
      </c>
      <c r="D150" s="41"/>
      <c r="E150" s="41" t="s">
        <v>151</v>
      </c>
      <c r="F150" s="52" t="s">
        <v>153</v>
      </c>
      <c r="G150" s="49">
        <v>0</v>
      </c>
      <c r="H150" s="40" t="s">
        <v>151</v>
      </c>
      <c r="J150" s="7"/>
    </row>
    <row r="151" spans="1:17" x14ac:dyDescent="0.2">
      <c r="A151" s="41"/>
      <c r="B151" s="41"/>
      <c r="C151" s="50"/>
      <c r="D151" s="41"/>
      <c r="E151" s="41"/>
      <c r="F151" s="51"/>
      <c r="G151" s="51"/>
      <c r="H151" s="40" t="s">
        <v>151</v>
      </c>
      <c r="J151" s="7"/>
    </row>
    <row r="152" spans="1:17" x14ac:dyDescent="0.2">
      <c r="A152" s="54"/>
      <c r="B152" s="44"/>
      <c r="C152" s="44" t="s">
        <v>550</v>
      </c>
      <c r="D152" s="44"/>
      <c r="E152" s="54"/>
      <c r="F152" s="46">
        <v>2000.0002469999999</v>
      </c>
      <c r="G152" s="47">
        <v>5.8570599999999999E-3</v>
      </c>
      <c r="H152" s="40" t="s">
        <v>151</v>
      </c>
      <c r="J152" s="7"/>
    </row>
    <row r="153" spans="1:17" x14ac:dyDescent="0.2">
      <c r="A153" s="54"/>
      <c r="B153" s="44"/>
      <c r="C153" s="44" t="s">
        <v>176</v>
      </c>
      <c r="D153" s="44"/>
      <c r="E153" s="54"/>
      <c r="F153" s="46">
        <v>-43.24291254202484</v>
      </c>
      <c r="G153" s="47">
        <v>-1.2664999999999999E-4</v>
      </c>
      <c r="H153" s="40" t="s">
        <v>151</v>
      </c>
      <c r="J153" s="7"/>
    </row>
    <row r="154" spans="1:17" x14ac:dyDescent="0.2">
      <c r="A154" s="50"/>
      <c r="B154" s="50"/>
      <c r="C154" s="42" t="s">
        <v>177</v>
      </c>
      <c r="D154" s="51"/>
      <c r="E154" s="51"/>
      <c r="F154" s="48">
        <v>341468.40035796998</v>
      </c>
      <c r="G154" s="55">
        <v>1.0000000499999999</v>
      </c>
      <c r="H154" s="40" t="s">
        <v>151</v>
      </c>
      <c r="J154" s="7"/>
    </row>
    <row r="155" spans="1:17" x14ac:dyDescent="0.2">
      <c r="A155" s="56"/>
      <c r="B155" s="56"/>
      <c r="C155" s="56"/>
      <c r="D155" s="57"/>
      <c r="E155" s="57"/>
      <c r="F155" s="57"/>
      <c r="G155" s="57"/>
      <c r="J155" s="7"/>
    </row>
    <row r="156" spans="1:17" ht="12.75" customHeight="1" x14ac:dyDescent="0.2">
      <c r="A156" s="58"/>
      <c r="B156" s="159" t="s">
        <v>923</v>
      </c>
      <c r="C156" s="159"/>
      <c r="D156" s="159"/>
      <c r="E156" s="159"/>
      <c r="F156" s="159"/>
      <c r="G156" s="159"/>
      <c r="H156" s="159"/>
      <c r="J156" s="7"/>
    </row>
    <row r="157" spans="1:17" ht="14.1" customHeight="1" x14ac:dyDescent="0.2">
      <c r="A157" s="58"/>
      <c r="B157" s="159" t="s">
        <v>924</v>
      </c>
      <c r="C157" s="159"/>
      <c r="D157" s="159"/>
      <c r="E157" s="159"/>
      <c r="F157" s="159"/>
      <c r="G157" s="159"/>
      <c r="H157" s="159"/>
      <c r="J157" s="7"/>
    </row>
    <row r="158" spans="1:17" ht="17.100000000000001" customHeight="1" x14ac:dyDescent="0.2">
      <c r="A158" s="58"/>
      <c r="B158" s="159" t="s">
        <v>925</v>
      </c>
      <c r="C158" s="159"/>
      <c r="D158" s="159"/>
      <c r="E158" s="159"/>
      <c r="F158" s="159"/>
      <c r="G158" s="159"/>
      <c r="H158" s="159"/>
      <c r="J158" s="7"/>
    </row>
    <row r="159" spans="1:17" s="8" customFormat="1" ht="65.25" customHeight="1" x14ac:dyDescent="0.25">
      <c r="A159" s="60"/>
      <c r="B159" s="160" t="s">
        <v>926</v>
      </c>
      <c r="C159" s="160"/>
      <c r="D159" s="160"/>
      <c r="E159" s="160"/>
      <c r="F159" s="160"/>
      <c r="G159" s="160"/>
      <c r="H159" s="160"/>
      <c r="I159"/>
      <c r="J159" s="7"/>
      <c r="K159"/>
      <c r="L159"/>
      <c r="M159"/>
      <c r="N159"/>
      <c r="O159"/>
      <c r="P159"/>
      <c r="Q159"/>
    </row>
    <row r="160" spans="1:17" ht="12.75" customHeight="1" x14ac:dyDescent="0.2">
      <c r="A160" s="58"/>
      <c r="B160" s="159" t="s">
        <v>927</v>
      </c>
      <c r="C160" s="159"/>
      <c r="D160" s="159"/>
      <c r="E160" s="159"/>
      <c r="F160" s="159"/>
      <c r="G160" s="159"/>
      <c r="H160" s="159"/>
      <c r="J160" s="7"/>
    </row>
    <row r="161" spans="1:10" x14ac:dyDescent="0.2">
      <c r="A161" s="61"/>
      <c r="B161" s="61"/>
      <c r="C161" s="61"/>
      <c r="D161" s="62"/>
      <c r="E161" s="62"/>
      <c r="F161" s="62"/>
      <c r="G161" s="62"/>
      <c r="J161" s="7"/>
    </row>
    <row r="162" spans="1:10" x14ac:dyDescent="0.2">
      <c r="A162" s="61"/>
      <c r="B162" s="161" t="s">
        <v>178</v>
      </c>
      <c r="C162" s="162"/>
      <c r="D162" s="163"/>
      <c r="E162" s="63"/>
      <c r="F162" s="62"/>
      <c r="G162" s="62"/>
      <c r="J162" s="7"/>
    </row>
    <row r="163" spans="1:10" x14ac:dyDescent="0.2">
      <c r="A163" s="61"/>
      <c r="B163" s="156" t="s">
        <v>179</v>
      </c>
      <c r="C163" s="157"/>
      <c r="D163" s="42" t="s">
        <v>180</v>
      </c>
      <c r="E163" s="63"/>
      <c r="F163" s="62"/>
      <c r="G163" s="62"/>
      <c r="J163" s="7"/>
    </row>
    <row r="164" spans="1:10" ht="12.75" customHeight="1" x14ac:dyDescent="0.2">
      <c r="A164" s="58"/>
      <c r="B164" s="164" t="s">
        <v>1012</v>
      </c>
      <c r="C164" s="165"/>
      <c r="D164" s="64" t="str">
        <f>"Rs. "&amp;TEXT(F96,"0.00")&amp;" lacs/ #"</f>
        <v>Rs. 0.00 lacs/ #</v>
      </c>
      <c r="E164" s="65"/>
      <c r="F164" s="66"/>
      <c r="G164" s="66"/>
      <c r="J164" s="7"/>
    </row>
    <row r="165" spans="1:10" x14ac:dyDescent="0.2">
      <c r="A165" s="61"/>
      <c r="B165" s="156" t="s">
        <v>182</v>
      </c>
      <c r="C165" s="157"/>
      <c r="D165" s="51" t="s">
        <v>151</v>
      </c>
      <c r="E165" s="63"/>
      <c r="F165" s="62"/>
      <c r="G165" s="62"/>
      <c r="J165" s="7"/>
    </row>
    <row r="166" spans="1:10" x14ac:dyDescent="0.2">
      <c r="A166" s="67"/>
      <c r="B166" s="68" t="s">
        <v>151</v>
      </c>
      <c r="C166" s="68" t="s">
        <v>937</v>
      </c>
      <c r="D166" s="68" t="s">
        <v>183</v>
      </c>
      <c r="E166" s="67"/>
      <c r="F166" s="67"/>
      <c r="G166" s="67"/>
      <c r="H166" s="67"/>
      <c r="J166" s="7"/>
    </row>
    <row r="167" spans="1:10" x14ac:dyDescent="0.2">
      <c r="A167" s="69"/>
      <c r="B167" s="70" t="s">
        <v>184</v>
      </c>
      <c r="C167" s="80" t="s">
        <v>185</v>
      </c>
      <c r="D167" s="80" t="s">
        <v>186</v>
      </c>
      <c r="E167" s="69"/>
      <c r="F167" s="69"/>
      <c r="G167" s="69"/>
      <c r="J167" s="7"/>
    </row>
    <row r="168" spans="1:10" x14ac:dyDescent="0.2">
      <c r="A168" s="69"/>
      <c r="B168" s="44" t="s">
        <v>187</v>
      </c>
      <c r="C168" s="72">
        <v>271.78289999999998</v>
      </c>
      <c r="D168" s="72">
        <v>280.63200000000001</v>
      </c>
      <c r="E168" s="69"/>
      <c r="F168" s="73"/>
      <c r="G168" s="74"/>
      <c r="J168" s="7"/>
    </row>
    <row r="169" spans="1:10" x14ac:dyDescent="0.2">
      <c r="A169" s="69"/>
      <c r="B169" s="44" t="s">
        <v>1094</v>
      </c>
      <c r="C169" s="72">
        <v>41.1387</v>
      </c>
      <c r="D169" s="72">
        <v>42.478099999999998</v>
      </c>
      <c r="E169" s="69"/>
      <c r="F169" s="73"/>
      <c r="G169" s="74"/>
    </row>
    <row r="170" spans="1:10" x14ac:dyDescent="0.2">
      <c r="A170" s="69"/>
      <c r="B170" s="44" t="s">
        <v>188</v>
      </c>
      <c r="C170" s="72">
        <v>248.3219</v>
      </c>
      <c r="D170" s="72">
        <v>256.16550000000001</v>
      </c>
      <c r="E170" s="69"/>
      <c r="F170" s="73"/>
      <c r="G170" s="74"/>
    </row>
    <row r="171" spans="1:10" x14ac:dyDescent="0.2">
      <c r="A171" s="69"/>
      <c r="B171" s="44" t="s">
        <v>1095</v>
      </c>
      <c r="C171" s="72">
        <v>36.578099999999999</v>
      </c>
      <c r="D171" s="72">
        <v>37.733499999999999</v>
      </c>
      <c r="E171" s="69"/>
      <c r="F171" s="73"/>
      <c r="G171" s="74"/>
    </row>
    <row r="172" spans="1:10" x14ac:dyDescent="0.2">
      <c r="A172" s="69"/>
      <c r="B172" s="69"/>
      <c r="C172" s="69"/>
      <c r="D172" s="69"/>
      <c r="E172" s="69"/>
      <c r="F172" s="69"/>
      <c r="G172" s="69"/>
    </row>
    <row r="173" spans="1:10" x14ac:dyDescent="0.2">
      <c r="A173" s="67"/>
      <c r="B173" s="164" t="s">
        <v>940</v>
      </c>
      <c r="C173" s="165"/>
      <c r="D173" s="64" t="s">
        <v>180</v>
      </c>
      <c r="E173" s="67"/>
      <c r="F173" s="67"/>
      <c r="G173" s="67"/>
    </row>
    <row r="174" spans="1:10" x14ac:dyDescent="0.2">
      <c r="A174" s="67"/>
      <c r="B174" s="84"/>
      <c r="C174" s="84"/>
      <c r="D174" s="84"/>
      <c r="E174" s="67"/>
      <c r="F174" s="67"/>
      <c r="G174" s="67"/>
    </row>
    <row r="175" spans="1:10" x14ac:dyDescent="0.2">
      <c r="A175" s="67"/>
      <c r="B175" s="164" t="s">
        <v>189</v>
      </c>
      <c r="C175" s="165"/>
      <c r="D175" s="64" t="s">
        <v>180</v>
      </c>
      <c r="E175" s="75"/>
      <c r="F175" s="67"/>
      <c r="G175" s="67"/>
    </row>
    <row r="176" spans="1:10" x14ac:dyDescent="0.2">
      <c r="A176" s="67"/>
      <c r="B176" s="164" t="s">
        <v>190</v>
      </c>
      <c r="C176" s="165"/>
      <c r="D176" s="64" t="s">
        <v>180</v>
      </c>
      <c r="E176" s="75"/>
      <c r="F176" s="67"/>
      <c r="G176" s="67"/>
    </row>
    <row r="177" spans="1:7" x14ac:dyDescent="0.2">
      <c r="A177" s="67"/>
      <c r="B177" s="164" t="s">
        <v>191</v>
      </c>
      <c r="C177" s="165"/>
      <c r="D177" s="64" t="s">
        <v>180</v>
      </c>
      <c r="E177" s="75"/>
      <c r="F177" s="67"/>
      <c r="G177" s="67"/>
    </row>
    <row r="178" spans="1:7" x14ac:dyDescent="0.2">
      <c r="A178" s="67"/>
      <c r="B178" s="164" t="s">
        <v>192</v>
      </c>
      <c r="C178" s="165"/>
      <c r="D178" s="76">
        <v>0.59607614661234665</v>
      </c>
      <c r="E178" s="67"/>
      <c r="F178" s="59"/>
      <c r="G178" s="77"/>
    </row>
  </sheetData>
  <mergeCells count="17">
    <mergeCell ref="B164:C164"/>
    <mergeCell ref="B165:C165"/>
    <mergeCell ref="B173:C173"/>
    <mergeCell ref="B177:C177"/>
    <mergeCell ref="B178:C178"/>
    <mergeCell ref="B175:C175"/>
    <mergeCell ref="B176:C176"/>
    <mergeCell ref="B163:C163"/>
    <mergeCell ref="A1:H1"/>
    <mergeCell ref="A2:H2"/>
    <mergeCell ref="A3:H3"/>
    <mergeCell ref="B156:H156"/>
    <mergeCell ref="B157:H157"/>
    <mergeCell ref="B158:H158"/>
    <mergeCell ref="B159:H159"/>
    <mergeCell ref="B160:H160"/>
    <mergeCell ref="B162:D162"/>
  </mergeCells>
  <hyperlinks>
    <hyperlink ref="I1" location="Index!B14" display="Index" xr:uid="{98091C49-B71D-46FA-8C3E-2C7DDD066C7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2C35-FF87-4791-8B48-6E051E80E381}">
  <sheetPr>
    <outlinePr summaryBelow="0" summaryRight="0"/>
  </sheetPr>
  <dimension ref="A1:Q245"/>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7" bestFit="1" customWidth="1"/>
    <col min="5" max="5" width="9" bestFit="1" customWidth="1"/>
    <col min="6" max="6" width="10.140625" bestFit="1" customWidth="1"/>
    <col min="7" max="7" width="8.85546875" customWidth="1"/>
    <col min="8" max="8" width="7.5703125" customWidth="1"/>
    <col min="9" max="9" width="11.570312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551</v>
      </c>
      <c r="B2" s="158"/>
      <c r="C2" s="158"/>
      <c r="D2" s="158"/>
      <c r="E2" s="158"/>
      <c r="F2" s="158"/>
      <c r="G2" s="158"/>
      <c r="H2" s="158"/>
      <c r="J2" s="11" t="s">
        <v>942</v>
      </c>
    </row>
    <row r="3" spans="1:10" ht="15" customHeight="1" x14ac:dyDescent="0.2">
      <c r="A3" s="158" t="s">
        <v>880</v>
      </c>
      <c r="B3" s="158"/>
      <c r="C3" s="158"/>
      <c r="D3" s="158"/>
      <c r="E3" s="158"/>
      <c r="F3" s="158"/>
      <c r="G3" s="158"/>
      <c r="H3" s="158"/>
      <c r="J3" s="7"/>
    </row>
    <row r="4" spans="1:10" s="1" customFormat="1" ht="33" customHeight="1" x14ac:dyDescent="0.2">
      <c r="A4" s="36" t="s">
        <v>2</v>
      </c>
      <c r="B4" s="36" t="s">
        <v>3</v>
      </c>
      <c r="C4" s="36" t="s">
        <v>4</v>
      </c>
      <c r="D4" s="36" t="s">
        <v>5</v>
      </c>
      <c r="E4" s="36" t="s">
        <v>6</v>
      </c>
      <c r="F4" s="36" t="s">
        <v>7</v>
      </c>
      <c r="G4" s="36" t="s">
        <v>8</v>
      </c>
      <c r="H4" s="37" t="s">
        <v>922</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20</v>
      </c>
      <c r="C7" s="44" t="s">
        <v>21</v>
      </c>
      <c r="D7" s="44" t="s">
        <v>22</v>
      </c>
      <c r="E7" s="45">
        <v>820000</v>
      </c>
      <c r="F7" s="46">
        <v>24688.97</v>
      </c>
      <c r="G7" s="47">
        <v>4.755359E-2</v>
      </c>
      <c r="H7" s="40" t="s">
        <v>151</v>
      </c>
      <c r="J7" s="7"/>
    </row>
    <row r="8" spans="1:10" x14ac:dyDescent="0.2">
      <c r="A8" s="43">
        <v>2</v>
      </c>
      <c r="B8" s="44" t="s">
        <v>341</v>
      </c>
      <c r="C8" s="44" t="s">
        <v>342</v>
      </c>
      <c r="D8" s="44" t="s">
        <v>45</v>
      </c>
      <c r="E8" s="45">
        <v>1300750</v>
      </c>
      <c r="F8" s="46">
        <v>21016.868125000001</v>
      </c>
      <c r="G8" s="47">
        <v>4.0480729999999999E-2</v>
      </c>
      <c r="H8" s="40" t="s">
        <v>151</v>
      </c>
      <c r="J8" s="7"/>
    </row>
    <row r="9" spans="1:10" x14ac:dyDescent="0.2">
      <c r="A9" s="43">
        <v>3</v>
      </c>
      <c r="B9" s="44" t="s">
        <v>43</v>
      </c>
      <c r="C9" s="44" t="s">
        <v>44</v>
      </c>
      <c r="D9" s="44" t="s">
        <v>45</v>
      </c>
      <c r="E9" s="45">
        <v>1700000</v>
      </c>
      <c r="F9" s="46">
        <v>20653.3</v>
      </c>
      <c r="G9" s="47">
        <v>3.9780459999999997E-2</v>
      </c>
      <c r="H9" s="40" t="s">
        <v>151</v>
      </c>
      <c r="J9" s="7"/>
    </row>
    <row r="10" spans="1:10" x14ac:dyDescent="0.2">
      <c r="A10" s="43">
        <v>4</v>
      </c>
      <c r="B10" s="44" t="s">
        <v>343</v>
      </c>
      <c r="C10" s="44" t="s">
        <v>344</v>
      </c>
      <c r="D10" s="44" t="s">
        <v>219</v>
      </c>
      <c r="E10" s="45">
        <v>820000</v>
      </c>
      <c r="F10" s="46">
        <v>15319.65</v>
      </c>
      <c r="G10" s="47">
        <v>2.950728E-2</v>
      </c>
      <c r="H10" s="40" t="s">
        <v>151</v>
      </c>
      <c r="J10" s="7"/>
    </row>
    <row r="11" spans="1:10" x14ac:dyDescent="0.2">
      <c r="A11" s="43">
        <v>5</v>
      </c>
      <c r="B11" s="44" t="s">
        <v>17</v>
      </c>
      <c r="C11" s="44" t="s">
        <v>18</v>
      </c>
      <c r="D11" s="44" t="s">
        <v>19</v>
      </c>
      <c r="E11" s="45">
        <v>1000000</v>
      </c>
      <c r="F11" s="46">
        <v>14915.5</v>
      </c>
      <c r="G11" s="47">
        <v>2.8728839999999999E-2</v>
      </c>
      <c r="H11" s="40" t="s">
        <v>151</v>
      </c>
      <c r="J11" s="7"/>
    </row>
    <row r="12" spans="1:10" ht="15" x14ac:dyDescent="0.2">
      <c r="A12" s="43">
        <v>6</v>
      </c>
      <c r="B12" s="44" t="s">
        <v>194</v>
      </c>
      <c r="C12" s="44" t="s">
        <v>195</v>
      </c>
      <c r="D12" s="44" t="s">
        <v>100</v>
      </c>
      <c r="E12" s="45">
        <v>2460000</v>
      </c>
      <c r="F12" s="46">
        <v>14253.24</v>
      </c>
      <c r="G12" s="47">
        <v>2.745326E-2</v>
      </c>
      <c r="H12" s="40" t="s">
        <v>151</v>
      </c>
      <c r="J12" s="12"/>
    </row>
    <row r="13" spans="1:10" x14ac:dyDescent="0.2">
      <c r="A13" s="43">
        <v>7</v>
      </c>
      <c r="B13" s="44" t="s">
        <v>11</v>
      </c>
      <c r="C13" s="44" t="s">
        <v>12</v>
      </c>
      <c r="D13" s="44" t="s">
        <v>13</v>
      </c>
      <c r="E13" s="45">
        <v>317779</v>
      </c>
      <c r="F13" s="46">
        <v>12123.26885</v>
      </c>
      <c r="G13" s="47">
        <v>2.335071E-2</v>
      </c>
      <c r="H13" s="40" t="s">
        <v>151</v>
      </c>
      <c r="J13" s="7"/>
    </row>
    <row r="14" spans="1:10" ht="25.5" x14ac:dyDescent="0.2">
      <c r="A14" s="43">
        <v>8</v>
      </c>
      <c r="B14" s="44" t="s">
        <v>353</v>
      </c>
      <c r="C14" s="44" t="s">
        <v>354</v>
      </c>
      <c r="D14" s="44" t="s">
        <v>210</v>
      </c>
      <c r="E14" s="45">
        <v>575000</v>
      </c>
      <c r="F14" s="46">
        <v>9886.2625000000007</v>
      </c>
      <c r="G14" s="47">
        <v>1.9042E-2</v>
      </c>
      <c r="H14" s="40" t="s">
        <v>151</v>
      </c>
      <c r="J14" s="7"/>
    </row>
    <row r="15" spans="1:10" x14ac:dyDescent="0.2">
      <c r="A15" s="43">
        <v>9</v>
      </c>
      <c r="B15" s="44" t="s">
        <v>51</v>
      </c>
      <c r="C15" s="44" t="s">
        <v>52</v>
      </c>
      <c r="D15" s="44" t="s">
        <v>45</v>
      </c>
      <c r="E15" s="45">
        <v>1000000</v>
      </c>
      <c r="F15" s="46">
        <v>8724</v>
      </c>
      <c r="G15" s="47">
        <v>1.6803350000000002E-2</v>
      </c>
      <c r="H15" s="40" t="s">
        <v>151</v>
      </c>
      <c r="J15" s="7"/>
    </row>
    <row r="16" spans="1:10" ht="25.5" x14ac:dyDescent="0.2">
      <c r="A16" s="43">
        <v>10</v>
      </c>
      <c r="B16" s="44" t="s">
        <v>347</v>
      </c>
      <c r="C16" s="44" t="s">
        <v>348</v>
      </c>
      <c r="D16" s="44" t="s">
        <v>45</v>
      </c>
      <c r="E16" s="45">
        <v>700000</v>
      </c>
      <c r="F16" s="46">
        <v>8162.7</v>
      </c>
      <c r="G16" s="47">
        <v>1.572223E-2</v>
      </c>
      <c r="H16" s="40" t="s">
        <v>151</v>
      </c>
      <c r="J16" s="7" t="s">
        <v>1057</v>
      </c>
    </row>
    <row r="17" spans="1:10" x14ac:dyDescent="0.2">
      <c r="A17" s="43">
        <v>11</v>
      </c>
      <c r="B17" s="44" t="s">
        <v>14</v>
      </c>
      <c r="C17" s="44" t="s">
        <v>15</v>
      </c>
      <c r="D17" s="44" t="s">
        <v>16</v>
      </c>
      <c r="E17" s="45">
        <v>1855000</v>
      </c>
      <c r="F17" s="46">
        <v>7716.8</v>
      </c>
      <c r="G17" s="47">
        <v>1.4863380000000001E-2</v>
      </c>
      <c r="H17" s="40" t="s">
        <v>151</v>
      </c>
      <c r="J17" s="7"/>
    </row>
    <row r="18" spans="1:10" x14ac:dyDescent="0.2">
      <c r="A18" s="43">
        <v>12</v>
      </c>
      <c r="B18" s="44" t="s">
        <v>248</v>
      </c>
      <c r="C18" s="44" t="s">
        <v>249</v>
      </c>
      <c r="D18" s="44" t="s">
        <v>86</v>
      </c>
      <c r="E18" s="45">
        <v>260000</v>
      </c>
      <c r="F18" s="46">
        <v>7623.07</v>
      </c>
      <c r="G18" s="47">
        <v>1.4682850000000001E-2</v>
      </c>
      <c r="H18" s="40" t="s">
        <v>151</v>
      </c>
      <c r="J18" s="7"/>
    </row>
    <row r="19" spans="1:10" x14ac:dyDescent="0.2">
      <c r="A19" s="43">
        <v>13</v>
      </c>
      <c r="B19" s="44" t="s">
        <v>198</v>
      </c>
      <c r="C19" s="44" t="s">
        <v>199</v>
      </c>
      <c r="D19" s="44" t="s">
        <v>89</v>
      </c>
      <c r="E19" s="45">
        <v>180000</v>
      </c>
      <c r="F19" s="46">
        <v>7449.39</v>
      </c>
      <c r="G19" s="47">
        <v>1.4348319999999999E-2</v>
      </c>
      <c r="H19" s="40" t="s">
        <v>151</v>
      </c>
      <c r="J19" s="7"/>
    </row>
    <row r="20" spans="1:10" x14ac:dyDescent="0.2">
      <c r="A20" s="43">
        <v>14</v>
      </c>
      <c r="B20" s="44" t="s">
        <v>351</v>
      </c>
      <c r="C20" s="44" t="s">
        <v>352</v>
      </c>
      <c r="D20" s="44" t="s">
        <v>268</v>
      </c>
      <c r="E20" s="45">
        <v>470000</v>
      </c>
      <c r="F20" s="46">
        <v>7413.78</v>
      </c>
      <c r="G20" s="47">
        <v>1.4279729999999999E-2</v>
      </c>
      <c r="H20" s="40" t="s">
        <v>151</v>
      </c>
      <c r="J20" s="7"/>
    </row>
    <row r="21" spans="1:10" x14ac:dyDescent="0.2">
      <c r="A21" s="43">
        <v>15</v>
      </c>
      <c r="B21" s="44" t="s">
        <v>552</v>
      </c>
      <c r="C21" s="44" t="s">
        <v>553</v>
      </c>
      <c r="D21" s="44" t="s">
        <v>268</v>
      </c>
      <c r="E21" s="45">
        <v>500000</v>
      </c>
      <c r="F21" s="46">
        <v>7066.5</v>
      </c>
      <c r="G21" s="47">
        <v>1.3610830000000001E-2</v>
      </c>
      <c r="H21" s="40" t="s">
        <v>151</v>
      </c>
      <c r="J21" s="7"/>
    </row>
    <row r="22" spans="1:10" ht="15" x14ac:dyDescent="0.2">
      <c r="A22" s="43">
        <v>16</v>
      </c>
      <c r="B22" s="44" t="s">
        <v>283</v>
      </c>
      <c r="C22" s="44" t="s">
        <v>284</v>
      </c>
      <c r="D22" s="44" t="s">
        <v>89</v>
      </c>
      <c r="E22" s="45">
        <v>600000</v>
      </c>
      <c r="F22" s="46">
        <v>6246</v>
      </c>
      <c r="G22" s="47">
        <v>1.203046E-2</v>
      </c>
      <c r="H22" s="40" t="s">
        <v>151</v>
      </c>
      <c r="J22" s="12"/>
    </row>
    <row r="23" spans="1:10" x14ac:dyDescent="0.2">
      <c r="A23" s="43">
        <v>17</v>
      </c>
      <c r="B23" s="44" t="s">
        <v>355</v>
      </c>
      <c r="C23" s="44" t="s">
        <v>356</v>
      </c>
      <c r="D23" s="44" t="s">
        <v>45</v>
      </c>
      <c r="E23" s="45">
        <v>344000</v>
      </c>
      <c r="F23" s="46">
        <v>6219.1760000000004</v>
      </c>
      <c r="G23" s="47">
        <v>1.19788E-2</v>
      </c>
      <c r="H23" s="40" t="s">
        <v>151</v>
      </c>
      <c r="J23" s="7"/>
    </row>
    <row r="24" spans="1:10" ht="25.5" x14ac:dyDescent="0.2">
      <c r="A24" s="43">
        <v>18</v>
      </c>
      <c r="B24" s="44" t="s">
        <v>213</v>
      </c>
      <c r="C24" s="44" t="s">
        <v>214</v>
      </c>
      <c r="D24" s="44" t="s">
        <v>210</v>
      </c>
      <c r="E24" s="45">
        <v>494816</v>
      </c>
      <c r="F24" s="46">
        <v>6171.3451519999999</v>
      </c>
      <c r="G24" s="47">
        <v>1.188667E-2</v>
      </c>
      <c r="H24" s="40" t="s">
        <v>151</v>
      </c>
      <c r="J24" s="7"/>
    </row>
    <row r="25" spans="1:10" ht="25.5" x14ac:dyDescent="0.2">
      <c r="A25" s="43">
        <v>19</v>
      </c>
      <c r="B25" s="44" t="s">
        <v>203</v>
      </c>
      <c r="C25" s="44" t="s">
        <v>204</v>
      </c>
      <c r="D25" s="44" t="s">
        <v>205</v>
      </c>
      <c r="E25" s="45">
        <v>360000</v>
      </c>
      <c r="F25" s="46">
        <v>5983.2</v>
      </c>
      <c r="G25" s="47">
        <v>1.152428E-2</v>
      </c>
      <c r="H25" s="40" t="s">
        <v>151</v>
      </c>
      <c r="J25" s="7"/>
    </row>
    <row r="26" spans="1:10" x14ac:dyDescent="0.2">
      <c r="A26" s="43">
        <v>20</v>
      </c>
      <c r="B26" s="44" t="s">
        <v>471</v>
      </c>
      <c r="C26" s="44" t="s">
        <v>472</v>
      </c>
      <c r="D26" s="44" t="s">
        <v>219</v>
      </c>
      <c r="E26" s="45">
        <v>354000</v>
      </c>
      <c r="F26" s="46">
        <v>5814.8040000000001</v>
      </c>
      <c r="G26" s="47">
        <v>1.119993E-2</v>
      </c>
      <c r="H26" s="40" t="s">
        <v>151</v>
      </c>
      <c r="J26" s="7"/>
    </row>
    <row r="27" spans="1:10" x14ac:dyDescent="0.2">
      <c r="A27" s="43">
        <v>21</v>
      </c>
      <c r="B27" s="44" t="s">
        <v>227</v>
      </c>
      <c r="C27" s="44" t="s">
        <v>228</v>
      </c>
      <c r="D27" s="44" t="s">
        <v>229</v>
      </c>
      <c r="E27" s="45">
        <v>125000</v>
      </c>
      <c r="F27" s="46">
        <v>5667.75</v>
      </c>
      <c r="G27" s="47">
        <v>1.091669E-2</v>
      </c>
      <c r="H27" s="40" t="s">
        <v>151</v>
      </c>
      <c r="J27" s="7"/>
    </row>
    <row r="28" spans="1:10" x14ac:dyDescent="0.2">
      <c r="A28" s="43">
        <v>22</v>
      </c>
      <c r="B28" s="44" t="s">
        <v>39</v>
      </c>
      <c r="C28" s="44" t="s">
        <v>40</v>
      </c>
      <c r="D28" s="44" t="s">
        <v>22</v>
      </c>
      <c r="E28" s="45">
        <v>1550000</v>
      </c>
      <c r="F28" s="46">
        <v>5425.7749999999996</v>
      </c>
      <c r="G28" s="47">
        <v>1.0450620000000001E-2</v>
      </c>
      <c r="H28" s="40" t="s">
        <v>151</v>
      </c>
      <c r="J28" s="7"/>
    </row>
    <row r="29" spans="1:10" x14ac:dyDescent="0.2">
      <c r="A29" s="43">
        <v>23</v>
      </c>
      <c r="B29" s="44" t="s">
        <v>499</v>
      </c>
      <c r="C29" s="44" t="s">
        <v>500</v>
      </c>
      <c r="D29" s="44" t="s">
        <v>89</v>
      </c>
      <c r="E29" s="45">
        <v>198000</v>
      </c>
      <c r="F29" s="46">
        <v>5323.9229999999998</v>
      </c>
      <c r="G29" s="47">
        <v>1.025444E-2</v>
      </c>
      <c r="H29" s="40" t="s">
        <v>151</v>
      </c>
      <c r="J29" s="7"/>
    </row>
    <row r="30" spans="1:10" x14ac:dyDescent="0.2">
      <c r="A30" s="43">
        <v>24</v>
      </c>
      <c r="B30" s="44" t="s">
        <v>349</v>
      </c>
      <c r="C30" s="44" t="s">
        <v>350</v>
      </c>
      <c r="D30" s="44" t="s">
        <v>219</v>
      </c>
      <c r="E30" s="45">
        <v>118812</v>
      </c>
      <c r="F30" s="46">
        <v>5210.3220419999998</v>
      </c>
      <c r="G30" s="47">
        <v>1.003564E-2</v>
      </c>
      <c r="H30" s="40" t="s">
        <v>151</v>
      </c>
      <c r="J30" s="7"/>
    </row>
    <row r="31" spans="1:10" x14ac:dyDescent="0.2">
      <c r="A31" s="43">
        <v>25</v>
      </c>
      <c r="B31" s="44" t="s">
        <v>466</v>
      </c>
      <c r="C31" s="44" t="s">
        <v>994</v>
      </c>
      <c r="D31" s="44" t="s">
        <v>282</v>
      </c>
      <c r="E31" s="45">
        <v>650000</v>
      </c>
      <c r="F31" s="46">
        <v>5154.5</v>
      </c>
      <c r="G31" s="47">
        <v>9.9281200000000003E-3</v>
      </c>
      <c r="H31" s="40" t="s">
        <v>151</v>
      </c>
      <c r="J31" s="7"/>
    </row>
    <row r="32" spans="1:10" ht="25.5" x14ac:dyDescent="0.2">
      <c r="A32" s="43">
        <v>26</v>
      </c>
      <c r="B32" s="44" t="s">
        <v>362</v>
      </c>
      <c r="C32" s="44" t="s">
        <v>363</v>
      </c>
      <c r="D32" s="44" t="s">
        <v>210</v>
      </c>
      <c r="E32" s="45">
        <v>73000</v>
      </c>
      <c r="F32" s="46">
        <v>4927.8649999999998</v>
      </c>
      <c r="G32" s="47">
        <v>9.4915899999999994E-3</v>
      </c>
      <c r="H32" s="40" t="s">
        <v>151</v>
      </c>
      <c r="J32" s="7"/>
    </row>
    <row r="33" spans="1:10" x14ac:dyDescent="0.2">
      <c r="A33" s="43">
        <v>27</v>
      </c>
      <c r="B33" s="44" t="s">
        <v>62</v>
      </c>
      <c r="C33" s="44" t="s">
        <v>63</v>
      </c>
      <c r="D33" s="44" t="s">
        <v>64</v>
      </c>
      <c r="E33" s="45">
        <v>2000000</v>
      </c>
      <c r="F33" s="46">
        <v>4819.3999999999996</v>
      </c>
      <c r="G33" s="47">
        <v>9.2826799999999998E-3</v>
      </c>
      <c r="H33" s="40" t="s">
        <v>151</v>
      </c>
      <c r="J33" s="7"/>
    </row>
    <row r="34" spans="1:10" x14ac:dyDescent="0.2">
      <c r="A34" s="43">
        <v>28</v>
      </c>
      <c r="B34" s="44" t="s">
        <v>77</v>
      </c>
      <c r="C34" s="44" t="s">
        <v>78</v>
      </c>
      <c r="D34" s="44" t="s">
        <v>33</v>
      </c>
      <c r="E34" s="45">
        <v>125000</v>
      </c>
      <c r="F34" s="46">
        <v>4815.4375</v>
      </c>
      <c r="G34" s="47">
        <v>9.27505E-3</v>
      </c>
      <c r="H34" s="40" t="s">
        <v>151</v>
      </c>
      <c r="J34" s="7"/>
    </row>
    <row r="35" spans="1:10" x14ac:dyDescent="0.2">
      <c r="A35" s="43">
        <v>29</v>
      </c>
      <c r="B35" s="44" t="s">
        <v>206</v>
      </c>
      <c r="C35" s="44" t="s">
        <v>207</v>
      </c>
      <c r="D35" s="44" t="s">
        <v>45</v>
      </c>
      <c r="E35" s="45">
        <v>790000</v>
      </c>
      <c r="F35" s="46">
        <v>4809.5200000000004</v>
      </c>
      <c r="G35" s="47">
        <v>9.26365E-3</v>
      </c>
      <c r="H35" s="40" t="s">
        <v>151</v>
      </c>
      <c r="J35" s="7"/>
    </row>
    <row r="36" spans="1:10" x14ac:dyDescent="0.2">
      <c r="A36" s="43">
        <v>30</v>
      </c>
      <c r="B36" s="44" t="s">
        <v>554</v>
      </c>
      <c r="C36" s="44" t="s">
        <v>555</v>
      </c>
      <c r="D36" s="44" t="s">
        <v>282</v>
      </c>
      <c r="E36" s="45">
        <v>165000</v>
      </c>
      <c r="F36" s="46">
        <v>4797.87</v>
      </c>
      <c r="G36" s="47">
        <v>9.2412099999999997E-3</v>
      </c>
      <c r="H36" s="40" t="s">
        <v>151</v>
      </c>
      <c r="J36" s="7"/>
    </row>
    <row r="37" spans="1:10" ht="25.5" x14ac:dyDescent="0.2">
      <c r="A37" s="43">
        <v>31</v>
      </c>
      <c r="B37" s="44" t="s">
        <v>23</v>
      </c>
      <c r="C37" s="44" t="s">
        <v>24</v>
      </c>
      <c r="D37" s="44" t="s">
        <v>25</v>
      </c>
      <c r="E37" s="45">
        <v>40000</v>
      </c>
      <c r="F37" s="46">
        <v>4754.88</v>
      </c>
      <c r="G37" s="47">
        <v>9.1584100000000005E-3</v>
      </c>
      <c r="H37" s="40" t="s">
        <v>151</v>
      </c>
      <c r="J37" s="7"/>
    </row>
    <row r="38" spans="1:10" x14ac:dyDescent="0.2">
      <c r="A38" s="43">
        <v>32</v>
      </c>
      <c r="B38" s="44" t="s">
        <v>556</v>
      </c>
      <c r="C38" s="44" t="s">
        <v>557</v>
      </c>
      <c r="D38" s="44" t="s">
        <v>282</v>
      </c>
      <c r="E38" s="45">
        <v>48788</v>
      </c>
      <c r="F38" s="46">
        <v>4714.9698959999996</v>
      </c>
      <c r="G38" s="47">
        <v>9.0815300000000009E-3</v>
      </c>
      <c r="H38" s="40" t="s">
        <v>151</v>
      </c>
      <c r="J38" s="7"/>
    </row>
    <row r="39" spans="1:10" x14ac:dyDescent="0.2">
      <c r="A39" s="43">
        <v>33</v>
      </c>
      <c r="B39" s="44" t="s">
        <v>330</v>
      </c>
      <c r="C39" s="44" t="s">
        <v>331</v>
      </c>
      <c r="D39" s="44" t="s">
        <v>232</v>
      </c>
      <c r="E39" s="45">
        <v>600000</v>
      </c>
      <c r="F39" s="46">
        <v>4415.7</v>
      </c>
      <c r="G39" s="47">
        <v>8.5051099999999998E-3</v>
      </c>
      <c r="H39" s="40" t="s">
        <v>151</v>
      </c>
      <c r="J39" s="7"/>
    </row>
    <row r="40" spans="1:10" ht="25.5" x14ac:dyDescent="0.2">
      <c r="A40" s="43">
        <v>34</v>
      </c>
      <c r="B40" s="44" t="s">
        <v>477</v>
      </c>
      <c r="C40" s="44" t="s">
        <v>478</v>
      </c>
      <c r="D40" s="44" t="s">
        <v>313</v>
      </c>
      <c r="E40" s="45">
        <v>370000</v>
      </c>
      <c r="F40" s="46">
        <v>4399.1149999999998</v>
      </c>
      <c r="G40" s="47">
        <v>8.4731600000000004E-3</v>
      </c>
      <c r="H40" s="40" t="s">
        <v>151</v>
      </c>
      <c r="J40" s="7"/>
    </row>
    <row r="41" spans="1:10" ht="25.5" x14ac:dyDescent="0.2">
      <c r="A41" s="43">
        <v>35</v>
      </c>
      <c r="B41" s="44" t="s">
        <v>558</v>
      </c>
      <c r="C41" s="44" t="s">
        <v>559</v>
      </c>
      <c r="D41" s="44" t="s">
        <v>25</v>
      </c>
      <c r="E41" s="45">
        <v>156191</v>
      </c>
      <c r="F41" s="46">
        <v>4337.0335924999999</v>
      </c>
      <c r="G41" s="47">
        <v>8.3535899999999993E-3</v>
      </c>
      <c r="H41" s="40" t="s">
        <v>151</v>
      </c>
      <c r="J41" s="7"/>
    </row>
    <row r="42" spans="1:10" x14ac:dyDescent="0.2">
      <c r="A42" s="43">
        <v>36</v>
      </c>
      <c r="B42" s="44" t="s">
        <v>560</v>
      </c>
      <c r="C42" s="44" t="s">
        <v>561</v>
      </c>
      <c r="D42" s="44" t="s">
        <v>282</v>
      </c>
      <c r="E42" s="45">
        <v>33000</v>
      </c>
      <c r="F42" s="46">
        <v>4328.2139999999999</v>
      </c>
      <c r="G42" s="47">
        <v>8.3365999999999996E-3</v>
      </c>
      <c r="H42" s="40" t="s">
        <v>151</v>
      </c>
      <c r="J42" s="7"/>
    </row>
    <row r="43" spans="1:10" ht="25.5" x14ac:dyDescent="0.2">
      <c r="A43" s="43">
        <v>37</v>
      </c>
      <c r="B43" s="44" t="s">
        <v>236</v>
      </c>
      <c r="C43" s="44" t="s">
        <v>237</v>
      </c>
      <c r="D43" s="44" t="s">
        <v>210</v>
      </c>
      <c r="E43" s="45">
        <v>78872</v>
      </c>
      <c r="F43" s="46">
        <v>4187.7088400000002</v>
      </c>
      <c r="G43" s="47">
        <v>8.0659700000000004E-3</v>
      </c>
      <c r="H43" s="40" t="s">
        <v>151</v>
      </c>
      <c r="J43" s="7"/>
    </row>
    <row r="44" spans="1:10" x14ac:dyDescent="0.2">
      <c r="A44" s="43">
        <v>38</v>
      </c>
      <c r="B44" s="44" t="s">
        <v>467</v>
      </c>
      <c r="C44" s="44" t="s">
        <v>468</v>
      </c>
      <c r="D44" s="44" t="s">
        <v>232</v>
      </c>
      <c r="E44" s="45">
        <v>225000</v>
      </c>
      <c r="F44" s="46">
        <v>3945.7125000000001</v>
      </c>
      <c r="G44" s="47">
        <v>7.5998599999999999E-3</v>
      </c>
      <c r="H44" s="40" t="s">
        <v>151</v>
      </c>
      <c r="J44" s="7"/>
    </row>
    <row r="45" spans="1:10" x14ac:dyDescent="0.2">
      <c r="A45" s="43">
        <v>39</v>
      </c>
      <c r="B45" s="44" t="s">
        <v>324</v>
      </c>
      <c r="C45" s="44" t="s">
        <v>325</v>
      </c>
      <c r="D45" s="44" t="s">
        <v>100</v>
      </c>
      <c r="E45" s="45">
        <v>90000</v>
      </c>
      <c r="F45" s="46">
        <v>3901.05</v>
      </c>
      <c r="G45" s="47">
        <v>7.5138399999999999E-3</v>
      </c>
      <c r="H45" s="40" t="s">
        <v>151</v>
      </c>
      <c r="J45" s="7"/>
    </row>
    <row r="46" spans="1:10" x14ac:dyDescent="0.2">
      <c r="A46" s="43">
        <v>40</v>
      </c>
      <c r="B46" s="44" t="s">
        <v>225</v>
      </c>
      <c r="C46" s="44" t="s">
        <v>226</v>
      </c>
      <c r="D46" s="44" t="s">
        <v>100</v>
      </c>
      <c r="E46" s="45">
        <v>251000</v>
      </c>
      <c r="F46" s="46">
        <v>3859.3760000000002</v>
      </c>
      <c r="G46" s="47">
        <v>7.4335699999999996E-3</v>
      </c>
      <c r="H46" s="40" t="s">
        <v>151</v>
      </c>
      <c r="J46" s="7"/>
    </row>
    <row r="47" spans="1:10" x14ac:dyDescent="0.2">
      <c r="A47" s="43">
        <v>41</v>
      </c>
      <c r="B47" s="44" t="s">
        <v>444</v>
      </c>
      <c r="C47" s="44" t="s">
        <v>445</v>
      </c>
      <c r="D47" s="44" t="s">
        <v>242</v>
      </c>
      <c r="E47" s="45">
        <v>450000</v>
      </c>
      <c r="F47" s="46">
        <v>3729.15</v>
      </c>
      <c r="G47" s="47">
        <v>7.18274E-3</v>
      </c>
      <c r="H47" s="40" t="s">
        <v>151</v>
      </c>
      <c r="J47" s="7"/>
    </row>
    <row r="48" spans="1:10" ht="25.5" x14ac:dyDescent="0.2">
      <c r="A48" s="43">
        <v>42</v>
      </c>
      <c r="B48" s="44" t="s">
        <v>208</v>
      </c>
      <c r="C48" s="44" t="s">
        <v>209</v>
      </c>
      <c r="D48" s="44" t="s">
        <v>210</v>
      </c>
      <c r="E48" s="45">
        <v>195000</v>
      </c>
      <c r="F48" s="46">
        <v>3728.1075000000001</v>
      </c>
      <c r="G48" s="47">
        <v>7.1807299999999998E-3</v>
      </c>
      <c r="H48" s="40" t="s">
        <v>151</v>
      </c>
      <c r="J48" s="7"/>
    </row>
    <row r="49" spans="1:10" x14ac:dyDescent="0.2">
      <c r="A49" s="43">
        <v>43</v>
      </c>
      <c r="B49" s="44" t="s">
        <v>404</v>
      </c>
      <c r="C49" s="44" t="s">
        <v>405</v>
      </c>
      <c r="D49" s="44" t="s">
        <v>86</v>
      </c>
      <c r="E49" s="45">
        <v>225000</v>
      </c>
      <c r="F49" s="46">
        <v>3716.2125000000001</v>
      </c>
      <c r="G49" s="47">
        <v>7.1578199999999996E-3</v>
      </c>
      <c r="H49" s="40" t="s">
        <v>151</v>
      </c>
      <c r="J49" s="7"/>
    </row>
    <row r="50" spans="1:10" x14ac:dyDescent="0.2">
      <c r="A50" s="43">
        <v>44</v>
      </c>
      <c r="B50" s="44" t="s">
        <v>120</v>
      </c>
      <c r="C50" s="44" t="s">
        <v>121</v>
      </c>
      <c r="D50" s="44" t="s">
        <v>89</v>
      </c>
      <c r="E50" s="45">
        <v>85500</v>
      </c>
      <c r="F50" s="46">
        <v>3648.5842499999999</v>
      </c>
      <c r="G50" s="47">
        <v>7.0275600000000004E-3</v>
      </c>
      <c r="H50" s="40" t="s">
        <v>151</v>
      </c>
      <c r="J50" s="7"/>
    </row>
    <row r="51" spans="1:10" x14ac:dyDescent="0.2">
      <c r="A51" s="43">
        <v>45</v>
      </c>
      <c r="B51" s="44" t="s">
        <v>87</v>
      </c>
      <c r="C51" s="44" t="s">
        <v>88</v>
      </c>
      <c r="D51" s="44" t="s">
        <v>89</v>
      </c>
      <c r="E51" s="45">
        <v>62642</v>
      </c>
      <c r="F51" s="46">
        <v>3501.3745899999999</v>
      </c>
      <c r="G51" s="47">
        <v>6.7440199999999999E-3</v>
      </c>
      <c r="H51" s="40" t="s">
        <v>151</v>
      </c>
      <c r="J51" s="7"/>
    </row>
    <row r="52" spans="1:10" x14ac:dyDescent="0.2">
      <c r="A52" s="43">
        <v>46</v>
      </c>
      <c r="B52" s="44" t="s">
        <v>271</v>
      </c>
      <c r="C52" s="44" t="s">
        <v>272</v>
      </c>
      <c r="D52" s="44" t="s">
        <v>45</v>
      </c>
      <c r="E52" s="45">
        <v>2450000</v>
      </c>
      <c r="F52" s="46">
        <v>3302.6</v>
      </c>
      <c r="G52" s="47">
        <v>6.3611600000000003E-3</v>
      </c>
      <c r="H52" s="40" t="s">
        <v>151</v>
      </c>
      <c r="J52" s="7"/>
    </row>
    <row r="53" spans="1:10" x14ac:dyDescent="0.2">
      <c r="A53" s="43">
        <v>47</v>
      </c>
      <c r="B53" s="44" t="s">
        <v>562</v>
      </c>
      <c r="C53" s="44" t="s">
        <v>563</v>
      </c>
      <c r="D53" s="44" t="s">
        <v>33</v>
      </c>
      <c r="E53" s="45">
        <v>1000000</v>
      </c>
      <c r="F53" s="46">
        <v>3183</v>
      </c>
      <c r="G53" s="47">
        <v>6.1307999999999996E-3</v>
      </c>
      <c r="H53" s="40" t="s">
        <v>151</v>
      </c>
      <c r="J53" s="7"/>
    </row>
    <row r="54" spans="1:10" x14ac:dyDescent="0.2">
      <c r="A54" s="43">
        <v>48</v>
      </c>
      <c r="B54" s="44" t="s">
        <v>564</v>
      </c>
      <c r="C54" s="44" t="s">
        <v>565</v>
      </c>
      <c r="D54" s="44" t="s">
        <v>219</v>
      </c>
      <c r="E54" s="45">
        <v>204000</v>
      </c>
      <c r="F54" s="46">
        <v>3170.9760000000001</v>
      </c>
      <c r="G54" s="47">
        <v>6.1076400000000001E-3</v>
      </c>
      <c r="H54" s="40" t="s">
        <v>151</v>
      </c>
      <c r="J54" s="7"/>
    </row>
    <row r="55" spans="1:10" x14ac:dyDescent="0.2">
      <c r="A55" s="43">
        <v>49</v>
      </c>
      <c r="B55" s="44" t="s">
        <v>452</v>
      </c>
      <c r="C55" s="44" t="s">
        <v>453</v>
      </c>
      <c r="D55" s="44" t="s">
        <v>86</v>
      </c>
      <c r="E55" s="45">
        <v>300000</v>
      </c>
      <c r="F55" s="46">
        <v>3120.3</v>
      </c>
      <c r="G55" s="47">
        <v>6.0100300000000004E-3</v>
      </c>
      <c r="H55" s="40" t="s">
        <v>151</v>
      </c>
      <c r="J55" s="7"/>
    </row>
    <row r="56" spans="1:10" x14ac:dyDescent="0.2">
      <c r="A56" s="43">
        <v>50</v>
      </c>
      <c r="B56" s="44" t="s">
        <v>345</v>
      </c>
      <c r="C56" s="44" t="s">
        <v>346</v>
      </c>
      <c r="D56" s="44" t="s">
        <v>202</v>
      </c>
      <c r="E56" s="45">
        <v>1330000</v>
      </c>
      <c r="F56" s="46">
        <v>3051.6849999999999</v>
      </c>
      <c r="G56" s="47">
        <v>5.8778700000000003E-3</v>
      </c>
      <c r="H56" s="40" t="s">
        <v>151</v>
      </c>
      <c r="J56" s="7"/>
    </row>
    <row r="57" spans="1:10" ht="25.5" x14ac:dyDescent="0.2">
      <c r="A57" s="43">
        <v>51</v>
      </c>
      <c r="B57" s="44" t="s">
        <v>311</v>
      </c>
      <c r="C57" s="44" t="s">
        <v>312</v>
      </c>
      <c r="D57" s="44" t="s">
        <v>313</v>
      </c>
      <c r="E57" s="45">
        <v>448000</v>
      </c>
      <c r="F57" s="46">
        <v>3019.9679999999998</v>
      </c>
      <c r="G57" s="47">
        <v>5.8167799999999997E-3</v>
      </c>
      <c r="H57" s="40" t="s">
        <v>151</v>
      </c>
      <c r="J57" s="7"/>
    </row>
    <row r="58" spans="1:10" x14ac:dyDescent="0.2">
      <c r="A58" s="43">
        <v>52</v>
      </c>
      <c r="B58" s="44" t="s">
        <v>382</v>
      </c>
      <c r="C58" s="44" t="s">
        <v>383</v>
      </c>
      <c r="D58" s="44" t="s">
        <v>136</v>
      </c>
      <c r="E58" s="45">
        <v>1800000</v>
      </c>
      <c r="F58" s="46">
        <v>2975.94</v>
      </c>
      <c r="G58" s="47">
        <v>5.7319800000000002E-3</v>
      </c>
      <c r="H58" s="40" t="s">
        <v>151</v>
      </c>
      <c r="J58" s="7"/>
    </row>
    <row r="59" spans="1:10" x14ac:dyDescent="0.2">
      <c r="A59" s="43">
        <v>53</v>
      </c>
      <c r="B59" s="44" t="s">
        <v>128</v>
      </c>
      <c r="C59" s="44" t="s">
        <v>129</v>
      </c>
      <c r="D59" s="44" t="s">
        <v>76</v>
      </c>
      <c r="E59" s="45">
        <v>675000</v>
      </c>
      <c r="F59" s="46">
        <v>2727</v>
      </c>
      <c r="G59" s="47">
        <v>5.2524900000000003E-3</v>
      </c>
      <c r="H59" s="40" t="s">
        <v>151</v>
      </c>
      <c r="J59" s="7"/>
    </row>
    <row r="60" spans="1:10" x14ac:dyDescent="0.2">
      <c r="A60" s="43">
        <v>54</v>
      </c>
      <c r="B60" s="44" t="s">
        <v>96</v>
      </c>
      <c r="C60" s="44" t="s">
        <v>97</v>
      </c>
      <c r="D60" s="44" t="s">
        <v>33</v>
      </c>
      <c r="E60" s="45">
        <v>105000</v>
      </c>
      <c r="F60" s="46">
        <v>2717.9775</v>
      </c>
      <c r="G60" s="47">
        <v>5.2351100000000003E-3</v>
      </c>
      <c r="H60" s="40" t="s">
        <v>151</v>
      </c>
      <c r="J60" s="7"/>
    </row>
    <row r="61" spans="1:10" x14ac:dyDescent="0.2">
      <c r="A61" s="43">
        <v>55</v>
      </c>
      <c r="B61" s="44" t="s">
        <v>275</v>
      </c>
      <c r="C61" s="44" t="s">
        <v>276</v>
      </c>
      <c r="D61" s="44" t="s">
        <v>277</v>
      </c>
      <c r="E61" s="45">
        <v>215000</v>
      </c>
      <c r="F61" s="46">
        <v>2648.2624999999998</v>
      </c>
      <c r="G61" s="47">
        <v>5.1008399999999997E-3</v>
      </c>
      <c r="H61" s="40" t="s">
        <v>151</v>
      </c>
      <c r="J61" s="7"/>
    </row>
    <row r="62" spans="1:10" x14ac:dyDescent="0.2">
      <c r="A62" s="43">
        <v>56</v>
      </c>
      <c r="B62" s="44" t="s">
        <v>220</v>
      </c>
      <c r="C62" s="44" t="s">
        <v>221</v>
      </c>
      <c r="D62" s="44" t="s">
        <v>222</v>
      </c>
      <c r="E62" s="45">
        <v>525000</v>
      </c>
      <c r="F62" s="46">
        <v>2634.9749999999999</v>
      </c>
      <c r="G62" s="47">
        <v>5.07524E-3</v>
      </c>
      <c r="H62" s="40" t="s">
        <v>151</v>
      </c>
      <c r="J62" s="7"/>
    </row>
    <row r="63" spans="1:10" x14ac:dyDescent="0.2">
      <c r="A63" s="43">
        <v>57</v>
      </c>
      <c r="B63" s="44" t="s">
        <v>269</v>
      </c>
      <c r="C63" s="44" t="s">
        <v>270</v>
      </c>
      <c r="D63" s="44" t="s">
        <v>33</v>
      </c>
      <c r="E63" s="45">
        <v>37500</v>
      </c>
      <c r="F63" s="46">
        <v>2571.8249999999998</v>
      </c>
      <c r="G63" s="47">
        <v>4.9536099999999998E-3</v>
      </c>
      <c r="H63" s="40" t="s">
        <v>151</v>
      </c>
      <c r="J63" s="7"/>
    </row>
    <row r="64" spans="1:10" x14ac:dyDescent="0.2">
      <c r="A64" s="43">
        <v>58</v>
      </c>
      <c r="B64" s="44" t="s">
        <v>386</v>
      </c>
      <c r="C64" s="44" t="s">
        <v>387</v>
      </c>
      <c r="D64" s="44" t="s">
        <v>202</v>
      </c>
      <c r="E64" s="45">
        <v>50000</v>
      </c>
      <c r="F64" s="46">
        <v>2467.9749999999999</v>
      </c>
      <c r="G64" s="47">
        <v>4.7535800000000003E-3</v>
      </c>
      <c r="H64" s="40" t="s">
        <v>151</v>
      </c>
      <c r="J64" s="7"/>
    </row>
    <row r="65" spans="1:10" x14ac:dyDescent="0.2">
      <c r="A65" s="43">
        <v>59</v>
      </c>
      <c r="B65" s="44" t="s">
        <v>395</v>
      </c>
      <c r="C65" s="44" t="s">
        <v>396</v>
      </c>
      <c r="D65" s="44" t="s">
        <v>45</v>
      </c>
      <c r="E65" s="45">
        <v>2031250</v>
      </c>
      <c r="F65" s="46">
        <v>2330.046875</v>
      </c>
      <c r="G65" s="47">
        <v>4.4879200000000003E-3</v>
      </c>
      <c r="H65" s="40" t="s">
        <v>151</v>
      </c>
      <c r="J65" s="7"/>
    </row>
    <row r="66" spans="1:10" x14ac:dyDescent="0.2">
      <c r="A66" s="43">
        <v>60</v>
      </c>
      <c r="B66" s="44" t="s">
        <v>295</v>
      </c>
      <c r="C66" s="44" t="s">
        <v>296</v>
      </c>
      <c r="D66" s="44" t="s">
        <v>242</v>
      </c>
      <c r="E66" s="45">
        <v>1250000</v>
      </c>
      <c r="F66" s="46">
        <v>2241.75</v>
      </c>
      <c r="G66" s="47">
        <v>4.3178499999999998E-3</v>
      </c>
      <c r="H66" s="40" t="s">
        <v>151</v>
      </c>
      <c r="J66" s="7"/>
    </row>
    <row r="67" spans="1:10" x14ac:dyDescent="0.2">
      <c r="A67" s="43">
        <v>61</v>
      </c>
      <c r="B67" s="44" t="s">
        <v>260</v>
      </c>
      <c r="C67" s="44" t="s">
        <v>261</v>
      </c>
      <c r="D67" s="44" t="s">
        <v>89</v>
      </c>
      <c r="E67" s="45">
        <v>400000</v>
      </c>
      <c r="F67" s="46">
        <v>2222.8000000000002</v>
      </c>
      <c r="G67" s="47">
        <v>4.2813499999999997E-3</v>
      </c>
      <c r="H67" s="40" t="s">
        <v>151</v>
      </c>
      <c r="J67" s="7"/>
    </row>
    <row r="68" spans="1:10" x14ac:dyDescent="0.2">
      <c r="A68" s="43">
        <v>62</v>
      </c>
      <c r="B68" s="44" t="s">
        <v>264</v>
      </c>
      <c r="C68" s="44" t="s">
        <v>265</v>
      </c>
      <c r="D68" s="44" t="s">
        <v>86</v>
      </c>
      <c r="E68" s="45">
        <v>135000</v>
      </c>
      <c r="F68" s="46">
        <v>2048.8274999999999</v>
      </c>
      <c r="G68" s="47">
        <v>3.94626E-3</v>
      </c>
      <c r="H68" s="40" t="s">
        <v>151</v>
      </c>
      <c r="J68" s="7"/>
    </row>
    <row r="69" spans="1:10" x14ac:dyDescent="0.2">
      <c r="A69" s="43">
        <v>63</v>
      </c>
      <c r="B69" s="44" t="s">
        <v>328</v>
      </c>
      <c r="C69" s="44" t="s">
        <v>329</v>
      </c>
      <c r="D69" s="44" t="s">
        <v>242</v>
      </c>
      <c r="E69" s="45">
        <v>300000</v>
      </c>
      <c r="F69" s="46">
        <v>1926.15</v>
      </c>
      <c r="G69" s="47">
        <v>3.7099699999999999E-3</v>
      </c>
      <c r="H69" s="40" t="s">
        <v>151</v>
      </c>
      <c r="J69" s="7"/>
    </row>
    <row r="70" spans="1:10" x14ac:dyDescent="0.2">
      <c r="A70" s="43">
        <v>64</v>
      </c>
      <c r="B70" s="44" t="s">
        <v>303</v>
      </c>
      <c r="C70" s="44" t="s">
        <v>304</v>
      </c>
      <c r="D70" s="44" t="s">
        <v>100</v>
      </c>
      <c r="E70" s="45">
        <v>105000</v>
      </c>
      <c r="F70" s="46">
        <v>1555.89</v>
      </c>
      <c r="G70" s="47">
        <v>2.9968099999999999E-3</v>
      </c>
      <c r="H70" s="40" t="s">
        <v>151</v>
      </c>
      <c r="J70" s="7"/>
    </row>
    <row r="71" spans="1:10" ht="25.5" x14ac:dyDescent="0.2">
      <c r="A71" s="43">
        <v>65</v>
      </c>
      <c r="B71" s="44" t="s">
        <v>82</v>
      </c>
      <c r="C71" s="44" t="s">
        <v>83</v>
      </c>
      <c r="D71" s="44" t="s">
        <v>25</v>
      </c>
      <c r="E71" s="45">
        <v>28000</v>
      </c>
      <c r="F71" s="46">
        <v>1236.7460000000001</v>
      </c>
      <c r="G71" s="47">
        <v>2.3821099999999998E-3</v>
      </c>
      <c r="H71" s="40" t="s">
        <v>151</v>
      </c>
      <c r="J71" s="7"/>
    </row>
    <row r="72" spans="1:10" ht="25.5" x14ac:dyDescent="0.2">
      <c r="A72" s="43">
        <v>66</v>
      </c>
      <c r="B72" s="44" t="s">
        <v>481</v>
      </c>
      <c r="C72" s="44" t="s">
        <v>478</v>
      </c>
      <c r="D72" s="44" t="s">
        <v>313</v>
      </c>
      <c r="E72" s="45">
        <v>14230</v>
      </c>
      <c r="F72" s="46">
        <v>52.786185000000003</v>
      </c>
      <c r="G72" s="47">
        <v>1.0166999999999999E-4</v>
      </c>
      <c r="H72" s="40" t="s">
        <v>151</v>
      </c>
      <c r="J72" s="7"/>
    </row>
    <row r="73" spans="1:10" x14ac:dyDescent="0.2">
      <c r="A73" s="43">
        <v>67</v>
      </c>
      <c r="B73" s="44" t="s">
        <v>238</v>
      </c>
      <c r="C73" s="44" t="s">
        <v>239</v>
      </c>
      <c r="D73" s="44" t="s">
        <v>22</v>
      </c>
      <c r="E73" s="45">
        <v>3375</v>
      </c>
      <c r="F73" s="46">
        <v>13.2384375</v>
      </c>
      <c r="G73" s="88" t="s">
        <v>149</v>
      </c>
      <c r="H73" s="40" t="s">
        <v>151</v>
      </c>
      <c r="J73" s="7"/>
    </row>
    <row r="74" spans="1:10" ht="25.5" x14ac:dyDescent="0.2">
      <c r="A74" s="43">
        <v>68</v>
      </c>
      <c r="B74" s="44" t="s">
        <v>293</v>
      </c>
      <c r="C74" s="44" t="s">
        <v>294</v>
      </c>
      <c r="D74" s="44" t="s">
        <v>25</v>
      </c>
      <c r="E74" s="45">
        <v>150</v>
      </c>
      <c r="F74" s="46">
        <v>2.7758250000000002</v>
      </c>
      <c r="G74" s="88" t="s">
        <v>149</v>
      </c>
      <c r="H74" s="40" t="s">
        <v>151</v>
      </c>
      <c r="J74" s="7"/>
    </row>
    <row r="75" spans="1:10" x14ac:dyDescent="0.2">
      <c r="A75" s="41"/>
      <c r="B75" s="41"/>
      <c r="C75" s="42" t="s">
        <v>150</v>
      </c>
      <c r="D75" s="41"/>
      <c r="E75" s="41" t="s">
        <v>151</v>
      </c>
      <c r="F75" s="48">
        <f>SUM(F7:F74)</f>
        <v>380790.87066000007</v>
      </c>
      <c r="G75" s="49">
        <f>SUM(G7:G74)</f>
        <v>0.73341296999999972</v>
      </c>
      <c r="H75" s="40" t="s">
        <v>151</v>
      </c>
      <c r="J75" s="7"/>
    </row>
    <row r="76" spans="1:10" x14ac:dyDescent="0.2">
      <c r="A76" s="41"/>
      <c r="B76" s="41"/>
      <c r="C76" s="50"/>
      <c r="D76" s="41"/>
      <c r="E76" s="41"/>
      <c r="F76" s="51"/>
      <c r="G76" s="51"/>
      <c r="H76" s="40" t="s">
        <v>151</v>
      </c>
      <c r="J76" s="7"/>
    </row>
    <row r="77" spans="1:10" x14ac:dyDescent="0.2">
      <c r="A77" s="41"/>
      <c r="B77" s="41"/>
      <c r="C77" s="42" t="s">
        <v>152</v>
      </c>
      <c r="D77" s="41"/>
      <c r="E77" s="41"/>
      <c r="F77" s="41"/>
      <c r="G77" s="41"/>
      <c r="H77" s="40" t="s">
        <v>151</v>
      </c>
      <c r="J77" s="7"/>
    </row>
    <row r="78" spans="1:10" x14ac:dyDescent="0.2">
      <c r="A78" s="41"/>
      <c r="B78" s="41"/>
      <c r="C78" s="42" t="s">
        <v>150</v>
      </c>
      <c r="D78" s="41"/>
      <c r="E78" s="41" t="s">
        <v>151</v>
      </c>
      <c r="F78" s="52" t="s">
        <v>153</v>
      </c>
      <c r="G78" s="49">
        <v>0</v>
      </c>
      <c r="H78" s="40" t="s">
        <v>151</v>
      </c>
      <c r="J78" s="7"/>
    </row>
    <row r="79" spans="1:10" x14ac:dyDescent="0.2">
      <c r="A79" s="41"/>
      <c r="B79" s="41"/>
      <c r="C79" s="50"/>
      <c r="D79" s="41"/>
      <c r="E79" s="41"/>
      <c r="F79" s="51"/>
      <c r="G79" s="51"/>
      <c r="H79" s="40" t="s">
        <v>151</v>
      </c>
      <c r="J79" s="7"/>
    </row>
    <row r="80" spans="1:10" x14ac:dyDescent="0.2">
      <c r="A80" s="41"/>
      <c r="B80" s="41"/>
      <c r="C80" s="42" t="s">
        <v>154</v>
      </c>
      <c r="D80" s="41"/>
      <c r="E80" s="41"/>
      <c r="F80" s="41"/>
      <c r="G80" s="41"/>
      <c r="H80" s="40" t="s">
        <v>151</v>
      </c>
      <c r="J80" s="7"/>
    </row>
    <row r="81" spans="1:10" x14ac:dyDescent="0.2">
      <c r="A81" s="43">
        <v>1</v>
      </c>
      <c r="B81" s="44" t="s">
        <v>566</v>
      </c>
      <c r="C81" s="53" t="s">
        <v>998</v>
      </c>
      <c r="D81" s="44" t="s">
        <v>242</v>
      </c>
      <c r="E81" s="45">
        <v>30579</v>
      </c>
      <c r="F81" s="46">
        <v>1.3118391</v>
      </c>
      <c r="G81" s="88" t="s">
        <v>149</v>
      </c>
      <c r="H81" s="40" t="s">
        <v>151</v>
      </c>
      <c r="J81" s="7"/>
    </row>
    <row r="82" spans="1:10" x14ac:dyDescent="0.2">
      <c r="A82" s="41"/>
      <c r="B82" s="41"/>
      <c r="C82" s="42" t="s">
        <v>150</v>
      </c>
      <c r="D82" s="41"/>
      <c r="E82" s="41" t="s">
        <v>151</v>
      </c>
      <c r="F82" s="48">
        <f>SUM(F81)</f>
        <v>1.3118391</v>
      </c>
      <c r="G82" s="49">
        <v>0</v>
      </c>
      <c r="H82" s="40" t="s">
        <v>151</v>
      </c>
      <c r="J82" s="7"/>
    </row>
    <row r="83" spans="1:10" x14ac:dyDescent="0.2">
      <c r="A83" s="41"/>
      <c r="B83" s="41"/>
      <c r="C83" s="50"/>
      <c r="D83" s="41"/>
      <c r="E83" s="41"/>
      <c r="F83" s="51"/>
      <c r="G83" s="51"/>
      <c r="H83" s="40" t="s">
        <v>151</v>
      </c>
      <c r="J83" s="7"/>
    </row>
    <row r="84" spans="1:10" x14ac:dyDescent="0.2">
      <c r="A84" s="41"/>
      <c r="B84" s="41"/>
      <c r="C84" s="42" t="s">
        <v>155</v>
      </c>
      <c r="D84" s="41"/>
      <c r="E84" s="41"/>
      <c r="F84" s="41"/>
      <c r="G84" s="41"/>
      <c r="H84" s="40" t="s">
        <v>151</v>
      </c>
      <c r="J84" s="7"/>
    </row>
    <row r="85" spans="1:10" ht="25.5" x14ac:dyDescent="0.2">
      <c r="A85" s="43">
        <v>1</v>
      </c>
      <c r="B85" s="44" t="s">
        <v>338</v>
      </c>
      <c r="C85" s="83" t="s">
        <v>946</v>
      </c>
      <c r="D85" s="44" t="s">
        <v>33</v>
      </c>
      <c r="E85" s="45">
        <v>91</v>
      </c>
      <c r="F85" s="46">
        <v>9.1036399999999996E-3</v>
      </c>
      <c r="G85" s="88" t="s">
        <v>149</v>
      </c>
      <c r="H85" s="40" t="s">
        <v>151</v>
      </c>
      <c r="J85" s="7"/>
    </row>
    <row r="86" spans="1:10" x14ac:dyDescent="0.2">
      <c r="A86" s="41"/>
      <c r="B86" s="41"/>
      <c r="C86" s="42" t="s">
        <v>150</v>
      </c>
      <c r="D86" s="41"/>
      <c r="E86" s="41" t="s">
        <v>151</v>
      </c>
      <c r="F86" s="48">
        <f>SUM(F85)</f>
        <v>9.1036399999999996E-3</v>
      </c>
      <c r="G86" s="49">
        <v>2E-8</v>
      </c>
      <c r="H86" s="40" t="s">
        <v>151</v>
      </c>
      <c r="J86" s="7"/>
    </row>
    <row r="87" spans="1:10" x14ac:dyDescent="0.2">
      <c r="A87" s="41"/>
      <c r="B87" s="41"/>
      <c r="C87" s="50"/>
      <c r="D87" s="41"/>
      <c r="E87" s="41"/>
      <c r="F87" s="51"/>
      <c r="G87" s="51"/>
      <c r="H87" s="40" t="s">
        <v>151</v>
      </c>
      <c r="J87" s="7"/>
    </row>
    <row r="88" spans="1:10" x14ac:dyDescent="0.2">
      <c r="A88" s="41"/>
      <c r="B88" s="41"/>
      <c r="C88" s="42" t="s">
        <v>156</v>
      </c>
      <c r="D88" s="41"/>
      <c r="E88" s="41"/>
      <c r="F88" s="51"/>
      <c r="G88" s="51"/>
      <c r="H88" s="40" t="s">
        <v>151</v>
      </c>
      <c r="J88" s="7"/>
    </row>
    <row r="89" spans="1:10" x14ac:dyDescent="0.2">
      <c r="A89" s="41"/>
      <c r="B89" s="41"/>
      <c r="C89" s="42" t="s">
        <v>150</v>
      </c>
      <c r="D89" s="41"/>
      <c r="E89" s="41" t="s">
        <v>151</v>
      </c>
      <c r="F89" s="52" t="s">
        <v>153</v>
      </c>
      <c r="G89" s="49">
        <v>0</v>
      </c>
      <c r="H89" s="40" t="s">
        <v>151</v>
      </c>
      <c r="J89" s="7"/>
    </row>
    <row r="90" spans="1:10" x14ac:dyDescent="0.2">
      <c r="A90" s="41"/>
      <c r="B90" s="41"/>
      <c r="C90" s="42"/>
      <c r="D90" s="41"/>
      <c r="E90" s="41"/>
      <c r="F90" s="52"/>
      <c r="G90" s="49"/>
      <c r="H90" s="40" t="s">
        <v>151</v>
      </c>
      <c r="J90" s="7"/>
    </row>
    <row r="91" spans="1:10" x14ac:dyDescent="0.2">
      <c r="A91" s="41"/>
      <c r="B91" s="41"/>
      <c r="C91" s="42" t="s">
        <v>928</v>
      </c>
      <c r="D91" s="41"/>
      <c r="E91" s="41"/>
      <c r="F91" s="41"/>
      <c r="G91" s="41"/>
      <c r="H91" s="40"/>
      <c r="J91" s="7"/>
    </row>
    <row r="92" spans="1:10" ht="25.5" x14ac:dyDescent="0.2">
      <c r="A92" s="43">
        <v>1</v>
      </c>
      <c r="B92" s="44" t="s">
        <v>929</v>
      </c>
      <c r="C92" s="44" t="s">
        <v>930</v>
      </c>
      <c r="D92" s="44" t="s">
        <v>931</v>
      </c>
      <c r="E92" s="45">
        <v>1750</v>
      </c>
      <c r="F92" s="46">
        <f>193426141.65/10^5</f>
        <v>1934.2614165</v>
      </c>
      <c r="G92" s="47">
        <v>3.7255935036374253E-3</v>
      </c>
      <c r="H92" s="40">
        <v>8.3450000000000006</v>
      </c>
      <c r="J92" s="7"/>
    </row>
    <row r="93" spans="1:10" x14ac:dyDescent="0.2">
      <c r="A93" s="41"/>
      <c r="B93" s="41"/>
      <c r="C93" s="42" t="s">
        <v>150</v>
      </c>
      <c r="D93" s="41"/>
      <c r="E93" s="41" t="s">
        <v>151</v>
      </c>
      <c r="F93" s="48">
        <f>SUM(F92)</f>
        <v>1934.2614165</v>
      </c>
      <c r="G93" s="49">
        <f>SUM(G92)</f>
        <v>3.7255935036374253E-3</v>
      </c>
      <c r="H93" s="40"/>
      <c r="J93" s="7"/>
    </row>
    <row r="94" spans="1:10" x14ac:dyDescent="0.2">
      <c r="A94" s="41"/>
      <c r="B94" s="41"/>
      <c r="C94" s="50"/>
      <c r="D94" s="41"/>
      <c r="E94" s="41"/>
      <c r="F94" s="51"/>
      <c r="G94" s="51"/>
      <c r="H94" s="40" t="s">
        <v>151</v>
      </c>
      <c r="J94" s="7"/>
    </row>
    <row r="95" spans="1:10" x14ac:dyDescent="0.2">
      <c r="A95" s="41"/>
      <c r="B95" s="41"/>
      <c r="C95" s="64" t="s">
        <v>932</v>
      </c>
      <c r="D95" s="41"/>
      <c r="E95" s="41"/>
      <c r="F95" s="51"/>
      <c r="G95" s="51"/>
      <c r="H95" s="40" t="s">
        <v>151</v>
      </c>
      <c r="J95" s="7"/>
    </row>
    <row r="96" spans="1:10" x14ac:dyDescent="0.2">
      <c r="A96" s="41"/>
      <c r="B96" s="41"/>
      <c r="C96" s="42" t="s">
        <v>150</v>
      </c>
      <c r="D96" s="41"/>
      <c r="E96" s="41" t="s">
        <v>151</v>
      </c>
      <c r="F96" s="52" t="s">
        <v>153</v>
      </c>
      <c r="G96" s="49">
        <v>0</v>
      </c>
      <c r="H96" s="40" t="s">
        <v>151</v>
      </c>
      <c r="J96" s="7"/>
    </row>
    <row r="97" spans="1:10" x14ac:dyDescent="0.2">
      <c r="A97" s="41"/>
      <c r="B97" s="41"/>
      <c r="C97" s="50"/>
      <c r="D97" s="41"/>
      <c r="E97" s="41"/>
      <c r="F97" s="51"/>
      <c r="G97" s="51"/>
      <c r="H97" s="40" t="s">
        <v>151</v>
      </c>
      <c r="J97" s="7"/>
    </row>
    <row r="98" spans="1:10" x14ac:dyDescent="0.2">
      <c r="A98" s="41"/>
      <c r="B98" s="41"/>
      <c r="C98" s="42" t="s">
        <v>158</v>
      </c>
      <c r="D98" s="41"/>
      <c r="E98" s="41"/>
      <c r="F98" s="48">
        <f>F75+F86+F93+F82</f>
        <v>382726.45301924006</v>
      </c>
      <c r="G98" s="49">
        <f>G93+G75+G86</f>
        <v>0.73713858350363715</v>
      </c>
      <c r="H98" s="40" t="s">
        <v>151</v>
      </c>
      <c r="J98" s="7"/>
    </row>
    <row r="99" spans="1:10" x14ac:dyDescent="0.2">
      <c r="A99" s="41"/>
      <c r="B99" s="41"/>
      <c r="C99" s="50"/>
      <c r="D99" s="41"/>
      <c r="E99" s="41"/>
      <c r="F99" s="51"/>
      <c r="G99" s="51"/>
      <c r="H99" s="40" t="s">
        <v>151</v>
      </c>
      <c r="J99" s="7"/>
    </row>
    <row r="100" spans="1:10" x14ac:dyDescent="0.2">
      <c r="A100" s="41"/>
      <c r="B100" s="41"/>
      <c r="C100" s="42" t="s">
        <v>159</v>
      </c>
      <c r="D100" s="41"/>
      <c r="E100" s="41"/>
      <c r="F100" s="51"/>
      <c r="G100" s="51"/>
      <c r="H100" s="40" t="s">
        <v>151</v>
      </c>
      <c r="J100" s="7"/>
    </row>
    <row r="101" spans="1:10" x14ac:dyDescent="0.2">
      <c r="A101" s="41"/>
      <c r="B101" s="41"/>
      <c r="C101" s="42" t="s">
        <v>10</v>
      </c>
      <c r="D101" s="41"/>
      <c r="E101" s="41"/>
      <c r="F101" s="51"/>
      <c r="G101" s="51"/>
      <c r="H101" s="40" t="s">
        <v>151</v>
      </c>
      <c r="J101" s="7"/>
    </row>
    <row r="102" spans="1:10" ht="25.5" x14ac:dyDescent="0.2">
      <c r="A102" s="43">
        <v>1</v>
      </c>
      <c r="B102" s="44" t="s">
        <v>567</v>
      </c>
      <c r="C102" s="44" t="s">
        <v>568</v>
      </c>
      <c r="D102" s="44" t="s">
        <v>569</v>
      </c>
      <c r="E102" s="45">
        <v>3500</v>
      </c>
      <c r="F102" s="46">
        <v>3495.2784999999999</v>
      </c>
      <c r="G102" s="47">
        <v>6.7322800000000002E-3</v>
      </c>
      <c r="H102" s="40">
        <v>7.6550000000000002</v>
      </c>
      <c r="J102" s="7"/>
    </row>
    <row r="103" spans="1:10" x14ac:dyDescent="0.2">
      <c r="A103" s="43">
        <v>2</v>
      </c>
      <c r="B103" s="44" t="s">
        <v>570</v>
      </c>
      <c r="C103" s="44" t="s">
        <v>571</v>
      </c>
      <c r="D103" s="44" t="s">
        <v>569</v>
      </c>
      <c r="E103" s="45">
        <v>3000</v>
      </c>
      <c r="F103" s="46">
        <v>2992.9920000000002</v>
      </c>
      <c r="G103" s="47">
        <v>5.7648200000000004E-3</v>
      </c>
      <c r="H103" s="40">
        <v>7.8449999999999998</v>
      </c>
      <c r="J103" s="7"/>
    </row>
    <row r="104" spans="1:10" ht="25.5" x14ac:dyDescent="0.2">
      <c r="A104" s="43">
        <v>3</v>
      </c>
      <c r="B104" s="44" t="s">
        <v>572</v>
      </c>
      <c r="C104" s="44" t="s">
        <v>573</v>
      </c>
      <c r="D104" s="44" t="s">
        <v>569</v>
      </c>
      <c r="E104" s="45">
        <v>2500</v>
      </c>
      <c r="F104" s="46">
        <v>2590.7824999999998</v>
      </c>
      <c r="G104" s="47">
        <v>4.9901199999999998E-3</v>
      </c>
      <c r="H104" s="40">
        <v>7.38</v>
      </c>
      <c r="J104" s="7"/>
    </row>
    <row r="105" spans="1:10" ht="25.5" x14ac:dyDescent="0.2">
      <c r="A105" s="43">
        <v>4</v>
      </c>
      <c r="B105" s="44" t="s">
        <v>574</v>
      </c>
      <c r="C105" s="44" t="s">
        <v>575</v>
      </c>
      <c r="D105" s="44" t="s">
        <v>569</v>
      </c>
      <c r="E105" s="45">
        <v>2500</v>
      </c>
      <c r="F105" s="46">
        <v>2559.6075000000001</v>
      </c>
      <c r="G105" s="47">
        <v>4.9300799999999999E-3</v>
      </c>
      <c r="H105" s="40">
        <v>7.3682999999999996</v>
      </c>
      <c r="J105" s="7"/>
    </row>
    <row r="106" spans="1:10" ht="25.5" x14ac:dyDescent="0.2">
      <c r="A106" s="43">
        <v>5</v>
      </c>
      <c r="B106" s="44" t="s">
        <v>576</v>
      </c>
      <c r="C106" s="44" t="s">
        <v>577</v>
      </c>
      <c r="D106" s="44" t="s">
        <v>569</v>
      </c>
      <c r="E106" s="45">
        <v>250</v>
      </c>
      <c r="F106" s="46">
        <v>2556.4324999999999</v>
      </c>
      <c r="G106" s="47">
        <v>4.9239599999999998E-3</v>
      </c>
      <c r="H106" s="40">
        <v>7.6475</v>
      </c>
      <c r="J106" s="7"/>
    </row>
    <row r="107" spans="1:10" ht="25.5" x14ac:dyDescent="0.2">
      <c r="A107" s="43">
        <v>6</v>
      </c>
      <c r="B107" s="44" t="s">
        <v>578</v>
      </c>
      <c r="C107" s="44" t="s">
        <v>579</v>
      </c>
      <c r="D107" s="44" t="s">
        <v>569</v>
      </c>
      <c r="E107" s="45">
        <v>2500</v>
      </c>
      <c r="F107" s="46">
        <v>2513.31</v>
      </c>
      <c r="G107" s="47">
        <v>4.8409000000000004E-3</v>
      </c>
      <c r="H107" s="40">
        <v>7.45</v>
      </c>
      <c r="J107" s="7"/>
    </row>
    <row r="108" spans="1:10" ht="25.5" x14ac:dyDescent="0.2">
      <c r="A108" s="43">
        <v>7</v>
      </c>
      <c r="B108" s="44" t="s">
        <v>580</v>
      </c>
      <c r="C108" s="44" t="s">
        <v>581</v>
      </c>
      <c r="D108" s="44" t="s">
        <v>569</v>
      </c>
      <c r="E108" s="45">
        <v>2500</v>
      </c>
      <c r="F108" s="46">
        <v>2510.4425000000001</v>
      </c>
      <c r="G108" s="47">
        <v>4.8353800000000002E-3</v>
      </c>
      <c r="H108" s="40">
        <v>7.6124999999999998</v>
      </c>
      <c r="J108" s="7"/>
    </row>
    <row r="109" spans="1:10" ht="25.5" x14ac:dyDescent="0.2">
      <c r="A109" s="43">
        <v>8</v>
      </c>
      <c r="B109" s="44" t="s">
        <v>582</v>
      </c>
      <c r="C109" s="44" t="s">
        <v>583</v>
      </c>
      <c r="D109" s="44" t="s">
        <v>584</v>
      </c>
      <c r="E109" s="45">
        <v>2500</v>
      </c>
      <c r="F109" s="46">
        <v>2509.8049999999998</v>
      </c>
      <c r="G109" s="47">
        <v>4.8341499999999997E-3</v>
      </c>
      <c r="H109" s="40">
        <v>7.6</v>
      </c>
      <c r="J109" s="7"/>
    </row>
    <row r="110" spans="1:10" ht="25.5" x14ac:dyDescent="0.2">
      <c r="A110" s="43">
        <v>9</v>
      </c>
      <c r="B110" s="44" t="s">
        <v>585</v>
      </c>
      <c r="C110" s="44" t="s">
        <v>586</v>
      </c>
      <c r="D110" s="44" t="s">
        <v>584</v>
      </c>
      <c r="E110" s="45">
        <v>2500</v>
      </c>
      <c r="F110" s="46">
        <v>2500.2674999999999</v>
      </c>
      <c r="G110" s="47">
        <v>4.8157800000000004E-3</v>
      </c>
      <c r="H110" s="40">
        <v>7.59</v>
      </c>
      <c r="J110" s="7"/>
    </row>
    <row r="111" spans="1:10" ht="25.5" x14ac:dyDescent="0.2">
      <c r="A111" s="43">
        <v>10</v>
      </c>
      <c r="B111" s="44" t="s">
        <v>587</v>
      </c>
      <c r="C111" s="44" t="s">
        <v>588</v>
      </c>
      <c r="D111" s="44" t="s">
        <v>584</v>
      </c>
      <c r="E111" s="45">
        <v>250</v>
      </c>
      <c r="F111" s="46">
        <v>2488.7125000000001</v>
      </c>
      <c r="G111" s="47">
        <v>4.7935299999999998E-3</v>
      </c>
      <c r="H111" s="40">
        <v>7.88</v>
      </c>
      <c r="J111" s="7"/>
    </row>
    <row r="112" spans="1:10" ht="25.5" x14ac:dyDescent="0.2">
      <c r="A112" s="43">
        <v>11</v>
      </c>
      <c r="B112" s="44" t="s">
        <v>589</v>
      </c>
      <c r="C112" s="44" t="s">
        <v>590</v>
      </c>
      <c r="D112" s="44" t="s">
        <v>569</v>
      </c>
      <c r="E112" s="45">
        <v>2500</v>
      </c>
      <c r="F112" s="46">
        <v>2486.4675000000002</v>
      </c>
      <c r="G112" s="47">
        <v>4.7892000000000004E-3</v>
      </c>
      <c r="H112" s="40">
        <v>7.71</v>
      </c>
      <c r="J112" s="7"/>
    </row>
    <row r="113" spans="1:10" ht="25.5" x14ac:dyDescent="0.2">
      <c r="A113" s="43">
        <v>12</v>
      </c>
      <c r="B113" s="44" t="s">
        <v>591</v>
      </c>
      <c r="C113" s="44" t="s">
        <v>592</v>
      </c>
      <c r="D113" s="44" t="s">
        <v>569</v>
      </c>
      <c r="E113" s="45">
        <v>2000</v>
      </c>
      <c r="F113" s="46">
        <v>2005.95</v>
      </c>
      <c r="G113" s="47">
        <v>3.86367E-3</v>
      </c>
      <c r="H113" s="40">
        <v>7.53</v>
      </c>
      <c r="J113" s="7"/>
    </row>
    <row r="114" spans="1:10" x14ac:dyDescent="0.2">
      <c r="A114" s="43">
        <v>13</v>
      </c>
      <c r="B114" s="44" t="s">
        <v>593</v>
      </c>
      <c r="C114" s="44" t="s">
        <v>594</v>
      </c>
      <c r="D114" s="44" t="s">
        <v>584</v>
      </c>
      <c r="E114" s="45">
        <v>200</v>
      </c>
      <c r="F114" s="46">
        <v>2005.796</v>
      </c>
      <c r="G114" s="47">
        <v>3.86338E-3</v>
      </c>
      <c r="H114" s="40">
        <v>7.5549999999999997</v>
      </c>
      <c r="J114" s="7"/>
    </row>
    <row r="115" spans="1:10" x14ac:dyDescent="0.2">
      <c r="A115" s="43">
        <v>14</v>
      </c>
      <c r="B115" s="44" t="s">
        <v>595</v>
      </c>
      <c r="C115" s="44" t="s">
        <v>596</v>
      </c>
      <c r="D115" s="44" t="s">
        <v>584</v>
      </c>
      <c r="E115" s="45">
        <v>2000</v>
      </c>
      <c r="F115" s="46">
        <v>2000.704</v>
      </c>
      <c r="G115" s="47">
        <v>3.8535700000000002E-3</v>
      </c>
      <c r="H115" s="40">
        <v>7.5537999999999998</v>
      </c>
      <c r="J115" s="7"/>
    </row>
    <row r="116" spans="1:10" ht="25.5" x14ac:dyDescent="0.2">
      <c r="A116" s="43">
        <v>15</v>
      </c>
      <c r="B116" s="44" t="s">
        <v>597</v>
      </c>
      <c r="C116" s="44" t="s">
        <v>598</v>
      </c>
      <c r="D116" s="44" t="s">
        <v>569</v>
      </c>
      <c r="E116" s="45">
        <v>2000</v>
      </c>
      <c r="F116" s="46">
        <v>1999.4</v>
      </c>
      <c r="G116" s="47">
        <v>3.8510599999999999E-3</v>
      </c>
      <c r="H116" s="40">
        <v>7.4317000000000002</v>
      </c>
      <c r="J116" s="7"/>
    </row>
    <row r="117" spans="1:10" ht="25.5" x14ac:dyDescent="0.2">
      <c r="A117" s="43">
        <v>16</v>
      </c>
      <c r="B117" s="44" t="s">
        <v>599</v>
      </c>
      <c r="C117" s="44" t="s">
        <v>600</v>
      </c>
      <c r="D117" s="44" t="s">
        <v>569</v>
      </c>
      <c r="E117" s="45">
        <v>1500</v>
      </c>
      <c r="F117" s="46">
        <v>1542.7215000000001</v>
      </c>
      <c r="G117" s="47">
        <v>2.97145E-3</v>
      </c>
      <c r="H117" s="40">
        <v>7.4</v>
      </c>
      <c r="J117" s="7"/>
    </row>
    <row r="118" spans="1:10" x14ac:dyDescent="0.2">
      <c r="A118" s="43">
        <v>17</v>
      </c>
      <c r="B118" s="44" t="s">
        <v>601</v>
      </c>
      <c r="C118" s="44" t="s">
        <v>602</v>
      </c>
      <c r="D118" s="44" t="s">
        <v>569</v>
      </c>
      <c r="E118" s="45">
        <v>1500</v>
      </c>
      <c r="F118" s="46">
        <v>1520.556</v>
      </c>
      <c r="G118" s="47">
        <v>2.9287499999999999E-3</v>
      </c>
      <c r="H118" s="40">
        <v>7.4596999999999998</v>
      </c>
      <c r="J118" s="7"/>
    </row>
    <row r="119" spans="1:10" ht="25.5" x14ac:dyDescent="0.2">
      <c r="A119" s="43">
        <v>18</v>
      </c>
      <c r="B119" s="44" t="s">
        <v>603</v>
      </c>
      <c r="C119" s="44" t="s">
        <v>604</v>
      </c>
      <c r="D119" s="44" t="s">
        <v>569</v>
      </c>
      <c r="E119" s="45">
        <v>1500</v>
      </c>
      <c r="F119" s="46">
        <v>1512.7439999999999</v>
      </c>
      <c r="G119" s="47">
        <v>2.9137099999999999E-3</v>
      </c>
      <c r="H119" s="40">
        <v>7.6547999999999998</v>
      </c>
      <c r="J119" s="7"/>
    </row>
    <row r="120" spans="1:10" ht="25.5" x14ac:dyDescent="0.2">
      <c r="A120" s="43">
        <v>19</v>
      </c>
      <c r="B120" s="44" t="s">
        <v>605</v>
      </c>
      <c r="C120" s="44" t="s">
        <v>606</v>
      </c>
      <c r="D120" s="44" t="s">
        <v>569</v>
      </c>
      <c r="E120" s="45">
        <v>1500</v>
      </c>
      <c r="F120" s="46">
        <v>1511.049</v>
      </c>
      <c r="G120" s="47">
        <v>2.9104399999999998E-3</v>
      </c>
      <c r="H120" s="40">
        <v>7.5175000000000001</v>
      </c>
      <c r="J120" s="7"/>
    </row>
    <row r="121" spans="1:10" ht="25.5" x14ac:dyDescent="0.2">
      <c r="A121" s="43">
        <v>20</v>
      </c>
      <c r="B121" s="44" t="s">
        <v>607</v>
      </c>
      <c r="C121" s="44" t="s">
        <v>608</v>
      </c>
      <c r="D121" s="44" t="s">
        <v>569</v>
      </c>
      <c r="E121" s="45">
        <v>1500</v>
      </c>
      <c r="F121" s="46">
        <v>1504.35</v>
      </c>
      <c r="G121" s="47">
        <v>2.8975400000000001E-3</v>
      </c>
      <c r="H121" s="40">
        <v>7.5978000000000003</v>
      </c>
      <c r="J121" s="7"/>
    </row>
    <row r="122" spans="1:10" ht="25.5" x14ac:dyDescent="0.2">
      <c r="A122" s="43">
        <v>21</v>
      </c>
      <c r="B122" s="44" t="s">
        <v>609</v>
      </c>
      <c r="C122" s="44" t="s">
        <v>610</v>
      </c>
      <c r="D122" s="44" t="s">
        <v>569</v>
      </c>
      <c r="E122" s="45">
        <v>1500</v>
      </c>
      <c r="F122" s="46">
        <v>1499.0535</v>
      </c>
      <c r="G122" s="47">
        <v>2.88734E-3</v>
      </c>
      <c r="H122" s="40">
        <v>7.3533999999999997</v>
      </c>
      <c r="J122" s="7"/>
    </row>
    <row r="123" spans="1:10" ht="25.5" x14ac:dyDescent="0.2">
      <c r="A123" s="43">
        <v>22</v>
      </c>
      <c r="B123" s="44" t="s">
        <v>611</v>
      </c>
      <c r="C123" s="44" t="s">
        <v>612</v>
      </c>
      <c r="D123" s="44" t="s">
        <v>569</v>
      </c>
      <c r="E123" s="45">
        <v>1500</v>
      </c>
      <c r="F123" s="46">
        <v>1498.1534999999999</v>
      </c>
      <c r="G123" s="47">
        <v>2.8855999999999999E-3</v>
      </c>
      <c r="H123" s="40">
        <v>8.16</v>
      </c>
      <c r="J123" s="7"/>
    </row>
    <row r="124" spans="1:10" x14ac:dyDescent="0.2">
      <c r="A124" s="43">
        <v>23</v>
      </c>
      <c r="B124" s="44" t="s">
        <v>613</v>
      </c>
      <c r="C124" s="44" t="s">
        <v>614</v>
      </c>
      <c r="D124" s="44" t="s">
        <v>569</v>
      </c>
      <c r="E124" s="45">
        <v>150</v>
      </c>
      <c r="F124" s="46">
        <v>1498.11</v>
      </c>
      <c r="G124" s="47">
        <v>2.8855199999999999E-3</v>
      </c>
      <c r="H124" s="40">
        <v>7.87</v>
      </c>
      <c r="J124" s="7"/>
    </row>
    <row r="125" spans="1:10" ht="25.5" x14ac:dyDescent="0.2">
      <c r="A125" s="43">
        <v>24</v>
      </c>
      <c r="B125" s="44" t="s">
        <v>615</v>
      </c>
      <c r="C125" s="44" t="s">
        <v>616</v>
      </c>
      <c r="D125" s="44" t="s">
        <v>569</v>
      </c>
      <c r="E125" s="45">
        <v>150</v>
      </c>
      <c r="F125" s="46">
        <v>1495.0350000000001</v>
      </c>
      <c r="G125" s="47">
        <v>2.8796E-3</v>
      </c>
      <c r="H125" s="40">
        <v>7.6787999999999998</v>
      </c>
      <c r="J125" s="7"/>
    </row>
    <row r="126" spans="1:10" ht="25.5" x14ac:dyDescent="0.2">
      <c r="A126" s="43">
        <v>25</v>
      </c>
      <c r="B126" s="44" t="s">
        <v>617</v>
      </c>
      <c r="C126" s="44" t="s">
        <v>618</v>
      </c>
      <c r="D126" s="44" t="s">
        <v>584</v>
      </c>
      <c r="E126" s="45">
        <v>150</v>
      </c>
      <c r="F126" s="46">
        <v>1494.1320000000001</v>
      </c>
      <c r="G126" s="47">
        <v>2.8778599999999999E-3</v>
      </c>
      <c r="H126" s="40">
        <v>7.85</v>
      </c>
      <c r="J126" s="7"/>
    </row>
    <row r="127" spans="1:10" ht="25.5" x14ac:dyDescent="0.2">
      <c r="A127" s="43">
        <v>26</v>
      </c>
      <c r="B127" s="44" t="s">
        <v>619</v>
      </c>
      <c r="C127" s="44" t="s">
        <v>620</v>
      </c>
      <c r="D127" s="44" t="s">
        <v>569</v>
      </c>
      <c r="E127" s="45">
        <v>150</v>
      </c>
      <c r="F127" s="46">
        <v>1492.4745</v>
      </c>
      <c r="G127" s="47">
        <v>2.8746700000000002E-3</v>
      </c>
      <c r="H127" s="40">
        <v>7.6550000000000002</v>
      </c>
      <c r="J127" s="7"/>
    </row>
    <row r="128" spans="1:10" x14ac:dyDescent="0.2">
      <c r="A128" s="43">
        <v>27</v>
      </c>
      <c r="B128" s="44" t="s">
        <v>621</v>
      </c>
      <c r="C128" s="44" t="s">
        <v>622</v>
      </c>
      <c r="D128" s="44" t="s">
        <v>569</v>
      </c>
      <c r="E128" s="45">
        <v>150</v>
      </c>
      <c r="F128" s="46">
        <v>1481.5395000000001</v>
      </c>
      <c r="G128" s="47">
        <v>2.8536E-3</v>
      </c>
      <c r="H128" s="40">
        <v>7.68</v>
      </c>
      <c r="J128" s="7"/>
    </row>
    <row r="129" spans="1:10" x14ac:dyDescent="0.2">
      <c r="A129" s="43">
        <v>28</v>
      </c>
      <c r="B129" s="44" t="s">
        <v>623</v>
      </c>
      <c r="C129" s="44" t="s">
        <v>624</v>
      </c>
      <c r="D129" s="44" t="s">
        <v>569</v>
      </c>
      <c r="E129" s="45">
        <v>150</v>
      </c>
      <c r="F129" s="46">
        <v>1453.0785000000001</v>
      </c>
      <c r="G129" s="47">
        <v>2.7987799999999998E-3</v>
      </c>
      <c r="H129" s="40">
        <v>7.84</v>
      </c>
      <c r="J129" s="7"/>
    </row>
    <row r="130" spans="1:10" x14ac:dyDescent="0.2">
      <c r="A130" s="43">
        <v>29</v>
      </c>
      <c r="B130" s="44" t="s">
        <v>625</v>
      </c>
      <c r="C130" s="44" t="s">
        <v>626</v>
      </c>
      <c r="D130" s="44" t="s">
        <v>569</v>
      </c>
      <c r="E130" s="45">
        <v>100</v>
      </c>
      <c r="F130" s="46">
        <v>1000.205</v>
      </c>
      <c r="G130" s="47">
        <v>1.9265E-3</v>
      </c>
      <c r="H130" s="40">
        <v>7.52</v>
      </c>
      <c r="J130" s="7"/>
    </row>
    <row r="131" spans="1:10" x14ac:dyDescent="0.2">
      <c r="A131" s="43">
        <v>30</v>
      </c>
      <c r="B131" s="44" t="s">
        <v>627</v>
      </c>
      <c r="C131" s="44" t="s">
        <v>628</v>
      </c>
      <c r="D131" s="44" t="s">
        <v>569</v>
      </c>
      <c r="E131" s="45">
        <v>1000</v>
      </c>
      <c r="F131" s="46">
        <v>998.202</v>
      </c>
      <c r="G131" s="47">
        <v>1.92264E-3</v>
      </c>
      <c r="H131" s="40">
        <v>7.61</v>
      </c>
      <c r="J131" s="7"/>
    </row>
    <row r="132" spans="1:10" x14ac:dyDescent="0.2">
      <c r="A132" s="43">
        <v>31</v>
      </c>
      <c r="B132" s="44" t="s">
        <v>629</v>
      </c>
      <c r="C132" s="44" t="s">
        <v>630</v>
      </c>
      <c r="D132" s="44" t="s">
        <v>569</v>
      </c>
      <c r="E132" s="45">
        <v>1000</v>
      </c>
      <c r="F132" s="46">
        <v>997.68600000000004</v>
      </c>
      <c r="G132" s="47">
        <v>1.92165E-3</v>
      </c>
      <c r="H132" s="40">
        <v>7.5250000000000004</v>
      </c>
      <c r="J132" s="7"/>
    </row>
    <row r="133" spans="1:10" x14ac:dyDescent="0.2">
      <c r="A133" s="43">
        <v>32</v>
      </c>
      <c r="B133" s="44" t="s">
        <v>631</v>
      </c>
      <c r="C133" s="44" t="s">
        <v>632</v>
      </c>
      <c r="D133" s="44" t="s">
        <v>569</v>
      </c>
      <c r="E133" s="45">
        <v>1000</v>
      </c>
      <c r="F133" s="46">
        <v>997.12199999999996</v>
      </c>
      <c r="G133" s="47">
        <v>1.92056E-3</v>
      </c>
      <c r="H133" s="40">
        <v>7.63</v>
      </c>
      <c r="J133" s="7"/>
    </row>
    <row r="134" spans="1:10" ht="25.5" x14ac:dyDescent="0.2">
      <c r="A134" s="43">
        <v>33</v>
      </c>
      <c r="B134" s="44" t="s">
        <v>633</v>
      </c>
      <c r="C134" s="44" t="s">
        <v>634</v>
      </c>
      <c r="D134" s="44" t="s">
        <v>584</v>
      </c>
      <c r="E134" s="45">
        <v>100</v>
      </c>
      <c r="F134" s="46">
        <v>996.28899999999999</v>
      </c>
      <c r="G134" s="47">
        <v>1.9189599999999999E-3</v>
      </c>
      <c r="H134" s="40">
        <v>7.7350000000000003</v>
      </c>
      <c r="J134" s="7"/>
    </row>
    <row r="135" spans="1:10" x14ac:dyDescent="0.2">
      <c r="A135" s="41"/>
      <c r="B135" s="41"/>
      <c r="C135" s="42" t="s">
        <v>150</v>
      </c>
      <c r="D135" s="41"/>
      <c r="E135" s="41" t="s">
        <v>151</v>
      </c>
      <c r="F135" s="48">
        <v>61708.449000000001</v>
      </c>
      <c r="G135" s="49">
        <v>0.11885705000000001</v>
      </c>
      <c r="H135" s="40" t="s">
        <v>151</v>
      </c>
      <c r="J135" s="7"/>
    </row>
    <row r="136" spans="1:10" x14ac:dyDescent="0.2">
      <c r="A136" s="41"/>
      <c r="B136" s="41"/>
      <c r="C136" s="50"/>
      <c r="D136" s="41"/>
      <c r="E136" s="41"/>
      <c r="F136" s="51"/>
      <c r="G136" s="51"/>
      <c r="H136" s="40" t="s">
        <v>151</v>
      </c>
      <c r="J136" s="7"/>
    </row>
    <row r="137" spans="1:10" x14ac:dyDescent="0.2">
      <c r="A137" s="41"/>
      <c r="B137" s="41"/>
      <c r="C137" s="42" t="s">
        <v>160</v>
      </c>
      <c r="D137" s="41"/>
      <c r="E137" s="41"/>
      <c r="F137" s="41"/>
      <c r="G137" s="41"/>
      <c r="H137" s="40" t="s">
        <v>151</v>
      </c>
      <c r="J137" s="7"/>
    </row>
    <row r="138" spans="1:10" x14ac:dyDescent="0.2">
      <c r="A138" s="41"/>
      <c r="B138" s="41"/>
      <c r="C138" s="42" t="s">
        <v>150</v>
      </c>
      <c r="D138" s="41"/>
      <c r="E138" s="41" t="s">
        <v>151</v>
      </c>
      <c r="F138" s="52" t="s">
        <v>153</v>
      </c>
      <c r="G138" s="49">
        <v>0</v>
      </c>
      <c r="H138" s="40" t="s">
        <v>151</v>
      </c>
      <c r="J138" s="7"/>
    </row>
    <row r="139" spans="1:10" x14ac:dyDescent="0.2">
      <c r="A139" s="41"/>
      <c r="B139" s="41"/>
      <c r="C139" s="50"/>
      <c r="D139" s="41"/>
      <c r="E139" s="41"/>
      <c r="F139" s="51"/>
      <c r="G139" s="51"/>
      <c r="H139" s="40" t="s">
        <v>151</v>
      </c>
      <c r="J139" s="7"/>
    </row>
    <row r="140" spans="1:10" x14ac:dyDescent="0.2">
      <c r="A140" s="41"/>
      <c r="B140" s="41"/>
      <c r="C140" s="42" t="s">
        <v>161</v>
      </c>
      <c r="D140" s="41"/>
      <c r="E140" s="41"/>
      <c r="F140" s="41"/>
      <c r="G140" s="41"/>
      <c r="H140" s="40" t="s">
        <v>151</v>
      </c>
      <c r="J140" s="7"/>
    </row>
    <row r="141" spans="1:10" x14ac:dyDescent="0.2">
      <c r="A141" s="43">
        <v>1</v>
      </c>
      <c r="B141" s="44" t="s">
        <v>635</v>
      </c>
      <c r="C141" s="44" t="s">
        <v>636</v>
      </c>
      <c r="D141" s="44" t="s">
        <v>549</v>
      </c>
      <c r="E141" s="45">
        <v>20400000</v>
      </c>
      <c r="F141" s="46">
        <v>20693.759999999998</v>
      </c>
      <c r="G141" s="47">
        <v>3.985839E-2</v>
      </c>
      <c r="H141" s="40">
        <v>7.0831999999999997</v>
      </c>
      <c r="J141" s="7"/>
    </row>
    <row r="142" spans="1:10" ht="25.5" x14ac:dyDescent="0.2">
      <c r="A142" s="43">
        <v>2</v>
      </c>
      <c r="B142" s="44" t="s">
        <v>637</v>
      </c>
      <c r="C142" s="44" t="s">
        <v>638</v>
      </c>
      <c r="D142" s="44" t="s">
        <v>549</v>
      </c>
      <c r="E142" s="45">
        <v>10000000</v>
      </c>
      <c r="F142" s="46">
        <v>10209.17</v>
      </c>
      <c r="G142" s="47">
        <v>1.9663949999999999E-2</v>
      </c>
      <c r="H142" s="40">
        <v>7.1207000000000003</v>
      </c>
      <c r="J142" s="7"/>
    </row>
    <row r="143" spans="1:10" ht="25.5" x14ac:dyDescent="0.2">
      <c r="A143" s="43">
        <v>3</v>
      </c>
      <c r="B143" s="44" t="s">
        <v>639</v>
      </c>
      <c r="C143" s="44" t="s">
        <v>640</v>
      </c>
      <c r="D143" s="44" t="s">
        <v>549</v>
      </c>
      <c r="E143" s="45">
        <v>6800000</v>
      </c>
      <c r="F143" s="46">
        <v>6882.4704000000002</v>
      </c>
      <c r="G143" s="47">
        <v>1.325637E-2</v>
      </c>
      <c r="H143" s="40">
        <v>7.0439999999999996</v>
      </c>
      <c r="J143" s="7"/>
    </row>
    <row r="144" spans="1:10" ht="25.5" x14ac:dyDescent="0.2">
      <c r="A144" s="43">
        <v>4</v>
      </c>
      <c r="B144" s="44" t="s">
        <v>641</v>
      </c>
      <c r="C144" s="44" t="s">
        <v>642</v>
      </c>
      <c r="D144" s="44" t="s">
        <v>549</v>
      </c>
      <c r="E144" s="45">
        <v>4000000</v>
      </c>
      <c r="F144" s="46">
        <v>4056.556</v>
      </c>
      <c r="G144" s="47">
        <v>7.8133600000000001E-3</v>
      </c>
      <c r="H144" s="40">
        <v>6.9443000000000001</v>
      </c>
      <c r="J144" s="7"/>
    </row>
    <row r="145" spans="1:10" x14ac:dyDescent="0.2">
      <c r="A145" s="43">
        <v>5</v>
      </c>
      <c r="B145" s="44" t="s">
        <v>643</v>
      </c>
      <c r="C145" s="44" t="s">
        <v>644</v>
      </c>
      <c r="D145" s="44" t="s">
        <v>549</v>
      </c>
      <c r="E145" s="45">
        <v>3000000</v>
      </c>
      <c r="F145" s="46">
        <v>3049.92</v>
      </c>
      <c r="G145" s="47">
        <v>5.8744699999999997E-3</v>
      </c>
      <c r="H145" s="40">
        <v>7.1045999999999996</v>
      </c>
      <c r="J145" s="7"/>
    </row>
    <row r="146" spans="1:10" ht="25.5" x14ac:dyDescent="0.2">
      <c r="A146" s="43">
        <v>6</v>
      </c>
      <c r="B146" s="44" t="s">
        <v>645</v>
      </c>
      <c r="C146" s="44" t="s">
        <v>1081</v>
      </c>
      <c r="D146" s="44" t="s">
        <v>549</v>
      </c>
      <c r="E146" s="45">
        <v>2500000</v>
      </c>
      <c r="F146" s="46">
        <v>2524.8000000000002</v>
      </c>
      <c r="G146" s="47">
        <v>4.86303E-3</v>
      </c>
      <c r="H146" s="40">
        <v>6.9638</v>
      </c>
      <c r="J146" s="7"/>
    </row>
    <row r="147" spans="1:10" x14ac:dyDescent="0.2">
      <c r="A147" s="43">
        <v>7</v>
      </c>
      <c r="B147" s="44" t="s">
        <v>646</v>
      </c>
      <c r="C147" s="44" t="s">
        <v>647</v>
      </c>
      <c r="D147" s="44" t="s">
        <v>549</v>
      </c>
      <c r="E147" s="45">
        <v>1500000</v>
      </c>
      <c r="F147" s="46">
        <v>1528.518</v>
      </c>
      <c r="G147" s="47">
        <v>2.9440899999999999E-3</v>
      </c>
      <c r="H147" s="40">
        <v>6.9573</v>
      </c>
      <c r="J147" s="7"/>
    </row>
    <row r="148" spans="1:10" ht="25.5" x14ac:dyDescent="0.2">
      <c r="A148" s="43">
        <v>8</v>
      </c>
      <c r="B148" s="44" t="s">
        <v>648</v>
      </c>
      <c r="C148" s="83" t="s">
        <v>995</v>
      </c>
      <c r="D148" s="44" t="s">
        <v>549</v>
      </c>
      <c r="E148" s="45">
        <v>1500000</v>
      </c>
      <c r="F148" s="46">
        <v>1507.3875</v>
      </c>
      <c r="G148" s="47">
        <v>2.9033900000000001E-3</v>
      </c>
      <c r="H148" s="40">
        <v>7.4950364800512617</v>
      </c>
      <c r="J148" s="7"/>
    </row>
    <row r="149" spans="1:10" ht="25.5" x14ac:dyDescent="0.2">
      <c r="A149" s="43">
        <v>9</v>
      </c>
      <c r="B149" s="44" t="s">
        <v>649</v>
      </c>
      <c r="C149" s="44" t="s">
        <v>650</v>
      </c>
      <c r="D149" s="44" t="s">
        <v>549</v>
      </c>
      <c r="E149" s="45">
        <v>1270000</v>
      </c>
      <c r="F149" s="46">
        <v>1283.9382499999999</v>
      </c>
      <c r="G149" s="47">
        <v>2.4729999999999999E-3</v>
      </c>
      <c r="H149" s="40">
        <v>7.4100999999999999</v>
      </c>
      <c r="J149" s="7"/>
    </row>
    <row r="150" spans="1:10" x14ac:dyDescent="0.2">
      <c r="A150" s="43">
        <v>10</v>
      </c>
      <c r="B150" s="44" t="s">
        <v>651</v>
      </c>
      <c r="C150" s="44" t="s">
        <v>652</v>
      </c>
      <c r="D150" s="44" t="s">
        <v>549</v>
      </c>
      <c r="E150" s="45">
        <v>1000000</v>
      </c>
      <c r="F150" s="46">
        <v>1029.9770000000001</v>
      </c>
      <c r="G150" s="47">
        <v>1.9838500000000001E-3</v>
      </c>
      <c r="H150" s="40">
        <v>7.1790000000000003</v>
      </c>
      <c r="J150" s="7"/>
    </row>
    <row r="151" spans="1:10" x14ac:dyDescent="0.2">
      <c r="A151" s="41"/>
      <c r="B151" s="41"/>
      <c r="C151" s="42" t="s">
        <v>150</v>
      </c>
      <c r="D151" s="41"/>
      <c r="E151" s="41" t="s">
        <v>151</v>
      </c>
      <c r="F151" s="48">
        <v>52766.497150000003</v>
      </c>
      <c r="G151" s="49">
        <v>0.1016339</v>
      </c>
      <c r="H151" s="40" t="s">
        <v>151</v>
      </c>
      <c r="J151" s="7"/>
    </row>
    <row r="152" spans="1:10" x14ac:dyDescent="0.2">
      <c r="A152" s="41"/>
      <c r="B152" s="41"/>
      <c r="C152" s="50"/>
      <c r="D152" s="41"/>
      <c r="E152" s="41"/>
      <c r="F152" s="51"/>
      <c r="G152" s="51"/>
      <c r="H152" s="40" t="s">
        <v>151</v>
      </c>
      <c r="J152" s="7"/>
    </row>
    <row r="153" spans="1:10" x14ac:dyDescent="0.2">
      <c r="A153" s="41"/>
      <c r="B153" s="41"/>
      <c r="C153" s="42" t="s">
        <v>162</v>
      </c>
      <c r="D153" s="41"/>
      <c r="E153" s="41"/>
      <c r="F153" s="51"/>
      <c r="G153" s="51"/>
      <c r="H153" s="40" t="s">
        <v>151</v>
      </c>
      <c r="J153" s="7"/>
    </row>
    <row r="154" spans="1:10" x14ac:dyDescent="0.2">
      <c r="A154" s="41"/>
      <c r="B154" s="41"/>
      <c r="C154" s="42" t="s">
        <v>150</v>
      </c>
      <c r="D154" s="41"/>
      <c r="E154" s="41" t="s">
        <v>151</v>
      </c>
      <c r="F154" s="52" t="s">
        <v>153</v>
      </c>
      <c r="G154" s="49">
        <v>0</v>
      </c>
      <c r="H154" s="40" t="s">
        <v>151</v>
      </c>
      <c r="J154" s="7"/>
    </row>
    <row r="155" spans="1:10" x14ac:dyDescent="0.2">
      <c r="A155" s="41"/>
      <c r="B155" s="41"/>
      <c r="C155" s="50"/>
      <c r="D155" s="41"/>
      <c r="E155" s="41"/>
      <c r="F155" s="51"/>
      <c r="G155" s="51"/>
      <c r="H155" s="40" t="s">
        <v>151</v>
      </c>
      <c r="J155" s="7"/>
    </row>
    <row r="156" spans="1:10" x14ac:dyDescent="0.2">
      <c r="A156" s="41"/>
      <c r="B156" s="41"/>
      <c r="C156" s="42" t="s">
        <v>163</v>
      </c>
      <c r="D156" s="41"/>
      <c r="E156" s="41"/>
      <c r="F156" s="48">
        <f>F135+F151</f>
        <v>114474.94615</v>
      </c>
      <c r="G156" s="49">
        <f>G151+G135</f>
        <v>0.22049095000000002</v>
      </c>
      <c r="H156" s="40" t="s">
        <v>151</v>
      </c>
      <c r="J156" s="7"/>
    </row>
    <row r="157" spans="1:10" x14ac:dyDescent="0.2">
      <c r="A157" s="41"/>
      <c r="B157" s="41"/>
      <c r="C157" s="50"/>
      <c r="D157" s="41"/>
      <c r="E157" s="41"/>
      <c r="F157" s="51"/>
      <c r="G157" s="51"/>
      <c r="H157" s="40" t="s">
        <v>151</v>
      </c>
      <c r="J157" s="7"/>
    </row>
    <row r="158" spans="1:10" x14ac:dyDescent="0.2">
      <c r="A158" s="41"/>
      <c r="B158" s="41"/>
      <c r="C158" s="42" t="s">
        <v>164</v>
      </c>
      <c r="D158" s="41"/>
      <c r="E158" s="41"/>
      <c r="F158" s="51"/>
      <c r="G158" s="51"/>
      <c r="H158" s="40" t="s">
        <v>151</v>
      </c>
      <c r="J158" s="7"/>
    </row>
    <row r="159" spans="1:10" x14ac:dyDescent="0.2">
      <c r="A159" s="41"/>
      <c r="B159" s="41"/>
      <c r="C159" s="42" t="s">
        <v>165</v>
      </c>
      <c r="D159" s="41"/>
      <c r="E159" s="41"/>
      <c r="F159" s="51"/>
      <c r="G159" s="51"/>
      <c r="H159" s="40" t="s">
        <v>151</v>
      </c>
      <c r="J159" s="7"/>
    </row>
    <row r="160" spans="1:10" x14ac:dyDescent="0.2">
      <c r="A160" s="43">
        <v>1</v>
      </c>
      <c r="B160" s="44" t="s">
        <v>653</v>
      </c>
      <c r="C160" s="44" t="s">
        <v>654</v>
      </c>
      <c r="D160" s="44" t="s">
        <v>655</v>
      </c>
      <c r="E160" s="45">
        <v>400</v>
      </c>
      <c r="F160" s="46">
        <v>1873.37</v>
      </c>
      <c r="G160" s="47">
        <v>3.60831E-3</v>
      </c>
      <c r="H160" s="40">
        <v>7.5449999999999999</v>
      </c>
      <c r="J160" s="7"/>
    </row>
    <row r="161" spans="1:10" x14ac:dyDescent="0.2">
      <c r="A161" s="41"/>
      <c r="B161" s="41"/>
      <c r="C161" s="42" t="s">
        <v>150</v>
      </c>
      <c r="D161" s="41"/>
      <c r="E161" s="41" t="s">
        <v>151</v>
      </c>
      <c r="F161" s="48">
        <v>1873.37</v>
      </c>
      <c r="G161" s="49">
        <v>3.60831E-3</v>
      </c>
      <c r="H161" s="40" t="s">
        <v>151</v>
      </c>
      <c r="J161" s="7"/>
    </row>
    <row r="162" spans="1:10" x14ac:dyDescent="0.2">
      <c r="A162" s="41"/>
      <c r="B162" s="41"/>
      <c r="C162" s="50"/>
      <c r="D162" s="41"/>
      <c r="E162" s="41"/>
      <c r="F162" s="51"/>
      <c r="G162" s="51"/>
      <c r="H162" s="40" t="s">
        <v>151</v>
      </c>
      <c r="J162" s="7"/>
    </row>
    <row r="163" spans="1:10" x14ac:dyDescent="0.2">
      <c r="A163" s="41"/>
      <c r="B163" s="41"/>
      <c r="C163" s="42" t="s">
        <v>166</v>
      </c>
      <c r="D163" s="41"/>
      <c r="E163" s="41"/>
      <c r="F163" s="51"/>
      <c r="G163" s="51"/>
      <c r="H163" s="40" t="s">
        <v>151</v>
      </c>
      <c r="J163" s="7"/>
    </row>
    <row r="164" spans="1:10" x14ac:dyDescent="0.2">
      <c r="A164" s="43">
        <v>1</v>
      </c>
      <c r="B164" s="44" t="s">
        <v>656</v>
      </c>
      <c r="C164" s="44" t="s">
        <v>657</v>
      </c>
      <c r="D164" s="44" t="s">
        <v>655</v>
      </c>
      <c r="E164" s="45">
        <v>300</v>
      </c>
      <c r="F164" s="46">
        <v>1432.1385</v>
      </c>
      <c r="G164" s="47">
        <v>2.75845E-3</v>
      </c>
      <c r="H164" s="40">
        <v>7.4550000000000001</v>
      </c>
      <c r="J164" s="7"/>
    </row>
    <row r="165" spans="1:10" x14ac:dyDescent="0.2">
      <c r="A165" s="41"/>
      <c r="B165" s="41"/>
      <c r="C165" s="42" t="s">
        <v>150</v>
      </c>
      <c r="D165" s="41"/>
      <c r="E165" s="41" t="s">
        <v>151</v>
      </c>
      <c r="F165" s="48">
        <v>1432.1385</v>
      </c>
      <c r="G165" s="49">
        <v>2.75845E-3</v>
      </c>
      <c r="H165" s="40" t="s">
        <v>151</v>
      </c>
      <c r="J165" s="7"/>
    </row>
    <row r="166" spans="1:10" x14ac:dyDescent="0.2">
      <c r="A166" s="41"/>
      <c r="B166" s="41"/>
      <c r="C166" s="50"/>
      <c r="D166" s="41"/>
      <c r="E166" s="41"/>
      <c r="F166" s="51"/>
      <c r="G166" s="51"/>
      <c r="H166" s="40" t="s">
        <v>151</v>
      </c>
      <c r="J166" s="7"/>
    </row>
    <row r="167" spans="1:10" x14ac:dyDescent="0.2">
      <c r="A167" s="41"/>
      <c r="B167" s="41"/>
      <c r="C167" s="42" t="s">
        <v>167</v>
      </c>
      <c r="D167" s="41"/>
      <c r="E167" s="41"/>
      <c r="F167" s="51"/>
      <c r="G167" s="51"/>
      <c r="H167" s="40" t="s">
        <v>151</v>
      </c>
      <c r="J167" s="7"/>
    </row>
    <row r="168" spans="1:10" x14ac:dyDescent="0.2">
      <c r="A168" s="41"/>
      <c r="B168" s="41"/>
      <c r="C168" s="42" t="s">
        <v>150</v>
      </c>
      <c r="D168" s="41"/>
      <c r="E168" s="41" t="s">
        <v>151</v>
      </c>
      <c r="F168" s="52" t="s">
        <v>153</v>
      </c>
      <c r="G168" s="49">
        <v>0</v>
      </c>
      <c r="H168" s="40" t="s">
        <v>151</v>
      </c>
      <c r="J168" s="7"/>
    </row>
    <row r="169" spans="1:10" x14ac:dyDescent="0.2">
      <c r="A169" s="41"/>
      <c r="B169" s="41"/>
      <c r="C169" s="50"/>
      <c r="D169" s="41"/>
      <c r="E169" s="41"/>
      <c r="F169" s="51"/>
      <c r="G169" s="51"/>
      <c r="H169" s="40" t="s">
        <v>151</v>
      </c>
      <c r="J169" s="7"/>
    </row>
    <row r="170" spans="1:10" x14ac:dyDescent="0.2">
      <c r="A170" s="41"/>
      <c r="B170" s="41"/>
      <c r="C170" s="42" t="s">
        <v>168</v>
      </c>
      <c r="D170" s="41"/>
      <c r="E170" s="41"/>
      <c r="F170" s="51"/>
      <c r="G170" s="51"/>
      <c r="H170" s="40" t="s">
        <v>151</v>
      </c>
      <c r="J170" s="7"/>
    </row>
    <row r="171" spans="1:10" x14ac:dyDescent="0.2">
      <c r="A171" s="43">
        <v>1</v>
      </c>
      <c r="B171" s="44"/>
      <c r="C171" s="44" t="s">
        <v>169</v>
      </c>
      <c r="D171" s="44"/>
      <c r="E171" s="54"/>
      <c r="F171" s="46">
        <v>16951.867787964002</v>
      </c>
      <c r="G171" s="47">
        <v>3.2651100000000002E-2</v>
      </c>
      <c r="H171" s="40">
        <v>6.39</v>
      </c>
      <c r="J171" s="7"/>
    </row>
    <row r="172" spans="1:10" x14ac:dyDescent="0.2">
      <c r="A172" s="41"/>
      <c r="B172" s="41"/>
      <c r="C172" s="42" t="s">
        <v>150</v>
      </c>
      <c r="D172" s="41"/>
      <c r="E172" s="41" t="s">
        <v>151</v>
      </c>
      <c r="F172" s="48">
        <v>16951.867787964002</v>
      </c>
      <c r="G172" s="49">
        <v>3.2651100000000002E-2</v>
      </c>
      <c r="H172" s="40" t="s">
        <v>151</v>
      </c>
      <c r="J172" s="7"/>
    </row>
    <row r="173" spans="1:10" x14ac:dyDescent="0.2">
      <c r="A173" s="41"/>
      <c r="B173" s="41"/>
      <c r="C173" s="50"/>
      <c r="D173" s="41"/>
      <c r="E173" s="41"/>
      <c r="F173" s="51"/>
      <c r="G173" s="51"/>
      <c r="H173" s="40" t="s">
        <v>151</v>
      </c>
      <c r="J173" s="7"/>
    </row>
    <row r="174" spans="1:10" x14ac:dyDescent="0.2">
      <c r="A174" s="41"/>
      <c r="B174" s="41"/>
      <c r="C174" s="42" t="s">
        <v>170</v>
      </c>
      <c r="D174" s="41"/>
      <c r="E174" s="41"/>
      <c r="F174" s="48">
        <f>F161+F165+F172</f>
        <v>20257.376287964002</v>
      </c>
      <c r="G174" s="49">
        <f>G172+G165+G161</f>
        <v>3.9017860000000001E-2</v>
      </c>
      <c r="H174" s="40" t="s">
        <v>151</v>
      </c>
      <c r="J174" s="7"/>
    </row>
    <row r="175" spans="1:10" x14ac:dyDescent="0.2">
      <c r="A175" s="41"/>
      <c r="B175" s="41"/>
      <c r="C175" s="51"/>
      <c r="D175" s="41"/>
      <c r="E175" s="41"/>
      <c r="F175" s="41"/>
      <c r="G175" s="41"/>
      <c r="H175" s="40" t="s">
        <v>151</v>
      </c>
      <c r="J175" s="7"/>
    </row>
    <row r="176" spans="1:10" x14ac:dyDescent="0.2">
      <c r="A176" s="41"/>
      <c r="B176" s="41"/>
      <c r="C176" s="42" t="s">
        <v>171</v>
      </c>
      <c r="D176" s="41"/>
      <c r="E176" s="41"/>
      <c r="F176" s="41"/>
      <c r="G176" s="41"/>
      <c r="H176" s="40" t="s">
        <v>151</v>
      </c>
      <c r="J176" s="7"/>
    </row>
    <row r="177" spans="1:10" x14ac:dyDescent="0.2">
      <c r="A177" s="41"/>
      <c r="B177" s="41"/>
      <c r="C177" s="42" t="s">
        <v>172</v>
      </c>
      <c r="D177" s="41"/>
      <c r="E177" s="41"/>
      <c r="F177" s="41"/>
      <c r="G177" s="41"/>
      <c r="H177" s="40" t="s">
        <v>151</v>
      </c>
      <c r="J177" s="7"/>
    </row>
    <row r="178" spans="1:10" x14ac:dyDescent="0.2">
      <c r="A178" s="41"/>
      <c r="B178" s="41"/>
      <c r="C178" s="42" t="s">
        <v>150</v>
      </c>
      <c r="D178" s="41"/>
      <c r="E178" s="41" t="s">
        <v>151</v>
      </c>
      <c r="F178" s="52" t="s">
        <v>153</v>
      </c>
      <c r="G178" s="49">
        <v>0</v>
      </c>
      <c r="H178" s="40" t="s">
        <v>151</v>
      </c>
      <c r="J178" s="7"/>
    </row>
    <row r="179" spans="1:10" x14ac:dyDescent="0.2">
      <c r="A179" s="41"/>
      <c r="B179" s="41"/>
      <c r="C179" s="50"/>
      <c r="D179" s="41"/>
      <c r="E179" s="41"/>
      <c r="F179" s="51"/>
      <c r="G179" s="51"/>
      <c r="H179" s="40" t="s">
        <v>151</v>
      </c>
      <c r="J179" s="7"/>
    </row>
    <row r="180" spans="1:10" x14ac:dyDescent="0.2">
      <c r="A180" s="41"/>
      <c r="B180" s="41"/>
      <c r="C180" s="42" t="s">
        <v>173</v>
      </c>
      <c r="D180" s="41"/>
      <c r="E180" s="41"/>
      <c r="F180" s="41"/>
      <c r="G180" s="41"/>
      <c r="H180" s="40" t="s">
        <v>151</v>
      </c>
      <c r="J180" s="7"/>
    </row>
    <row r="181" spans="1:10" x14ac:dyDescent="0.2">
      <c r="A181" s="41"/>
      <c r="B181" s="41"/>
      <c r="C181" s="42" t="s">
        <v>174</v>
      </c>
      <c r="D181" s="41"/>
      <c r="E181" s="41"/>
      <c r="F181" s="41"/>
      <c r="G181" s="41"/>
      <c r="H181" s="40" t="s">
        <v>151</v>
      </c>
      <c r="J181" s="7"/>
    </row>
    <row r="182" spans="1:10" x14ac:dyDescent="0.2">
      <c r="A182" s="41"/>
      <c r="B182" s="41"/>
      <c r="C182" s="42" t="s">
        <v>150</v>
      </c>
      <c r="D182" s="41"/>
      <c r="E182" s="41" t="s">
        <v>151</v>
      </c>
      <c r="F182" s="52" t="s">
        <v>153</v>
      </c>
      <c r="G182" s="49">
        <v>0</v>
      </c>
      <c r="H182" s="40" t="s">
        <v>151</v>
      </c>
      <c r="J182" s="7"/>
    </row>
    <row r="183" spans="1:10" x14ac:dyDescent="0.2">
      <c r="A183" s="41"/>
      <c r="B183" s="41"/>
      <c r="C183" s="50"/>
      <c r="D183" s="41"/>
      <c r="E183" s="41"/>
      <c r="F183" s="51"/>
      <c r="G183" s="51"/>
      <c r="H183" s="40" t="s">
        <v>151</v>
      </c>
      <c r="J183" s="7"/>
    </row>
    <row r="184" spans="1:10" x14ac:dyDescent="0.2">
      <c r="A184" s="41"/>
      <c r="B184" s="41"/>
      <c r="C184" s="42" t="s">
        <v>175</v>
      </c>
      <c r="D184" s="41"/>
      <c r="E184" s="41"/>
      <c r="F184" s="51"/>
      <c r="G184" s="51"/>
      <c r="H184" s="40" t="s">
        <v>151</v>
      </c>
      <c r="J184" s="7"/>
    </row>
    <row r="185" spans="1:10" x14ac:dyDescent="0.2">
      <c r="A185" s="41"/>
      <c r="B185" s="41"/>
      <c r="C185" s="42" t="s">
        <v>150</v>
      </c>
      <c r="D185" s="41"/>
      <c r="E185" s="41" t="s">
        <v>151</v>
      </c>
      <c r="F185" s="52" t="s">
        <v>153</v>
      </c>
      <c r="G185" s="49">
        <v>0</v>
      </c>
      <c r="H185" s="40" t="s">
        <v>151</v>
      </c>
      <c r="J185" s="7"/>
    </row>
    <row r="186" spans="1:10" x14ac:dyDescent="0.2">
      <c r="A186" s="41"/>
      <c r="B186" s="41"/>
      <c r="C186" s="50"/>
      <c r="D186" s="41"/>
      <c r="E186" s="41"/>
      <c r="F186" s="51"/>
      <c r="G186" s="51"/>
      <c r="H186" s="40" t="s">
        <v>151</v>
      </c>
      <c r="J186" s="7"/>
    </row>
    <row r="187" spans="1:10" x14ac:dyDescent="0.2">
      <c r="A187" s="54"/>
      <c r="B187" s="44"/>
      <c r="C187" s="83" t="s">
        <v>996</v>
      </c>
      <c r="D187" s="44"/>
      <c r="E187" s="54"/>
      <c r="F187" s="46">
        <v>1723.31314466</v>
      </c>
      <c r="G187" s="47">
        <f>F187/F188</f>
        <v>3.3192846642703163E-3</v>
      </c>
      <c r="H187" s="40" t="s">
        <v>151</v>
      </c>
      <c r="J187" s="7"/>
    </row>
    <row r="188" spans="1:10" x14ac:dyDescent="0.2">
      <c r="A188" s="50"/>
      <c r="B188" s="50"/>
      <c r="C188" s="42" t="s">
        <v>177</v>
      </c>
      <c r="D188" s="51"/>
      <c r="E188" s="51"/>
      <c r="F188" s="48">
        <f>F187+F174+F156+F98</f>
        <v>519182.08860186406</v>
      </c>
      <c r="G188" s="55">
        <f>G187+G174+G156+G98</f>
        <v>0.99996667816790752</v>
      </c>
      <c r="H188" s="40" t="s">
        <v>151</v>
      </c>
      <c r="J188" s="7"/>
    </row>
    <row r="189" spans="1:10" x14ac:dyDescent="0.2">
      <c r="A189" s="56"/>
      <c r="B189" s="56"/>
      <c r="C189" s="56"/>
      <c r="D189" s="57"/>
      <c r="E189" s="57"/>
      <c r="F189" s="57"/>
      <c r="G189" s="57"/>
      <c r="J189" s="7"/>
    </row>
    <row r="190" spans="1:10" ht="12.75" customHeight="1" x14ac:dyDescent="0.2">
      <c r="A190" s="58"/>
      <c r="B190" s="159" t="s">
        <v>923</v>
      </c>
      <c r="C190" s="159"/>
      <c r="D190" s="159"/>
      <c r="E190" s="159"/>
      <c r="F190" s="159"/>
      <c r="G190" s="159"/>
      <c r="H190" s="159"/>
      <c r="J190" s="7"/>
    </row>
    <row r="191" spans="1:10" ht="14.1" customHeight="1" x14ac:dyDescent="0.2">
      <c r="A191" s="58"/>
      <c r="B191" s="159" t="s">
        <v>924</v>
      </c>
      <c r="C191" s="159"/>
      <c r="D191" s="159"/>
      <c r="E191" s="159"/>
      <c r="F191" s="159"/>
      <c r="G191" s="159"/>
      <c r="H191" s="159"/>
      <c r="J191" s="7"/>
    </row>
    <row r="192" spans="1:10" ht="17.100000000000001" customHeight="1" x14ac:dyDescent="0.2">
      <c r="A192" s="58"/>
      <c r="B192" s="159" t="s">
        <v>925</v>
      </c>
      <c r="C192" s="159"/>
      <c r="D192" s="159"/>
      <c r="E192" s="159"/>
      <c r="F192" s="159"/>
      <c r="G192" s="159"/>
      <c r="H192" s="159"/>
      <c r="J192" s="7"/>
    </row>
    <row r="193" spans="1:17" s="8" customFormat="1" ht="65.25" customHeight="1" x14ac:dyDescent="0.25">
      <c r="A193" s="60"/>
      <c r="B193" s="160" t="s">
        <v>926</v>
      </c>
      <c r="C193" s="160"/>
      <c r="D193" s="160"/>
      <c r="E193" s="160"/>
      <c r="F193" s="160"/>
      <c r="G193" s="160"/>
      <c r="H193" s="160"/>
      <c r="I193"/>
      <c r="J193" s="7"/>
      <c r="K193"/>
      <c r="L193"/>
      <c r="M193"/>
      <c r="N193"/>
      <c r="O193"/>
      <c r="P193"/>
      <c r="Q193"/>
    </row>
    <row r="194" spans="1:17" ht="12.75" customHeight="1" x14ac:dyDescent="0.2">
      <c r="A194" s="58"/>
      <c r="B194" s="159" t="s">
        <v>927</v>
      </c>
      <c r="C194" s="159"/>
      <c r="D194" s="159"/>
      <c r="E194" s="159"/>
      <c r="F194" s="159"/>
      <c r="G194" s="159"/>
      <c r="H194" s="159"/>
      <c r="J194" s="7"/>
    </row>
    <row r="195" spans="1:17" x14ac:dyDescent="0.2">
      <c r="A195" s="61"/>
      <c r="B195" s="61"/>
      <c r="C195" s="61"/>
      <c r="D195" s="62"/>
      <c r="E195" s="62"/>
      <c r="F195" s="62"/>
      <c r="G195" s="62"/>
      <c r="J195" s="7"/>
    </row>
    <row r="196" spans="1:17" x14ac:dyDescent="0.2">
      <c r="A196" s="61"/>
      <c r="B196" s="161" t="s">
        <v>178</v>
      </c>
      <c r="C196" s="162"/>
      <c r="D196" s="163"/>
      <c r="E196" s="63"/>
      <c r="F196" s="62"/>
      <c r="G196" s="62"/>
      <c r="J196" s="7"/>
    </row>
    <row r="197" spans="1:17" ht="24.75" customHeight="1" x14ac:dyDescent="0.2">
      <c r="A197" s="58"/>
      <c r="B197" s="164" t="s">
        <v>179</v>
      </c>
      <c r="C197" s="165"/>
      <c r="D197" s="64" t="s">
        <v>997</v>
      </c>
      <c r="E197" s="65"/>
      <c r="F197" s="66"/>
      <c r="G197" s="66"/>
      <c r="J197" s="7"/>
      <c r="K197" s="7"/>
    </row>
    <row r="198" spans="1:17" ht="12.75" customHeight="1" x14ac:dyDescent="0.2">
      <c r="A198" s="58"/>
      <c r="B198" s="164" t="s">
        <v>939</v>
      </c>
      <c r="C198" s="165"/>
      <c r="D198" s="64" t="str">
        <f>"Rs. "&amp;TEXT(F82+F86,"0.00")&amp;" lacs/ #"</f>
        <v>Rs. 1.32 lacs/ #</v>
      </c>
      <c r="E198" s="65"/>
      <c r="F198" s="66"/>
      <c r="G198" s="66"/>
      <c r="J198" s="7"/>
      <c r="K198" s="7"/>
    </row>
    <row r="199" spans="1:17" x14ac:dyDescent="0.2">
      <c r="A199" s="61"/>
      <c r="B199" s="156" t="s">
        <v>182</v>
      </c>
      <c r="C199" s="157"/>
      <c r="D199" s="51" t="s">
        <v>151</v>
      </c>
      <c r="E199" s="63"/>
      <c r="F199" s="62"/>
      <c r="G199" s="62"/>
      <c r="J199" s="7"/>
    </row>
    <row r="200" spans="1:17" x14ac:dyDescent="0.2">
      <c r="A200" s="67"/>
      <c r="B200" s="68" t="s">
        <v>151</v>
      </c>
      <c r="C200" s="68" t="s">
        <v>937</v>
      </c>
      <c r="D200" s="68" t="s">
        <v>183</v>
      </c>
      <c r="E200" s="67"/>
      <c r="F200" s="67"/>
      <c r="G200" s="67"/>
      <c r="H200" s="67"/>
      <c r="J200" s="7"/>
    </row>
    <row r="201" spans="1:17" x14ac:dyDescent="0.2">
      <c r="A201" s="69"/>
      <c r="B201" s="70" t="s">
        <v>184</v>
      </c>
      <c r="C201" s="80" t="s">
        <v>185</v>
      </c>
      <c r="D201" s="80" t="s">
        <v>186</v>
      </c>
      <c r="E201" s="69"/>
      <c r="F201" s="69"/>
      <c r="G201" s="69"/>
      <c r="J201" s="7"/>
    </row>
    <row r="202" spans="1:17" x14ac:dyDescent="0.2">
      <c r="A202" s="69"/>
      <c r="B202" s="44" t="s">
        <v>187</v>
      </c>
      <c r="C202" s="72">
        <v>174.1953</v>
      </c>
      <c r="D202" s="72">
        <v>180.13399999999999</v>
      </c>
      <c r="E202" s="69"/>
      <c r="F202" s="73"/>
      <c r="G202" s="74"/>
      <c r="J202" s="7"/>
    </row>
    <row r="203" spans="1:17" ht="25.5" x14ac:dyDescent="0.2">
      <c r="A203" s="69"/>
      <c r="B203" s="83" t="s">
        <v>1013</v>
      </c>
      <c r="C203" s="72">
        <v>44.875399999999999</v>
      </c>
      <c r="D203" s="72">
        <v>46.046700000000001</v>
      </c>
      <c r="E203" s="69"/>
      <c r="F203" s="73"/>
      <c r="G203" s="74"/>
      <c r="J203" s="7"/>
    </row>
    <row r="204" spans="1:17" x14ac:dyDescent="0.2">
      <c r="A204" s="69"/>
      <c r="B204" s="44" t="s">
        <v>188</v>
      </c>
      <c r="C204" s="72">
        <v>153.7587</v>
      </c>
      <c r="D204" s="72">
        <v>158.8458</v>
      </c>
      <c r="E204" s="69"/>
      <c r="F204" s="73"/>
      <c r="G204" s="74"/>
      <c r="J204" s="7"/>
    </row>
    <row r="205" spans="1:17" ht="25.5" x14ac:dyDescent="0.2">
      <c r="A205" s="69"/>
      <c r="B205" s="83" t="s">
        <v>1014</v>
      </c>
      <c r="C205" s="72">
        <v>29.778099999999998</v>
      </c>
      <c r="D205" s="72">
        <v>30.507000000000001</v>
      </c>
      <c r="E205" s="69"/>
      <c r="F205" s="73"/>
      <c r="G205" s="74"/>
      <c r="J205" s="7"/>
    </row>
    <row r="206" spans="1:17" x14ac:dyDescent="0.2">
      <c r="A206" s="69"/>
      <c r="B206" s="69"/>
      <c r="C206" s="69"/>
      <c r="D206" s="69"/>
      <c r="E206" s="69"/>
      <c r="F206" s="69"/>
      <c r="G206" s="69"/>
      <c r="J206" s="7"/>
    </row>
    <row r="207" spans="1:17" x14ac:dyDescent="0.2">
      <c r="A207" s="69"/>
      <c r="B207" s="156" t="s">
        <v>940</v>
      </c>
      <c r="C207" s="157"/>
      <c r="D207" s="42" t="s">
        <v>151</v>
      </c>
      <c r="E207" s="69"/>
      <c r="F207" s="69"/>
      <c r="G207" s="69"/>
      <c r="J207" s="7"/>
    </row>
    <row r="208" spans="1:17" x14ac:dyDescent="0.2">
      <c r="A208" s="69"/>
      <c r="B208" s="89" t="s">
        <v>184</v>
      </c>
      <c r="C208" s="90" t="s">
        <v>658</v>
      </c>
      <c r="D208" s="90" t="s">
        <v>659</v>
      </c>
      <c r="E208" s="69"/>
      <c r="F208" s="69"/>
      <c r="G208" s="69"/>
      <c r="J208" s="7"/>
    </row>
    <row r="209" spans="1:16" ht="29.1" customHeight="1" x14ac:dyDescent="0.2">
      <c r="A209" s="69"/>
      <c r="B209" s="83" t="s">
        <v>1013</v>
      </c>
      <c r="C209" s="91">
        <v>0.35</v>
      </c>
      <c r="D209" s="91">
        <v>0.35</v>
      </c>
      <c r="E209" s="69"/>
      <c r="F209" s="73"/>
      <c r="G209" s="74"/>
      <c r="J209" s="7"/>
    </row>
    <row r="210" spans="1:16" ht="29.1" customHeight="1" x14ac:dyDescent="0.2">
      <c r="A210" s="69"/>
      <c r="B210" s="83" t="s">
        <v>1014</v>
      </c>
      <c r="C210" s="91">
        <v>0.25</v>
      </c>
      <c r="D210" s="91">
        <v>0.25</v>
      </c>
      <c r="E210" s="69"/>
      <c r="F210" s="73"/>
      <c r="G210" s="74"/>
      <c r="J210" s="7"/>
    </row>
    <row r="211" spans="1:16" x14ac:dyDescent="0.2">
      <c r="A211" s="69"/>
      <c r="B211" s="92"/>
      <c r="C211" s="92"/>
      <c r="D211" s="93"/>
      <c r="E211" s="69"/>
      <c r="F211" s="73"/>
      <c r="G211" s="74"/>
      <c r="J211" s="7"/>
    </row>
    <row r="212" spans="1:16" ht="24.75" customHeight="1" x14ac:dyDescent="0.2">
      <c r="A212" s="67"/>
      <c r="B212" s="164" t="s">
        <v>189</v>
      </c>
      <c r="C212" s="165"/>
      <c r="D212" s="64" t="s">
        <v>180</v>
      </c>
      <c r="E212" s="75"/>
      <c r="F212" s="67"/>
      <c r="G212" s="67"/>
      <c r="J212" s="7"/>
      <c r="K212" s="7"/>
    </row>
    <row r="213" spans="1:16" ht="24" customHeight="1" x14ac:dyDescent="0.2">
      <c r="A213" s="67"/>
      <c r="B213" s="164" t="s">
        <v>190</v>
      </c>
      <c r="C213" s="165"/>
      <c r="D213" s="64" t="s">
        <v>180</v>
      </c>
      <c r="E213" s="75"/>
      <c r="F213" s="67"/>
      <c r="G213" s="67"/>
      <c r="J213" s="7"/>
      <c r="K213" s="7"/>
    </row>
    <row r="214" spans="1:16" x14ac:dyDescent="0.2">
      <c r="A214" s="67"/>
      <c r="B214" s="164" t="s">
        <v>191</v>
      </c>
      <c r="C214" s="165"/>
      <c r="D214" s="64" t="s">
        <v>180</v>
      </c>
      <c r="E214" s="75"/>
      <c r="F214" s="67"/>
      <c r="G214" s="67"/>
      <c r="J214" s="7"/>
      <c r="K214" s="7"/>
    </row>
    <row r="215" spans="1:16" x14ac:dyDescent="0.2">
      <c r="A215" s="67"/>
      <c r="B215" s="164" t="s">
        <v>192</v>
      </c>
      <c r="C215" s="165"/>
      <c r="D215" s="76">
        <v>0.74310411663707887</v>
      </c>
      <c r="E215" s="67"/>
      <c r="F215" s="59"/>
      <c r="G215" s="77"/>
      <c r="J215" s="7"/>
      <c r="K215" s="7"/>
    </row>
    <row r="216" spans="1:16" x14ac:dyDescent="0.2">
      <c r="J216" s="7"/>
      <c r="K216" s="7"/>
    </row>
    <row r="217" spans="1:16" s="16" customFormat="1" x14ac:dyDescent="0.2">
      <c r="B217" s="94" t="s">
        <v>1077</v>
      </c>
      <c r="C217" s="17"/>
      <c r="D217" s="17"/>
      <c r="E217" s="17"/>
      <c r="F217" s="17"/>
      <c r="G217" s="17"/>
      <c r="I217"/>
      <c r="J217" s="7"/>
      <c r="K217" s="7"/>
      <c r="L217"/>
      <c r="M217"/>
      <c r="N217"/>
      <c r="O217"/>
      <c r="P217"/>
    </row>
    <row r="218" spans="1:16" s="16" customFormat="1" ht="63.75" x14ac:dyDescent="0.2">
      <c r="B218" s="95" t="s">
        <v>1016</v>
      </c>
      <c r="C218" s="95" t="s">
        <v>1017</v>
      </c>
      <c r="D218" s="95" t="s">
        <v>1018</v>
      </c>
      <c r="E218" s="95" t="s">
        <v>1019</v>
      </c>
      <c r="F218" s="95" t="s">
        <v>1020</v>
      </c>
      <c r="G218" s="17"/>
      <c r="I218"/>
      <c r="J218" s="7"/>
      <c r="K218" s="7"/>
      <c r="L218"/>
      <c r="M218"/>
      <c r="N218"/>
      <c r="O218"/>
      <c r="P218"/>
    </row>
    <row r="219" spans="1:16" s="16" customFormat="1" ht="38.25" x14ac:dyDescent="0.2">
      <c r="B219" s="96" t="s">
        <v>1021</v>
      </c>
      <c r="C219" s="97" t="s">
        <v>1022</v>
      </c>
      <c r="D219" s="98">
        <v>0</v>
      </c>
      <c r="E219" s="18">
        <v>0</v>
      </c>
      <c r="F219" s="99">
        <v>1000</v>
      </c>
      <c r="G219" s="17"/>
      <c r="I219"/>
      <c r="J219" s="7"/>
      <c r="K219" s="7"/>
      <c r="L219"/>
      <c r="M219"/>
      <c r="N219"/>
      <c r="O219"/>
      <c r="P219"/>
    </row>
    <row r="220" spans="1:16" s="16" customFormat="1" x14ac:dyDescent="0.2">
      <c r="B220" s="94"/>
      <c r="C220" s="17"/>
      <c r="D220" s="17"/>
      <c r="E220" s="17"/>
      <c r="F220" s="17"/>
      <c r="G220" s="17"/>
      <c r="I220"/>
      <c r="J220" s="7"/>
      <c r="K220" s="7"/>
      <c r="L220"/>
      <c r="M220"/>
      <c r="N220"/>
      <c r="O220"/>
      <c r="P220"/>
    </row>
    <row r="221" spans="1:16" s="16" customFormat="1" x14ac:dyDescent="0.2">
      <c r="B221" s="100" t="s">
        <v>1023</v>
      </c>
      <c r="C221" s="100" t="s">
        <v>1024</v>
      </c>
      <c r="D221" s="182" t="s">
        <v>1025</v>
      </c>
      <c r="E221" s="183"/>
      <c r="F221" s="172" t="s">
        <v>1026</v>
      </c>
      <c r="G221" s="172"/>
      <c r="I221"/>
      <c r="J221" s="7"/>
      <c r="K221" s="7"/>
      <c r="L221"/>
      <c r="M221"/>
      <c r="N221"/>
      <c r="O221"/>
      <c r="P221"/>
    </row>
    <row r="222" spans="1:16" s="16" customFormat="1" ht="25.5" x14ac:dyDescent="0.2">
      <c r="B222" s="101" t="s">
        <v>1027</v>
      </c>
      <c r="C222" s="102" t="s">
        <v>1028</v>
      </c>
      <c r="D222" s="184">
        <v>0</v>
      </c>
      <c r="E222" s="185"/>
      <c r="F222" s="184">
        <v>0</v>
      </c>
      <c r="G222" s="185"/>
      <c r="I222"/>
      <c r="J222" s="7"/>
      <c r="K222" s="7"/>
      <c r="L222"/>
      <c r="M222"/>
      <c r="N222"/>
      <c r="O222"/>
      <c r="P222"/>
    </row>
    <row r="223" spans="1:16" s="16" customFormat="1" x14ac:dyDescent="0.2">
      <c r="B223" s="173" t="s">
        <v>1029</v>
      </c>
      <c r="C223" s="174"/>
      <c r="D223" s="174"/>
      <c r="E223" s="174"/>
      <c r="F223" s="174"/>
      <c r="G223" s="175"/>
      <c r="I223"/>
      <c r="J223" s="7"/>
      <c r="K223" s="7"/>
      <c r="L223"/>
      <c r="M223"/>
      <c r="N223"/>
      <c r="O223"/>
      <c r="P223"/>
    </row>
    <row r="224" spans="1:16" s="16" customFormat="1" x14ac:dyDescent="0.2">
      <c r="B224" s="172" t="s">
        <v>1023</v>
      </c>
      <c r="C224" s="172" t="s">
        <v>1024</v>
      </c>
      <c r="D224" s="173" t="s">
        <v>1030</v>
      </c>
      <c r="E224" s="174"/>
      <c r="F224" s="175"/>
      <c r="G224" s="101"/>
      <c r="I224"/>
      <c r="J224" s="7"/>
      <c r="K224" s="7"/>
      <c r="L224"/>
      <c r="M224"/>
      <c r="N224"/>
      <c r="O224"/>
      <c r="P224"/>
    </row>
    <row r="225" spans="2:16" s="16" customFormat="1" ht="76.5" x14ac:dyDescent="0.2">
      <c r="B225" s="172"/>
      <c r="C225" s="172"/>
      <c r="D225" s="103" t="s">
        <v>1031</v>
      </c>
      <c r="E225" s="103" t="s">
        <v>1032</v>
      </c>
      <c r="F225" s="103" t="s">
        <v>1033</v>
      </c>
      <c r="G225" s="103" t="s">
        <v>1078</v>
      </c>
      <c r="H225" s="104"/>
      <c r="I225"/>
      <c r="J225" s="7"/>
      <c r="K225" s="7"/>
      <c r="L225"/>
      <c r="M225"/>
      <c r="N225"/>
      <c r="O225"/>
      <c r="P225"/>
    </row>
    <row r="226" spans="2:16" s="16" customFormat="1" ht="25.5" x14ac:dyDescent="0.2">
      <c r="B226" s="105" t="s">
        <v>1027</v>
      </c>
      <c r="C226" s="102" t="s">
        <v>1028</v>
      </c>
      <c r="D226" s="106">
        <v>700</v>
      </c>
      <c r="E226" s="106">
        <v>24.098357999999998</v>
      </c>
      <c r="F226" s="107">
        <v>724.09835799999996</v>
      </c>
      <c r="G226" s="108">
        <f>F226/F188</f>
        <v>1.3946905602039681E-3</v>
      </c>
      <c r="H226" s="109"/>
      <c r="I226"/>
      <c r="J226" s="7"/>
      <c r="K226" s="7"/>
      <c r="L226"/>
      <c r="M226"/>
      <c r="N226"/>
      <c r="O226"/>
      <c r="P226"/>
    </row>
    <row r="227" spans="2:16" s="16" customFormat="1" ht="29.25" customHeight="1" x14ac:dyDescent="0.2">
      <c r="B227" s="176" t="s">
        <v>1034</v>
      </c>
      <c r="C227" s="177"/>
      <c r="D227" s="177"/>
      <c r="E227" s="177"/>
      <c r="F227" s="177"/>
      <c r="G227" s="178"/>
      <c r="I227"/>
      <c r="J227" s="7"/>
      <c r="K227" s="7"/>
      <c r="L227"/>
      <c r="M227"/>
      <c r="N227"/>
      <c r="O227"/>
      <c r="P227"/>
    </row>
    <row r="228" spans="2:16" s="16" customFormat="1" x14ac:dyDescent="0.2">
      <c r="I228"/>
      <c r="J228" s="7"/>
      <c r="K228" s="7"/>
      <c r="L228"/>
      <c r="M228"/>
      <c r="N228"/>
      <c r="O228"/>
      <c r="P228"/>
    </row>
    <row r="229" spans="2:16" s="16" customFormat="1" x14ac:dyDescent="0.2">
      <c r="B229" s="179" t="s">
        <v>1035</v>
      </c>
      <c r="C229" s="180"/>
      <c r="D229" s="181"/>
      <c r="I229"/>
      <c r="J229" s="7"/>
      <c r="K229" s="7"/>
      <c r="L229"/>
      <c r="M229"/>
      <c r="N229"/>
      <c r="O229"/>
      <c r="P229"/>
    </row>
    <row r="230" spans="2:16" s="16" customFormat="1" ht="38.25" x14ac:dyDescent="0.2">
      <c r="B230" s="168" t="s">
        <v>1036</v>
      </c>
      <c r="C230" s="168"/>
      <c r="D230" s="110" t="s">
        <v>551</v>
      </c>
      <c r="I230"/>
      <c r="J230" s="7"/>
      <c r="K230" s="7"/>
      <c r="L230"/>
      <c r="M230"/>
      <c r="N230"/>
      <c r="O230"/>
      <c r="P230"/>
    </row>
    <row r="231" spans="2:16" s="16" customFormat="1" x14ac:dyDescent="0.2">
      <c r="B231" s="168" t="s">
        <v>1037</v>
      </c>
      <c r="C231" s="168"/>
      <c r="D231" s="110"/>
      <c r="I231"/>
      <c r="J231" s="7"/>
      <c r="K231" s="7"/>
      <c r="L231"/>
      <c r="M231"/>
      <c r="N231"/>
      <c r="O231"/>
      <c r="P231"/>
    </row>
    <row r="232" spans="2:16" s="16" customFormat="1" x14ac:dyDescent="0.2">
      <c r="B232" s="169"/>
      <c r="C232" s="170"/>
      <c r="D232" s="111"/>
      <c r="I232"/>
      <c r="J232" s="7"/>
      <c r="K232" s="7"/>
      <c r="L232"/>
      <c r="M232"/>
      <c r="N232"/>
      <c r="O232"/>
      <c r="P232"/>
    </row>
    <row r="233" spans="2:16" s="16" customFormat="1" x14ac:dyDescent="0.2">
      <c r="B233" s="168" t="s">
        <v>1038</v>
      </c>
      <c r="C233" s="168"/>
      <c r="D233" s="112">
        <v>7.2762056449352936</v>
      </c>
      <c r="I233"/>
      <c r="J233" s="7"/>
      <c r="K233" s="7"/>
      <c r="L233"/>
      <c r="M233"/>
      <c r="N233"/>
      <c r="O233"/>
      <c r="P233"/>
    </row>
    <row r="234" spans="2:16" s="16" customFormat="1" x14ac:dyDescent="0.2">
      <c r="B234" s="169"/>
      <c r="C234" s="170"/>
      <c r="D234" s="113"/>
      <c r="I234"/>
      <c r="J234" s="7"/>
      <c r="K234" s="7"/>
      <c r="L234"/>
      <c r="M234"/>
      <c r="N234"/>
      <c r="O234"/>
      <c r="P234"/>
    </row>
    <row r="235" spans="2:16" s="16" customFormat="1" x14ac:dyDescent="0.2">
      <c r="B235" s="168" t="s">
        <v>1039</v>
      </c>
      <c r="C235" s="168"/>
      <c r="D235" s="112">
        <v>4.2365609070810031</v>
      </c>
      <c r="I235"/>
      <c r="J235" s="7"/>
      <c r="K235" s="7"/>
      <c r="L235"/>
      <c r="M235"/>
      <c r="N235"/>
      <c r="O235"/>
      <c r="P235"/>
    </row>
    <row r="236" spans="2:16" s="16" customFormat="1" x14ac:dyDescent="0.2">
      <c r="B236" s="168" t="s">
        <v>1040</v>
      </c>
      <c r="C236" s="168"/>
      <c r="D236" s="112">
        <v>5.9983019773012609</v>
      </c>
      <c r="I236"/>
      <c r="J236" s="7"/>
      <c r="K236" s="7"/>
      <c r="L236"/>
      <c r="M236"/>
      <c r="N236"/>
      <c r="O236"/>
      <c r="P236"/>
    </row>
    <row r="237" spans="2:16" s="16" customFormat="1" x14ac:dyDescent="0.2">
      <c r="B237" s="169"/>
      <c r="C237" s="170"/>
      <c r="D237" s="111"/>
      <c r="I237"/>
      <c r="J237" s="7"/>
      <c r="K237" s="7"/>
      <c r="L237"/>
      <c r="M237"/>
      <c r="N237"/>
      <c r="O237"/>
      <c r="P237"/>
    </row>
    <row r="238" spans="2:16" s="16" customFormat="1" x14ac:dyDescent="0.2">
      <c r="B238" s="168" t="s">
        <v>1041</v>
      </c>
      <c r="C238" s="168"/>
      <c r="D238" s="114" t="s">
        <v>1079</v>
      </c>
      <c r="I238"/>
      <c r="J238" s="7"/>
      <c r="K238" s="7"/>
      <c r="L238"/>
      <c r="M238"/>
      <c r="N238"/>
      <c r="O238"/>
      <c r="P238"/>
    </row>
    <row r="239" spans="2:16" s="16" customFormat="1" x14ac:dyDescent="0.2">
      <c r="B239" s="169" t="s">
        <v>1042</v>
      </c>
      <c r="C239" s="171"/>
      <c r="D239" s="170"/>
      <c r="I239"/>
      <c r="J239" s="7"/>
      <c r="K239" s="7"/>
      <c r="L239"/>
      <c r="M239"/>
      <c r="N239"/>
      <c r="O239"/>
      <c r="P239"/>
    </row>
    <row r="240" spans="2:16" x14ac:dyDescent="0.2">
      <c r="J240" s="7"/>
      <c r="K240" s="7"/>
    </row>
    <row r="241" spans="10:11" x14ac:dyDescent="0.2">
      <c r="J241" s="7"/>
      <c r="K241" s="9"/>
    </row>
    <row r="242" spans="10:11" x14ac:dyDescent="0.2">
      <c r="J242" s="7"/>
      <c r="K242" s="9"/>
    </row>
    <row r="243" spans="10:11" x14ac:dyDescent="0.2">
      <c r="J243" s="7"/>
      <c r="K243" s="9"/>
    </row>
    <row r="244" spans="10:11" x14ac:dyDescent="0.2">
      <c r="J244" s="7"/>
      <c r="K244" s="9"/>
    </row>
    <row r="245" spans="10:11" x14ac:dyDescent="0.2">
      <c r="K245" s="9"/>
    </row>
  </sheetData>
  <mergeCells count="37">
    <mergeCell ref="B215:C215"/>
    <mergeCell ref="B212:C212"/>
    <mergeCell ref="B198:C198"/>
    <mergeCell ref="B199:C199"/>
    <mergeCell ref="B207:C207"/>
    <mergeCell ref="B213:C213"/>
    <mergeCell ref="B214:C214"/>
    <mergeCell ref="B197:C197"/>
    <mergeCell ref="A1:H1"/>
    <mergeCell ref="A2:H2"/>
    <mergeCell ref="A3:H3"/>
    <mergeCell ref="B190:H190"/>
    <mergeCell ref="B191:H191"/>
    <mergeCell ref="B192:H192"/>
    <mergeCell ref="B193:H193"/>
    <mergeCell ref="B194:H194"/>
    <mergeCell ref="B196:D196"/>
    <mergeCell ref="D221:E221"/>
    <mergeCell ref="F221:G221"/>
    <mergeCell ref="D222:E222"/>
    <mergeCell ref="F222:G222"/>
    <mergeCell ref="B223:G223"/>
    <mergeCell ref="B224:B225"/>
    <mergeCell ref="C224:C225"/>
    <mergeCell ref="D224:F224"/>
    <mergeCell ref="B227:G227"/>
    <mergeCell ref="B229:D229"/>
    <mergeCell ref="B230:C230"/>
    <mergeCell ref="B231:C231"/>
    <mergeCell ref="B232:C232"/>
    <mergeCell ref="B233:C233"/>
    <mergeCell ref="B234:C234"/>
    <mergeCell ref="B235:C235"/>
    <mergeCell ref="B236:C236"/>
    <mergeCell ref="B237:C237"/>
    <mergeCell ref="B238:C238"/>
    <mergeCell ref="B239:D239"/>
  </mergeCells>
  <hyperlinks>
    <hyperlink ref="I1" location="Index!B14" display="Index" xr:uid="{7F13F1BD-2B10-48E8-84E5-60F101E062E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3F3A7-2485-4E0A-AA46-2FFB9015BDD2}">
  <sheetPr>
    <outlinePr summaryBelow="0" summaryRight="0"/>
  </sheetPr>
  <dimension ref="A1:Q163"/>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10.42578125" bestFit="1" customWidth="1"/>
    <col min="6" max="6" width="10.140625" bestFit="1" customWidth="1"/>
    <col min="7" max="7" width="9.140625" customWidth="1"/>
    <col min="8" max="8" width="8.85546875" customWidth="1"/>
    <col min="9" max="9" width="11.570312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660</v>
      </c>
      <c r="B2" s="158"/>
      <c r="C2" s="158"/>
      <c r="D2" s="158"/>
      <c r="E2" s="158"/>
      <c r="F2" s="158"/>
      <c r="G2" s="158"/>
      <c r="H2" s="158"/>
      <c r="J2" s="11" t="s">
        <v>942</v>
      </c>
    </row>
    <row r="3" spans="1:10" ht="15" x14ac:dyDescent="0.2">
      <c r="A3" s="158" t="s">
        <v>880</v>
      </c>
      <c r="B3" s="158"/>
      <c r="C3" s="158"/>
      <c r="D3" s="158"/>
      <c r="E3" s="158"/>
      <c r="F3" s="158"/>
      <c r="G3" s="158"/>
      <c r="H3" s="158"/>
      <c r="J3" s="7"/>
    </row>
    <row r="4" spans="1:10" s="1" customFormat="1" ht="30" x14ac:dyDescent="0.2">
      <c r="A4" s="36" t="s">
        <v>2</v>
      </c>
      <c r="B4" s="36" t="s">
        <v>3</v>
      </c>
      <c r="C4" s="36" t="s">
        <v>4</v>
      </c>
      <c r="D4" s="36" t="s">
        <v>5</v>
      </c>
      <c r="E4" s="36" t="s">
        <v>6</v>
      </c>
      <c r="F4" s="36" t="s">
        <v>7</v>
      </c>
      <c r="G4" s="36" t="s">
        <v>8</v>
      </c>
      <c r="H4" s="37" t="s">
        <v>922</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118</v>
      </c>
      <c r="C7" s="44" t="s">
        <v>119</v>
      </c>
      <c r="D7" s="44" t="s">
        <v>19</v>
      </c>
      <c r="E7" s="45">
        <v>285600</v>
      </c>
      <c r="F7" s="46">
        <v>1237.0763999999999</v>
      </c>
      <c r="G7" s="47">
        <v>8.8010909999999998E-2</v>
      </c>
      <c r="H7" s="40" t="s">
        <v>151</v>
      </c>
      <c r="J7" s="7"/>
    </row>
    <row r="8" spans="1:10" x14ac:dyDescent="0.2">
      <c r="A8" s="43">
        <v>2</v>
      </c>
      <c r="B8" s="44" t="s">
        <v>341</v>
      </c>
      <c r="C8" s="44" t="s">
        <v>342</v>
      </c>
      <c r="D8" s="44" t="s">
        <v>45</v>
      </c>
      <c r="E8" s="45">
        <v>74250</v>
      </c>
      <c r="F8" s="46">
        <v>1199.694375</v>
      </c>
      <c r="G8" s="47">
        <v>8.5351389999999999E-2</v>
      </c>
      <c r="H8" s="40" t="s">
        <v>151</v>
      </c>
      <c r="J8" s="7"/>
    </row>
    <row r="9" spans="1:10" ht="25.5" x14ac:dyDescent="0.2">
      <c r="A9" s="43">
        <v>3</v>
      </c>
      <c r="B9" s="44" t="s">
        <v>103</v>
      </c>
      <c r="C9" s="44" t="s">
        <v>104</v>
      </c>
      <c r="D9" s="44" t="s">
        <v>25</v>
      </c>
      <c r="E9" s="45">
        <v>144000</v>
      </c>
      <c r="F9" s="46">
        <v>979.12800000000004</v>
      </c>
      <c r="G9" s="47">
        <v>6.9659360000000003E-2</v>
      </c>
      <c r="H9" s="40" t="s">
        <v>151</v>
      </c>
      <c r="J9" s="7"/>
    </row>
    <row r="10" spans="1:10" x14ac:dyDescent="0.2">
      <c r="A10" s="43">
        <v>4</v>
      </c>
      <c r="B10" s="44" t="s">
        <v>17</v>
      </c>
      <c r="C10" s="44" t="s">
        <v>18</v>
      </c>
      <c r="D10" s="44" t="s">
        <v>19</v>
      </c>
      <c r="E10" s="45">
        <v>58900</v>
      </c>
      <c r="F10" s="46">
        <v>878.52295000000004</v>
      </c>
      <c r="G10" s="47">
        <v>6.2501879999999996E-2</v>
      </c>
      <c r="H10" s="40" t="s">
        <v>151</v>
      </c>
      <c r="J10" s="7"/>
    </row>
    <row r="11" spans="1:10" x14ac:dyDescent="0.2">
      <c r="A11" s="43">
        <v>5</v>
      </c>
      <c r="B11" s="44" t="s">
        <v>20</v>
      </c>
      <c r="C11" s="44" t="s">
        <v>21</v>
      </c>
      <c r="D11" s="44" t="s">
        <v>22</v>
      </c>
      <c r="E11" s="45">
        <v>27500</v>
      </c>
      <c r="F11" s="46">
        <v>827.98374999999999</v>
      </c>
      <c r="G11" s="47">
        <v>5.8906310000000003E-2</v>
      </c>
      <c r="H11" s="40" t="s">
        <v>151</v>
      </c>
      <c r="J11" s="7"/>
    </row>
    <row r="12" spans="1:10" ht="15" x14ac:dyDescent="0.2">
      <c r="A12" s="43">
        <v>6</v>
      </c>
      <c r="B12" s="44" t="s">
        <v>661</v>
      </c>
      <c r="C12" s="44" t="s">
        <v>662</v>
      </c>
      <c r="D12" s="44" t="s">
        <v>61</v>
      </c>
      <c r="E12" s="45">
        <v>85800</v>
      </c>
      <c r="F12" s="46">
        <v>762.89070000000004</v>
      </c>
      <c r="G12" s="47">
        <v>5.427531E-2</v>
      </c>
      <c r="H12" s="40" t="s">
        <v>151</v>
      </c>
      <c r="J12" s="12"/>
    </row>
    <row r="13" spans="1:10" x14ac:dyDescent="0.2">
      <c r="A13" s="43">
        <v>7</v>
      </c>
      <c r="B13" s="44" t="s">
        <v>663</v>
      </c>
      <c r="C13" s="44" t="s">
        <v>664</v>
      </c>
      <c r="D13" s="44" t="s">
        <v>86</v>
      </c>
      <c r="E13" s="45">
        <v>252000</v>
      </c>
      <c r="F13" s="46">
        <v>539.28</v>
      </c>
      <c r="G13" s="47">
        <v>3.8366690000000002E-2</v>
      </c>
      <c r="H13" s="40" t="s">
        <v>151</v>
      </c>
      <c r="J13" s="7"/>
    </row>
    <row r="14" spans="1:10" x14ac:dyDescent="0.2">
      <c r="A14" s="43">
        <v>8</v>
      </c>
      <c r="B14" s="44" t="s">
        <v>665</v>
      </c>
      <c r="C14" s="44" t="s">
        <v>666</v>
      </c>
      <c r="D14" s="44" t="s">
        <v>667</v>
      </c>
      <c r="E14" s="45">
        <v>89700</v>
      </c>
      <c r="F14" s="46">
        <v>404.32274999999998</v>
      </c>
      <c r="G14" s="47">
        <v>2.8765249999999999E-2</v>
      </c>
      <c r="H14" s="40" t="s">
        <v>151</v>
      </c>
      <c r="J14" s="7" t="s">
        <v>1058</v>
      </c>
    </row>
    <row r="15" spans="1:10" x14ac:dyDescent="0.2">
      <c r="A15" s="43">
        <v>9</v>
      </c>
      <c r="B15" s="44" t="s">
        <v>469</v>
      </c>
      <c r="C15" s="44" t="s">
        <v>470</v>
      </c>
      <c r="D15" s="44" t="s">
        <v>45</v>
      </c>
      <c r="E15" s="45">
        <v>157950</v>
      </c>
      <c r="F15" s="46">
        <v>400.640175</v>
      </c>
      <c r="G15" s="47">
        <v>2.8503259999999999E-2</v>
      </c>
      <c r="H15" s="40" t="s">
        <v>151</v>
      </c>
      <c r="J15" s="7"/>
    </row>
    <row r="16" spans="1:10" ht="25.5" x14ac:dyDescent="0.2">
      <c r="A16" s="43">
        <v>10</v>
      </c>
      <c r="B16" s="44" t="s">
        <v>301</v>
      </c>
      <c r="C16" s="44" t="s">
        <v>302</v>
      </c>
      <c r="D16" s="44" t="s">
        <v>25</v>
      </c>
      <c r="E16" s="45">
        <v>15300</v>
      </c>
      <c r="F16" s="46">
        <v>396.36944999999997</v>
      </c>
      <c r="G16" s="47">
        <v>2.8199419999999999E-2</v>
      </c>
      <c r="H16" s="40" t="s">
        <v>151</v>
      </c>
      <c r="J16" s="7"/>
    </row>
    <row r="17" spans="1:10" ht="25.5" x14ac:dyDescent="0.2">
      <c r="A17" s="43">
        <v>11</v>
      </c>
      <c r="B17" s="44" t="s">
        <v>353</v>
      </c>
      <c r="C17" s="44" t="s">
        <v>354</v>
      </c>
      <c r="D17" s="44" t="s">
        <v>210</v>
      </c>
      <c r="E17" s="45">
        <v>19600</v>
      </c>
      <c r="F17" s="46">
        <v>336.99259999999998</v>
      </c>
      <c r="G17" s="47">
        <v>2.3975099999999999E-2</v>
      </c>
      <c r="H17" s="40" t="s">
        <v>151</v>
      </c>
      <c r="J17" s="7"/>
    </row>
    <row r="18" spans="1:10" x14ac:dyDescent="0.2">
      <c r="A18" s="43">
        <v>12</v>
      </c>
      <c r="B18" s="44" t="s">
        <v>471</v>
      </c>
      <c r="C18" s="44" t="s">
        <v>472</v>
      </c>
      <c r="D18" s="44" t="s">
        <v>219</v>
      </c>
      <c r="E18" s="45">
        <v>14700</v>
      </c>
      <c r="F18" s="46">
        <v>241.4622</v>
      </c>
      <c r="G18" s="47">
        <v>1.717865E-2</v>
      </c>
      <c r="H18" s="40" t="s">
        <v>151</v>
      </c>
      <c r="J18" s="7"/>
    </row>
    <row r="19" spans="1:10" x14ac:dyDescent="0.2">
      <c r="A19" s="43">
        <v>13</v>
      </c>
      <c r="B19" s="44" t="s">
        <v>668</v>
      </c>
      <c r="C19" s="44" t="s">
        <v>669</v>
      </c>
      <c r="D19" s="44" t="s">
        <v>86</v>
      </c>
      <c r="E19" s="45">
        <v>102600</v>
      </c>
      <c r="F19" s="46">
        <v>232.77887999999999</v>
      </c>
      <c r="G19" s="47">
        <v>1.6560890000000002E-2</v>
      </c>
      <c r="H19" s="40" t="s">
        <v>151</v>
      </c>
      <c r="J19" s="7"/>
    </row>
    <row r="20" spans="1:10" x14ac:dyDescent="0.2">
      <c r="A20" s="43">
        <v>14</v>
      </c>
      <c r="B20" s="44" t="s">
        <v>55</v>
      </c>
      <c r="C20" s="44" t="s">
        <v>56</v>
      </c>
      <c r="D20" s="44" t="s">
        <v>16</v>
      </c>
      <c r="E20" s="45">
        <v>41850</v>
      </c>
      <c r="F20" s="46">
        <v>189.83160000000001</v>
      </c>
      <c r="G20" s="47">
        <v>1.3505430000000001E-2</v>
      </c>
      <c r="H20" s="40" t="s">
        <v>151</v>
      </c>
      <c r="J20" s="7"/>
    </row>
    <row r="21" spans="1:10" ht="25.5" x14ac:dyDescent="0.2">
      <c r="A21" s="43">
        <v>15</v>
      </c>
      <c r="B21" s="44" t="s">
        <v>372</v>
      </c>
      <c r="C21" s="44" t="s">
        <v>373</v>
      </c>
      <c r="D21" s="44" t="s">
        <v>210</v>
      </c>
      <c r="E21" s="45">
        <v>13200</v>
      </c>
      <c r="F21" s="46">
        <v>189.30779999999999</v>
      </c>
      <c r="G21" s="47">
        <v>1.346817E-2</v>
      </c>
      <c r="H21" s="40" t="s">
        <v>151</v>
      </c>
      <c r="J21" s="7"/>
    </row>
    <row r="22" spans="1:10" ht="15" x14ac:dyDescent="0.2">
      <c r="A22" s="43">
        <v>16</v>
      </c>
      <c r="B22" s="44" t="s">
        <v>11</v>
      </c>
      <c r="C22" s="44" t="s">
        <v>12</v>
      </c>
      <c r="D22" s="44" t="s">
        <v>13</v>
      </c>
      <c r="E22" s="45">
        <v>4500</v>
      </c>
      <c r="F22" s="46">
        <v>171.67500000000001</v>
      </c>
      <c r="G22" s="47">
        <v>1.2213689999999999E-2</v>
      </c>
      <c r="H22" s="40" t="s">
        <v>151</v>
      </c>
      <c r="J22" s="12"/>
    </row>
    <row r="23" spans="1:10" x14ac:dyDescent="0.2">
      <c r="A23" s="43">
        <v>17</v>
      </c>
      <c r="B23" s="44" t="s">
        <v>355</v>
      </c>
      <c r="C23" s="44" t="s">
        <v>356</v>
      </c>
      <c r="D23" s="44" t="s">
        <v>45</v>
      </c>
      <c r="E23" s="45">
        <v>9200</v>
      </c>
      <c r="F23" s="46">
        <v>166.32679999999999</v>
      </c>
      <c r="G23" s="47">
        <v>1.18332E-2</v>
      </c>
      <c r="H23" s="40" t="s">
        <v>151</v>
      </c>
      <c r="J23" s="7"/>
    </row>
    <row r="24" spans="1:10" x14ac:dyDescent="0.2">
      <c r="A24" s="43">
        <v>18</v>
      </c>
      <c r="B24" s="44" t="s">
        <v>51</v>
      </c>
      <c r="C24" s="44" t="s">
        <v>52</v>
      </c>
      <c r="D24" s="44" t="s">
        <v>45</v>
      </c>
      <c r="E24" s="45">
        <v>13500</v>
      </c>
      <c r="F24" s="46">
        <v>117.774</v>
      </c>
      <c r="G24" s="47">
        <v>8.3789499999999996E-3</v>
      </c>
      <c r="H24" s="40" t="s">
        <v>151</v>
      </c>
      <c r="J24" s="7"/>
    </row>
    <row r="25" spans="1:10" x14ac:dyDescent="0.2">
      <c r="A25" s="43">
        <v>19</v>
      </c>
      <c r="B25" s="44" t="s">
        <v>670</v>
      </c>
      <c r="C25" s="44" t="s">
        <v>671</v>
      </c>
      <c r="D25" s="44" t="s">
        <v>19</v>
      </c>
      <c r="E25" s="45">
        <v>440000</v>
      </c>
      <c r="F25" s="46">
        <v>71.587999999999994</v>
      </c>
      <c r="G25" s="47">
        <v>5.0930799999999998E-3</v>
      </c>
      <c r="H25" s="40" t="s">
        <v>151</v>
      </c>
      <c r="J25" s="7"/>
    </row>
    <row r="26" spans="1:10" x14ac:dyDescent="0.2">
      <c r="A26" s="43">
        <v>20</v>
      </c>
      <c r="B26" s="44" t="s">
        <v>672</v>
      </c>
      <c r="C26" s="44" t="s">
        <v>673</v>
      </c>
      <c r="D26" s="44" t="s">
        <v>22</v>
      </c>
      <c r="E26" s="45">
        <v>29250</v>
      </c>
      <c r="F26" s="46">
        <v>53.138475</v>
      </c>
      <c r="G26" s="47">
        <v>3.7805E-3</v>
      </c>
      <c r="H26" s="40" t="s">
        <v>151</v>
      </c>
      <c r="J26" s="7"/>
    </row>
    <row r="27" spans="1:10" x14ac:dyDescent="0.2">
      <c r="A27" s="43">
        <v>21</v>
      </c>
      <c r="B27" s="44" t="s">
        <v>364</v>
      </c>
      <c r="C27" s="44" t="s">
        <v>365</v>
      </c>
      <c r="D27" s="44" t="s">
        <v>366</v>
      </c>
      <c r="E27" s="45">
        <v>9600</v>
      </c>
      <c r="F27" s="46">
        <v>47.553600000000003</v>
      </c>
      <c r="G27" s="47">
        <v>3.38317E-3</v>
      </c>
      <c r="H27" s="40" t="s">
        <v>151</v>
      </c>
      <c r="J27" s="7"/>
    </row>
    <row r="28" spans="1:10" x14ac:dyDescent="0.2">
      <c r="A28" s="43">
        <v>22</v>
      </c>
      <c r="B28" s="44" t="s">
        <v>349</v>
      </c>
      <c r="C28" s="44" t="s">
        <v>350</v>
      </c>
      <c r="D28" s="44" t="s">
        <v>219</v>
      </c>
      <c r="E28" s="45">
        <v>875</v>
      </c>
      <c r="F28" s="46">
        <v>38.371812499999997</v>
      </c>
      <c r="G28" s="47">
        <v>2.7299400000000001E-3</v>
      </c>
      <c r="H28" s="40" t="s">
        <v>151</v>
      </c>
      <c r="J28" s="7"/>
    </row>
    <row r="29" spans="1:10" x14ac:dyDescent="0.2">
      <c r="A29" s="43">
        <v>23</v>
      </c>
      <c r="B29" s="44" t="s">
        <v>378</v>
      </c>
      <c r="C29" s="44" t="s">
        <v>379</v>
      </c>
      <c r="D29" s="44" t="s">
        <v>366</v>
      </c>
      <c r="E29" s="45">
        <v>600</v>
      </c>
      <c r="F29" s="46">
        <v>16.233899999999998</v>
      </c>
      <c r="G29" s="47">
        <v>1.1549500000000001E-3</v>
      </c>
      <c r="H29" s="40" t="s">
        <v>151</v>
      </c>
      <c r="J29" s="7"/>
    </row>
    <row r="30" spans="1:10" x14ac:dyDescent="0.2">
      <c r="A30" s="41"/>
      <c r="B30" s="41"/>
      <c r="C30" s="42" t="s">
        <v>150</v>
      </c>
      <c r="D30" s="41"/>
      <c r="E30" s="41" t="s">
        <v>151</v>
      </c>
      <c r="F30" s="48">
        <v>9498.9432175000002</v>
      </c>
      <c r="G30" s="49">
        <v>0.67579549999999999</v>
      </c>
      <c r="H30" s="40" t="s">
        <v>151</v>
      </c>
      <c r="J30" s="7"/>
    </row>
    <row r="31" spans="1:10" x14ac:dyDescent="0.2">
      <c r="A31" s="41"/>
      <c r="B31" s="41"/>
      <c r="C31" s="50"/>
      <c r="D31" s="41"/>
      <c r="E31" s="41"/>
      <c r="F31" s="51"/>
      <c r="G31" s="51"/>
      <c r="H31" s="40" t="s">
        <v>151</v>
      </c>
      <c r="J31" s="7"/>
    </row>
    <row r="32" spans="1:10" x14ac:dyDescent="0.2">
      <c r="A32" s="41"/>
      <c r="B32" s="41"/>
      <c r="C32" s="42" t="s">
        <v>152</v>
      </c>
      <c r="D32" s="41"/>
      <c r="E32" s="41"/>
      <c r="F32" s="41"/>
      <c r="G32" s="41"/>
      <c r="H32" s="40" t="s">
        <v>151</v>
      </c>
      <c r="J32" s="7"/>
    </row>
    <row r="33" spans="1:10" x14ac:dyDescent="0.2">
      <c r="A33" s="41"/>
      <c r="B33" s="41"/>
      <c r="C33" s="42" t="s">
        <v>150</v>
      </c>
      <c r="D33" s="41"/>
      <c r="E33" s="41" t="s">
        <v>151</v>
      </c>
      <c r="F33" s="52" t="s">
        <v>153</v>
      </c>
      <c r="G33" s="49">
        <v>0</v>
      </c>
      <c r="H33" s="40" t="s">
        <v>151</v>
      </c>
      <c r="J33" s="7"/>
    </row>
    <row r="34" spans="1:10" x14ac:dyDescent="0.2">
      <c r="A34" s="41"/>
      <c r="B34" s="41"/>
      <c r="C34" s="50"/>
      <c r="D34" s="41"/>
      <c r="E34" s="41"/>
      <c r="F34" s="51"/>
      <c r="G34" s="51"/>
      <c r="H34" s="40" t="s">
        <v>151</v>
      </c>
      <c r="J34" s="7"/>
    </row>
    <row r="35" spans="1:10" x14ac:dyDescent="0.2">
      <c r="A35" s="41"/>
      <c r="B35" s="41"/>
      <c r="C35" s="42" t="s">
        <v>154</v>
      </c>
      <c r="D35" s="41"/>
      <c r="E35" s="41"/>
      <c r="F35" s="41"/>
      <c r="G35" s="41"/>
      <c r="H35" s="40" t="s">
        <v>151</v>
      </c>
      <c r="J35" s="7"/>
    </row>
    <row r="36" spans="1:10" x14ac:dyDescent="0.2">
      <c r="A36" s="41"/>
      <c r="B36" s="41"/>
      <c r="C36" s="42" t="s">
        <v>150</v>
      </c>
      <c r="D36" s="41"/>
      <c r="E36" s="41" t="s">
        <v>151</v>
      </c>
      <c r="F36" s="52" t="s">
        <v>153</v>
      </c>
      <c r="G36" s="49">
        <v>0</v>
      </c>
      <c r="H36" s="40" t="s">
        <v>151</v>
      </c>
      <c r="J36" s="7"/>
    </row>
    <row r="37" spans="1:10" x14ac:dyDescent="0.2">
      <c r="A37" s="41"/>
      <c r="B37" s="41"/>
      <c r="C37" s="50"/>
      <c r="D37" s="41"/>
      <c r="E37" s="41"/>
      <c r="F37" s="51"/>
      <c r="G37" s="51"/>
      <c r="H37" s="40" t="s">
        <v>151</v>
      </c>
      <c r="J37" s="7"/>
    </row>
    <row r="38" spans="1:10" x14ac:dyDescent="0.2">
      <c r="A38" s="41"/>
      <c r="B38" s="41"/>
      <c r="C38" s="42" t="s">
        <v>155</v>
      </c>
      <c r="D38" s="41"/>
      <c r="E38" s="41"/>
      <c r="F38" s="41"/>
      <c r="G38" s="41"/>
      <c r="H38" s="40" t="s">
        <v>151</v>
      </c>
      <c r="J38" s="7"/>
    </row>
    <row r="39" spans="1:10" x14ac:dyDescent="0.2">
      <c r="A39" s="41"/>
      <c r="B39" s="41"/>
      <c r="C39" s="42" t="s">
        <v>150</v>
      </c>
      <c r="D39" s="41"/>
      <c r="E39" s="41" t="s">
        <v>151</v>
      </c>
      <c r="F39" s="52" t="s">
        <v>153</v>
      </c>
      <c r="G39" s="49">
        <v>0</v>
      </c>
      <c r="H39" s="40" t="s">
        <v>151</v>
      </c>
      <c r="J39" s="7"/>
    </row>
    <row r="40" spans="1:10" x14ac:dyDescent="0.2">
      <c r="A40" s="41"/>
      <c r="B40" s="41"/>
      <c r="C40" s="50"/>
      <c r="D40" s="41"/>
      <c r="E40" s="41"/>
      <c r="F40" s="51"/>
      <c r="G40" s="51"/>
      <c r="H40" s="40" t="s">
        <v>151</v>
      </c>
      <c r="J40" s="7"/>
    </row>
    <row r="41" spans="1:10" x14ac:dyDescent="0.2">
      <c r="A41" s="41"/>
      <c r="B41" s="41"/>
      <c r="C41" s="42" t="s">
        <v>156</v>
      </c>
      <c r="D41" s="41"/>
      <c r="E41" s="41"/>
      <c r="F41" s="51"/>
      <c r="G41" s="51"/>
      <c r="H41" s="40" t="s">
        <v>151</v>
      </c>
      <c r="J41" s="7"/>
    </row>
    <row r="42" spans="1:10" x14ac:dyDescent="0.2">
      <c r="A42" s="41"/>
      <c r="B42" s="41"/>
      <c r="C42" s="42" t="s">
        <v>150</v>
      </c>
      <c r="D42" s="41"/>
      <c r="E42" s="41" t="s">
        <v>151</v>
      </c>
      <c r="F42" s="52" t="s">
        <v>153</v>
      </c>
      <c r="G42" s="49">
        <v>0</v>
      </c>
      <c r="H42" s="40" t="s">
        <v>151</v>
      </c>
      <c r="J42" s="7"/>
    </row>
    <row r="43" spans="1:10" x14ac:dyDescent="0.2">
      <c r="A43" s="41"/>
      <c r="B43" s="41"/>
      <c r="C43" s="50"/>
      <c r="D43" s="41"/>
      <c r="E43" s="41"/>
      <c r="F43" s="51"/>
      <c r="G43" s="51"/>
      <c r="H43" s="40" t="s">
        <v>151</v>
      </c>
      <c r="J43" s="7"/>
    </row>
    <row r="44" spans="1:10" x14ac:dyDescent="0.2">
      <c r="A44" s="41"/>
      <c r="B44" s="41"/>
      <c r="C44" s="42" t="s">
        <v>157</v>
      </c>
      <c r="D44" s="41"/>
      <c r="E44" s="41"/>
      <c r="F44" s="51"/>
      <c r="G44" s="51"/>
      <c r="H44" s="40" t="s">
        <v>151</v>
      </c>
      <c r="J44" s="7"/>
    </row>
    <row r="45" spans="1:10" x14ac:dyDescent="0.2">
      <c r="A45" s="43">
        <v>1</v>
      </c>
      <c r="B45" s="44"/>
      <c r="C45" s="44" t="s">
        <v>948</v>
      </c>
      <c r="D45" s="44" t="s">
        <v>674</v>
      </c>
      <c r="E45" s="45">
        <v>-600</v>
      </c>
      <c r="F45" s="46">
        <v>-16.3017</v>
      </c>
      <c r="G45" s="47">
        <f>F45/$F$123</f>
        <v>-1.159772707435487E-3</v>
      </c>
      <c r="H45" s="40" t="s">
        <v>151</v>
      </c>
      <c r="J45" s="7"/>
    </row>
    <row r="46" spans="1:10" x14ac:dyDescent="0.2">
      <c r="A46" s="43">
        <v>2</v>
      </c>
      <c r="B46" s="44"/>
      <c r="C46" s="44" t="s">
        <v>949</v>
      </c>
      <c r="D46" s="44" t="s">
        <v>674</v>
      </c>
      <c r="E46" s="45">
        <v>-875</v>
      </c>
      <c r="F46" s="46">
        <v>-38.546812500000001</v>
      </c>
      <c r="G46" s="47">
        <f t="shared" ref="G46:G67" si="0">F46/$F$123</f>
        <v>-2.7423852172554445E-3</v>
      </c>
      <c r="H46" s="40" t="s">
        <v>151</v>
      </c>
      <c r="J46" s="7"/>
    </row>
    <row r="47" spans="1:10" x14ac:dyDescent="0.2">
      <c r="A47" s="43">
        <v>3</v>
      </c>
      <c r="B47" s="44"/>
      <c r="C47" s="44" t="s">
        <v>950</v>
      </c>
      <c r="D47" s="44" t="s">
        <v>674</v>
      </c>
      <c r="E47" s="45">
        <v>-9600</v>
      </c>
      <c r="F47" s="46">
        <v>-47.8752</v>
      </c>
      <c r="G47" s="47">
        <f t="shared" si="0"/>
        <v>-3.40604662845074E-3</v>
      </c>
      <c r="H47" s="40" t="s">
        <v>151</v>
      </c>
      <c r="J47" s="7"/>
    </row>
    <row r="48" spans="1:10" x14ac:dyDescent="0.2">
      <c r="A48" s="43">
        <v>4</v>
      </c>
      <c r="B48" s="44"/>
      <c r="C48" s="44" t="s">
        <v>951</v>
      </c>
      <c r="D48" s="44" t="s">
        <v>674</v>
      </c>
      <c r="E48" s="45">
        <v>-29250</v>
      </c>
      <c r="F48" s="46">
        <v>-53.410499999999999</v>
      </c>
      <c r="G48" s="47">
        <f t="shared" si="0"/>
        <v>-3.7998515609097873E-3</v>
      </c>
      <c r="H48" s="40" t="s">
        <v>151</v>
      </c>
      <c r="J48" s="7"/>
    </row>
    <row r="49" spans="1:10" x14ac:dyDescent="0.2">
      <c r="A49" s="43">
        <v>5</v>
      </c>
      <c r="B49" s="44"/>
      <c r="C49" s="44" t="s">
        <v>952</v>
      </c>
      <c r="D49" s="44" t="s">
        <v>674</v>
      </c>
      <c r="E49" s="45">
        <v>-440000</v>
      </c>
      <c r="F49" s="46">
        <v>-72.292000000000002</v>
      </c>
      <c r="G49" s="47">
        <f t="shared" si="0"/>
        <v>-5.1431622815980068E-3</v>
      </c>
      <c r="H49" s="40" t="s">
        <v>151</v>
      </c>
      <c r="J49" s="7"/>
    </row>
    <row r="50" spans="1:10" x14ac:dyDescent="0.2">
      <c r="A50" s="43">
        <v>6</v>
      </c>
      <c r="B50" s="44"/>
      <c r="C50" s="44" t="s">
        <v>953</v>
      </c>
      <c r="D50" s="44" t="s">
        <v>674</v>
      </c>
      <c r="E50" s="45">
        <v>-13500</v>
      </c>
      <c r="F50" s="46">
        <v>-118.63800000000001</v>
      </c>
      <c r="G50" s="47">
        <f t="shared" si="0"/>
        <v>-8.440415077245399E-3</v>
      </c>
      <c r="H50" s="40" t="s">
        <v>151</v>
      </c>
      <c r="J50" s="7"/>
    </row>
    <row r="51" spans="1:10" x14ac:dyDescent="0.2">
      <c r="A51" s="43">
        <v>7</v>
      </c>
      <c r="B51" s="44"/>
      <c r="C51" s="44" t="s">
        <v>954</v>
      </c>
      <c r="D51" s="44" t="s">
        <v>674</v>
      </c>
      <c r="E51" s="45">
        <v>-9200</v>
      </c>
      <c r="F51" s="46">
        <v>-167.10419999999999</v>
      </c>
      <c r="G51" s="47">
        <f t="shared" si="0"/>
        <v>-1.1888507975109413E-2</v>
      </c>
      <c r="H51" s="40" t="s">
        <v>151</v>
      </c>
      <c r="J51" s="7"/>
    </row>
    <row r="52" spans="1:10" x14ac:dyDescent="0.2">
      <c r="A52" s="43">
        <v>8</v>
      </c>
      <c r="B52" s="44"/>
      <c r="C52" s="44" t="s">
        <v>955</v>
      </c>
      <c r="D52" s="44" t="s">
        <v>674</v>
      </c>
      <c r="E52" s="45">
        <v>-4500</v>
      </c>
      <c r="F52" s="46">
        <v>-172.44</v>
      </c>
      <c r="G52" s="47">
        <f t="shared" si="0"/>
        <v>-1.2268119623730984E-2</v>
      </c>
      <c r="H52" s="40" t="s">
        <v>151</v>
      </c>
      <c r="J52" s="7"/>
    </row>
    <row r="53" spans="1:10" x14ac:dyDescent="0.2">
      <c r="A53" s="43">
        <v>9</v>
      </c>
      <c r="B53" s="44"/>
      <c r="C53" s="44" t="s">
        <v>956</v>
      </c>
      <c r="D53" s="44" t="s">
        <v>674</v>
      </c>
      <c r="E53" s="45">
        <v>-13200</v>
      </c>
      <c r="F53" s="46">
        <v>-189.88200000000001</v>
      </c>
      <c r="G53" s="47">
        <f t="shared" si="0"/>
        <v>-1.3509018153521728E-2</v>
      </c>
      <c r="H53" s="40" t="s">
        <v>151</v>
      </c>
      <c r="J53" s="7"/>
    </row>
    <row r="54" spans="1:10" x14ac:dyDescent="0.2">
      <c r="A54" s="43">
        <v>10</v>
      </c>
      <c r="B54" s="44"/>
      <c r="C54" s="44" t="s">
        <v>957</v>
      </c>
      <c r="D54" s="44" t="s">
        <v>674</v>
      </c>
      <c r="E54" s="45">
        <v>-41850</v>
      </c>
      <c r="F54" s="46">
        <v>-191.08709999999999</v>
      </c>
      <c r="G54" s="47">
        <f t="shared" si="0"/>
        <v>-1.3594754125213668E-2</v>
      </c>
      <c r="H54" s="40" t="s">
        <v>151</v>
      </c>
      <c r="J54" s="7"/>
    </row>
    <row r="55" spans="1:10" x14ac:dyDescent="0.2">
      <c r="A55" s="43">
        <v>11</v>
      </c>
      <c r="B55" s="44"/>
      <c r="C55" s="44" t="s">
        <v>958</v>
      </c>
      <c r="D55" s="44" t="s">
        <v>674</v>
      </c>
      <c r="E55" s="45">
        <v>-102600</v>
      </c>
      <c r="F55" s="46">
        <v>-234.01007999999999</v>
      </c>
      <c r="G55" s="47">
        <f t="shared" si="0"/>
        <v>-1.6648478627921928E-2</v>
      </c>
      <c r="H55" s="40" t="s">
        <v>151</v>
      </c>
      <c r="J55" s="7"/>
    </row>
    <row r="56" spans="1:10" x14ac:dyDescent="0.2">
      <c r="A56" s="43">
        <v>12</v>
      </c>
      <c r="B56" s="44"/>
      <c r="C56" s="44" t="s">
        <v>959</v>
      </c>
      <c r="D56" s="44" t="s">
        <v>674</v>
      </c>
      <c r="E56" s="45">
        <v>-14700</v>
      </c>
      <c r="F56" s="46">
        <v>-242.41034999999999</v>
      </c>
      <c r="G56" s="47">
        <f t="shared" si="0"/>
        <v>-1.7246109787929113E-2</v>
      </c>
      <c r="H56" s="40" t="s">
        <v>151</v>
      </c>
      <c r="J56" s="7"/>
    </row>
    <row r="57" spans="1:10" ht="25.5" x14ac:dyDescent="0.2">
      <c r="A57" s="43">
        <v>13</v>
      </c>
      <c r="B57" s="44"/>
      <c r="C57" s="44" t="s">
        <v>960</v>
      </c>
      <c r="D57" s="44" t="s">
        <v>674</v>
      </c>
      <c r="E57" s="45">
        <v>-19600</v>
      </c>
      <c r="F57" s="46">
        <v>-338.24700000000001</v>
      </c>
      <c r="G57" s="47">
        <f t="shared" si="0"/>
        <v>-2.4064339238970858E-2</v>
      </c>
      <c r="H57" s="40" t="s">
        <v>151</v>
      </c>
      <c r="J57" s="7"/>
    </row>
    <row r="58" spans="1:10" x14ac:dyDescent="0.2">
      <c r="A58" s="43">
        <v>14</v>
      </c>
      <c r="B58" s="44"/>
      <c r="C58" s="44" t="s">
        <v>961</v>
      </c>
      <c r="D58" s="44" t="s">
        <v>674</v>
      </c>
      <c r="E58" s="45">
        <v>-15300</v>
      </c>
      <c r="F58" s="46">
        <v>-398.13659999999999</v>
      </c>
      <c r="G58" s="47">
        <f t="shared" si="0"/>
        <v>-2.832514170369713E-2</v>
      </c>
      <c r="H58" s="40" t="s">
        <v>151</v>
      </c>
      <c r="J58" s="7"/>
    </row>
    <row r="59" spans="1:10" x14ac:dyDescent="0.2">
      <c r="A59" s="43">
        <v>15</v>
      </c>
      <c r="B59" s="44"/>
      <c r="C59" s="44" t="s">
        <v>962</v>
      </c>
      <c r="D59" s="44" t="s">
        <v>674</v>
      </c>
      <c r="E59" s="45">
        <v>-157950</v>
      </c>
      <c r="F59" s="46">
        <v>-403.48327499999999</v>
      </c>
      <c r="G59" s="47">
        <f t="shared" si="0"/>
        <v>-2.8705527046362474E-2</v>
      </c>
      <c r="H59" s="40" t="s">
        <v>151</v>
      </c>
      <c r="J59" s="7"/>
    </row>
    <row r="60" spans="1:10" ht="16.5" customHeight="1" x14ac:dyDescent="0.2">
      <c r="A60" s="43">
        <v>16</v>
      </c>
      <c r="B60" s="44"/>
      <c r="C60" s="44" t="s">
        <v>963</v>
      </c>
      <c r="D60" s="44" t="s">
        <v>674</v>
      </c>
      <c r="E60" s="45">
        <v>-89700</v>
      </c>
      <c r="F60" s="46">
        <v>-403.69484999999997</v>
      </c>
      <c r="G60" s="47">
        <f t="shared" si="0"/>
        <v>-2.8720579397379587E-2</v>
      </c>
      <c r="H60" s="40" t="s">
        <v>151</v>
      </c>
      <c r="J60" s="7"/>
    </row>
    <row r="61" spans="1:10" x14ac:dyDescent="0.2">
      <c r="A61" s="43">
        <v>17</v>
      </c>
      <c r="B61" s="44"/>
      <c r="C61" s="44" t="s">
        <v>964</v>
      </c>
      <c r="D61" s="44" t="s">
        <v>674</v>
      </c>
      <c r="E61" s="45">
        <v>-252000</v>
      </c>
      <c r="F61" s="46">
        <v>-541.29600000000005</v>
      </c>
      <c r="G61" s="47">
        <f t="shared" si="0"/>
        <v>-3.8510114125765993E-2</v>
      </c>
      <c r="H61" s="40" t="s">
        <v>151</v>
      </c>
      <c r="J61" s="7"/>
    </row>
    <row r="62" spans="1:10" x14ac:dyDescent="0.2">
      <c r="A62" s="43">
        <v>18</v>
      </c>
      <c r="B62" s="44"/>
      <c r="C62" s="44" t="s">
        <v>965</v>
      </c>
      <c r="D62" s="44" t="s">
        <v>674</v>
      </c>
      <c r="E62" s="45">
        <v>-85800</v>
      </c>
      <c r="F62" s="46">
        <v>-767.48099999999999</v>
      </c>
      <c r="G62" s="47">
        <f t="shared" si="0"/>
        <v>-5.4601883072028991E-2</v>
      </c>
      <c r="H62" s="40" t="s">
        <v>151</v>
      </c>
      <c r="J62" s="7"/>
    </row>
    <row r="63" spans="1:10" x14ac:dyDescent="0.2">
      <c r="A63" s="43">
        <v>19</v>
      </c>
      <c r="B63" s="44"/>
      <c r="C63" s="44" t="s">
        <v>966</v>
      </c>
      <c r="D63" s="44" t="s">
        <v>674</v>
      </c>
      <c r="E63" s="45">
        <v>-27500</v>
      </c>
      <c r="F63" s="46">
        <v>-830.87125000000003</v>
      </c>
      <c r="G63" s="47">
        <f t="shared" si="0"/>
        <v>-5.9111736760142038E-2</v>
      </c>
      <c r="H63" s="40" t="s">
        <v>151</v>
      </c>
      <c r="J63" s="7"/>
    </row>
    <row r="64" spans="1:10" x14ac:dyDescent="0.2">
      <c r="A64" s="43">
        <v>20</v>
      </c>
      <c r="B64" s="44"/>
      <c r="C64" s="44" t="s">
        <v>967</v>
      </c>
      <c r="D64" s="44" t="s">
        <v>674</v>
      </c>
      <c r="E64" s="45">
        <v>-58900</v>
      </c>
      <c r="F64" s="46">
        <v>-879.14139999999998</v>
      </c>
      <c r="G64" s="47">
        <f t="shared" si="0"/>
        <v>-6.2545881821934185E-2</v>
      </c>
      <c r="H64" s="40" t="s">
        <v>151</v>
      </c>
      <c r="J64" s="7"/>
    </row>
    <row r="65" spans="1:10" x14ac:dyDescent="0.2">
      <c r="A65" s="43">
        <v>21</v>
      </c>
      <c r="B65" s="44"/>
      <c r="C65" s="44" t="s">
        <v>968</v>
      </c>
      <c r="D65" s="44" t="s">
        <v>674</v>
      </c>
      <c r="E65" s="45">
        <v>-144000</v>
      </c>
      <c r="F65" s="46">
        <v>-985.03200000000004</v>
      </c>
      <c r="G65" s="47">
        <f t="shared" si="0"/>
        <v>-7.0079392305746807E-2</v>
      </c>
      <c r="H65" s="40" t="s">
        <v>151</v>
      </c>
      <c r="J65" s="7"/>
    </row>
    <row r="66" spans="1:10" x14ac:dyDescent="0.2">
      <c r="A66" s="43">
        <v>22</v>
      </c>
      <c r="B66" s="44"/>
      <c r="C66" s="44" t="s">
        <v>969</v>
      </c>
      <c r="D66" s="44" t="s">
        <v>674</v>
      </c>
      <c r="E66" s="45">
        <v>-74250</v>
      </c>
      <c r="F66" s="46">
        <v>-1208.4929999999999</v>
      </c>
      <c r="G66" s="47">
        <f t="shared" si="0"/>
        <v>-8.597736423359735E-2</v>
      </c>
      <c r="H66" s="40" t="s">
        <v>151</v>
      </c>
      <c r="J66" s="7"/>
    </row>
    <row r="67" spans="1:10" x14ac:dyDescent="0.2">
      <c r="A67" s="43">
        <v>23</v>
      </c>
      <c r="B67" s="44"/>
      <c r="C67" s="44" t="s">
        <v>970</v>
      </c>
      <c r="D67" s="44" t="s">
        <v>674</v>
      </c>
      <c r="E67" s="45">
        <v>-285600</v>
      </c>
      <c r="F67" s="46">
        <v>-1245.2159999999999</v>
      </c>
      <c r="G67" s="47">
        <f t="shared" si="0"/>
        <v>-8.8589995623891207E-2</v>
      </c>
      <c r="H67" s="40" t="s">
        <v>151</v>
      </c>
      <c r="J67" s="7"/>
    </row>
    <row r="68" spans="1:10" x14ac:dyDescent="0.2">
      <c r="A68" s="41"/>
      <c r="B68" s="41"/>
      <c r="C68" s="42" t="s">
        <v>150</v>
      </c>
      <c r="D68" s="41"/>
      <c r="E68" s="41" t="s">
        <v>151</v>
      </c>
      <c r="F68" s="48">
        <v>-9545.0903175000003</v>
      </c>
      <c r="G68" s="49">
        <v>-0.67907857999999999</v>
      </c>
      <c r="H68" s="40" t="s">
        <v>151</v>
      </c>
      <c r="J68" s="7"/>
    </row>
    <row r="69" spans="1:10" x14ac:dyDescent="0.2">
      <c r="A69" s="41"/>
      <c r="B69" s="41"/>
      <c r="C69" s="50"/>
      <c r="D69" s="41"/>
      <c r="E69" s="41"/>
      <c r="F69" s="51"/>
      <c r="G69" s="51"/>
      <c r="H69" s="40" t="s">
        <v>151</v>
      </c>
      <c r="J69" s="7"/>
    </row>
    <row r="70" spans="1:10" x14ac:dyDescent="0.2">
      <c r="A70" s="41"/>
      <c r="B70" s="41"/>
      <c r="C70" s="42" t="s">
        <v>158</v>
      </c>
      <c r="D70" s="41"/>
      <c r="E70" s="41"/>
      <c r="F70" s="48">
        <f>F30</f>
        <v>9498.9432175000002</v>
      </c>
      <c r="G70" s="49">
        <f>G30</f>
        <v>0.67579549999999999</v>
      </c>
      <c r="H70" s="40" t="s">
        <v>151</v>
      </c>
      <c r="J70" s="7"/>
    </row>
    <row r="71" spans="1:10" x14ac:dyDescent="0.2">
      <c r="A71" s="41"/>
      <c r="B71" s="41"/>
      <c r="C71" s="50"/>
      <c r="D71" s="41"/>
      <c r="E71" s="41"/>
      <c r="F71" s="51"/>
      <c r="G71" s="51"/>
      <c r="H71" s="40" t="s">
        <v>151</v>
      </c>
      <c r="J71" s="7"/>
    </row>
    <row r="72" spans="1:10" x14ac:dyDescent="0.2">
      <c r="A72" s="41"/>
      <c r="B72" s="41"/>
      <c r="C72" s="42" t="s">
        <v>159</v>
      </c>
      <c r="D72" s="41"/>
      <c r="E72" s="41"/>
      <c r="F72" s="51"/>
      <c r="G72" s="51"/>
      <c r="H72" s="40" t="s">
        <v>151</v>
      </c>
      <c r="J72" s="7"/>
    </row>
    <row r="73" spans="1:10" x14ac:dyDescent="0.2">
      <c r="A73" s="41"/>
      <c r="B73" s="41"/>
      <c r="C73" s="42" t="s">
        <v>10</v>
      </c>
      <c r="D73" s="41"/>
      <c r="E73" s="41"/>
      <c r="F73" s="51"/>
      <c r="G73" s="51"/>
      <c r="H73" s="40" t="s">
        <v>151</v>
      </c>
      <c r="J73" s="7"/>
    </row>
    <row r="74" spans="1:10" x14ac:dyDescent="0.2">
      <c r="A74" s="41"/>
      <c r="B74" s="41"/>
      <c r="C74" s="42" t="s">
        <v>150</v>
      </c>
      <c r="D74" s="41"/>
      <c r="E74" s="41" t="s">
        <v>151</v>
      </c>
      <c r="F74" s="52" t="s">
        <v>153</v>
      </c>
      <c r="G74" s="49">
        <v>0</v>
      </c>
      <c r="H74" s="40" t="s">
        <v>151</v>
      </c>
      <c r="J74" s="7"/>
    </row>
    <row r="75" spans="1:10" x14ac:dyDescent="0.2">
      <c r="A75" s="41"/>
      <c r="B75" s="41"/>
      <c r="C75" s="50"/>
      <c r="D75" s="41"/>
      <c r="E75" s="41"/>
      <c r="F75" s="51"/>
      <c r="G75" s="51"/>
      <c r="H75" s="40" t="s">
        <v>151</v>
      </c>
      <c r="J75" s="7"/>
    </row>
    <row r="76" spans="1:10" x14ac:dyDescent="0.2">
      <c r="A76" s="41"/>
      <c r="B76" s="41"/>
      <c r="C76" s="42" t="s">
        <v>160</v>
      </c>
      <c r="D76" s="41"/>
      <c r="E76" s="41"/>
      <c r="F76" s="41"/>
      <c r="G76" s="41"/>
      <c r="H76" s="40" t="s">
        <v>151</v>
      </c>
      <c r="J76" s="7"/>
    </row>
    <row r="77" spans="1:10" x14ac:dyDescent="0.2">
      <c r="A77" s="41"/>
      <c r="B77" s="41"/>
      <c r="C77" s="42" t="s">
        <v>150</v>
      </c>
      <c r="D77" s="41"/>
      <c r="E77" s="41" t="s">
        <v>151</v>
      </c>
      <c r="F77" s="52" t="s">
        <v>153</v>
      </c>
      <c r="G77" s="49">
        <v>0</v>
      </c>
      <c r="H77" s="40" t="s">
        <v>151</v>
      </c>
      <c r="J77" s="7"/>
    </row>
    <row r="78" spans="1:10" x14ac:dyDescent="0.2">
      <c r="A78" s="41"/>
      <c r="B78" s="41"/>
      <c r="C78" s="50"/>
      <c r="D78" s="41"/>
      <c r="E78" s="41"/>
      <c r="F78" s="51"/>
      <c r="G78" s="51"/>
      <c r="H78" s="40" t="s">
        <v>151</v>
      </c>
      <c r="J78" s="7"/>
    </row>
    <row r="79" spans="1:10" x14ac:dyDescent="0.2">
      <c r="A79" s="41"/>
      <c r="B79" s="41"/>
      <c r="C79" s="42" t="s">
        <v>161</v>
      </c>
      <c r="D79" s="41"/>
      <c r="E79" s="41"/>
      <c r="F79" s="41"/>
      <c r="G79" s="41"/>
      <c r="H79" s="40" t="s">
        <v>151</v>
      </c>
      <c r="J79" s="7"/>
    </row>
    <row r="80" spans="1:10" ht="25.5" x14ac:dyDescent="0.2">
      <c r="A80" s="43">
        <v>1</v>
      </c>
      <c r="B80" s="44" t="s">
        <v>641</v>
      </c>
      <c r="C80" s="44" t="s">
        <v>1082</v>
      </c>
      <c r="D80" s="44" t="s">
        <v>549</v>
      </c>
      <c r="E80" s="45">
        <v>500000</v>
      </c>
      <c r="F80" s="46">
        <v>507.06950000000001</v>
      </c>
      <c r="G80" s="47">
        <v>3.6075089999999997E-2</v>
      </c>
      <c r="H80" s="40">
        <v>6.9443000000000001</v>
      </c>
      <c r="J80" s="7"/>
    </row>
    <row r="81" spans="1:10" x14ac:dyDescent="0.2">
      <c r="A81" s="43">
        <v>2</v>
      </c>
      <c r="B81" s="44" t="s">
        <v>680</v>
      </c>
      <c r="C81" s="44" t="s">
        <v>1083</v>
      </c>
      <c r="D81" s="44" t="s">
        <v>549</v>
      </c>
      <c r="E81" s="45">
        <v>500000</v>
      </c>
      <c r="F81" s="46">
        <v>505.25</v>
      </c>
      <c r="G81" s="47">
        <v>3.5945650000000003E-2</v>
      </c>
      <c r="H81" s="40">
        <v>6.9267000000000003</v>
      </c>
      <c r="J81" s="7"/>
    </row>
    <row r="82" spans="1:10" x14ac:dyDescent="0.2">
      <c r="A82" s="41"/>
      <c r="B82" s="41"/>
      <c r="C82" s="42" t="s">
        <v>150</v>
      </c>
      <c r="D82" s="41"/>
      <c r="E82" s="41" t="s">
        <v>151</v>
      </c>
      <c r="F82" s="48">
        <v>1012.3194999999999</v>
      </c>
      <c r="G82" s="49">
        <v>7.202074E-2</v>
      </c>
      <c r="H82" s="40" t="s">
        <v>151</v>
      </c>
      <c r="J82" s="7"/>
    </row>
    <row r="83" spans="1:10" x14ac:dyDescent="0.2">
      <c r="A83" s="41"/>
      <c r="B83" s="41"/>
      <c r="C83" s="50"/>
      <c r="D83" s="41"/>
      <c r="E83" s="41"/>
      <c r="F83" s="51"/>
      <c r="G83" s="51"/>
      <c r="H83" s="40" t="s">
        <v>151</v>
      </c>
      <c r="J83" s="7"/>
    </row>
    <row r="84" spans="1:10" x14ac:dyDescent="0.2">
      <c r="A84" s="41"/>
      <c r="B84" s="41"/>
      <c r="C84" s="42" t="s">
        <v>162</v>
      </c>
      <c r="D84" s="41"/>
      <c r="E84" s="41"/>
      <c r="F84" s="51"/>
      <c r="G84" s="51"/>
      <c r="H84" s="40" t="s">
        <v>151</v>
      </c>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163</v>
      </c>
      <c r="D87" s="41"/>
      <c r="E87" s="41"/>
      <c r="F87" s="48">
        <v>1012.3194999999999</v>
      </c>
      <c r="G87" s="49">
        <v>7.202074E-2</v>
      </c>
      <c r="H87" s="40" t="s">
        <v>151</v>
      </c>
      <c r="J87" s="7"/>
    </row>
    <row r="88" spans="1:10" x14ac:dyDescent="0.2">
      <c r="A88" s="41"/>
      <c r="B88" s="41"/>
      <c r="C88" s="50"/>
      <c r="D88" s="41"/>
      <c r="E88" s="41"/>
      <c r="F88" s="51"/>
      <c r="G88" s="51"/>
      <c r="H88" s="40" t="s">
        <v>151</v>
      </c>
      <c r="J88" s="7"/>
    </row>
    <row r="89" spans="1:10" x14ac:dyDescent="0.2">
      <c r="A89" s="41"/>
      <c r="B89" s="41"/>
      <c r="C89" s="42" t="s">
        <v>164</v>
      </c>
      <c r="D89" s="41"/>
      <c r="E89" s="41"/>
      <c r="F89" s="51"/>
      <c r="G89" s="51"/>
      <c r="H89" s="40" t="s">
        <v>151</v>
      </c>
      <c r="J89" s="7"/>
    </row>
    <row r="90" spans="1:10" x14ac:dyDescent="0.2">
      <c r="A90" s="41"/>
      <c r="B90" s="41"/>
      <c r="C90" s="42" t="s">
        <v>165</v>
      </c>
      <c r="D90" s="41"/>
      <c r="E90" s="41"/>
      <c r="F90" s="51"/>
      <c r="G90" s="51"/>
      <c r="H90" s="40" t="s">
        <v>151</v>
      </c>
      <c r="J90" s="7"/>
    </row>
    <row r="91" spans="1:10" x14ac:dyDescent="0.2">
      <c r="A91" s="41"/>
      <c r="B91" s="41"/>
      <c r="C91" s="42" t="s">
        <v>150</v>
      </c>
      <c r="D91" s="41"/>
      <c r="E91" s="41" t="s">
        <v>151</v>
      </c>
      <c r="F91" s="52" t="s">
        <v>153</v>
      </c>
      <c r="G91" s="49">
        <v>0</v>
      </c>
      <c r="H91" s="40" t="s">
        <v>151</v>
      </c>
      <c r="J91" s="7"/>
    </row>
    <row r="92" spans="1:10" x14ac:dyDescent="0.2">
      <c r="A92" s="41"/>
      <c r="B92" s="41"/>
      <c r="C92" s="50"/>
      <c r="D92" s="41"/>
      <c r="E92" s="41"/>
      <c r="F92" s="51"/>
      <c r="G92" s="51"/>
      <c r="H92" s="40" t="s">
        <v>151</v>
      </c>
      <c r="J92" s="7"/>
    </row>
    <row r="93" spans="1:10" x14ac:dyDescent="0.2">
      <c r="A93" s="41"/>
      <c r="B93" s="41"/>
      <c r="C93" s="42" t="s">
        <v>166</v>
      </c>
      <c r="D93" s="41"/>
      <c r="E93" s="41"/>
      <c r="F93" s="51"/>
      <c r="G93" s="51"/>
      <c r="H93" s="40" t="s">
        <v>151</v>
      </c>
      <c r="J93" s="7"/>
    </row>
    <row r="94" spans="1:10" x14ac:dyDescent="0.2">
      <c r="A94" s="41"/>
      <c r="B94" s="41"/>
      <c r="C94" s="42" t="s">
        <v>150</v>
      </c>
      <c r="D94" s="41"/>
      <c r="E94" s="41" t="s">
        <v>151</v>
      </c>
      <c r="F94" s="52" t="s">
        <v>153</v>
      </c>
      <c r="G94" s="49">
        <v>0</v>
      </c>
      <c r="H94" s="40" t="s">
        <v>151</v>
      </c>
      <c r="J94" s="7"/>
    </row>
    <row r="95" spans="1:10" x14ac:dyDescent="0.2">
      <c r="A95" s="41"/>
      <c r="B95" s="41"/>
      <c r="C95" s="50"/>
      <c r="D95" s="41"/>
      <c r="E95" s="41"/>
      <c r="F95" s="51"/>
      <c r="G95" s="51"/>
      <c r="H95" s="40" t="s">
        <v>151</v>
      </c>
      <c r="J95" s="7"/>
    </row>
    <row r="96" spans="1:10" x14ac:dyDescent="0.2">
      <c r="A96" s="41"/>
      <c r="B96" s="41"/>
      <c r="C96" s="42" t="s">
        <v>167</v>
      </c>
      <c r="D96" s="41"/>
      <c r="E96" s="41"/>
      <c r="F96" s="51"/>
      <c r="G96" s="51"/>
      <c r="H96" s="40" t="s">
        <v>151</v>
      </c>
      <c r="J96" s="7"/>
    </row>
    <row r="97" spans="1:10" x14ac:dyDescent="0.2">
      <c r="A97" s="43">
        <v>1</v>
      </c>
      <c r="B97" s="44" t="s">
        <v>681</v>
      </c>
      <c r="C97" s="44" t="s">
        <v>1084</v>
      </c>
      <c r="D97" s="44" t="s">
        <v>549</v>
      </c>
      <c r="E97" s="45">
        <v>500000</v>
      </c>
      <c r="F97" s="46">
        <v>495.642</v>
      </c>
      <c r="G97" s="47">
        <v>3.5262090000000003E-2</v>
      </c>
      <c r="H97" s="40">
        <v>6.55</v>
      </c>
      <c r="J97" s="7"/>
    </row>
    <row r="98" spans="1:10" x14ac:dyDescent="0.2">
      <c r="A98" s="43">
        <v>2</v>
      </c>
      <c r="B98" s="44" t="s">
        <v>682</v>
      </c>
      <c r="C98" s="44" t="s">
        <v>1085</v>
      </c>
      <c r="D98" s="44" t="s">
        <v>549</v>
      </c>
      <c r="E98" s="45">
        <v>500000</v>
      </c>
      <c r="F98" s="46">
        <v>493.75049999999999</v>
      </c>
      <c r="G98" s="47">
        <v>3.5127520000000002E-2</v>
      </c>
      <c r="H98" s="40">
        <v>6.6</v>
      </c>
      <c r="J98" s="7"/>
    </row>
    <row r="99" spans="1:10" x14ac:dyDescent="0.2">
      <c r="A99" s="43">
        <v>3</v>
      </c>
      <c r="B99" s="44" t="s">
        <v>683</v>
      </c>
      <c r="C99" s="44" t="s">
        <v>1086</v>
      </c>
      <c r="D99" s="44" t="s">
        <v>549</v>
      </c>
      <c r="E99" s="45">
        <v>500000</v>
      </c>
      <c r="F99" s="46">
        <v>493.1035</v>
      </c>
      <c r="G99" s="47">
        <v>3.508149E-2</v>
      </c>
      <c r="H99" s="40">
        <v>6.63</v>
      </c>
      <c r="J99" s="7"/>
    </row>
    <row r="100" spans="1:10" x14ac:dyDescent="0.2">
      <c r="A100" s="43">
        <v>4</v>
      </c>
      <c r="B100" s="44" t="s">
        <v>548</v>
      </c>
      <c r="C100" s="44" t="s">
        <v>1080</v>
      </c>
      <c r="D100" s="44" t="s">
        <v>549</v>
      </c>
      <c r="E100" s="45">
        <v>500000</v>
      </c>
      <c r="F100" s="46">
        <v>475.76100000000002</v>
      </c>
      <c r="G100" s="47">
        <v>3.3847670000000003E-2</v>
      </c>
      <c r="H100" s="40">
        <v>6.7868000000000004</v>
      </c>
      <c r="J100" s="7"/>
    </row>
    <row r="101" spans="1:10" x14ac:dyDescent="0.2">
      <c r="A101" s="41"/>
      <c r="B101" s="41"/>
      <c r="C101" s="42" t="s">
        <v>150</v>
      </c>
      <c r="D101" s="41"/>
      <c r="E101" s="41" t="s">
        <v>151</v>
      </c>
      <c r="F101" s="48">
        <v>1958.2570000000001</v>
      </c>
      <c r="G101" s="49">
        <v>0.13931877000000001</v>
      </c>
      <c r="H101" s="40" t="s">
        <v>151</v>
      </c>
      <c r="J101" s="7"/>
    </row>
    <row r="102" spans="1:10" x14ac:dyDescent="0.2">
      <c r="A102" s="41"/>
      <c r="B102" s="41"/>
      <c r="C102" s="50"/>
      <c r="D102" s="41"/>
      <c r="E102" s="41"/>
      <c r="F102" s="51"/>
      <c r="G102" s="51"/>
      <c r="H102" s="40" t="s">
        <v>151</v>
      </c>
      <c r="J102" s="7"/>
    </row>
    <row r="103" spans="1:10" x14ac:dyDescent="0.2">
      <c r="A103" s="41"/>
      <c r="B103" s="41"/>
      <c r="C103" s="42" t="s">
        <v>168</v>
      </c>
      <c r="D103" s="41"/>
      <c r="E103" s="41"/>
      <c r="F103" s="51"/>
      <c r="G103" s="51"/>
      <c r="H103" s="40" t="s">
        <v>151</v>
      </c>
      <c r="J103" s="7"/>
    </row>
    <row r="104" spans="1:10" x14ac:dyDescent="0.2">
      <c r="A104" s="43">
        <v>1</v>
      </c>
      <c r="B104" s="44"/>
      <c r="C104" s="44" t="s">
        <v>169</v>
      </c>
      <c r="D104" s="44"/>
      <c r="E104" s="54"/>
      <c r="F104" s="46">
        <v>1121.207231999</v>
      </c>
      <c r="G104" s="47">
        <v>7.9767480000000002E-2</v>
      </c>
      <c r="H104" s="40">
        <v>6.39</v>
      </c>
      <c r="J104" s="7"/>
    </row>
    <row r="105" spans="1:10" x14ac:dyDescent="0.2">
      <c r="A105" s="41"/>
      <c r="B105" s="41"/>
      <c r="C105" s="42" t="s">
        <v>150</v>
      </c>
      <c r="D105" s="41"/>
      <c r="E105" s="41" t="s">
        <v>151</v>
      </c>
      <c r="F105" s="48">
        <v>1121.207231999</v>
      </c>
      <c r="G105" s="49">
        <v>7.9767480000000002E-2</v>
      </c>
      <c r="H105" s="40" t="s">
        <v>151</v>
      </c>
      <c r="J105" s="7"/>
    </row>
    <row r="106" spans="1:10" x14ac:dyDescent="0.2">
      <c r="A106" s="41"/>
      <c r="B106" s="41"/>
      <c r="C106" s="50"/>
      <c r="D106" s="41"/>
      <c r="E106" s="41"/>
      <c r="F106" s="51"/>
      <c r="G106" s="51"/>
      <c r="H106" s="40" t="s">
        <v>151</v>
      </c>
      <c r="J106" s="7"/>
    </row>
    <row r="107" spans="1:10" x14ac:dyDescent="0.2">
      <c r="A107" s="41"/>
      <c r="B107" s="41"/>
      <c r="C107" s="42" t="s">
        <v>170</v>
      </c>
      <c r="D107" s="41"/>
      <c r="E107" s="41"/>
      <c r="F107" s="48">
        <f>F105+F101</f>
        <v>3079.4642319989998</v>
      </c>
      <c r="G107" s="49">
        <v>0.21908625000000001</v>
      </c>
      <c r="H107" s="40" t="s">
        <v>151</v>
      </c>
      <c r="J107" s="7"/>
    </row>
    <row r="108" spans="1:10" x14ac:dyDescent="0.2">
      <c r="A108" s="41"/>
      <c r="B108" s="41"/>
      <c r="C108" s="51"/>
      <c r="D108" s="41"/>
      <c r="E108" s="41"/>
      <c r="F108" s="41"/>
      <c r="G108" s="41"/>
      <c r="H108" s="40" t="s">
        <v>151</v>
      </c>
      <c r="J108" s="7"/>
    </row>
    <row r="109" spans="1:10" x14ac:dyDescent="0.2">
      <c r="A109" s="41"/>
      <c r="B109" s="41"/>
      <c r="C109" s="42" t="s">
        <v>171</v>
      </c>
      <c r="D109" s="41"/>
      <c r="E109" s="41"/>
      <c r="F109" s="41"/>
      <c r="G109" s="41"/>
      <c r="H109" s="40" t="s">
        <v>151</v>
      </c>
      <c r="J109" s="7"/>
    </row>
    <row r="110" spans="1:10" x14ac:dyDescent="0.2">
      <c r="A110" s="41"/>
      <c r="B110" s="41"/>
      <c r="C110" s="42" t="s">
        <v>172</v>
      </c>
      <c r="D110" s="41"/>
      <c r="E110" s="41"/>
      <c r="F110" s="41"/>
      <c r="G110" s="41"/>
      <c r="H110" s="40" t="s">
        <v>151</v>
      </c>
      <c r="J110" s="7"/>
    </row>
    <row r="111" spans="1:10" x14ac:dyDescent="0.2">
      <c r="A111" s="43">
        <v>1</v>
      </c>
      <c r="B111" s="44" t="s">
        <v>339</v>
      </c>
      <c r="C111" s="83" t="s">
        <v>947</v>
      </c>
      <c r="D111" s="44"/>
      <c r="E111" s="79">
        <v>23003.699000000001</v>
      </c>
      <c r="F111" s="46">
        <v>502.54108572000001</v>
      </c>
      <c r="G111" s="47">
        <v>3.5752920000000001E-2</v>
      </c>
      <c r="H111" s="40" t="s">
        <v>151</v>
      </c>
      <c r="J111" s="7"/>
    </row>
    <row r="112" spans="1:10" x14ac:dyDescent="0.2">
      <c r="A112" s="41"/>
      <c r="B112" s="41"/>
      <c r="C112" s="42" t="s">
        <v>150</v>
      </c>
      <c r="D112" s="41"/>
      <c r="E112" s="41" t="s">
        <v>151</v>
      </c>
      <c r="F112" s="48">
        <v>502.54108572000001</v>
      </c>
      <c r="G112" s="49">
        <v>3.5752920000000001E-2</v>
      </c>
      <c r="H112" s="40" t="s">
        <v>151</v>
      </c>
      <c r="J112" s="7"/>
    </row>
    <row r="113" spans="1:17" x14ac:dyDescent="0.2">
      <c r="A113" s="41"/>
      <c r="B113" s="41"/>
      <c r="C113" s="50"/>
      <c r="D113" s="41"/>
      <c r="E113" s="41"/>
      <c r="F113" s="51"/>
      <c r="G113" s="51"/>
      <c r="H113" s="40" t="s">
        <v>151</v>
      </c>
      <c r="J113" s="7"/>
    </row>
    <row r="114" spans="1:17" x14ac:dyDescent="0.2">
      <c r="A114" s="41"/>
      <c r="B114" s="41"/>
      <c r="C114" s="42" t="s">
        <v>173</v>
      </c>
      <c r="D114" s="41"/>
      <c r="E114" s="41"/>
      <c r="F114" s="41"/>
      <c r="G114" s="41"/>
      <c r="H114" s="40" t="s">
        <v>151</v>
      </c>
      <c r="J114" s="7"/>
    </row>
    <row r="115" spans="1:17" x14ac:dyDescent="0.2">
      <c r="A115" s="41"/>
      <c r="B115" s="41"/>
      <c r="C115" s="42" t="s">
        <v>174</v>
      </c>
      <c r="D115" s="41"/>
      <c r="E115" s="41"/>
      <c r="F115" s="41"/>
      <c r="G115" s="41"/>
      <c r="H115" s="40" t="s">
        <v>151</v>
      </c>
      <c r="J115" s="7"/>
    </row>
    <row r="116" spans="1:17" x14ac:dyDescent="0.2">
      <c r="A116" s="41"/>
      <c r="B116" s="41"/>
      <c r="C116" s="42" t="s">
        <v>150</v>
      </c>
      <c r="D116" s="41"/>
      <c r="E116" s="41" t="s">
        <v>151</v>
      </c>
      <c r="F116" s="52" t="s">
        <v>153</v>
      </c>
      <c r="G116" s="49">
        <v>0</v>
      </c>
      <c r="H116" s="40" t="s">
        <v>151</v>
      </c>
      <c r="J116" s="7"/>
    </row>
    <row r="117" spans="1:17" x14ac:dyDescent="0.2">
      <c r="A117" s="41"/>
      <c r="B117" s="41"/>
      <c r="C117" s="50"/>
      <c r="D117" s="41"/>
      <c r="E117" s="41"/>
      <c r="F117" s="51"/>
      <c r="G117" s="51"/>
      <c r="H117" s="40" t="s">
        <v>151</v>
      </c>
      <c r="J117" s="7"/>
    </row>
    <row r="118" spans="1:17" x14ac:dyDescent="0.2">
      <c r="A118" s="41"/>
      <c r="B118" s="41"/>
      <c r="C118" s="42" t="s">
        <v>175</v>
      </c>
      <c r="D118" s="41"/>
      <c r="E118" s="41"/>
      <c r="F118" s="51"/>
      <c r="G118" s="51"/>
      <c r="H118" s="40" t="s">
        <v>151</v>
      </c>
      <c r="J118" s="7"/>
    </row>
    <row r="119" spans="1:17" x14ac:dyDescent="0.2">
      <c r="A119" s="41"/>
      <c r="B119" s="41"/>
      <c r="C119" s="42" t="s">
        <v>150</v>
      </c>
      <c r="D119" s="41"/>
      <c r="E119" s="41" t="s">
        <v>151</v>
      </c>
      <c r="F119" s="52" t="s">
        <v>153</v>
      </c>
      <c r="G119" s="49">
        <v>0</v>
      </c>
      <c r="H119" s="40" t="s">
        <v>151</v>
      </c>
      <c r="J119" s="7"/>
    </row>
    <row r="120" spans="1:17" x14ac:dyDescent="0.2">
      <c r="A120" s="41"/>
      <c r="B120" s="41"/>
      <c r="C120" s="50"/>
      <c r="D120" s="41"/>
      <c r="E120" s="41"/>
      <c r="F120" s="51"/>
      <c r="G120" s="51"/>
      <c r="H120" s="40" t="s">
        <v>151</v>
      </c>
      <c r="J120" s="7"/>
    </row>
    <row r="121" spans="1:17" x14ac:dyDescent="0.2">
      <c r="A121" s="54"/>
      <c r="B121" s="44"/>
      <c r="C121" s="44" t="s">
        <v>550</v>
      </c>
      <c r="D121" s="44"/>
      <c r="E121" s="54"/>
      <c r="F121" s="46">
        <v>13.8610056</v>
      </c>
      <c r="G121" s="47">
        <v>9.8612999999999999E-4</v>
      </c>
      <c r="H121" s="40" t="s">
        <v>151</v>
      </c>
      <c r="J121" s="7"/>
    </row>
    <row r="122" spans="1:17" x14ac:dyDescent="0.2">
      <c r="A122" s="54"/>
      <c r="B122" s="44"/>
      <c r="C122" s="83" t="s">
        <v>996</v>
      </c>
      <c r="D122" s="44"/>
      <c r="E122" s="54"/>
      <c r="F122" s="46">
        <f>9493.90507971-9545.0903175</f>
        <v>-51.185237789999519</v>
      </c>
      <c r="G122" s="47">
        <f>F122/F123</f>
        <v>-3.6415368834193333E-3</v>
      </c>
      <c r="H122" s="40" t="s">
        <v>151</v>
      </c>
      <c r="J122" s="7"/>
    </row>
    <row r="123" spans="1:17" x14ac:dyDescent="0.2">
      <c r="A123" s="50"/>
      <c r="B123" s="50"/>
      <c r="C123" s="42" t="s">
        <v>177</v>
      </c>
      <c r="D123" s="51"/>
      <c r="E123" s="51"/>
      <c r="F123" s="48">
        <f>F122+F121+F112+F107+F87+F70</f>
        <v>14055.943803029</v>
      </c>
      <c r="G123" s="55">
        <f>G122+G121+G112+G107+G87+G70</f>
        <v>1.0000000031165808</v>
      </c>
      <c r="H123" s="40" t="s">
        <v>151</v>
      </c>
      <c r="J123" s="7"/>
    </row>
    <row r="124" spans="1:17" x14ac:dyDescent="0.2">
      <c r="A124" s="56"/>
      <c r="B124" s="56"/>
      <c r="C124" s="56"/>
      <c r="D124" s="57"/>
      <c r="E124" s="57"/>
      <c r="F124" s="57"/>
      <c r="G124" s="57"/>
      <c r="J124" s="7"/>
    </row>
    <row r="125" spans="1:17" ht="12.75" customHeight="1" x14ac:dyDescent="0.2">
      <c r="A125" s="58"/>
      <c r="B125" s="159" t="s">
        <v>923</v>
      </c>
      <c r="C125" s="159"/>
      <c r="D125" s="159"/>
      <c r="E125" s="159"/>
      <c r="F125" s="159"/>
      <c r="G125" s="159"/>
      <c r="H125" s="159"/>
      <c r="J125" s="7"/>
    </row>
    <row r="126" spans="1:17" ht="14.1" customHeight="1" x14ac:dyDescent="0.2">
      <c r="A126" s="58"/>
      <c r="B126" s="159" t="s">
        <v>924</v>
      </c>
      <c r="C126" s="159"/>
      <c r="D126" s="159"/>
      <c r="E126" s="159"/>
      <c r="F126" s="159"/>
      <c r="G126" s="159"/>
      <c r="H126" s="159"/>
      <c r="J126" s="7"/>
    </row>
    <row r="127" spans="1:17" ht="17.100000000000001" customHeight="1" x14ac:dyDescent="0.2">
      <c r="A127" s="58"/>
      <c r="B127" s="159" t="s">
        <v>925</v>
      </c>
      <c r="C127" s="159"/>
      <c r="D127" s="159"/>
      <c r="E127" s="159"/>
      <c r="F127" s="159"/>
      <c r="G127" s="159"/>
      <c r="H127" s="159"/>
      <c r="J127" s="7"/>
    </row>
    <row r="128" spans="1:17" s="8" customFormat="1" ht="65.25" customHeight="1" x14ac:dyDescent="0.25">
      <c r="A128" s="60"/>
      <c r="B128" s="160" t="s">
        <v>926</v>
      </c>
      <c r="C128" s="160"/>
      <c r="D128" s="160"/>
      <c r="E128" s="160"/>
      <c r="F128" s="160"/>
      <c r="G128" s="160"/>
      <c r="H128" s="160"/>
      <c r="I128"/>
      <c r="J128" s="7"/>
      <c r="K128"/>
      <c r="L128"/>
      <c r="M128"/>
      <c r="N128"/>
      <c r="O128"/>
      <c r="P128"/>
      <c r="Q128"/>
    </row>
    <row r="129" spans="1:10" ht="12.75" customHeight="1" x14ac:dyDescent="0.2">
      <c r="A129" s="58"/>
      <c r="B129" s="159" t="s">
        <v>927</v>
      </c>
      <c r="C129" s="159"/>
      <c r="D129" s="159"/>
      <c r="E129" s="159"/>
      <c r="F129" s="159"/>
      <c r="G129" s="159"/>
      <c r="H129" s="159"/>
      <c r="J129" s="7"/>
    </row>
    <row r="130" spans="1:10" x14ac:dyDescent="0.2">
      <c r="A130" s="61"/>
      <c r="B130" s="61"/>
      <c r="C130" s="61"/>
      <c r="D130" s="62"/>
      <c r="E130" s="62"/>
      <c r="F130" s="62"/>
      <c r="G130" s="62"/>
      <c r="J130" s="7"/>
    </row>
    <row r="131" spans="1:10" x14ac:dyDescent="0.2">
      <c r="A131" s="61"/>
      <c r="B131" s="161" t="s">
        <v>178</v>
      </c>
      <c r="C131" s="162"/>
      <c r="D131" s="163"/>
      <c r="E131" s="63"/>
      <c r="F131" s="62"/>
      <c r="G131" s="62"/>
      <c r="J131" s="7"/>
    </row>
    <row r="132" spans="1:10" ht="25.5" x14ac:dyDescent="0.2">
      <c r="A132" s="58"/>
      <c r="B132" s="164" t="s">
        <v>179</v>
      </c>
      <c r="C132" s="165"/>
      <c r="D132" s="115" t="s">
        <v>997</v>
      </c>
      <c r="E132" s="65"/>
      <c r="F132" s="66"/>
      <c r="G132" s="66"/>
      <c r="J132" s="7"/>
    </row>
    <row r="133" spans="1:10" x14ac:dyDescent="0.2">
      <c r="A133" s="61"/>
      <c r="B133" s="156" t="s">
        <v>181</v>
      </c>
      <c r="C133" s="157"/>
      <c r="D133" s="42" t="s">
        <v>180</v>
      </c>
      <c r="E133" s="63"/>
      <c r="F133" s="62"/>
      <c r="G133" s="62"/>
      <c r="J133" s="7"/>
    </row>
    <row r="134" spans="1:10" x14ac:dyDescent="0.2">
      <c r="A134" s="61"/>
      <c r="B134" s="156" t="s">
        <v>182</v>
      </c>
      <c r="C134" s="157"/>
      <c r="D134" s="51" t="s">
        <v>151</v>
      </c>
      <c r="E134" s="63"/>
      <c r="F134" s="62"/>
      <c r="G134" s="62"/>
      <c r="J134" s="7"/>
    </row>
    <row r="135" spans="1:10" x14ac:dyDescent="0.2">
      <c r="A135" s="67"/>
      <c r="B135" s="68" t="s">
        <v>151</v>
      </c>
      <c r="C135" s="68" t="s">
        <v>937</v>
      </c>
      <c r="D135" s="68" t="s">
        <v>183</v>
      </c>
      <c r="E135" s="67"/>
      <c r="F135" s="67"/>
      <c r="G135" s="67"/>
      <c r="H135" s="67"/>
      <c r="J135" s="7"/>
    </row>
    <row r="136" spans="1:10" x14ac:dyDescent="0.2">
      <c r="A136" s="69"/>
      <c r="B136" s="70" t="s">
        <v>184</v>
      </c>
      <c r="C136" s="80" t="s">
        <v>185</v>
      </c>
      <c r="D136" s="80" t="s">
        <v>186</v>
      </c>
      <c r="E136" s="69"/>
      <c r="F136" s="69"/>
      <c r="G136" s="69"/>
      <c r="J136" s="7"/>
    </row>
    <row r="137" spans="1:10" x14ac:dyDescent="0.2">
      <c r="A137" s="69"/>
      <c r="B137" s="44" t="s">
        <v>187</v>
      </c>
      <c r="C137" s="72">
        <v>14.1609</v>
      </c>
      <c r="D137" s="72">
        <v>14.2492</v>
      </c>
      <c r="E137" s="69"/>
      <c r="F137" s="73"/>
      <c r="G137" s="74"/>
      <c r="J137" s="7"/>
    </row>
    <row r="138" spans="1:10" ht="25.5" x14ac:dyDescent="0.2">
      <c r="A138" s="69"/>
      <c r="B138" s="116" t="s">
        <v>1013</v>
      </c>
      <c r="C138" s="72">
        <v>12.2453</v>
      </c>
      <c r="D138" s="72">
        <v>12.3216</v>
      </c>
      <c r="E138" s="69"/>
      <c r="F138" s="73"/>
      <c r="G138" s="74"/>
      <c r="J138" s="7"/>
    </row>
    <row r="139" spans="1:10" x14ac:dyDescent="0.2">
      <c r="A139" s="69"/>
      <c r="B139" s="44" t="s">
        <v>188</v>
      </c>
      <c r="C139" s="72">
        <v>13.5343</v>
      </c>
      <c r="D139" s="72">
        <v>13.611700000000001</v>
      </c>
      <c r="E139" s="69"/>
      <c r="F139" s="73"/>
      <c r="G139" s="74"/>
      <c r="J139" s="7"/>
    </row>
    <row r="140" spans="1:10" ht="25.5" x14ac:dyDescent="0.2">
      <c r="A140" s="69"/>
      <c r="B140" s="116" t="s">
        <v>1014</v>
      </c>
      <c r="C140" s="72">
        <v>11.8992</v>
      </c>
      <c r="D140" s="72">
        <v>11.9672</v>
      </c>
      <c r="E140" s="69"/>
      <c r="F140" s="73"/>
      <c r="G140" s="74"/>
      <c r="J140" s="7"/>
    </row>
    <row r="141" spans="1:10" x14ac:dyDescent="0.2">
      <c r="A141" s="69"/>
      <c r="B141" s="69"/>
      <c r="C141" s="69"/>
      <c r="D141" s="69"/>
      <c r="E141" s="69"/>
      <c r="F141" s="69"/>
      <c r="G141" s="69"/>
      <c r="J141" s="7"/>
    </row>
    <row r="142" spans="1:10" x14ac:dyDescent="0.2">
      <c r="A142" s="67"/>
      <c r="B142" s="164" t="s">
        <v>940</v>
      </c>
      <c r="C142" s="165"/>
      <c r="D142" s="64" t="s">
        <v>180</v>
      </c>
      <c r="E142" s="67"/>
      <c r="F142" s="67"/>
      <c r="G142" s="67"/>
      <c r="J142" s="7"/>
    </row>
    <row r="143" spans="1:10" x14ac:dyDescent="0.2">
      <c r="A143" s="67"/>
      <c r="B143" s="84"/>
      <c r="C143" s="84"/>
      <c r="D143" s="84"/>
      <c r="E143" s="67"/>
      <c r="F143" s="67"/>
      <c r="G143" s="67"/>
      <c r="J143" s="7"/>
    </row>
    <row r="144" spans="1:10" ht="29.1" customHeight="1" x14ac:dyDescent="0.2">
      <c r="A144" s="67"/>
      <c r="B144" s="164" t="s">
        <v>189</v>
      </c>
      <c r="C144" s="165"/>
      <c r="D144" s="64" t="s">
        <v>1015</v>
      </c>
      <c r="E144" s="75"/>
      <c r="F144" s="67"/>
      <c r="G144" s="67"/>
      <c r="J144" s="7"/>
    </row>
    <row r="145" spans="1:17" ht="29.1" customHeight="1" x14ac:dyDescent="0.2">
      <c r="A145" s="67"/>
      <c r="B145" s="164" t="s">
        <v>190</v>
      </c>
      <c r="C145" s="165"/>
      <c r="D145" s="64" t="s">
        <v>180</v>
      </c>
      <c r="E145" s="75"/>
      <c r="F145" s="67"/>
      <c r="G145" s="67"/>
      <c r="I145" s="21"/>
      <c r="J145" s="7"/>
    </row>
    <row r="146" spans="1:17" ht="17.100000000000001" customHeight="1" x14ac:dyDescent="0.2">
      <c r="A146" s="67"/>
      <c r="B146" s="164" t="s">
        <v>191</v>
      </c>
      <c r="C146" s="165"/>
      <c r="D146" s="64" t="s">
        <v>180</v>
      </c>
      <c r="E146" s="75"/>
      <c r="F146" s="67"/>
      <c r="G146" s="67"/>
      <c r="J146" s="7"/>
    </row>
    <row r="147" spans="1:17" ht="17.100000000000001" customHeight="1" x14ac:dyDescent="0.2">
      <c r="A147" s="67"/>
      <c r="B147" s="164" t="s">
        <v>192</v>
      </c>
      <c r="C147" s="165"/>
      <c r="D147" s="76">
        <v>9.4282303099535092</v>
      </c>
      <c r="E147" s="67"/>
      <c r="F147" s="59"/>
      <c r="G147" s="77"/>
      <c r="J147" s="7"/>
    </row>
    <row r="148" spans="1:17" x14ac:dyDescent="0.2">
      <c r="J148" s="7"/>
    </row>
    <row r="149" spans="1:17" s="16" customFormat="1" x14ac:dyDescent="0.2">
      <c r="B149" s="117" t="s">
        <v>1077</v>
      </c>
      <c r="C149" s="117"/>
      <c r="D149" s="117"/>
      <c r="E149" s="19"/>
      <c r="F149" s="20"/>
      <c r="I149"/>
      <c r="J149" s="7"/>
      <c r="K149"/>
      <c r="L149"/>
      <c r="M149"/>
      <c r="N149"/>
      <c r="O149"/>
    </row>
    <row r="150" spans="1:17" s="16" customFormat="1" ht="63.75" x14ac:dyDescent="0.2">
      <c r="B150" s="95" t="s">
        <v>1016</v>
      </c>
      <c r="C150" s="95" t="s">
        <v>1017</v>
      </c>
      <c r="D150" s="95" t="s">
        <v>1018</v>
      </c>
      <c r="E150" s="95" t="s">
        <v>1019</v>
      </c>
      <c r="F150" s="95" t="s">
        <v>1020</v>
      </c>
      <c r="I150"/>
      <c r="J150" s="7"/>
      <c r="K150"/>
      <c r="L150"/>
      <c r="M150"/>
      <c r="N150"/>
      <c r="O150"/>
    </row>
    <row r="151" spans="1:17" s="17" customFormat="1" ht="38.25" x14ac:dyDescent="0.2">
      <c r="B151" s="96" t="s">
        <v>1021</v>
      </c>
      <c r="C151" s="97" t="s">
        <v>1022</v>
      </c>
      <c r="D151" s="98">
        <v>0</v>
      </c>
      <c r="E151" s="18">
        <v>0</v>
      </c>
      <c r="F151" s="99">
        <v>50</v>
      </c>
      <c r="I151"/>
      <c r="J151" s="7"/>
      <c r="K151"/>
      <c r="L151"/>
      <c r="M151"/>
      <c r="N151"/>
      <c r="O151"/>
      <c r="P151" s="16"/>
      <c r="Q151" s="16"/>
    </row>
    <row r="152" spans="1:17" s="16" customFormat="1" x14ac:dyDescent="0.2">
      <c r="I152"/>
      <c r="J152" s="7"/>
      <c r="K152"/>
      <c r="L152"/>
      <c r="M152"/>
      <c r="N152"/>
      <c r="O152"/>
      <c r="P152"/>
      <c r="Q152"/>
    </row>
    <row r="153" spans="1:17" s="16" customFormat="1" x14ac:dyDescent="0.2">
      <c r="B153" s="179" t="s">
        <v>1035</v>
      </c>
      <c r="C153" s="180"/>
      <c r="D153" s="181"/>
      <c r="I153"/>
      <c r="J153" s="7"/>
      <c r="K153"/>
      <c r="L153"/>
      <c r="M153"/>
      <c r="N153"/>
      <c r="O153"/>
      <c r="P153"/>
      <c r="Q153"/>
    </row>
    <row r="154" spans="1:17" s="16" customFormat="1" ht="25.5" x14ac:dyDescent="0.2">
      <c r="B154" s="168" t="s">
        <v>1036</v>
      </c>
      <c r="C154" s="168"/>
      <c r="D154" s="110" t="s">
        <v>660</v>
      </c>
      <c r="I154"/>
      <c r="J154" s="7"/>
      <c r="K154"/>
      <c r="L154"/>
      <c r="M154"/>
      <c r="N154"/>
      <c r="O154"/>
      <c r="P154"/>
      <c r="Q154"/>
    </row>
    <row r="155" spans="1:17" s="16" customFormat="1" x14ac:dyDescent="0.2">
      <c r="B155" s="168" t="s">
        <v>1037</v>
      </c>
      <c r="C155" s="168"/>
      <c r="D155" s="118"/>
      <c r="I155"/>
      <c r="J155" s="7"/>
      <c r="K155"/>
      <c r="L155"/>
      <c r="M155"/>
      <c r="N155"/>
      <c r="O155"/>
      <c r="P155"/>
      <c r="Q155"/>
    </row>
    <row r="156" spans="1:17" s="16" customFormat="1" x14ac:dyDescent="0.2">
      <c r="B156" s="169"/>
      <c r="C156" s="170"/>
      <c r="D156" s="111"/>
      <c r="I156"/>
      <c r="J156" s="7"/>
      <c r="K156"/>
      <c r="L156"/>
      <c r="M156"/>
      <c r="N156"/>
      <c r="O156"/>
      <c r="P156"/>
      <c r="Q156"/>
    </row>
    <row r="157" spans="1:17" s="16" customFormat="1" x14ac:dyDescent="0.2">
      <c r="B157" s="168" t="s">
        <v>1038</v>
      </c>
      <c r="C157" s="168"/>
      <c r="D157" s="112">
        <v>6.6515528195808864</v>
      </c>
      <c r="I157"/>
      <c r="J157" s="7"/>
      <c r="K157"/>
      <c r="L157"/>
      <c r="M157"/>
      <c r="N157"/>
      <c r="O157"/>
      <c r="P157"/>
      <c r="Q157"/>
    </row>
    <row r="158" spans="1:17" s="16" customFormat="1" x14ac:dyDescent="0.2">
      <c r="B158" s="169"/>
      <c r="C158" s="170"/>
      <c r="D158" s="111"/>
      <c r="I158"/>
      <c r="J158" s="9"/>
      <c r="K158"/>
      <c r="L158"/>
      <c r="M158"/>
      <c r="N158"/>
      <c r="O158"/>
      <c r="P158"/>
      <c r="Q158"/>
    </row>
    <row r="159" spans="1:17" s="16" customFormat="1" x14ac:dyDescent="0.2">
      <c r="B159" s="168" t="s">
        <v>1039</v>
      </c>
      <c r="C159" s="168"/>
      <c r="D159" s="112">
        <v>0.7496501408354751</v>
      </c>
      <c r="I159"/>
      <c r="J159" s="9"/>
      <c r="K159"/>
      <c r="L159"/>
      <c r="M159"/>
      <c r="N159"/>
      <c r="O159"/>
      <c r="P159"/>
      <c r="Q159"/>
    </row>
    <row r="160" spans="1:17" s="16" customFormat="1" x14ac:dyDescent="0.2">
      <c r="B160" s="168" t="s">
        <v>1040</v>
      </c>
      <c r="C160" s="168"/>
      <c r="D160" s="112">
        <v>0.80375897891217107</v>
      </c>
      <c r="I160"/>
      <c r="J160" s="9"/>
      <c r="K160"/>
      <c r="L160"/>
      <c r="M160"/>
      <c r="N160"/>
      <c r="O160"/>
      <c r="P160"/>
      <c r="Q160"/>
    </row>
    <row r="161" spans="2:17" s="16" customFormat="1" x14ac:dyDescent="0.2">
      <c r="B161" s="169"/>
      <c r="C161" s="170"/>
      <c r="D161" s="111"/>
      <c r="I161"/>
      <c r="J161" s="9"/>
      <c r="K161"/>
      <c r="L161"/>
      <c r="M161"/>
      <c r="N161"/>
      <c r="O161"/>
      <c r="P161"/>
      <c r="Q161"/>
    </row>
    <row r="162" spans="2:17" s="16" customFormat="1" x14ac:dyDescent="0.2">
      <c r="B162" s="168" t="s">
        <v>1041</v>
      </c>
      <c r="C162" s="168"/>
      <c r="D162" s="114" t="s">
        <v>1079</v>
      </c>
      <c r="I162"/>
      <c r="J162" s="9"/>
      <c r="K162"/>
      <c r="L162"/>
      <c r="M162"/>
      <c r="N162"/>
      <c r="O162"/>
      <c r="P162"/>
      <c r="Q162"/>
    </row>
    <row r="163" spans="2:17" s="16" customFormat="1" x14ac:dyDescent="0.2">
      <c r="B163" s="169" t="s">
        <v>1042</v>
      </c>
      <c r="C163" s="171"/>
      <c r="D163" s="170"/>
      <c r="I163"/>
      <c r="J163" s="9"/>
      <c r="K163"/>
      <c r="L163"/>
      <c r="M163"/>
      <c r="N163"/>
      <c r="O163"/>
      <c r="P163"/>
      <c r="Q163"/>
    </row>
  </sheetData>
  <mergeCells count="28">
    <mergeCell ref="B133:C133"/>
    <mergeCell ref="B134:C134"/>
    <mergeCell ref="B142:C142"/>
    <mergeCell ref="B146:C146"/>
    <mergeCell ref="B147:C147"/>
    <mergeCell ref="B144:C144"/>
    <mergeCell ref="B145:C145"/>
    <mergeCell ref="B132:C132"/>
    <mergeCell ref="A1:H1"/>
    <mergeCell ref="A2:H2"/>
    <mergeCell ref="A3:H3"/>
    <mergeCell ref="B125:H125"/>
    <mergeCell ref="B126:H126"/>
    <mergeCell ref="B127:H127"/>
    <mergeCell ref="B128:H128"/>
    <mergeCell ref="B129:H129"/>
    <mergeCell ref="B131:D131"/>
    <mergeCell ref="B153:D153"/>
    <mergeCell ref="B154:C154"/>
    <mergeCell ref="B155:C155"/>
    <mergeCell ref="B156:C156"/>
    <mergeCell ref="B157:C157"/>
    <mergeCell ref="B163:D163"/>
    <mergeCell ref="B158:C158"/>
    <mergeCell ref="B159:C159"/>
    <mergeCell ref="B160:C160"/>
    <mergeCell ref="B161:C161"/>
    <mergeCell ref="B162:C162"/>
  </mergeCells>
  <hyperlinks>
    <hyperlink ref="I1" location="Index!B16" display="Index" xr:uid="{04C01FED-0953-4DD0-8804-897BE47FF1F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B648B-929C-4582-9ADF-FA49D3B0271C}">
  <sheetPr>
    <outlinePr summaryBelow="0" summaryRight="0"/>
  </sheetPr>
  <dimension ref="A1:Q214"/>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7" bestFit="1" customWidth="1"/>
    <col min="5" max="5" width="9.140625" bestFit="1" customWidth="1"/>
    <col min="6" max="6" width="10.140625" bestFit="1" customWidth="1"/>
    <col min="7" max="7" width="8.85546875" customWidth="1"/>
    <col min="8" max="8" width="9.28515625" customWidth="1"/>
    <col min="9" max="9" width="11.5703125" bestFit="1" customWidth="1"/>
    <col min="10" max="10" width="50.7109375" style="9" customWidth="1"/>
  </cols>
  <sheetData>
    <row r="1" spans="1:10" ht="15" x14ac:dyDescent="0.2">
      <c r="A1" s="158" t="s">
        <v>0</v>
      </c>
      <c r="B1" s="158"/>
      <c r="C1" s="158"/>
      <c r="D1" s="158"/>
      <c r="E1" s="158"/>
      <c r="F1" s="158"/>
      <c r="G1" s="158"/>
      <c r="H1" s="158"/>
      <c r="I1" s="10" t="s">
        <v>941</v>
      </c>
      <c r="J1" s="7"/>
    </row>
    <row r="2" spans="1:10" ht="15" x14ac:dyDescent="0.2">
      <c r="A2" s="158" t="s">
        <v>684</v>
      </c>
      <c r="B2" s="158"/>
      <c r="C2" s="158"/>
      <c r="D2" s="158"/>
      <c r="E2" s="158"/>
      <c r="F2" s="158"/>
      <c r="G2" s="158"/>
      <c r="H2" s="158"/>
      <c r="J2" s="11" t="s">
        <v>942</v>
      </c>
    </row>
    <row r="3" spans="1:10" ht="15" x14ac:dyDescent="0.2">
      <c r="A3" s="158" t="s">
        <v>880</v>
      </c>
      <c r="B3" s="158"/>
      <c r="C3" s="158"/>
      <c r="D3" s="158"/>
      <c r="E3" s="158"/>
      <c r="F3" s="158"/>
      <c r="G3" s="158"/>
      <c r="H3" s="158"/>
      <c r="J3" s="7"/>
    </row>
    <row r="4" spans="1:10" s="1" customFormat="1" ht="30" x14ac:dyDescent="0.2">
      <c r="A4" s="36" t="s">
        <v>2</v>
      </c>
      <c r="B4" s="36" t="s">
        <v>3</v>
      </c>
      <c r="C4" s="36" t="s">
        <v>4</v>
      </c>
      <c r="D4" s="36" t="s">
        <v>5</v>
      </c>
      <c r="E4" s="36" t="s">
        <v>6</v>
      </c>
      <c r="F4" s="36" t="s">
        <v>7</v>
      </c>
      <c r="G4" s="36" t="s">
        <v>8</v>
      </c>
      <c r="H4" s="37" t="s">
        <v>922</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341</v>
      </c>
      <c r="C7" s="44" t="s">
        <v>342</v>
      </c>
      <c r="D7" s="44" t="s">
        <v>45</v>
      </c>
      <c r="E7" s="45">
        <v>672990</v>
      </c>
      <c r="F7" s="46">
        <v>10873.835924999999</v>
      </c>
      <c r="G7" s="47">
        <v>6.9130179999999999E-2</v>
      </c>
      <c r="H7" s="40" t="s">
        <v>151</v>
      </c>
      <c r="J7" s="7"/>
    </row>
    <row r="8" spans="1:10" x14ac:dyDescent="0.2">
      <c r="A8" s="43">
        <v>2</v>
      </c>
      <c r="B8" s="44" t="s">
        <v>20</v>
      </c>
      <c r="C8" s="44" t="s">
        <v>21</v>
      </c>
      <c r="D8" s="44" t="s">
        <v>22</v>
      </c>
      <c r="E8" s="45">
        <v>307750</v>
      </c>
      <c r="F8" s="46">
        <v>9265.8908749999991</v>
      </c>
      <c r="G8" s="47">
        <v>5.89077E-2</v>
      </c>
      <c r="H8" s="40" t="s">
        <v>151</v>
      </c>
      <c r="J8" s="7"/>
    </row>
    <row r="9" spans="1:10" x14ac:dyDescent="0.2">
      <c r="A9" s="43">
        <v>3</v>
      </c>
      <c r="B9" s="44" t="s">
        <v>43</v>
      </c>
      <c r="C9" s="44" t="s">
        <v>44</v>
      </c>
      <c r="D9" s="44" t="s">
        <v>45</v>
      </c>
      <c r="E9" s="45">
        <v>609930</v>
      </c>
      <c r="F9" s="46">
        <v>7410.0395699999999</v>
      </c>
      <c r="G9" s="47">
        <v>4.7109169999999999E-2</v>
      </c>
      <c r="H9" s="40" t="s">
        <v>151</v>
      </c>
      <c r="J9" s="7"/>
    </row>
    <row r="10" spans="1:10" x14ac:dyDescent="0.2">
      <c r="A10" s="43">
        <v>4</v>
      </c>
      <c r="B10" s="44" t="s">
        <v>343</v>
      </c>
      <c r="C10" s="44" t="s">
        <v>344</v>
      </c>
      <c r="D10" s="44" t="s">
        <v>219</v>
      </c>
      <c r="E10" s="45">
        <v>310300</v>
      </c>
      <c r="F10" s="46">
        <v>5797.1797500000002</v>
      </c>
      <c r="G10" s="47">
        <v>3.6855449999999998E-2</v>
      </c>
      <c r="H10" s="40" t="s">
        <v>151</v>
      </c>
      <c r="J10" s="7"/>
    </row>
    <row r="11" spans="1:10" x14ac:dyDescent="0.2">
      <c r="A11" s="43">
        <v>5</v>
      </c>
      <c r="B11" s="44" t="s">
        <v>17</v>
      </c>
      <c r="C11" s="44" t="s">
        <v>18</v>
      </c>
      <c r="D11" s="44" t="s">
        <v>19</v>
      </c>
      <c r="E11" s="45">
        <v>266800</v>
      </c>
      <c r="F11" s="46">
        <v>3979.4553999999998</v>
      </c>
      <c r="G11" s="47">
        <v>2.52993E-2</v>
      </c>
      <c r="H11" s="40" t="s">
        <v>151</v>
      </c>
      <c r="J11" s="7"/>
    </row>
    <row r="12" spans="1:10" ht="15" x14ac:dyDescent="0.2">
      <c r="A12" s="43">
        <v>6</v>
      </c>
      <c r="B12" s="44" t="s">
        <v>355</v>
      </c>
      <c r="C12" s="44" t="s">
        <v>356</v>
      </c>
      <c r="D12" s="44" t="s">
        <v>45</v>
      </c>
      <c r="E12" s="45">
        <v>199520</v>
      </c>
      <c r="F12" s="46">
        <v>3607.1220800000001</v>
      </c>
      <c r="G12" s="47">
        <v>2.29322E-2</v>
      </c>
      <c r="H12" s="40" t="s">
        <v>151</v>
      </c>
      <c r="J12" s="12"/>
    </row>
    <row r="13" spans="1:10" x14ac:dyDescent="0.2">
      <c r="A13" s="43">
        <v>7</v>
      </c>
      <c r="B13" s="44" t="s">
        <v>194</v>
      </c>
      <c r="C13" s="44" t="s">
        <v>195</v>
      </c>
      <c r="D13" s="44" t="s">
        <v>100</v>
      </c>
      <c r="E13" s="45">
        <v>600000</v>
      </c>
      <c r="F13" s="46">
        <v>3476.4</v>
      </c>
      <c r="G13" s="47">
        <v>2.2101139999999998E-2</v>
      </c>
      <c r="H13" s="40" t="s">
        <v>151</v>
      </c>
      <c r="J13" s="7"/>
    </row>
    <row r="14" spans="1:10" x14ac:dyDescent="0.2">
      <c r="A14" s="43">
        <v>8</v>
      </c>
      <c r="B14" s="44" t="s">
        <v>11</v>
      </c>
      <c r="C14" s="44" t="s">
        <v>12</v>
      </c>
      <c r="D14" s="44" t="s">
        <v>13</v>
      </c>
      <c r="E14" s="45">
        <v>87300</v>
      </c>
      <c r="F14" s="46">
        <v>3330.4949999999999</v>
      </c>
      <c r="G14" s="47">
        <v>2.1173549999999999E-2</v>
      </c>
      <c r="H14" s="40" t="s">
        <v>151</v>
      </c>
      <c r="J14" s="7"/>
    </row>
    <row r="15" spans="1:10" x14ac:dyDescent="0.2">
      <c r="A15" s="43">
        <v>9</v>
      </c>
      <c r="B15" s="44" t="s">
        <v>347</v>
      </c>
      <c r="C15" s="44" t="s">
        <v>348</v>
      </c>
      <c r="D15" s="44" t="s">
        <v>45</v>
      </c>
      <c r="E15" s="45">
        <v>248960</v>
      </c>
      <c r="F15" s="46">
        <v>2903.1225599999998</v>
      </c>
      <c r="G15" s="47">
        <v>1.845654E-2</v>
      </c>
      <c r="H15" s="40" t="s">
        <v>151</v>
      </c>
      <c r="J15" s="7"/>
    </row>
    <row r="16" spans="1:10" ht="25.5" x14ac:dyDescent="0.2">
      <c r="A16" s="43">
        <v>10</v>
      </c>
      <c r="B16" s="44" t="s">
        <v>51</v>
      </c>
      <c r="C16" s="44" t="s">
        <v>52</v>
      </c>
      <c r="D16" s="44" t="s">
        <v>45</v>
      </c>
      <c r="E16" s="45">
        <v>325820</v>
      </c>
      <c r="F16" s="46">
        <v>2842.4536800000001</v>
      </c>
      <c r="G16" s="47">
        <v>1.8070840000000001E-2</v>
      </c>
      <c r="H16" s="40" t="s">
        <v>151</v>
      </c>
      <c r="J16" s="7" t="s">
        <v>1059</v>
      </c>
    </row>
    <row r="17" spans="1:10" x14ac:dyDescent="0.2">
      <c r="A17" s="43">
        <v>11</v>
      </c>
      <c r="B17" s="83" t="s">
        <v>935</v>
      </c>
      <c r="C17" s="83" t="s">
        <v>936</v>
      </c>
      <c r="D17" s="83" t="s">
        <v>61</v>
      </c>
      <c r="E17" s="119">
        <v>700000</v>
      </c>
      <c r="F17" s="120">
        <f>25.3876*100</f>
        <v>2538.7599999999998</v>
      </c>
      <c r="G17" s="121">
        <v>1.6140112753066874E-2</v>
      </c>
      <c r="H17" s="120"/>
      <c r="J17" s="7"/>
    </row>
    <row r="18" spans="1:10" x14ac:dyDescent="0.2">
      <c r="A18" s="43">
        <v>12</v>
      </c>
      <c r="B18" s="44" t="s">
        <v>469</v>
      </c>
      <c r="C18" s="44" t="s">
        <v>470</v>
      </c>
      <c r="D18" s="44" t="s">
        <v>45</v>
      </c>
      <c r="E18" s="45">
        <v>930150</v>
      </c>
      <c r="F18" s="46">
        <v>2359.3254750000001</v>
      </c>
      <c r="G18" s="47">
        <v>1.499936E-2</v>
      </c>
      <c r="H18" s="40" t="s">
        <v>151</v>
      </c>
      <c r="J18" s="7"/>
    </row>
    <row r="19" spans="1:10" ht="25.5" x14ac:dyDescent="0.2">
      <c r="A19" s="43">
        <v>13</v>
      </c>
      <c r="B19" s="44" t="s">
        <v>213</v>
      </c>
      <c r="C19" s="44" t="s">
        <v>214</v>
      </c>
      <c r="D19" s="44" t="s">
        <v>210</v>
      </c>
      <c r="E19" s="45">
        <v>180000</v>
      </c>
      <c r="F19" s="46">
        <v>2244.96</v>
      </c>
      <c r="G19" s="47">
        <v>1.427229E-2</v>
      </c>
      <c r="H19" s="40" t="s">
        <v>151</v>
      </c>
      <c r="J19" s="7"/>
    </row>
    <row r="20" spans="1:10" x14ac:dyDescent="0.2">
      <c r="A20" s="43">
        <v>14</v>
      </c>
      <c r="B20" s="44" t="s">
        <v>349</v>
      </c>
      <c r="C20" s="44" t="s">
        <v>350</v>
      </c>
      <c r="D20" s="44" t="s">
        <v>219</v>
      </c>
      <c r="E20" s="45">
        <v>50272</v>
      </c>
      <c r="F20" s="46">
        <v>2204.6031520000001</v>
      </c>
      <c r="G20" s="47">
        <v>1.4015720000000001E-2</v>
      </c>
      <c r="H20" s="40" t="s">
        <v>151</v>
      </c>
      <c r="J20" s="7"/>
    </row>
    <row r="21" spans="1:10" x14ac:dyDescent="0.2">
      <c r="A21" s="43">
        <v>15</v>
      </c>
      <c r="B21" s="44" t="s">
        <v>395</v>
      </c>
      <c r="C21" s="44" t="s">
        <v>396</v>
      </c>
      <c r="D21" s="44" t="s">
        <v>45</v>
      </c>
      <c r="E21" s="45">
        <v>1917000</v>
      </c>
      <c r="F21" s="46">
        <v>2198.9906999999998</v>
      </c>
      <c r="G21" s="47">
        <v>1.3980039999999999E-2</v>
      </c>
      <c r="H21" s="40" t="s">
        <v>151</v>
      </c>
      <c r="J21" s="7"/>
    </row>
    <row r="22" spans="1:10" ht="15" x14ac:dyDescent="0.2">
      <c r="A22" s="43">
        <v>16</v>
      </c>
      <c r="B22" s="44" t="s">
        <v>466</v>
      </c>
      <c r="C22" s="44" t="s">
        <v>994</v>
      </c>
      <c r="D22" s="44" t="s">
        <v>282</v>
      </c>
      <c r="E22" s="45">
        <v>275300</v>
      </c>
      <c r="F22" s="46">
        <v>2183.1289999999999</v>
      </c>
      <c r="G22" s="47">
        <v>1.38792E-2</v>
      </c>
      <c r="H22" s="40" t="s">
        <v>151</v>
      </c>
      <c r="J22" s="12"/>
    </row>
    <row r="23" spans="1:10" x14ac:dyDescent="0.2">
      <c r="A23" s="43">
        <v>17</v>
      </c>
      <c r="B23" s="44" t="s">
        <v>248</v>
      </c>
      <c r="C23" s="44" t="s">
        <v>249</v>
      </c>
      <c r="D23" s="44" t="s">
        <v>86</v>
      </c>
      <c r="E23" s="45">
        <v>67900</v>
      </c>
      <c r="F23" s="46">
        <v>1990.79405</v>
      </c>
      <c r="G23" s="47">
        <v>1.265643E-2</v>
      </c>
      <c r="H23" s="40" t="s">
        <v>151</v>
      </c>
      <c r="J23" s="7"/>
    </row>
    <row r="24" spans="1:10" ht="25.5" x14ac:dyDescent="0.2">
      <c r="A24" s="43">
        <v>18</v>
      </c>
      <c r="B24" s="44" t="s">
        <v>475</v>
      </c>
      <c r="C24" s="44" t="s">
        <v>476</v>
      </c>
      <c r="D24" s="44" t="s">
        <v>210</v>
      </c>
      <c r="E24" s="45">
        <v>128700</v>
      </c>
      <c r="F24" s="46">
        <v>1987.5141000000001</v>
      </c>
      <c r="G24" s="47">
        <v>1.263558E-2</v>
      </c>
      <c r="H24" s="40" t="s">
        <v>151</v>
      </c>
      <c r="J24" s="7"/>
    </row>
    <row r="25" spans="1:10" x14ac:dyDescent="0.2">
      <c r="A25" s="43">
        <v>19</v>
      </c>
      <c r="B25" s="44" t="s">
        <v>198</v>
      </c>
      <c r="C25" s="44" t="s">
        <v>199</v>
      </c>
      <c r="D25" s="44" t="s">
        <v>89</v>
      </c>
      <c r="E25" s="45">
        <v>47350</v>
      </c>
      <c r="F25" s="46">
        <v>1959.603425</v>
      </c>
      <c r="G25" s="47">
        <v>1.2458139999999999E-2</v>
      </c>
      <c r="H25" s="40" t="s">
        <v>151</v>
      </c>
      <c r="J25" s="7"/>
    </row>
    <row r="26" spans="1:10" x14ac:dyDescent="0.2">
      <c r="A26" s="43">
        <v>20</v>
      </c>
      <c r="B26" s="44" t="s">
        <v>357</v>
      </c>
      <c r="C26" s="44" t="s">
        <v>358</v>
      </c>
      <c r="D26" s="44" t="s">
        <v>282</v>
      </c>
      <c r="E26" s="45">
        <v>162800</v>
      </c>
      <c r="F26" s="46">
        <v>1883.0262</v>
      </c>
      <c r="G26" s="47">
        <v>1.1971300000000001E-2</v>
      </c>
      <c r="H26" s="40" t="s">
        <v>151</v>
      </c>
      <c r="J26" s="7"/>
    </row>
    <row r="27" spans="1:10" x14ac:dyDescent="0.2">
      <c r="A27" s="43">
        <v>21</v>
      </c>
      <c r="B27" s="44" t="s">
        <v>471</v>
      </c>
      <c r="C27" s="44" t="s">
        <v>472</v>
      </c>
      <c r="D27" s="44" t="s">
        <v>219</v>
      </c>
      <c r="E27" s="45">
        <v>109800</v>
      </c>
      <c r="F27" s="46">
        <v>1803.5748000000001</v>
      </c>
      <c r="G27" s="47">
        <v>1.1466189999999999E-2</v>
      </c>
      <c r="H27" s="40" t="s">
        <v>151</v>
      </c>
      <c r="J27" s="7"/>
    </row>
    <row r="28" spans="1:10" x14ac:dyDescent="0.2">
      <c r="A28" s="43">
        <v>22</v>
      </c>
      <c r="B28" s="44" t="s">
        <v>564</v>
      </c>
      <c r="C28" s="44" t="s">
        <v>565</v>
      </c>
      <c r="D28" s="44" t="s">
        <v>219</v>
      </c>
      <c r="E28" s="45">
        <v>114300</v>
      </c>
      <c r="F28" s="46">
        <v>1776.6792</v>
      </c>
      <c r="G28" s="47">
        <v>1.12952E-2</v>
      </c>
      <c r="H28" s="40" t="s">
        <v>151</v>
      </c>
      <c r="J28" s="7"/>
    </row>
    <row r="29" spans="1:10" x14ac:dyDescent="0.2">
      <c r="A29" s="43">
        <v>23</v>
      </c>
      <c r="B29" s="44" t="s">
        <v>14</v>
      </c>
      <c r="C29" s="44" t="s">
        <v>15</v>
      </c>
      <c r="D29" s="44" t="s">
        <v>16</v>
      </c>
      <c r="E29" s="45">
        <v>422100</v>
      </c>
      <c r="F29" s="46">
        <v>1755.9359999999999</v>
      </c>
      <c r="G29" s="47">
        <v>1.1163330000000001E-2</v>
      </c>
      <c r="H29" s="40" t="s">
        <v>151</v>
      </c>
      <c r="J29" s="7"/>
    </row>
    <row r="30" spans="1:10" ht="25.5" x14ac:dyDescent="0.2">
      <c r="A30" s="43">
        <v>24</v>
      </c>
      <c r="B30" s="44" t="s">
        <v>353</v>
      </c>
      <c r="C30" s="44" t="s">
        <v>354</v>
      </c>
      <c r="D30" s="44" t="s">
        <v>210</v>
      </c>
      <c r="E30" s="45">
        <v>95000</v>
      </c>
      <c r="F30" s="46">
        <v>1633.3824999999999</v>
      </c>
      <c r="G30" s="47">
        <v>1.03842E-2</v>
      </c>
      <c r="H30" s="40" t="s">
        <v>151</v>
      </c>
      <c r="J30" s="7"/>
    </row>
    <row r="31" spans="1:10" x14ac:dyDescent="0.2">
      <c r="A31" s="43">
        <v>25</v>
      </c>
      <c r="B31" s="44" t="s">
        <v>556</v>
      </c>
      <c r="C31" s="44" t="s">
        <v>557</v>
      </c>
      <c r="D31" s="44" t="s">
        <v>282</v>
      </c>
      <c r="E31" s="45">
        <v>16737</v>
      </c>
      <c r="F31" s="46">
        <v>1617.4971539999999</v>
      </c>
      <c r="G31" s="47">
        <v>1.0283199999999999E-2</v>
      </c>
      <c r="H31" s="40" t="s">
        <v>151</v>
      </c>
      <c r="J31" s="7"/>
    </row>
    <row r="32" spans="1:10" x14ac:dyDescent="0.2">
      <c r="A32" s="43">
        <v>26</v>
      </c>
      <c r="B32" s="44" t="s">
        <v>552</v>
      </c>
      <c r="C32" s="44" t="s">
        <v>553</v>
      </c>
      <c r="D32" s="44" t="s">
        <v>268</v>
      </c>
      <c r="E32" s="45">
        <v>110000</v>
      </c>
      <c r="F32" s="46">
        <v>1554.63</v>
      </c>
      <c r="G32" s="47">
        <v>9.8835299999999997E-3</v>
      </c>
      <c r="H32" s="40" t="s">
        <v>151</v>
      </c>
      <c r="J32" s="7"/>
    </row>
    <row r="33" spans="1:10" x14ac:dyDescent="0.2">
      <c r="A33" s="43">
        <v>27</v>
      </c>
      <c r="B33" s="44" t="s">
        <v>227</v>
      </c>
      <c r="C33" s="44" t="s">
        <v>228</v>
      </c>
      <c r="D33" s="44" t="s">
        <v>229</v>
      </c>
      <c r="E33" s="45">
        <v>33208</v>
      </c>
      <c r="F33" s="46">
        <v>1505.717136</v>
      </c>
      <c r="G33" s="47">
        <v>9.5725700000000007E-3</v>
      </c>
      <c r="H33" s="40" t="s">
        <v>151</v>
      </c>
      <c r="J33" s="7"/>
    </row>
    <row r="34" spans="1:10" x14ac:dyDescent="0.2">
      <c r="A34" s="43">
        <v>28</v>
      </c>
      <c r="B34" s="44" t="s">
        <v>479</v>
      </c>
      <c r="C34" s="44" t="s">
        <v>480</v>
      </c>
      <c r="D34" s="44" t="s">
        <v>45</v>
      </c>
      <c r="E34" s="45">
        <v>102500</v>
      </c>
      <c r="F34" s="46">
        <v>1463.4949999999999</v>
      </c>
      <c r="G34" s="47">
        <v>9.3041400000000007E-3</v>
      </c>
      <c r="H34" s="40" t="s">
        <v>151</v>
      </c>
      <c r="J34" s="7"/>
    </row>
    <row r="35" spans="1:10" x14ac:dyDescent="0.2">
      <c r="A35" s="43">
        <v>29</v>
      </c>
      <c r="B35" s="44" t="s">
        <v>382</v>
      </c>
      <c r="C35" s="44" t="s">
        <v>383</v>
      </c>
      <c r="D35" s="44" t="s">
        <v>136</v>
      </c>
      <c r="E35" s="45">
        <v>869310</v>
      </c>
      <c r="F35" s="46">
        <v>1437.230223</v>
      </c>
      <c r="G35" s="47">
        <v>9.1371600000000001E-3</v>
      </c>
      <c r="H35" s="40" t="s">
        <v>151</v>
      </c>
      <c r="J35" s="7"/>
    </row>
    <row r="36" spans="1:10" ht="25.5" x14ac:dyDescent="0.2">
      <c r="A36" s="43">
        <v>30</v>
      </c>
      <c r="B36" s="44" t="s">
        <v>477</v>
      </c>
      <c r="C36" s="44" t="s">
        <v>478</v>
      </c>
      <c r="D36" s="44" t="s">
        <v>313</v>
      </c>
      <c r="E36" s="45">
        <v>120000</v>
      </c>
      <c r="F36" s="46">
        <v>1426.74</v>
      </c>
      <c r="G36" s="47">
        <v>9.0704700000000006E-3</v>
      </c>
      <c r="H36" s="40" t="s">
        <v>151</v>
      </c>
      <c r="J36" s="7"/>
    </row>
    <row r="37" spans="1:10" x14ac:dyDescent="0.2">
      <c r="A37" s="43">
        <v>31</v>
      </c>
      <c r="B37" s="44" t="s">
        <v>351</v>
      </c>
      <c r="C37" s="44" t="s">
        <v>352</v>
      </c>
      <c r="D37" s="44" t="s">
        <v>268</v>
      </c>
      <c r="E37" s="45">
        <v>90000</v>
      </c>
      <c r="F37" s="46">
        <v>1419.66</v>
      </c>
      <c r="G37" s="47">
        <v>9.0254600000000008E-3</v>
      </c>
      <c r="H37" s="40" t="s">
        <v>151</v>
      </c>
      <c r="J37" s="7"/>
    </row>
    <row r="38" spans="1:10" ht="25.5" x14ac:dyDescent="0.2">
      <c r="A38" s="43">
        <v>32</v>
      </c>
      <c r="B38" s="44" t="s">
        <v>23</v>
      </c>
      <c r="C38" s="44" t="s">
        <v>24</v>
      </c>
      <c r="D38" s="44" t="s">
        <v>25</v>
      </c>
      <c r="E38" s="45">
        <v>11780</v>
      </c>
      <c r="F38" s="46">
        <v>1400.3121599999999</v>
      </c>
      <c r="G38" s="47">
        <v>8.9024599999999992E-3</v>
      </c>
      <c r="H38" s="40" t="s">
        <v>151</v>
      </c>
      <c r="J38" s="7"/>
    </row>
    <row r="39" spans="1:10" ht="25.5" x14ac:dyDescent="0.2">
      <c r="A39" s="43">
        <v>33</v>
      </c>
      <c r="B39" s="44" t="s">
        <v>362</v>
      </c>
      <c r="C39" s="44" t="s">
        <v>363</v>
      </c>
      <c r="D39" s="44" t="s">
        <v>210</v>
      </c>
      <c r="E39" s="45">
        <v>19400</v>
      </c>
      <c r="F39" s="46">
        <v>1309.597</v>
      </c>
      <c r="G39" s="47">
        <v>8.3257399999999999E-3</v>
      </c>
      <c r="H39" s="40" t="s">
        <v>151</v>
      </c>
      <c r="J39" s="7"/>
    </row>
    <row r="40" spans="1:10" x14ac:dyDescent="0.2">
      <c r="A40" s="43">
        <v>34</v>
      </c>
      <c r="B40" s="44" t="s">
        <v>260</v>
      </c>
      <c r="C40" s="44" t="s">
        <v>261</v>
      </c>
      <c r="D40" s="44" t="s">
        <v>89</v>
      </c>
      <c r="E40" s="45">
        <v>233500</v>
      </c>
      <c r="F40" s="46">
        <v>1297.5595000000001</v>
      </c>
      <c r="G40" s="47">
        <v>8.2492099999999999E-3</v>
      </c>
      <c r="H40" s="40" t="s">
        <v>151</v>
      </c>
      <c r="J40" s="7"/>
    </row>
    <row r="41" spans="1:10" x14ac:dyDescent="0.2">
      <c r="A41" s="43">
        <v>35</v>
      </c>
      <c r="B41" s="44" t="s">
        <v>62</v>
      </c>
      <c r="C41" s="44" t="s">
        <v>63</v>
      </c>
      <c r="D41" s="44" t="s">
        <v>64</v>
      </c>
      <c r="E41" s="45">
        <v>535000</v>
      </c>
      <c r="F41" s="46">
        <v>1289.1895</v>
      </c>
      <c r="G41" s="47">
        <v>8.1960000000000002E-3</v>
      </c>
      <c r="H41" s="40" t="s">
        <v>151</v>
      </c>
      <c r="J41" s="7"/>
    </row>
    <row r="42" spans="1:10" x14ac:dyDescent="0.2">
      <c r="A42" s="43">
        <v>36</v>
      </c>
      <c r="B42" s="44" t="s">
        <v>404</v>
      </c>
      <c r="C42" s="44" t="s">
        <v>405</v>
      </c>
      <c r="D42" s="44" t="s">
        <v>86</v>
      </c>
      <c r="E42" s="45">
        <v>76000</v>
      </c>
      <c r="F42" s="46">
        <v>1255.2539999999999</v>
      </c>
      <c r="G42" s="47">
        <v>7.9802499999999995E-3</v>
      </c>
      <c r="H42" s="40" t="s">
        <v>151</v>
      </c>
      <c r="J42" s="7"/>
    </row>
    <row r="43" spans="1:10" x14ac:dyDescent="0.2">
      <c r="A43" s="43">
        <v>37</v>
      </c>
      <c r="B43" s="44" t="s">
        <v>685</v>
      </c>
      <c r="C43" s="44" t="s">
        <v>686</v>
      </c>
      <c r="D43" s="44" t="s">
        <v>86</v>
      </c>
      <c r="E43" s="45">
        <v>17250</v>
      </c>
      <c r="F43" s="46">
        <v>1174.198875</v>
      </c>
      <c r="G43" s="47">
        <v>7.4649399999999998E-3</v>
      </c>
      <c r="H43" s="40" t="s">
        <v>151</v>
      </c>
      <c r="J43" s="7"/>
    </row>
    <row r="44" spans="1:10" ht="25.5" x14ac:dyDescent="0.2">
      <c r="A44" s="43">
        <v>38</v>
      </c>
      <c r="B44" s="44" t="s">
        <v>203</v>
      </c>
      <c r="C44" s="44" t="s">
        <v>204</v>
      </c>
      <c r="D44" s="44" t="s">
        <v>205</v>
      </c>
      <c r="E44" s="45">
        <v>69900</v>
      </c>
      <c r="F44" s="46">
        <v>1161.7380000000001</v>
      </c>
      <c r="G44" s="47">
        <v>7.3857300000000001E-3</v>
      </c>
      <c r="H44" s="40" t="s">
        <v>151</v>
      </c>
      <c r="J44" s="7"/>
    </row>
    <row r="45" spans="1:10" x14ac:dyDescent="0.2">
      <c r="A45" s="43">
        <v>39</v>
      </c>
      <c r="B45" s="44" t="s">
        <v>560</v>
      </c>
      <c r="C45" s="44" t="s">
        <v>561</v>
      </c>
      <c r="D45" s="44" t="s">
        <v>282</v>
      </c>
      <c r="E45" s="45">
        <v>8800</v>
      </c>
      <c r="F45" s="46">
        <v>1154.1904</v>
      </c>
      <c r="G45" s="47">
        <v>7.3377399999999997E-3</v>
      </c>
      <c r="H45" s="40" t="s">
        <v>151</v>
      </c>
      <c r="J45" s="7"/>
    </row>
    <row r="46" spans="1:10" x14ac:dyDescent="0.2">
      <c r="A46" s="43">
        <v>40</v>
      </c>
      <c r="B46" s="44" t="s">
        <v>96</v>
      </c>
      <c r="C46" s="44" t="s">
        <v>97</v>
      </c>
      <c r="D46" s="44" t="s">
        <v>33</v>
      </c>
      <c r="E46" s="45">
        <v>41970</v>
      </c>
      <c r="F46" s="46">
        <v>1086.4144349999999</v>
      </c>
      <c r="G46" s="47">
        <v>6.9068599999999999E-3</v>
      </c>
      <c r="H46" s="40" t="s">
        <v>151</v>
      </c>
      <c r="J46" s="7"/>
    </row>
    <row r="47" spans="1:10" x14ac:dyDescent="0.2">
      <c r="A47" s="43">
        <v>41</v>
      </c>
      <c r="B47" s="44" t="s">
        <v>269</v>
      </c>
      <c r="C47" s="44" t="s">
        <v>270</v>
      </c>
      <c r="D47" s="44" t="s">
        <v>33</v>
      </c>
      <c r="E47" s="45">
        <v>15400</v>
      </c>
      <c r="F47" s="46">
        <v>1056.1628000000001</v>
      </c>
      <c r="G47" s="47">
        <v>6.7145299999999998E-3</v>
      </c>
      <c r="H47" s="40" t="s">
        <v>151</v>
      </c>
      <c r="J47" s="7"/>
    </row>
    <row r="48" spans="1:10" x14ac:dyDescent="0.2">
      <c r="A48" s="43">
        <v>42</v>
      </c>
      <c r="B48" s="44" t="s">
        <v>330</v>
      </c>
      <c r="C48" s="44" t="s">
        <v>331</v>
      </c>
      <c r="D48" s="44" t="s">
        <v>232</v>
      </c>
      <c r="E48" s="45">
        <v>141950</v>
      </c>
      <c r="F48" s="46">
        <v>1044.6810250000001</v>
      </c>
      <c r="G48" s="47">
        <v>6.6415399999999996E-3</v>
      </c>
      <c r="H48" s="40" t="s">
        <v>151</v>
      </c>
      <c r="J48" s="7"/>
    </row>
    <row r="49" spans="1:10" x14ac:dyDescent="0.2">
      <c r="A49" s="43">
        <v>43</v>
      </c>
      <c r="B49" s="44" t="s">
        <v>225</v>
      </c>
      <c r="C49" s="44" t="s">
        <v>226</v>
      </c>
      <c r="D49" s="44" t="s">
        <v>100</v>
      </c>
      <c r="E49" s="45">
        <v>67000</v>
      </c>
      <c r="F49" s="46">
        <v>1030.192</v>
      </c>
      <c r="G49" s="47">
        <v>6.5494200000000002E-3</v>
      </c>
      <c r="H49" s="40" t="s">
        <v>151</v>
      </c>
      <c r="J49" s="7"/>
    </row>
    <row r="50" spans="1:10" x14ac:dyDescent="0.2">
      <c r="A50" s="43">
        <v>44</v>
      </c>
      <c r="B50" s="44" t="s">
        <v>39</v>
      </c>
      <c r="C50" s="44" t="s">
        <v>40</v>
      </c>
      <c r="D50" s="44" t="s">
        <v>22</v>
      </c>
      <c r="E50" s="45">
        <v>290000</v>
      </c>
      <c r="F50" s="46">
        <v>1015.145</v>
      </c>
      <c r="G50" s="47">
        <v>6.4537600000000002E-3</v>
      </c>
      <c r="H50" s="40" t="s">
        <v>151</v>
      </c>
      <c r="J50" s="7"/>
    </row>
    <row r="51" spans="1:10" ht="25.5" x14ac:dyDescent="0.2">
      <c r="A51" s="43">
        <v>45</v>
      </c>
      <c r="B51" s="44" t="s">
        <v>558</v>
      </c>
      <c r="C51" s="44" t="s">
        <v>559</v>
      </c>
      <c r="D51" s="44" t="s">
        <v>25</v>
      </c>
      <c r="E51" s="45">
        <v>35000</v>
      </c>
      <c r="F51" s="46">
        <v>971.86249999999995</v>
      </c>
      <c r="G51" s="47">
        <v>6.1786000000000002E-3</v>
      </c>
      <c r="H51" s="40" t="s">
        <v>151</v>
      </c>
      <c r="J51" s="7"/>
    </row>
    <row r="52" spans="1:10" ht="25.5" x14ac:dyDescent="0.2">
      <c r="A52" s="43">
        <v>46</v>
      </c>
      <c r="B52" s="44" t="s">
        <v>236</v>
      </c>
      <c r="C52" s="44" t="s">
        <v>237</v>
      </c>
      <c r="D52" s="44" t="s">
        <v>210</v>
      </c>
      <c r="E52" s="45">
        <v>18020</v>
      </c>
      <c r="F52" s="46">
        <v>956.77189999999996</v>
      </c>
      <c r="G52" s="47">
        <v>6.0826600000000002E-3</v>
      </c>
      <c r="H52" s="40" t="s">
        <v>151</v>
      </c>
      <c r="J52" s="7"/>
    </row>
    <row r="53" spans="1:10" ht="25.5" x14ac:dyDescent="0.2">
      <c r="A53" s="122">
        <v>47</v>
      </c>
      <c r="B53" s="83" t="s">
        <v>933</v>
      </c>
      <c r="C53" s="83" t="s">
        <v>934</v>
      </c>
      <c r="D53" s="83" t="s">
        <v>16</v>
      </c>
      <c r="E53" s="119">
        <v>1000916</v>
      </c>
      <c r="F53" s="120">
        <f>9.607793*100</f>
        <v>960.77929999999992</v>
      </c>
      <c r="G53" s="123">
        <v>6.1081339838396165E-3</v>
      </c>
      <c r="H53" s="120"/>
      <c r="J53" s="7"/>
    </row>
    <row r="54" spans="1:10" x14ac:dyDescent="0.2">
      <c r="A54" s="43">
        <v>48</v>
      </c>
      <c r="B54" s="44" t="s">
        <v>275</v>
      </c>
      <c r="C54" s="44" t="s">
        <v>276</v>
      </c>
      <c r="D54" s="44" t="s">
        <v>277</v>
      </c>
      <c r="E54" s="45">
        <v>65100</v>
      </c>
      <c r="F54" s="46">
        <v>801.86924999999997</v>
      </c>
      <c r="G54" s="47">
        <v>5.09787E-3</v>
      </c>
      <c r="H54" s="40" t="s">
        <v>151</v>
      </c>
      <c r="J54" s="7"/>
    </row>
    <row r="55" spans="1:10" ht="25.5" x14ac:dyDescent="0.2">
      <c r="A55" s="43">
        <v>49</v>
      </c>
      <c r="B55" s="44" t="s">
        <v>208</v>
      </c>
      <c r="C55" s="44" t="s">
        <v>209</v>
      </c>
      <c r="D55" s="44" t="s">
        <v>210</v>
      </c>
      <c r="E55" s="45">
        <v>37900</v>
      </c>
      <c r="F55" s="46">
        <v>724.59114999999997</v>
      </c>
      <c r="G55" s="47">
        <v>4.6065699999999999E-3</v>
      </c>
      <c r="H55" s="40" t="s">
        <v>151</v>
      </c>
      <c r="J55" s="7"/>
    </row>
    <row r="56" spans="1:10" x14ac:dyDescent="0.2">
      <c r="A56" s="43">
        <v>50</v>
      </c>
      <c r="B56" s="44" t="s">
        <v>384</v>
      </c>
      <c r="C56" s="44" t="s">
        <v>385</v>
      </c>
      <c r="D56" s="44" t="s">
        <v>89</v>
      </c>
      <c r="E56" s="45">
        <v>38500</v>
      </c>
      <c r="F56" s="46">
        <v>667.39750000000004</v>
      </c>
      <c r="G56" s="47">
        <v>4.2429700000000004E-3</v>
      </c>
      <c r="H56" s="40" t="s">
        <v>151</v>
      </c>
      <c r="J56" s="7"/>
    </row>
    <row r="57" spans="1:10" x14ac:dyDescent="0.2">
      <c r="A57" s="43">
        <v>51</v>
      </c>
      <c r="B57" s="44" t="s">
        <v>364</v>
      </c>
      <c r="C57" s="44" t="s">
        <v>365</v>
      </c>
      <c r="D57" s="44" t="s">
        <v>366</v>
      </c>
      <c r="E57" s="45">
        <v>132500</v>
      </c>
      <c r="F57" s="46">
        <v>656.33875</v>
      </c>
      <c r="G57" s="47">
        <v>4.1726599999999999E-3</v>
      </c>
      <c r="H57" s="40" t="s">
        <v>151</v>
      </c>
      <c r="J57" s="7"/>
    </row>
    <row r="58" spans="1:10" x14ac:dyDescent="0.2">
      <c r="A58" s="43">
        <v>52</v>
      </c>
      <c r="B58" s="44" t="s">
        <v>220</v>
      </c>
      <c r="C58" s="44" t="s">
        <v>221</v>
      </c>
      <c r="D58" s="44" t="s">
        <v>222</v>
      </c>
      <c r="E58" s="45">
        <v>128600</v>
      </c>
      <c r="F58" s="46">
        <v>645.4434</v>
      </c>
      <c r="G58" s="47">
        <v>4.1033900000000002E-3</v>
      </c>
      <c r="H58" s="40" t="s">
        <v>151</v>
      </c>
      <c r="J58" s="7"/>
    </row>
    <row r="59" spans="1:10" x14ac:dyDescent="0.2">
      <c r="A59" s="43">
        <v>53</v>
      </c>
      <c r="B59" s="44" t="s">
        <v>87</v>
      </c>
      <c r="C59" s="44" t="s">
        <v>88</v>
      </c>
      <c r="D59" s="44" t="s">
        <v>89</v>
      </c>
      <c r="E59" s="45">
        <v>9700</v>
      </c>
      <c r="F59" s="46">
        <v>542.18150000000003</v>
      </c>
      <c r="G59" s="47">
        <v>3.4469100000000001E-3</v>
      </c>
      <c r="H59" s="40" t="s">
        <v>151</v>
      </c>
      <c r="J59" s="7"/>
    </row>
    <row r="60" spans="1:10" x14ac:dyDescent="0.2">
      <c r="A60" s="43">
        <v>54</v>
      </c>
      <c r="B60" s="44" t="s">
        <v>128</v>
      </c>
      <c r="C60" s="44" t="s">
        <v>129</v>
      </c>
      <c r="D60" s="44" t="s">
        <v>76</v>
      </c>
      <c r="E60" s="45">
        <v>110100</v>
      </c>
      <c r="F60" s="46">
        <v>444.80399999999997</v>
      </c>
      <c r="G60" s="47">
        <v>2.8278299999999999E-3</v>
      </c>
      <c r="H60" s="40" t="s">
        <v>151</v>
      </c>
      <c r="J60" s="7"/>
    </row>
    <row r="61" spans="1:10" ht="25.5" x14ac:dyDescent="0.2">
      <c r="A61" s="43">
        <v>55</v>
      </c>
      <c r="B61" s="44" t="s">
        <v>82</v>
      </c>
      <c r="C61" s="44" t="s">
        <v>83</v>
      </c>
      <c r="D61" s="44" t="s">
        <v>25</v>
      </c>
      <c r="E61" s="45">
        <v>9350</v>
      </c>
      <c r="F61" s="46">
        <v>412.984825</v>
      </c>
      <c r="G61" s="47">
        <v>2.62554E-3</v>
      </c>
      <c r="H61" s="40" t="s">
        <v>151</v>
      </c>
      <c r="J61" s="7"/>
    </row>
    <row r="62" spans="1:10" ht="25.5" x14ac:dyDescent="0.2">
      <c r="A62" s="43">
        <v>56</v>
      </c>
      <c r="B62" s="44" t="s">
        <v>311</v>
      </c>
      <c r="C62" s="44" t="s">
        <v>312</v>
      </c>
      <c r="D62" s="44" t="s">
        <v>313</v>
      </c>
      <c r="E62" s="45">
        <v>60000</v>
      </c>
      <c r="F62" s="46">
        <v>404.46</v>
      </c>
      <c r="G62" s="47">
        <v>2.57135E-3</v>
      </c>
      <c r="H62" s="40" t="s">
        <v>151</v>
      </c>
      <c r="J62" s="7"/>
    </row>
    <row r="63" spans="1:10" x14ac:dyDescent="0.2">
      <c r="A63" s="43">
        <v>57</v>
      </c>
      <c r="B63" s="44" t="s">
        <v>283</v>
      </c>
      <c r="C63" s="44" t="s">
        <v>284</v>
      </c>
      <c r="D63" s="44" t="s">
        <v>89</v>
      </c>
      <c r="E63" s="45">
        <v>35240</v>
      </c>
      <c r="F63" s="46">
        <v>366.84840000000003</v>
      </c>
      <c r="G63" s="47">
        <v>2.3322299999999998E-3</v>
      </c>
      <c r="H63" s="40" t="s">
        <v>151</v>
      </c>
      <c r="J63" s="7"/>
    </row>
    <row r="64" spans="1:10" x14ac:dyDescent="0.2">
      <c r="A64" s="43">
        <v>58</v>
      </c>
      <c r="B64" s="44" t="s">
        <v>206</v>
      </c>
      <c r="C64" s="44" t="s">
        <v>207</v>
      </c>
      <c r="D64" s="44" t="s">
        <v>45</v>
      </c>
      <c r="E64" s="45">
        <v>55100</v>
      </c>
      <c r="F64" s="46">
        <v>335.44880000000001</v>
      </c>
      <c r="G64" s="47">
        <v>2.1326100000000001E-3</v>
      </c>
      <c r="H64" s="40" t="s">
        <v>151</v>
      </c>
      <c r="J64" s="7"/>
    </row>
    <row r="65" spans="1:10" x14ac:dyDescent="0.2">
      <c r="A65" s="43">
        <v>59</v>
      </c>
      <c r="B65" s="44" t="s">
        <v>217</v>
      </c>
      <c r="C65" s="44" t="s">
        <v>218</v>
      </c>
      <c r="D65" s="44" t="s">
        <v>219</v>
      </c>
      <c r="E65" s="45">
        <v>2000</v>
      </c>
      <c r="F65" s="46">
        <v>96.646000000000001</v>
      </c>
      <c r="G65" s="47">
        <v>6.1443000000000001E-4</v>
      </c>
      <c r="H65" s="40" t="s">
        <v>151</v>
      </c>
      <c r="J65" s="7"/>
    </row>
    <row r="66" spans="1:10" x14ac:dyDescent="0.2">
      <c r="A66" s="43">
        <v>60</v>
      </c>
      <c r="B66" s="44" t="s">
        <v>554</v>
      </c>
      <c r="C66" s="44" t="s">
        <v>555</v>
      </c>
      <c r="D66" s="44" t="s">
        <v>282</v>
      </c>
      <c r="E66" s="45">
        <v>1050</v>
      </c>
      <c r="F66" s="46">
        <v>30.5319</v>
      </c>
      <c r="G66" s="47">
        <v>1.9411E-4</v>
      </c>
      <c r="H66" s="40" t="s">
        <v>151</v>
      </c>
      <c r="J66" s="7"/>
    </row>
    <row r="67" spans="1:10" ht="25.5" x14ac:dyDescent="0.2">
      <c r="A67" s="43">
        <v>61</v>
      </c>
      <c r="B67" s="44" t="s">
        <v>481</v>
      </c>
      <c r="C67" s="44" t="s">
        <v>478</v>
      </c>
      <c r="D67" s="44" t="s">
        <v>313</v>
      </c>
      <c r="E67" s="45">
        <v>4615</v>
      </c>
      <c r="F67" s="46">
        <v>17.119342499999998</v>
      </c>
      <c r="G67" s="47">
        <v>1.0883999999999999E-4</v>
      </c>
      <c r="H67" s="40" t="s">
        <v>151</v>
      </c>
      <c r="J67" s="7"/>
    </row>
    <row r="68" spans="1:10" x14ac:dyDescent="0.2">
      <c r="A68" s="43">
        <v>62</v>
      </c>
      <c r="B68" s="44" t="s">
        <v>665</v>
      </c>
      <c r="C68" s="44" t="s">
        <v>666</v>
      </c>
      <c r="D68" s="44" t="s">
        <v>667</v>
      </c>
      <c r="E68" s="45">
        <v>2300</v>
      </c>
      <c r="F68" s="46">
        <v>10.36725</v>
      </c>
      <c r="G68" s="47">
        <v>6.5909999999999997E-5</v>
      </c>
      <c r="H68" s="40" t="s">
        <v>151</v>
      </c>
      <c r="J68" s="7"/>
    </row>
    <row r="69" spans="1:10" x14ac:dyDescent="0.2">
      <c r="A69" s="41"/>
      <c r="B69" s="41"/>
      <c r="C69" s="42" t="s">
        <v>150</v>
      </c>
      <c r="D69" s="41"/>
      <c r="E69" s="41" t="s">
        <v>151</v>
      </c>
      <c r="F69" s="48">
        <f>SUM(F7:F68)</f>
        <v>116752.32341750004</v>
      </c>
      <c r="G69" s="49">
        <f>SUM(G7:G68)</f>
        <v>0.7422504867369063</v>
      </c>
      <c r="H69" s="40" t="s">
        <v>151</v>
      </c>
      <c r="J69" s="7"/>
    </row>
    <row r="70" spans="1:10" x14ac:dyDescent="0.2">
      <c r="A70" s="41"/>
      <c r="B70" s="41"/>
      <c r="C70" s="50"/>
      <c r="D70" s="41"/>
      <c r="E70" s="41"/>
      <c r="F70" s="51"/>
      <c r="G70" s="51"/>
      <c r="H70" s="40" t="s">
        <v>151</v>
      </c>
      <c r="J70" s="7"/>
    </row>
    <row r="71" spans="1:10" x14ac:dyDescent="0.2">
      <c r="A71" s="41"/>
      <c r="B71" s="41"/>
      <c r="C71" s="42" t="s">
        <v>152</v>
      </c>
      <c r="D71" s="41"/>
      <c r="E71" s="41"/>
      <c r="F71" s="41"/>
      <c r="G71" s="41"/>
      <c r="H71" s="40" t="s">
        <v>151</v>
      </c>
      <c r="J71" s="7"/>
    </row>
    <row r="72" spans="1:10" x14ac:dyDescent="0.2">
      <c r="A72" s="41"/>
      <c r="B72" s="41"/>
      <c r="C72" s="42" t="s">
        <v>150</v>
      </c>
      <c r="D72" s="41"/>
      <c r="E72" s="41" t="s">
        <v>151</v>
      </c>
      <c r="F72" s="52" t="s">
        <v>153</v>
      </c>
      <c r="G72" s="49">
        <v>0</v>
      </c>
      <c r="H72" s="40" t="s">
        <v>151</v>
      </c>
      <c r="J72" s="7"/>
    </row>
    <row r="73" spans="1:10" x14ac:dyDescent="0.2">
      <c r="A73" s="41"/>
      <c r="B73" s="41"/>
      <c r="C73" s="50"/>
      <c r="D73" s="41"/>
      <c r="E73" s="41"/>
      <c r="F73" s="51"/>
      <c r="G73" s="51"/>
      <c r="H73" s="40" t="s">
        <v>151</v>
      </c>
      <c r="J73" s="7"/>
    </row>
    <row r="74" spans="1:10" x14ac:dyDescent="0.2">
      <c r="A74" s="41"/>
      <c r="B74" s="41"/>
      <c r="C74" s="42" t="s">
        <v>154</v>
      </c>
      <c r="D74" s="41"/>
      <c r="E74" s="41"/>
      <c r="F74" s="41"/>
      <c r="G74" s="41"/>
      <c r="H74" s="40" t="s">
        <v>151</v>
      </c>
      <c r="J74" s="7"/>
    </row>
    <row r="75" spans="1:10" x14ac:dyDescent="0.2">
      <c r="A75" s="41"/>
      <c r="B75" s="41"/>
      <c r="C75" s="42" t="s">
        <v>150</v>
      </c>
      <c r="D75" s="41"/>
      <c r="E75" s="41" t="s">
        <v>151</v>
      </c>
      <c r="F75" s="52" t="s">
        <v>153</v>
      </c>
      <c r="G75" s="49">
        <v>0</v>
      </c>
      <c r="H75" s="40" t="s">
        <v>151</v>
      </c>
      <c r="J75" s="7"/>
    </row>
    <row r="76" spans="1:10" x14ac:dyDescent="0.2">
      <c r="A76" s="41"/>
      <c r="B76" s="41"/>
      <c r="C76" s="50"/>
      <c r="D76" s="41"/>
      <c r="E76" s="41"/>
      <c r="F76" s="51"/>
      <c r="G76" s="51"/>
      <c r="H76" s="40" t="s">
        <v>151</v>
      </c>
      <c r="J76" s="7"/>
    </row>
    <row r="77" spans="1:10" x14ac:dyDescent="0.2">
      <c r="A77" s="41"/>
      <c r="B77" s="41"/>
      <c r="C77" s="42" t="s">
        <v>155</v>
      </c>
      <c r="D77" s="41"/>
      <c r="E77" s="41"/>
      <c r="F77" s="41"/>
      <c r="G77" s="41"/>
      <c r="H77" s="40" t="s">
        <v>151</v>
      </c>
      <c r="J77" s="7"/>
    </row>
    <row r="78" spans="1:10" x14ac:dyDescent="0.2">
      <c r="A78" s="41"/>
      <c r="B78" s="41"/>
      <c r="C78" s="42" t="s">
        <v>150</v>
      </c>
      <c r="D78" s="41"/>
      <c r="E78" s="41" t="s">
        <v>151</v>
      </c>
      <c r="F78" s="52" t="s">
        <v>153</v>
      </c>
      <c r="G78" s="49">
        <v>0</v>
      </c>
      <c r="H78" s="40" t="s">
        <v>151</v>
      </c>
      <c r="J78" s="7"/>
    </row>
    <row r="79" spans="1:10" x14ac:dyDescent="0.2">
      <c r="A79" s="41"/>
      <c r="B79" s="41"/>
      <c r="C79" s="50"/>
      <c r="D79" s="41"/>
      <c r="E79" s="41"/>
      <c r="F79" s="51"/>
      <c r="G79" s="51"/>
      <c r="H79" s="40" t="s">
        <v>151</v>
      </c>
      <c r="J79" s="7"/>
    </row>
    <row r="80" spans="1:10" x14ac:dyDescent="0.2">
      <c r="A80" s="41"/>
      <c r="B80" s="41"/>
      <c r="C80" s="42" t="s">
        <v>156</v>
      </c>
      <c r="D80" s="41"/>
      <c r="E80" s="41"/>
      <c r="F80" s="51"/>
      <c r="G80" s="51"/>
      <c r="H80" s="40" t="s">
        <v>151</v>
      </c>
      <c r="J80" s="7"/>
    </row>
    <row r="81" spans="1:10" x14ac:dyDescent="0.2">
      <c r="A81" s="41"/>
      <c r="B81" s="41"/>
      <c r="C81" s="42" t="s">
        <v>150</v>
      </c>
      <c r="D81" s="41"/>
      <c r="E81" s="41" t="s">
        <v>151</v>
      </c>
      <c r="F81" s="52" t="s">
        <v>153</v>
      </c>
      <c r="G81" s="49">
        <v>0</v>
      </c>
      <c r="H81" s="40" t="s">
        <v>151</v>
      </c>
      <c r="J81" s="7"/>
    </row>
    <row r="82" spans="1:10" x14ac:dyDescent="0.2">
      <c r="A82" s="41"/>
      <c r="B82" s="41"/>
      <c r="C82" s="50"/>
      <c r="D82" s="41"/>
      <c r="E82" s="41"/>
      <c r="F82" s="51"/>
      <c r="G82" s="51"/>
      <c r="H82" s="40" t="s">
        <v>151</v>
      </c>
      <c r="J82" s="7"/>
    </row>
    <row r="83" spans="1:10" x14ac:dyDescent="0.2">
      <c r="A83" s="41"/>
      <c r="B83" s="41"/>
      <c r="C83" s="42" t="s">
        <v>928</v>
      </c>
      <c r="D83" s="41"/>
      <c r="E83" s="41"/>
      <c r="F83" s="41"/>
      <c r="G83" s="41"/>
      <c r="H83" s="40"/>
      <c r="J83" s="7"/>
    </row>
    <row r="84" spans="1:10" ht="25.5" x14ac:dyDescent="0.2">
      <c r="A84" s="43">
        <v>1</v>
      </c>
      <c r="B84" s="44" t="s">
        <v>929</v>
      </c>
      <c r="C84" s="44" t="s">
        <v>930</v>
      </c>
      <c r="D84" s="44" t="s">
        <v>931</v>
      </c>
      <c r="E84" s="45">
        <v>750</v>
      </c>
      <c r="F84" s="46">
        <v>828.96917849999988</v>
      </c>
      <c r="G84" s="47">
        <v>5.2701539372793094E-3</v>
      </c>
      <c r="H84" s="40">
        <v>8.35</v>
      </c>
      <c r="J84" s="7"/>
    </row>
    <row r="85" spans="1:10" x14ac:dyDescent="0.2">
      <c r="A85" s="41"/>
      <c r="B85" s="41"/>
      <c r="C85" s="42" t="s">
        <v>150</v>
      </c>
      <c r="D85" s="41"/>
      <c r="E85" s="41" t="s">
        <v>151</v>
      </c>
      <c r="F85" s="48">
        <f>SUM(F84)</f>
        <v>828.96917849999988</v>
      </c>
      <c r="G85" s="49">
        <f>SUM(G84)</f>
        <v>5.2701539372793094E-3</v>
      </c>
      <c r="H85" s="40"/>
      <c r="J85" s="7"/>
    </row>
    <row r="86" spans="1:10" x14ac:dyDescent="0.2">
      <c r="A86" s="41"/>
      <c r="B86" s="41"/>
      <c r="C86" s="50"/>
      <c r="D86" s="41"/>
      <c r="E86" s="41"/>
      <c r="F86" s="51"/>
      <c r="G86" s="51"/>
      <c r="H86" s="40" t="s">
        <v>151</v>
      </c>
      <c r="J86" s="7"/>
    </row>
    <row r="87" spans="1:10" x14ac:dyDescent="0.2">
      <c r="A87" s="41"/>
      <c r="B87" s="41"/>
      <c r="C87" s="64" t="s">
        <v>932</v>
      </c>
      <c r="D87" s="41"/>
      <c r="E87" s="41"/>
      <c r="F87" s="51"/>
      <c r="G87" s="51"/>
      <c r="H87" s="40" t="s">
        <v>151</v>
      </c>
      <c r="J87" s="7"/>
    </row>
    <row r="88" spans="1:10" x14ac:dyDescent="0.2">
      <c r="A88" s="43">
        <v>1</v>
      </c>
      <c r="B88" s="44"/>
      <c r="C88" s="44" t="s">
        <v>677</v>
      </c>
      <c r="D88" s="44" t="s">
        <v>674</v>
      </c>
      <c r="E88" s="45">
        <v>-2300</v>
      </c>
      <c r="F88" s="46">
        <v>-10.351150000000001</v>
      </c>
      <c r="G88" s="47">
        <f>F88/$F$175</f>
        <v>-6.5807216170062633E-5</v>
      </c>
      <c r="H88" s="40" t="s">
        <v>151</v>
      </c>
      <c r="J88" s="7"/>
    </row>
    <row r="89" spans="1:10" x14ac:dyDescent="0.2">
      <c r="A89" s="43">
        <v>2</v>
      </c>
      <c r="B89" s="44"/>
      <c r="C89" s="44" t="s">
        <v>687</v>
      </c>
      <c r="D89" s="44" t="s">
        <v>674</v>
      </c>
      <c r="E89" s="45">
        <v>-1050</v>
      </c>
      <c r="F89" s="46">
        <v>-30.740849999999998</v>
      </c>
      <c r="G89" s="47">
        <f t="shared" ref="G89:G108" si="0">F89/$F$175</f>
        <v>-1.9543430065272648E-4</v>
      </c>
      <c r="H89" s="40" t="s">
        <v>151</v>
      </c>
      <c r="J89" s="7"/>
    </row>
    <row r="90" spans="1:10" x14ac:dyDescent="0.2">
      <c r="A90" s="43">
        <v>3</v>
      </c>
      <c r="B90" s="44"/>
      <c r="C90" s="44" t="s">
        <v>688</v>
      </c>
      <c r="D90" s="44" t="s">
        <v>674</v>
      </c>
      <c r="E90" s="45">
        <v>-2000</v>
      </c>
      <c r="F90" s="46">
        <v>-97.036000000000001</v>
      </c>
      <c r="G90" s="47">
        <f t="shared" si="0"/>
        <v>-6.1690430805062216E-4</v>
      </c>
      <c r="H90" s="40" t="s">
        <v>151</v>
      </c>
      <c r="J90" s="7"/>
    </row>
    <row r="91" spans="1:10" x14ac:dyDescent="0.2">
      <c r="A91" s="43">
        <v>4</v>
      </c>
      <c r="B91" s="44"/>
      <c r="C91" s="44" t="s">
        <v>689</v>
      </c>
      <c r="D91" s="44" t="s">
        <v>674</v>
      </c>
      <c r="E91" s="45">
        <v>-27000</v>
      </c>
      <c r="F91" s="46">
        <v>-111.91500000000001</v>
      </c>
      <c r="G91" s="47">
        <f t="shared" si="0"/>
        <v>-7.1149723438193428E-4</v>
      </c>
      <c r="H91" s="40" t="s">
        <v>151</v>
      </c>
      <c r="J91" s="7"/>
    </row>
    <row r="92" spans="1:10" x14ac:dyDescent="0.2">
      <c r="A92" s="43">
        <v>5</v>
      </c>
      <c r="B92" s="44"/>
      <c r="C92" s="44" t="s">
        <v>690</v>
      </c>
      <c r="D92" s="44" t="s">
        <v>674</v>
      </c>
      <c r="E92" s="45">
        <v>-9800</v>
      </c>
      <c r="F92" s="46">
        <v>-162.71430000000001</v>
      </c>
      <c r="G92" s="47">
        <f t="shared" si="0"/>
        <v>-1.0344527046811632E-3</v>
      </c>
      <c r="H92" s="40" t="s">
        <v>151</v>
      </c>
      <c r="J92" s="7"/>
    </row>
    <row r="93" spans="1:10" x14ac:dyDescent="0.2">
      <c r="A93" s="43">
        <v>6</v>
      </c>
      <c r="B93" s="44"/>
      <c r="C93" s="44" t="s">
        <v>691</v>
      </c>
      <c r="D93" s="44" t="s">
        <v>674</v>
      </c>
      <c r="E93" s="45">
        <v>-17500</v>
      </c>
      <c r="F93" s="46">
        <v>-212.2225</v>
      </c>
      <c r="G93" s="47">
        <f t="shared" si="0"/>
        <v>-1.3492000341653939E-3</v>
      </c>
      <c r="H93" s="40" t="s">
        <v>151</v>
      </c>
      <c r="J93" s="7"/>
    </row>
    <row r="94" spans="1:10" x14ac:dyDescent="0.2">
      <c r="A94" s="43">
        <v>7</v>
      </c>
      <c r="B94" s="44"/>
      <c r="C94" s="44" t="s">
        <v>692</v>
      </c>
      <c r="D94" s="44" t="s">
        <v>674</v>
      </c>
      <c r="E94" s="45">
        <v>-20000</v>
      </c>
      <c r="F94" s="46">
        <v>-234.83</v>
      </c>
      <c r="G94" s="47">
        <f t="shared" si="0"/>
        <v>-1.4929267350213076E-3</v>
      </c>
      <c r="H94" s="40" t="s">
        <v>151</v>
      </c>
      <c r="J94" s="7"/>
    </row>
    <row r="95" spans="1:10" x14ac:dyDescent="0.2">
      <c r="A95" s="43">
        <v>8</v>
      </c>
      <c r="B95" s="44"/>
      <c r="C95" s="44" t="s">
        <v>693</v>
      </c>
      <c r="D95" s="44" t="s">
        <v>674</v>
      </c>
      <c r="E95" s="45">
        <v>-165000</v>
      </c>
      <c r="F95" s="46">
        <v>-274.44450000000001</v>
      </c>
      <c r="G95" s="47">
        <f t="shared" si="0"/>
        <v>-1.7447750769899724E-3</v>
      </c>
      <c r="H95" s="40" t="s">
        <v>151</v>
      </c>
      <c r="J95" s="7"/>
    </row>
    <row r="96" spans="1:10" x14ac:dyDescent="0.2">
      <c r="A96" s="43">
        <v>9</v>
      </c>
      <c r="B96" s="44"/>
      <c r="C96" s="44" t="s">
        <v>694</v>
      </c>
      <c r="D96" s="44" t="s">
        <v>674</v>
      </c>
      <c r="E96" s="45">
        <v>-31000</v>
      </c>
      <c r="F96" s="46">
        <v>-514.32100000000003</v>
      </c>
      <c r="G96" s="47">
        <f t="shared" si="0"/>
        <v>-3.2697848285265676E-3</v>
      </c>
      <c r="H96" s="40" t="s">
        <v>151</v>
      </c>
      <c r="J96" s="7"/>
    </row>
    <row r="97" spans="1:10" x14ac:dyDescent="0.2">
      <c r="A97" s="43">
        <v>10</v>
      </c>
      <c r="B97" s="44"/>
      <c r="C97" s="44" t="s">
        <v>695</v>
      </c>
      <c r="D97" s="44" t="s">
        <v>674</v>
      </c>
      <c r="E97" s="45">
        <v>-45000</v>
      </c>
      <c r="F97" s="46">
        <v>-563.64750000000004</v>
      </c>
      <c r="G97" s="47">
        <f t="shared" si="0"/>
        <v>-3.5833770041218006E-3</v>
      </c>
      <c r="H97" s="40" t="s">
        <v>151</v>
      </c>
      <c r="J97" s="7"/>
    </row>
    <row r="98" spans="1:10" x14ac:dyDescent="0.2">
      <c r="A98" s="43">
        <v>11</v>
      </c>
      <c r="B98" s="44"/>
      <c r="C98" s="44" t="s">
        <v>696</v>
      </c>
      <c r="D98" s="44" t="s">
        <v>674</v>
      </c>
      <c r="E98" s="45">
        <v>-38500</v>
      </c>
      <c r="F98" s="46">
        <v>-670.26575000000003</v>
      </c>
      <c r="G98" s="47">
        <f t="shared" si="0"/>
        <v>-4.2612002629310907E-3</v>
      </c>
      <c r="H98" s="40" t="s">
        <v>151</v>
      </c>
      <c r="J98" s="7"/>
    </row>
    <row r="99" spans="1:10" x14ac:dyDescent="0.2">
      <c r="A99" s="43">
        <v>12</v>
      </c>
      <c r="B99" s="44"/>
      <c r="C99" s="44" t="s">
        <v>678</v>
      </c>
      <c r="D99" s="44" t="s">
        <v>674</v>
      </c>
      <c r="E99" s="45">
        <v>-27500</v>
      </c>
      <c r="F99" s="46">
        <v>-830.87125000000003</v>
      </c>
      <c r="G99" s="47">
        <f t="shared" si="0"/>
        <v>-5.2822463164228272E-3</v>
      </c>
      <c r="H99" s="40" t="s">
        <v>151</v>
      </c>
      <c r="J99" s="7"/>
    </row>
    <row r="100" spans="1:10" x14ac:dyDescent="0.2">
      <c r="A100" s="43">
        <v>13</v>
      </c>
      <c r="B100" s="44"/>
      <c r="C100" s="44" t="s">
        <v>697</v>
      </c>
      <c r="D100" s="44" t="s">
        <v>674</v>
      </c>
      <c r="E100" s="45">
        <v>-60600</v>
      </c>
      <c r="F100" s="46">
        <v>-945.66300000000001</v>
      </c>
      <c r="G100" s="47">
        <f t="shared" si="0"/>
        <v>-6.0120324278007693E-3</v>
      </c>
      <c r="H100" s="40" t="s">
        <v>151</v>
      </c>
      <c r="J100" s="7"/>
    </row>
    <row r="101" spans="1:10" x14ac:dyDescent="0.2">
      <c r="A101" s="43">
        <v>14</v>
      </c>
      <c r="B101" s="44"/>
      <c r="C101" s="44" t="s">
        <v>698</v>
      </c>
      <c r="D101" s="44" t="s">
        <v>674</v>
      </c>
      <c r="E101" s="45">
        <v>-17250</v>
      </c>
      <c r="F101" s="46">
        <v>-1182.0907500000001</v>
      </c>
      <c r="G101" s="47">
        <f t="shared" si="0"/>
        <v>-7.5151168244959703E-3</v>
      </c>
      <c r="H101" s="40" t="s">
        <v>151</v>
      </c>
      <c r="J101" s="7"/>
    </row>
    <row r="102" spans="1:10" x14ac:dyDescent="0.2">
      <c r="A102" s="43">
        <v>15</v>
      </c>
      <c r="B102" s="44"/>
      <c r="C102" s="44" t="s">
        <v>699</v>
      </c>
      <c r="D102" s="44" t="s">
        <v>674</v>
      </c>
      <c r="E102" s="45">
        <v>-102500</v>
      </c>
      <c r="F102" s="46">
        <v>-1473.95</v>
      </c>
      <c r="G102" s="47">
        <f t="shared" si="0"/>
        <v>-9.3706058045592826E-3</v>
      </c>
      <c r="H102" s="40" t="s">
        <v>151</v>
      </c>
      <c r="J102" s="7"/>
    </row>
    <row r="103" spans="1:10" x14ac:dyDescent="0.2">
      <c r="A103" s="43">
        <v>16</v>
      </c>
      <c r="B103" s="44"/>
      <c r="C103" s="44" t="s">
        <v>675</v>
      </c>
      <c r="D103" s="44" t="s">
        <v>674</v>
      </c>
      <c r="E103" s="45">
        <v>-99600</v>
      </c>
      <c r="F103" s="46">
        <v>-1809.0845999999999</v>
      </c>
      <c r="G103" s="47">
        <f t="shared" si="0"/>
        <v>-1.1501216902675672E-2</v>
      </c>
      <c r="H103" s="40" t="s">
        <v>151</v>
      </c>
      <c r="J103" s="7"/>
    </row>
    <row r="104" spans="1:10" x14ac:dyDescent="0.2">
      <c r="A104" s="43">
        <v>17</v>
      </c>
      <c r="B104" s="44"/>
      <c r="C104" s="44" t="s">
        <v>700</v>
      </c>
      <c r="D104" s="44" t="s">
        <v>674</v>
      </c>
      <c r="E104" s="45">
        <v>-162800</v>
      </c>
      <c r="F104" s="46">
        <v>-1882.7819999999999</v>
      </c>
      <c r="G104" s="47">
        <f t="shared" si="0"/>
        <v>-1.1969746557155761E-2</v>
      </c>
      <c r="H104" s="40" t="s">
        <v>151</v>
      </c>
      <c r="J104" s="7"/>
    </row>
    <row r="105" spans="1:10" x14ac:dyDescent="0.2">
      <c r="A105" s="43">
        <v>18</v>
      </c>
      <c r="B105" s="44"/>
      <c r="C105" s="44" t="s">
        <v>701</v>
      </c>
      <c r="D105" s="44" t="s">
        <v>674</v>
      </c>
      <c r="E105" s="45">
        <v>-128700</v>
      </c>
      <c r="F105" s="46">
        <v>-1983.5887499999999</v>
      </c>
      <c r="G105" s="47">
        <f t="shared" si="0"/>
        <v>-1.2610623328205495E-2</v>
      </c>
      <c r="H105" s="40" t="s">
        <v>151</v>
      </c>
      <c r="J105" s="7"/>
    </row>
    <row r="106" spans="1:10" x14ac:dyDescent="0.2">
      <c r="A106" s="43">
        <v>19</v>
      </c>
      <c r="B106" s="44"/>
      <c r="C106" s="44" t="s">
        <v>702</v>
      </c>
      <c r="D106" s="44" t="s">
        <v>674</v>
      </c>
      <c r="E106" s="45">
        <v>-1917000</v>
      </c>
      <c r="F106" s="46">
        <v>-2211.6428999999998</v>
      </c>
      <c r="G106" s="47">
        <f t="shared" si="0"/>
        <v>-1.4060472740834032E-2</v>
      </c>
      <c r="H106" s="40" t="s">
        <v>151</v>
      </c>
      <c r="J106" s="7"/>
    </row>
    <row r="107" spans="1:10" x14ac:dyDescent="0.2">
      <c r="A107" s="43">
        <v>20</v>
      </c>
      <c r="B107" s="44"/>
      <c r="C107" s="44" t="s">
        <v>676</v>
      </c>
      <c r="D107" s="44" t="s">
        <v>674</v>
      </c>
      <c r="E107" s="45">
        <v>-930150</v>
      </c>
      <c r="F107" s="46">
        <v>-2376.0681749999999</v>
      </c>
      <c r="G107" s="47">
        <f t="shared" si="0"/>
        <v>-1.5105802932720635E-2</v>
      </c>
      <c r="H107" s="40" t="s">
        <v>151</v>
      </c>
      <c r="J107" s="7"/>
    </row>
    <row r="108" spans="1:10" x14ac:dyDescent="0.2">
      <c r="A108" s="43">
        <v>21</v>
      </c>
      <c r="B108" s="44"/>
      <c r="C108" s="44" t="s">
        <v>679</v>
      </c>
      <c r="D108" s="44" t="s">
        <v>674</v>
      </c>
      <c r="E108" s="45">
        <v>-196350</v>
      </c>
      <c r="F108" s="46">
        <v>-3195.7926000000002</v>
      </c>
      <c r="G108" s="47">
        <f t="shared" si="0"/>
        <v>-2.0317183546068457E-2</v>
      </c>
      <c r="H108" s="40" t="s">
        <v>151</v>
      </c>
      <c r="J108" s="7"/>
    </row>
    <row r="109" spans="1:10" x14ac:dyDescent="0.2">
      <c r="A109" s="41"/>
      <c r="B109" s="41"/>
      <c r="C109" s="42" t="s">
        <v>150</v>
      </c>
      <c r="D109" s="41"/>
      <c r="E109" s="41" t="s">
        <v>151</v>
      </c>
      <c r="F109" s="48">
        <v>-20774.022574999999</v>
      </c>
      <c r="G109" s="49">
        <v>-0.13207041999999999</v>
      </c>
      <c r="H109" s="40" t="s">
        <v>151</v>
      </c>
      <c r="J109" s="7"/>
    </row>
    <row r="110" spans="1:10" x14ac:dyDescent="0.2">
      <c r="A110" s="41"/>
      <c r="B110" s="41"/>
      <c r="C110" s="50"/>
      <c r="D110" s="41"/>
      <c r="E110" s="41"/>
      <c r="F110" s="51"/>
      <c r="G110" s="51"/>
      <c r="H110" s="40" t="s">
        <v>151</v>
      </c>
      <c r="J110" s="7"/>
    </row>
    <row r="111" spans="1:10" x14ac:dyDescent="0.2">
      <c r="A111" s="41"/>
      <c r="B111" s="41"/>
      <c r="C111" s="42" t="s">
        <v>158</v>
      </c>
      <c r="D111" s="41"/>
      <c r="E111" s="41"/>
      <c r="F111" s="48">
        <f>F85+F69</f>
        <v>117581.29259600004</v>
      </c>
      <c r="G111" s="49">
        <f>G85+G69</f>
        <v>0.74752064067418567</v>
      </c>
      <c r="H111" s="40" t="s">
        <v>151</v>
      </c>
      <c r="J111" s="7"/>
    </row>
    <row r="112" spans="1:10" x14ac:dyDescent="0.2">
      <c r="A112" s="41"/>
      <c r="B112" s="41"/>
      <c r="C112" s="50"/>
      <c r="D112" s="41"/>
      <c r="E112" s="41"/>
      <c r="F112" s="51"/>
      <c r="G112" s="51"/>
      <c r="H112" s="40" t="s">
        <v>151</v>
      </c>
      <c r="J112" s="7"/>
    </row>
    <row r="113" spans="1:10" x14ac:dyDescent="0.2">
      <c r="A113" s="41"/>
      <c r="B113" s="41"/>
      <c r="C113" s="42" t="s">
        <v>159</v>
      </c>
      <c r="D113" s="41"/>
      <c r="E113" s="41"/>
      <c r="F113" s="51"/>
      <c r="G113" s="51"/>
      <c r="H113" s="40" t="s">
        <v>151</v>
      </c>
      <c r="J113" s="7"/>
    </row>
    <row r="114" spans="1:10" x14ac:dyDescent="0.2">
      <c r="A114" s="41"/>
      <c r="B114" s="41"/>
      <c r="C114" s="42" t="s">
        <v>10</v>
      </c>
      <c r="D114" s="41"/>
      <c r="E114" s="41"/>
      <c r="F114" s="51"/>
      <c r="G114" s="51"/>
      <c r="H114" s="40" t="s">
        <v>151</v>
      </c>
      <c r="J114" s="7"/>
    </row>
    <row r="115" spans="1:10" x14ac:dyDescent="0.2">
      <c r="A115" s="43">
        <v>1</v>
      </c>
      <c r="B115" s="44" t="s">
        <v>703</v>
      </c>
      <c r="C115" s="44" t="s">
        <v>704</v>
      </c>
      <c r="D115" s="44" t="s">
        <v>584</v>
      </c>
      <c r="E115" s="45">
        <v>2500</v>
      </c>
      <c r="F115" s="46">
        <v>2510.08</v>
      </c>
      <c r="G115" s="47">
        <v>1.5957780000000001E-2</v>
      </c>
      <c r="H115" s="40">
        <v>7.4672000000000001</v>
      </c>
      <c r="J115" s="7"/>
    </row>
    <row r="116" spans="1:10" ht="25.5" x14ac:dyDescent="0.2">
      <c r="A116" s="43">
        <v>2</v>
      </c>
      <c r="B116" s="44" t="s">
        <v>576</v>
      </c>
      <c r="C116" s="44" t="s">
        <v>577</v>
      </c>
      <c r="D116" s="44" t="s">
        <v>569</v>
      </c>
      <c r="E116" s="45">
        <v>150</v>
      </c>
      <c r="F116" s="46">
        <v>1533.8595</v>
      </c>
      <c r="G116" s="47">
        <v>9.7514799999999999E-3</v>
      </c>
      <c r="H116" s="40">
        <v>7.6475</v>
      </c>
      <c r="J116" s="7"/>
    </row>
    <row r="117" spans="1:10" ht="25.5" x14ac:dyDescent="0.2">
      <c r="A117" s="43">
        <v>3</v>
      </c>
      <c r="B117" s="44" t="s">
        <v>585</v>
      </c>
      <c r="C117" s="44" t="s">
        <v>586</v>
      </c>
      <c r="D117" s="44" t="s">
        <v>584</v>
      </c>
      <c r="E117" s="45">
        <v>1500</v>
      </c>
      <c r="F117" s="46">
        <v>1500.1605</v>
      </c>
      <c r="G117" s="47">
        <v>9.5372400000000006E-3</v>
      </c>
      <c r="H117" s="40">
        <v>7.59</v>
      </c>
      <c r="J117" s="7"/>
    </row>
    <row r="118" spans="1:10" ht="25.5" x14ac:dyDescent="0.2">
      <c r="A118" s="43">
        <v>4</v>
      </c>
      <c r="B118" s="44" t="s">
        <v>567</v>
      </c>
      <c r="C118" s="44" t="s">
        <v>568</v>
      </c>
      <c r="D118" s="44" t="s">
        <v>569</v>
      </c>
      <c r="E118" s="45">
        <v>1500</v>
      </c>
      <c r="F118" s="46">
        <v>1497.9765</v>
      </c>
      <c r="G118" s="47">
        <v>9.5233499999999999E-3</v>
      </c>
      <c r="H118" s="40">
        <v>7.6550000000000002</v>
      </c>
      <c r="J118" s="7"/>
    </row>
    <row r="119" spans="1:10" ht="25.5" x14ac:dyDescent="0.2">
      <c r="A119" s="43">
        <v>5</v>
      </c>
      <c r="B119" s="44" t="s">
        <v>599</v>
      </c>
      <c r="C119" s="44" t="s">
        <v>600</v>
      </c>
      <c r="D119" s="44" t="s">
        <v>569</v>
      </c>
      <c r="E119" s="45">
        <v>1000</v>
      </c>
      <c r="F119" s="46">
        <v>1028.481</v>
      </c>
      <c r="G119" s="47">
        <v>6.5385499999999997E-3</v>
      </c>
      <c r="H119" s="40">
        <v>7.4</v>
      </c>
      <c r="J119" s="7"/>
    </row>
    <row r="120" spans="1:10" ht="25.5" x14ac:dyDescent="0.2">
      <c r="A120" s="43">
        <v>6</v>
      </c>
      <c r="B120" s="44" t="s">
        <v>603</v>
      </c>
      <c r="C120" s="44" t="s">
        <v>604</v>
      </c>
      <c r="D120" s="44" t="s">
        <v>569</v>
      </c>
      <c r="E120" s="45">
        <v>1000</v>
      </c>
      <c r="F120" s="46">
        <v>1008.496</v>
      </c>
      <c r="G120" s="47">
        <v>6.4114899999999997E-3</v>
      </c>
      <c r="H120" s="40">
        <v>7.6547999999999998</v>
      </c>
      <c r="J120" s="7"/>
    </row>
    <row r="121" spans="1:10" x14ac:dyDescent="0.2">
      <c r="A121" s="43">
        <v>7</v>
      </c>
      <c r="B121" s="44" t="s">
        <v>613</v>
      </c>
      <c r="C121" s="44" t="s">
        <v>614</v>
      </c>
      <c r="D121" s="44" t="s">
        <v>569</v>
      </c>
      <c r="E121" s="45">
        <v>100</v>
      </c>
      <c r="F121" s="46">
        <v>998.74</v>
      </c>
      <c r="G121" s="47">
        <v>6.3494700000000003E-3</v>
      </c>
      <c r="H121" s="40">
        <v>7.87</v>
      </c>
      <c r="J121" s="7"/>
    </row>
    <row r="122" spans="1:10" x14ac:dyDescent="0.2">
      <c r="A122" s="43">
        <v>8</v>
      </c>
      <c r="B122" s="44" t="s">
        <v>627</v>
      </c>
      <c r="C122" s="44" t="s">
        <v>628</v>
      </c>
      <c r="D122" s="44" t="s">
        <v>569</v>
      </c>
      <c r="E122" s="45">
        <v>1000</v>
      </c>
      <c r="F122" s="46">
        <v>998.202</v>
      </c>
      <c r="G122" s="47">
        <v>6.3460499999999998E-3</v>
      </c>
      <c r="H122" s="40">
        <v>7.61</v>
      </c>
      <c r="J122" s="7"/>
    </row>
    <row r="123" spans="1:10" x14ac:dyDescent="0.2">
      <c r="A123" s="43">
        <v>9</v>
      </c>
      <c r="B123" s="44" t="s">
        <v>593</v>
      </c>
      <c r="C123" s="44" t="s">
        <v>594</v>
      </c>
      <c r="D123" s="44" t="s">
        <v>584</v>
      </c>
      <c r="E123" s="45">
        <v>50</v>
      </c>
      <c r="F123" s="46">
        <v>501.44900000000001</v>
      </c>
      <c r="G123" s="47">
        <v>3.1879500000000002E-3</v>
      </c>
      <c r="H123" s="40">
        <v>7.5549999999999997</v>
      </c>
      <c r="J123" s="7"/>
    </row>
    <row r="124" spans="1:10" x14ac:dyDescent="0.2">
      <c r="A124" s="43">
        <v>10</v>
      </c>
      <c r="B124" s="44" t="s">
        <v>623</v>
      </c>
      <c r="C124" s="44" t="s">
        <v>624</v>
      </c>
      <c r="D124" s="44" t="s">
        <v>569</v>
      </c>
      <c r="E124" s="45">
        <v>50</v>
      </c>
      <c r="F124" s="46">
        <v>484.35950000000003</v>
      </c>
      <c r="G124" s="47">
        <v>3.07931E-3</v>
      </c>
      <c r="H124" s="40">
        <v>7.84</v>
      </c>
      <c r="J124" s="7"/>
    </row>
    <row r="125" spans="1:10" x14ac:dyDescent="0.2">
      <c r="A125" s="41"/>
      <c r="B125" s="41"/>
      <c r="C125" s="42" t="s">
        <v>150</v>
      </c>
      <c r="D125" s="41"/>
      <c r="E125" s="41" t="s">
        <v>151</v>
      </c>
      <c r="F125" s="48">
        <v>12061.804</v>
      </c>
      <c r="G125" s="49">
        <v>7.6682669999999994E-2</v>
      </c>
      <c r="H125" s="40" t="s">
        <v>151</v>
      </c>
      <c r="J125" s="7"/>
    </row>
    <row r="126" spans="1:10" x14ac:dyDescent="0.2">
      <c r="A126" s="41"/>
      <c r="B126" s="41"/>
      <c r="C126" s="50"/>
      <c r="D126" s="41"/>
      <c r="E126" s="41"/>
      <c r="F126" s="51"/>
      <c r="G126" s="51"/>
      <c r="H126" s="40" t="s">
        <v>151</v>
      </c>
      <c r="J126" s="7"/>
    </row>
    <row r="127" spans="1:10" x14ac:dyDescent="0.2">
      <c r="A127" s="41"/>
      <c r="B127" s="41"/>
      <c r="C127" s="42" t="s">
        <v>160</v>
      </c>
      <c r="D127" s="41"/>
      <c r="E127" s="41"/>
      <c r="F127" s="41"/>
      <c r="G127" s="41"/>
      <c r="H127" s="40" t="s">
        <v>151</v>
      </c>
      <c r="J127" s="7"/>
    </row>
    <row r="128" spans="1:10" x14ac:dyDescent="0.2">
      <c r="A128" s="41"/>
      <c r="B128" s="41"/>
      <c r="C128" s="42" t="s">
        <v>150</v>
      </c>
      <c r="D128" s="41"/>
      <c r="E128" s="41" t="s">
        <v>151</v>
      </c>
      <c r="F128" s="52" t="s">
        <v>153</v>
      </c>
      <c r="G128" s="49">
        <v>0</v>
      </c>
      <c r="H128" s="40" t="s">
        <v>151</v>
      </c>
      <c r="J128" s="7"/>
    </row>
    <row r="129" spans="1:10" x14ac:dyDescent="0.2">
      <c r="A129" s="41"/>
      <c r="B129" s="41"/>
      <c r="C129" s="50"/>
      <c r="D129" s="41"/>
      <c r="E129" s="41"/>
      <c r="F129" s="51"/>
      <c r="G129" s="51"/>
      <c r="H129" s="40" t="s">
        <v>151</v>
      </c>
      <c r="J129" s="7"/>
    </row>
    <row r="130" spans="1:10" x14ac:dyDescent="0.2">
      <c r="A130" s="41"/>
      <c r="B130" s="41"/>
      <c r="C130" s="42" t="s">
        <v>161</v>
      </c>
      <c r="D130" s="41"/>
      <c r="E130" s="41"/>
      <c r="F130" s="41"/>
      <c r="G130" s="41"/>
      <c r="H130" s="40" t="s">
        <v>151</v>
      </c>
      <c r="J130" s="7"/>
    </row>
    <row r="131" spans="1:10" x14ac:dyDescent="0.2">
      <c r="A131" s="43">
        <v>1</v>
      </c>
      <c r="B131" s="44" t="s">
        <v>635</v>
      </c>
      <c r="C131" s="44" t="s">
        <v>1087</v>
      </c>
      <c r="D131" s="44" t="s">
        <v>549</v>
      </c>
      <c r="E131" s="45">
        <v>5500000</v>
      </c>
      <c r="F131" s="46">
        <v>5579.2</v>
      </c>
      <c r="G131" s="47">
        <v>3.5469649999999998E-2</v>
      </c>
      <c r="H131" s="40">
        <v>7.0831999999999997</v>
      </c>
      <c r="J131" s="7"/>
    </row>
    <row r="132" spans="1:10" ht="25.5" x14ac:dyDescent="0.2">
      <c r="A132" s="43">
        <v>2</v>
      </c>
      <c r="B132" s="44" t="s">
        <v>641</v>
      </c>
      <c r="C132" s="44" t="s">
        <v>642</v>
      </c>
      <c r="D132" s="44" t="s">
        <v>549</v>
      </c>
      <c r="E132" s="45">
        <v>4000000</v>
      </c>
      <c r="F132" s="46">
        <v>4056.556</v>
      </c>
      <c r="G132" s="47">
        <v>2.5789469999999998E-2</v>
      </c>
      <c r="H132" s="40">
        <v>6.9443000000000001</v>
      </c>
      <c r="J132" s="7"/>
    </row>
    <row r="133" spans="1:10" x14ac:dyDescent="0.2">
      <c r="A133" s="43">
        <v>3</v>
      </c>
      <c r="B133" s="44" t="s">
        <v>705</v>
      </c>
      <c r="C133" s="44" t="s">
        <v>1088</v>
      </c>
      <c r="D133" s="44" t="s">
        <v>549</v>
      </c>
      <c r="E133" s="45">
        <v>3000000</v>
      </c>
      <c r="F133" s="46">
        <v>3064.23</v>
      </c>
      <c r="G133" s="47">
        <v>1.948078E-2</v>
      </c>
      <c r="H133" s="40">
        <v>7.0101000000000004</v>
      </c>
      <c r="J133" s="7"/>
    </row>
    <row r="134" spans="1:10" ht="25.5" x14ac:dyDescent="0.2">
      <c r="A134" s="43">
        <v>4</v>
      </c>
      <c r="B134" s="44" t="s">
        <v>637</v>
      </c>
      <c r="C134" s="44" t="s">
        <v>1089</v>
      </c>
      <c r="D134" s="44" t="s">
        <v>549</v>
      </c>
      <c r="E134" s="45">
        <v>3000000</v>
      </c>
      <c r="F134" s="46">
        <v>3062.7510000000002</v>
      </c>
      <c r="G134" s="47">
        <v>1.9471370000000002E-2</v>
      </c>
      <c r="H134" s="40">
        <v>7.1207000000000003</v>
      </c>
      <c r="J134" s="7"/>
    </row>
    <row r="135" spans="1:10" ht="25.5" x14ac:dyDescent="0.2">
      <c r="A135" s="43">
        <v>5</v>
      </c>
      <c r="B135" s="44" t="s">
        <v>639</v>
      </c>
      <c r="C135" s="44" t="s">
        <v>640</v>
      </c>
      <c r="D135" s="44" t="s">
        <v>549</v>
      </c>
      <c r="E135" s="45">
        <v>2000000</v>
      </c>
      <c r="F135" s="46">
        <v>2024.2560000000001</v>
      </c>
      <c r="G135" s="47">
        <v>1.2869169999999999E-2</v>
      </c>
      <c r="H135" s="40">
        <v>7.0439999999999996</v>
      </c>
      <c r="J135" s="7"/>
    </row>
    <row r="136" spans="1:10" x14ac:dyDescent="0.2">
      <c r="A136" s="43">
        <v>6</v>
      </c>
      <c r="B136" s="44" t="s">
        <v>706</v>
      </c>
      <c r="C136" s="44" t="s">
        <v>707</v>
      </c>
      <c r="D136" s="44" t="s">
        <v>549</v>
      </c>
      <c r="E136" s="45">
        <v>1000000</v>
      </c>
      <c r="F136" s="46">
        <v>1012.462</v>
      </c>
      <c r="G136" s="47">
        <v>6.43671E-3</v>
      </c>
      <c r="H136" s="40">
        <v>7.0180999999999996</v>
      </c>
      <c r="J136" s="7"/>
    </row>
    <row r="137" spans="1:10" ht="25.5" x14ac:dyDescent="0.2">
      <c r="A137" s="43">
        <v>7</v>
      </c>
      <c r="B137" s="44" t="s">
        <v>649</v>
      </c>
      <c r="C137" s="44" t="s">
        <v>650</v>
      </c>
      <c r="D137" s="44" t="s">
        <v>549</v>
      </c>
      <c r="E137" s="45">
        <v>500000</v>
      </c>
      <c r="F137" s="46">
        <v>505.48750000000001</v>
      </c>
      <c r="G137" s="47">
        <v>3.2136299999999999E-3</v>
      </c>
      <c r="H137" s="40">
        <v>7.4100999999999999</v>
      </c>
      <c r="J137" s="7"/>
    </row>
    <row r="138" spans="1:10" ht="25.5" x14ac:dyDescent="0.2">
      <c r="A138" s="43">
        <v>8</v>
      </c>
      <c r="B138" s="44" t="s">
        <v>648</v>
      </c>
      <c r="C138" s="83" t="s">
        <v>995</v>
      </c>
      <c r="D138" s="44" t="s">
        <v>549</v>
      </c>
      <c r="E138" s="45">
        <v>500000</v>
      </c>
      <c r="F138" s="46">
        <v>502.46249999999998</v>
      </c>
      <c r="G138" s="47">
        <v>3.1944E-3</v>
      </c>
      <c r="H138" s="40">
        <v>7.4950364800512617</v>
      </c>
      <c r="J138" s="7"/>
    </row>
    <row r="139" spans="1:10" x14ac:dyDescent="0.2">
      <c r="A139" s="41"/>
      <c r="B139" s="41"/>
      <c r="C139" s="42" t="s">
        <v>150</v>
      </c>
      <c r="D139" s="41"/>
      <c r="E139" s="41" t="s">
        <v>151</v>
      </c>
      <c r="F139" s="48">
        <v>19807.404999999999</v>
      </c>
      <c r="G139" s="49">
        <v>0.12592518</v>
      </c>
      <c r="H139" s="40" t="s">
        <v>151</v>
      </c>
      <c r="J139" s="7"/>
    </row>
    <row r="140" spans="1:10" x14ac:dyDescent="0.2">
      <c r="A140" s="41"/>
      <c r="B140" s="41"/>
      <c r="C140" s="50"/>
      <c r="D140" s="41"/>
      <c r="E140" s="41"/>
      <c r="F140" s="51"/>
      <c r="G140" s="51"/>
      <c r="H140" s="40" t="s">
        <v>151</v>
      </c>
      <c r="J140" s="7"/>
    </row>
    <row r="141" spans="1:10" x14ac:dyDescent="0.2">
      <c r="A141" s="41"/>
      <c r="B141" s="41"/>
      <c r="C141" s="42" t="s">
        <v>162</v>
      </c>
      <c r="D141" s="41"/>
      <c r="E141" s="41"/>
      <c r="F141" s="51"/>
      <c r="G141" s="51"/>
      <c r="H141" s="40" t="s">
        <v>151</v>
      </c>
      <c r="J141" s="7"/>
    </row>
    <row r="142" spans="1:10" x14ac:dyDescent="0.2">
      <c r="A142" s="41"/>
      <c r="B142" s="41"/>
      <c r="C142" s="42" t="s">
        <v>150</v>
      </c>
      <c r="D142" s="41"/>
      <c r="E142" s="41" t="s">
        <v>151</v>
      </c>
      <c r="F142" s="52" t="s">
        <v>153</v>
      </c>
      <c r="G142" s="49">
        <v>0</v>
      </c>
      <c r="H142" s="40" t="s">
        <v>151</v>
      </c>
      <c r="J142" s="7"/>
    </row>
    <row r="143" spans="1:10" x14ac:dyDescent="0.2">
      <c r="A143" s="41"/>
      <c r="B143" s="41"/>
      <c r="C143" s="50"/>
      <c r="D143" s="41"/>
      <c r="E143" s="41"/>
      <c r="F143" s="51"/>
      <c r="G143" s="51"/>
      <c r="H143" s="40" t="s">
        <v>151</v>
      </c>
      <c r="J143" s="7"/>
    </row>
    <row r="144" spans="1:10" x14ac:dyDescent="0.2">
      <c r="A144" s="41"/>
      <c r="B144" s="41"/>
      <c r="C144" s="42" t="s">
        <v>163</v>
      </c>
      <c r="D144" s="41"/>
      <c r="E144" s="41"/>
      <c r="F144" s="48">
        <v>31869.208999999999</v>
      </c>
      <c r="G144" s="49">
        <v>0.20260785000000001</v>
      </c>
      <c r="H144" s="40" t="s">
        <v>151</v>
      </c>
      <c r="J144" s="7"/>
    </row>
    <row r="145" spans="1:10" x14ac:dyDescent="0.2">
      <c r="A145" s="41"/>
      <c r="B145" s="41"/>
      <c r="C145" s="50"/>
      <c r="D145" s="41"/>
      <c r="E145" s="41"/>
      <c r="F145" s="51"/>
      <c r="G145" s="51"/>
      <c r="H145" s="40" t="s">
        <v>151</v>
      </c>
      <c r="J145" s="7"/>
    </row>
    <row r="146" spans="1:10" x14ac:dyDescent="0.2">
      <c r="A146" s="41"/>
      <c r="B146" s="41"/>
      <c r="C146" s="42" t="s">
        <v>164</v>
      </c>
      <c r="D146" s="41"/>
      <c r="E146" s="41"/>
      <c r="F146" s="51"/>
      <c r="G146" s="51"/>
      <c r="H146" s="40" t="s">
        <v>151</v>
      </c>
      <c r="J146" s="7"/>
    </row>
    <row r="147" spans="1:10" x14ac:dyDescent="0.2">
      <c r="A147" s="41"/>
      <c r="B147" s="41"/>
      <c r="C147" s="42" t="s">
        <v>165</v>
      </c>
      <c r="D147" s="41"/>
      <c r="E147" s="41"/>
      <c r="F147" s="51"/>
      <c r="G147" s="51"/>
      <c r="H147" s="40" t="s">
        <v>151</v>
      </c>
      <c r="J147" s="7"/>
    </row>
    <row r="148" spans="1:10" x14ac:dyDescent="0.2">
      <c r="A148" s="41"/>
      <c r="B148" s="41"/>
      <c r="C148" s="42" t="s">
        <v>150</v>
      </c>
      <c r="D148" s="41"/>
      <c r="E148" s="41" t="s">
        <v>151</v>
      </c>
      <c r="F148" s="52" t="s">
        <v>153</v>
      </c>
      <c r="G148" s="49">
        <v>0</v>
      </c>
      <c r="H148" s="40" t="s">
        <v>151</v>
      </c>
      <c r="J148" s="7"/>
    </row>
    <row r="149" spans="1:10" x14ac:dyDescent="0.2">
      <c r="A149" s="41"/>
      <c r="B149" s="41"/>
      <c r="C149" s="50"/>
      <c r="D149" s="41"/>
      <c r="E149" s="41"/>
      <c r="F149" s="51"/>
      <c r="G149" s="51"/>
      <c r="H149" s="40" t="s">
        <v>151</v>
      </c>
      <c r="J149" s="7"/>
    </row>
    <row r="150" spans="1:10" x14ac:dyDescent="0.2">
      <c r="A150" s="41"/>
      <c r="B150" s="41"/>
      <c r="C150" s="42" t="s">
        <v>166</v>
      </c>
      <c r="D150" s="41"/>
      <c r="E150" s="41"/>
      <c r="F150" s="51"/>
      <c r="G150" s="51"/>
      <c r="H150" s="40" t="s">
        <v>151</v>
      </c>
      <c r="J150" s="7"/>
    </row>
    <row r="151" spans="1:10" x14ac:dyDescent="0.2">
      <c r="A151" s="41"/>
      <c r="B151" s="41"/>
      <c r="C151" s="42" t="s">
        <v>150</v>
      </c>
      <c r="D151" s="41"/>
      <c r="E151" s="41" t="s">
        <v>151</v>
      </c>
      <c r="F151" s="52" t="s">
        <v>153</v>
      </c>
      <c r="G151" s="49">
        <v>0</v>
      </c>
      <c r="H151" s="40" t="s">
        <v>151</v>
      </c>
      <c r="J151" s="7"/>
    </row>
    <row r="152" spans="1:10" x14ac:dyDescent="0.2">
      <c r="A152" s="41"/>
      <c r="B152" s="41"/>
      <c r="C152" s="50"/>
      <c r="D152" s="41"/>
      <c r="E152" s="41"/>
      <c r="F152" s="51"/>
      <c r="G152" s="51"/>
      <c r="H152" s="40" t="s">
        <v>151</v>
      </c>
      <c r="J152" s="7"/>
    </row>
    <row r="153" spans="1:10" x14ac:dyDescent="0.2">
      <c r="A153" s="41"/>
      <c r="B153" s="41"/>
      <c r="C153" s="42" t="s">
        <v>167</v>
      </c>
      <c r="D153" s="41"/>
      <c r="E153" s="41"/>
      <c r="F153" s="51"/>
      <c r="G153" s="51"/>
      <c r="H153" s="40" t="s">
        <v>151</v>
      </c>
      <c r="J153" s="7"/>
    </row>
    <row r="154" spans="1:10" x14ac:dyDescent="0.2">
      <c r="A154" s="41"/>
      <c r="B154" s="41"/>
      <c r="C154" s="42" t="s">
        <v>150</v>
      </c>
      <c r="D154" s="41"/>
      <c r="E154" s="41" t="s">
        <v>151</v>
      </c>
      <c r="F154" s="52" t="s">
        <v>153</v>
      </c>
      <c r="G154" s="49">
        <v>0</v>
      </c>
      <c r="H154" s="40" t="s">
        <v>151</v>
      </c>
      <c r="J154" s="7"/>
    </row>
    <row r="155" spans="1:10" x14ac:dyDescent="0.2">
      <c r="A155" s="41"/>
      <c r="B155" s="41"/>
      <c r="C155" s="50"/>
      <c r="D155" s="41"/>
      <c r="E155" s="41"/>
      <c r="F155" s="51"/>
      <c r="G155" s="51"/>
      <c r="H155" s="40" t="s">
        <v>151</v>
      </c>
      <c r="J155" s="7"/>
    </row>
    <row r="156" spans="1:10" x14ac:dyDescent="0.2">
      <c r="A156" s="41"/>
      <c r="B156" s="41"/>
      <c r="C156" s="42" t="s">
        <v>168</v>
      </c>
      <c r="D156" s="41"/>
      <c r="E156" s="41"/>
      <c r="F156" s="51"/>
      <c r="G156" s="51"/>
      <c r="H156" s="40" t="s">
        <v>151</v>
      </c>
      <c r="J156" s="7"/>
    </row>
    <row r="157" spans="1:10" x14ac:dyDescent="0.2">
      <c r="A157" s="43">
        <v>1</v>
      </c>
      <c r="B157" s="44"/>
      <c r="C157" s="44" t="s">
        <v>169</v>
      </c>
      <c r="D157" s="44"/>
      <c r="E157" s="54"/>
      <c r="F157" s="46">
        <v>5489.748905984</v>
      </c>
      <c r="G157" s="47">
        <v>3.4900960000000002E-2</v>
      </c>
      <c r="H157" s="40">
        <v>6.39</v>
      </c>
      <c r="J157" s="7"/>
    </row>
    <row r="158" spans="1:10" x14ac:dyDescent="0.2">
      <c r="A158" s="41"/>
      <c r="B158" s="41"/>
      <c r="C158" s="42" t="s">
        <v>150</v>
      </c>
      <c r="D158" s="41"/>
      <c r="E158" s="41" t="s">
        <v>151</v>
      </c>
      <c r="F158" s="48">
        <v>5489.748905984</v>
      </c>
      <c r="G158" s="49">
        <v>3.4900960000000002E-2</v>
      </c>
      <c r="H158" s="40" t="s">
        <v>151</v>
      </c>
      <c r="J158" s="7"/>
    </row>
    <row r="159" spans="1:10" x14ac:dyDescent="0.2">
      <c r="A159" s="41"/>
      <c r="B159" s="41"/>
      <c r="C159" s="50"/>
      <c r="D159" s="41"/>
      <c r="E159" s="41"/>
      <c r="F159" s="51"/>
      <c r="G159" s="51"/>
      <c r="H159" s="40" t="s">
        <v>151</v>
      </c>
      <c r="J159" s="7"/>
    </row>
    <row r="160" spans="1:10" x14ac:dyDescent="0.2">
      <c r="A160" s="41"/>
      <c r="B160" s="41"/>
      <c r="C160" s="42" t="s">
        <v>170</v>
      </c>
      <c r="D160" s="41"/>
      <c r="E160" s="41"/>
      <c r="F160" s="48">
        <v>5489.748905984</v>
      </c>
      <c r="G160" s="49">
        <v>3.4900960000000002E-2</v>
      </c>
      <c r="H160" s="40" t="s">
        <v>151</v>
      </c>
      <c r="J160" s="7"/>
    </row>
    <row r="161" spans="1:10" x14ac:dyDescent="0.2">
      <c r="A161" s="41"/>
      <c r="B161" s="41"/>
      <c r="C161" s="51"/>
      <c r="D161" s="41"/>
      <c r="E161" s="41"/>
      <c r="F161" s="41"/>
      <c r="G161" s="41"/>
      <c r="H161" s="40" t="s">
        <v>151</v>
      </c>
      <c r="J161" s="7"/>
    </row>
    <row r="162" spans="1:10" x14ac:dyDescent="0.2">
      <c r="A162" s="41"/>
      <c r="B162" s="41"/>
      <c r="C162" s="42" t="s">
        <v>171</v>
      </c>
      <c r="D162" s="41"/>
      <c r="E162" s="41"/>
      <c r="F162" s="41"/>
      <c r="G162" s="41"/>
      <c r="H162" s="40" t="s">
        <v>151</v>
      </c>
      <c r="J162" s="7"/>
    </row>
    <row r="163" spans="1:10" x14ac:dyDescent="0.2">
      <c r="A163" s="41"/>
      <c r="B163" s="41"/>
      <c r="C163" s="42" t="s">
        <v>172</v>
      </c>
      <c r="D163" s="41"/>
      <c r="E163" s="41"/>
      <c r="F163" s="41"/>
      <c r="G163" s="41"/>
      <c r="H163" s="40" t="s">
        <v>151</v>
      </c>
      <c r="J163" s="7"/>
    </row>
    <row r="164" spans="1:10" x14ac:dyDescent="0.2">
      <c r="A164" s="41"/>
      <c r="B164" s="41"/>
      <c r="C164" s="42" t="s">
        <v>150</v>
      </c>
      <c r="D164" s="41"/>
      <c r="E164" s="41" t="s">
        <v>151</v>
      </c>
      <c r="F164" s="52" t="s">
        <v>153</v>
      </c>
      <c r="G164" s="49">
        <v>0</v>
      </c>
      <c r="H164" s="40" t="s">
        <v>151</v>
      </c>
      <c r="J164" s="7"/>
    </row>
    <row r="165" spans="1:10" x14ac:dyDescent="0.2">
      <c r="A165" s="41"/>
      <c r="B165" s="41"/>
      <c r="C165" s="50"/>
      <c r="D165" s="41"/>
      <c r="E165" s="41"/>
      <c r="F165" s="51"/>
      <c r="G165" s="51"/>
      <c r="H165" s="40" t="s">
        <v>151</v>
      </c>
      <c r="J165" s="7"/>
    </row>
    <row r="166" spans="1:10" x14ac:dyDescent="0.2">
      <c r="A166" s="41"/>
      <c r="B166" s="41"/>
      <c r="C166" s="42" t="s">
        <v>173</v>
      </c>
      <c r="D166" s="41"/>
      <c r="E166" s="41"/>
      <c r="F166" s="41"/>
      <c r="G166" s="41"/>
      <c r="H166" s="40" t="s">
        <v>151</v>
      </c>
      <c r="J166" s="7"/>
    </row>
    <row r="167" spans="1:10" x14ac:dyDescent="0.2">
      <c r="A167" s="41"/>
      <c r="B167" s="41"/>
      <c r="C167" s="42" t="s">
        <v>174</v>
      </c>
      <c r="D167" s="41"/>
      <c r="E167" s="41"/>
      <c r="F167" s="41"/>
      <c r="G167" s="41"/>
      <c r="H167" s="40" t="s">
        <v>151</v>
      </c>
      <c r="J167" s="7"/>
    </row>
    <row r="168" spans="1:10" x14ac:dyDescent="0.2">
      <c r="A168" s="41"/>
      <c r="B168" s="41"/>
      <c r="C168" s="42" t="s">
        <v>150</v>
      </c>
      <c r="D168" s="41"/>
      <c r="E168" s="41" t="s">
        <v>151</v>
      </c>
      <c r="F168" s="52" t="s">
        <v>153</v>
      </c>
      <c r="G168" s="49">
        <v>0</v>
      </c>
      <c r="H168" s="40" t="s">
        <v>151</v>
      </c>
      <c r="J168" s="7"/>
    </row>
    <row r="169" spans="1:10" x14ac:dyDescent="0.2">
      <c r="A169" s="41"/>
      <c r="B169" s="41"/>
      <c r="C169" s="50"/>
      <c r="D169" s="41"/>
      <c r="E169" s="41"/>
      <c r="F169" s="51"/>
      <c r="G169" s="51"/>
      <c r="H169" s="40" t="s">
        <v>151</v>
      </c>
      <c r="J169" s="7"/>
    </row>
    <row r="170" spans="1:10" x14ac:dyDescent="0.2">
      <c r="A170" s="41"/>
      <c r="B170" s="41"/>
      <c r="C170" s="42" t="s">
        <v>175</v>
      </c>
      <c r="D170" s="41"/>
      <c r="E170" s="41"/>
      <c r="F170" s="51"/>
      <c r="G170" s="51"/>
      <c r="H170" s="40" t="s">
        <v>151</v>
      </c>
      <c r="J170" s="7"/>
    </row>
    <row r="171" spans="1:10" x14ac:dyDescent="0.2">
      <c r="A171" s="41"/>
      <c r="B171" s="41"/>
      <c r="C171" s="42" t="s">
        <v>150</v>
      </c>
      <c r="D171" s="41"/>
      <c r="E171" s="41" t="s">
        <v>151</v>
      </c>
      <c r="F171" s="52" t="s">
        <v>153</v>
      </c>
      <c r="G171" s="49">
        <v>0</v>
      </c>
      <c r="H171" s="40" t="s">
        <v>151</v>
      </c>
      <c r="J171" s="7"/>
    </row>
    <row r="172" spans="1:10" x14ac:dyDescent="0.2">
      <c r="A172" s="41"/>
      <c r="B172" s="41"/>
      <c r="C172" s="50"/>
      <c r="D172" s="41"/>
      <c r="E172" s="41"/>
      <c r="F172" s="51"/>
      <c r="G172" s="51"/>
      <c r="H172" s="40" t="s">
        <v>151</v>
      </c>
      <c r="J172" s="7"/>
    </row>
    <row r="173" spans="1:10" x14ac:dyDescent="0.2">
      <c r="A173" s="54"/>
      <c r="B173" s="44"/>
      <c r="C173" s="44" t="s">
        <v>550</v>
      </c>
      <c r="D173" s="44"/>
      <c r="E173" s="54"/>
      <c r="F173" s="46">
        <v>1693.7192462999999</v>
      </c>
      <c r="G173" s="47">
        <v>1.0767779999999999E-2</v>
      </c>
      <c r="H173" s="40" t="s">
        <v>151</v>
      </c>
      <c r="J173" s="7"/>
    </row>
    <row r="174" spans="1:10" x14ac:dyDescent="0.2">
      <c r="A174" s="54"/>
      <c r="B174" s="44"/>
      <c r="C174" s="83" t="s">
        <v>996</v>
      </c>
      <c r="D174" s="44"/>
      <c r="E174" s="54"/>
      <c r="F174" s="46">
        <f>21435.11261664-0.0000315840339660645-20774.022575</f>
        <v>661.09001005596656</v>
      </c>
      <c r="G174" s="47">
        <f>F174/F175</f>
        <v>4.2028656912151659E-3</v>
      </c>
      <c r="H174" s="40" t="s">
        <v>151</v>
      </c>
      <c r="J174" s="7"/>
    </row>
    <row r="175" spans="1:10" x14ac:dyDescent="0.2">
      <c r="A175" s="50"/>
      <c r="B175" s="50"/>
      <c r="C175" s="42" t="s">
        <v>177</v>
      </c>
      <c r="D175" s="51"/>
      <c r="E175" s="51"/>
      <c r="F175" s="48">
        <f>F174+F173+F160+F144+F111</f>
        <v>157295.05975834001</v>
      </c>
      <c r="G175" s="55">
        <f>G174+G173+G160+G144+G111</f>
        <v>1.0000000963654008</v>
      </c>
      <c r="H175" s="40" t="s">
        <v>151</v>
      </c>
      <c r="J175" s="7"/>
    </row>
    <row r="176" spans="1:10" x14ac:dyDescent="0.2">
      <c r="A176" s="56"/>
      <c r="B176" s="56"/>
      <c r="C176" s="56"/>
      <c r="D176" s="57"/>
      <c r="E176" s="57"/>
      <c r="F176" s="57"/>
      <c r="G176" s="57"/>
      <c r="J176" s="7"/>
    </row>
    <row r="177" spans="1:17" ht="12.75" customHeight="1" x14ac:dyDescent="0.2">
      <c r="A177" s="58"/>
      <c r="B177" s="159" t="s">
        <v>923</v>
      </c>
      <c r="C177" s="159"/>
      <c r="D177" s="159"/>
      <c r="E177" s="159"/>
      <c r="F177" s="159"/>
      <c r="G177" s="159"/>
      <c r="H177" s="159"/>
      <c r="J177" s="7"/>
    </row>
    <row r="178" spans="1:17" ht="14.1" customHeight="1" x14ac:dyDescent="0.2">
      <c r="A178" s="58"/>
      <c r="B178" s="159" t="s">
        <v>924</v>
      </c>
      <c r="C178" s="159"/>
      <c r="D178" s="159"/>
      <c r="E178" s="159"/>
      <c r="F178" s="159"/>
      <c r="G178" s="159"/>
      <c r="H178" s="159"/>
      <c r="J178" s="7"/>
    </row>
    <row r="179" spans="1:17" ht="17.100000000000001" customHeight="1" x14ac:dyDescent="0.2">
      <c r="A179" s="58"/>
      <c r="B179" s="159" t="s">
        <v>925</v>
      </c>
      <c r="C179" s="159"/>
      <c r="D179" s="159"/>
      <c r="E179" s="159"/>
      <c r="F179" s="159"/>
      <c r="G179" s="159"/>
      <c r="H179" s="159"/>
      <c r="J179" s="7"/>
    </row>
    <row r="180" spans="1:17" s="8" customFormat="1" ht="65.25" customHeight="1" x14ac:dyDescent="0.25">
      <c r="A180" s="60"/>
      <c r="B180" s="160" t="s">
        <v>926</v>
      </c>
      <c r="C180" s="160"/>
      <c r="D180" s="160"/>
      <c r="E180" s="160"/>
      <c r="F180" s="160"/>
      <c r="G180" s="160"/>
      <c r="H180" s="160"/>
      <c r="I180"/>
      <c r="J180" s="7"/>
      <c r="K180"/>
      <c r="L180"/>
      <c r="M180"/>
      <c r="N180"/>
      <c r="O180"/>
      <c r="P180"/>
      <c r="Q180"/>
    </row>
    <row r="181" spans="1:17" ht="12.75" customHeight="1" x14ac:dyDescent="0.25">
      <c r="A181" s="58"/>
      <c r="B181" s="159" t="s">
        <v>927</v>
      </c>
      <c r="C181" s="159"/>
      <c r="D181" s="159"/>
      <c r="E181" s="159"/>
      <c r="F181" s="159"/>
      <c r="G181" s="159"/>
      <c r="H181" s="159"/>
      <c r="I181" s="8"/>
      <c r="J181" s="7"/>
    </row>
    <row r="182" spans="1:17" x14ac:dyDescent="0.2">
      <c r="A182" s="61"/>
      <c r="B182" s="61"/>
      <c r="C182" s="61"/>
      <c r="D182" s="62"/>
      <c r="E182" s="62"/>
      <c r="F182" s="62"/>
      <c r="G182" s="62"/>
      <c r="J182" s="7"/>
    </row>
    <row r="183" spans="1:17" x14ac:dyDescent="0.2">
      <c r="A183" s="61"/>
      <c r="B183" s="161" t="s">
        <v>178</v>
      </c>
      <c r="C183" s="162"/>
      <c r="D183" s="163"/>
      <c r="E183" s="63"/>
      <c r="F183" s="62"/>
      <c r="G183" s="62"/>
      <c r="J183" s="7"/>
    </row>
    <row r="184" spans="1:17" x14ac:dyDescent="0.2">
      <c r="A184" s="61"/>
      <c r="B184" s="156" t="s">
        <v>179</v>
      </c>
      <c r="C184" s="157"/>
      <c r="D184" s="42" t="s">
        <v>180</v>
      </c>
      <c r="E184" s="63"/>
      <c r="F184" s="62"/>
      <c r="G184" s="62"/>
      <c r="J184" s="7"/>
    </row>
    <row r="185" spans="1:17" x14ac:dyDescent="0.2">
      <c r="A185" s="61"/>
      <c r="B185" s="156" t="s">
        <v>181</v>
      </c>
      <c r="C185" s="157"/>
      <c r="D185" s="42" t="s">
        <v>180</v>
      </c>
      <c r="E185" s="63"/>
      <c r="F185" s="62"/>
      <c r="G185" s="62"/>
      <c r="J185" s="7"/>
    </row>
    <row r="186" spans="1:17" x14ac:dyDescent="0.2">
      <c r="A186" s="61"/>
      <c r="B186" s="156" t="s">
        <v>182</v>
      </c>
      <c r="C186" s="157"/>
      <c r="D186" s="51" t="s">
        <v>151</v>
      </c>
      <c r="E186" s="63"/>
      <c r="F186" s="62"/>
      <c r="G186" s="62"/>
      <c r="J186" s="7"/>
    </row>
    <row r="187" spans="1:17" x14ac:dyDescent="0.2">
      <c r="A187" s="67"/>
      <c r="B187" s="68" t="s">
        <v>151</v>
      </c>
      <c r="C187" s="68" t="s">
        <v>937</v>
      </c>
      <c r="D187" s="68" t="s">
        <v>183</v>
      </c>
      <c r="E187" s="67"/>
      <c r="F187" s="67"/>
      <c r="G187" s="67"/>
      <c r="H187" s="67"/>
      <c r="J187" s="7"/>
    </row>
    <row r="188" spans="1:17" x14ac:dyDescent="0.2">
      <c r="A188" s="69"/>
      <c r="B188" s="70" t="s">
        <v>184</v>
      </c>
      <c r="C188" s="80" t="s">
        <v>185</v>
      </c>
      <c r="D188" s="80" t="s">
        <v>186</v>
      </c>
      <c r="E188" s="69"/>
      <c r="F188" s="69"/>
      <c r="G188" s="69"/>
      <c r="J188" s="7"/>
    </row>
    <row r="189" spans="1:17" x14ac:dyDescent="0.2">
      <c r="A189" s="69"/>
      <c r="B189" s="44" t="s">
        <v>187</v>
      </c>
      <c r="C189" s="72">
        <v>38.605899999999998</v>
      </c>
      <c r="D189" s="72">
        <v>39.7956</v>
      </c>
      <c r="E189" s="69"/>
      <c r="F189" s="73"/>
      <c r="G189" s="74"/>
      <c r="J189" s="7"/>
    </row>
    <row r="190" spans="1:17" ht="25.5" x14ac:dyDescent="0.2">
      <c r="A190" s="69"/>
      <c r="B190" s="83" t="s">
        <v>1013</v>
      </c>
      <c r="C190" s="72">
        <v>19.491599999999998</v>
      </c>
      <c r="D190" s="72">
        <v>19.9955</v>
      </c>
      <c r="E190" s="69"/>
      <c r="F190" s="73"/>
      <c r="G190" s="74"/>
      <c r="J190" s="7"/>
    </row>
    <row r="191" spans="1:17" x14ac:dyDescent="0.2">
      <c r="A191" s="69"/>
      <c r="B191" s="44" t="s">
        <v>188</v>
      </c>
      <c r="C191" s="72">
        <v>33.415900000000001</v>
      </c>
      <c r="D191" s="72">
        <v>34.401899999999998</v>
      </c>
      <c r="E191" s="69"/>
      <c r="F191" s="73"/>
      <c r="G191" s="74"/>
      <c r="J191" s="7"/>
    </row>
    <row r="192" spans="1:17" ht="25.5" x14ac:dyDescent="0.2">
      <c r="A192" s="69"/>
      <c r="B192" s="83" t="s">
        <v>1014</v>
      </c>
      <c r="C192" s="72">
        <v>16.191800000000001</v>
      </c>
      <c r="D192" s="72">
        <v>16.588200000000001</v>
      </c>
      <c r="E192" s="69"/>
      <c r="F192" s="73"/>
      <c r="G192" s="74"/>
      <c r="J192" s="7"/>
    </row>
    <row r="193" spans="1:10" x14ac:dyDescent="0.2">
      <c r="A193" s="69"/>
      <c r="B193" s="69"/>
      <c r="C193" s="69"/>
      <c r="D193" s="69"/>
      <c r="E193" s="69"/>
      <c r="F193" s="69"/>
      <c r="G193" s="69"/>
      <c r="J193" s="7"/>
    </row>
    <row r="194" spans="1:10" x14ac:dyDescent="0.2">
      <c r="A194" s="69"/>
      <c r="B194" s="156" t="s">
        <v>940</v>
      </c>
      <c r="C194" s="157"/>
      <c r="D194" s="42" t="s">
        <v>151</v>
      </c>
      <c r="E194" s="69"/>
      <c r="F194" s="69"/>
      <c r="G194" s="69"/>
      <c r="J194" s="7"/>
    </row>
    <row r="195" spans="1:10" x14ac:dyDescent="0.2">
      <c r="A195" s="69"/>
      <c r="B195" s="89" t="s">
        <v>184</v>
      </c>
      <c r="C195" s="90" t="s">
        <v>658</v>
      </c>
      <c r="D195" s="90" t="s">
        <v>659</v>
      </c>
      <c r="E195" s="69"/>
      <c r="F195" s="69"/>
      <c r="G195" s="69"/>
      <c r="J195" s="7"/>
    </row>
    <row r="196" spans="1:10" ht="25.5" x14ac:dyDescent="0.2">
      <c r="A196" s="69"/>
      <c r="B196" s="83" t="s">
        <v>1013</v>
      </c>
      <c r="C196" s="91">
        <v>9.5000000000000001E-2</v>
      </c>
      <c r="D196" s="54" t="s">
        <v>708</v>
      </c>
      <c r="E196" s="69"/>
      <c r="F196" s="73"/>
      <c r="G196" s="74"/>
      <c r="J196" s="7"/>
    </row>
    <row r="197" spans="1:10" ht="25.5" x14ac:dyDescent="0.2">
      <c r="A197" s="69"/>
      <c r="B197" s="83" t="s">
        <v>1014</v>
      </c>
      <c r="C197" s="91">
        <v>0.08</v>
      </c>
      <c r="D197" s="91">
        <v>0.08</v>
      </c>
      <c r="E197" s="69"/>
      <c r="F197" s="73"/>
      <c r="G197" s="74"/>
      <c r="J197" s="7"/>
    </row>
    <row r="198" spans="1:10" x14ac:dyDescent="0.2">
      <c r="A198" s="69"/>
      <c r="B198" s="92"/>
      <c r="C198" s="92"/>
      <c r="D198" s="93"/>
      <c r="E198" s="69"/>
      <c r="F198" s="73"/>
      <c r="G198" s="74"/>
      <c r="J198" s="7"/>
    </row>
    <row r="199" spans="1:10" ht="29.1" customHeight="1" x14ac:dyDescent="0.2">
      <c r="A199" s="67"/>
      <c r="B199" s="164" t="s">
        <v>189</v>
      </c>
      <c r="C199" s="165"/>
      <c r="D199" s="64" t="s">
        <v>1015</v>
      </c>
      <c r="E199" s="75"/>
      <c r="F199" s="67"/>
      <c r="G199" s="67"/>
      <c r="J199" s="7"/>
    </row>
    <row r="200" spans="1:10" ht="29.1" customHeight="1" x14ac:dyDescent="0.2">
      <c r="A200" s="67"/>
      <c r="B200" s="164" t="s">
        <v>190</v>
      </c>
      <c r="C200" s="165"/>
      <c r="D200" s="64" t="s">
        <v>180</v>
      </c>
      <c r="E200" s="75"/>
      <c r="F200" s="67"/>
      <c r="G200" s="67"/>
      <c r="J200" s="7"/>
    </row>
    <row r="201" spans="1:10" ht="17.100000000000001" customHeight="1" x14ac:dyDescent="0.2">
      <c r="A201" s="67"/>
      <c r="B201" s="164" t="s">
        <v>191</v>
      </c>
      <c r="C201" s="165"/>
      <c r="D201" s="64" t="s">
        <v>180</v>
      </c>
      <c r="E201" s="75"/>
      <c r="F201" s="67"/>
      <c r="G201" s="67"/>
      <c r="J201" s="7"/>
    </row>
    <row r="202" spans="1:10" ht="17.100000000000001" customHeight="1" x14ac:dyDescent="0.2">
      <c r="A202" s="67"/>
      <c r="B202" s="164" t="s">
        <v>192</v>
      </c>
      <c r="C202" s="165"/>
      <c r="D202" s="76">
        <v>2.3596882102022869</v>
      </c>
      <c r="E202" s="67"/>
      <c r="F202" s="59"/>
      <c r="G202" s="77"/>
      <c r="J202" s="7"/>
    </row>
    <row r="203" spans="1:10" x14ac:dyDescent="0.2">
      <c r="J203" s="7"/>
    </row>
    <row r="204" spans="1:10" x14ac:dyDescent="0.2">
      <c r="B204" s="179" t="s">
        <v>1035</v>
      </c>
      <c r="C204" s="180"/>
      <c r="D204" s="181"/>
      <c r="F204" s="67"/>
      <c r="G204" s="67"/>
      <c r="J204" s="7"/>
    </row>
    <row r="205" spans="1:10" ht="25.5" x14ac:dyDescent="0.2">
      <c r="B205" s="168" t="s">
        <v>1036</v>
      </c>
      <c r="C205" s="168"/>
      <c r="D205" s="110" t="s">
        <v>684</v>
      </c>
      <c r="J205" s="7"/>
    </row>
    <row r="206" spans="1:10" x14ac:dyDescent="0.2">
      <c r="B206" s="168" t="s">
        <v>1037</v>
      </c>
      <c r="C206" s="168"/>
      <c r="D206" s="118"/>
      <c r="J206" s="7"/>
    </row>
    <row r="207" spans="1:10" x14ac:dyDescent="0.2">
      <c r="B207" s="169"/>
      <c r="C207" s="170"/>
      <c r="D207" s="111"/>
      <c r="J207" s="7"/>
    </row>
    <row r="208" spans="1:10" x14ac:dyDescent="0.2">
      <c r="B208" s="168" t="s">
        <v>1038</v>
      </c>
      <c r="C208" s="168"/>
      <c r="D208" s="112">
        <v>7.1372585670313153</v>
      </c>
      <c r="J208" s="7"/>
    </row>
    <row r="209" spans="2:10" x14ac:dyDescent="0.2">
      <c r="B209" s="169"/>
      <c r="C209" s="170"/>
      <c r="D209" s="111"/>
      <c r="J209" s="7"/>
    </row>
    <row r="210" spans="2:10" x14ac:dyDescent="0.2">
      <c r="B210" s="168" t="s">
        <v>1039</v>
      </c>
      <c r="C210" s="168"/>
      <c r="D210" s="112">
        <v>4.1177244149333658</v>
      </c>
      <c r="J210" s="7"/>
    </row>
    <row r="211" spans="2:10" x14ac:dyDescent="0.2">
      <c r="B211" s="168" t="s">
        <v>1040</v>
      </c>
      <c r="C211" s="168"/>
      <c r="D211" s="112">
        <v>5.6130130220385945</v>
      </c>
    </row>
    <row r="212" spans="2:10" x14ac:dyDescent="0.2">
      <c r="B212" s="169"/>
      <c r="C212" s="170"/>
      <c r="D212" s="111"/>
    </row>
    <row r="213" spans="2:10" x14ac:dyDescent="0.2">
      <c r="B213" s="168" t="s">
        <v>1041</v>
      </c>
      <c r="C213" s="168"/>
      <c r="D213" s="114" t="s">
        <v>1079</v>
      </c>
    </row>
    <row r="214" spans="2:10" x14ac:dyDescent="0.2">
      <c r="B214" s="169" t="s">
        <v>1042</v>
      </c>
      <c r="C214" s="171"/>
      <c r="D214" s="170"/>
    </row>
  </sheetData>
  <mergeCells count="28">
    <mergeCell ref="B202:C202"/>
    <mergeCell ref="B199:C199"/>
    <mergeCell ref="B204:D204"/>
    <mergeCell ref="B185:C185"/>
    <mergeCell ref="B186:C186"/>
    <mergeCell ref="B194:C194"/>
    <mergeCell ref="B200:C200"/>
    <mergeCell ref="B201:C201"/>
    <mergeCell ref="B184:C184"/>
    <mergeCell ref="A1:H1"/>
    <mergeCell ref="A2:H2"/>
    <mergeCell ref="A3:H3"/>
    <mergeCell ref="B177:H177"/>
    <mergeCell ref="B178:H178"/>
    <mergeCell ref="B179:H179"/>
    <mergeCell ref="B180:H180"/>
    <mergeCell ref="B181:H181"/>
    <mergeCell ref="B183:D183"/>
    <mergeCell ref="B205:C205"/>
    <mergeCell ref="B206:C206"/>
    <mergeCell ref="B207:C207"/>
    <mergeCell ref="B208:C208"/>
    <mergeCell ref="B209:C209"/>
    <mergeCell ref="B210:C210"/>
    <mergeCell ref="B211:C211"/>
    <mergeCell ref="B212:C212"/>
    <mergeCell ref="B213:C213"/>
    <mergeCell ref="B214:D214"/>
  </mergeCells>
  <hyperlinks>
    <hyperlink ref="I1" location="Index!B17" display="Index" xr:uid="{CD76AD93-07A5-4AA1-A4A5-C46012CDCCC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77AA3-43AF-488A-8D0E-A81A281E4E3A}">
  <sheetPr>
    <outlinePr summaryBelow="0" summaryRight="0"/>
  </sheetPr>
  <dimension ref="A1:T170"/>
  <sheetViews>
    <sheetView showGridLines="0" workbookViewId="0">
      <selection sqref="A1:H1"/>
    </sheetView>
  </sheetViews>
  <sheetFormatPr defaultRowHeight="12.75" x14ac:dyDescent="0.2"/>
  <cols>
    <col min="1" max="1" width="5.85546875" bestFit="1" customWidth="1"/>
    <col min="2" max="2" width="20" bestFit="1" customWidth="1"/>
    <col min="3" max="3" width="44" customWidth="1"/>
    <col min="4" max="4" width="17.7109375" bestFit="1" customWidth="1"/>
    <col min="5" max="5" width="8.7109375" bestFit="1" customWidth="1"/>
    <col min="6" max="6" width="10.140625" bestFit="1" customWidth="1"/>
    <col min="7" max="7" width="9.140625" customWidth="1"/>
    <col min="8" max="8" width="8.4257812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709</v>
      </c>
      <c r="B2" s="158"/>
      <c r="C2" s="158"/>
      <c r="D2" s="158"/>
      <c r="E2" s="158"/>
      <c r="F2" s="158"/>
      <c r="G2" s="158"/>
      <c r="H2" s="158"/>
      <c r="J2" s="11" t="s">
        <v>942</v>
      </c>
    </row>
    <row r="3" spans="1:10" ht="15" x14ac:dyDescent="0.2">
      <c r="A3" s="158" t="s">
        <v>880</v>
      </c>
      <c r="B3" s="158"/>
      <c r="C3" s="158"/>
      <c r="D3" s="158"/>
      <c r="E3" s="158"/>
      <c r="F3" s="158"/>
      <c r="G3" s="158"/>
      <c r="H3" s="158"/>
      <c r="J3" s="7"/>
    </row>
    <row r="4" spans="1:10" s="1" customFormat="1" ht="30"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14</v>
      </c>
      <c r="C7" s="44" t="s">
        <v>15</v>
      </c>
      <c r="D7" s="44" t="s">
        <v>16</v>
      </c>
      <c r="E7" s="45">
        <v>1100000</v>
      </c>
      <c r="F7" s="46">
        <v>4576</v>
      </c>
      <c r="G7" s="47">
        <v>4.683988E-2</v>
      </c>
      <c r="H7" s="40" t="s">
        <v>151</v>
      </c>
      <c r="J7" s="7"/>
    </row>
    <row r="8" spans="1:10" x14ac:dyDescent="0.2">
      <c r="A8" s="43">
        <v>2</v>
      </c>
      <c r="B8" s="44" t="s">
        <v>341</v>
      </c>
      <c r="C8" s="44" t="s">
        <v>342</v>
      </c>
      <c r="D8" s="44" t="s">
        <v>45</v>
      </c>
      <c r="E8" s="45">
        <v>275000</v>
      </c>
      <c r="F8" s="46">
        <v>4443.3125</v>
      </c>
      <c r="G8" s="47">
        <v>4.5481689999999998E-2</v>
      </c>
      <c r="H8" s="40" t="s">
        <v>151</v>
      </c>
      <c r="J8" s="7"/>
    </row>
    <row r="9" spans="1:10" x14ac:dyDescent="0.2">
      <c r="A9" s="43">
        <v>3</v>
      </c>
      <c r="B9" s="44" t="s">
        <v>343</v>
      </c>
      <c r="C9" s="44" t="s">
        <v>344</v>
      </c>
      <c r="D9" s="44" t="s">
        <v>219</v>
      </c>
      <c r="E9" s="45">
        <v>215000</v>
      </c>
      <c r="F9" s="46">
        <v>4016.7375000000002</v>
      </c>
      <c r="G9" s="47">
        <v>4.1115270000000002E-2</v>
      </c>
      <c r="H9" s="40" t="s">
        <v>151</v>
      </c>
      <c r="J9" s="7"/>
    </row>
    <row r="10" spans="1:10" x14ac:dyDescent="0.2">
      <c r="A10" s="43">
        <v>4</v>
      </c>
      <c r="B10" s="44" t="s">
        <v>43</v>
      </c>
      <c r="C10" s="44" t="s">
        <v>44</v>
      </c>
      <c r="D10" s="44" t="s">
        <v>45</v>
      </c>
      <c r="E10" s="45">
        <v>258000</v>
      </c>
      <c r="F10" s="46">
        <v>3134.442</v>
      </c>
      <c r="G10" s="47">
        <v>3.2084109999999999E-2</v>
      </c>
      <c r="H10" s="40" t="s">
        <v>151</v>
      </c>
      <c r="J10" s="7"/>
    </row>
    <row r="11" spans="1:10" x14ac:dyDescent="0.2">
      <c r="A11" s="43">
        <v>5</v>
      </c>
      <c r="B11" s="44" t="s">
        <v>349</v>
      </c>
      <c r="C11" s="44" t="s">
        <v>350</v>
      </c>
      <c r="D11" s="44" t="s">
        <v>219</v>
      </c>
      <c r="E11" s="45">
        <v>65000</v>
      </c>
      <c r="F11" s="46">
        <v>2850.4775</v>
      </c>
      <c r="G11" s="47">
        <v>2.9177450000000001E-2</v>
      </c>
      <c r="H11" s="40" t="s">
        <v>151</v>
      </c>
      <c r="J11" s="7"/>
    </row>
    <row r="12" spans="1:10" ht="15" x14ac:dyDescent="0.2">
      <c r="A12" s="43">
        <v>6</v>
      </c>
      <c r="B12" s="44" t="s">
        <v>20</v>
      </c>
      <c r="C12" s="44" t="s">
        <v>21</v>
      </c>
      <c r="D12" s="44" t="s">
        <v>22</v>
      </c>
      <c r="E12" s="45">
        <v>93000</v>
      </c>
      <c r="F12" s="46">
        <v>2800.0904999999998</v>
      </c>
      <c r="G12" s="47">
        <v>2.866169E-2</v>
      </c>
      <c r="H12" s="40" t="s">
        <v>151</v>
      </c>
      <c r="J12" s="12"/>
    </row>
    <row r="13" spans="1:10" x14ac:dyDescent="0.2">
      <c r="A13" s="43">
        <v>7</v>
      </c>
      <c r="B13" s="44" t="s">
        <v>51</v>
      </c>
      <c r="C13" s="44" t="s">
        <v>52</v>
      </c>
      <c r="D13" s="44" t="s">
        <v>45</v>
      </c>
      <c r="E13" s="45">
        <v>310000</v>
      </c>
      <c r="F13" s="46">
        <v>2704.44</v>
      </c>
      <c r="G13" s="47">
        <v>2.768261E-2</v>
      </c>
      <c r="H13" s="40" t="s">
        <v>151</v>
      </c>
      <c r="J13" s="7"/>
    </row>
    <row r="14" spans="1:10" x14ac:dyDescent="0.2">
      <c r="A14" s="43">
        <v>8</v>
      </c>
      <c r="B14" s="44" t="s">
        <v>26</v>
      </c>
      <c r="C14" s="44" t="s">
        <v>27</v>
      </c>
      <c r="D14" s="44" t="s">
        <v>16</v>
      </c>
      <c r="E14" s="45">
        <v>675000</v>
      </c>
      <c r="F14" s="46">
        <v>2350.35</v>
      </c>
      <c r="G14" s="47">
        <v>2.405815E-2</v>
      </c>
      <c r="H14" s="40" t="s">
        <v>151</v>
      </c>
      <c r="J14" s="7"/>
    </row>
    <row r="15" spans="1:10" x14ac:dyDescent="0.2">
      <c r="A15" s="43">
        <v>9</v>
      </c>
      <c r="B15" s="44" t="s">
        <v>11</v>
      </c>
      <c r="C15" s="44" t="s">
        <v>12</v>
      </c>
      <c r="D15" s="44" t="s">
        <v>13</v>
      </c>
      <c r="E15" s="45">
        <v>60000</v>
      </c>
      <c r="F15" s="46">
        <v>2289</v>
      </c>
      <c r="G15" s="47">
        <v>2.343017E-2</v>
      </c>
      <c r="H15" s="40" t="s">
        <v>151</v>
      </c>
      <c r="J15" s="7"/>
    </row>
    <row r="16" spans="1:10" x14ac:dyDescent="0.2">
      <c r="A16" s="43">
        <v>10</v>
      </c>
      <c r="B16" s="44" t="s">
        <v>36</v>
      </c>
      <c r="C16" s="44" t="s">
        <v>37</v>
      </c>
      <c r="D16" s="44" t="s">
        <v>38</v>
      </c>
      <c r="E16" s="45">
        <v>675000</v>
      </c>
      <c r="F16" s="46">
        <v>2255.85</v>
      </c>
      <c r="G16" s="47">
        <v>2.309085E-2</v>
      </c>
      <c r="H16" s="40" t="s">
        <v>151</v>
      </c>
      <c r="J16" s="7" t="s">
        <v>1060</v>
      </c>
    </row>
    <row r="17" spans="1:10" x14ac:dyDescent="0.2">
      <c r="A17" s="43">
        <v>11</v>
      </c>
      <c r="B17" s="44" t="s">
        <v>364</v>
      </c>
      <c r="C17" s="44" t="s">
        <v>365</v>
      </c>
      <c r="D17" s="44" t="s">
        <v>366</v>
      </c>
      <c r="E17" s="45">
        <v>455000</v>
      </c>
      <c r="F17" s="46">
        <v>2253.8425000000002</v>
      </c>
      <c r="G17" s="47">
        <v>2.3070299999999998E-2</v>
      </c>
      <c r="H17" s="40" t="s">
        <v>151</v>
      </c>
      <c r="J17" s="7"/>
    </row>
    <row r="18" spans="1:10" x14ac:dyDescent="0.2">
      <c r="A18" s="43">
        <v>12</v>
      </c>
      <c r="B18" s="44" t="s">
        <v>105</v>
      </c>
      <c r="C18" s="44" t="s">
        <v>106</v>
      </c>
      <c r="D18" s="44" t="s">
        <v>107</v>
      </c>
      <c r="E18" s="45">
        <v>400000</v>
      </c>
      <c r="F18" s="46">
        <v>2088.8000000000002</v>
      </c>
      <c r="G18" s="47">
        <v>2.1380929999999999E-2</v>
      </c>
      <c r="H18" s="40" t="s">
        <v>151</v>
      </c>
      <c r="J18" s="7"/>
    </row>
    <row r="19" spans="1:10" x14ac:dyDescent="0.2">
      <c r="A19" s="43">
        <v>13</v>
      </c>
      <c r="B19" s="44" t="s">
        <v>378</v>
      </c>
      <c r="C19" s="44" t="s">
        <v>379</v>
      </c>
      <c r="D19" s="44" t="s">
        <v>366</v>
      </c>
      <c r="E19" s="45">
        <v>75000</v>
      </c>
      <c r="F19" s="46">
        <v>2029.2375</v>
      </c>
      <c r="G19" s="47">
        <v>2.0771250000000002E-2</v>
      </c>
      <c r="H19" s="40" t="s">
        <v>151</v>
      </c>
      <c r="J19" s="7"/>
    </row>
    <row r="20" spans="1:10" x14ac:dyDescent="0.2">
      <c r="A20" s="43">
        <v>14</v>
      </c>
      <c r="B20" s="44" t="s">
        <v>564</v>
      </c>
      <c r="C20" s="44" t="s">
        <v>565</v>
      </c>
      <c r="D20" s="44" t="s">
        <v>219</v>
      </c>
      <c r="E20" s="45">
        <v>130000</v>
      </c>
      <c r="F20" s="46">
        <v>2020.72</v>
      </c>
      <c r="G20" s="47">
        <v>2.0684060000000001E-2</v>
      </c>
      <c r="H20" s="40" t="s">
        <v>151</v>
      </c>
      <c r="J20" s="7"/>
    </row>
    <row r="21" spans="1:10" x14ac:dyDescent="0.2">
      <c r="A21" s="43">
        <v>15</v>
      </c>
      <c r="B21" s="44" t="s">
        <v>28</v>
      </c>
      <c r="C21" s="44" t="s">
        <v>29</v>
      </c>
      <c r="D21" s="44" t="s">
        <v>30</v>
      </c>
      <c r="E21" s="45">
        <v>625000</v>
      </c>
      <c r="F21" s="46">
        <v>1975.3125</v>
      </c>
      <c r="G21" s="47">
        <v>2.0219270000000001E-2</v>
      </c>
      <c r="H21" s="40" t="s">
        <v>151</v>
      </c>
      <c r="J21" s="7"/>
    </row>
    <row r="22" spans="1:10" ht="15" x14ac:dyDescent="0.2">
      <c r="A22" s="43">
        <v>16</v>
      </c>
      <c r="B22" s="44" t="s">
        <v>469</v>
      </c>
      <c r="C22" s="44" t="s">
        <v>470</v>
      </c>
      <c r="D22" s="44" t="s">
        <v>45</v>
      </c>
      <c r="E22" s="45">
        <v>725000</v>
      </c>
      <c r="F22" s="46">
        <v>1838.9625000000001</v>
      </c>
      <c r="G22" s="47">
        <v>1.8823599999999999E-2</v>
      </c>
      <c r="H22" s="40" t="s">
        <v>151</v>
      </c>
      <c r="J22" s="12"/>
    </row>
    <row r="23" spans="1:10" x14ac:dyDescent="0.2">
      <c r="A23" s="43">
        <v>17</v>
      </c>
      <c r="B23" s="44" t="s">
        <v>17</v>
      </c>
      <c r="C23" s="44" t="s">
        <v>18</v>
      </c>
      <c r="D23" s="44" t="s">
        <v>19</v>
      </c>
      <c r="E23" s="45">
        <v>120000</v>
      </c>
      <c r="F23" s="46">
        <v>1789.86</v>
      </c>
      <c r="G23" s="47">
        <v>1.8320980000000001E-2</v>
      </c>
      <c r="H23" s="40" t="s">
        <v>151</v>
      </c>
      <c r="J23" s="7"/>
    </row>
    <row r="24" spans="1:10" x14ac:dyDescent="0.2">
      <c r="A24" s="43">
        <v>18</v>
      </c>
      <c r="B24" s="44" t="s">
        <v>471</v>
      </c>
      <c r="C24" s="44" t="s">
        <v>472</v>
      </c>
      <c r="D24" s="44" t="s">
        <v>219</v>
      </c>
      <c r="E24" s="45">
        <v>107000</v>
      </c>
      <c r="F24" s="46">
        <v>1757.5820000000001</v>
      </c>
      <c r="G24" s="47">
        <v>1.7990590000000001E-2</v>
      </c>
      <c r="H24" s="40" t="s">
        <v>151</v>
      </c>
      <c r="J24" s="7"/>
    </row>
    <row r="25" spans="1:10" x14ac:dyDescent="0.2">
      <c r="A25" s="43">
        <v>19</v>
      </c>
      <c r="B25" s="44" t="s">
        <v>554</v>
      </c>
      <c r="C25" s="44" t="s">
        <v>555</v>
      </c>
      <c r="D25" s="44" t="s">
        <v>282</v>
      </c>
      <c r="E25" s="45">
        <v>60000</v>
      </c>
      <c r="F25" s="46">
        <v>1744.68</v>
      </c>
      <c r="G25" s="47">
        <v>1.7858519999999999E-2</v>
      </c>
      <c r="H25" s="40" t="s">
        <v>151</v>
      </c>
      <c r="J25" s="7"/>
    </row>
    <row r="26" spans="1:10" x14ac:dyDescent="0.2">
      <c r="A26" s="43">
        <v>20</v>
      </c>
      <c r="B26" s="44" t="s">
        <v>672</v>
      </c>
      <c r="C26" s="44" t="s">
        <v>673</v>
      </c>
      <c r="D26" s="44" t="s">
        <v>22</v>
      </c>
      <c r="E26" s="45">
        <v>900000</v>
      </c>
      <c r="F26" s="46">
        <v>1635.03</v>
      </c>
      <c r="G26" s="47">
        <v>1.6736150000000002E-2</v>
      </c>
      <c r="H26" s="40" t="s">
        <v>151</v>
      </c>
      <c r="J26" s="7"/>
    </row>
    <row r="27" spans="1:10" x14ac:dyDescent="0.2">
      <c r="A27" s="43">
        <v>21</v>
      </c>
      <c r="B27" s="44" t="s">
        <v>710</v>
      </c>
      <c r="C27" s="44" t="s">
        <v>711</v>
      </c>
      <c r="D27" s="44" t="s">
        <v>16</v>
      </c>
      <c r="E27" s="45">
        <v>1550000</v>
      </c>
      <c r="F27" s="46">
        <v>1628.12</v>
      </c>
      <c r="G27" s="47">
        <v>1.666542E-2</v>
      </c>
      <c r="H27" s="40" t="s">
        <v>151</v>
      </c>
      <c r="J27" s="7"/>
    </row>
    <row r="28" spans="1:10" ht="25.5" x14ac:dyDescent="0.2">
      <c r="A28" s="43">
        <v>22</v>
      </c>
      <c r="B28" s="44" t="s">
        <v>23</v>
      </c>
      <c r="C28" s="44" t="s">
        <v>24</v>
      </c>
      <c r="D28" s="44" t="s">
        <v>25</v>
      </c>
      <c r="E28" s="45">
        <v>12000</v>
      </c>
      <c r="F28" s="46">
        <v>1426.4639999999999</v>
      </c>
      <c r="G28" s="47">
        <v>1.460127E-2</v>
      </c>
      <c r="H28" s="40" t="s">
        <v>151</v>
      </c>
      <c r="J28" s="7"/>
    </row>
    <row r="29" spans="1:10" ht="25.5" x14ac:dyDescent="0.2">
      <c r="A29" s="43">
        <v>23</v>
      </c>
      <c r="B29" s="44" t="s">
        <v>712</v>
      </c>
      <c r="C29" s="44" t="s">
        <v>713</v>
      </c>
      <c r="D29" s="44" t="s">
        <v>16</v>
      </c>
      <c r="E29" s="45">
        <v>825000</v>
      </c>
      <c r="F29" s="46">
        <v>1423.29</v>
      </c>
      <c r="G29" s="47">
        <v>1.456878E-2</v>
      </c>
      <c r="H29" s="40" t="s">
        <v>151</v>
      </c>
      <c r="J29" s="7" t="s">
        <v>1061</v>
      </c>
    </row>
    <row r="30" spans="1:10" x14ac:dyDescent="0.2">
      <c r="A30" s="43">
        <v>24</v>
      </c>
      <c r="B30" s="44" t="s">
        <v>84</v>
      </c>
      <c r="C30" s="44" t="s">
        <v>85</v>
      </c>
      <c r="D30" s="44" t="s">
        <v>86</v>
      </c>
      <c r="E30" s="45">
        <v>210000</v>
      </c>
      <c r="F30" s="46">
        <v>1352.925</v>
      </c>
      <c r="G30" s="47">
        <v>1.384852E-2</v>
      </c>
      <c r="H30" s="40" t="s">
        <v>151</v>
      </c>
      <c r="J30" s="7"/>
    </row>
    <row r="31" spans="1:10" x14ac:dyDescent="0.2">
      <c r="A31" s="43">
        <v>25</v>
      </c>
      <c r="B31" s="44" t="s">
        <v>48</v>
      </c>
      <c r="C31" s="44" t="s">
        <v>49</v>
      </c>
      <c r="D31" s="44" t="s">
        <v>50</v>
      </c>
      <c r="E31" s="45">
        <v>325000</v>
      </c>
      <c r="F31" s="46">
        <v>1350.05</v>
      </c>
      <c r="G31" s="47">
        <v>1.3819089999999999E-2</v>
      </c>
      <c r="H31" s="40" t="s">
        <v>151</v>
      </c>
      <c r="J31" s="7"/>
    </row>
    <row r="32" spans="1:10" x14ac:dyDescent="0.2">
      <c r="A32" s="43">
        <v>26</v>
      </c>
      <c r="B32" s="44" t="s">
        <v>62</v>
      </c>
      <c r="C32" s="44" t="s">
        <v>63</v>
      </c>
      <c r="D32" s="44" t="s">
        <v>64</v>
      </c>
      <c r="E32" s="45">
        <v>555000</v>
      </c>
      <c r="F32" s="46">
        <v>1337.3834999999999</v>
      </c>
      <c r="G32" s="47">
        <v>1.3689440000000001E-2</v>
      </c>
      <c r="H32" s="40" t="s">
        <v>151</v>
      </c>
      <c r="J32" s="7"/>
    </row>
    <row r="33" spans="1:10" x14ac:dyDescent="0.2">
      <c r="A33" s="43">
        <v>27</v>
      </c>
      <c r="B33" s="44" t="s">
        <v>90</v>
      </c>
      <c r="C33" s="44" t="s">
        <v>91</v>
      </c>
      <c r="D33" s="44" t="s">
        <v>86</v>
      </c>
      <c r="E33" s="45">
        <v>240000</v>
      </c>
      <c r="F33" s="46">
        <v>1336.32</v>
      </c>
      <c r="G33" s="47">
        <v>1.3678549999999999E-2</v>
      </c>
      <c r="H33" s="40" t="s">
        <v>151</v>
      </c>
      <c r="J33" s="7"/>
    </row>
    <row r="34" spans="1:10" x14ac:dyDescent="0.2">
      <c r="A34" s="43">
        <v>28</v>
      </c>
      <c r="B34" s="44" t="s">
        <v>77</v>
      </c>
      <c r="C34" s="44" t="s">
        <v>78</v>
      </c>
      <c r="D34" s="44" t="s">
        <v>33</v>
      </c>
      <c r="E34" s="45">
        <v>34000</v>
      </c>
      <c r="F34" s="46">
        <v>1309.799</v>
      </c>
      <c r="G34" s="47">
        <v>1.340709E-2</v>
      </c>
      <c r="H34" s="40" t="s">
        <v>151</v>
      </c>
      <c r="J34" s="7"/>
    </row>
    <row r="35" spans="1:10" ht="25.5" x14ac:dyDescent="0.2">
      <c r="A35" s="43">
        <v>29</v>
      </c>
      <c r="B35" s="44" t="s">
        <v>353</v>
      </c>
      <c r="C35" s="44" t="s">
        <v>354</v>
      </c>
      <c r="D35" s="44" t="s">
        <v>210</v>
      </c>
      <c r="E35" s="45">
        <v>75000</v>
      </c>
      <c r="F35" s="46">
        <v>1289.5125</v>
      </c>
      <c r="G35" s="47">
        <v>1.319943E-2</v>
      </c>
      <c r="H35" s="40" t="s">
        <v>151</v>
      </c>
      <c r="J35" s="7"/>
    </row>
    <row r="36" spans="1:10" x14ac:dyDescent="0.2">
      <c r="A36" s="43">
        <v>30</v>
      </c>
      <c r="B36" s="44" t="s">
        <v>714</v>
      </c>
      <c r="C36" s="44" t="s">
        <v>715</v>
      </c>
      <c r="D36" s="44" t="s">
        <v>100</v>
      </c>
      <c r="E36" s="45">
        <v>73000</v>
      </c>
      <c r="F36" s="46">
        <v>1258.3009999999999</v>
      </c>
      <c r="G36" s="47">
        <v>1.2879949999999999E-2</v>
      </c>
      <c r="H36" s="40" t="s">
        <v>151</v>
      </c>
      <c r="J36" s="7"/>
    </row>
    <row r="37" spans="1:10" x14ac:dyDescent="0.2">
      <c r="A37" s="43">
        <v>31</v>
      </c>
      <c r="B37" s="44" t="s">
        <v>260</v>
      </c>
      <c r="C37" s="44" t="s">
        <v>261</v>
      </c>
      <c r="D37" s="44" t="s">
        <v>89</v>
      </c>
      <c r="E37" s="45">
        <v>225000</v>
      </c>
      <c r="F37" s="46">
        <v>1250.325</v>
      </c>
      <c r="G37" s="47">
        <v>1.279831E-2</v>
      </c>
      <c r="H37" s="40" t="s">
        <v>151</v>
      </c>
      <c r="J37" s="7"/>
    </row>
    <row r="38" spans="1:10" x14ac:dyDescent="0.2">
      <c r="A38" s="43">
        <v>32</v>
      </c>
      <c r="B38" s="44" t="s">
        <v>716</v>
      </c>
      <c r="C38" s="44" t="s">
        <v>717</v>
      </c>
      <c r="D38" s="44" t="s">
        <v>277</v>
      </c>
      <c r="E38" s="45">
        <v>20000</v>
      </c>
      <c r="F38" s="46">
        <v>1156.8900000000001</v>
      </c>
      <c r="G38" s="47">
        <v>1.1841910000000001E-2</v>
      </c>
      <c r="H38" s="40" t="s">
        <v>151</v>
      </c>
      <c r="J38" s="7"/>
    </row>
    <row r="39" spans="1:10" ht="25.5" x14ac:dyDescent="0.2">
      <c r="A39" s="43">
        <v>33</v>
      </c>
      <c r="B39" s="44" t="s">
        <v>372</v>
      </c>
      <c r="C39" s="44" t="s">
        <v>373</v>
      </c>
      <c r="D39" s="44" t="s">
        <v>210</v>
      </c>
      <c r="E39" s="45">
        <v>80000</v>
      </c>
      <c r="F39" s="46">
        <v>1147.32</v>
      </c>
      <c r="G39" s="47">
        <v>1.174395E-2</v>
      </c>
      <c r="H39" s="40" t="s">
        <v>151</v>
      </c>
      <c r="J39" s="7"/>
    </row>
    <row r="40" spans="1:10" x14ac:dyDescent="0.2">
      <c r="A40" s="43">
        <v>34</v>
      </c>
      <c r="B40" s="44" t="s">
        <v>422</v>
      </c>
      <c r="C40" s="44" t="s">
        <v>423</v>
      </c>
      <c r="D40" s="44" t="s">
        <v>222</v>
      </c>
      <c r="E40" s="45">
        <v>330000</v>
      </c>
      <c r="F40" s="46">
        <v>1145.2650000000001</v>
      </c>
      <c r="G40" s="47">
        <v>1.172292E-2</v>
      </c>
      <c r="H40" s="40" t="s">
        <v>151</v>
      </c>
      <c r="J40" s="7"/>
    </row>
    <row r="41" spans="1:10" x14ac:dyDescent="0.2">
      <c r="A41" s="43">
        <v>35</v>
      </c>
      <c r="B41" s="44" t="s">
        <v>456</v>
      </c>
      <c r="C41" s="44" t="s">
        <v>457</v>
      </c>
      <c r="D41" s="44" t="s">
        <v>33</v>
      </c>
      <c r="E41" s="45">
        <v>63000</v>
      </c>
      <c r="F41" s="46">
        <v>1082.8440000000001</v>
      </c>
      <c r="G41" s="47">
        <v>1.108398E-2</v>
      </c>
      <c r="H41" s="40" t="s">
        <v>151</v>
      </c>
      <c r="J41" s="7"/>
    </row>
    <row r="42" spans="1:10" x14ac:dyDescent="0.2">
      <c r="A42" s="43">
        <v>36</v>
      </c>
      <c r="B42" s="44" t="s">
        <v>382</v>
      </c>
      <c r="C42" s="44" t="s">
        <v>383</v>
      </c>
      <c r="D42" s="44" t="s">
        <v>136</v>
      </c>
      <c r="E42" s="45">
        <v>650000</v>
      </c>
      <c r="F42" s="46">
        <v>1074.645</v>
      </c>
      <c r="G42" s="47">
        <v>1.1000050000000001E-2</v>
      </c>
      <c r="H42" s="40" t="s">
        <v>151</v>
      </c>
      <c r="J42" s="7"/>
    </row>
    <row r="43" spans="1:10" x14ac:dyDescent="0.2">
      <c r="A43" s="43">
        <v>37</v>
      </c>
      <c r="B43" s="44" t="s">
        <v>556</v>
      </c>
      <c r="C43" s="44" t="s">
        <v>557</v>
      </c>
      <c r="D43" s="44" t="s">
        <v>282</v>
      </c>
      <c r="E43" s="45">
        <v>11000</v>
      </c>
      <c r="F43" s="46">
        <v>1063.0619999999999</v>
      </c>
      <c r="G43" s="47">
        <v>1.0881490000000001E-2</v>
      </c>
      <c r="H43" s="40" t="s">
        <v>151</v>
      </c>
      <c r="J43" s="7"/>
    </row>
    <row r="44" spans="1:10" x14ac:dyDescent="0.2">
      <c r="A44" s="43">
        <v>38</v>
      </c>
      <c r="B44" s="44" t="s">
        <v>347</v>
      </c>
      <c r="C44" s="44" t="s">
        <v>348</v>
      </c>
      <c r="D44" s="44" t="s">
        <v>45</v>
      </c>
      <c r="E44" s="45">
        <v>90000</v>
      </c>
      <c r="F44" s="46">
        <v>1049.49</v>
      </c>
      <c r="G44" s="47">
        <v>1.074257E-2</v>
      </c>
      <c r="H44" s="40" t="s">
        <v>151</v>
      </c>
      <c r="J44" s="7"/>
    </row>
    <row r="45" spans="1:10" x14ac:dyDescent="0.2">
      <c r="A45" s="43">
        <v>39</v>
      </c>
      <c r="B45" s="44" t="s">
        <v>250</v>
      </c>
      <c r="C45" s="44" t="s">
        <v>251</v>
      </c>
      <c r="D45" s="44" t="s">
        <v>219</v>
      </c>
      <c r="E45" s="45">
        <v>36000</v>
      </c>
      <c r="F45" s="46">
        <v>1041.3</v>
      </c>
      <c r="G45" s="47">
        <v>1.065873E-2</v>
      </c>
      <c r="H45" s="40" t="s">
        <v>151</v>
      </c>
      <c r="J45" s="7"/>
    </row>
    <row r="46" spans="1:10" x14ac:dyDescent="0.2">
      <c r="A46" s="43">
        <v>40</v>
      </c>
      <c r="B46" s="44" t="s">
        <v>223</v>
      </c>
      <c r="C46" s="44" t="s">
        <v>224</v>
      </c>
      <c r="D46" s="44" t="s">
        <v>86</v>
      </c>
      <c r="E46" s="45">
        <v>7500</v>
      </c>
      <c r="F46" s="46">
        <v>1034.28</v>
      </c>
      <c r="G46" s="47">
        <v>1.058688E-2</v>
      </c>
      <c r="H46" s="40" t="s">
        <v>151</v>
      </c>
      <c r="J46" s="7"/>
    </row>
    <row r="47" spans="1:10" x14ac:dyDescent="0.2">
      <c r="A47" s="43">
        <v>41</v>
      </c>
      <c r="B47" s="44" t="s">
        <v>248</v>
      </c>
      <c r="C47" s="44" t="s">
        <v>249</v>
      </c>
      <c r="D47" s="44" t="s">
        <v>86</v>
      </c>
      <c r="E47" s="45">
        <v>35000</v>
      </c>
      <c r="F47" s="46">
        <v>1026.1824999999999</v>
      </c>
      <c r="G47" s="47">
        <v>1.050399E-2</v>
      </c>
      <c r="H47" s="40" t="s">
        <v>151</v>
      </c>
      <c r="J47" s="7"/>
    </row>
    <row r="48" spans="1:10" x14ac:dyDescent="0.2">
      <c r="A48" s="43">
        <v>42</v>
      </c>
      <c r="B48" s="44" t="s">
        <v>718</v>
      </c>
      <c r="C48" s="44" t="s">
        <v>719</v>
      </c>
      <c r="D48" s="44" t="s">
        <v>219</v>
      </c>
      <c r="E48" s="45">
        <v>55000</v>
      </c>
      <c r="F48" s="46">
        <v>1013.43</v>
      </c>
      <c r="G48" s="47">
        <v>1.0373459999999999E-2</v>
      </c>
      <c r="H48" s="40" t="s">
        <v>151</v>
      </c>
      <c r="J48" s="7"/>
    </row>
    <row r="49" spans="1:10" ht="25.5" x14ac:dyDescent="0.2">
      <c r="A49" s="43">
        <v>43</v>
      </c>
      <c r="B49" s="44" t="s">
        <v>475</v>
      </c>
      <c r="C49" s="44" t="s">
        <v>476</v>
      </c>
      <c r="D49" s="44" t="s">
        <v>210</v>
      </c>
      <c r="E49" s="45">
        <v>65000</v>
      </c>
      <c r="F49" s="46">
        <v>1003.795</v>
      </c>
      <c r="G49" s="47">
        <v>1.027483E-2</v>
      </c>
      <c r="H49" s="40" t="s">
        <v>151</v>
      </c>
      <c r="J49" s="7"/>
    </row>
    <row r="50" spans="1:10" x14ac:dyDescent="0.2">
      <c r="A50" s="43">
        <v>44</v>
      </c>
      <c r="B50" s="44" t="s">
        <v>560</v>
      </c>
      <c r="C50" s="44" t="s">
        <v>561</v>
      </c>
      <c r="D50" s="44" t="s">
        <v>282</v>
      </c>
      <c r="E50" s="45">
        <v>7500</v>
      </c>
      <c r="F50" s="46">
        <v>983.68499999999995</v>
      </c>
      <c r="G50" s="47">
        <v>1.006899E-2</v>
      </c>
      <c r="H50" s="40" t="s">
        <v>151</v>
      </c>
      <c r="J50" s="7"/>
    </row>
    <row r="51" spans="1:10" ht="25.5" x14ac:dyDescent="0.2">
      <c r="A51" s="43">
        <v>45</v>
      </c>
      <c r="B51" s="44" t="s">
        <v>532</v>
      </c>
      <c r="C51" s="44" t="s">
        <v>533</v>
      </c>
      <c r="D51" s="44" t="s">
        <v>534</v>
      </c>
      <c r="E51" s="45">
        <v>208000</v>
      </c>
      <c r="F51" s="46">
        <v>975.41600000000005</v>
      </c>
      <c r="G51" s="47">
        <v>9.9843499999999995E-3</v>
      </c>
      <c r="H51" s="40" t="s">
        <v>151</v>
      </c>
      <c r="J51" s="7"/>
    </row>
    <row r="52" spans="1:10" ht="25.5" x14ac:dyDescent="0.2">
      <c r="A52" s="43">
        <v>46</v>
      </c>
      <c r="B52" s="44" t="s">
        <v>558</v>
      </c>
      <c r="C52" s="44" t="s">
        <v>559</v>
      </c>
      <c r="D52" s="44" t="s">
        <v>25</v>
      </c>
      <c r="E52" s="45">
        <v>35000</v>
      </c>
      <c r="F52" s="46">
        <v>971.86249999999995</v>
      </c>
      <c r="G52" s="47">
        <v>9.9479700000000004E-3</v>
      </c>
      <c r="H52" s="40" t="s">
        <v>151</v>
      </c>
      <c r="J52" s="7"/>
    </row>
    <row r="53" spans="1:10" x14ac:dyDescent="0.2">
      <c r="A53" s="43">
        <v>47</v>
      </c>
      <c r="B53" s="44" t="s">
        <v>497</v>
      </c>
      <c r="C53" s="44" t="s">
        <v>498</v>
      </c>
      <c r="D53" s="44" t="s">
        <v>413</v>
      </c>
      <c r="E53" s="45">
        <v>55000</v>
      </c>
      <c r="F53" s="46">
        <v>966.24</v>
      </c>
      <c r="G53" s="47">
        <v>9.8904200000000005E-3</v>
      </c>
      <c r="H53" s="40" t="s">
        <v>151</v>
      </c>
      <c r="J53" s="7"/>
    </row>
    <row r="54" spans="1:10" x14ac:dyDescent="0.2">
      <c r="A54" s="43">
        <v>48</v>
      </c>
      <c r="B54" s="44" t="s">
        <v>466</v>
      </c>
      <c r="C54" s="44" t="s">
        <v>994</v>
      </c>
      <c r="D54" s="44" t="s">
        <v>282</v>
      </c>
      <c r="E54" s="45">
        <v>120000</v>
      </c>
      <c r="F54" s="46">
        <v>951.6</v>
      </c>
      <c r="G54" s="47">
        <v>9.7405700000000005E-3</v>
      </c>
      <c r="H54" s="40" t="s">
        <v>151</v>
      </c>
      <c r="J54" s="7"/>
    </row>
    <row r="55" spans="1:10" x14ac:dyDescent="0.2">
      <c r="A55" s="43">
        <v>49</v>
      </c>
      <c r="B55" s="44" t="s">
        <v>116</v>
      </c>
      <c r="C55" s="44" t="s">
        <v>117</v>
      </c>
      <c r="D55" s="44" t="s">
        <v>30</v>
      </c>
      <c r="E55" s="45">
        <v>19000</v>
      </c>
      <c r="F55" s="46">
        <v>935.3415</v>
      </c>
      <c r="G55" s="47">
        <v>9.5741400000000001E-3</v>
      </c>
      <c r="H55" s="40" t="s">
        <v>151</v>
      </c>
      <c r="J55" s="7"/>
    </row>
    <row r="56" spans="1:10" x14ac:dyDescent="0.2">
      <c r="A56" s="43">
        <v>50</v>
      </c>
      <c r="B56" s="44" t="s">
        <v>374</v>
      </c>
      <c r="C56" s="44" t="s">
        <v>375</v>
      </c>
      <c r="D56" s="44" t="s">
        <v>282</v>
      </c>
      <c r="E56" s="45">
        <v>17000</v>
      </c>
      <c r="F56" s="46">
        <v>933.03650000000005</v>
      </c>
      <c r="G56" s="47">
        <v>9.5505499999999997E-3</v>
      </c>
      <c r="H56" s="40" t="s">
        <v>151</v>
      </c>
      <c r="J56" s="7"/>
    </row>
    <row r="57" spans="1:10" x14ac:dyDescent="0.2">
      <c r="A57" s="43">
        <v>51</v>
      </c>
      <c r="B57" s="44" t="s">
        <v>434</v>
      </c>
      <c r="C57" s="44" t="s">
        <v>435</v>
      </c>
      <c r="D57" s="44" t="s">
        <v>86</v>
      </c>
      <c r="E57" s="45">
        <v>105000</v>
      </c>
      <c r="F57" s="46">
        <v>891.08249999999998</v>
      </c>
      <c r="G57" s="47">
        <v>9.12111E-3</v>
      </c>
      <c r="H57" s="40" t="s">
        <v>151</v>
      </c>
      <c r="J57" s="7"/>
    </row>
    <row r="58" spans="1:10" x14ac:dyDescent="0.2">
      <c r="A58" s="43">
        <v>52</v>
      </c>
      <c r="B58" s="44" t="s">
        <v>720</v>
      </c>
      <c r="C58" s="44" t="s">
        <v>721</v>
      </c>
      <c r="D58" s="44" t="s">
        <v>277</v>
      </c>
      <c r="E58" s="45">
        <v>35000</v>
      </c>
      <c r="F58" s="46">
        <v>859.72249999999997</v>
      </c>
      <c r="G58" s="47">
        <v>8.8001099999999999E-3</v>
      </c>
      <c r="H58" s="40" t="s">
        <v>151</v>
      </c>
      <c r="J58" s="7"/>
    </row>
    <row r="59" spans="1:10" x14ac:dyDescent="0.2">
      <c r="A59" s="43">
        <v>53</v>
      </c>
      <c r="B59" s="44" t="s">
        <v>552</v>
      </c>
      <c r="C59" s="44" t="s">
        <v>553</v>
      </c>
      <c r="D59" s="44" t="s">
        <v>268</v>
      </c>
      <c r="E59" s="45">
        <v>60000</v>
      </c>
      <c r="F59" s="46">
        <v>847.98</v>
      </c>
      <c r="G59" s="47">
        <v>8.6799100000000007E-3</v>
      </c>
      <c r="H59" s="40" t="s">
        <v>151</v>
      </c>
      <c r="J59" s="7"/>
    </row>
    <row r="60" spans="1:10" x14ac:dyDescent="0.2">
      <c r="A60" s="43">
        <v>54</v>
      </c>
      <c r="B60" s="44" t="s">
        <v>479</v>
      </c>
      <c r="C60" s="44" t="s">
        <v>480</v>
      </c>
      <c r="D60" s="44" t="s">
        <v>45</v>
      </c>
      <c r="E60" s="45">
        <v>56533</v>
      </c>
      <c r="F60" s="46">
        <v>807.17817400000001</v>
      </c>
      <c r="G60" s="47">
        <v>8.2622700000000004E-3</v>
      </c>
      <c r="H60" s="40" t="s">
        <v>151</v>
      </c>
      <c r="J60" s="7"/>
    </row>
    <row r="61" spans="1:10" ht="25.5" x14ac:dyDescent="0.2">
      <c r="A61" s="43">
        <v>55</v>
      </c>
      <c r="B61" s="44" t="s">
        <v>203</v>
      </c>
      <c r="C61" s="44" t="s">
        <v>204</v>
      </c>
      <c r="D61" s="44" t="s">
        <v>205</v>
      </c>
      <c r="E61" s="45">
        <v>45000</v>
      </c>
      <c r="F61" s="46">
        <v>747.9</v>
      </c>
      <c r="G61" s="47">
        <v>7.6555E-3</v>
      </c>
      <c r="H61" s="40" t="s">
        <v>151</v>
      </c>
      <c r="J61" s="7"/>
    </row>
    <row r="62" spans="1:10" x14ac:dyDescent="0.2">
      <c r="A62" s="43">
        <v>56</v>
      </c>
      <c r="B62" s="44" t="s">
        <v>196</v>
      </c>
      <c r="C62" s="44" t="s">
        <v>197</v>
      </c>
      <c r="D62" s="44" t="s">
        <v>45</v>
      </c>
      <c r="E62" s="45">
        <v>350000</v>
      </c>
      <c r="F62" s="46">
        <v>704.86500000000001</v>
      </c>
      <c r="G62" s="47">
        <v>7.2149900000000001E-3</v>
      </c>
      <c r="H62" s="40" t="s">
        <v>151</v>
      </c>
      <c r="J62" s="7"/>
    </row>
    <row r="63" spans="1:10" x14ac:dyDescent="0.2">
      <c r="A63" s="43">
        <v>57</v>
      </c>
      <c r="B63" s="44" t="s">
        <v>297</v>
      </c>
      <c r="C63" s="44" t="s">
        <v>298</v>
      </c>
      <c r="D63" s="44" t="s">
        <v>64</v>
      </c>
      <c r="E63" s="45">
        <v>200000</v>
      </c>
      <c r="F63" s="46">
        <v>678.5</v>
      </c>
      <c r="G63" s="47">
        <v>6.9451199999999999E-3</v>
      </c>
      <c r="H63" s="40" t="s">
        <v>151</v>
      </c>
      <c r="J63" s="7"/>
    </row>
    <row r="64" spans="1:10" ht="25.5" x14ac:dyDescent="0.2">
      <c r="A64" s="43">
        <v>58</v>
      </c>
      <c r="B64" s="44" t="s">
        <v>326</v>
      </c>
      <c r="C64" s="44" t="s">
        <v>327</v>
      </c>
      <c r="D64" s="44" t="s">
        <v>210</v>
      </c>
      <c r="E64" s="45">
        <v>10000</v>
      </c>
      <c r="F64" s="46">
        <v>660.92</v>
      </c>
      <c r="G64" s="47">
        <v>6.76517E-3</v>
      </c>
      <c r="H64" s="40" t="s">
        <v>151</v>
      </c>
      <c r="J64" s="7"/>
    </row>
    <row r="65" spans="1:10" ht="25.5" x14ac:dyDescent="0.2">
      <c r="A65" s="43">
        <v>59</v>
      </c>
      <c r="B65" s="44" t="s">
        <v>722</v>
      </c>
      <c r="C65" s="44" t="s">
        <v>723</v>
      </c>
      <c r="D65" s="44" t="s">
        <v>724</v>
      </c>
      <c r="E65" s="45">
        <v>10516</v>
      </c>
      <c r="F65" s="46">
        <v>460.43780199999998</v>
      </c>
      <c r="G65" s="47">
        <v>4.7130399999999999E-3</v>
      </c>
      <c r="H65" s="40" t="s">
        <v>151</v>
      </c>
      <c r="J65" s="7"/>
    </row>
    <row r="66" spans="1:10" x14ac:dyDescent="0.2">
      <c r="A66" s="43">
        <v>60</v>
      </c>
      <c r="B66" s="44" t="s">
        <v>367</v>
      </c>
      <c r="C66" s="44" t="s">
        <v>368</v>
      </c>
      <c r="D66" s="44" t="s">
        <v>229</v>
      </c>
      <c r="E66" s="45">
        <v>10000</v>
      </c>
      <c r="F66" s="46">
        <v>428.97</v>
      </c>
      <c r="G66" s="47">
        <v>4.3909300000000004E-3</v>
      </c>
      <c r="H66" s="40" t="s">
        <v>151</v>
      </c>
      <c r="J66" s="7"/>
    </row>
    <row r="67" spans="1:10" x14ac:dyDescent="0.2">
      <c r="A67" s="43">
        <v>61</v>
      </c>
      <c r="B67" s="44" t="s">
        <v>334</v>
      </c>
      <c r="C67" s="44" t="s">
        <v>335</v>
      </c>
      <c r="D67" s="44" t="s">
        <v>222</v>
      </c>
      <c r="E67" s="45">
        <v>10000</v>
      </c>
      <c r="F67" s="46">
        <v>377.26499999999999</v>
      </c>
      <c r="G67" s="47">
        <v>3.8616800000000001E-3</v>
      </c>
      <c r="H67" s="40" t="s">
        <v>151</v>
      </c>
      <c r="J67" s="7"/>
    </row>
    <row r="68" spans="1:10" x14ac:dyDescent="0.2">
      <c r="A68" s="41"/>
      <c r="B68" s="41"/>
      <c r="C68" s="42" t="s">
        <v>150</v>
      </c>
      <c r="D68" s="41"/>
      <c r="E68" s="41" t="s">
        <v>151</v>
      </c>
      <c r="F68" s="48">
        <v>92537.722978999998</v>
      </c>
      <c r="G68" s="49">
        <v>0.94721495</v>
      </c>
      <c r="H68" s="40" t="s">
        <v>151</v>
      </c>
      <c r="J68" s="7"/>
    </row>
    <row r="69" spans="1:10" x14ac:dyDescent="0.2">
      <c r="A69" s="41"/>
      <c r="B69" s="41"/>
      <c r="C69" s="50"/>
      <c r="D69" s="41"/>
      <c r="E69" s="41"/>
      <c r="F69" s="51"/>
      <c r="G69" s="51"/>
      <c r="H69" s="40" t="s">
        <v>151</v>
      </c>
      <c r="J69" s="7"/>
    </row>
    <row r="70" spans="1:10" x14ac:dyDescent="0.2">
      <c r="A70" s="41"/>
      <c r="B70" s="41"/>
      <c r="C70" s="42" t="s">
        <v>152</v>
      </c>
      <c r="D70" s="41"/>
      <c r="E70" s="41"/>
      <c r="F70" s="41"/>
      <c r="G70" s="41"/>
      <c r="H70" s="40" t="s">
        <v>151</v>
      </c>
      <c r="J70" s="7"/>
    </row>
    <row r="71" spans="1:10" x14ac:dyDescent="0.2">
      <c r="A71" s="41"/>
      <c r="B71" s="41"/>
      <c r="C71" s="42" t="s">
        <v>150</v>
      </c>
      <c r="D71" s="41"/>
      <c r="E71" s="41" t="s">
        <v>151</v>
      </c>
      <c r="F71" s="52" t="s">
        <v>153</v>
      </c>
      <c r="G71" s="49">
        <v>0</v>
      </c>
      <c r="H71" s="40" t="s">
        <v>151</v>
      </c>
      <c r="J71" s="7"/>
    </row>
    <row r="72" spans="1:10" x14ac:dyDescent="0.2">
      <c r="A72" s="41"/>
      <c r="B72" s="41"/>
      <c r="C72" s="50"/>
      <c r="D72" s="41"/>
      <c r="E72" s="41"/>
      <c r="F72" s="51"/>
      <c r="G72" s="51"/>
      <c r="H72" s="40" t="s">
        <v>151</v>
      </c>
      <c r="J72" s="7"/>
    </row>
    <row r="73" spans="1:10" x14ac:dyDescent="0.2">
      <c r="A73" s="41"/>
      <c r="B73" s="41"/>
      <c r="C73" s="42" t="s">
        <v>154</v>
      </c>
      <c r="D73" s="41"/>
      <c r="E73" s="41"/>
      <c r="F73" s="41"/>
      <c r="G73" s="41"/>
      <c r="H73" s="40" t="s">
        <v>151</v>
      </c>
      <c r="J73" s="7"/>
    </row>
    <row r="74" spans="1:10" x14ac:dyDescent="0.2">
      <c r="A74" s="43">
        <v>2</v>
      </c>
      <c r="B74" s="44" t="s">
        <v>725</v>
      </c>
      <c r="C74" s="53" t="s">
        <v>1007</v>
      </c>
      <c r="D74" s="44"/>
      <c r="E74" s="45">
        <v>50000</v>
      </c>
      <c r="F74" s="46">
        <v>4.9999999999999998E-7</v>
      </c>
      <c r="G74" s="54" t="s">
        <v>149</v>
      </c>
      <c r="H74" s="40" t="s">
        <v>151</v>
      </c>
      <c r="J74" s="7"/>
    </row>
    <row r="75" spans="1:10" x14ac:dyDescent="0.2">
      <c r="A75" s="43">
        <v>3</v>
      </c>
      <c r="B75" s="44" t="s">
        <v>726</v>
      </c>
      <c r="C75" s="53" t="s">
        <v>1006</v>
      </c>
      <c r="D75" s="44"/>
      <c r="E75" s="45">
        <v>20</v>
      </c>
      <c r="F75" s="46">
        <v>0</v>
      </c>
      <c r="G75" s="54" t="s">
        <v>149</v>
      </c>
      <c r="H75" s="40" t="s">
        <v>151</v>
      </c>
      <c r="J75" s="7"/>
    </row>
    <row r="76" spans="1:10" x14ac:dyDescent="0.2">
      <c r="A76" s="43">
        <v>4</v>
      </c>
      <c r="B76" s="44" t="s">
        <v>727</v>
      </c>
      <c r="C76" s="53" t="s">
        <v>1009</v>
      </c>
      <c r="D76" s="44"/>
      <c r="E76" s="45">
        <v>200000</v>
      </c>
      <c r="F76" s="46">
        <v>1.9999999999999999E-6</v>
      </c>
      <c r="G76" s="54" t="s">
        <v>149</v>
      </c>
      <c r="H76" s="40" t="s">
        <v>151</v>
      </c>
      <c r="J76" s="7"/>
    </row>
    <row r="77" spans="1:10" x14ac:dyDescent="0.2">
      <c r="A77" s="43">
        <v>5</v>
      </c>
      <c r="B77" s="44" t="s">
        <v>728</v>
      </c>
      <c r="C77" s="53" t="s">
        <v>1008</v>
      </c>
      <c r="D77" s="44"/>
      <c r="E77" s="45">
        <v>50000</v>
      </c>
      <c r="F77" s="46">
        <v>4.9999999999999998E-7</v>
      </c>
      <c r="G77" s="54" t="s">
        <v>149</v>
      </c>
      <c r="H77" s="40" t="s">
        <v>151</v>
      </c>
      <c r="I77" s="33"/>
      <c r="J77" s="7"/>
    </row>
    <row r="78" spans="1:10" x14ac:dyDescent="0.2">
      <c r="A78" s="41"/>
      <c r="B78" s="41"/>
      <c r="C78" s="42" t="s">
        <v>150</v>
      </c>
      <c r="D78" s="41"/>
      <c r="E78" s="41" t="s">
        <v>151</v>
      </c>
      <c r="F78" s="48">
        <f>SUM(F74:F77)</f>
        <v>2.9999999999999997E-6</v>
      </c>
      <c r="G78" s="49">
        <v>0</v>
      </c>
      <c r="H78" s="40" t="s">
        <v>151</v>
      </c>
      <c r="I78" s="33"/>
      <c r="J78" s="7"/>
    </row>
    <row r="79" spans="1:10" x14ac:dyDescent="0.2">
      <c r="A79" s="41"/>
      <c r="B79" s="41"/>
      <c r="C79" s="50"/>
      <c r="D79" s="41"/>
      <c r="E79" s="41"/>
      <c r="F79" s="51"/>
      <c r="G79" s="51"/>
      <c r="H79" s="40" t="s">
        <v>151</v>
      </c>
      <c r="I79" s="33"/>
      <c r="J79" s="7"/>
    </row>
    <row r="80" spans="1:10" x14ac:dyDescent="0.2">
      <c r="A80" s="41"/>
      <c r="B80" s="41"/>
      <c r="C80" s="42" t="s">
        <v>155</v>
      </c>
      <c r="D80" s="41"/>
      <c r="E80" s="41"/>
      <c r="F80" s="41"/>
      <c r="G80" s="41"/>
      <c r="H80" s="40" t="s">
        <v>151</v>
      </c>
      <c r="I80" s="33"/>
      <c r="J80" s="7"/>
    </row>
    <row r="81" spans="1:10" ht="25.5" x14ac:dyDescent="0.2">
      <c r="A81" s="43">
        <v>1</v>
      </c>
      <c r="B81" s="44" t="s">
        <v>338</v>
      </c>
      <c r="C81" s="83" t="s">
        <v>946</v>
      </c>
      <c r="D81" s="44" t="s">
        <v>33</v>
      </c>
      <c r="E81" s="45">
        <v>697</v>
      </c>
      <c r="F81" s="46">
        <v>6.9727880000000006E-2</v>
      </c>
      <c r="G81" s="54" t="s">
        <v>149</v>
      </c>
      <c r="H81" s="40" t="s">
        <v>151</v>
      </c>
      <c r="J81" s="7"/>
    </row>
    <row r="82" spans="1:10" x14ac:dyDescent="0.2">
      <c r="A82" s="41"/>
      <c r="B82" s="41"/>
      <c r="C82" s="42" t="s">
        <v>150</v>
      </c>
      <c r="D82" s="41"/>
      <c r="E82" s="41" t="s">
        <v>151</v>
      </c>
      <c r="F82" s="48">
        <f>SUM(F81:F81)</f>
        <v>6.9727880000000006E-2</v>
      </c>
      <c r="G82" s="49">
        <f>SUM(G81:G81)</f>
        <v>0</v>
      </c>
      <c r="H82" s="40" t="s">
        <v>151</v>
      </c>
      <c r="J82" s="7"/>
    </row>
    <row r="83" spans="1:10" x14ac:dyDescent="0.2">
      <c r="A83" s="41"/>
      <c r="B83" s="41"/>
      <c r="C83" s="50"/>
      <c r="D83" s="41"/>
      <c r="E83" s="41"/>
      <c r="F83" s="51"/>
      <c r="G83" s="51"/>
      <c r="H83" s="40" t="s">
        <v>151</v>
      </c>
      <c r="J83" s="7"/>
    </row>
    <row r="84" spans="1:10" x14ac:dyDescent="0.2">
      <c r="A84" s="41"/>
      <c r="B84" s="41"/>
      <c r="C84" s="42" t="s">
        <v>156</v>
      </c>
      <c r="D84" s="41"/>
      <c r="E84" s="41"/>
      <c r="F84" s="51"/>
      <c r="G84" s="51"/>
      <c r="H84" s="40" t="s">
        <v>151</v>
      </c>
      <c r="I84" s="33"/>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157</v>
      </c>
      <c r="D87" s="41"/>
      <c r="E87" s="41"/>
      <c r="F87" s="51"/>
      <c r="G87" s="51"/>
      <c r="H87" s="40" t="s">
        <v>151</v>
      </c>
      <c r="J87" s="7"/>
    </row>
    <row r="88" spans="1:10" x14ac:dyDescent="0.2">
      <c r="A88" s="41"/>
      <c r="B88" s="41"/>
      <c r="C88" s="42" t="s">
        <v>150</v>
      </c>
      <c r="D88" s="41"/>
      <c r="E88" s="41" t="s">
        <v>151</v>
      </c>
      <c r="F88" s="52" t="s">
        <v>153</v>
      </c>
      <c r="G88" s="49">
        <v>0</v>
      </c>
      <c r="H88" s="40" t="s">
        <v>151</v>
      </c>
      <c r="J88" s="7"/>
    </row>
    <row r="89" spans="1:10" x14ac:dyDescent="0.2">
      <c r="A89" s="41"/>
      <c r="B89" s="41"/>
      <c r="C89" s="50"/>
      <c r="D89" s="41"/>
      <c r="E89" s="41"/>
      <c r="F89" s="51"/>
      <c r="G89" s="51"/>
      <c r="H89" s="40" t="s">
        <v>151</v>
      </c>
      <c r="J89" s="7"/>
    </row>
    <row r="90" spans="1:10" x14ac:dyDescent="0.2">
      <c r="A90" s="41"/>
      <c r="B90" s="41"/>
      <c r="C90" s="42" t="s">
        <v>158</v>
      </c>
      <c r="D90" s="41"/>
      <c r="E90" s="41"/>
      <c r="F90" s="48">
        <v>92537.792706880005</v>
      </c>
      <c r="G90" s="49">
        <v>0.94721566000000001</v>
      </c>
      <c r="H90" s="40" t="s">
        <v>151</v>
      </c>
      <c r="J90" s="7"/>
    </row>
    <row r="91" spans="1:10" x14ac:dyDescent="0.2">
      <c r="A91" s="41"/>
      <c r="B91" s="41"/>
      <c r="C91" s="50"/>
      <c r="D91" s="41"/>
      <c r="E91" s="41"/>
      <c r="F91" s="51"/>
      <c r="G91" s="51"/>
      <c r="H91" s="40" t="s">
        <v>151</v>
      </c>
      <c r="J91" s="7"/>
    </row>
    <row r="92" spans="1:10" x14ac:dyDescent="0.2">
      <c r="A92" s="41"/>
      <c r="B92" s="41"/>
      <c r="C92" s="42" t="s">
        <v>159</v>
      </c>
      <c r="D92" s="41"/>
      <c r="E92" s="41"/>
      <c r="F92" s="51"/>
      <c r="G92" s="51"/>
      <c r="H92" s="40" t="s">
        <v>151</v>
      </c>
      <c r="J92" s="7"/>
    </row>
    <row r="93" spans="1:10" x14ac:dyDescent="0.2">
      <c r="A93" s="41"/>
      <c r="B93" s="41"/>
      <c r="C93" s="42" t="s">
        <v>10</v>
      </c>
      <c r="D93" s="41"/>
      <c r="E93" s="41"/>
      <c r="F93" s="51"/>
      <c r="G93" s="51"/>
      <c r="H93" s="40" t="s">
        <v>151</v>
      </c>
      <c r="J93" s="7"/>
    </row>
    <row r="94" spans="1:10" x14ac:dyDescent="0.2">
      <c r="A94" s="41"/>
      <c r="B94" s="41"/>
      <c r="C94" s="42" t="s">
        <v>150</v>
      </c>
      <c r="D94" s="41"/>
      <c r="E94" s="41" t="s">
        <v>151</v>
      </c>
      <c r="F94" s="52" t="s">
        <v>153</v>
      </c>
      <c r="G94" s="49">
        <v>0</v>
      </c>
      <c r="H94" s="40" t="s">
        <v>151</v>
      </c>
      <c r="J94" s="7"/>
    </row>
    <row r="95" spans="1:10" x14ac:dyDescent="0.2">
      <c r="A95" s="41"/>
      <c r="B95" s="41"/>
      <c r="C95" s="50"/>
      <c r="D95" s="41"/>
      <c r="E95" s="41"/>
      <c r="F95" s="51"/>
      <c r="G95" s="51"/>
      <c r="H95" s="40" t="s">
        <v>151</v>
      </c>
      <c r="J95" s="7"/>
    </row>
    <row r="96" spans="1:10" x14ac:dyDescent="0.2">
      <c r="A96" s="41"/>
      <c r="B96" s="41"/>
      <c r="C96" s="42" t="s">
        <v>160</v>
      </c>
      <c r="D96" s="41"/>
      <c r="E96" s="41"/>
      <c r="F96" s="41"/>
      <c r="G96" s="41"/>
      <c r="H96" s="40" t="s">
        <v>151</v>
      </c>
      <c r="J96" s="7"/>
    </row>
    <row r="97" spans="1:10" x14ac:dyDescent="0.2">
      <c r="A97" s="41"/>
      <c r="B97" s="41"/>
      <c r="C97" s="42" t="s">
        <v>150</v>
      </c>
      <c r="D97" s="41"/>
      <c r="E97" s="41" t="s">
        <v>151</v>
      </c>
      <c r="F97" s="52" t="s">
        <v>153</v>
      </c>
      <c r="G97" s="49">
        <v>0</v>
      </c>
      <c r="H97" s="40" t="s">
        <v>151</v>
      </c>
      <c r="J97" s="7"/>
    </row>
    <row r="98" spans="1:10" x14ac:dyDescent="0.2">
      <c r="A98" s="41"/>
      <c r="B98" s="41"/>
      <c r="C98" s="50"/>
      <c r="D98" s="41"/>
      <c r="E98" s="41"/>
      <c r="F98" s="51"/>
      <c r="G98" s="51"/>
      <c r="H98" s="40" t="s">
        <v>151</v>
      </c>
      <c r="J98" s="7"/>
    </row>
    <row r="99" spans="1:10" x14ac:dyDescent="0.2">
      <c r="A99" s="41"/>
      <c r="B99" s="41"/>
      <c r="C99" s="42" t="s">
        <v>161</v>
      </c>
      <c r="D99" s="41"/>
      <c r="E99" s="41"/>
      <c r="F99" s="41"/>
      <c r="G99" s="41"/>
      <c r="H99" s="40" t="s">
        <v>151</v>
      </c>
      <c r="J99" s="7"/>
    </row>
    <row r="100" spans="1:10" x14ac:dyDescent="0.2">
      <c r="A100" s="41"/>
      <c r="B100" s="41"/>
      <c r="C100" s="42" t="s">
        <v>150</v>
      </c>
      <c r="D100" s="41"/>
      <c r="E100" s="41" t="s">
        <v>151</v>
      </c>
      <c r="F100" s="52" t="s">
        <v>153</v>
      </c>
      <c r="G100" s="49">
        <v>0</v>
      </c>
      <c r="H100" s="40" t="s">
        <v>151</v>
      </c>
      <c r="J100" s="7"/>
    </row>
    <row r="101" spans="1:10" x14ac:dyDescent="0.2">
      <c r="A101" s="41"/>
      <c r="B101" s="41"/>
      <c r="C101" s="50"/>
      <c r="D101" s="41"/>
      <c r="E101" s="41"/>
      <c r="F101" s="51"/>
      <c r="G101" s="51"/>
      <c r="H101" s="40" t="s">
        <v>151</v>
      </c>
      <c r="J101" s="7"/>
    </row>
    <row r="102" spans="1:10" x14ac:dyDescent="0.2">
      <c r="A102" s="41"/>
      <c r="B102" s="41"/>
      <c r="C102" s="42" t="s">
        <v>162</v>
      </c>
      <c r="D102" s="41"/>
      <c r="E102" s="41"/>
      <c r="F102" s="51"/>
      <c r="G102" s="51"/>
      <c r="H102" s="40" t="s">
        <v>151</v>
      </c>
      <c r="J102" s="7"/>
    </row>
    <row r="103" spans="1:10" x14ac:dyDescent="0.2">
      <c r="A103" s="41"/>
      <c r="B103" s="41"/>
      <c r="C103" s="42" t="s">
        <v>150</v>
      </c>
      <c r="D103" s="41"/>
      <c r="E103" s="41" t="s">
        <v>151</v>
      </c>
      <c r="F103" s="52" t="s">
        <v>153</v>
      </c>
      <c r="G103" s="49">
        <v>0</v>
      </c>
      <c r="H103" s="40" t="s">
        <v>151</v>
      </c>
      <c r="J103" s="7"/>
    </row>
    <row r="104" spans="1:10" x14ac:dyDescent="0.2">
      <c r="A104" s="41"/>
      <c r="B104" s="41"/>
      <c r="C104" s="50"/>
      <c r="D104" s="41"/>
      <c r="E104" s="41"/>
      <c r="F104" s="51"/>
      <c r="G104" s="51"/>
      <c r="H104" s="40" t="s">
        <v>151</v>
      </c>
      <c r="J104" s="7"/>
    </row>
    <row r="105" spans="1:10" x14ac:dyDescent="0.2">
      <c r="A105" s="41"/>
      <c r="B105" s="41"/>
      <c r="C105" s="42" t="s">
        <v>163</v>
      </c>
      <c r="D105" s="41"/>
      <c r="E105" s="41"/>
      <c r="F105" s="48">
        <v>0</v>
      </c>
      <c r="G105" s="49">
        <v>0</v>
      </c>
      <c r="H105" s="40" t="s">
        <v>151</v>
      </c>
      <c r="J105" s="7"/>
    </row>
    <row r="106" spans="1:10" x14ac:dyDescent="0.2">
      <c r="A106" s="41"/>
      <c r="B106" s="41"/>
      <c r="C106" s="50"/>
      <c r="D106" s="41"/>
      <c r="E106" s="41"/>
      <c r="F106" s="51"/>
      <c r="G106" s="51"/>
      <c r="H106" s="40" t="s">
        <v>151</v>
      </c>
      <c r="J106" s="7"/>
    </row>
    <row r="107" spans="1:10" x14ac:dyDescent="0.2">
      <c r="A107" s="41"/>
      <c r="B107" s="41"/>
      <c r="C107" s="42" t="s">
        <v>164</v>
      </c>
      <c r="D107" s="41"/>
      <c r="E107" s="41"/>
      <c r="F107" s="51"/>
      <c r="G107" s="51"/>
      <c r="H107" s="40" t="s">
        <v>151</v>
      </c>
      <c r="J107" s="7"/>
    </row>
    <row r="108" spans="1:10" x14ac:dyDescent="0.2">
      <c r="A108" s="41"/>
      <c r="B108" s="41"/>
      <c r="C108" s="42" t="s">
        <v>165</v>
      </c>
      <c r="D108" s="41"/>
      <c r="E108" s="41"/>
      <c r="F108" s="51"/>
      <c r="G108" s="51"/>
      <c r="H108" s="40" t="s">
        <v>151</v>
      </c>
      <c r="J108" s="7"/>
    </row>
    <row r="109" spans="1:10" x14ac:dyDescent="0.2">
      <c r="A109" s="41"/>
      <c r="B109" s="41"/>
      <c r="C109" s="42" t="s">
        <v>150</v>
      </c>
      <c r="D109" s="41"/>
      <c r="E109" s="41" t="s">
        <v>151</v>
      </c>
      <c r="F109" s="52" t="s">
        <v>153</v>
      </c>
      <c r="G109" s="49">
        <v>0</v>
      </c>
      <c r="H109" s="40" t="s">
        <v>151</v>
      </c>
      <c r="J109" s="7"/>
    </row>
    <row r="110" spans="1:10" x14ac:dyDescent="0.2">
      <c r="A110" s="41"/>
      <c r="B110" s="41"/>
      <c r="C110" s="50"/>
      <c r="D110" s="41"/>
      <c r="E110" s="41"/>
      <c r="F110" s="51"/>
      <c r="G110" s="51"/>
      <c r="H110" s="40" t="s">
        <v>151</v>
      </c>
      <c r="J110" s="7"/>
    </row>
    <row r="111" spans="1:10" x14ac:dyDescent="0.2">
      <c r="A111" s="41"/>
      <c r="B111" s="41"/>
      <c r="C111" s="42" t="s">
        <v>166</v>
      </c>
      <c r="D111" s="41"/>
      <c r="E111" s="41"/>
      <c r="F111" s="51"/>
      <c r="G111" s="51"/>
      <c r="H111" s="40" t="s">
        <v>151</v>
      </c>
      <c r="J111" s="7"/>
    </row>
    <row r="112" spans="1:10" x14ac:dyDescent="0.2">
      <c r="A112" s="41"/>
      <c r="B112" s="41"/>
      <c r="C112" s="42" t="s">
        <v>150</v>
      </c>
      <c r="D112" s="41"/>
      <c r="E112" s="41" t="s">
        <v>151</v>
      </c>
      <c r="F112" s="52" t="s">
        <v>153</v>
      </c>
      <c r="G112" s="49">
        <v>0</v>
      </c>
      <c r="H112" s="40" t="s">
        <v>151</v>
      </c>
      <c r="J112" s="7"/>
    </row>
    <row r="113" spans="1:10" x14ac:dyDescent="0.2">
      <c r="A113" s="41"/>
      <c r="B113" s="41"/>
      <c r="C113" s="50"/>
      <c r="D113" s="41"/>
      <c r="E113" s="41"/>
      <c r="F113" s="51"/>
      <c r="G113" s="51"/>
      <c r="H113" s="40" t="s">
        <v>151</v>
      </c>
      <c r="J113" s="7"/>
    </row>
    <row r="114" spans="1:10" x14ac:dyDescent="0.2">
      <c r="A114" s="41"/>
      <c r="B114" s="41"/>
      <c r="C114" s="42" t="s">
        <v>167</v>
      </c>
      <c r="D114" s="41"/>
      <c r="E114" s="41"/>
      <c r="F114" s="51"/>
      <c r="G114" s="51"/>
      <c r="H114" s="40" t="s">
        <v>151</v>
      </c>
      <c r="J114" s="7"/>
    </row>
    <row r="115" spans="1:10" x14ac:dyDescent="0.2">
      <c r="A115" s="41"/>
      <c r="B115" s="41"/>
      <c r="C115" s="42" t="s">
        <v>150</v>
      </c>
      <c r="D115" s="41"/>
      <c r="E115" s="41" t="s">
        <v>151</v>
      </c>
      <c r="F115" s="52" t="s">
        <v>153</v>
      </c>
      <c r="G115" s="49">
        <v>0</v>
      </c>
      <c r="H115" s="40" t="s">
        <v>151</v>
      </c>
      <c r="J115" s="7"/>
    </row>
    <row r="116" spans="1:10" x14ac:dyDescent="0.2">
      <c r="A116" s="41"/>
      <c r="B116" s="41"/>
      <c r="C116" s="50"/>
      <c r="D116" s="41"/>
      <c r="E116" s="41"/>
      <c r="F116" s="51"/>
      <c r="G116" s="51"/>
      <c r="H116" s="40" t="s">
        <v>151</v>
      </c>
      <c r="J116" s="7"/>
    </row>
    <row r="117" spans="1:10" x14ac:dyDescent="0.2">
      <c r="A117" s="41"/>
      <c r="B117" s="41"/>
      <c r="C117" s="42" t="s">
        <v>168</v>
      </c>
      <c r="D117" s="41"/>
      <c r="E117" s="41"/>
      <c r="F117" s="51"/>
      <c r="G117" s="51"/>
      <c r="H117" s="40" t="s">
        <v>151</v>
      </c>
      <c r="J117" s="7"/>
    </row>
    <row r="118" spans="1:10" x14ac:dyDescent="0.2">
      <c r="A118" s="43">
        <v>1</v>
      </c>
      <c r="B118" s="44"/>
      <c r="C118" s="44" t="s">
        <v>169</v>
      </c>
      <c r="D118" s="44"/>
      <c r="E118" s="54"/>
      <c r="F118" s="46">
        <v>5250.9047960090002</v>
      </c>
      <c r="G118" s="47">
        <v>5.3748190000000001E-2</v>
      </c>
      <c r="H118" s="40">
        <v>6.39</v>
      </c>
      <c r="J118" s="7"/>
    </row>
    <row r="119" spans="1:10" x14ac:dyDescent="0.2">
      <c r="A119" s="41"/>
      <c r="B119" s="41"/>
      <c r="C119" s="42" t="s">
        <v>150</v>
      </c>
      <c r="D119" s="41"/>
      <c r="E119" s="41" t="s">
        <v>151</v>
      </c>
      <c r="F119" s="48">
        <v>5250.9047960090002</v>
      </c>
      <c r="G119" s="49">
        <v>5.3748190000000001E-2</v>
      </c>
      <c r="H119" s="40" t="s">
        <v>151</v>
      </c>
      <c r="J119" s="7"/>
    </row>
    <row r="120" spans="1:10" x14ac:dyDescent="0.2">
      <c r="A120" s="41"/>
      <c r="B120" s="41"/>
      <c r="C120" s="50"/>
      <c r="D120" s="41"/>
      <c r="E120" s="41"/>
      <c r="F120" s="51"/>
      <c r="G120" s="51"/>
      <c r="H120" s="40" t="s">
        <v>151</v>
      </c>
      <c r="J120" s="7"/>
    </row>
    <row r="121" spans="1:10" x14ac:dyDescent="0.2">
      <c r="A121" s="41"/>
      <c r="B121" s="41"/>
      <c r="C121" s="42" t="s">
        <v>170</v>
      </c>
      <c r="D121" s="41"/>
      <c r="E121" s="41"/>
      <c r="F121" s="48">
        <v>5250.9047960090002</v>
      </c>
      <c r="G121" s="49">
        <v>5.3748190000000001E-2</v>
      </c>
      <c r="H121" s="40" t="s">
        <v>151</v>
      </c>
      <c r="J121" s="7"/>
    </row>
    <row r="122" spans="1:10" x14ac:dyDescent="0.2">
      <c r="A122" s="41"/>
      <c r="B122" s="41"/>
      <c r="C122" s="51"/>
      <c r="D122" s="41"/>
      <c r="E122" s="41"/>
      <c r="F122" s="41"/>
      <c r="G122" s="41"/>
      <c r="H122" s="40" t="s">
        <v>151</v>
      </c>
      <c r="J122" s="7"/>
    </row>
    <row r="123" spans="1:10" x14ac:dyDescent="0.2">
      <c r="A123" s="41"/>
      <c r="B123" s="41"/>
      <c r="C123" s="42" t="s">
        <v>171</v>
      </c>
      <c r="D123" s="41"/>
      <c r="E123" s="41"/>
      <c r="F123" s="41"/>
      <c r="G123" s="41"/>
      <c r="H123" s="40" t="s">
        <v>151</v>
      </c>
      <c r="J123" s="7"/>
    </row>
    <row r="124" spans="1:10" x14ac:dyDescent="0.2">
      <c r="A124" s="41"/>
      <c r="B124" s="41"/>
      <c r="C124" s="42" t="s">
        <v>172</v>
      </c>
      <c r="D124" s="41"/>
      <c r="E124" s="41"/>
      <c r="F124" s="41"/>
      <c r="G124" s="41"/>
      <c r="H124" s="40" t="s">
        <v>151</v>
      </c>
      <c r="J124" s="7"/>
    </row>
    <row r="125" spans="1:10" x14ac:dyDescent="0.2">
      <c r="A125" s="41"/>
      <c r="B125" s="41"/>
      <c r="C125" s="42" t="s">
        <v>150</v>
      </c>
      <c r="D125" s="41"/>
      <c r="E125" s="41" t="s">
        <v>151</v>
      </c>
      <c r="F125" s="52" t="s">
        <v>153</v>
      </c>
      <c r="G125" s="49">
        <v>0</v>
      </c>
      <c r="H125" s="40" t="s">
        <v>151</v>
      </c>
      <c r="J125" s="7"/>
    </row>
    <row r="126" spans="1:10" x14ac:dyDescent="0.2">
      <c r="A126" s="41"/>
      <c r="B126" s="41"/>
      <c r="C126" s="50"/>
      <c r="D126" s="41"/>
      <c r="E126" s="41"/>
      <c r="F126" s="51"/>
      <c r="G126" s="51"/>
      <c r="H126" s="40" t="s">
        <v>151</v>
      </c>
      <c r="J126" s="7"/>
    </row>
    <row r="127" spans="1:10" x14ac:dyDescent="0.2">
      <c r="A127" s="41"/>
      <c r="B127" s="41"/>
      <c r="C127" s="42" t="s">
        <v>173</v>
      </c>
      <c r="D127" s="41"/>
      <c r="E127" s="41"/>
      <c r="F127" s="41"/>
      <c r="G127" s="41"/>
      <c r="H127" s="40" t="s">
        <v>151</v>
      </c>
      <c r="J127" s="7"/>
    </row>
    <row r="128" spans="1:10" x14ac:dyDescent="0.2">
      <c r="A128" s="41"/>
      <c r="B128" s="41"/>
      <c r="C128" s="42" t="s">
        <v>174</v>
      </c>
      <c r="D128" s="41"/>
      <c r="E128" s="41"/>
      <c r="F128" s="41"/>
      <c r="G128" s="41"/>
      <c r="H128" s="40" t="s">
        <v>151</v>
      </c>
      <c r="J128" s="7"/>
    </row>
    <row r="129" spans="1:17" x14ac:dyDescent="0.2">
      <c r="A129" s="41"/>
      <c r="B129" s="41"/>
      <c r="C129" s="42" t="s">
        <v>150</v>
      </c>
      <c r="D129" s="41"/>
      <c r="E129" s="41" t="s">
        <v>151</v>
      </c>
      <c r="F129" s="52" t="s">
        <v>153</v>
      </c>
      <c r="G129" s="49">
        <v>0</v>
      </c>
      <c r="H129" s="40" t="s">
        <v>151</v>
      </c>
      <c r="J129" s="7"/>
    </row>
    <row r="130" spans="1:17" x14ac:dyDescent="0.2">
      <c r="A130" s="41"/>
      <c r="B130" s="41"/>
      <c r="C130" s="50"/>
      <c r="D130" s="41"/>
      <c r="E130" s="41"/>
      <c r="F130" s="51"/>
      <c r="G130" s="51"/>
      <c r="H130" s="40" t="s">
        <v>151</v>
      </c>
      <c r="J130" s="7"/>
    </row>
    <row r="131" spans="1:17" x14ac:dyDescent="0.2">
      <c r="A131" s="41"/>
      <c r="B131" s="41"/>
      <c r="C131" s="42" t="s">
        <v>175</v>
      </c>
      <c r="D131" s="41"/>
      <c r="E131" s="41"/>
      <c r="F131" s="51"/>
      <c r="G131" s="51"/>
      <c r="H131" s="40" t="s">
        <v>151</v>
      </c>
      <c r="J131" s="7"/>
    </row>
    <row r="132" spans="1:17" x14ac:dyDescent="0.2">
      <c r="A132" s="41"/>
      <c r="B132" s="41"/>
      <c r="C132" s="42" t="s">
        <v>150</v>
      </c>
      <c r="D132" s="41"/>
      <c r="E132" s="41" t="s">
        <v>151</v>
      </c>
      <c r="F132" s="52" t="s">
        <v>153</v>
      </c>
      <c r="G132" s="49">
        <v>0</v>
      </c>
      <c r="H132" s="40" t="s">
        <v>151</v>
      </c>
      <c r="J132" s="7"/>
    </row>
    <row r="133" spans="1:17" x14ac:dyDescent="0.2">
      <c r="A133" s="41"/>
      <c r="B133" s="44"/>
      <c r="C133" s="44"/>
      <c r="D133" s="42"/>
      <c r="E133" s="41"/>
      <c r="F133" s="44"/>
      <c r="G133" s="54"/>
      <c r="H133" s="40" t="s">
        <v>151</v>
      </c>
      <c r="J133" s="7"/>
    </row>
    <row r="134" spans="1:17" x14ac:dyDescent="0.2">
      <c r="A134" s="54"/>
      <c r="B134" s="44"/>
      <c r="C134" s="83" t="s">
        <v>176</v>
      </c>
      <c r="D134" s="44"/>
      <c r="E134" s="54"/>
      <c r="F134" s="46">
        <v>-94.159920650000004</v>
      </c>
      <c r="G134" s="47">
        <v>-9.6382E-4</v>
      </c>
      <c r="H134" s="40" t="s">
        <v>151</v>
      </c>
      <c r="J134" s="7"/>
    </row>
    <row r="135" spans="1:17" x14ac:dyDescent="0.2">
      <c r="A135" s="50"/>
      <c r="B135" s="50"/>
      <c r="C135" s="42" t="s">
        <v>177</v>
      </c>
      <c r="D135" s="51"/>
      <c r="E135" s="51"/>
      <c r="F135" s="48">
        <v>97694.537582239005</v>
      </c>
      <c r="G135" s="55">
        <v>1.00000003</v>
      </c>
      <c r="H135" s="40" t="s">
        <v>151</v>
      </c>
      <c r="J135" s="7"/>
    </row>
    <row r="136" spans="1:17" x14ac:dyDescent="0.2">
      <c r="A136" s="56"/>
      <c r="B136" s="56"/>
      <c r="C136" s="56"/>
      <c r="D136" s="57"/>
      <c r="E136" s="57"/>
      <c r="F136" s="57"/>
      <c r="G136" s="57"/>
      <c r="J136" s="7"/>
    </row>
    <row r="137" spans="1:17" ht="12.75" customHeight="1" x14ac:dyDescent="0.2">
      <c r="A137" s="58"/>
      <c r="B137" s="159" t="s">
        <v>923</v>
      </c>
      <c r="C137" s="159"/>
      <c r="D137" s="159"/>
      <c r="E137" s="159"/>
      <c r="F137" s="159"/>
      <c r="G137" s="159"/>
      <c r="H137" s="159"/>
      <c r="J137" s="7"/>
    </row>
    <row r="138" spans="1:17" ht="14.1" customHeight="1" x14ac:dyDescent="0.2">
      <c r="A138" s="58"/>
      <c r="B138" s="159" t="s">
        <v>924</v>
      </c>
      <c r="C138" s="159"/>
      <c r="D138" s="159"/>
      <c r="E138" s="159"/>
      <c r="F138" s="159"/>
      <c r="G138" s="159"/>
      <c r="H138" s="159"/>
      <c r="J138" s="7"/>
    </row>
    <row r="139" spans="1:17" ht="17.100000000000001" customHeight="1" x14ac:dyDescent="0.2">
      <c r="A139" s="58"/>
      <c r="B139" s="159" t="s">
        <v>925</v>
      </c>
      <c r="C139" s="159"/>
      <c r="D139" s="159"/>
      <c r="E139" s="159"/>
      <c r="F139" s="159"/>
      <c r="G139" s="159"/>
      <c r="H139" s="159"/>
      <c r="J139" s="7"/>
    </row>
    <row r="140" spans="1:17" s="8" customFormat="1" ht="65.25" customHeight="1" x14ac:dyDescent="0.25">
      <c r="A140" s="60"/>
      <c r="B140" s="160" t="s">
        <v>926</v>
      </c>
      <c r="C140" s="160"/>
      <c r="D140" s="160"/>
      <c r="E140" s="160"/>
      <c r="F140" s="160"/>
      <c r="G140" s="160"/>
      <c r="H140" s="160"/>
      <c r="I140"/>
      <c r="J140" s="7"/>
      <c r="K140"/>
      <c r="L140"/>
      <c r="M140"/>
      <c r="N140"/>
      <c r="O140"/>
      <c r="P140"/>
      <c r="Q140"/>
    </row>
    <row r="141" spans="1:17" ht="12.75" customHeight="1" x14ac:dyDescent="0.2">
      <c r="A141" s="58"/>
      <c r="B141" s="159" t="s">
        <v>927</v>
      </c>
      <c r="C141" s="159"/>
      <c r="D141" s="159"/>
      <c r="E141" s="159"/>
      <c r="F141" s="159"/>
      <c r="G141" s="159"/>
      <c r="H141" s="159"/>
      <c r="J141" s="7"/>
    </row>
    <row r="142" spans="1:17" x14ac:dyDescent="0.2">
      <c r="A142" s="61"/>
      <c r="B142" s="61"/>
      <c r="C142" s="61"/>
      <c r="D142" s="62"/>
      <c r="E142" s="62"/>
      <c r="F142" s="62"/>
      <c r="G142" s="62"/>
      <c r="J142" s="7"/>
    </row>
    <row r="143" spans="1:17" x14ac:dyDescent="0.2">
      <c r="A143" s="61"/>
      <c r="B143" s="161" t="s">
        <v>178</v>
      </c>
      <c r="C143" s="162"/>
      <c r="D143" s="163"/>
      <c r="E143" s="63"/>
      <c r="F143" s="62"/>
      <c r="G143" s="62"/>
      <c r="J143" s="7"/>
    </row>
    <row r="144" spans="1:17" ht="24.75" customHeight="1" x14ac:dyDescent="0.2">
      <c r="A144" s="58"/>
      <c r="B144" s="164" t="s">
        <v>179</v>
      </c>
      <c r="C144" s="165"/>
      <c r="D144" s="64" t="s">
        <v>997</v>
      </c>
      <c r="E144" s="65"/>
      <c r="F144" s="66"/>
      <c r="G144" s="66"/>
      <c r="J144" s="7"/>
    </row>
    <row r="145" spans="1:10" x14ac:dyDescent="0.2">
      <c r="A145" s="58"/>
      <c r="B145" s="164" t="s">
        <v>939</v>
      </c>
      <c r="C145" s="165"/>
      <c r="D145" s="64" t="str">
        <f>"Rs. "&amp;TEXT(F78+F82,"0.00")&amp;" lacs/ #"</f>
        <v>Rs. 0.07 lacs/ #</v>
      </c>
      <c r="E145" s="65"/>
      <c r="F145" s="66"/>
      <c r="G145" s="66"/>
      <c r="J145" s="7"/>
    </row>
    <row r="146" spans="1:10" x14ac:dyDescent="0.2">
      <c r="A146" s="61"/>
      <c r="B146" s="156" t="s">
        <v>182</v>
      </c>
      <c r="C146" s="157"/>
      <c r="D146" s="51" t="s">
        <v>151</v>
      </c>
      <c r="E146" s="63"/>
      <c r="F146" s="62"/>
      <c r="G146" s="62"/>
      <c r="J146" s="7"/>
    </row>
    <row r="147" spans="1:10" x14ac:dyDescent="0.2">
      <c r="A147" s="67"/>
      <c r="B147" s="68" t="s">
        <v>151</v>
      </c>
      <c r="C147" s="68" t="s">
        <v>937</v>
      </c>
      <c r="D147" s="68" t="s">
        <v>183</v>
      </c>
      <c r="E147" s="67"/>
      <c r="F147" s="67"/>
      <c r="G147" s="67"/>
      <c r="H147" s="67"/>
      <c r="J147" s="7"/>
    </row>
    <row r="148" spans="1:10" x14ac:dyDescent="0.2">
      <c r="A148" s="69"/>
      <c r="B148" s="70" t="s">
        <v>184</v>
      </c>
      <c r="C148" s="80" t="s">
        <v>185</v>
      </c>
      <c r="D148" s="80" t="s">
        <v>186</v>
      </c>
      <c r="E148" s="69"/>
      <c r="F148" s="69"/>
      <c r="G148" s="69"/>
      <c r="J148" s="7"/>
    </row>
    <row r="149" spans="1:10" x14ac:dyDescent="0.2">
      <c r="A149" s="69"/>
      <c r="B149" s="44" t="s">
        <v>187</v>
      </c>
      <c r="C149" s="72">
        <v>146.4786</v>
      </c>
      <c r="D149" s="72">
        <v>154.45949999999999</v>
      </c>
      <c r="E149" s="69"/>
      <c r="F149" s="73"/>
      <c r="G149" s="74"/>
      <c r="J149" s="7"/>
    </row>
    <row r="150" spans="1:10" ht="25.5" x14ac:dyDescent="0.2">
      <c r="A150" s="69"/>
      <c r="B150" s="44" t="s">
        <v>1096</v>
      </c>
      <c r="C150" s="72">
        <v>70.162899999999993</v>
      </c>
      <c r="D150" s="72">
        <v>73.985500000000002</v>
      </c>
      <c r="E150" s="69"/>
      <c r="F150" s="73"/>
      <c r="G150" s="74"/>
      <c r="J150" s="7"/>
    </row>
    <row r="151" spans="1:10" x14ac:dyDescent="0.2">
      <c r="A151" s="69"/>
      <c r="B151" s="44" t="s">
        <v>188</v>
      </c>
      <c r="C151" s="72">
        <v>135.97620000000001</v>
      </c>
      <c r="D151" s="72">
        <v>143.22989999999999</v>
      </c>
      <c r="E151" s="69"/>
      <c r="F151" s="73"/>
      <c r="G151" s="74"/>
      <c r="J151" s="7"/>
    </row>
    <row r="152" spans="1:10" ht="25.5" x14ac:dyDescent="0.2">
      <c r="A152" s="69"/>
      <c r="B152" s="44" t="s">
        <v>1097</v>
      </c>
      <c r="C152" s="72">
        <v>42.463099999999997</v>
      </c>
      <c r="D152" s="72">
        <v>44.728200000000001</v>
      </c>
      <c r="E152" s="69"/>
      <c r="F152" s="73"/>
      <c r="G152" s="74"/>
      <c r="J152" s="7"/>
    </row>
    <row r="153" spans="1:10" x14ac:dyDescent="0.2">
      <c r="A153" s="69"/>
      <c r="B153" s="69"/>
      <c r="C153" s="69"/>
      <c r="D153" s="69"/>
      <c r="E153" s="69"/>
      <c r="F153" s="69"/>
      <c r="G153" s="69"/>
      <c r="J153" s="7"/>
    </row>
    <row r="154" spans="1:10" x14ac:dyDescent="0.2">
      <c r="A154" s="67"/>
      <c r="B154" s="164" t="s">
        <v>940</v>
      </c>
      <c r="C154" s="165"/>
      <c r="D154" s="64" t="s">
        <v>180</v>
      </c>
      <c r="E154" s="67"/>
      <c r="F154" s="67"/>
      <c r="G154" s="67"/>
      <c r="J154" s="7"/>
    </row>
    <row r="155" spans="1:10" x14ac:dyDescent="0.2">
      <c r="A155" s="67"/>
      <c r="B155" s="84"/>
      <c r="C155" s="84"/>
      <c r="D155" s="84"/>
      <c r="E155" s="67"/>
      <c r="F155" s="67"/>
      <c r="G155" s="67"/>
      <c r="J155" s="7"/>
    </row>
    <row r="156" spans="1:10" ht="29.1" customHeight="1" x14ac:dyDescent="0.2">
      <c r="A156" s="67"/>
      <c r="B156" s="164" t="s">
        <v>189</v>
      </c>
      <c r="C156" s="165"/>
      <c r="D156" s="64" t="s">
        <v>180</v>
      </c>
      <c r="E156" s="75"/>
      <c r="F156" s="67"/>
      <c r="G156" s="67"/>
      <c r="J156" s="7"/>
    </row>
    <row r="157" spans="1:10" ht="29.1" customHeight="1" x14ac:dyDescent="0.2">
      <c r="A157" s="67"/>
      <c r="B157" s="164" t="s">
        <v>190</v>
      </c>
      <c r="C157" s="165"/>
      <c r="D157" s="64" t="s">
        <v>180</v>
      </c>
      <c r="E157" s="75"/>
      <c r="F157" s="67"/>
      <c r="G157" s="67"/>
      <c r="J157" s="7"/>
    </row>
    <row r="158" spans="1:10" ht="17.100000000000001" customHeight="1" x14ac:dyDescent="0.2">
      <c r="A158" s="67"/>
      <c r="B158" s="164" t="s">
        <v>191</v>
      </c>
      <c r="C158" s="165"/>
      <c r="D158" s="64" t="s">
        <v>180</v>
      </c>
      <c r="E158" s="75"/>
      <c r="F158" s="67"/>
      <c r="G158" s="67"/>
      <c r="J158" s="7"/>
    </row>
    <row r="159" spans="1:10" ht="17.100000000000001" customHeight="1" x14ac:dyDescent="0.2">
      <c r="A159" s="67"/>
      <c r="B159" s="164" t="s">
        <v>192</v>
      </c>
      <c r="C159" s="165"/>
      <c r="D159" s="76">
        <v>0.38696875950038828</v>
      </c>
      <c r="E159" s="67"/>
      <c r="F159" s="59"/>
      <c r="G159" s="77"/>
      <c r="J159" s="7"/>
    </row>
    <row r="160" spans="1:10" x14ac:dyDescent="0.2">
      <c r="J160" s="7"/>
    </row>
    <row r="161" spans="2:20" s="16" customFormat="1" x14ac:dyDescent="0.2">
      <c r="B161" s="117" t="s">
        <v>1077</v>
      </c>
      <c r="C161" s="117"/>
      <c r="D161" s="117"/>
      <c r="E161" s="19"/>
      <c r="F161" s="20"/>
      <c r="I161"/>
      <c r="J161" s="7"/>
      <c r="K161"/>
      <c r="L161"/>
      <c r="M161"/>
      <c r="N161"/>
      <c r="O161"/>
    </row>
    <row r="162" spans="2:20" s="16" customFormat="1" ht="63.75" x14ac:dyDescent="0.2">
      <c r="B162" s="124" t="s">
        <v>1016</v>
      </c>
      <c r="C162" s="125" t="s">
        <v>1017</v>
      </c>
      <c r="D162" s="125" t="s">
        <v>1018</v>
      </c>
      <c r="E162" s="125" t="s">
        <v>1019</v>
      </c>
      <c r="F162" s="125" t="s">
        <v>1020</v>
      </c>
      <c r="I162"/>
      <c r="J162" s="7"/>
      <c r="K162"/>
      <c r="L162"/>
      <c r="M162"/>
      <c r="N162"/>
      <c r="O162"/>
    </row>
    <row r="163" spans="2:20" s="16" customFormat="1" ht="25.5" x14ac:dyDescent="0.2">
      <c r="B163" s="126" t="s">
        <v>1043</v>
      </c>
      <c r="C163" s="127" t="s">
        <v>1044</v>
      </c>
      <c r="D163" s="22">
        <v>0</v>
      </c>
      <c r="E163" s="23">
        <v>0</v>
      </c>
      <c r="F163" s="128">
        <v>241.97234</v>
      </c>
      <c r="I163"/>
      <c r="J163" s="7"/>
      <c r="K163"/>
      <c r="L163"/>
      <c r="M163"/>
      <c r="N163"/>
      <c r="O163"/>
    </row>
    <row r="164" spans="2:20" s="16" customFormat="1" ht="25.5" x14ac:dyDescent="0.2">
      <c r="B164" s="126" t="s">
        <v>1045</v>
      </c>
      <c r="C164" s="127" t="s">
        <v>1044</v>
      </c>
      <c r="D164" s="22">
        <v>0</v>
      </c>
      <c r="E164" s="23">
        <v>0</v>
      </c>
      <c r="F164" s="128">
        <v>23.186299999999999</v>
      </c>
      <c r="I164"/>
      <c r="J164" s="7"/>
      <c r="K164"/>
      <c r="L164"/>
      <c r="M164"/>
      <c r="N164"/>
      <c r="O164"/>
      <c r="P164"/>
      <c r="Q164"/>
      <c r="R164"/>
      <c r="S164"/>
      <c r="T164"/>
    </row>
    <row r="165" spans="2:20" x14ac:dyDescent="0.2">
      <c r="J165" s="7"/>
    </row>
    <row r="166" spans="2:20" x14ac:dyDescent="0.2">
      <c r="J166" s="7"/>
    </row>
    <row r="167" spans="2:20" x14ac:dyDescent="0.2">
      <c r="J167" s="7"/>
    </row>
    <row r="168" spans="2:20" x14ac:dyDescent="0.2">
      <c r="J168" s="7"/>
    </row>
    <row r="169" spans="2:20" x14ac:dyDescent="0.2">
      <c r="J169" s="7"/>
    </row>
    <row r="170" spans="2:20" x14ac:dyDescent="0.2">
      <c r="J170" s="7"/>
    </row>
  </sheetData>
  <mergeCells count="17">
    <mergeCell ref="B145:C145"/>
    <mergeCell ref="B146:C146"/>
    <mergeCell ref="B154:C154"/>
    <mergeCell ref="B158:C158"/>
    <mergeCell ref="B159:C159"/>
    <mergeCell ref="B156:C156"/>
    <mergeCell ref="B157:C157"/>
    <mergeCell ref="B144:C144"/>
    <mergeCell ref="A1:H1"/>
    <mergeCell ref="A2:H2"/>
    <mergeCell ref="A3:H3"/>
    <mergeCell ref="B137:H137"/>
    <mergeCell ref="B138:H138"/>
    <mergeCell ref="B139:H139"/>
    <mergeCell ref="B140:H140"/>
    <mergeCell ref="B141:H141"/>
    <mergeCell ref="B143:D143"/>
  </mergeCells>
  <hyperlinks>
    <hyperlink ref="I1" location="Index!B18" display="Index" xr:uid="{8294B4B7-1C6B-49E5-A9F8-6C614EAF10C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42CE3-453E-44C1-A446-57B3BBEB2E30}">
  <sheetPr>
    <outlinePr summaryBelow="0" summaryRight="0"/>
  </sheetPr>
  <dimension ref="A1:Q211"/>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9" customWidth="1"/>
    <col min="8" max="8" width="7.85546875" customWidth="1"/>
    <col min="9" max="9" width="12.14062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729</v>
      </c>
      <c r="B2" s="158"/>
      <c r="C2" s="158"/>
      <c r="D2" s="158"/>
      <c r="E2" s="158"/>
      <c r="F2" s="158"/>
      <c r="G2" s="158"/>
      <c r="H2" s="158"/>
      <c r="J2" s="11" t="s">
        <v>942</v>
      </c>
    </row>
    <row r="3" spans="1:10" ht="15" x14ac:dyDescent="0.2">
      <c r="A3" s="158" t="s">
        <v>880</v>
      </c>
      <c r="B3" s="158"/>
      <c r="C3" s="158"/>
      <c r="D3" s="158"/>
      <c r="E3" s="158"/>
      <c r="F3" s="158"/>
      <c r="G3" s="158"/>
      <c r="H3" s="158"/>
      <c r="J3" s="7"/>
    </row>
    <row r="4" spans="1:10" s="1" customFormat="1" ht="30" x14ac:dyDescent="0.2">
      <c r="A4" s="36" t="s">
        <v>2</v>
      </c>
      <c r="B4" s="36" t="s">
        <v>3</v>
      </c>
      <c r="C4" s="36" t="s">
        <v>4</v>
      </c>
      <c r="D4" s="36" t="s">
        <v>5</v>
      </c>
      <c r="E4" s="36" t="s">
        <v>6</v>
      </c>
      <c r="F4" s="36" t="s">
        <v>7</v>
      </c>
      <c r="G4" s="36" t="s">
        <v>8</v>
      </c>
      <c r="H4" s="37" t="s">
        <v>922</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341</v>
      </c>
      <c r="C7" s="44" t="s">
        <v>342</v>
      </c>
      <c r="D7" s="44" t="s">
        <v>45</v>
      </c>
      <c r="E7" s="45">
        <v>424213</v>
      </c>
      <c r="F7" s="46">
        <v>6854.2215475000003</v>
      </c>
      <c r="G7" s="47">
        <v>7.7750970000000003E-2</v>
      </c>
      <c r="H7" s="40" t="s">
        <v>151</v>
      </c>
      <c r="J7" s="7"/>
    </row>
    <row r="8" spans="1:10" x14ac:dyDescent="0.2">
      <c r="A8" s="43">
        <v>2</v>
      </c>
      <c r="B8" s="44" t="s">
        <v>20</v>
      </c>
      <c r="C8" s="44" t="s">
        <v>21</v>
      </c>
      <c r="D8" s="44" t="s">
        <v>22</v>
      </c>
      <c r="E8" s="45">
        <v>180250</v>
      </c>
      <c r="F8" s="46">
        <v>5427.0571250000003</v>
      </c>
      <c r="G8" s="47">
        <v>6.1561909999999997E-2</v>
      </c>
      <c r="H8" s="40" t="s">
        <v>151</v>
      </c>
      <c r="J8" s="7"/>
    </row>
    <row r="9" spans="1:10" x14ac:dyDescent="0.2">
      <c r="A9" s="43">
        <v>3</v>
      </c>
      <c r="B9" s="44" t="s">
        <v>343</v>
      </c>
      <c r="C9" s="44" t="s">
        <v>344</v>
      </c>
      <c r="D9" s="44" t="s">
        <v>219</v>
      </c>
      <c r="E9" s="45">
        <v>205100</v>
      </c>
      <c r="F9" s="46">
        <v>3831.7807499999999</v>
      </c>
      <c r="G9" s="47">
        <v>4.3465860000000002E-2</v>
      </c>
      <c r="H9" s="40" t="s">
        <v>151</v>
      </c>
      <c r="J9" s="7"/>
    </row>
    <row r="10" spans="1:10" x14ac:dyDescent="0.2">
      <c r="A10" s="43">
        <v>4</v>
      </c>
      <c r="B10" s="44" t="s">
        <v>17</v>
      </c>
      <c r="C10" s="44" t="s">
        <v>18</v>
      </c>
      <c r="D10" s="44" t="s">
        <v>19</v>
      </c>
      <c r="E10" s="45">
        <v>239850</v>
      </c>
      <c r="F10" s="46">
        <v>3577.4826750000002</v>
      </c>
      <c r="G10" s="47">
        <v>4.0581230000000003E-2</v>
      </c>
      <c r="H10" s="40" t="s">
        <v>151</v>
      </c>
      <c r="J10" s="7"/>
    </row>
    <row r="11" spans="1:10" x14ac:dyDescent="0.2">
      <c r="A11" s="43">
        <v>5</v>
      </c>
      <c r="B11" s="44" t="s">
        <v>479</v>
      </c>
      <c r="C11" s="44" t="s">
        <v>480</v>
      </c>
      <c r="D11" s="44" t="s">
        <v>45</v>
      </c>
      <c r="E11" s="45">
        <v>232000</v>
      </c>
      <c r="F11" s="46">
        <v>3312.4960000000001</v>
      </c>
      <c r="G11" s="47">
        <v>3.757535E-2</v>
      </c>
      <c r="H11" s="40" t="s">
        <v>151</v>
      </c>
      <c r="J11" s="7"/>
    </row>
    <row r="12" spans="1:10" ht="15" x14ac:dyDescent="0.2">
      <c r="A12" s="43">
        <v>6</v>
      </c>
      <c r="B12" s="44" t="s">
        <v>357</v>
      </c>
      <c r="C12" s="44" t="s">
        <v>358</v>
      </c>
      <c r="D12" s="44" t="s">
        <v>282</v>
      </c>
      <c r="E12" s="45">
        <v>213950</v>
      </c>
      <c r="F12" s="46">
        <v>2474.6526749999998</v>
      </c>
      <c r="G12" s="47">
        <v>2.8071260000000001E-2</v>
      </c>
      <c r="H12" s="40" t="s">
        <v>151</v>
      </c>
      <c r="J12" s="12"/>
    </row>
    <row r="13" spans="1:10" x14ac:dyDescent="0.2">
      <c r="A13" s="43">
        <v>7</v>
      </c>
      <c r="B13" s="44" t="s">
        <v>347</v>
      </c>
      <c r="C13" s="44" t="s">
        <v>348</v>
      </c>
      <c r="D13" s="44" t="s">
        <v>45</v>
      </c>
      <c r="E13" s="45">
        <v>210875</v>
      </c>
      <c r="F13" s="46">
        <v>2459.013375</v>
      </c>
      <c r="G13" s="47">
        <v>2.7893859999999999E-2</v>
      </c>
      <c r="H13" s="40" t="s">
        <v>151</v>
      </c>
      <c r="J13" s="7"/>
    </row>
    <row r="14" spans="1:10" x14ac:dyDescent="0.2">
      <c r="A14" s="43">
        <v>8</v>
      </c>
      <c r="B14" s="44" t="s">
        <v>560</v>
      </c>
      <c r="C14" s="44" t="s">
        <v>561</v>
      </c>
      <c r="D14" s="44" t="s">
        <v>282</v>
      </c>
      <c r="E14" s="45">
        <v>16850</v>
      </c>
      <c r="F14" s="46">
        <v>2210.0122999999999</v>
      </c>
      <c r="G14" s="47">
        <v>2.5069310000000001E-2</v>
      </c>
      <c r="H14" s="40" t="s">
        <v>151</v>
      </c>
      <c r="J14" s="7" t="s">
        <v>1062</v>
      </c>
    </row>
    <row r="15" spans="1:10" x14ac:dyDescent="0.2">
      <c r="A15" s="43">
        <v>9</v>
      </c>
      <c r="B15" s="44" t="s">
        <v>685</v>
      </c>
      <c r="C15" s="44" t="s">
        <v>686</v>
      </c>
      <c r="D15" s="44" t="s">
        <v>86</v>
      </c>
      <c r="E15" s="45">
        <v>30625</v>
      </c>
      <c r="F15" s="46">
        <v>2084.6284375</v>
      </c>
      <c r="G15" s="47">
        <v>2.3647020000000001E-2</v>
      </c>
      <c r="H15" s="40" t="s">
        <v>151</v>
      </c>
      <c r="J15" s="7"/>
    </row>
    <row r="16" spans="1:10" x14ac:dyDescent="0.2">
      <c r="A16" s="43">
        <v>10</v>
      </c>
      <c r="B16" s="44" t="s">
        <v>378</v>
      </c>
      <c r="C16" s="44" t="s">
        <v>379</v>
      </c>
      <c r="D16" s="44" t="s">
        <v>366</v>
      </c>
      <c r="E16" s="45">
        <v>68100</v>
      </c>
      <c r="F16" s="46">
        <v>1842.54765</v>
      </c>
      <c r="G16" s="47">
        <v>2.0900970000000001E-2</v>
      </c>
      <c r="H16" s="40" t="s">
        <v>151</v>
      </c>
      <c r="J16" s="7"/>
    </row>
    <row r="17" spans="1:10" x14ac:dyDescent="0.2">
      <c r="A17" s="43">
        <v>11</v>
      </c>
      <c r="B17" s="44" t="s">
        <v>48</v>
      </c>
      <c r="C17" s="44" t="s">
        <v>49</v>
      </c>
      <c r="D17" s="44" t="s">
        <v>50</v>
      </c>
      <c r="E17" s="45">
        <v>375418</v>
      </c>
      <c r="F17" s="46">
        <v>1559.4863720000001</v>
      </c>
      <c r="G17" s="47">
        <v>1.7690060000000001E-2</v>
      </c>
      <c r="H17" s="40" t="s">
        <v>151</v>
      </c>
      <c r="J17" s="7"/>
    </row>
    <row r="18" spans="1:10" x14ac:dyDescent="0.2">
      <c r="A18" s="43">
        <v>12</v>
      </c>
      <c r="B18" s="44" t="s">
        <v>466</v>
      </c>
      <c r="C18" s="44" t="s">
        <v>994</v>
      </c>
      <c r="D18" s="44" t="s">
        <v>282</v>
      </c>
      <c r="E18" s="45">
        <v>193000</v>
      </c>
      <c r="F18" s="46">
        <v>1530.49</v>
      </c>
      <c r="G18" s="47">
        <v>1.7361140000000001E-2</v>
      </c>
      <c r="H18" s="40" t="s">
        <v>151</v>
      </c>
      <c r="J18" s="7"/>
    </row>
    <row r="19" spans="1:10" ht="25.5" x14ac:dyDescent="0.2">
      <c r="A19" s="43">
        <v>13</v>
      </c>
      <c r="B19" s="44" t="s">
        <v>487</v>
      </c>
      <c r="C19" s="44" t="s">
        <v>488</v>
      </c>
      <c r="D19" s="44" t="s">
        <v>100</v>
      </c>
      <c r="E19" s="45">
        <v>70000</v>
      </c>
      <c r="F19" s="46">
        <v>1421.4549999999999</v>
      </c>
      <c r="G19" s="47">
        <v>1.6124300000000001E-2</v>
      </c>
      <c r="H19" s="40" t="s">
        <v>151</v>
      </c>
      <c r="J19" s="7"/>
    </row>
    <row r="20" spans="1:10" ht="25.5" x14ac:dyDescent="0.2">
      <c r="A20" s="43">
        <v>14</v>
      </c>
      <c r="B20" s="44" t="s">
        <v>353</v>
      </c>
      <c r="C20" s="44" t="s">
        <v>354</v>
      </c>
      <c r="D20" s="44" t="s">
        <v>210</v>
      </c>
      <c r="E20" s="45">
        <v>78950</v>
      </c>
      <c r="F20" s="46">
        <v>1357.426825</v>
      </c>
      <c r="G20" s="47">
        <v>1.539799E-2</v>
      </c>
      <c r="H20" s="40" t="s">
        <v>151</v>
      </c>
      <c r="J20" s="7"/>
    </row>
    <row r="21" spans="1:10" ht="25.5" x14ac:dyDescent="0.2">
      <c r="A21" s="43">
        <v>15</v>
      </c>
      <c r="B21" s="44" t="s">
        <v>372</v>
      </c>
      <c r="C21" s="44" t="s">
        <v>373</v>
      </c>
      <c r="D21" s="44" t="s">
        <v>210</v>
      </c>
      <c r="E21" s="45">
        <v>91000</v>
      </c>
      <c r="F21" s="46">
        <v>1305.0764999999999</v>
      </c>
      <c r="G21" s="47">
        <v>1.480416E-2</v>
      </c>
      <c r="H21" s="40" t="s">
        <v>151</v>
      </c>
      <c r="J21" s="7"/>
    </row>
    <row r="22" spans="1:10" ht="15" x14ac:dyDescent="0.2">
      <c r="A22" s="43">
        <v>16</v>
      </c>
      <c r="B22" s="44" t="s">
        <v>43</v>
      </c>
      <c r="C22" s="44" t="s">
        <v>44</v>
      </c>
      <c r="D22" s="44" t="s">
        <v>45</v>
      </c>
      <c r="E22" s="45">
        <v>106000</v>
      </c>
      <c r="F22" s="46">
        <v>1287.7940000000001</v>
      </c>
      <c r="G22" s="47">
        <v>1.4608110000000001E-2</v>
      </c>
      <c r="H22" s="40" t="s">
        <v>151</v>
      </c>
      <c r="J22" s="12"/>
    </row>
    <row r="23" spans="1:10" x14ac:dyDescent="0.2">
      <c r="A23" s="43">
        <v>17</v>
      </c>
      <c r="B23" s="44" t="s">
        <v>53</v>
      </c>
      <c r="C23" s="44" t="s">
        <v>54</v>
      </c>
      <c r="D23" s="44" t="s">
        <v>19</v>
      </c>
      <c r="E23" s="45">
        <v>108900</v>
      </c>
      <c r="F23" s="46">
        <v>1238.6286</v>
      </c>
      <c r="G23" s="47">
        <v>1.4050399999999999E-2</v>
      </c>
      <c r="H23" s="40" t="s">
        <v>151</v>
      </c>
      <c r="J23" s="7"/>
    </row>
    <row r="24" spans="1:10" x14ac:dyDescent="0.2">
      <c r="A24" s="43">
        <v>18</v>
      </c>
      <c r="B24" s="44" t="s">
        <v>101</v>
      </c>
      <c r="C24" s="44" t="s">
        <v>102</v>
      </c>
      <c r="D24" s="44" t="s">
        <v>76</v>
      </c>
      <c r="E24" s="45">
        <v>27500</v>
      </c>
      <c r="F24" s="46">
        <v>1229.855</v>
      </c>
      <c r="G24" s="47">
        <v>1.3950880000000001E-2</v>
      </c>
      <c r="H24" s="40" t="s">
        <v>151</v>
      </c>
      <c r="J24" s="7"/>
    </row>
    <row r="25" spans="1:10" x14ac:dyDescent="0.2">
      <c r="A25" s="43">
        <v>19</v>
      </c>
      <c r="B25" s="44" t="s">
        <v>730</v>
      </c>
      <c r="C25" s="44" t="s">
        <v>731</v>
      </c>
      <c r="D25" s="44" t="s">
        <v>282</v>
      </c>
      <c r="E25" s="45">
        <v>12500</v>
      </c>
      <c r="F25" s="46">
        <v>1155.59375</v>
      </c>
      <c r="G25" s="47">
        <v>1.31085E-2</v>
      </c>
      <c r="H25" s="40" t="s">
        <v>151</v>
      </c>
      <c r="J25" s="7"/>
    </row>
    <row r="26" spans="1:10" x14ac:dyDescent="0.2">
      <c r="A26" s="43">
        <v>20</v>
      </c>
      <c r="B26" s="44" t="s">
        <v>564</v>
      </c>
      <c r="C26" s="44" t="s">
        <v>565</v>
      </c>
      <c r="D26" s="44" t="s">
        <v>219</v>
      </c>
      <c r="E26" s="45">
        <v>68000</v>
      </c>
      <c r="F26" s="46">
        <v>1056.992</v>
      </c>
      <c r="G26" s="47">
        <v>1.1990010000000001E-2</v>
      </c>
      <c r="H26" s="40" t="s">
        <v>151</v>
      </c>
      <c r="J26" s="7"/>
    </row>
    <row r="27" spans="1:10" x14ac:dyDescent="0.2">
      <c r="A27" s="43">
        <v>21</v>
      </c>
      <c r="B27" s="44" t="s">
        <v>51</v>
      </c>
      <c r="C27" s="44" t="s">
        <v>52</v>
      </c>
      <c r="D27" s="44" t="s">
        <v>45</v>
      </c>
      <c r="E27" s="45">
        <v>119000</v>
      </c>
      <c r="F27" s="46">
        <v>1038.1559999999999</v>
      </c>
      <c r="G27" s="47">
        <v>1.177634E-2</v>
      </c>
      <c r="H27" s="40" t="s">
        <v>151</v>
      </c>
      <c r="J27" s="7"/>
    </row>
    <row r="28" spans="1:10" x14ac:dyDescent="0.2">
      <c r="A28" s="43">
        <v>22</v>
      </c>
      <c r="B28" s="44" t="s">
        <v>469</v>
      </c>
      <c r="C28" s="44" t="s">
        <v>470</v>
      </c>
      <c r="D28" s="44" t="s">
        <v>45</v>
      </c>
      <c r="E28" s="45">
        <v>406575</v>
      </c>
      <c r="F28" s="46">
        <v>1031.2774875</v>
      </c>
      <c r="G28" s="47">
        <v>1.169831E-2</v>
      </c>
      <c r="H28" s="40" t="s">
        <v>151</v>
      </c>
      <c r="J28" s="7"/>
    </row>
    <row r="29" spans="1:10" x14ac:dyDescent="0.2">
      <c r="A29" s="43">
        <v>23</v>
      </c>
      <c r="B29" s="44" t="s">
        <v>11</v>
      </c>
      <c r="C29" s="44" t="s">
        <v>12</v>
      </c>
      <c r="D29" s="44" t="s">
        <v>13</v>
      </c>
      <c r="E29" s="45">
        <v>26640</v>
      </c>
      <c r="F29" s="46">
        <v>1016.316</v>
      </c>
      <c r="G29" s="47">
        <v>1.15286E-2</v>
      </c>
      <c r="H29" s="40" t="s">
        <v>151</v>
      </c>
      <c r="J29" s="7"/>
    </row>
    <row r="30" spans="1:10" ht="25.5" x14ac:dyDescent="0.2">
      <c r="A30" s="43">
        <v>24</v>
      </c>
      <c r="B30" s="44" t="s">
        <v>362</v>
      </c>
      <c r="C30" s="44" t="s">
        <v>363</v>
      </c>
      <c r="D30" s="44" t="s">
        <v>210</v>
      </c>
      <c r="E30" s="45">
        <v>15000</v>
      </c>
      <c r="F30" s="46">
        <v>1012.575</v>
      </c>
      <c r="G30" s="47">
        <v>1.148616E-2</v>
      </c>
      <c r="H30" s="40" t="s">
        <v>151</v>
      </c>
      <c r="J30" s="7"/>
    </row>
    <row r="31" spans="1:10" x14ac:dyDescent="0.2">
      <c r="A31" s="43">
        <v>25</v>
      </c>
      <c r="B31" s="44" t="s">
        <v>471</v>
      </c>
      <c r="C31" s="44" t="s">
        <v>472</v>
      </c>
      <c r="D31" s="44" t="s">
        <v>219</v>
      </c>
      <c r="E31" s="45">
        <v>59500</v>
      </c>
      <c r="F31" s="46">
        <v>977.34699999999998</v>
      </c>
      <c r="G31" s="47">
        <v>1.1086550000000001E-2</v>
      </c>
      <c r="H31" s="40" t="s">
        <v>151</v>
      </c>
      <c r="J31" s="7"/>
    </row>
    <row r="32" spans="1:10" x14ac:dyDescent="0.2">
      <c r="A32" s="43">
        <v>26</v>
      </c>
      <c r="B32" s="44" t="s">
        <v>520</v>
      </c>
      <c r="C32" s="44" t="s">
        <v>521</v>
      </c>
      <c r="D32" s="44" t="s">
        <v>86</v>
      </c>
      <c r="E32" s="45">
        <v>118798</v>
      </c>
      <c r="F32" s="46">
        <v>956.91789000000006</v>
      </c>
      <c r="G32" s="47">
        <v>1.0854809999999999E-2</v>
      </c>
      <c r="H32" s="40" t="s">
        <v>151</v>
      </c>
      <c r="J32" s="7"/>
    </row>
    <row r="33" spans="1:10" x14ac:dyDescent="0.2">
      <c r="A33" s="43">
        <v>27</v>
      </c>
      <c r="B33" s="44" t="s">
        <v>359</v>
      </c>
      <c r="C33" s="44" t="s">
        <v>360</v>
      </c>
      <c r="D33" s="44" t="s">
        <v>361</v>
      </c>
      <c r="E33" s="45">
        <v>138600</v>
      </c>
      <c r="F33" s="46">
        <v>928.06560000000002</v>
      </c>
      <c r="G33" s="47">
        <v>1.052753E-2</v>
      </c>
      <c r="H33" s="40" t="s">
        <v>151</v>
      </c>
      <c r="J33" s="7"/>
    </row>
    <row r="34" spans="1:10" x14ac:dyDescent="0.2">
      <c r="A34" s="43">
        <v>28</v>
      </c>
      <c r="B34" s="44" t="s">
        <v>238</v>
      </c>
      <c r="C34" s="44" t="s">
        <v>239</v>
      </c>
      <c r="D34" s="44" t="s">
        <v>22</v>
      </c>
      <c r="E34" s="45">
        <v>230850</v>
      </c>
      <c r="F34" s="46">
        <v>905.50912500000004</v>
      </c>
      <c r="G34" s="47">
        <v>1.027166E-2</v>
      </c>
      <c r="H34" s="40" t="s">
        <v>151</v>
      </c>
      <c r="J34" s="7"/>
    </row>
    <row r="35" spans="1:10" x14ac:dyDescent="0.2">
      <c r="A35" s="43">
        <v>29</v>
      </c>
      <c r="B35" s="44" t="s">
        <v>554</v>
      </c>
      <c r="C35" s="44" t="s">
        <v>555</v>
      </c>
      <c r="D35" s="44" t="s">
        <v>282</v>
      </c>
      <c r="E35" s="45">
        <v>28700</v>
      </c>
      <c r="F35" s="46">
        <v>834.53859999999997</v>
      </c>
      <c r="G35" s="47">
        <v>9.4666000000000004E-3</v>
      </c>
      <c r="H35" s="40" t="s">
        <v>151</v>
      </c>
      <c r="J35" s="7"/>
    </row>
    <row r="36" spans="1:10" x14ac:dyDescent="0.2">
      <c r="A36" s="43">
        <v>30</v>
      </c>
      <c r="B36" s="44" t="s">
        <v>196</v>
      </c>
      <c r="C36" s="44" t="s">
        <v>197</v>
      </c>
      <c r="D36" s="44" t="s">
        <v>45</v>
      </c>
      <c r="E36" s="45">
        <v>410000</v>
      </c>
      <c r="F36" s="46">
        <v>825.69899999999996</v>
      </c>
      <c r="G36" s="47">
        <v>9.3663300000000008E-3</v>
      </c>
      <c r="H36" s="40" t="s">
        <v>151</v>
      </c>
      <c r="J36" s="7"/>
    </row>
    <row r="37" spans="1:10" x14ac:dyDescent="0.2">
      <c r="A37" s="43">
        <v>31</v>
      </c>
      <c r="B37" s="44" t="s">
        <v>124</v>
      </c>
      <c r="C37" s="44" t="s">
        <v>125</v>
      </c>
      <c r="D37" s="44" t="s">
        <v>50</v>
      </c>
      <c r="E37" s="45">
        <v>133000</v>
      </c>
      <c r="F37" s="46">
        <v>790.81799999999998</v>
      </c>
      <c r="G37" s="47">
        <v>8.9706600000000001E-3</v>
      </c>
      <c r="H37" s="40" t="s">
        <v>151</v>
      </c>
      <c r="J37" s="7"/>
    </row>
    <row r="38" spans="1:10" x14ac:dyDescent="0.2">
      <c r="A38" s="43">
        <v>32</v>
      </c>
      <c r="B38" s="44" t="s">
        <v>77</v>
      </c>
      <c r="C38" s="44" t="s">
        <v>78</v>
      </c>
      <c r="D38" s="44" t="s">
        <v>33</v>
      </c>
      <c r="E38" s="45">
        <v>20000</v>
      </c>
      <c r="F38" s="46">
        <v>770.47</v>
      </c>
      <c r="G38" s="47">
        <v>8.7398400000000005E-3</v>
      </c>
      <c r="H38" s="40" t="s">
        <v>151</v>
      </c>
      <c r="J38" s="7"/>
    </row>
    <row r="39" spans="1:10" x14ac:dyDescent="0.2">
      <c r="A39" s="43">
        <v>33</v>
      </c>
      <c r="B39" s="44" t="s">
        <v>545</v>
      </c>
      <c r="C39" s="44" t="s">
        <v>546</v>
      </c>
      <c r="D39" s="44" t="s">
        <v>229</v>
      </c>
      <c r="E39" s="45">
        <v>13000</v>
      </c>
      <c r="F39" s="46">
        <v>729.83950000000004</v>
      </c>
      <c r="G39" s="47">
        <v>8.2789500000000002E-3</v>
      </c>
      <c r="H39" s="40" t="s">
        <v>151</v>
      </c>
      <c r="J39" s="7"/>
    </row>
    <row r="40" spans="1:10" x14ac:dyDescent="0.2">
      <c r="A40" s="43">
        <v>34</v>
      </c>
      <c r="B40" s="44" t="s">
        <v>367</v>
      </c>
      <c r="C40" s="44" t="s">
        <v>368</v>
      </c>
      <c r="D40" s="44" t="s">
        <v>229</v>
      </c>
      <c r="E40" s="45">
        <v>17000</v>
      </c>
      <c r="F40" s="46">
        <v>729.24900000000002</v>
      </c>
      <c r="G40" s="47">
        <v>8.2722500000000001E-3</v>
      </c>
      <c r="H40" s="40" t="s">
        <v>151</v>
      </c>
      <c r="J40" s="7"/>
    </row>
    <row r="41" spans="1:10" x14ac:dyDescent="0.2">
      <c r="A41" s="43">
        <v>35</v>
      </c>
      <c r="B41" s="44" t="s">
        <v>266</v>
      </c>
      <c r="C41" s="44" t="s">
        <v>267</v>
      </c>
      <c r="D41" s="44" t="s">
        <v>268</v>
      </c>
      <c r="E41" s="45">
        <v>34000</v>
      </c>
      <c r="F41" s="46">
        <v>685.1</v>
      </c>
      <c r="G41" s="47">
        <v>7.7714400000000001E-3</v>
      </c>
      <c r="H41" s="40" t="s">
        <v>151</v>
      </c>
      <c r="J41" s="7"/>
    </row>
    <row r="42" spans="1:10" ht="25.5" x14ac:dyDescent="0.2">
      <c r="A42" s="43">
        <v>36</v>
      </c>
      <c r="B42" s="44" t="s">
        <v>273</v>
      </c>
      <c r="C42" s="44" t="s">
        <v>274</v>
      </c>
      <c r="D42" s="44" t="s">
        <v>86</v>
      </c>
      <c r="E42" s="45">
        <v>48000</v>
      </c>
      <c r="F42" s="46">
        <v>679.96799999999996</v>
      </c>
      <c r="G42" s="47">
        <v>7.7132299999999997E-3</v>
      </c>
      <c r="H42" s="40" t="s">
        <v>151</v>
      </c>
      <c r="J42" s="7"/>
    </row>
    <row r="43" spans="1:10" ht="25.5" x14ac:dyDescent="0.2">
      <c r="A43" s="43">
        <v>37</v>
      </c>
      <c r="B43" s="44" t="s">
        <v>141</v>
      </c>
      <c r="C43" s="44" t="s">
        <v>142</v>
      </c>
      <c r="D43" s="44" t="s">
        <v>25</v>
      </c>
      <c r="E43" s="45">
        <v>300000</v>
      </c>
      <c r="F43" s="46">
        <v>651.45000000000005</v>
      </c>
      <c r="G43" s="47">
        <v>7.3897299999999997E-3</v>
      </c>
      <c r="H43" s="40" t="s">
        <v>151</v>
      </c>
      <c r="J43" s="7"/>
    </row>
    <row r="44" spans="1:10" ht="25.5" x14ac:dyDescent="0.2">
      <c r="A44" s="43">
        <v>38</v>
      </c>
      <c r="B44" s="44" t="s">
        <v>732</v>
      </c>
      <c r="C44" s="44" t="s">
        <v>733</v>
      </c>
      <c r="D44" s="44" t="s">
        <v>210</v>
      </c>
      <c r="E44" s="45">
        <v>31678</v>
      </c>
      <c r="F44" s="46">
        <v>642.46151799999996</v>
      </c>
      <c r="G44" s="47">
        <v>7.2877699999999998E-3</v>
      </c>
      <c r="H44" s="40" t="s">
        <v>151</v>
      </c>
      <c r="J44" s="7"/>
    </row>
    <row r="45" spans="1:10" ht="25.5" x14ac:dyDescent="0.2">
      <c r="A45" s="43">
        <v>39</v>
      </c>
      <c r="B45" s="44" t="s">
        <v>23</v>
      </c>
      <c r="C45" s="44" t="s">
        <v>24</v>
      </c>
      <c r="D45" s="44" t="s">
        <v>25</v>
      </c>
      <c r="E45" s="45">
        <v>5000</v>
      </c>
      <c r="F45" s="46">
        <v>594.36</v>
      </c>
      <c r="G45" s="47">
        <v>6.7421299999999998E-3</v>
      </c>
      <c r="H45" s="40" t="s">
        <v>151</v>
      </c>
      <c r="J45" s="7"/>
    </row>
    <row r="46" spans="1:10" x14ac:dyDescent="0.2">
      <c r="A46" s="43">
        <v>40</v>
      </c>
      <c r="B46" s="44" t="s">
        <v>254</v>
      </c>
      <c r="C46" s="44" t="s">
        <v>255</v>
      </c>
      <c r="D46" s="44" t="s">
        <v>202</v>
      </c>
      <c r="E46" s="45">
        <v>8000</v>
      </c>
      <c r="F46" s="46">
        <v>562.17999999999995</v>
      </c>
      <c r="G46" s="47">
        <v>6.3771000000000001E-3</v>
      </c>
      <c r="H46" s="40" t="s">
        <v>151</v>
      </c>
      <c r="J46" s="7"/>
    </row>
    <row r="47" spans="1:10" x14ac:dyDescent="0.2">
      <c r="A47" s="43">
        <v>41</v>
      </c>
      <c r="B47" s="44" t="s">
        <v>734</v>
      </c>
      <c r="C47" s="44" t="s">
        <v>735</v>
      </c>
      <c r="D47" s="44" t="s">
        <v>232</v>
      </c>
      <c r="E47" s="45">
        <v>78100</v>
      </c>
      <c r="F47" s="46">
        <v>558.80550000000005</v>
      </c>
      <c r="G47" s="47">
        <v>6.3388200000000002E-3</v>
      </c>
      <c r="H47" s="40" t="s">
        <v>151</v>
      </c>
      <c r="J47" s="7"/>
    </row>
    <row r="48" spans="1:10" x14ac:dyDescent="0.2">
      <c r="A48" s="43">
        <v>42</v>
      </c>
      <c r="B48" s="44" t="s">
        <v>110</v>
      </c>
      <c r="C48" s="44" t="s">
        <v>111</v>
      </c>
      <c r="D48" s="44" t="s">
        <v>13</v>
      </c>
      <c r="E48" s="45">
        <v>74833</v>
      </c>
      <c r="F48" s="46">
        <v>514.66395750000004</v>
      </c>
      <c r="G48" s="47">
        <v>5.8380999999999997E-3</v>
      </c>
      <c r="H48" s="40" t="s">
        <v>151</v>
      </c>
      <c r="J48" s="7"/>
    </row>
    <row r="49" spans="1:10" x14ac:dyDescent="0.2">
      <c r="A49" s="43">
        <v>43</v>
      </c>
      <c r="B49" s="44" t="s">
        <v>120</v>
      </c>
      <c r="C49" s="44" t="s">
        <v>121</v>
      </c>
      <c r="D49" s="44" t="s">
        <v>89</v>
      </c>
      <c r="E49" s="45">
        <v>12000</v>
      </c>
      <c r="F49" s="46">
        <v>512.08199999999999</v>
      </c>
      <c r="G49" s="47">
        <v>5.8088100000000002E-3</v>
      </c>
      <c r="H49" s="40" t="s">
        <v>151</v>
      </c>
      <c r="J49" s="7"/>
    </row>
    <row r="50" spans="1:10" x14ac:dyDescent="0.2">
      <c r="A50" s="43">
        <v>44</v>
      </c>
      <c r="B50" s="44" t="s">
        <v>395</v>
      </c>
      <c r="C50" s="44" t="s">
        <v>396</v>
      </c>
      <c r="D50" s="44" t="s">
        <v>45</v>
      </c>
      <c r="E50" s="45">
        <v>430000</v>
      </c>
      <c r="F50" s="46">
        <v>493.25299999999999</v>
      </c>
      <c r="G50" s="47">
        <v>5.5952199999999997E-3</v>
      </c>
      <c r="H50" s="40" t="s">
        <v>151</v>
      </c>
      <c r="J50" s="7"/>
    </row>
    <row r="51" spans="1:10" ht="25.5" x14ac:dyDescent="0.2">
      <c r="A51" s="43">
        <v>45</v>
      </c>
      <c r="B51" s="44" t="s">
        <v>475</v>
      </c>
      <c r="C51" s="44" t="s">
        <v>476</v>
      </c>
      <c r="D51" s="44" t="s">
        <v>210</v>
      </c>
      <c r="E51" s="45">
        <v>30000</v>
      </c>
      <c r="F51" s="46">
        <v>463.29</v>
      </c>
      <c r="G51" s="47">
        <v>5.2553399999999998E-3</v>
      </c>
      <c r="H51" s="40" t="s">
        <v>151</v>
      </c>
      <c r="J51" s="7"/>
    </row>
    <row r="52" spans="1:10" x14ac:dyDescent="0.2">
      <c r="A52" s="43">
        <v>46</v>
      </c>
      <c r="B52" s="44" t="s">
        <v>397</v>
      </c>
      <c r="C52" s="44" t="s">
        <v>398</v>
      </c>
      <c r="D52" s="44" t="s">
        <v>100</v>
      </c>
      <c r="E52" s="45">
        <v>12000</v>
      </c>
      <c r="F52" s="46">
        <v>415.07400000000001</v>
      </c>
      <c r="G52" s="47">
        <v>4.7083999999999997E-3</v>
      </c>
      <c r="H52" s="40" t="s">
        <v>151</v>
      </c>
      <c r="J52" s="7"/>
    </row>
    <row r="53" spans="1:10" ht="25.5" x14ac:dyDescent="0.2">
      <c r="A53" s="43">
        <v>47</v>
      </c>
      <c r="B53" s="44" t="s">
        <v>736</v>
      </c>
      <c r="C53" s="44" t="s">
        <v>737</v>
      </c>
      <c r="D53" s="44" t="s">
        <v>738</v>
      </c>
      <c r="E53" s="45">
        <v>12600</v>
      </c>
      <c r="F53" s="46">
        <v>399.34440000000001</v>
      </c>
      <c r="G53" s="47">
        <v>4.5299700000000004E-3</v>
      </c>
      <c r="H53" s="40" t="s">
        <v>151</v>
      </c>
      <c r="J53" s="7"/>
    </row>
    <row r="54" spans="1:10" x14ac:dyDescent="0.2">
      <c r="A54" s="43">
        <v>48</v>
      </c>
      <c r="B54" s="44" t="s">
        <v>14</v>
      </c>
      <c r="C54" s="44" t="s">
        <v>15</v>
      </c>
      <c r="D54" s="44" t="s">
        <v>16</v>
      </c>
      <c r="E54" s="45">
        <v>88500</v>
      </c>
      <c r="F54" s="46">
        <v>368.16</v>
      </c>
      <c r="G54" s="47">
        <v>4.1762300000000004E-3</v>
      </c>
      <c r="H54" s="40" t="s">
        <v>151</v>
      </c>
      <c r="J54" s="7"/>
    </row>
    <row r="55" spans="1:10" ht="25.5" x14ac:dyDescent="0.2">
      <c r="A55" s="43">
        <v>49</v>
      </c>
      <c r="B55" s="44" t="s">
        <v>79</v>
      </c>
      <c r="C55" s="44" t="s">
        <v>80</v>
      </c>
      <c r="D55" s="44" t="s">
        <v>81</v>
      </c>
      <c r="E55" s="45">
        <v>23000</v>
      </c>
      <c r="F55" s="46">
        <v>361.077</v>
      </c>
      <c r="G55" s="47">
        <v>4.0958799999999997E-3</v>
      </c>
      <c r="H55" s="40" t="s">
        <v>151</v>
      </c>
      <c r="J55" s="7"/>
    </row>
    <row r="56" spans="1:10" x14ac:dyDescent="0.2">
      <c r="A56" s="43">
        <v>50</v>
      </c>
      <c r="B56" s="44" t="s">
        <v>739</v>
      </c>
      <c r="C56" s="44" t="s">
        <v>740</v>
      </c>
      <c r="D56" s="44" t="s">
        <v>219</v>
      </c>
      <c r="E56" s="45">
        <v>14000</v>
      </c>
      <c r="F56" s="46">
        <v>333.15800000000002</v>
      </c>
      <c r="G56" s="47">
        <v>3.77918E-3</v>
      </c>
      <c r="H56" s="40" t="s">
        <v>151</v>
      </c>
      <c r="J56" s="7"/>
    </row>
    <row r="57" spans="1:10" ht="25.5" x14ac:dyDescent="0.2">
      <c r="A57" s="43">
        <v>51</v>
      </c>
      <c r="B57" s="44" t="s">
        <v>741</v>
      </c>
      <c r="C57" s="44" t="s">
        <v>742</v>
      </c>
      <c r="D57" s="44" t="s">
        <v>247</v>
      </c>
      <c r="E57" s="45">
        <v>20000</v>
      </c>
      <c r="F57" s="46">
        <v>324.32</v>
      </c>
      <c r="G57" s="47">
        <v>3.67893E-3</v>
      </c>
      <c r="H57" s="40" t="s">
        <v>151</v>
      </c>
      <c r="J57" s="7"/>
    </row>
    <row r="58" spans="1:10" x14ac:dyDescent="0.2">
      <c r="A58" s="43">
        <v>52</v>
      </c>
      <c r="B58" s="44" t="s">
        <v>661</v>
      </c>
      <c r="C58" s="44" t="s">
        <v>662</v>
      </c>
      <c r="D58" s="44" t="s">
        <v>61</v>
      </c>
      <c r="E58" s="45">
        <v>35475</v>
      </c>
      <c r="F58" s="46">
        <v>315.42596250000003</v>
      </c>
      <c r="G58" s="47">
        <v>3.5780400000000002E-3</v>
      </c>
      <c r="H58" s="40" t="s">
        <v>151</v>
      </c>
      <c r="J58" s="7"/>
    </row>
    <row r="59" spans="1:10" x14ac:dyDescent="0.2">
      <c r="A59" s="43">
        <v>53</v>
      </c>
      <c r="B59" s="44" t="s">
        <v>130</v>
      </c>
      <c r="C59" s="44" t="s">
        <v>131</v>
      </c>
      <c r="D59" s="44" t="s">
        <v>50</v>
      </c>
      <c r="E59" s="45">
        <v>3785</v>
      </c>
      <c r="F59" s="46">
        <v>298.89577250000002</v>
      </c>
      <c r="G59" s="47">
        <v>3.3905300000000001E-3</v>
      </c>
      <c r="H59" s="40" t="s">
        <v>151</v>
      </c>
      <c r="J59" s="7"/>
    </row>
    <row r="60" spans="1:10" ht="25.5" x14ac:dyDescent="0.2">
      <c r="A60" s="43">
        <v>54</v>
      </c>
      <c r="B60" s="44" t="s">
        <v>293</v>
      </c>
      <c r="C60" s="44" t="s">
        <v>294</v>
      </c>
      <c r="D60" s="44" t="s">
        <v>25</v>
      </c>
      <c r="E60" s="45">
        <v>15869</v>
      </c>
      <c r="F60" s="46">
        <v>293.66377949999998</v>
      </c>
      <c r="G60" s="47">
        <v>3.33118E-3</v>
      </c>
      <c r="H60" s="40" t="s">
        <v>151</v>
      </c>
      <c r="J60" s="7"/>
    </row>
    <row r="61" spans="1:10" x14ac:dyDescent="0.2">
      <c r="A61" s="43">
        <v>55</v>
      </c>
      <c r="B61" s="44" t="s">
        <v>665</v>
      </c>
      <c r="C61" s="44" t="s">
        <v>666</v>
      </c>
      <c r="D61" s="44" t="s">
        <v>667</v>
      </c>
      <c r="E61" s="45">
        <v>64400</v>
      </c>
      <c r="F61" s="46">
        <v>290.28300000000002</v>
      </c>
      <c r="G61" s="47">
        <v>3.2928300000000001E-3</v>
      </c>
      <c r="H61" s="40" t="s">
        <v>151</v>
      </c>
      <c r="J61" s="7"/>
    </row>
    <row r="62" spans="1:10" x14ac:dyDescent="0.2">
      <c r="A62" s="43">
        <v>56</v>
      </c>
      <c r="B62" s="44" t="s">
        <v>552</v>
      </c>
      <c r="C62" s="44" t="s">
        <v>553</v>
      </c>
      <c r="D62" s="44" t="s">
        <v>268</v>
      </c>
      <c r="E62" s="45">
        <v>18200</v>
      </c>
      <c r="F62" s="46">
        <v>257.22059999999999</v>
      </c>
      <c r="G62" s="47">
        <v>2.91779E-3</v>
      </c>
      <c r="H62" s="40" t="s">
        <v>151</v>
      </c>
      <c r="J62" s="7"/>
    </row>
    <row r="63" spans="1:10" x14ac:dyDescent="0.2">
      <c r="A63" s="43">
        <v>57</v>
      </c>
      <c r="B63" s="44" t="s">
        <v>349</v>
      </c>
      <c r="C63" s="44" t="s">
        <v>350</v>
      </c>
      <c r="D63" s="44" t="s">
        <v>219</v>
      </c>
      <c r="E63" s="45">
        <v>5858</v>
      </c>
      <c r="F63" s="46">
        <v>256.89380299999999</v>
      </c>
      <c r="G63" s="47">
        <v>2.9140799999999999E-3</v>
      </c>
      <c r="H63" s="40" t="s">
        <v>151</v>
      </c>
      <c r="J63" s="7"/>
    </row>
    <row r="64" spans="1:10" x14ac:dyDescent="0.2">
      <c r="A64" s="43">
        <v>58</v>
      </c>
      <c r="B64" s="44" t="s">
        <v>369</v>
      </c>
      <c r="C64" s="44" t="s">
        <v>370</v>
      </c>
      <c r="D64" s="44" t="s">
        <v>371</v>
      </c>
      <c r="E64" s="45">
        <v>9765</v>
      </c>
      <c r="F64" s="46">
        <v>230.91783749999999</v>
      </c>
      <c r="G64" s="47">
        <v>2.6194199999999999E-3</v>
      </c>
      <c r="H64" s="40" t="s">
        <v>151</v>
      </c>
      <c r="J64" s="7"/>
    </row>
    <row r="65" spans="1:10" x14ac:dyDescent="0.2">
      <c r="A65" s="43">
        <v>59</v>
      </c>
      <c r="B65" s="44" t="s">
        <v>743</v>
      </c>
      <c r="C65" s="44" t="s">
        <v>744</v>
      </c>
      <c r="D65" s="44" t="s">
        <v>413</v>
      </c>
      <c r="E65" s="45">
        <v>23000</v>
      </c>
      <c r="F65" s="46">
        <v>229.85050000000001</v>
      </c>
      <c r="G65" s="47">
        <v>2.6073099999999998E-3</v>
      </c>
      <c r="H65" s="40" t="s">
        <v>151</v>
      </c>
      <c r="J65" s="7"/>
    </row>
    <row r="66" spans="1:10" ht="25.5" x14ac:dyDescent="0.2">
      <c r="A66" s="43">
        <v>60</v>
      </c>
      <c r="B66" s="44" t="s">
        <v>301</v>
      </c>
      <c r="C66" s="44" t="s">
        <v>302</v>
      </c>
      <c r="D66" s="44" t="s">
        <v>25</v>
      </c>
      <c r="E66" s="45">
        <v>8700</v>
      </c>
      <c r="F66" s="46">
        <v>225.38655</v>
      </c>
      <c r="G66" s="47">
        <v>2.55668E-3</v>
      </c>
      <c r="H66" s="40" t="s">
        <v>151</v>
      </c>
      <c r="J66" s="7"/>
    </row>
    <row r="67" spans="1:10" x14ac:dyDescent="0.2">
      <c r="A67" s="43">
        <v>61</v>
      </c>
      <c r="B67" s="44" t="s">
        <v>404</v>
      </c>
      <c r="C67" s="44" t="s">
        <v>405</v>
      </c>
      <c r="D67" s="44" t="s">
        <v>86</v>
      </c>
      <c r="E67" s="45">
        <v>12500</v>
      </c>
      <c r="F67" s="46">
        <v>206.45625000000001</v>
      </c>
      <c r="G67" s="47">
        <v>2.3419399999999998E-3</v>
      </c>
      <c r="H67" s="40" t="s">
        <v>151</v>
      </c>
      <c r="J67" s="7"/>
    </row>
    <row r="68" spans="1:10" x14ac:dyDescent="0.2">
      <c r="A68" s="43">
        <v>62</v>
      </c>
      <c r="B68" s="44" t="s">
        <v>745</v>
      </c>
      <c r="C68" s="44" t="s">
        <v>746</v>
      </c>
      <c r="D68" s="44" t="s">
        <v>136</v>
      </c>
      <c r="E68" s="45">
        <v>19575</v>
      </c>
      <c r="F68" s="46">
        <v>181.7049375</v>
      </c>
      <c r="G68" s="47">
        <v>2.0611700000000002E-3</v>
      </c>
      <c r="H68" s="40" t="s">
        <v>151</v>
      </c>
      <c r="J68" s="7"/>
    </row>
    <row r="69" spans="1:10" x14ac:dyDescent="0.2">
      <c r="A69" s="43">
        <v>63</v>
      </c>
      <c r="B69" s="44" t="s">
        <v>345</v>
      </c>
      <c r="C69" s="44" t="s">
        <v>346</v>
      </c>
      <c r="D69" s="44" t="s">
        <v>202</v>
      </c>
      <c r="E69" s="45">
        <v>57000</v>
      </c>
      <c r="F69" s="46">
        <v>130.78649999999999</v>
      </c>
      <c r="G69" s="47">
        <v>1.48358E-3</v>
      </c>
      <c r="H69" s="40" t="s">
        <v>151</v>
      </c>
      <c r="J69" s="7"/>
    </row>
    <row r="70" spans="1:10" ht="25.5" x14ac:dyDescent="0.2">
      <c r="A70" s="43">
        <v>64</v>
      </c>
      <c r="B70" s="44" t="s">
        <v>103</v>
      </c>
      <c r="C70" s="44" t="s">
        <v>104</v>
      </c>
      <c r="D70" s="44" t="s">
        <v>25</v>
      </c>
      <c r="E70" s="45">
        <v>9000</v>
      </c>
      <c r="F70" s="46">
        <v>61.195500000000003</v>
      </c>
      <c r="G70" s="47">
        <v>6.9417000000000003E-4</v>
      </c>
      <c r="H70" s="40" t="s">
        <v>151</v>
      </c>
      <c r="J70" s="7"/>
    </row>
    <row r="71" spans="1:10" x14ac:dyDescent="0.2">
      <c r="A71" s="43">
        <v>65</v>
      </c>
      <c r="B71" s="44" t="s">
        <v>747</v>
      </c>
      <c r="C71" s="44" t="s">
        <v>748</v>
      </c>
      <c r="D71" s="44" t="s">
        <v>100</v>
      </c>
      <c r="E71" s="45">
        <v>1200</v>
      </c>
      <c r="F71" s="46">
        <v>37.013399999999997</v>
      </c>
      <c r="G71" s="47">
        <v>4.1985999999999998E-4</v>
      </c>
      <c r="H71" s="40" t="s">
        <v>151</v>
      </c>
      <c r="J71" s="7"/>
    </row>
    <row r="72" spans="1:10" x14ac:dyDescent="0.2">
      <c r="A72" s="43">
        <v>66</v>
      </c>
      <c r="B72" s="44" t="s">
        <v>384</v>
      </c>
      <c r="C72" s="44" t="s">
        <v>385</v>
      </c>
      <c r="D72" s="44" t="s">
        <v>89</v>
      </c>
      <c r="E72" s="45">
        <v>500</v>
      </c>
      <c r="F72" s="46">
        <v>8.6675000000000004</v>
      </c>
      <c r="G72" s="47">
        <v>9.8319999999999994E-5</v>
      </c>
      <c r="H72" s="40" t="s">
        <v>151</v>
      </c>
      <c r="J72" s="7"/>
    </row>
    <row r="73" spans="1:10" x14ac:dyDescent="0.2">
      <c r="A73" s="41"/>
      <c r="B73" s="41"/>
      <c r="C73" s="42" t="s">
        <v>150</v>
      </c>
      <c r="D73" s="41"/>
      <c r="E73" s="41" t="s">
        <v>151</v>
      </c>
      <c r="F73" s="48">
        <v>71346.578052500001</v>
      </c>
      <c r="G73" s="49">
        <v>0.80932106000000004</v>
      </c>
      <c r="H73" s="40" t="s">
        <v>151</v>
      </c>
      <c r="J73" s="7"/>
    </row>
    <row r="74" spans="1:10" x14ac:dyDescent="0.2">
      <c r="A74" s="41"/>
      <c r="B74" s="41"/>
      <c r="C74" s="50"/>
      <c r="D74" s="41"/>
      <c r="E74" s="41"/>
      <c r="F74" s="51"/>
      <c r="G74" s="51"/>
      <c r="H74" s="40" t="s">
        <v>151</v>
      </c>
      <c r="J74" s="7"/>
    </row>
    <row r="75" spans="1:10" x14ac:dyDescent="0.2">
      <c r="A75" s="41"/>
      <c r="B75" s="41"/>
      <c r="C75" s="42" t="s">
        <v>152</v>
      </c>
      <c r="D75" s="41"/>
      <c r="E75" s="41"/>
      <c r="F75" s="41"/>
      <c r="G75" s="41"/>
      <c r="H75" s="40" t="s">
        <v>151</v>
      </c>
      <c r="J75" s="7"/>
    </row>
    <row r="76" spans="1:10" x14ac:dyDescent="0.2">
      <c r="A76" s="41"/>
      <c r="B76" s="41"/>
      <c r="C76" s="42" t="s">
        <v>150</v>
      </c>
      <c r="D76" s="41"/>
      <c r="E76" s="41" t="s">
        <v>151</v>
      </c>
      <c r="F76" s="52" t="s">
        <v>153</v>
      </c>
      <c r="G76" s="49">
        <v>0</v>
      </c>
      <c r="H76" s="40" t="s">
        <v>151</v>
      </c>
      <c r="J76" s="7"/>
    </row>
    <row r="77" spans="1:10" x14ac:dyDescent="0.2">
      <c r="A77" s="41"/>
      <c r="B77" s="41"/>
      <c r="C77" s="50"/>
      <c r="D77" s="41"/>
      <c r="E77" s="41"/>
      <c r="F77" s="51"/>
      <c r="G77" s="51"/>
      <c r="H77" s="40" t="s">
        <v>151</v>
      </c>
      <c r="J77" s="7"/>
    </row>
    <row r="78" spans="1:10" x14ac:dyDescent="0.2">
      <c r="A78" s="41"/>
      <c r="B78" s="41"/>
      <c r="C78" s="42" t="s">
        <v>154</v>
      </c>
      <c r="D78" s="41"/>
      <c r="E78" s="41"/>
      <c r="F78" s="41"/>
      <c r="G78" s="41"/>
      <c r="H78" s="40" t="s">
        <v>151</v>
      </c>
      <c r="J78" s="7"/>
    </row>
    <row r="79" spans="1:10" x14ac:dyDescent="0.2">
      <c r="A79" s="41"/>
      <c r="B79" s="41"/>
      <c r="C79" s="42" t="s">
        <v>150</v>
      </c>
      <c r="D79" s="41"/>
      <c r="E79" s="41" t="s">
        <v>151</v>
      </c>
      <c r="F79" s="52" t="s">
        <v>153</v>
      </c>
      <c r="G79" s="49">
        <v>0</v>
      </c>
      <c r="H79" s="40" t="s">
        <v>151</v>
      </c>
      <c r="J79" s="7"/>
    </row>
    <row r="80" spans="1:10" x14ac:dyDescent="0.2">
      <c r="A80" s="41"/>
      <c r="B80" s="41"/>
      <c r="C80" s="50"/>
      <c r="D80" s="41"/>
      <c r="E80" s="41"/>
      <c r="F80" s="51"/>
      <c r="G80" s="51"/>
      <c r="H80" s="40" t="s">
        <v>151</v>
      </c>
      <c r="J80" s="7"/>
    </row>
    <row r="81" spans="1:10" x14ac:dyDescent="0.2">
      <c r="A81" s="41"/>
      <c r="B81" s="41"/>
      <c r="C81" s="42" t="s">
        <v>155</v>
      </c>
      <c r="D81" s="41"/>
      <c r="E81" s="41"/>
      <c r="F81" s="41"/>
      <c r="G81" s="41"/>
      <c r="H81" s="40" t="s">
        <v>151</v>
      </c>
      <c r="J81" s="7"/>
    </row>
    <row r="82" spans="1:10" x14ac:dyDescent="0.2">
      <c r="A82" s="41"/>
      <c r="B82" s="41"/>
      <c r="C82" s="42" t="s">
        <v>150</v>
      </c>
      <c r="D82" s="41"/>
      <c r="E82" s="41" t="s">
        <v>151</v>
      </c>
      <c r="F82" s="52" t="s">
        <v>153</v>
      </c>
      <c r="G82" s="49">
        <v>0</v>
      </c>
      <c r="H82" s="40" t="s">
        <v>151</v>
      </c>
      <c r="J82" s="7"/>
    </row>
    <row r="83" spans="1:10" x14ac:dyDescent="0.2">
      <c r="A83" s="41"/>
      <c r="B83" s="41"/>
      <c r="C83" s="50"/>
      <c r="D83" s="41"/>
      <c r="E83" s="41"/>
      <c r="F83" s="51"/>
      <c r="G83" s="51"/>
      <c r="H83" s="40" t="s">
        <v>151</v>
      </c>
      <c r="J83" s="7"/>
    </row>
    <row r="84" spans="1:10" x14ac:dyDescent="0.2">
      <c r="A84" s="41"/>
      <c r="B84" s="41"/>
      <c r="C84" s="42" t="s">
        <v>156</v>
      </c>
      <c r="D84" s="41"/>
      <c r="E84" s="41"/>
      <c r="F84" s="51"/>
      <c r="G84" s="51"/>
      <c r="H84" s="40" t="s">
        <v>151</v>
      </c>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157</v>
      </c>
      <c r="D87" s="41"/>
      <c r="E87" s="41"/>
      <c r="F87" s="51"/>
      <c r="G87" s="51"/>
      <c r="H87" s="40" t="s">
        <v>151</v>
      </c>
      <c r="J87" s="7"/>
    </row>
    <row r="88" spans="1:10" x14ac:dyDescent="0.2">
      <c r="A88" s="43">
        <v>1</v>
      </c>
      <c r="B88" s="44"/>
      <c r="C88" s="44" t="s">
        <v>971</v>
      </c>
      <c r="D88" s="44" t="s">
        <v>674</v>
      </c>
      <c r="E88" s="45">
        <v>-500</v>
      </c>
      <c r="F88" s="46">
        <v>-8.7047500000000007</v>
      </c>
      <c r="G88" s="47">
        <f>F88/$F$173</f>
        <v>-9.8742465997974188E-5</v>
      </c>
      <c r="H88" s="40" t="s">
        <v>151</v>
      </c>
      <c r="J88" s="7"/>
    </row>
    <row r="89" spans="1:10" x14ac:dyDescent="0.2">
      <c r="A89" s="43">
        <v>2</v>
      </c>
      <c r="B89" s="44"/>
      <c r="C89" s="44" t="s">
        <v>968</v>
      </c>
      <c r="D89" s="44" t="s">
        <v>674</v>
      </c>
      <c r="E89" s="45">
        <v>-9000</v>
      </c>
      <c r="F89" s="46">
        <v>-61.564500000000002</v>
      </c>
      <c r="G89" s="47">
        <f t="shared" ref="G89:G116" si="0">F89/$F$173</f>
        <v>-6.9835785610526224E-4</v>
      </c>
      <c r="H89" s="40" t="s">
        <v>151</v>
      </c>
      <c r="J89" s="7"/>
    </row>
    <row r="90" spans="1:10" x14ac:dyDescent="0.2">
      <c r="A90" s="43">
        <v>3</v>
      </c>
      <c r="B90" s="44"/>
      <c r="C90" s="44" t="s">
        <v>972</v>
      </c>
      <c r="D90" s="44" t="s">
        <v>674</v>
      </c>
      <c r="E90" s="45">
        <v>-19575</v>
      </c>
      <c r="F90" s="46">
        <v>-183.43732499999999</v>
      </c>
      <c r="G90" s="47">
        <f t="shared" si="0"/>
        <v>-2.0808241278120381E-3</v>
      </c>
      <c r="H90" s="40" t="s">
        <v>151</v>
      </c>
      <c r="J90" s="7"/>
    </row>
    <row r="91" spans="1:10" x14ac:dyDescent="0.2">
      <c r="A91" s="43">
        <v>4</v>
      </c>
      <c r="B91" s="44"/>
      <c r="C91" s="44" t="s">
        <v>973</v>
      </c>
      <c r="D91" s="44" t="s">
        <v>674</v>
      </c>
      <c r="E91" s="45">
        <v>-12500</v>
      </c>
      <c r="F91" s="46">
        <v>-207.38749999999999</v>
      </c>
      <c r="G91" s="47">
        <f t="shared" si="0"/>
        <v>-2.3525033076371945E-3</v>
      </c>
      <c r="H91" s="40" t="s">
        <v>151</v>
      </c>
      <c r="J91" s="7"/>
    </row>
    <row r="92" spans="1:10" ht="25.5" x14ac:dyDescent="0.2">
      <c r="A92" s="43">
        <v>5</v>
      </c>
      <c r="B92" s="44"/>
      <c r="C92" s="44" t="s">
        <v>960</v>
      </c>
      <c r="D92" s="44" t="s">
        <v>674</v>
      </c>
      <c r="E92" s="45">
        <v>-12950</v>
      </c>
      <c r="F92" s="46">
        <v>-223.48462499999999</v>
      </c>
      <c r="G92" s="47">
        <f t="shared" si="0"/>
        <v>-2.5351012935618494E-3</v>
      </c>
      <c r="H92" s="40" t="s">
        <v>151</v>
      </c>
      <c r="J92" s="7"/>
    </row>
    <row r="93" spans="1:10" x14ac:dyDescent="0.2">
      <c r="A93" s="43">
        <v>6</v>
      </c>
      <c r="B93" s="44"/>
      <c r="C93" s="44" t="s">
        <v>961</v>
      </c>
      <c r="D93" s="44" t="s">
        <v>674</v>
      </c>
      <c r="E93" s="45">
        <v>-8700</v>
      </c>
      <c r="F93" s="46">
        <v>-226.3914</v>
      </c>
      <c r="G93" s="47">
        <f t="shared" si="0"/>
        <v>-2.5680743406454837E-3</v>
      </c>
      <c r="H93" s="40" t="s">
        <v>151</v>
      </c>
      <c r="J93" s="7"/>
    </row>
    <row r="94" spans="1:10" x14ac:dyDescent="0.2">
      <c r="A94" s="43">
        <v>7</v>
      </c>
      <c r="B94" s="44"/>
      <c r="C94" s="44" t="s">
        <v>974</v>
      </c>
      <c r="D94" s="44" t="s">
        <v>674</v>
      </c>
      <c r="E94" s="45">
        <v>-18200</v>
      </c>
      <c r="F94" s="46">
        <v>-258.60379999999998</v>
      </c>
      <c r="G94" s="47">
        <f t="shared" si="0"/>
        <v>-2.9334761972999697E-3</v>
      </c>
      <c r="H94" s="40" t="s">
        <v>151</v>
      </c>
      <c r="J94" s="7"/>
    </row>
    <row r="95" spans="1:10" ht="25.5" x14ac:dyDescent="0.2">
      <c r="A95" s="43">
        <v>8</v>
      </c>
      <c r="B95" s="44"/>
      <c r="C95" s="44" t="s">
        <v>963</v>
      </c>
      <c r="D95" s="44" t="s">
        <v>674</v>
      </c>
      <c r="E95" s="45">
        <v>-64400</v>
      </c>
      <c r="F95" s="46">
        <v>-289.8322</v>
      </c>
      <c r="G95" s="47">
        <f t="shared" si="0"/>
        <v>-3.2877160347647033E-3</v>
      </c>
      <c r="H95" s="40" t="s">
        <v>151</v>
      </c>
      <c r="J95" s="7"/>
    </row>
    <row r="96" spans="1:10" x14ac:dyDescent="0.2">
      <c r="A96" s="43">
        <v>9</v>
      </c>
      <c r="B96" s="44"/>
      <c r="C96" s="44" t="s">
        <v>965</v>
      </c>
      <c r="D96" s="44" t="s">
        <v>674</v>
      </c>
      <c r="E96" s="45">
        <v>-35475</v>
      </c>
      <c r="F96" s="46">
        <v>-317.32387499999999</v>
      </c>
      <c r="G96" s="47">
        <f t="shared" si="0"/>
        <v>-3.5995682745090791E-3</v>
      </c>
      <c r="H96" s="40" t="s">
        <v>151</v>
      </c>
      <c r="J96" s="7"/>
    </row>
    <row r="97" spans="1:10" x14ac:dyDescent="0.2">
      <c r="A97" s="43">
        <v>10</v>
      </c>
      <c r="B97" s="44"/>
      <c r="C97" s="44" t="s">
        <v>975</v>
      </c>
      <c r="D97" s="44" t="s">
        <v>674</v>
      </c>
      <c r="E97" s="45">
        <v>-88500</v>
      </c>
      <c r="F97" s="46">
        <v>-366.83249999999998</v>
      </c>
      <c r="G97" s="47">
        <f t="shared" si="0"/>
        <v>-4.1611701264484173E-3</v>
      </c>
      <c r="H97" s="40" t="s">
        <v>151</v>
      </c>
      <c r="J97" s="7"/>
    </row>
    <row r="98" spans="1:10" x14ac:dyDescent="0.2">
      <c r="A98" s="43">
        <v>11</v>
      </c>
      <c r="B98" s="44"/>
      <c r="C98" s="44" t="s">
        <v>976</v>
      </c>
      <c r="D98" s="44" t="s">
        <v>674</v>
      </c>
      <c r="E98" s="45">
        <v>-12600</v>
      </c>
      <c r="F98" s="46">
        <v>-402.45030000000003</v>
      </c>
      <c r="G98" s="47">
        <f t="shared" si="0"/>
        <v>-4.5652011905711835E-3</v>
      </c>
      <c r="H98" s="40" t="s">
        <v>151</v>
      </c>
      <c r="J98" s="7"/>
    </row>
    <row r="99" spans="1:10" x14ac:dyDescent="0.2">
      <c r="A99" s="43">
        <v>12</v>
      </c>
      <c r="B99" s="44"/>
      <c r="C99" s="44" t="s">
        <v>977</v>
      </c>
      <c r="D99" s="44" t="s">
        <v>674</v>
      </c>
      <c r="E99" s="45">
        <v>-10500</v>
      </c>
      <c r="F99" s="46">
        <v>-471.91725000000002</v>
      </c>
      <c r="G99" s="47">
        <f t="shared" si="0"/>
        <v>-5.3532006102395228E-3</v>
      </c>
      <c r="H99" s="40" t="s">
        <v>151</v>
      </c>
      <c r="J99" s="7"/>
    </row>
    <row r="100" spans="1:10" ht="25.5" x14ac:dyDescent="0.2">
      <c r="A100" s="43">
        <v>13</v>
      </c>
      <c r="B100" s="44"/>
      <c r="C100" s="44" t="s">
        <v>978</v>
      </c>
      <c r="D100" s="44" t="s">
        <v>674</v>
      </c>
      <c r="E100" s="45">
        <v>-78100</v>
      </c>
      <c r="F100" s="46">
        <v>-562.00760000000002</v>
      </c>
      <c r="G100" s="47">
        <f t="shared" si="0"/>
        <v>-6.3751418861659531E-3</v>
      </c>
      <c r="H100" s="40" t="s">
        <v>151</v>
      </c>
      <c r="J100" s="7"/>
    </row>
    <row r="101" spans="1:10" x14ac:dyDescent="0.2">
      <c r="A101" s="43">
        <v>14</v>
      </c>
      <c r="B101" s="44"/>
      <c r="C101" s="44" t="s">
        <v>956</v>
      </c>
      <c r="D101" s="44" t="s">
        <v>674</v>
      </c>
      <c r="E101" s="45">
        <v>-44000</v>
      </c>
      <c r="F101" s="46">
        <v>-632.94000000000005</v>
      </c>
      <c r="G101" s="47">
        <f t="shared" si="0"/>
        <v>-7.1797646605310647E-3</v>
      </c>
      <c r="H101" s="40" t="s">
        <v>151</v>
      </c>
      <c r="J101" s="7"/>
    </row>
    <row r="102" spans="1:10" x14ac:dyDescent="0.2">
      <c r="A102" s="43">
        <v>15</v>
      </c>
      <c r="B102" s="44"/>
      <c r="C102" s="44" t="s">
        <v>979</v>
      </c>
      <c r="D102" s="44" t="s">
        <v>674</v>
      </c>
      <c r="E102" s="45">
        <v>-28700</v>
      </c>
      <c r="F102" s="46">
        <v>-840.24990000000003</v>
      </c>
      <c r="G102" s="47">
        <f t="shared" si="0"/>
        <v>-9.5313877113703677E-3</v>
      </c>
      <c r="H102" s="40" t="s">
        <v>151</v>
      </c>
      <c r="J102" s="7"/>
    </row>
    <row r="103" spans="1:10" ht="25.5" x14ac:dyDescent="0.2">
      <c r="A103" s="43">
        <v>16</v>
      </c>
      <c r="B103" s="44"/>
      <c r="C103" s="44" t="s">
        <v>980</v>
      </c>
      <c r="D103" s="44" t="s">
        <v>674</v>
      </c>
      <c r="E103" s="45">
        <v>-230850</v>
      </c>
      <c r="F103" s="46">
        <v>-910.93409999999994</v>
      </c>
      <c r="G103" s="47">
        <f t="shared" si="0"/>
        <v>-1.0333195025204078E-2</v>
      </c>
      <c r="H103" s="40" t="s">
        <v>151</v>
      </c>
      <c r="J103" s="7"/>
    </row>
    <row r="104" spans="1:10" x14ac:dyDescent="0.2">
      <c r="A104" s="43">
        <v>17</v>
      </c>
      <c r="B104" s="44"/>
      <c r="C104" s="44" t="s">
        <v>981</v>
      </c>
      <c r="D104" s="44" t="s">
        <v>674</v>
      </c>
      <c r="E104" s="45">
        <v>-138600</v>
      </c>
      <c r="F104" s="46">
        <v>-931.11479999999995</v>
      </c>
      <c r="G104" s="47">
        <f t="shared" si="0"/>
        <v>-1.0562115107178326E-2</v>
      </c>
      <c r="H104" s="40" t="s">
        <v>151</v>
      </c>
      <c r="J104" s="7"/>
    </row>
    <row r="105" spans="1:10" x14ac:dyDescent="0.2">
      <c r="A105" s="43">
        <v>18</v>
      </c>
      <c r="B105" s="44"/>
      <c r="C105" s="44" t="s">
        <v>959</v>
      </c>
      <c r="D105" s="44" t="s">
        <v>674</v>
      </c>
      <c r="E105" s="45">
        <v>-59500</v>
      </c>
      <c r="F105" s="46">
        <v>-981.18475000000001</v>
      </c>
      <c r="G105" s="47">
        <f t="shared" si="0"/>
        <v>-1.1130084357920192E-2</v>
      </c>
      <c r="H105" s="40" t="s">
        <v>151</v>
      </c>
      <c r="J105" s="7"/>
    </row>
    <row r="106" spans="1:10" x14ac:dyDescent="0.2">
      <c r="A106" s="43">
        <v>19</v>
      </c>
      <c r="B106" s="44"/>
      <c r="C106" s="44" t="s">
        <v>962</v>
      </c>
      <c r="D106" s="44" t="s">
        <v>674</v>
      </c>
      <c r="E106" s="45">
        <v>-406575</v>
      </c>
      <c r="F106" s="46">
        <v>-1038.5958375</v>
      </c>
      <c r="G106" s="47">
        <f t="shared" si="0"/>
        <v>-1.1781327915216551E-2</v>
      </c>
      <c r="H106" s="40" t="s">
        <v>151</v>
      </c>
      <c r="J106" s="7"/>
    </row>
    <row r="107" spans="1:10" x14ac:dyDescent="0.2">
      <c r="A107" s="43">
        <v>20</v>
      </c>
      <c r="B107" s="44"/>
      <c r="C107" s="44" t="s">
        <v>982</v>
      </c>
      <c r="D107" s="44" t="s">
        <v>674</v>
      </c>
      <c r="E107" s="45">
        <v>-16625</v>
      </c>
      <c r="F107" s="46">
        <v>-1139.261375</v>
      </c>
      <c r="G107" s="47">
        <f t="shared" si="0"/>
        <v>-1.2923228993795666E-2</v>
      </c>
      <c r="H107" s="40" t="s">
        <v>151</v>
      </c>
      <c r="J107" s="7"/>
    </row>
    <row r="108" spans="1:10" x14ac:dyDescent="0.2">
      <c r="A108" s="43">
        <v>21</v>
      </c>
      <c r="B108" s="44"/>
      <c r="C108" s="44" t="s">
        <v>983</v>
      </c>
      <c r="D108" s="44" t="s">
        <v>674</v>
      </c>
      <c r="E108" s="45">
        <v>-8850</v>
      </c>
      <c r="F108" s="46">
        <v>-1160.8146750000001</v>
      </c>
      <c r="G108" s="47">
        <f t="shared" si="0"/>
        <v>-1.3167719185058383E-2</v>
      </c>
      <c r="H108" s="40" t="s">
        <v>151</v>
      </c>
      <c r="J108" s="7"/>
    </row>
    <row r="109" spans="1:10" x14ac:dyDescent="0.2">
      <c r="A109" s="43">
        <v>22</v>
      </c>
      <c r="B109" s="44"/>
      <c r="C109" s="44" t="s">
        <v>948</v>
      </c>
      <c r="D109" s="44" t="s">
        <v>674</v>
      </c>
      <c r="E109" s="45">
        <v>-47700</v>
      </c>
      <c r="F109" s="46">
        <v>-1295.98515</v>
      </c>
      <c r="G109" s="47">
        <f t="shared" si="0"/>
        <v>-1.4701027554812542E-2</v>
      </c>
      <c r="H109" s="40" t="s">
        <v>151</v>
      </c>
      <c r="J109" s="7"/>
    </row>
    <row r="110" spans="1:10" x14ac:dyDescent="0.2">
      <c r="A110" s="43">
        <v>23</v>
      </c>
      <c r="B110" s="44"/>
      <c r="C110" s="44" t="s">
        <v>984</v>
      </c>
      <c r="D110" s="44" t="s">
        <v>674</v>
      </c>
      <c r="E110" s="45">
        <v>-171875</v>
      </c>
      <c r="F110" s="46">
        <v>-2018.0703125</v>
      </c>
      <c r="G110" s="47">
        <f t="shared" si="0"/>
        <v>-2.289201174227317E-2</v>
      </c>
      <c r="H110" s="40" t="s">
        <v>151</v>
      </c>
      <c r="J110" s="7"/>
    </row>
    <row r="111" spans="1:10" x14ac:dyDescent="0.2">
      <c r="A111" s="43">
        <v>24</v>
      </c>
      <c r="B111" s="44"/>
      <c r="C111" s="44" t="s">
        <v>967</v>
      </c>
      <c r="D111" s="44" t="s">
        <v>674</v>
      </c>
      <c r="E111" s="45">
        <v>-154850</v>
      </c>
      <c r="F111" s="46">
        <v>-2311.2910999999999</v>
      </c>
      <c r="G111" s="47">
        <f t="shared" si="0"/>
        <v>-2.6218166271652871E-2</v>
      </c>
      <c r="H111" s="40" t="s">
        <v>151</v>
      </c>
      <c r="J111" s="7"/>
    </row>
    <row r="112" spans="1:10" x14ac:dyDescent="0.2">
      <c r="A112" s="43">
        <v>25</v>
      </c>
      <c r="B112" s="44"/>
      <c r="C112" s="44" t="s">
        <v>985</v>
      </c>
      <c r="D112" s="44" t="s">
        <v>674</v>
      </c>
      <c r="E112" s="45">
        <v>-213950</v>
      </c>
      <c r="F112" s="46">
        <v>-2474.3317499999998</v>
      </c>
      <c r="G112" s="47">
        <f t="shared" si="0"/>
        <v>-2.8067620401744212E-2</v>
      </c>
      <c r="H112" s="40" t="s">
        <v>151</v>
      </c>
      <c r="J112" s="7"/>
    </row>
    <row r="113" spans="1:10" x14ac:dyDescent="0.2">
      <c r="A113" s="43">
        <v>26</v>
      </c>
      <c r="B113" s="44"/>
      <c r="C113" s="44" t="s">
        <v>986</v>
      </c>
      <c r="D113" s="44" t="s">
        <v>674</v>
      </c>
      <c r="E113" s="45">
        <v>-198000</v>
      </c>
      <c r="F113" s="46">
        <v>-2847.24</v>
      </c>
      <c r="G113" s="47">
        <f t="shared" si="0"/>
        <v>-3.2297710892107409E-2</v>
      </c>
      <c r="H113" s="40" t="s">
        <v>151</v>
      </c>
      <c r="J113" s="7"/>
    </row>
    <row r="114" spans="1:10" x14ac:dyDescent="0.2">
      <c r="A114" s="43">
        <v>27</v>
      </c>
      <c r="B114" s="44"/>
      <c r="C114" s="44" t="s">
        <v>987</v>
      </c>
      <c r="D114" s="44" t="s">
        <v>674</v>
      </c>
      <c r="E114" s="45">
        <v>-166800</v>
      </c>
      <c r="F114" s="46">
        <v>-3136.9241999999999</v>
      </c>
      <c r="G114" s="47">
        <f t="shared" si="0"/>
        <v>-3.5583748086587479E-2</v>
      </c>
      <c r="H114" s="40" t="s">
        <v>151</v>
      </c>
      <c r="J114" s="7"/>
    </row>
    <row r="115" spans="1:10" x14ac:dyDescent="0.2">
      <c r="A115" s="43">
        <v>28</v>
      </c>
      <c r="B115" s="44"/>
      <c r="C115" s="44" t="s">
        <v>966</v>
      </c>
      <c r="D115" s="44" t="s">
        <v>674</v>
      </c>
      <c r="E115" s="45">
        <v>-144250</v>
      </c>
      <c r="F115" s="46">
        <v>-4358.2973750000001</v>
      </c>
      <c r="G115" s="47">
        <f t="shared" si="0"/>
        <v>-4.9438413551221763E-2</v>
      </c>
      <c r="H115" s="40" t="s">
        <v>151</v>
      </c>
      <c r="J115" s="7"/>
    </row>
    <row r="116" spans="1:10" x14ac:dyDescent="0.2">
      <c r="A116" s="43">
        <v>29</v>
      </c>
      <c r="B116" s="44"/>
      <c r="C116" s="44" t="s">
        <v>969</v>
      </c>
      <c r="D116" s="44" t="s">
        <v>674</v>
      </c>
      <c r="E116" s="45">
        <v>-299750</v>
      </c>
      <c r="F116" s="46">
        <v>-4878.7309999999998</v>
      </c>
      <c r="G116" s="47">
        <f t="shared" si="0"/>
        <v>-5.5341960410208516E-2</v>
      </c>
      <c r="H116" s="40" t="s">
        <v>151</v>
      </c>
      <c r="J116" s="7"/>
    </row>
    <row r="117" spans="1:10" x14ac:dyDescent="0.2">
      <c r="A117" s="41"/>
      <c r="B117" s="41"/>
      <c r="C117" s="42" t="s">
        <v>150</v>
      </c>
      <c r="D117" s="41"/>
      <c r="E117" s="41" t="s">
        <v>151</v>
      </c>
      <c r="F117" s="48">
        <v>-34535.90395</v>
      </c>
      <c r="G117" s="49">
        <v>-0.39175856999999997</v>
      </c>
      <c r="H117" s="40" t="s">
        <v>151</v>
      </c>
      <c r="J117" s="7"/>
    </row>
    <row r="118" spans="1:10" x14ac:dyDescent="0.2">
      <c r="A118" s="41"/>
      <c r="B118" s="41"/>
      <c r="C118" s="50"/>
      <c r="D118" s="41"/>
      <c r="E118" s="41"/>
      <c r="F118" s="51"/>
      <c r="G118" s="51"/>
      <c r="H118" s="40" t="s">
        <v>151</v>
      </c>
      <c r="J118" s="7"/>
    </row>
    <row r="119" spans="1:10" x14ac:dyDescent="0.2">
      <c r="A119" s="41"/>
      <c r="B119" s="41"/>
      <c r="C119" s="42" t="s">
        <v>158</v>
      </c>
      <c r="D119" s="41"/>
      <c r="E119" s="41"/>
      <c r="F119" s="48">
        <f>F73</f>
        <v>71346.578052500001</v>
      </c>
      <c r="G119" s="49">
        <f>G73</f>
        <v>0.80932106000000004</v>
      </c>
      <c r="H119" s="40" t="s">
        <v>151</v>
      </c>
      <c r="J119" s="7"/>
    </row>
    <row r="120" spans="1:10" x14ac:dyDescent="0.2">
      <c r="A120" s="41"/>
      <c r="B120" s="41"/>
      <c r="C120" s="50"/>
      <c r="D120" s="41"/>
      <c r="E120" s="41"/>
      <c r="F120" s="51"/>
      <c r="G120" s="51"/>
      <c r="H120" s="40" t="s">
        <v>151</v>
      </c>
      <c r="J120" s="7"/>
    </row>
    <row r="121" spans="1:10" x14ac:dyDescent="0.2">
      <c r="A121" s="41"/>
      <c r="B121" s="41"/>
      <c r="C121" s="42" t="s">
        <v>159</v>
      </c>
      <c r="D121" s="41"/>
      <c r="E121" s="41"/>
      <c r="F121" s="51"/>
      <c r="G121" s="51"/>
      <c r="H121" s="40" t="s">
        <v>151</v>
      </c>
      <c r="J121" s="7"/>
    </row>
    <row r="122" spans="1:10" x14ac:dyDescent="0.2">
      <c r="A122" s="41"/>
      <c r="B122" s="41"/>
      <c r="C122" s="42" t="s">
        <v>10</v>
      </c>
      <c r="D122" s="41"/>
      <c r="E122" s="41"/>
      <c r="F122" s="51"/>
      <c r="G122" s="51"/>
      <c r="H122" s="40" t="s">
        <v>151</v>
      </c>
      <c r="J122" s="7"/>
    </row>
    <row r="123" spans="1:10" ht="25.5" x14ac:dyDescent="0.2">
      <c r="A123" s="43">
        <v>1</v>
      </c>
      <c r="B123" s="44" t="s">
        <v>589</v>
      </c>
      <c r="C123" s="44" t="s">
        <v>590</v>
      </c>
      <c r="D123" s="44" t="s">
        <v>569</v>
      </c>
      <c r="E123" s="45">
        <v>1500</v>
      </c>
      <c r="F123" s="46">
        <v>1491.8805</v>
      </c>
      <c r="G123" s="47">
        <v>1.6923170000000001E-2</v>
      </c>
      <c r="H123" s="40">
        <v>7.71</v>
      </c>
      <c r="J123" s="7"/>
    </row>
    <row r="124" spans="1:10" ht="25.5" x14ac:dyDescent="0.2">
      <c r="A124" s="43">
        <v>2</v>
      </c>
      <c r="B124" s="44" t="s">
        <v>582</v>
      </c>
      <c r="C124" s="44" t="s">
        <v>583</v>
      </c>
      <c r="D124" s="44" t="s">
        <v>584</v>
      </c>
      <c r="E124" s="45">
        <v>1000</v>
      </c>
      <c r="F124" s="46">
        <v>1003.922</v>
      </c>
      <c r="G124" s="47">
        <v>1.138801E-2</v>
      </c>
      <c r="H124" s="40">
        <v>7.6</v>
      </c>
      <c r="J124" s="7"/>
    </row>
    <row r="125" spans="1:10" ht="25.5" x14ac:dyDescent="0.2">
      <c r="A125" s="43">
        <v>3</v>
      </c>
      <c r="B125" s="44" t="s">
        <v>749</v>
      </c>
      <c r="C125" s="44" t="s">
        <v>750</v>
      </c>
      <c r="D125" s="44" t="s">
        <v>569</v>
      </c>
      <c r="E125" s="45">
        <v>1000</v>
      </c>
      <c r="F125" s="46">
        <v>996.90700000000004</v>
      </c>
      <c r="G125" s="47">
        <v>1.130843E-2</v>
      </c>
      <c r="H125" s="40">
        <v>7.6550000000000002</v>
      </c>
      <c r="J125" s="7"/>
    </row>
    <row r="126" spans="1:10" ht="25.5" x14ac:dyDescent="0.2">
      <c r="A126" s="43">
        <v>4</v>
      </c>
      <c r="B126" s="44" t="s">
        <v>619</v>
      </c>
      <c r="C126" s="44" t="s">
        <v>620</v>
      </c>
      <c r="D126" s="44" t="s">
        <v>569</v>
      </c>
      <c r="E126" s="45">
        <v>100</v>
      </c>
      <c r="F126" s="46">
        <v>994.98299999999995</v>
      </c>
      <c r="G126" s="47">
        <v>1.1286610000000001E-2</v>
      </c>
      <c r="H126" s="40">
        <v>7.6550000000000002</v>
      </c>
      <c r="J126" s="7"/>
    </row>
    <row r="127" spans="1:10" x14ac:dyDescent="0.2">
      <c r="A127" s="41"/>
      <c r="B127" s="41"/>
      <c r="C127" s="42" t="s">
        <v>150</v>
      </c>
      <c r="D127" s="41"/>
      <c r="E127" s="41" t="s">
        <v>151</v>
      </c>
      <c r="F127" s="48">
        <v>4487.6925000000001</v>
      </c>
      <c r="G127" s="49">
        <v>5.0906220000000002E-2</v>
      </c>
      <c r="H127" s="40" t="s">
        <v>151</v>
      </c>
      <c r="J127" s="7"/>
    </row>
    <row r="128" spans="1:10" x14ac:dyDescent="0.2">
      <c r="A128" s="41"/>
      <c r="B128" s="41"/>
      <c r="C128" s="50"/>
      <c r="D128" s="41"/>
      <c r="E128" s="41"/>
      <c r="F128" s="51"/>
      <c r="G128" s="51"/>
      <c r="H128" s="40" t="s">
        <v>151</v>
      </c>
      <c r="J128" s="7"/>
    </row>
    <row r="129" spans="1:10" x14ac:dyDescent="0.2">
      <c r="A129" s="41"/>
      <c r="B129" s="41"/>
      <c r="C129" s="42" t="s">
        <v>160</v>
      </c>
      <c r="D129" s="41"/>
      <c r="E129" s="41"/>
      <c r="F129" s="41"/>
      <c r="G129" s="41"/>
      <c r="H129" s="40" t="s">
        <v>151</v>
      </c>
      <c r="J129" s="7"/>
    </row>
    <row r="130" spans="1:10" x14ac:dyDescent="0.2">
      <c r="A130" s="41"/>
      <c r="B130" s="41"/>
      <c r="C130" s="42" t="s">
        <v>150</v>
      </c>
      <c r="D130" s="41"/>
      <c r="E130" s="41" t="s">
        <v>151</v>
      </c>
      <c r="F130" s="52" t="s">
        <v>153</v>
      </c>
      <c r="G130" s="49">
        <v>0</v>
      </c>
      <c r="H130" s="40" t="s">
        <v>151</v>
      </c>
      <c r="J130" s="7"/>
    </row>
    <row r="131" spans="1:10" x14ac:dyDescent="0.2">
      <c r="A131" s="41"/>
      <c r="B131" s="41"/>
      <c r="C131" s="50"/>
      <c r="D131" s="41"/>
      <c r="E131" s="41"/>
      <c r="F131" s="51"/>
      <c r="G131" s="51"/>
      <c r="H131" s="40" t="s">
        <v>151</v>
      </c>
      <c r="J131" s="7"/>
    </row>
    <row r="132" spans="1:10" x14ac:dyDescent="0.2">
      <c r="A132" s="41"/>
      <c r="B132" s="41"/>
      <c r="C132" s="42" t="s">
        <v>161</v>
      </c>
      <c r="D132" s="41"/>
      <c r="E132" s="41"/>
      <c r="F132" s="41"/>
      <c r="G132" s="41"/>
      <c r="H132" s="40" t="s">
        <v>151</v>
      </c>
      <c r="J132" s="7"/>
    </row>
    <row r="133" spans="1:10" x14ac:dyDescent="0.2">
      <c r="A133" s="43">
        <v>1</v>
      </c>
      <c r="B133" s="44" t="s">
        <v>646</v>
      </c>
      <c r="C133" s="44" t="s">
        <v>1092</v>
      </c>
      <c r="D133" s="44" t="s">
        <v>549</v>
      </c>
      <c r="E133" s="45">
        <v>1500000</v>
      </c>
      <c r="F133" s="46">
        <v>1528.518</v>
      </c>
      <c r="G133" s="47">
        <v>1.733877E-2</v>
      </c>
      <c r="H133" s="40">
        <v>6.9573</v>
      </c>
      <c r="J133" s="7"/>
    </row>
    <row r="134" spans="1:10" ht="25.5" x14ac:dyDescent="0.2">
      <c r="A134" s="43">
        <v>2</v>
      </c>
      <c r="B134" s="44" t="s">
        <v>751</v>
      </c>
      <c r="C134" s="44" t="s">
        <v>1090</v>
      </c>
      <c r="D134" s="44" t="s">
        <v>549</v>
      </c>
      <c r="E134" s="45">
        <v>1500000</v>
      </c>
      <c r="F134" s="46">
        <v>1480.1895</v>
      </c>
      <c r="G134" s="47">
        <v>1.6790550000000001E-2</v>
      </c>
      <c r="H134" s="40">
        <v>6.9105999999999996</v>
      </c>
      <c r="J134" s="7"/>
    </row>
    <row r="135" spans="1:10" ht="25.5" x14ac:dyDescent="0.2">
      <c r="A135" s="43">
        <v>3</v>
      </c>
      <c r="B135" s="44" t="s">
        <v>752</v>
      </c>
      <c r="C135" s="44" t="s">
        <v>1091</v>
      </c>
      <c r="D135" s="44" t="s">
        <v>549</v>
      </c>
      <c r="E135" s="45">
        <v>500000</v>
      </c>
      <c r="F135" s="46">
        <v>489.8655</v>
      </c>
      <c r="G135" s="47">
        <v>5.5567999999999998E-3</v>
      </c>
      <c r="H135" s="40">
        <v>6.9481999999999999</v>
      </c>
      <c r="J135" s="7"/>
    </row>
    <row r="136" spans="1:10" x14ac:dyDescent="0.2">
      <c r="A136" s="41"/>
      <c r="B136" s="41"/>
      <c r="C136" s="42" t="s">
        <v>150</v>
      </c>
      <c r="D136" s="41"/>
      <c r="E136" s="41" t="s">
        <v>151</v>
      </c>
      <c r="F136" s="48">
        <v>3498.5729999999999</v>
      </c>
      <c r="G136" s="49">
        <v>3.9686119999999998E-2</v>
      </c>
      <c r="H136" s="40" t="s">
        <v>151</v>
      </c>
      <c r="J136" s="7"/>
    </row>
    <row r="137" spans="1:10" x14ac:dyDescent="0.2">
      <c r="A137" s="41"/>
      <c r="B137" s="41"/>
      <c r="C137" s="50"/>
      <c r="D137" s="41"/>
      <c r="E137" s="41"/>
      <c r="F137" s="51"/>
      <c r="G137" s="51"/>
      <c r="H137" s="40" t="s">
        <v>151</v>
      </c>
      <c r="J137" s="7"/>
    </row>
    <row r="138" spans="1:10" x14ac:dyDescent="0.2">
      <c r="A138" s="41"/>
      <c r="B138" s="41"/>
      <c r="C138" s="42" t="s">
        <v>162</v>
      </c>
      <c r="D138" s="41"/>
      <c r="E138" s="41"/>
      <c r="F138" s="51"/>
      <c r="G138" s="51"/>
      <c r="H138" s="40" t="s">
        <v>151</v>
      </c>
      <c r="J138" s="7"/>
    </row>
    <row r="139" spans="1:10" x14ac:dyDescent="0.2">
      <c r="A139" s="41"/>
      <c r="B139" s="41"/>
      <c r="C139" s="42" t="s">
        <v>150</v>
      </c>
      <c r="D139" s="41"/>
      <c r="E139" s="41" t="s">
        <v>151</v>
      </c>
      <c r="F139" s="52" t="s">
        <v>153</v>
      </c>
      <c r="G139" s="49">
        <v>0</v>
      </c>
      <c r="H139" s="40" t="s">
        <v>151</v>
      </c>
      <c r="J139" s="7"/>
    </row>
    <row r="140" spans="1:10" x14ac:dyDescent="0.2">
      <c r="A140" s="41"/>
      <c r="B140" s="41"/>
      <c r="C140" s="50"/>
      <c r="D140" s="41"/>
      <c r="E140" s="41"/>
      <c r="F140" s="51"/>
      <c r="G140" s="51"/>
      <c r="H140" s="40" t="s">
        <v>151</v>
      </c>
      <c r="J140" s="7"/>
    </row>
    <row r="141" spans="1:10" x14ac:dyDescent="0.2">
      <c r="A141" s="41"/>
      <c r="B141" s="41"/>
      <c r="C141" s="42" t="s">
        <v>163</v>
      </c>
      <c r="D141" s="41"/>
      <c r="E141" s="41"/>
      <c r="F141" s="48">
        <v>7986.2655000000004</v>
      </c>
      <c r="G141" s="49">
        <v>9.0592339999999993E-2</v>
      </c>
      <c r="H141" s="40" t="s">
        <v>151</v>
      </c>
      <c r="J141" s="7"/>
    </row>
    <row r="142" spans="1:10" x14ac:dyDescent="0.2">
      <c r="A142" s="41"/>
      <c r="B142" s="41"/>
      <c r="C142" s="50"/>
      <c r="D142" s="41"/>
      <c r="E142" s="41"/>
      <c r="F142" s="51"/>
      <c r="G142" s="51"/>
      <c r="H142" s="40" t="s">
        <v>151</v>
      </c>
      <c r="J142" s="7"/>
    </row>
    <row r="143" spans="1:10" x14ac:dyDescent="0.2">
      <c r="A143" s="41"/>
      <c r="B143" s="41"/>
      <c r="C143" s="42" t="s">
        <v>164</v>
      </c>
      <c r="D143" s="41"/>
      <c r="E143" s="41"/>
      <c r="F143" s="51"/>
      <c r="G143" s="51"/>
      <c r="H143" s="40" t="s">
        <v>151</v>
      </c>
      <c r="J143" s="7"/>
    </row>
    <row r="144" spans="1:10" x14ac:dyDescent="0.2">
      <c r="A144" s="41"/>
      <c r="B144" s="41"/>
      <c r="C144" s="42" t="s">
        <v>165</v>
      </c>
      <c r="D144" s="41"/>
      <c r="E144" s="41"/>
      <c r="F144" s="51"/>
      <c r="G144" s="51"/>
      <c r="H144" s="40" t="s">
        <v>151</v>
      </c>
      <c r="J144" s="7"/>
    </row>
    <row r="145" spans="1:10" x14ac:dyDescent="0.2">
      <c r="A145" s="41"/>
      <c r="B145" s="41"/>
      <c r="C145" s="42" t="s">
        <v>150</v>
      </c>
      <c r="D145" s="41"/>
      <c r="E145" s="41" t="s">
        <v>151</v>
      </c>
      <c r="F145" s="52" t="s">
        <v>153</v>
      </c>
      <c r="G145" s="49">
        <v>0</v>
      </c>
      <c r="H145" s="40" t="s">
        <v>151</v>
      </c>
      <c r="J145" s="7"/>
    </row>
    <row r="146" spans="1:10" x14ac:dyDescent="0.2">
      <c r="A146" s="41"/>
      <c r="B146" s="41"/>
      <c r="C146" s="50"/>
      <c r="D146" s="41"/>
      <c r="E146" s="41"/>
      <c r="F146" s="51"/>
      <c r="G146" s="51"/>
      <c r="H146" s="40" t="s">
        <v>151</v>
      </c>
      <c r="J146" s="7"/>
    </row>
    <row r="147" spans="1:10" x14ac:dyDescent="0.2">
      <c r="A147" s="41"/>
      <c r="B147" s="41"/>
      <c r="C147" s="42" t="s">
        <v>166</v>
      </c>
      <c r="D147" s="41"/>
      <c r="E147" s="41"/>
      <c r="F147" s="51"/>
      <c r="G147" s="51"/>
      <c r="H147" s="40" t="s">
        <v>151</v>
      </c>
      <c r="J147" s="7"/>
    </row>
    <row r="148" spans="1:10" x14ac:dyDescent="0.2">
      <c r="A148" s="41"/>
      <c r="B148" s="41"/>
      <c r="C148" s="42" t="s">
        <v>150</v>
      </c>
      <c r="D148" s="41"/>
      <c r="E148" s="41" t="s">
        <v>151</v>
      </c>
      <c r="F148" s="52" t="s">
        <v>153</v>
      </c>
      <c r="G148" s="49">
        <v>0</v>
      </c>
      <c r="H148" s="40" t="s">
        <v>151</v>
      </c>
      <c r="J148" s="7"/>
    </row>
    <row r="149" spans="1:10" x14ac:dyDescent="0.2">
      <c r="A149" s="41"/>
      <c r="B149" s="41"/>
      <c r="C149" s="50"/>
      <c r="D149" s="41"/>
      <c r="E149" s="41"/>
      <c r="F149" s="51"/>
      <c r="G149" s="51"/>
      <c r="H149" s="40" t="s">
        <v>151</v>
      </c>
      <c r="J149" s="7"/>
    </row>
    <row r="150" spans="1:10" x14ac:dyDescent="0.2">
      <c r="A150" s="41"/>
      <c r="B150" s="41"/>
      <c r="C150" s="42" t="s">
        <v>167</v>
      </c>
      <c r="D150" s="41"/>
      <c r="E150" s="41"/>
      <c r="F150" s="51"/>
      <c r="G150" s="51"/>
      <c r="H150" s="40" t="s">
        <v>151</v>
      </c>
      <c r="J150" s="7"/>
    </row>
    <row r="151" spans="1:10" x14ac:dyDescent="0.2">
      <c r="A151" s="43">
        <v>1</v>
      </c>
      <c r="B151" s="44" t="s">
        <v>753</v>
      </c>
      <c r="C151" s="44" t="s">
        <v>1093</v>
      </c>
      <c r="D151" s="44" t="s">
        <v>549</v>
      </c>
      <c r="E151" s="45">
        <v>2500000</v>
      </c>
      <c r="F151" s="46">
        <v>2430.5725000000002</v>
      </c>
      <c r="G151" s="47">
        <v>2.757124E-2</v>
      </c>
      <c r="H151" s="40">
        <v>6.77</v>
      </c>
      <c r="J151" s="7"/>
    </row>
    <row r="152" spans="1:10" x14ac:dyDescent="0.2">
      <c r="A152" s="41"/>
      <c r="B152" s="41"/>
      <c r="C152" s="42" t="s">
        <v>150</v>
      </c>
      <c r="D152" s="41"/>
      <c r="E152" s="41" t="s">
        <v>151</v>
      </c>
      <c r="F152" s="48">
        <v>2430.5725000000002</v>
      </c>
      <c r="G152" s="49">
        <v>2.757124E-2</v>
      </c>
      <c r="H152" s="40" t="s">
        <v>151</v>
      </c>
      <c r="J152" s="7"/>
    </row>
    <row r="153" spans="1:10" x14ac:dyDescent="0.2">
      <c r="A153" s="41"/>
      <c r="B153" s="41"/>
      <c r="C153" s="50"/>
      <c r="D153" s="41"/>
      <c r="E153" s="41"/>
      <c r="F153" s="51"/>
      <c r="G153" s="51"/>
      <c r="H153" s="40" t="s">
        <v>151</v>
      </c>
      <c r="J153" s="7"/>
    </row>
    <row r="154" spans="1:10" x14ac:dyDescent="0.2">
      <c r="A154" s="41"/>
      <c r="B154" s="41"/>
      <c r="C154" s="42" t="s">
        <v>168</v>
      </c>
      <c r="D154" s="41"/>
      <c r="E154" s="41"/>
      <c r="F154" s="51"/>
      <c r="G154" s="51"/>
      <c r="H154" s="40" t="s">
        <v>151</v>
      </c>
      <c r="J154" s="7"/>
    </row>
    <row r="155" spans="1:10" x14ac:dyDescent="0.2">
      <c r="A155" s="43">
        <v>1</v>
      </c>
      <c r="B155" s="44"/>
      <c r="C155" s="44" t="s">
        <v>169</v>
      </c>
      <c r="D155" s="44"/>
      <c r="E155" s="54"/>
      <c r="F155" s="46">
        <v>3362.0958390000001</v>
      </c>
      <c r="G155" s="47">
        <v>3.8137989999999997E-2</v>
      </c>
      <c r="H155" s="40">
        <v>6.39</v>
      </c>
      <c r="J155" s="7"/>
    </row>
    <row r="156" spans="1:10" x14ac:dyDescent="0.2">
      <c r="A156" s="41"/>
      <c r="B156" s="41"/>
      <c r="C156" s="42" t="s">
        <v>150</v>
      </c>
      <c r="D156" s="41"/>
      <c r="E156" s="41" t="s">
        <v>151</v>
      </c>
      <c r="F156" s="48">
        <v>3362.0958390000001</v>
      </c>
      <c r="G156" s="49">
        <v>3.8137989999999997E-2</v>
      </c>
      <c r="H156" s="40" t="s">
        <v>151</v>
      </c>
      <c r="J156" s="7"/>
    </row>
    <row r="157" spans="1:10" x14ac:dyDescent="0.2">
      <c r="A157" s="41"/>
      <c r="B157" s="41"/>
      <c r="C157" s="50"/>
      <c r="D157" s="41"/>
      <c r="E157" s="41"/>
      <c r="F157" s="51"/>
      <c r="G157" s="51"/>
      <c r="H157" s="40" t="s">
        <v>151</v>
      </c>
      <c r="J157" s="7"/>
    </row>
    <row r="158" spans="1:10" x14ac:dyDescent="0.2">
      <c r="A158" s="41"/>
      <c r="B158" s="41"/>
      <c r="C158" s="42" t="s">
        <v>170</v>
      </c>
      <c r="D158" s="41"/>
      <c r="E158" s="41"/>
      <c r="F158" s="48">
        <v>5792.6683389999998</v>
      </c>
      <c r="G158" s="49">
        <v>6.5709229999999993E-2</v>
      </c>
      <c r="H158" s="40" t="s">
        <v>151</v>
      </c>
      <c r="J158" s="7"/>
    </row>
    <row r="159" spans="1:10" x14ac:dyDescent="0.2">
      <c r="A159" s="41"/>
      <c r="B159" s="41"/>
      <c r="C159" s="51"/>
      <c r="D159" s="41"/>
      <c r="E159" s="41"/>
      <c r="F159" s="41"/>
      <c r="G159" s="41"/>
      <c r="H159" s="40" t="s">
        <v>151</v>
      </c>
      <c r="J159" s="7"/>
    </row>
    <row r="160" spans="1:10" x14ac:dyDescent="0.2">
      <c r="A160" s="41"/>
      <c r="B160" s="41"/>
      <c r="C160" s="42" t="s">
        <v>171</v>
      </c>
      <c r="D160" s="41"/>
      <c r="E160" s="41"/>
      <c r="F160" s="41"/>
      <c r="G160" s="41"/>
      <c r="H160" s="40" t="s">
        <v>151</v>
      </c>
      <c r="J160" s="7"/>
    </row>
    <row r="161" spans="1:10" x14ac:dyDescent="0.2">
      <c r="A161" s="41"/>
      <c r="B161" s="41"/>
      <c r="C161" s="42" t="s">
        <v>172</v>
      </c>
      <c r="D161" s="41"/>
      <c r="E161" s="41"/>
      <c r="F161" s="41"/>
      <c r="G161" s="41"/>
      <c r="H161" s="40" t="s">
        <v>151</v>
      </c>
      <c r="J161" s="7"/>
    </row>
    <row r="162" spans="1:10" x14ac:dyDescent="0.2">
      <c r="A162" s="41"/>
      <c r="B162" s="41"/>
      <c r="C162" s="42" t="s">
        <v>150</v>
      </c>
      <c r="D162" s="41"/>
      <c r="E162" s="41" t="s">
        <v>151</v>
      </c>
      <c r="F162" s="52" t="s">
        <v>153</v>
      </c>
      <c r="G162" s="49">
        <v>0</v>
      </c>
      <c r="H162" s="40" t="s">
        <v>151</v>
      </c>
      <c r="J162" s="7"/>
    </row>
    <row r="163" spans="1:10" x14ac:dyDescent="0.2">
      <c r="A163" s="41"/>
      <c r="B163" s="41"/>
      <c r="C163" s="50"/>
      <c r="D163" s="41"/>
      <c r="E163" s="41"/>
      <c r="F163" s="51"/>
      <c r="G163" s="51"/>
      <c r="H163" s="40" t="s">
        <v>151</v>
      </c>
      <c r="J163" s="7"/>
    </row>
    <row r="164" spans="1:10" x14ac:dyDescent="0.2">
      <c r="A164" s="41"/>
      <c r="B164" s="41"/>
      <c r="C164" s="42" t="s">
        <v>173</v>
      </c>
      <c r="D164" s="41"/>
      <c r="E164" s="41"/>
      <c r="F164" s="41"/>
      <c r="G164" s="41"/>
      <c r="H164" s="40" t="s">
        <v>151</v>
      </c>
      <c r="J164" s="7"/>
    </row>
    <row r="165" spans="1:10" x14ac:dyDescent="0.2">
      <c r="A165" s="41"/>
      <c r="B165" s="41"/>
      <c r="C165" s="42" t="s">
        <v>174</v>
      </c>
      <c r="D165" s="41"/>
      <c r="E165" s="41"/>
      <c r="F165" s="41"/>
      <c r="G165" s="41"/>
      <c r="H165" s="40" t="s">
        <v>151</v>
      </c>
      <c r="J165" s="7"/>
    </row>
    <row r="166" spans="1:10" x14ac:dyDescent="0.2">
      <c r="A166" s="41"/>
      <c r="B166" s="41"/>
      <c r="C166" s="42" t="s">
        <v>150</v>
      </c>
      <c r="D166" s="41"/>
      <c r="E166" s="41" t="s">
        <v>151</v>
      </c>
      <c r="F166" s="52" t="s">
        <v>153</v>
      </c>
      <c r="G166" s="49">
        <v>0</v>
      </c>
      <c r="H166" s="40" t="s">
        <v>151</v>
      </c>
      <c r="J166" s="7"/>
    </row>
    <row r="167" spans="1:10" x14ac:dyDescent="0.2">
      <c r="A167" s="41"/>
      <c r="B167" s="41"/>
      <c r="C167" s="50"/>
      <c r="D167" s="41"/>
      <c r="E167" s="41"/>
      <c r="F167" s="51"/>
      <c r="G167" s="51"/>
      <c r="H167" s="40" t="s">
        <v>151</v>
      </c>
      <c r="J167" s="7"/>
    </row>
    <row r="168" spans="1:10" x14ac:dyDescent="0.2">
      <c r="A168" s="41"/>
      <c r="B168" s="41"/>
      <c r="C168" s="42" t="s">
        <v>175</v>
      </c>
      <c r="D168" s="41"/>
      <c r="E168" s="41"/>
      <c r="F168" s="51"/>
      <c r="G168" s="51"/>
      <c r="H168" s="40" t="s">
        <v>151</v>
      </c>
      <c r="J168" s="7"/>
    </row>
    <row r="169" spans="1:10" x14ac:dyDescent="0.2">
      <c r="A169" s="41"/>
      <c r="B169" s="41"/>
      <c r="C169" s="42" t="s">
        <v>150</v>
      </c>
      <c r="D169" s="41"/>
      <c r="E169" s="41" t="s">
        <v>151</v>
      </c>
      <c r="F169" s="52" t="s">
        <v>153</v>
      </c>
      <c r="G169" s="49">
        <v>0</v>
      </c>
      <c r="H169" s="40" t="s">
        <v>151</v>
      </c>
      <c r="J169" s="7"/>
    </row>
    <row r="170" spans="1:10" x14ac:dyDescent="0.2">
      <c r="A170" s="41"/>
      <c r="B170" s="41"/>
      <c r="C170" s="50"/>
      <c r="D170" s="41"/>
      <c r="E170" s="41"/>
      <c r="F170" s="51"/>
      <c r="G170" s="51"/>
      <c r="H170" s="40" t="s">
        <v>151</v>
      </c>
      <c r="J170" s="7"/>
    </row>
    <row r="171" spans="1:10" x14ac:dyDescent="0.2">
      <c r="A171" s="54"/>
      <c r="B171" s="44"/>
      <c r="C171" s="44" t="s">
        <v>550</v>
      </c>
      <c r="D171" s="44"/>
      <c r="E171" s="54"/>
      <c r="F171" s="46">
        <v>2774.5768552999998</v>
      </c>
      <c r="G171" s="47">
        <v>3.1473460000000002E-2</v>
      </c>
      <c r="H171" s="40" t="s">
        <v>151</v>
      </c>
      <c r="J171" s="7"/>
    </row>
    <row r="172" spans="1:10" x14ac:dyDescent="0.2">
      <c r="A172" s="54"/>
      <c r="B172" s="44"/>
      <c r="C172" s="83" t="s">
        <v>996</v>
      </c>
      <c r="D172" s="44"/>
      <c r="E172" s="54"/>
      <c r="F172" s="46">
        <f>34791.90804555-34535.90395</f>
        <v>256.00409555000078</v>
      </c>
      <c r="G172" s="47">
        <f>F172/F173</f>
        <v>2.903986409740439E-3</v>
      </c>
      <c r="H172" s="40" t="s">
        <v>151</v>
      </c>
      <c r="J172" s="7"/>
    </row>
    <row r="173" spans="1:10" x14ac:dyDescent="0.2">
      <c r="A173" s="50"/>
      <c r="B173" s="50"/>
      <c r="C173" s="42" t="s">
        <v>177</v>
      </c>
      <c r="D173" s="51"/>
      <c r="E173" s="51"/>
      <c r="F173" s="48">
        <f>F172+F171+F158+F141+F119</f>
        <v>88156.092842350001</v>
      </c>
      <c r="G173" s="55">
        <f>G172+G171+G158+G141+G119</f>
        <v>1.0000000764097405</v>
      </c>
      <c r="H173" s="40" t="s">
        <v>151</v>
      </c>
      <c r="J173" s="7"/>
    </row>
    <row r="174" spans="1:10" x14ac:dyDescent="0.2">
      <c r="A174" s="56"/>
      <c r="B174" s="56"/>
      <c r="C174" s="56"/>
      <c r="D174" s="57"/>
      <c r="E174" s="57"/>
      <c r="F174" s="57"/>
      <c r="G174" s="57"/>
      <c r="J174" s="7"/>
    </row>
    <row r="175" spans="1:10" ht="12.75" customHeight="1" x14ac:dyDescent="0.2">
      <c r="A175" s="58"/>
      <c r="B175" s="159" t="s">
        <v>923</v>
      </c>
      <c r="C175" s="159"/>
      <c r="D175" s="159"/>
      <c r="E175" s="159"/>
      <c r="F175" s="159"/>
      <c r="G175" s="159"/>
      <c r="H175" s="159"/>
      <c r="J175" s="7"/>
    </row>
    <row r="176" spans="1:10" ht="14.1" customHeight="1" x14ac:dyDescent="0.2">
      <c r="A176" s="58"/>
      <c r="B176" s="159" t="s">
        <v>924</v>
      </c>
      <c r="C176" s="159"/>
      <c r="D176" s="159"/>
      <c r="E176" s="159"/>
      <c r="F176" s="159"/>
      <c r="G176" s="159"/>
      <c r="H176" s="159"/>
      <c r="J176" s="7"/>
    </row>
    <row r="177" spans="1:17" ht="17.100000000000001" customHeight="1" x14ac:dyDescent="0.2">
      <c r="A177" s="58"/>
      <c r="B177" s="159" t="s">
        <v>925</v>
      </c>
      <c r="C177" s="159"/>
      <c r="D177" s="159"/>
      <c r="E177" s="159"/>
      <c r="F177" s="159"/>
      <c r="G177" s="159"/>
      <c r="H177" s="159"/>
      <c r="J177" s="7"/>
    </row>
    <row r="178" spans="1:17" s="8" customFormat="1" ht="65.25" customHeight="1" x14ac:dyDescent="0.25">
      <c r="A178" s="60"/>
      <c r="B178" s="160" t="s">
        <v>926</v>
      </c>
      <c r="C178" s="160"/>
      <c r="D178" s="160"/>
      <c r="E178" s="160"/>
      <c r="F178" s="160"/>
      <c r="G178" s="160"/>
      <c r="H178" s="160"/>
      <c r="I178"/>
      <c r="J178" s="7"/>
      <c r="K178"/>
      <c r="L178"/>
      <c r="M178"/>
      <c r="N178"/>
      <c r="O178"/>
      <c r="P178"/>
      <c r="Q178"/>
    </row>
    <row r="179" spans="1:17" ht="12.75" customHeight="1" x14ac:dyDescent="0.2">
      <c r="A179" s="58"/>
      <c r="B179" s="159" t="s">
        <v>927</v>
      </c>
      <c r="C179" s="159"/>
      <c r="D179" s="159"/>
      <c r="E179" s="159"/>
      <c r="F179" s="159"/>
      <c r="G179" s="159"/>
      <c r="H179" s="159"/>
      <c r="J179" s="7"/>
    </row>
    <row r="180" spans="1:17" x14ac:dyDescent="0.2">
      <c r="A180" s="61"/>
      <c r="B180" s="61"/>
      <c r="C180" s="61"/>
      <c r="D180" s="62"/>
      <c r="E180" s="62"/>
      <c r="F180" s="62"/>
      <c r="G180" s="62"/>
      <c r="J180" s="7"/>
    </row>
    <row r="181" spans="1:17" x14ac:dyDescent="0.2">
      <c r="A181" s="61"/>
      <c r="B181" s="161" t="s">
        <v>178</v>
      </c>
      <c r="C181" s="162"/>
      <c r="D181" s="163"/>
      <c r="E181" s="63"/>
      <c r="F181" s="62"/>
      <c r="G181" s="62"/>
      <c r="J181" s="7"/>
    </row>
    <row r="182" spans="1:17" x14ac:dyDescent="0.2">
      <c r="A182" s="61"/>
      <c r="B182" s="156" t="s">
        <v>179</v>
      </c>
      <c r="C182" s="157"/>
      <c r="D182" s="42" t="s">
        <v>180</v>
      </c>
      <c r="E182" s="63"/>
      <c r="F182" s="62"/>
      <c r="G182" s="62"/>
      <c r="J182" s="7"/>
    </row>
    <row r="183" spans="1:17" x14ac:dyDescent="0.2">
      <c r="A183" s="61"/>
      <c r="B183" s="156" t="s">
        <v>181</v>
      </c>
      <c r="C183" s="157"/>
      <c r="D183" s="42" t="s">
        <v>180</v>
      </c>
      <c r="E183" s="63"/>
      <c r="F183" s="62"/>
      <c r="G183" s="62"/>
      <c r="J183" s="7"/>
    </row>
    <row r="184" spans="1:17" x14ac:dyDescent="0.2">
      <c r="A184" s="61"/>
      <c r="B184" s="156" t="s">
        <v>182</v>
      </c>
      <c r="C184" s="157"/>
      <c r="D184" s="51" t="s">
        <v>151</v>
      </c>
      <c r="E184" s="63"/>
      <c r="F184" s="62"/>
      <c r="G184" s="62"/>
      <c r="J184" s="7"/>
    </row>
    <row r="185" spans="1:17" x14ac:dyDescent="0.2">
      <c r="A185" s="67"/>
      <c r="B185" s="68" t="s">
        <v>151</v>
      </c>
      <c r="C185" s="68" t="s">
        <v>937</v>
      </c>
      <c r="D185" s="68" t="s">
        <v>183</v>
      </c>
      <c r="E185" s="67"/>
      <c r="F185" s="67"/>
      <c r="G185" s="67"/>
      <c r="H185" s="67"/>
      <c r="J185" s="7"/>
    </row>
    <row r="186" spans="1:17" x14ac:dyDescent="0.2">
      <c r="A186" s="69"/>
      <c r="B186" s="70" t="s">
        <v>184</v>
      </c>
      <c r="C186" s="80" t="s">
        <v>185</v>
      </c>
      <c r="D186" s="80" t="s">
        <v>186</v>
      </c>
      <c r="E186" s="69"/>
      <c r="F186" s="69"/>
      <c r="G186" s="69"/>
      <c r="J186" s="7"/>
    </row>
    <row r="187" spans="1:17" x14ac:dyDescent="0.2">
      <c r="A187" s="69"/>
      <c r="B187" s="44" t="s">
        <v>187</v>
      </c>
      <c r="C187" s="72">
        <v>74.704800000000006</v>
      </c>
      <c r="D187" s="72">
        <v>76.238799999999998</v>
      </c>
      <c r="E187" s="69"/>
      <c r="F187" s="73"/>
      <c r="G187" s="74"/>
      <c r="J187" s="7"/>
    </row>
    <row r="188" spans="1:17" ht="25.5" x14ac:dyDescent="0.2">
      <c r="A188" s="69"/>
      <c r="B188" s="116" t="s">
        <v>1102</v>
      </c>
      <c r="C188" s="72">
        <v>16.560600000000001</v>
      </c>
      <c r="D188" s="72">
        <v>16.900600000000001</v>
      </c>
      <c r="E188" s="69"/>
      <c r="F188" s="73"/>
      <c r="G188" s="74"/>
      <c r="J188" s="7"/>
    </row>
    <row r="189" spans="1:17" ht="25.5" x14ac:dyDescent="0.2">
      <c r="A189" s="69"/>
      <c r="B189" s="44" t="s">
        <v>1098</v>
      </c>
      <c r="C189" s="72">
        <v>24.174499999999998</v>
      </c>
      <c r="D189" s="72">
        <v>24.6709</v>
      </c>
      <c r="E189" s="69"/>
      <c r="F189" s="73"/>
      <c r="G189" s="74"/>
      <c r="J189" s="7"/>
    </row>
    <row r="190" spans="1:17" x14ac:dyDescent="0.2">
      <c r="A190" s="69"/>
      <c r="B190" s="44" t="s">
        <v>188</v>
      </c>
      <c r="C190" s="72">
        <v>65.408600000000007</v>
      </c>
      <c r="D190" s="72">
        <v>66.6584</v>
      </c>
      <c r="E190" s="69"/>
      <c r="F190" s="73"/>
      <c r="G190" s="74"/>
      <c r="J190" s="7"/>
    </row>
    <row r="191" spans="1:17" ht="25.5" x14ac:dyDescent="0.2">
      <c r="A191" s="69"/>
      <c r="B191" s="116" t="s">
        <v>1103</v>
      </c>
      <c r="C191" s="72">
        <v>15.6891</v>
      </c>
      <c r="D191" s="72">
        <v>15.988899999999999</v>
      </c>
      <c r="E191" s="69"/>
      <c r="F191" s="73"/>
      <c r="G191" s="74"/>
      <c r="J191" s="7"/>
    </row>
    <row r="192" spans="1:17" ht="25.5" x14ac:dyDescent="0.2">
      <c r="A192" s="69"/>
      <c r="B192" s="44" t="s">
        <v>1099</v>
      </c>
      <c r="C192" s="72">
        <v>16.9208</v>
      </c>
      <c r="D192" s="72">
        <v>17.2441</v>
      </c>
      <c r="E192" s="69"/>
      <c r="F192" s="73"/>
      <c r="G192" s="74"/>
      <c r="J192" s="7"/>
    </row>
    <row r="193" spans="1:10" x14ac:dyDescent="0.2">
      <c r="A193" s="69"/>
      <c r="B193" s="69"/>
      <c r="C193" s="69"/>
      <c r="D193" s="69"/>
      <c r="E193" s="69"/>
      <c r="F193" s="69"/>
      <c r="G193" s="69"/>
      <c r="J193" s="7"/>
    </row>
    <row r="194" spans="1:10" x14ac:dyDescent="0.2">
      <c r="A194" s="69"/>
      <c r="B194" s="156" t="s">
        <v>940</v>
      </c>
      <c r="C194" s="157"/>
      <c r="D194" s="42" t="s">
        <v>180</v>
      </c>
      <c r="E194" s="69"/>
      <c r="F194" s="69"/>
      <c r="G194" s="69"/>
      <c r="J194" s="7"/>
    </row>
    <row r="195" spans="1:10" x14ac:dyDescent="0.2">
      <c r="A195" s="69"/>
      <c r="B195" s="84"/>
      <c r="C195" s="84"/>
      <c r="D195" s="84"/>
      <c r="E195" s="69"/>
      <c r="F195" s="69"/>
      <c r="G195" s="69"/>
      <c r="J195" s="7"/>
    </row>
    <row r="196" spans="1:10" ht="29.1" customHeight="1" x14ac:dyDescent="0.2">
      <c r="A196" s="67"/>
      <c r="B196" s="164" t="s">
        <v>189</v>
      </c>
      <c r="C196" s="165"/>
      <c r="D196" s="64" t="s">
        <v>1015</v>
      </c>
      <c r="E196" s="75"/>
      <c r="F196" s="67"/>
      <c r="G196" s="67"/>
      <c r="J196" s="7"/>
    </row>
    <row r="197" spans="1:10" ht="29.1" customHeight="1" x14ac:dyDescent="0.2">
      <c r="A197" s="67"/>
      <c r="B197" s="164" t="s">
        <v>190</v>
      </c>
      <c r="C197" s="165"/>
      <c r="D197" s="64" t="s">
        <v>180</v>
      </c>
      <c r="E197" s="75"/>
      <c r="F197" s="67"/>
      <c r="G197" s="67"/>
      <c r="J197" s="7"/>
    </row>
    <row r="198" spans="1:10" ht="17.100000000000001" customHeight="1" x14ac:dyDescent="0.2">
      <c r="A198" s="67"/>
      <c r="B198" s="164" t="s">
        <v>191</v>
      </c>
      <c r="C198" s="165"/>
      <c r="D198" s="64" t="s">
        <v>180</v>
      </c>
      <c r="E198" s="75"/>
      <c r="F198" s="67"/>
      <c r="G198" s="67"/>
      <c r="J198" s="7"/>
    </row>
    <row r="199" spans="1:10" ht="17.100000000000001" customHeight="1" x14ac:dyDescent="0.2">
      <c r="A199" s="67"/>
      <c r="B199" s="164" t="s">
        <v>192</v>
      </c>
      <c r="C199" s="165"/>
      <c r="D199" s="76">
        <v>4.6630319165222014</v>
      </c>
      <c r="E199" s="67"/>
      <c r="F199" s="59"/>
      <c r="G199" s="77"/>
      <c r="J199" s="7"/>
    </row>
    <row r="200" spans="1:10" x14ac:dyDescent="0.2">
      <c r="J200" s="7"/>
    </row>
    <row r="201" spans="1:10" x14ac:dyDescent="0.2">
      <c r="B201" s="179" t="s">
        <v>1035</v>
      </c>
      <c r="C201" s="180"/>
      <c r="D201" s="181"/>
    </row>
    <row r="202" spans="1:10" ht="25.5" x14ac:dyDescent="0.2">
      <c r="B202" s="168" t="s">
        <v>1036</v>
      </c>
      <c r="C202" s="168"/>
      <c r="D202" s="110" t="s">
        <v>729</v>
      </c>
    </row>
    <row r="203" spans="1:10" x14ac:dyDescent="0.2">
      <c r="B203" s="168" t="s">
        <v>1037</v>
      </c>
      <c r="C203" s="168"/>
      <c r="D203" s="118"/>
    </row>
    <row r="204" spans="1:10" x14ac:dyDescent="0.2">
      <c r="B204" s="169"/>
      <c r="C204" s="170"/>
      <c r="D204" s="111"/>
    </row>
    <row r="205" spans="1:10" x14ac:dyDescent="0.2">
      <c r="B205" s="168" t="s">
        <v>1038</v>
      </c>
      <c r="C205" s="168"/>
      <c r="D205" s="112">
        <v>6.9236836876780652</v>
      </c>
    </row>
    <row r="206" spans="1:10" x14ac:dyDescent="0.2">
      <c r="B206" s="169"/>
      <c r="C206" s="170"/>
      <c r="D206" s="111"/>
    </row>
    <row r="207" spans="1:10" x14ac:dyDescent="0.2">
      <c r="B207" s="168" t="s">
        <v>1039</v>
      </c>
      <c r="C207" s="168"/>
      <c r="D207" s="112">
        <v>1.0168754273924514</v>
      </c>
    </row>
    <row r="208" spans="1:10" x14ac:dyDescent="0.2">
      <c r="B208" s="168" t="s">
        <v>1040</v>
      </c>
      <c r="C208" s="168"/>
      <c r="D208" s="112">
        <v>1.1226618547722675</v>
      </c>
    </row>
    <row r="209" spans="2:4" x14ac:dyDescent="0.2">
      <c r="B209" s="169"/>
      <c r="C209" s="170"/>
      <c r="D209" s="111"/>
    </row>
    <row r="210" spans="2:4" x14ac:dyDescent="0.2">
      <c r="B210" s="168" t="s">
        <v>1041</v>
      </c>
      <c r="C210" s="168"/>
      <c r="D210" s="114" t="s">
        <v>1079</v>
      </c>
    </row>
    <row r="211" spans="2:4" ht="12.75" customHeight="1" x14ac:dyDescent="0.2">
      <c r="B211" s="169" t="s">
        <v>1042</v>
      </c>
      <c r="C211" s="171"/>
      <c r="D211" s="170"/>
    </row>
  </sheetData>
  <mergeCells count="28">
    <mergeCell ref="B202:C202"/>
    <mergeCell ref="B183:C183"/>
    <mergeCell ref="B184:C184"/>
    <mergeCell ref="B194:C194"/>
    <mergeCell ref="B198:C198"/>
    <mergeCell ref="B199:C199"/>
    <mergeCell ref="B196:C196"/>
    <mergeCell ref="B197:C197"/>
    <mergeCell ref="B201:D201"/>
    <mergeCell ref="B182:C182"/>
    <mergeCell ref="A1:H1"/>
    <mergeCell ref="A2:H2"/>
    <mergeCell ref="A3:H3"/>
    <mergeCell ref="B175:H175"/>
    <mergeCell ref="B176:H176"/>
    <mergeCell ref="B177:H177"/>
    <mergeCell ref="B178:H178"/>
    <mergeCell ref="B179:H179"/>
    <mergeCell ref="B181:D181"/>
    <mergeCell ref="B208:C208"/>
    <mergeCell ref="B209:C209"/>
    <mergeCell ref="B210:C210"/>
    <mergeCell ref="B211:D211"/>
    <mergeCell ref="B203:C203"/>
    <mergeCell ref="B204:C204"/>
    <mergeCell ref="B205:C205"/>
    <mergeCell ref="B206:C206"/>
    <mergeCell ref="B207:C207"/>
  </mergeCells>
  <hyperlinks>
    <hyperlink ref="I1" location="Index!B19" display="Index" xr:uid="{0DBD7840-7565-490F-ACF1-B62F7891913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A1149-D12D-4EF4-8308-5E7224D03890}">
  <sheetPr>
    <outlinePr summaryBelow="0" summaryRight="0"/>
  </sheetPr>
  <dimension ref="A1:Q122"/>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7.7109375" bestFit="1" customWidth="1"/>
    <col min="5" max="5" width="8.7109375" bestFit="1" customWidth="1"/>
    <col min="6" max="6" width="10.140625" bestFit="1" customWidth="1"/>
    <col min="7" max="7" width="9.42578125" customWidth="1"/>
    <col min="8" max="8" width="8.4257812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754</v>
      </c>
      <c r="B2" s="158"/>
      <c r="C2" s="158"/>
      <c r="D2" s="158"/>
      <c r="E2" s="158"/>
      <c r="F2" s="158"/>
      <c r="G2" s="158"/>
      <c r="H2" s="158"/>
      <c r="J2" s="11" t="s">
        <v>942</v>
      </c>
    </row>
    <row r="3" spans="1:10" ht="15" x14ac:dyDescent="0.2">
      <c r="A3" s="158" t="s">
        <v>880</v>
      </c>
      <c r="B3" s="158"/>
      <c r="C3" s="158"/>
      <c r="D3" s="158"/>
      <c r="E3" s="158"/>
      <c r="F3" s="158"/>
      <c r="G3" s="158"/>
      <c r="H3" s="158"/>
      <c r="J3" s="7"/>
    </row>
    <row r="4" spans="1:10" s="1" customFormat="1" ht="30"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341</v>
      </c>
      <c r="C7" s="44" t="s">
        <v>342</v>
      </c>
      <c r="D7" s="44" t="s">
        <v>45</v>
      </c>
      <c r="E7" s="45">
        <v>550000</v>
      </c>
      <c r="F7" s="46">
        <v>8886.625</v>
      </c>
      <c r="G7" s="47">
        <v>7.8106700000000001E-2</v>
      </c>
      <c r="H7" s="40" t="s">
        <v>151</v>
      </c>
      <c r="J7" s="7"/>
    </row>
    <row r="8" spans="1:10" x14ac:dyDescent="0.2">
      <c r="A8" s="43">
        <v>2</v>
      </c>
      <c r="B8" s="44" t="s">
        <v>20</v>
      </c>
      <c r="C8" s="44" t="s">
        <v>21</v>
      </c>
      <c r="D8" s="44" t="s">
        <v>22</v>
      </c>
      <c r="E8" s="45">
        <v>278000</v>
      </c>
      <c r="F8" s="46">
        <v>8370.1630000000005</v>
      </c>
      <c r="G8" s="47">
        <v>7.3567389999999996E-2</v>
      </c>
      <c r="H8" s="40" t="s">
        <v>151</v>
      </c>
      <c r="J8" s="7"/>
    </row>
    <row r="9" spans="1:10" x14ac:dyDescent="0.2">
      <c r="A9" s="43">
        <v>3</v>
      </c>
      <c r="B9" s="44" t="s">
        <v>43</v>
      </c>
      <c r="C9" s="44" t="s">
        <v>44</v>
      </c>
      <c r="D9" s="44" t="s">
        <v>45</v>
      </c>
      <c r="E9" s="45">
        <v>562000</v>
      </c>
      <c r="F9" s="46">
        <v>6827.7380000000003</v>
      </c>
      <c r="G9" s="47">
        <v>6.0010639999999997E-2</v>
      </c>
      <c r="H9" s="40" t="s">
        <v>151</v>
      </c>
      <c r="J9" s="7"/>
    </row>
    <row r="10" spans="1:10" x14ac:dyDescent="0.2">
      <c r="A10" s="43">
        <v>4</v>
      </c>
      <c r="B10" s="44" t="s">
        <v>51</v>
      </c>
      <c r="C10" s="44" t="s">
        <v>52</v>
      </c>
      <c r="D10" s="44" t="s">
        <v>45</v>
      </c>
      <c r="E10" s="45">
        <v>671000</v>
      </c>
      <c r="F10" s="46">
        <v>5853.8040000000001</v>
      </c>
      <c r="G10" s="47">
        <v>5.1450500000000003E-2</v>
      </c>
      <c r="H10" s="40" t="s">
        <v>151</v>
      </c>
      <c r="J10" s="7"/>
    </row>
    <row r="11" spans="1:10" x14ac:dyDescent="0.2">
      <c r="A11" s="43">
        <v>5</v>
      </c>
      <c r="B11" s="44" t="s">
        <v>11</v>
      </c>
      <c r="C11" s="44" t="s">
        <v>12</v>
      </c>
      <c r="D11" s="44" t="s">
        <v>13</v>
      </c>
      <c r="E11" s="45">
        <v>152535</v>
      </c>
      <c r="F11" s="46">
        <v>5819.2102500000001</v>
      </c>
      <c r="G11" s="47">
        <v>5.1146450000000003E-2</v>
      </c>
      <c r="H11" s="40" t="s">
        <v>151</v>
      </c>
      <c r="J11" s="7"/>
    </row>
    <row r="12" spans="1:10" ht="15" x14ac:dyDescent="0.2">
      <c r="A12" s="43">
        <v>6</v>
      </c>
      <c r="B12" s="44" t="s">
        <v>17</v>
      </c>
      <c r="C12" s="44" t="s">
        <v>18</v>
      </c>
      <c r="D12" s="44" t="s">
        <v>19</v>
      </c>
      <c r="E12" s="45">
        <v>345000</v>
      </c>
      <c r="F12" s="46">
        <v>5145.8474999999999</v>
      </c>
      <c r="G12" s="47">
        <v>4.52281E-2</v>
      </c>
      <c r="H12" s="40" t="s">
        <v>151</v>
      </c>
      <c r="J12" s="12"/>
    </row>
    <row r="13" spans="1:10" x14ac:dyDescent="0.2">
      <c r="A13" s="43">
        <v>7</v>
      </c>
      <c r="B13" s="44" t="s">
        <v>345</v>
      </c>
      <c r="C13" s="44" t="s">
        <v>346</v>
      </c>
      <c r="D13" s="44" t="s">
        <v>202</v>
      </c>
      <c r="E13" s="45">
        <v>2198000</v>
      </c>
      <c r="F13" s="46">
        <v>5043.3109999999997</v>
      </c>
      <c r="G13" s="47">
        <v>4.4326879999999999E-2</v>
      </c>
      <c r="H13" s="40" t="s">
        <v>151</v>
      </c>
      <c r="J13" s="7"/>
    </row>
    <row r="14" spans="1:10" x14ac:dyDescent="0.2">
      <c r="A14" s="43">
        <v>8</v>
      </c>
      <c r="B14" s="44" t="s">
        <v>28</v>
      </c>
      <c r="C14" s="44" t="s">
        <v>29</v>
      </c>
      <c r="D14" s="44" t="s">
        <v>30</v>
      </c>
      <c r="E14" s="45">
        <v>1460000</v>
      </c>
      <c r="F14" s="46">
        <v>4614.33</v>
      </c>
      <c r="G14" s="47">
        <v>4.0556460000000003E-2</v>
      </c>
      <c r="H14" s="40" t="s">
        <v>151</v>
      </c>
      <c r="J14" s="7"/>
    </row>
    <row r="15" spans="1:10" x14ac:dyDescent="0.2">
      <c r="A15" s="43">
        <v>9</v>
      </c>
      <c r="B15" s="44" t="s">
        <v>343</v>
      </c>
      <c r="C15" s="44" t="s">
        <v>344</v>
      </c>
      <c r="D15" s="44" t="s">
        <v>219</v>
      </c>
      <c r="E15" s="45">
        <v>235000</v>
      </c>
      <c r="F15" s="46">
        <v>4390.3874999999998</v>
      </c>
      <c r="G15" s="47">
        <v>3.858818E-2</v>
      </c>
      <c r="H15" s="40" t="s">
        <v>151</v>
      </c>
      <c r="J15" s="7" t="s">
        <v>1063</v>
      </c>
    </row>
    <row r="16" spans="1:10" x14ac:dyDescent="0.2">
      <c r="A16" s="43">
        <v>10</v>
      </c>
      <c r="B16" s="44" t="s">
        <v>386</v>
      </c>
      <c r="C16" s="44" t="s">
        <v>387</v>
      </c>
      <c r="D16" s="44" t="s">
        <v>202</v>
      </c>
      <c r="E16" s="45">
        <v>84000</v>
      </c>
      <c r="F16" s="46">
        <v>4146.1980000000003</v>
      </c>
      <c r="G16" s="47">
        <v>3.6441939999999999E-2</v>
      </c>
      <c r="H16" s="40" t="s">
        <v>151</v>
      </c>
      <c r="J16" s="7"/>
    </row>
    <row r="17" spans="1:10" ht="25.5" x14ac:dyDescent="0.2">
      <c r="A17" s="43">
        <v>11</v>
      </c>
      <c r="B17" s="44" t="s">
        <v>558</v>
      </c>
      <c r="C17" s="44" t="s">
        <v>559</v>
      </c>
      <c r="D17" s="44" t="s">
        <v>25</v>
      </c>
      <c r="E17" s="45">
        <v>147000</v>
      </c>
      <c r="F17" s="46">
        <v>4081.8225000000002</v>
      </c>
      <c r="G17" s="47">
        <v>3.5876129999999999E-2</v>
      </c>
      <c r="H17" s="40" t="s">
        <v>151</v>
      </c>
      <c r="J17" s="7"/>
    </row>
    <row r="18" spans="1:10" x14ac:dyDescent="0.2">
      <c r="A18" s="43">
        <v>12</v>
      </c>
      <c r="B18" s="44" t="s">
        <v>564</v>
      </c>
      <c r="C18" s="44" t="s">
        <v>565</v>
      </c>
      <c r="D18" s="44" t="s">
        <v>219</v>
      </c>
      <c r="E18" s="45">
        <v>240000</v>
      </c>
      <c r="F18" s="46">
        <v>3730.56</v>
      </c>
      <c r="G18" s="47">
        <v>3.27888E-2</v>
      </c>
      <c r="H18" s="40" t="s">
        <v>151</v>
      </c>
      <c r="J18" s="7"/>
    </row>
    <row r="19" spans="1:10" x14ac:dyDescent="0.2">
      <c r="A19" s="43">
        <v>13</v>
      </c>
      <c r="B19" s="44" t="s">
        <v>395</v>
      </c>
      <c r="C19" s="44" t="s">
        <v>396</v>
      </c>
      <c r="D19" s="44" t="s">
        <v>45</v>
      </c>
      <c r="E19" s="45">
        <v>3130000</v>
      </c>
      <c r="F19" s="46">
        <v>3590.4229999999998</v>
      </c>
      <c r="G19" s="47">
        <v>3.1557099999999998E-2</v>
      </c>
      <c r="H19" s="40" t="s">
        <v>151</v>
      </c>
      <c r="J19" s="7"/>
    </row>
    <row r="20" spans="1:10" ht="25.5" x14ac:dyDescent="0.2">
      <c r="A20" s="43">
        <v>14</v>
      </c>
      <c r="B20" s="44" t="s">
        <v>353</v>
      </c>
      <c r="C20" s="44" t="s">
        <v>354</v>
      </c>
      <c r="D20" s="44" t="s">
        <v>210</v>
      </c>
      <c r="E20" s="45">
        <v>195000</v>
      </c>
      <c r="F20" s="46">
        <v>3352.7325000000001</v>
      </c>
      <c r="G20" s="47">
        <v>2.9467980000000001E-2</v>
      </c>
      <c r="H20" s="40" t="s">
        <v>151</v>
      </c>
      <c r="J20" s="7"/>
    </row>
    <row r="21" spans="1:10" ht="25.5" x14ac:dyDescent="0.2">
      <c r="A21" s="43">
        <v>15</v>
      </c>
      <c r="B21" s="44" t="s">
        <v>372</v>
      </c>
      <c r="C21" s="44" t="s">
        <v>373</v>
      </c>
      <c r="D21" s="44" t="s">
        <v>210</v>
      </c>
      <c r="E21" s="45">
        <v>233000</v>
      </c>
      <c r="F21" s="46">
        <v>3341.5695000000001</v>
      </c>
      <c r="G21" s="47">
        <v>2.9369860000000001E-2</v>
      </c>
      <c r="H21" s="40" t="s">
        <v>151</v>
      </c>
      <c r="J21" s="7"/>
    </row>
    <row r="22" spans="1:10" ht="15" x14ac:dyDescent="0.2">
      <c r="A22" s="43">
        <v>16</v>
      </c>
      <c r="B22" s="44" t="s">
        <v>254</v>
      </c>
      <c r="C22" s="44" t="s">
        <v>255</v>
      </c>
      <c r="D22" s="44" t="s">
        <v>202</v>
      </c>
      <c r="E22" s="45">
        <v>46000</v>
      </c>
      <c r="F22" s="46">
        <v>3232.5349999999999</v>
      </c>
      <c r="G22" s="47">
        <v>2.8411530000000001E-2</v>
      </c>
      <c r="H22" s="40" t="s">
        <v>151</v>
      </c>
      <c r="J22" s="12"/>
    </row>
    <row r="23" spans="1:10" x14ac:dyDescent="0.2">
      <c r="A23" s="43">
        <v>17</v>
      </c>
      <c r="B23" s="44" t="s">
        <v>124</v>
      </c>
      <c r="C23" s="44" t="s">
        <v>125</v>
      </c>
      <c r="D23" s="44" t="s">
        <v>50</v>
      </c>
      <c r="E23" s="45">
        <v>538000</v>
      </c>
      <c r="F23" s="46">
        <v>3198.9479999999999</v>
      </c>
      <c r="G23" s="47">
        <v>2.8116329999999998E-2</v>
      </c>
      <c r="H23" s="40" t="s">
        <v>151</v>
      </c>
      <c r="J23" s="7"/>
    </row>
    <row r="24" spans="1:10" ht="25.5" x14ac:dyDescent="0.2">
      <c r="A24" s="43">
        <v>18</v>
      </c>
      <c r="B24" s="44" t="s">
        <v>273</v>
      </c>
      <c r="C24" s="44" t="s">
        <v>274</v>
      </c>
      <c r="D24" s="44" t="s">
        <v>86</v>
      </c>
      <c r="E24" s="45">
        <v>225000</v>
      </c>
      <c r="F24" s="46">
        <v>3187.35</v>
      </c>
      <c r="G24" s="47">
        <v>2.801439E-2</v>
      </c>
      <c r="H24" s="40" t="s">
        <v>151</v>
      </c>
      <c r="J24" s="7"/>
    </row>
    <row r="25" spans="1:10" x14ac:dyDescent="0.2">
      <c r="A25" s="43">
        <v>19</v>
      </c>
      <c r="B25" s="44" t="s">
        <v>130</v>
      </c>
      <c r="C25" s="44" t="s">
        <v>131</v>
      </c>
      <c r="D25" s="44" t="s">
        <v>50</v>
      </c>
      <c r="E25" s="45">
        <v>39000</v>
      </c>
      <c r="F25" s="46">
        <v>3079.7714999999998</v>
      </c>
      <c r="G25" s="47">
        <v>2.706886E-2</v>
      </c>
      <c r="H25" s="40" t="s">
        <v>151</v>
      </c>
      <c r="J25" s="7"/>
    </row>
    <row r="26" spans="1:10" x14ac:dyDescent="0.2">
      <c r="A26" s="43">
        <v>20</v>
      </c>
      <c r="B26" s="44" t="s">
        <v>48</v>
      </c>
      <c r="C26" s="44" t="s">
        <v>49</v>
      </c>
      <c r="D26" s="44" t="s">
        <v>50</v>
      </c>
      <c r="E26" s="45">
        <v>663000</v>
      </c>
      <c r="F26" s="46">
        <v>2754.1019999999999</v>
      </c>
      <c r="G26" s="47">
        <v>2.4206470000000001E-2</v>
      </c>
      <c r="H26" s="40" t="s">
        <v>151</v>
      </c>
      <c r="J26" s="7"/>
    </row>
    <row r="27" spans="1:10" ht="25.5" x14ac:dyDescent="0.2">
      <c r="A27" s="43">
        <v>21</v>
      </c>
      <c r="B27" s="44" t="s">
        <v>101</v>
      </c>
      <c r="C27" s="44" t="s">
        <v>102</v>
      </c>
      <c r="D27" s="44" t="s">
        <v>76</v>
      </c>
      <c r="E27" s="45">
        <v>60000</v>
      </c>
      <c r="F27" s="46">
        <v>2683.32</v>
      </c>
      <c r="G27" s="47">
        <v>2.358435E-2</v>
      </c>
      <c r="H27" s="40" t="s">
        <v>151</v>
      </c>
      <c r="J27" s="7" t="s">
        <v>1064</v>
      </c>
    </row>
    <row r="28" spans="1:10" x14ac:dyDescent="0.2">
      <c r="A28" s="43">
        <v>22</v>
      </c>
      <c r="B28" s="44" t="s">
        <v>53</v>
      </c>
      <c r="C28" s="44" t="s">
        <v>54</v>
      </c>
      <c r="D28" s="44" t="s">
        <v>19</v>
      </c>
      <c r="E28" s="45">
        <v>228500</v>
      </c>
      <c r="F28" s="46">
        <v>2598.9589999999998</v>
      </c>
      <c r="G28" s="47">
        <v>2.2842879999999999E-2</v>
      </c>
      <c r="H28" s="40" t="s">
        <v>151</v>
      </c>
      <c r="J28" s="7"/>
    </row>
    <row r="29" spans="1:10" ht="25.5" x14ac:dyDescent="0.2">
      <c r="A29" s="43">
        <v>23</v>
      </c>
      <c r="B29" s="44" t="s">
        <v>362</v>
      </c>
      <c r="C29" s="44" t="s">
        <v>363</v>
      </c>
      <c r="D29" s="44" t="s">
        <v>210</v>
      </c>
      <c r="E29" s="45">
        <v>38500</v>
      </c>
      <c r="F29" s="46">
        <v>2598.9425000000001</v>
      </c>
      <c r="G29" s="47">
        <v>2.284274E-2</v>
      </c>
      <c r="H29" s="40" t="s">
        <v>151</v>
      </c>
      <c r="J29" s="7"/>
    </row>
    <row r="30" spans="1:10" x14ac:dyDescent="0.2">
      <c r="A30" s="43">
        <v>24</v>
      </c>
      <c r="B30" s="44" t="s">
        <v>545</v>
      </c>
      <c r="C30" s="44" t="s">
        <v>546</v>
      </c>
      <c r="D30" s="44" t="s">
        <v>229</v>
      </c>
      <c r="E30" s="45">
        <v>43000</v>
      </c>
      <c r="F30" s="46">
        <v>2414.0844999999999</v>
      </c>
      <c r="G30" s="47">
        <v>2.1217969999999999E-2</v>
      </c>
      <c r="H30" s="40" t="s">
        <v>151</v>
      </c>
      <c r="J30" s="7"/>
    </row>
    <row r="31" spans="1:10" x14ac:dyDescent="0.2">
      <c r="A31" s="43">
        <v>25</v>
      </c>
      <c r="B31" s="44" t="s">
        <v>266</v>
      </c>
      <c r="C31" s="44" t="s">
        <v>267</v>
      </c>
      <c r="D31" s="44" t="s">
        <v>268</v>
      </c>
      <c r="E31" s="45">
        <v>108000</v>
      </c>
      <c r="F31" s="46">
        <v>2176.1999999999998</v>
      </c>
      <c r="G31" s="47">
        <v>1.9127149999999999E-2</v>
      </c>
      <c r="H31" s="40" t="s">
        <v>151</v>
      </c>
      <c r="J31" s="7"/>
    </row>
    <row r="32" spans="1:10" x14ac:dyDescent="0.2">
      <c r="A32" s="43">
        <v>26</v>
      </c>
      <c r="B32" s="44" t="s">
        <v>685</v>
      </c>
      <c r="C32" s="44" t="s">
        <v>686</v>
      </c>
      <c r="D32" s="44" t="s">
        <v>86</v>
      </c>
      <c r="E32" s="45">
        <v>28828</v>
      </c>
      <c r="F32" s="46">
        <v>1962.307546</v>
      </c>
      <c r="G32" s="47">
        <v>1.7247200000000001E-2</v>
      </c>
      <c r="H32" s="40" t="s">
        <v>151</v>
      </c>
      <c r="J32" s="7"/>
    </row>
    <row r="33" spans="1:10" x14ac:dyDescent="0.2">
      <c r="A33" s="43">
        <v>27</v>
      </c>
      <c r="B33" s="44" t="s">
        <v>116</v>
      </c>
      <c r="C33" s="44" t="s">
        <v>117</v>
      </c>
      <c r="D33" s="44" t="s">
        <v>30</v>
      </c>
      <c r="E33" s="45">
        <v>33434</v>
      </c>
      <c r="F33" s="46">
        <v>1645.905669</v>
      </c>
      <c r="G33" s="47">
        <v>1.446626E-2</v>
      </c>
      <c r="H33" s="40" t="s">
        <v>151</v>
      </c>
      <c r="J33" s="7"/>
    </row>
    <row r="34" spans="1:10" x14ac:dyDescent="0.2">
      <c r="A34" s="43">
        <v>28</v>
      </c>
      <c r="B34" s="44" t="s">
        <v>305</v>
      </c>
      <c r="C34" s="44" t="s">
        <v>306</v>
      </c>
      <c r="D34" s="44" t="s">
        <v>89</v>
      </c>
      <c r="E34" s="45">
        <v>203225</v>
      </c>
      <c r="F34" s="46">
        <v>1380.4058124999999</v>
      </c>
      <c r="G34" s="47">
        <v>1.213272E-2</v>
      </c>
      <c r="H34" s="40" t="s">
        <v>151</v>
      </c>
      <c r="J34" s="7"/>
    </row>
    <row r="35" spans="1:10" ht="25.5" x14ac:dyDescent="0.2">
      <c r="A35" s="43">
        <v>29</v>
      </c>
      <c r="B35" s="44" t="s">
        <v>79</v>
      </c>
      <c r="C35" s="44" t="s">
        <v>80</v>
      </c>
      <c r="D35" s="44" t="s">
        <v>81</v>
      </c>
      <c r="E35" s="45">
        <v>85000</v>
      </c>
      <c r="F35" s="46">
        <v>1334.415</v>
      </c>
      <c r="G35" s="47">
        <v>1.1728499999999999E-2</v>
      </c>
      <c r="H35" s="40" t="s">
        <v>151</v>
      </c>
      <c r="J35" s="7"/>
    </row>
    <row r="36" spans="1:10" x14ac:dyDescent="0.2">
      <c r="A36" s="41"/>
      <c r="B36" s="41"/>
      <c r="C36" s="42" t="s">
        <v>150</v>
      </c>
      <c r="D36" s="41"/>
      <c r="E36" s="41" t="s">
        <v>151</v>
      </c>
      <c r="F36" s="48">
        <v>111441.9682775</v>
      </c>
      <c r="G36" s="49">
        <v>0.97949045999999995</v>
      </c>
      <c r="H36" s="40" t="s">
        <v>151</v>
      </c>
      <c r="J36" s="7"/>
    </row>
    <row r="37" spans="1:10" x14ac:dyDescent="0.2">
      <c r="A37" s="41"/>
      <c r="B37" s="41"/>
      <c r="C37" s="50"/>
      <c r="D37" s="41"/>
      <c r="E37" s="41"/>
      <c r="F37" s="51"/>
      <c r="G37" s="51"/>
      <c r="H37" s="40" t="s">
        <v>151</v>
      </c>
      <c r="J37" s="7"/>
    </row>
    <row r="38" spans="1:10" x14ac:dyDescent="0.2">
      <c r="A38" s="41"/>
      <c r="B38" s="41"/>
      <c r="C38" s="42" t="s">
        <v>152</v>
      </c>
      <c r="D38" s="41"/>
      <c r="E38" s="41"/>
      <c r="F38" s="41"/>
      <c r="G38" s="41"/>
      <c r="H38" s="40" t="s">
        <v>151</v>
      </c>
      <c r="J38" s="7"/>
    </row>
    <row r="39" spans="1:10" x14ac:dyDescent="0.2">
      <c r="A39" s="41"/>
      <c r="B39" s="41"/>
      <c r="C39" s="42" t="s">
        <v>150</v>
      </c>
      <c r="D39" s="41"/>
      <c r="E39" s="41" t="s">
        <v>151</v>
      </c>
      <c r="F39" s="52" t="s">
        <v>153</v>
      </c>
      <c r="G39" s="49">
        <v>0</v>
      </c>
      <c r="H39" s="40" t="s">
        <v>151</v>
      </c>
      <c r="J39" s="7"/>
    </row>
    <row r="40" spans="1:10" x14ac:dyDescent="0.2">
      <c r="A40" s="41"/>
      <c r="B40" s="41"/>
      <c r="C40" s="50"/>
      <c r="D40" s="41"/>
      <c r="E40" s="41"/>
      <c r="F40" s="51"/>
      <c r="G40" s="51"/>
      <c r="H40" s="40" t="s">
        <v>151</v>
      </c>
      <c r="J40" s="7"/>
    </row>
    <row r="41" spans="1:10" x14ac:dyDescent="0.2">
      <c r="A41" s="41"/>
      <c r="B41" s="41"/>
      <c r="C41" s="42" t="s">
        <v>154</v>
      </c>
      <c r="D41" s="41"/>
      <c r="E41" s="41"/>
      <c r="F41" s="41"/>
      <c r="G41" s="41"/>
      <c r="H41" s="40" t="s">
        <v>151</v>
      </c>
      <c r="J41" s="7"/>
    </row>
    <row r="42" spans="1:10" x14ac:dyDescent="0.2">
      <c r="A42" s="41"/>
      <c r="B42" s="41"/>
      <c r="C42" s="42" t="s">
        <v>150</v>
      </c>
      <c r="D42" s="41"/>
      <c r="E42" s="41" t="s">
        <v>151</v>
      </c>
      <c r="F42" s="52" t="s">
        <v>153</v>
      </c>
      <c r="G42" s="49">
        <v>0</v>
      </c>
      <c r="H42" s="40" t="s">
        <v>151</v>
      </c>
      <c r="J42" s="7"/>
    </row>
    <row r="43" spans="1:10" x14ac:dyDescent="0.2">
      <c r="A43" s="41"/>
      <c r="B43" s="41"/>
      <c r="C43" s="50"/>
      <c r="D43" s="41"/>
      <c r="E43" s="41"/>
      <c r="F43" s="51"/>
      <c r="G43" s="51"/>
      <c r="H43" s="40" t="s">
        <v>151</v>
      </c>
      <c r="J43" s="7"/>
    </row>
    <row r="44" spans="1:10" x14ac:dyDescent="0.2">
      <c r="A44" s="41"/>
      <c r="B44" s="41"/>
      <c r="C44" s="42" t="s">
        <v>155</v>
      </c>
      <c r="D44" s="41"/>
      <c r="E44" s="41"/>
      <c r="F44" s="41"/>
      <c r="G44" s="41"/>
      <c r="H44" s="40" t="s">
        <v>151</v>
      </c>
      <c r="J44" s="7"/>
    </row>
    <row r="45" spans="1:10" x14ac:dyDescent="0.2">
      <c r="A45" s="41"/>
      <c r="B45" s="41"/>
      <c r="C45" s="42" t="s">
        <v>150</v>
      </c>
      <c r="D45" s="41"/>
      <c r="E45" s="41" t="s">
        <v>151</v>
      </c>
      <c r="F45" s="52" t="s">
        <v>153</v>
      </c>
      <c r="G45" s="49">
        <v>0</v>
      </c>
      <c r="H45" s="40" t="s">
        <v>151</v>
      </c>
      <c r="J45" s="7"/>
    </row>
    <row r="46" spans="1:10" x14ac:dyDescent="0.2">
      <c r="A46" s="41"/>
      <c r="B46" s="41"/>
      <c r="C46" s="50"/>
      <c r="D46" s="41"/>
      <c r="E46" s="41"/>
      <c r="F46" s="51"/>
      <c r="G46" s="51"/>
      <c r="H46" s="40" t="s">
        <v>151</v>
      </c>
      <c r="J46" s="7"/>
    </row>
    <row r="47" spans="1:10" x14ac:dyDescent="0.2">
      <c r="A47" s="41"/>
      <c r="B47" s="41"/>
      <c r="C47" s="42" t="s">
        <v>156</v>
      </c>
      <c r="D47" s="41"/>
      <c r="E47" s="41"/>
      <c r="F47" s="51"/>
      <c r="G47" s="51"/>
      <c r="H47" s="40" t="s">
        <v>151</v>
      </c>
      <c r="J47" s="7"/>
    </row>
    <row r="48" spans="1:10" x14ac:dyDescent="0.2">
      <c r="A48" s="41"/>
      <c r="B48" s="41"/>
      <c r="C48" s="42" t="s">
        <v>150</v>
      </c>
      <c r="D48" s="41"/>
      <c r="E48" s="41" t="s">
        <v>151</v>
      </c>
      <c r="F48" s="52" t="s">
        <v>153</v>
      </c>
      <c r="G48" s="49">
        <v>0</v>
      </c>
      <c r="H48" s="40" t="s">
        <v>151</v>
      </c>
      <c r="J48" s="7"/>
    </row>
    <row r="49" spans="1:10" x14ac:dyDescent="0.2">
      <c r="A49" s="41"/>
      <c r="B49" s="41"/>
      <c r="C49" s="50"/>
      <c r="D49" s="41"/>
      <c r="E49" s="41"/>
      <c r="F49" s="51"/>
      <c r="G49" s="51"/>
      <c r="H49" s="40" t="s">
        <v>151</v>
      </c>
      <c r="J49" s="7"/>
    </row>
    <row r="50" spans="1:10" x14ac:dyDescent="0.2">
      <c r="A50" s="41"/>
      <c r="B50" s="41"/>
      <c r="C50" s="42" t="s">
        <v>157</v>
      </c>
      <c r="D50" s="41"/>
      <c r="E50" s="41"/>
      <c r="F50" s="51"/>
      <c r="G50" s="51"/>
      <c r="H50" s="40" t="s">
        <v>151</v>
      </c>
      <c r="J50" s="7"/>
    </row>
    <row r="51" spans="1:10" x14ac:dyDescent="0.2">
      <c r="A51" s="41"/>
      <c r="B51" s="41"/>
      <c r="C51" s="42" t="s">
        <v>150</v>
      </c>
      <c r="D51" s="41"/>
      <c r="E51" s="41" t="s">
        <v>151</v>
      </c>
      <c r="F51" s="52" t="s">
        <v>153</v>
      </c>
      <c r="G51" s="49">
        <v>0</v>
      </c>
      <c r="H51" s="40" t="s">
        <v>151</v>
      </c>
      <c r="J51" s="7"/>
    </row>
    <row r="52" spans="1:10" x14ac:dyDescent="0.2">
      <c r="A52" s="41"/>
      <c r="B52" s="41"/>
      <c r="C52" s="50"/>
      <c r="D52" s="41"/>
      <c r="E52" s="41"/>
      <c r="F52" s="51"/>
      <c r="G52" s="51"/>
      <c r="H52" s="40" t="s">
        <v>151</v>
      </c>
      <c r="J52" s="7"/>
    </row>
    <row r="53" spans="1:10" x14ac:dyDescent="0.2">
      <c r="A53" s="41"/>
      <c r="B53" s="41"/>
      <c r="C53" s="42" t="s">
        <v>158</v>
      </c>
      <c r="D53" s="41"/>
      <c r="E53" s="41"/>
      <c r="F53" s="48">
        <v>111441.9682775</v>
      </c>
      <c r="G53" s="49">
        <v>0.97949045999999995</v>
      </c>
      <c r="H53" s="40" t="s">
        <v>151</v>
      </c>
      <c r="J53" s="7"/>
    </row>
    <row r="54" spans="1:10" x14ac:dyDescent="0.2">
      <c r="A54" s="41"/>
      <c r="B54" s="41"/>
      <c r="C54" s="50"/>
      <c r="D54" s="41"/>
      <c r="E54" s="41"/>
      <c r="F54" s="51"/>
      <c r="G54" s="51"/>
      <c r="H54" s="40" t="s">
        <v>151</v>
      </c>
      <c r="J54" s="7"/>
    </row>
    <row r="55" spans="1:10" x14ac:dyDescent="0.2">
      <c r="A55" s="41"/>
      <c r="B55" s="41"/>
      <c r="C55" s="42" t="s">
        <v>159</v>
      </c>
      <c r="D55" s="41"/>
      <c r="E55" s="41"/>
      <c r="F55" s="51"/>
      <c r="G55" s="51"/>
      <c r="H55" s="40" t="s">
        <v>151</v>
      </c>
      <c r="J55" s="7"/>
    </row>
    <row r="56" spans="1:10" x14ac:dyDescent="0.2">
      <c r="A56" s="41"/>
      <c r="B56" s="41"/>
      <c r="C56" s="42" t="s">
        <v>10</v>
      </c>
      <c r="D56" s="41"/>
      <c r="E56" s="41"/>
      <c r="F56" s="51"/>
      <c r="G56" s="51"/>
      <c r="H56" s="40" t="s">
        <v>151</v>
      </c>
      <c r="J56" s="7"/>
    </row>
    <row r="57" spans="1:10" x14ac:dyDescent="0.2">
      <c r="A57" s="41"/>
      <c r="B57" s="41"/>
      <c r="C57" s="42" t="s">
        <v>150</v>
      </c>
      <c r="D57" s="41"/>
      <c r="E57" s="41" t="s">
        <v>151</v>
      </c>
      <c r="F57" s="52" t="s">
        <v>153</v>
      </c>
      <c r="G57" s="49">
        <v>0</v>
      </c>
      <c r="H57" s="40" t="s">
        <v>151</v>
      </c>
      <c r="J57" s="7"/>
    </row>
    <row r="58" spans="1:10" x14ac:dyDescent="0.2">
      <c r="A58" s="41"/>
      <c r="B58" s="41"/>
      <c r="C58" s="50"/>
      <c r="D58" s="41"/>
      <c r="E58" s="41"/>
      <c r="F58" s="51"/>
      <c r="G58" s="51"/>
      <c r="H58" s="40" t="s">
        <v>151</v>
      </c>
      <c r="J58" s="7"/>
    </row>
    <row r="59" spans="1:10" x14ac:dyDescent="0.2">
      <c r="A59" s="41"/>
      <c r="B59" s="41"/>
      <c r="C59" s="42" t="s">
        <v>160</v>
      </c>
      <c r="D59" s="41"/>
      <c r="E59" s="41"/>
      <c r="F59" s="41"/>
      <c r="G59" s="41"/>
      <c r="H59" s="40" t="s">
        <v>151</v>
      </c>
      <c r="J59" s="7"/>
    </row>
    <row r="60" spans="1:10" x14ac:dyDescent="0.2">
      <c r="A60" s="41"/>
      <c r="B60" s="41"/>
      <c r="C60" s="42" t="s">
        <v>150</v>
      </c>
      <c r="D60" s="41"/>
      <c r="E60" s="41" t="s">
        <v>151</v>
      </c>
      <c r="F60" s="52" t="s">
        <v>153</v>
      </c>
      <c r="G60" s="49">
        <v>0</v>
      </c>
      <c r="H60" s="40" t="s">
        <v>151</v>
      </c>
      <c r="J60" s="7"/>
    </row>
    <row r="61" spans="1:10" x14ac:dyDescent="0.2">
      <c r="A61" s="41"/>
      <c r="B61" s="41"/>
      <c r="C61" s="50"/>
      <c r="D61" s="41"/>
      <c r="E61" s="41"/>
      <c r="F61" s="51"/>
      <c r="G61" s="51"/>
      <c r="H61" s="40" t="s">
        <v>151</v>
      </c>
      <c r="J61" s="7"/>
    </row>
    <row r="62" spans="1:10" x14ac:dyDescent="0.2">
      <c r="A62" s="41"/>
      <c r="B62" s="41"/>
      <c r="C62" s="42" t="s">
        <v>161</v>
      </c>
      <c r="D62" s="41"/>
      <c r="E62" s="41"/>
      <c r="F62" s="41"/>
      <c r="G62" s="41"/>
      <c r="H62" s="40" t="s">
        <v>151</v>
      </c>
      <c r="J62" s="7"/>
    </row>
    <row r="63" spans="1:10" x14ac:dyDescent="0.2">
      <c r="A63" s="41"/>
      <c r="B63" s="41"/>
      <c r="C63" s="42" t="s">
        <v>150</v>
      </c>
      <c r="D63" s="41"/>
      <c r="E63" s="41" t="s">
        <v>151</v>
      </c>
      <c r="F63" s="52" t="s">
        <v>153</v>
      </c>
      <c r="G63" s="49">
        <v>0</v>
      </c>
      <c r="H63" s="40" t="s">
        <v>151</v>
      </c>
      <c r="J63" s="7"/>
    </row>
    <row r="64" spans="1:10" x14ac:dyDescent="0.2">
      <c r="A64" s="41"/>
      <c r="B64" s="41"/>
      <c r="C64" s="50"/>
      <c r="D64" s="41"/>
      <c r="E64" s="41"/>
      <c r="F64" s="51"/>
      <c r="G64" s="51"/>
      <c r="H64" s="40" t="s">
        <v>151</v>
      </c>
      <c r="J64" s="7"/>
    </row>
    <row r="65" spans="1:10" x14ac:dyDescent="0.2">
      <c r="A65" s="41"/>
      <c r="B65" s="41"/>
      <c r="C65" s="42" t="s">
        <v>162</v>
      </c>
      <c r="D65" s="41"/>
      <c r="E65" s="41"/>
      <c r="F65" s="51"/>
      <c r="G65" s="51"/>
      <c r="H65" s="40" t="s">
        <v>151</v>
      </c>
      <c r="J65" s="7"/>
    </row>
    <row r="66" spans="1:10" x14ac:dyDescent="0.2">
      <c r="A66" s="41"/>
      <c r="B66" s="41"/>
      <c r="C66" s="42" t="s">
        <v>150</v>
      </c>
      <c r="D66" s="41"/>
      <c r="E66" s="41" t="s">
        <v>151</v>
      </c>
      <c r="F66" s="52" t="s">
        <v>153</v>
      </c>
      <c r="G66" s="49">
        <v>0</v>
      </c>
      <c r="H66" s="40" t="s">
        <v>151</v>
      </c>
      <c r="J66" s="7"/>
    </row>
    <row r="67" spans="1:10" x14ac:dyDescent="0.2">
      <c r="A67" s="41"/>
      <c r="B67" s="41"/>
      <c r="C67" s="50"/>
      <c r="D67" s="41"/>
      <c r="E67" s="41"/>
      <c r="F67" s="51"/>
      <c r="G67" s="51"/>
      <c r="H67" s="40" t="s">
        <v>151</v>
      </c>
      <c r="J67" s="7"/>
    </row>
    <row r="68" spans="1:10" x14ac:dyDescent="0.2">
      <c r="A68" s="41"/>
      <c r="B68" s="41"/>
      <c r="C68" s="42" t="s">
        <v>163</v>
      </c>
      <c r="D68" s="41"/>
      <c r="E68" s="41"/>
      <c r="F68" s="48">
        <v>0</v>
      </c>
      <c r="G68" s="49">
        <v>0</v>
      </c>
      <c r="H68" s="40" t="s">
        <v>151</v>
      </c>
      <c r="J68" s="7"/>
    </row>
    <row r="69" spans="1:10" x14ac:dyDescent="0.2">
      <c r="A69" s="41"/>
      <c r="B69" s="41"/>
      <c r="C69" s="50"/>
      <c r="D69" s="41"/>
      <c r="E69" s="41"/>
      <c r="F69" s="51"/>
      <c r="G69" s="51"/>
      <c r="H69" s="40" t="s">
        <v>151</v>
      </c>
      <c r="J69" s="7"/>
    </row>
    <row r="70" spans="1:10" x14ac:dyDescent="0.2">
      <c r="A70" s="41"/>
      <c r="B70" s="41"/>
      <c r="C70" s="42" t="s">
        <v>164</v>
      </c>
      <c r="D70" s="41"/>
      <c r="E70" s="41"/>
      <c r="F70" s="51"/>
      <c r="G70" s="51"/>
      <c r="H70" s="40" t="s">
        <v>151</v>
      </c>
      <c r="J70" s="7"/>
    </row>
    <row r="71" spans="1:10" x14ac:dyDescent="0.2">
      <c r="A71" s="41"/>
      <c r="B71" s="41"/>
      <c r="C71" s="42" t="s">
        <v>165</v>
      </c>
      <c r="D71" s="41"/>
      <c r="E71" s="41"/>
      <c r="F71" s="51"/>
      <c r="G71" s="51"/>
      <c r="H71" s="40" t="s">
        <v>151</v>
      </c>
      <c r="J71" s="7"/>
    </row>
    <row r="72" spans="1:10" x14ac:dyDescent="0.2">
      <c r="A72" s="41"/>
      <c r="B72" s="41"/>
      <c r="C72" s="42" t="s">
        <v>150</v>
      </c>
      <c r="D72" s="41"/>
      <c r="E72" s="41" t="s">
        <v>151</v>
      </c>
      <c r="F72" s="52" t="s">
        <v>153</v>
      </c>
      <c r="G72" s="49">
        <v>0</v>
      </c>
      <c r="H72" s="40" t="s">
        <v>151</v>
      </c>
      <c r="J72" s="7"/>
    </row>
    <row r="73" spans="1:10" x14ac:dyDescent="0.2">
      <c r="A73" s="41"/>
      <c r="B73" s="41"/>
      <c r="C73" s="50"/>
      <c r="D73" s="41"/>
      <c r="E73" s="41"/>
      <c r="F73" s="51"/>
      <c r="G73" s="51"/>
      <c r="H73" s="40" t="s">
        <v>151</v>
      </c>
      <c r="J73" s="7"/>
    </row>
    <row r="74" spans="1:10" x14ac:dyDescent="0.2">
      <c r="A74" s="41"/>
      <c r="B74" s="41"/>
      <c r="C74" s="42" t="s">
        <v>166</v>
      </c>
      <c r="D74" s="41"/>
      <c r="E74" s="41"/>
      <c r="F74" s="51"/>
      <c r="G74" s="51"/>
      <c r="H74" s="40" t="s">
        <v>151</v>
      </c>
      <c r="J74" s="7"/>
    </row>
    <row r="75" spans="1:10" x14ac:dyDescent="0.2">
      <c r="A75" s="41"/>
      <c r="B75" s="41"/>
      <c r="C75" s="42" t="s">
        <v>150</v>
      </c>
      <c r="D75" s="41"/>
      <c r="E75" s="41" t="s">
        <v>151</v>
      </c>
      <c r="F75" s="52" t="s">
        <v>153</v>
      </c>
      <c r="G75" s="49">
        <v>0</v>
      </c>
      <c r="H75" s="40" t="s">
        <v>151</v>
      </c>
      <c r="J75" s="7"/>
    </row>
    <row r="76" spans="1:10" x14ac:dyDescent="0.2">
      <c r="A76" s="41"/>
      <c r="B76" s="41"/>
      <c r="C76" s="50"/>
      <c r="D76" s="41"/>
      <c r="E76" s="41"/>
      <c r="F76" s="51"/>
      <c r="G76" s="51"/>
      <c r="H76" s="40" t="s">
        <v>151</v>
      </c>
      <c r="J76" s="7"/>
    </row>
    <row r="77" spans="1:10" x14ac:dyDescent="0.2">
      <c r="A77" s="41"/>
      <c r="B77" s="41"/>
      <c r="C77" s="42" t="s">
        <v>167</v>
      </c>
      <c r="D77" s="41"/>
      <c r="E77" s="41"/>
      <c r="F77" s="51"/>
      <c r="G77" s="51"/>
      <c r="H77" s="40" t="s">
        <v>151</v>
      </c>
      <c r="J77" s="7"/>
    </row>
    <row r="78" spans="1:10" x14ac:dyDescent="0.2">
      <c r="A78" s="41"/>
      <c r="B78" s="41"/>
      <c r="C78" s="42" t="s">
        <v>150</v>
      </c>
      <c r="D78" s="41"/>
      <c r="E78" s="41" t="s">
        <v>151</v>
      </c>
      <c r="F78" s="52" t="s">
        <v>153</v>
      </c>
      <c r="G78" s="49">
        <v>0</v>
      </c>
      <c r="H78" s="40" t="s">
        <v>151</v>
      </c>
      <c r="J78" s="7"/>
    </row>
    <row r="79" spans="1:10" x14ac:dyDescent="0.2">
      <c r="A79" s="41"/>
      <c r="B79" s="41"/>
      <c r="C79" s="50"/>
      <c r="D79" s="41"/>
      <c r="E79" s="41"/>
      <c r="F79" s="51"/>
      <c r="G79" s="51"/>
      <c r="H79" s="40" t="s">
        <v>151</v>
      </c>
      <c r="J79" s="7"/>
    </row>
    <row r="80" spans="1:10" x14ac:dyDescent="0.2">
      <c r="A80" s="41"/>
      <c r="B80" s="41"/>
      <c r="C80" s="42" t="s">
        <v>168</v>
      </c>
      <c r="D80" s="41"/>
      <c r="E80" s="41"/>
      <c r="F80" s="51"/>
      <c r="G80" s="51"/>
      <c r="H80" s="40" t="s">
        <v>151</v>
      </c>
      <c r="J80" s="7"/>
    </row>
    <row r="81" spans="1:10" x14ac:dyDescent="0.2">
      <c r="A81" s="43">
        <v>1</v>
      </c>
      <c r="B81" s="44"/>
      <c r="C81" s="44" t="s">
        <v>169</v>
      </c>
      <c r="D81" s="44"/>
      <c r="E81" s="54"/>
      <c r="F81" s="46">
        <v>2409.4038290090002</v>
      </c>
      <c r="G81" s="47">
        <v>2.1176830000000001E-2</v>
      </c>
      <c r="H81" s="40">
        <v>6.39</v>
      </c>
      <c r="J81" s="7"/>
    </row>
    <row r="82" spans="1:10" x14ac:dyDescent="0.2">
      <c r="A82" s="41"/>
      <c r="B82" s="41"/>
      <c r="C82" s="42" t="s">
        <v>150</v>
      </c>
      <c r="D82" s="41"/>
      <c r="E82" s="41" t="s">
        <v>151</v>
      </c>
      <c r="F82" s="48">
        <v>2409.4038290090002</v>
      </c>
      <c r="G82" s="49">
        <v>2.1176830000000001E-2</v>
      </c>
      <c r="H82" s="40" t="s">
        <v>151</v>
      </c>
      <c r="J82" s="7"/>
    </row>
    <row r="83" spans="1:10" x14ac:dyDescent="0.2">
      <c r="A83" s="41"/>
      <c r="B83" s="41"/>
      <c r="C83" s="50"/>
      <c r="D83" s="41"/>
      <c r="E83" s="41"/>
      <c r="F83" s="51"/>
      <c r="G83" s="51"/>
      <c r="H83" s="40" t="s">
        <v>151</v>
      </c>
      <c r="J83" s="7"/>
    </row>
    <row r="84" spans="1:10" x14ac:dyDescent="0.2">
      <c r="A84" s="41"/>
      <c r="B84" s="41"/>
      <c r="C84" s="42" t="s">
        <v>170</v>
      </c>
      <c r="D84" s="41"/>
      <c r="E84" s="41"/>
      <c r="F84" s="48">
        <v>2409.4038290090002</v>
      </c>
      <c r="G84" s="49">
        <v>2.1176830000000001E-2</v>
      </c>
      <c r="H84" s="40" t="s">
        <v>151</v>
      </c>
      <c r="J84" s="7"/>
    </row>
    <row r="85" spans="1:10" x14ac:dyDescent="0.2">
      <c r="A85" s="41"/>
      <c r="B85" s="41"/>
      <c r="C85" s="51"/>
      <c r="D85" s="41"/>
      <c r="E85" s="41"/>
      <c r="F85" s="41"/>
      <c r="G85" s="41"/>
      <c r="H85" s="40" t="s">
        <v>151</v>
      </c>
      <c r="J85" s="7"/>
    </row>
    <row r="86" spans="1:10" x14ac:dyDescent="0.2">
      <c r="A86" s="41"/>
      <c r="B86" s="41"/>
      <c r="C86" s="42" t="s">
        <v>171</v>
      </c>
      <c r="D86" s="41"/>
      <c r="E86" s="41"/>
      <c r="F86" s="41"/>
      <c r="G86" s="41"/>
      <c r="H86" s="40" t="s">
        <v>151</v>
      </c>
      <c r="J86" s="7"/>
    </row>
    <row r="87" spans="1:10" x14ac:dyDescent="0.2">
      <c r="A87" s="41"/>
      <c r="B87" s="41"/>
      <c r="C87" s="42" t="s">
        <v>172</v>
      </c>
      <c r="D87" s="41"/>
      <c r="E87" s="41"/>
      <c r="F87" s="41"/>
      <c r="G87" s="41"/>
      <c r="H87" s="40" t="s">
        <v>151</v>
      </c>
      <c r="J87" s="7"/>
    </row>
    <row r="88" spans="1:10" x14ac:dyDescent="0.2">
      <c r="A88" s="41"/>
      <c r="B88" s="41"/>
      <c r="C88" s="42" t="s">
        <v>150</v>
      </c>
      <c r="D88" s="41"/>
      <c r="E88" s="41" t="s">
        <v>151</v>
      </c>
      <c r="F88" s="52" t="s">
        <v>153</v>
      </c>
      <c r="G88" s="49">
        <v>0</v>
      </c>
      <c r="H88" s="40" t="s">
        <v>151</v>
      </c>
      <c r="J88" s="7"/>
    </row>
    <row r="89" spans="1:10" x14ac:dyDescent="0.2">
      <c r="A89" s="41"/>
      <c r="B89" s="41"/>
      <c r="C89" s="50"/>
      <c r="D89" s="41"/>
      <c r="E89" s="41"/>
      <c r="F89" s="51"/>
      <c r="G89" s="51"/>
      <c r="H89" s="40" t="s">
        <v>151</v>
      </c>
      <c r="J89" s="7"/>
    </row>
    <row r="90" spans="1:10" x14ac:dyDescent="0.2">
      <c r="A90" s="41"/>
      <c r="B90" s="41"/>
      <c r="C90" s="42" t="s">
        <v>173</v>
      </c>
      <c r="D90" s="41"/>
      <c r="E90" s="41"/>
      <c r="F90" s="41"/>
      <c r="G90" s="41"/>
      <c r="H90" s="40" t="s">
        <v>151</v>
      </c>
      <c r="J90" s="7"/>
    </row>
    <row r="91" spans="1:10" x14ac:dyDescent="0.2">
      <c r="A91" s="41"/>
      <c r="B91" s="41"/>
      <c r="C91" s="42" t="s">
        <v>174</v>
      </c>
      <c r="D91" s="41"/>
      <c r="E91" s="41"/>
      <c r="F91" s="41"/>
      <c r="G91" s="41"/>
      <c r="H91" s="40" t="s">
        <v>151</v>
      </c>
      <c r="J91" s="7"/>
    </row>
    <row r="92" spans="1:10" x14ac:dyDescent="0.2">
      <c r="A92" s="41"/>
      <c r="B92" s="41"/>
      <c r="C92" s="42" t="s">
        <v>150</v>
      </c>
      <c r="D92" s="41"/>
      <c r="E92" s="41" t="s">
        <v>151</v>
      </c>
      <c r="F92" s="52" t="s">
        <v>153</v>
      </c>
      <c r="G92" s="49">
        <v>0</v>
      </c>
      <c r="H92" s="40" t="s">
        <v>151</v>
      </c>
      <c r="J92" s="7"/>
    </row>
    <row r="93" spans="1:10" x14ac:dyDescent="0.2">
      <c r="A93" s="41"/>
      <c r="B93" s="41"/>
      <c r="C93" s="50"/>
      <c r="D93" s="41"/>
      <c r="E93" s="41"/>
      <c r="F93" s="51"/>
      <c r="G93" s="51"/>
      <c r="H93" s="40" t="s">
        <v>151</v>
      </c>
      <c r="J93" s="7"/>
    </row>
    <row r="94" spans="1:10" x14ac:dyDescent="0.2">
      <c r="A94" s="41"/>
      <c r="B94" s="41"/>
      <c r="C94" s="42" t="s">
        <v>175</v>
      </c>
      <c r="D94" s="41"/>
      <c r="E94" s="41"/>
      <c r="F94" s="51"/>
      <c r="G94" s="51"/>
      <c r="H94" s="40" t="s">
        <v>151</v>
      </c>
      <c r="J94" s="7"/>
    </row>
    <row r="95" spans="1:10" x14ac:dyDescent="0.2">
      <c r="A95" s="41"/>
      <c r="B95" s="41"/>
      <c r="C95" s="42" t="s">
        <v>150</v>
      </c>
      <c r="D95" s="41"/>
      <c r="E95" s="41" t="s">
        <v>151</v>
      </c>
      <c r="F95" s="52" t="s">
        <v>153</v>
      </c>
      <c r="G95" s="49">
        <v>0</v>
      </c>
      <c r="H95" s="40" t="s">
        <v>151</v>
      </c>
      <c r="J95" s="7"/>
    </row>
    <row r="96" spans="1:10" x14ac:dyDescent="0.2">
      <c r="A96" s="41"/>
      <c r="B96" s="44"/>
      <c r="C96" s="44"/>
      <c r="D96" s="42"/>
      <c r="E96" s="41"/>
      <c r="F96" s="44"/>
      <c r="G96" s="54"/>
      <c r="H96" s="40" t="s">
        <v>151</v>
      </c>
      <c r="J96" s="7"/>
    </row>
    <row r="97" spans="1:17" x14ac:dyDescent="0.2">
      <c r="A97" s="54"/>
      <c r="B97" s="44"/>
      <c r="C97" s="44" t="s">
        <v>176</v>
      </c>
      <c r="D97" s="44"/>
      <c r="E97" s="54"/>
      <c r="F97" s="46">
        <v>-75.920413330000002</v>
      </c>
      <c r="G97" s="47">
        <v>-6.6728000000000002E-4</v>
      </c>
      <c r="H97" s="40" t="s">
        <v>151</v>
      </c>
      <c r="J97" s="7"/>
    </row>
    <row r="98" spans="1:17" x14ac:dyDescent="0.2">
      <c r="A98" s="50"/>
      <c r="B98" s="50"/>
      <c r="C98" s="42" t="s">
        <v>177</v>
      </c>
      <c r="D98" s="51"/>
      <c r="E98" s="51"/>
      <c r="F98" s="48">
        <v>113775.451693179</v>
      </c>
      <c r="G98" s="55">
        <v>1.0000000099999999</v>
      </c>
      <c r="H98" s="40" t="s">
        <v>151</v>
      </c>
      <c r="J98" s="7"/>
    </row>
    <row r="99" spans="1:17" x14ac:dyDescent="0.2">
      <c r="A99" s="56"/>
      <c r="B99" s="56"/>
      <c r="C99" s="56"/>
      <c r="D99" s="57"/>
      <c r="E99" s="57"/>
      <c r="F99" s="57"/>
      <c r="G99" s="57"/>
      <c r="J99" s="7"/>
    </row>
    <row r="100" spans="1:17" ht="12.75" customHeight="1" x14ac:dyDescent="0.2">
      <c r="A100" s="58"/>
      <c r="B100" s="159" t="s">
        <v>923</v>
      </c>
      <c r="C100" s="159"/>
      <c r="D100" s="159"/>
      <c r="E100" s="159"/>
      <c r="F100" s="159"/>
      <c r="G100" s="159"/>
      <c r="H100" s="159"/>
      <c r="J100" s="7"/>
    </row>
    <row r="101" spans="1:17" ht="14.1" customHeight="1" x14ac:dyDescent="0.2">
      <c r="A101" s="58"/>
      <c r="B101" s="159" t="s">
        <v>924</v>
      </c>
      <c r="C101" s="159"/>
      <c r="D101" s="159"/>
      <c r="E101" s="159"/>
      <c r="F101" s="159"/>
      <c r="G101" s="159"/>
      <c r="H101" s="159"/>
      <c r="J101" s="7"/>
    </row>
    <row r="102" spans="1:17" ht="17.100000000000001" customHeight="1" x14ac:dyDescent="0.2">
      <c r="A102" s="58"/>
      <c r="B102" s="159" t="s">
        <v>925</v>
      </c>
      <c r="C102" s="159"/>
      <c r="D102" s="159"/>
      <c r="E102" s="159"/>
      <c r="F102" s="159"/>
      <c r="G102" s="159"/>
      <c r="H102" s="159"/>
      <c r="J102" s="7"/>
    </row>
    <row r="103" spans="1:17" s="8" customFormat="1" ht="65.25" customHeight="1" x14ac:dyDescent="0.25">
      <c r="A103" s="60"/>
      <c r="B103" s="160" t="s">
        <v>926</v>
      </c>
      <c r="C103" s="160"/>
      <c r="D103" s="160"/>
      <c r="E103" s="160"/>
      <c r="F103" s="160"/>
      <c r="G103" s="160"/>
      <c r="H103" s="160"/>
      <c r="I103"/>
      <c r="J103" s="7"/>
      <c r="K103"/>
      <c r="L103"/>
      <c r="M103"/>
      <c r="N103"/>
      <c r="O103"/>
      <c r="P103"/>
      <c r="Q103"/>
    </row>
    <row r="104" spans="1:17" ht="12.75" customHeight="1" x14ac:dyDescent="0.2">
      <c r="A104" s="58"/>
      <c r="B104" s="159" t="s">
        <v>927</v>
      </c>
      <c r="C104" s="159"/>
      <c r="D104" s="159"/>
      <c r="E104" s="159"/>
      <c r="F104" s="159"/>
      <c r="G104" s="159"/>
      <c r="H104" s="159"/>
      <c r="J104" s="7"/>
    </row>
    <row r="105" spans="1:17" x14ac:dyDescent="0.2">
      <c r="A105" s="61"/>
      <c r="B105" s="61"/>
      <c r="C105" s="61"/>
      <c r="D105" s="62"/>
      <c r="E105" s="62"/>
      <c r="F105" s="62"/>
      <c r="G105" s="62"/>
      <c r="J105" s="7"/>
    </row>
    <row r="106" spans="1:17" x14ac:dyDescent="0.2">
      <c r="A106" s="61"/>
      <c r="B106" s="161" t="s">
        <v>178</v>
      </c>
      <c r="C106" s="162"/>
      <c r="D106" s="163"/>
      <c r="E106" s="63"/>
      <c r="F106" s="62"/>
      <c r="G106" s="62"/>
      <c r="J106" s="7"/>
    </row>
    <row r="107" spans="1:17" x14ac:dyDescent="0.2">
      <c r="A107" s="61"/>
      <c r="B107" s="156" t="s">
        <v>179</v>
      </c>
      <c r="C107" s="157"/>
      <c r="D107" s="42" t="s">
        <v>180</v>
      </c>
      <c r="E107" s="63"/>
      <c r="F107" s="62"/>
      <c r="G107" s="62"/>
      <c r="J107" s="7"/>
    </row>
    <row r="108" spans="1:17" x14ac:dyDescent="0.2">
      <c r="A108" s="61"/>
      <c r="B108" s="156" t="s">
        <v>181</v>
      </c>
      <c r="C108" s="157"/>
      <c r="D108" s="42" t="s">
        <v>180</v>
      </c>
      <c r="E108" s="63"/>
      <c r="F108" s="62"/>
      <c r="G108" s="62"/>
      <c r="J108" s="7"/>
    </row>
    <row r="109" spans="1:17" x14ac:dyDescent="0.2">
      <c r="A109" s="61"/>
      <c r="B109" s="156" t="s">
        <v>182</v>
      </c>
      <c r="C109" s="157"/>
      <c r="D109" s="51" t="s">
        <v>151</v>
      </c>
      <c r="E109" s="63"/>
      <c r="F109" s="62"/>
      <c r="G109" s="62"/>
      <c r="J109" s="7"/>
    </row>
    <row r="110" spans="1:17" x14ac:dyDescent="0.2">
      <c r="A110" s="67"/>
      <c r="B110" s="68" t="s">
        <v>151</v>
      </c>
      <c r="C110" s="68" t="s">
        <v>937</v>
      </c>
      <c r="D110" s="68" t="s">
        <v>183</v>
      </c>
      <c r="E110" s="67"/>
      <c r="F110" s="67"/>
      <c r="G110" s="67"/>
      <c r="H110" s="67"/>
      <c r="J110" s="7"/>
    </row>
    <row r="111" spans="1:17" x14ac:dyDescent="0.2">
      <c r="A111" s="69"/>
      <c r="B111" s="70" t="s">
        <v>184</v>
      </c>
      <c r="C111" s="80" t="s">
        <v>185</v>
      </c>
      <c r="D111" s="80" t="s">
        <v>186</v>
      </c>
      <c r="E111" s="69"/>
      <c r="F111" s="69"/>
      <c r="G111" s="69"/>
      <c r="J111" s="7"/>
    </row>
    <row r="112" spans="1:17" x14ac:dyDescent="0.2">
      <c r="A112" s="69"/>
      <c r="B112" s="44" t="s">
        <v>187</v>
      </c>
      <c r="C112" s="72">
        <v>172.99100000000001</v>
      </c>
      <c r="D112" s="72">
        <v>178.2894</v>
      </c>
      <c r="E112" s="69"/>
      <c r="F112" s="73"/>
      <c r="G112" s="74"/>
      <c r="J112" s="7"/>
    </row>
    <row r="113" spans="1:10" ht="25.5" x14ac:dyDescent="0.2">
      <c r="A113" s="69"/>
      <c r="B113" s="44" t="s">
        <v>1096</v>
      </c>
      <c r="C113" s="72">
        <v>47.410200000000003</v>
      </c>
      <c r="D113" s="72">
        <v>48.862200000000001</v>
      </c>
      <c r="E113" s="69"/>
      <c r="F113" s="73"/>
      <c r="G113" s="74"/>
      <c r="J113" s="7"/>
    </row>
    <row r="114" spans="1:10" x14ac:dyDescent="0.2">
      <c r="A114" s="69"/>
      <c r="B114" s="44" t="s">
        <v>188</v>
      </c>
      <c r="C114" s="72">
        <v>157.828</v>
      </c>
      <c r="D114" s="72">
        <v>162.52000000000001</v>
      </c>
      <c r="E114" s="69"/>
      <c r="F114" s="73"/>
      <c r="G114" s="74"/>
      <c r="J114" s="7"/>
    </row>
    <row r="115" spans="1:10" ht="25.5" x14ac:dyDescent="0.2">
      <c r="A115" s="69"/>
      <c r="B115" s="44" t="s">
        <v>1097</v>
      </c>
      <c r="C115" s="72">
        <v>44.053199999999997</v>
      </c>
      <c r="D115" s="72">
        <v>45.362699999999997</v>
      </c>
      <c r="E115" s="69"/>
      <c r="F115" s="73"/>
      <c r="G115" s="74"/>
      <c r="J115" s="7"/>
    </row>
    <row r="116" spans="1:10" x14ac:dyDescent="0.2">
      <c r="A116" s="69"/>
      <c r="B116" s="69"/>
      <c r="C116" s="69"/>
      <c r="D116" s="69"/>
      <c r="E116" s="69"/>
      <c r="F116" s="69"/>
      <c r="G116" s="69"/>
      <c r="J116" s="7"/>
    </row>
    <row r="117" spans="1:10" x14ac:dyDescent="0.2">
      <c r="A117" s="67"/>
      <c r="B117" s="164" t="s">
        <v>940</v>
      </c>
      <c r="C117" s="165"/>
      <c r="D117" s="64" t="s">
        <v>180</v>
      </c>
      <c r="E117" s="67"/>
      <c r="F117" s="67"/>
      <c r="G117" s="67"/>
      <c r="J117" s="7"/>
    </row>
    <row r="118" spans="1:10" x14ac:dyDescent="0.2">
      <c r="A118" s="67"/>
      <c r="B118" s="84"/>
      <c r="C118" s="84"/>
      <c r="D118" s="84"/>
      <c r="E118" s="67"/>
      <c r="F118" s="67"/>
      <c r="G118" s="67"/>
      <c r="J118" s="7"/>
    </row>
    <row r="119" spans="1:10" ht="29.1" customHeight="1" x14ac:dyDescent="0.2">
      <c r="A119" s="67"/>
      <c r="B119" s="164" t="s">
        <v>189</v>
      </c>
      <c r="C119" s="165"/>
      <c r="D119" s="64" t="s">
        <v>180</v>
      </c>
      <c r="E119" s="75"/>
      <c r="F119" s="67"/>
      <c r="G119" s="67"/>
      <c r="J119" s="7"/>
    </row>
    <row r="120" spans="1:10" ht="29.1" customHeight="1" x14ac:dyDescent="0.2">
      <c r="A120" s="67"/>
      <c r="B120" s="164" t="s">
        <v>190</v>
      </c>
      <c r="C120" s="165"/>
      <c r="D120" s="64" t="s">
        <v>180</v>
      </c>
      <c r="E120" s="75"/>
      <c r="F120" s="67"/>
      <c r="G120" s="67"/>
      <c r="J120" s="7"/>
    </row>
    <row r="121" spans="1:10" ht="17.100000000000001" customHeight="1" x14ac:dyDescent="0.2">
      <c r="A121" s="67"/>
      <c r="B121" s="164" t="s">
        <v>191</v>
      </c>
      <c r="C121" s="165"/>
      <c r="D121" s="64" t="s">
        <v>180</v>
      </c>
      <c r="E121" s="75"/>
      <c r="F121" s="67"/>
      <c r="G121" s="67"/>
      <c r="J121" s="7"/>
    </row>
    <row r="122" spans="1:10" ht="17.100000000000001" customHeight="1" x14ac:dyDescent="0.2">
      <c r="A122" s="67"/>
      <c r="B122" s="164" t="s">
        <v>192</v>
      </c>
      <c r="C122" s="165"/>
      <c r="D122" s="76">
        <v>0.36290263908869663</v>
      </c>
      <c r="E122" s="67"/>
      <c r="F122" s="59"/>
      <c r="G122" s="77"/>
    </row>
  </sheetData>
  <mergeCells count="17">
    <mergeCell ref="B108:C108"/>
    <mergeCell ref="B109:C109"/>
    <mergeCell ref="B117:C117"/>
    <mergeCell ref="B121:C121"/>
    <mergeCell ref="B122:C122"/>
    <mergeCell ref="B119:C119"/>
    <mergeCell ref="B120:C120"/>
    <mergeCell ref="B107:C107"/>
    <mergeCell ref="A1:H1"/>
    <mergeCell ref="A2:H2"/>
    <mergeCell ref="A3:H3"/>
    <mergeCell ref="B100:H100"/>
    <mergeCell ref="B101:H101"/>
    <mergeCell ref="B102:H102"/>
    <mergeCell ref="B103:H103"/>
    <mergeCell ref="B104:H104"/>
    <mergeCell ref="B106:D106"/>
  </mergeCells>
  <hyperlinks>
    <hyperlink ref="I1" location="Index!B20" display="Index" xr:uid="{E429990D-9EFA-4924-BBBD-E29DC432D3E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F1E7-883D-4320-B7C8-ABAA99E280BA}">
  <sheetPr>
    <outlinePr summaryBelow="0" summaryRight="0"/>
  </sheetPr>
  <dimension ref="A1:Q168"/>
  <sheetViews>
    <sheetView showGridLines="0" workbookViewId="0">
      <selection sqref="A1:H1"/>
    </sheetView>
  </sheetViews>
  <sheetFormatPr defaultRowHeight="12.75" x14ac:dyDescent="0.2"/>
  <cols>
    <col min="1" max="1" width="5.85546875" bestFit="1" customWidth="1"/>
    <col min="2" max="2" width="20" bestFit="1" customWidth="1"/>
    <col min="3" max="3" width="41.5703125" customWidth="1"/>
    <col min="4" max="4" width="17.7109375" bestFit="1" customWidth="1"/>
    <col min="5" max="5" width="8.7109375" bestFit="1" customWidth="1"/>
    <col min="6" max="6" width="10.140625" bestFit="1" customWidth="1"/>
    <col min="7" max="7" width="8.7109375" customWidth="1"/>
    <col min="8" max="8" width="8.4257812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755</v>
      </c>
      <c r="B2" s="158"/>
      <c r="C2" s="158"/>
      <c r="D2" s="158"/>
      <c r="E2" s="158"/>
      <c r="F2" s="158"/>
      <c r="G2" s="158"/>
      <c r="H2" s="158"/>
      <c r="J2" s="11" t="s">
        <v>942</v>
      </c>
    </row>
    <row r="3" spans="1:10" ht="15" x14ac:dyDescent="0.2">
      <c r="A3" s="158" t="s">
        <v>880</v>
      </c>
      <c r="B3" s="158"/>
      <c r="C3" s="158"/>
      <c r="D3" s="158"/>
      <c r="E3" s="158"/>
      <c r="F3" s="158"/>
      <c r="G3" s="158"/>
      <c r="H3" s="158"/>
      <c r="J3" s="7"/>
    </row>
    <row r="4" spans="1:10" s="1" customFormat="1" ht="30"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20</v>
      </c>
      <c r="C7" s="44" t="s">
        <v>21</v>
      </c>
      <c r="D7" s="44" t="s">
        <v>22</v>
      </c>
      <c r="E7" s="45">
        <v>556134</v>
      </c>
      <c r="F7" s="46">
        <v>16744.360539000001</v>
      </c>
      <c r="G7" s="47">
        <v>5.9143939999999999E-2</v>
      </c>
      <c r="H7" s="40" t="s">
        <v>151</v>
      </c>
      <c r="J7" s="7"/>
    </row>
    <row r="8" spans="1:10" x14ac:dyDescent="0.2">
      <c r="A8" s="43">
        <v>2</v>
      </c>
      <c r="B8" s="44" t="s">
        <v>341</v>
      </c>
      <c r="C8" s="44" t="s">
        <v>342</v>
      </c>
      <c r="D8" s="44" t="s">
        <v>45</v>
      </c>
      <c r="E8" s="45">
        <v>746575</v>
      </c>
      <c r="F8" s="46">
        <v>12062.785562499999</v>
      </c>
      <c r="G8" s="47">
        <v>4.2607819999999998E-2</v>
      </c>
      <c r="H8" s="40" t="s">
        <v>151</v>
      </c>
      <c r="J8" s="7"/>
    </row>
    <row r="9" spans="1:10" x14ac:dyDescent="0.2">
      <c r="A9" s="43">
        <v>3</v>
      </c>
      <c r="B9" s="44" t="s">
        <v>90</v>
      </c>
      <c r="C9" s="44" t="s">
        <v>91</v>
      </c>
      <c r="D9" s="44" t="s">
        <v>86</v>
      </c>
      <c r="E9" s="45">
        <v>1689887</v>
      </c>
      <c r="F9" s="46">
        <v>9409.2908160000006</v>
      </c>
      <c r="G9" s="47">
        <v>3.3235220000000003E-2</v>
      </c>
      <c r="H9" s="40" t="s">
        <v>151</v>
      </c>
      <c r="J9" s="7"/>
    </row>
    <row r="10" spans="1:10" x14ac:dyDescent="0.2">
      <c r="A10" s="43">
        <v>4</v>
      </c>
      <c r="B10" s="44" t="s">
        <v>11</v>
      </c>
      <c r="C10" s="44" t="s">
        <v>12</v>
      </c>
      <c r="D10" s="44" t="s">
        <v>13</v>
      </c>
      <c r="E10" s="45">
        <v>230571</v>
      </c>
      <c r="F10" s="46">
        <v>8796.2836499999994</v>
      </c>
      <c r="G10" s="47">
        <v>3.1069980000000001E-2</v>
      </c>
      <c r="H10" s="40" t="s">
        <v>151</v>
      </c>
      <c r="J10" s="7"/>
    </row>
    <row r="11" spans="1:10" x14ac:dyDescent="0.2">
      <c r="A11" s="43">
        <v>5</v>
      </c>
      <c r="B11" s="44" t="s">
        <v>343</v>
      </c>
      <c r="C11" s="44" t="s">
        <v>344</v>
      </c>
      <c r="D11" s="44" t="s">
        <v>219</v>
      </c>
      <c r="E11" s="45">
        <v>464761</v>
      </c>
      <c r="F11" s="46">
        <v>8682.8973824999994</v>
      </c>
      <c r="G11" s="47">
        <v>3.0669479999999999E-2</v>
      </c>
      <c r="H11" s="40" t="s">
        <v>151</v>
      </c>
      <c r="J11" s="7"/>
    </row>
    <row r="12" spans="1:10" ht="15" x14ac:dyDescent="0.2">
      <c r="A12" s="43">
        <v>6</v>
      </c>
      <c r="B12" s="44" t="s">
        <v>206</v>
      </c>
      <c r="C12" s="44" t="s">
        <v>207</v>
      </c>
      <c r="D12" s="44" t="s">
        <v>45</v>
      </c>
      <c r="E12" s="45">
        <v>1339692</v>
      </c>
      <c r="F12" s="46">
        <v>8156.0448960000003</v>
      </c>
      <c r="G12" s="47">
        <v>2.8808540000000001E-2</v>
      </c>
      <c r="H12" s="40" t="s">
        <v>151</v>
      </c>
      <c r="J12" s="12"/>
    </row>
    <row r="13" spans="1:10" x14ac:dyDescent="0.2">
      <c r="A13" s="43">
        <v>7</v>
      </c>
      <c r="B13" s="44" t="s">
        <v>14</v>
      </c>
      <c r="C13" s="44" t="s">
        <v>15</v>
      </c>
      <c r="D13" s="44" t="s">
        <v>16</v>
      </c>
      <c r="E13" s="45">
        <v>1955077</v>
      </c>
      <c r="F13" s="46">
        <v>8133.12032</v>
      </c>
      <c r="G13" s="47">
        <v>2.8727570000000001E-2</v>
      </c>
      <c r="H13" s="40" t="s">
        <v>151</v>
      </c>
      <c r="J13" s="7"/>
    </row>
    <row r="14" spans="1:10" x14ac:dyDescent="0.2">
      <c r="A14" s="43">
        <v>8</v>
      </c>
      <c r="B14" s="44" t="s">
        <v>223</v>
      </c>
      <c r="C14" s="44" t="s">
        <v>224</v>
      </c>
      <c r="D14" s="44" t="s">
        <v>86</v>
      </c>
      <c r="E14" s="45">
        <v>55825</v>
      </c>
      <c r="F14" s="46">
        <v>7698.4907999999996</v>
      </c>
      <c r="G14" s="47">
        <v>2.7192379999999999E-2</v>
      </c>
      <c r="H14" s="40" t="s">
        <v>151</v>
      </c>
      <c r="J14" s="7"/>
    </row>
    <row r="15" spans="1:10" ht="25.5" x14ac:dyDescent="0.2">
      <c r="A15" s="43">
        <v>9</v>
      </c>
      <c r="B15" s="44" t="s">
        <v>31</v>
      </c>
      <c r="C15" s="44" t="s">
        <v>32</v>
      </c>
      <c r="D15" s="44" t="s">
        <v>33</v>
      </c>
      <c r="E15" s="45">
        <v>796180</v>
      </c>
      <c r="F15" s="46">
        <v>7656.46497</v>
      </c>
      <c r="G15" s="47">
        <v>2.7043939999999999E-2</v>
      </c>
      <c r="H15" s="40" t="s">
        <v>151</v>
      </c>
      <c r="J15" s="7" t="s">
        <v>1065</v>
      </c>
    </row>
    <row r="16" spans="1:10" x14ac:dyDescent="0.2">
      <c r="A16" s="43">
        <v>10</v>
      </c>
      <c r="B16" s="44" t="s">
        <v>59</v>
      </c>
      <c r="C16" s="44" t="s">
        <v>60</v>
      </c>
      <c r="D16" s="44" t="s">
        <v>61</v>
      </c>
      <c r="E16" s="45">
        <v>539440</v>
      </c>
      <c r="F16" s="46">
        <v>6784.5368799999997</v>
      </c>
      <c r="G16" s="47">
        <v>2.3964139999999998E-2</v>
      </c>
      <c r="H16" s="40" t="s">
        <v>151</v>
      </c>
      <c r="J16" s="7"/>
    </row>
    <row r="17" spans="1:10" x14ac:dyDescent="0.2">
      <c r="A17" s="43">
        <v>11</v>
      </c>
      <c r="B17" s="44" t="s">
        <v>347</v>
      </c>
      <c r="C17" s="44" t="s">
        <v>348</v>
      </c>
      <c r="D17" s="44" t="s">
        <v>45</v>
      </c>
      <c r="E17" s="45">
        <v>577823</v>
      </c>
      <c r="F17" s="46">
        <v>6737.9940029999998</v>
      </c>
      <c r="G17" s="47">
        <v>2.3799750000000001E-2</v>
      </c>
      <c r="H17" s="40" t="s">
        <v>151</v>
      </c>
      <c r="J17" s="7"/>
    </row>
    <row r="18" spans="1:10" x14ac:dyDescent="0.2">
      <c r="A18" s="43">
        <v>12</v>
      </c>
      <c r="B18" s="44" t="s">
        <v>227</v>
      </c>
      <c r="C18" s="44" t="s">
        <v>228</v>
      </c>
      <c r="D18" s="44" t="s">
        <v>229</v>
      </c>
      <c r="E18" s="45">
        <v>145554</v>
      </c>
      <c r="F18" s="46">
        <v>6599.709468</v>
      </c>
      <c r="G18" s="47">
        <v>2.33113E-2</v>
      </c>
      <c r="H18" s="40" t="s">
        <v>151</v>
      </c>
      <c r="J18" s="7"/>
    </row>
    <row r="19" spans="1:10" x14ac:dyDescent="0.2">
      <c r="A19" s="43">
        <v>13</v>
      </c>
      <c r="B19" s="44" t="s">
        <v>303</v>
      </c>
      <c r="C19" s="44" t="s">
        <v>304</v>
      </c>
      <c r="D19" s="44" t="s">
        <v>100</v>
      </c>
      <c r="E19" s="45">
        <v>408160</v>
      </c>
      <c r="F19" s="46">
        <v>6048.1148800000001</v>
      </c>
      <c r="G19" s="47">
        <v>2.1362969999999998E-2</v>
      </c>
      <c r="H19" s="40" t="s">
        <v>151</v>
      </c>
      <c r="J19" s="7"/>
    </row>
    <row r="20" spans="1:10" ht="25.5" x14ac:dyDescent="0.2">
      <c r="A20" s="43">
        <v>14</v>
      </c>
      <c r="B20" s="44" t="s">
        <v>208</v>
      </c>
      <c r="C20" s="44" t="s">
        <v>209</v>
      </c>
      <c r="D20" s="44" t="s">
        <v>210</v>
      </c>
      <c r="E20" s="45">
        <v>311373</v>
      </c>
      <c r="F20" s="46">
        <v>5952.9847005000001</v>
      </c>
      <c r="G20" s="47">
        <v>2.1026960000000001E-2</v>
      </c>
      <c r="H20" s="40" t="s">
        <v>151</v>
      </c>
      <c r="J20" s="7"/>
    </row>
    <row r="21" spans="1:10" x14ac:dyDescent="0.2">
      <c r="A21" s="43">
        <v>15</v>
      </c>
      <c r="B21" s="44" t="s">
        <v>94</v>
      </c>
      <c r="C21" s="44" t="s">
        <v>95</v>
      </c>
      <c r="D21" s="44" t="s">
        <v>33</v>
      </c>
      <c r="E21" s="45">
        <v>137039</v>
      </c>
      <c r="F21" s="46">
        <v>5933.5831415000002</v>
      </c>
      <c r="G21" s="47">
        <v>2.095843E-2</v>
      </c>
      <c r="H21" s="40" t="s">
        <v>151</v>
      </c>
      <c r="J21" s="7"/>
    </row>
    <row r="22" spans="1:10" ht="15" x14ac:dyDescent="0.2">
      <c r="A22" s="43">
        <v>16</v>
      </c>
      <c r="B22" s="44" t="s">
        <v>714</v>
      </c>
      <c r="C22" s="44" t="s">
        <v>715</v>
      </c>
      <c r="D22" s="44" t="s">
        <v>100</v>
      </c>
      <c r="E22" s="45">
        <v>337653</v>
      </c>
      <c r="F22" s="46">
        <v>5820.124761</v>
      </c>
      <c r="G22" s="47">
        <v>2.055767E-2</v>
      </c>
      <c r="H22" s="40" t="s">
        <v>151</v>
      </c>
      <c r="J22" s="12"/>
    </row>
    <row r="23" spans="1:10" x14ac:dyDescent="0.2">
      <c r="A23" s="43">
        <v>17</v>
      </c>
      <c r="B23" s="44" t="s">
        <v>411</v>
      </c>
      <c r="C23" s="44" t="s">
        <v>412</v>
      </c>
      <c r="D23" s="44" t="s">
        <v>413</v>
      </c>
      <c r="E23" s="45">
        <v>368919</v>
      </c>
      <c r="F23" s="46">
        <v>5571.0458189999999</v>
      </c>
      <c r="G23" s="47">
        <v>1.967789E-2</v>
      </c>
      <c r="H23" s="40" t="s">
        <v>151</v>
      </c>
      <c r="J23" s="7"/>
    </row>
    <row r="24" spans="1:10" x14ac:dyDescent="0.2">
      <c r="A24" s="43">
        <v>18</v>
      </c>
      <c r="B24" s="44" t="s">
        <v>43</v>
      </c>
      <c r="C24" s="44" t="s">
        <v>44</v>
      </c>
      <c r="D24" s="44" t="s">
        <v>45</v>
      </c>
      <c r="E24" s="45">
        <v>455022</v>
      </c>
      <c r="F24" s="46">
        <v>5528.0622780000003</v>
      </c>
      <c r="G24" s="47">
        <v>1.9526060000000001E-2</v>
      </c>
      <c r="H24" s="40" t="s">
        <v>151</v>
      </c>
      <c r="J24" s="7"/>
    </row>
    <row r="25" spans="1:10" x14ac:dyDescent="0.2">
      <c r="A25" s="43">
        <v>19</v>
      </c>
      <c r="B25" s="44" t="s">
        <v>240</v>
      </c>
      <c r="C25" s="44" t="s">
        <v>241</v>
      </c>
      <c r="D25" s="44" t="s">
        <v>242</v>
      </c>
      <c r="E25" s="45">
        <v>844205</v>
      </c>
      <c r="F25" s="46">
        <v>5055.0995400000002</v>
      </c>
      <c r="G25" s="47">
        <v>1.785548E-2</v>
      </c>
      <c r="H25" s="40" t="s">
        <v>151</v>
      </c>
      <c r="J25" s="7"/>
    </row>
    <row r="26" spans="1:10" x14ac:dyDescent="0.2">
      <c r="A26" s="43">
        <v>20</v>
      </c>
      <c r="B26" s="44" t="s">
        <v>220</v>
      </c>
      <c r="C26" s="44" t="s">
        <v>221</v>
      </c>
      <c r="D26" s="44" t="s">
        <v>222</v>
      </c>
      <c r="E26" s="45">
        <v>958080</v>
      </c>
      <c r="F26" s="46">
        <v>4808.6035199999997</v>
      </c>
      <c r="G26" s="47">
        <v>1.6984809999999999E-2</v>
      </c>
      <c r="H26" s="40" t="s">
        <v>151</v>
      </c>
    </row>
    <row r="27" spans="1:10" x14ac:dyDescent="0.2">
      <c r="A27" s="43">
        <v>21</v>
      </c>
      <c r="B27" s="44" t="s">
        <v>264</v>
      </c>
      <c r="C27" s="44" t="s">
        <v>265</v>
      </c>
      <c r="D27" s="44" t="s">
        <v>86</v>
      </c>
      <c r="E27" s="45">
        <v>313410</v>
      </c>
      <c r="F27" s="46">
        <v>4756.4668650000003</v>
      </c>
      <c r="G27" s="47">
        <v>1.680065E-2</v>
      </c>
      <c r="H27" s="40" t="s">
        <v>151</v>
      </c>
      <c r="J27" s="7"/>
    </row>
    <row r="28" spans="1:10" x14ac:dyDescent="0.2">
      <c r="A28" s="43">
        <v>22</v>
      </c>
      <c r="B28" s="44" t="s">
        <v>28</v>
      </c>
      <c r="C28" s="44" t="s">
        <v>29</v>
      </c>
      <c r="D28" s="44" t="s">
        <v>30</v>
      </c>
      <c r="E28" s="45">
        <v>1468484</v>
      </c>
      <c r="F28" s="46">
        <v>4641.1436819999999</v>
      </c>
      <c r="G28" s="47">
        <v>1.6393310000000001E-2</v>
      </c>
      <c r="H28" s="40" t="s">
        <v>151</v>
      </c>
      <c r="J28" s="7"/>
    </row>
    <row r="29" spans="1:10" ht="25.5" x14ac:dyDescent="0.2">
      <c r="A29" s="43">
        <v>23</v>
      </c>
      <c r="B29" s="44" t="s">
        <v>17</v>
      </c>
      <c r="C29" s="44" t="s">
        <v>18</v>
      </c>
      <c r="D29" s="44" t="s">
        <v>19</v>
      </c>
      <c r="E29" s="45">
        <v>296261</v>
      </c>
      <c r="F29" s="46">
        <v>4418.8809455000001</v>
      </c>
      <c r="G29" s="47">
        <v>1.5608240000000001E-2</v>
      </c>
      <c r="H29" s="40" t="s">
        <v>151</v>
      </c>
      <c r="J29" s="7" t="s">
        <v>1066</v>
      </c>
    </row>
    <row r="30" spans="1:10" x14ac:dyDescent="0.2">
      <c r="A30" s="43">
        <v>24</v>
      </c>
      <c r="B30" s="44" t="s">
        <v>359</v>
      </c>
      <c r="C30" s="44" t="s">
        <v>360</v>
      </c>
      <c r="D30" s="44" t="s">
        <v>361</v>
      </c>
      <c r="E30" s="45">
        <v>657276</v>
      </c>
      <c r="F30" s="46">
        <v>4401.1200959999996</v>
      </c>
      <c r="G30" s="47">
        <v>1.554551E-2</v>
      </c>
      <c r="H30" s="40" t="s">
        <v>151</v>
      </c>
      <c r="J30" s="7"/>
    </row>
    <row r="31" spans="1:10" ht="25.5" x14ac:dyDescent="0.2">
      <c r="A31" s="43">
        <v>25</v>
      </c>
      <c r="B31" s="44" t="s">
        <v>426</v>
      </c>
      <c r="C31" s="44" t="s">
        <v>427</v>
      </c>
      <c r="D31" s="44" t="s">
        <v>210</v>
      </c>
      <c r="E31" s="45">
        <v>226300</v>
      </c>
      <c r="F31" s="46">
        <v>4355.3698000000004</v>
      </c>
      <c r="G31" s="47">
        <v>1.5383910000000001E-2</v>
      </c>
      <c r="H31" s="40" t="s">
        <v>151</v>
      </c>
      <c r="J31" s="7"/>
    </row>
    <row r="32" spans="1:10" x14ac:dyDescent="0.2">
      <c r="A32" s="43">
        <v>26</v>
      </c>
      <c r="B32" s="44" t="s">
        <v>194</v>
      </c>
      <c r="C32" s="44" t="s">
        <v>195</v>
      </c>
      <c r="D32" s="44" t="s">
        <v>100</v>
      </c>
      <c r="E32" s="45">
        <v>748503</v>
      </c>
      <c r="F32" s="46">
        <v>4336.8263820000002</v>
      </c>
      <c r="G32" s="47">
        <v>1.5318409999999999E-2</v>
      </c>
      <c r="H32" s="40" t="s">
        <v>151</v>
      </c>
      <c r="J32" s="7"/>
    </row>
    <row r="33" spans="1:10" x14ac:dyDescent="0.2">
      <c r="A33" s="43">
        <v>27</v>
      </c>
      <c r="B33" s="44" t="s">
        <v>378</v>
      </c>
      <c r="C33" s="44" t="s">
        <v>379</v>
      </c>
      <c r="D33" s="44" t="s">
        <v>366</v>
      </c>
      <c r="E33" s="45">
        <v>157653</v>
      </c>
      <c r="F33" s="46">
        <v>4265.5383945000003</v>
      </c>
      <c r="G33" s="47">
        <v>1.5066609999999999E-2</v>
      </c>
      <c r="H33" s="40" t="s">
        <v>151</v>
      </c>
      <c r="J33" s="7"/>
    </row>
    <row r="34" spans="1:10" x14ac:dyDescent="0.2">
      <c r="A34" s="43">
        <v>28</v>
      </c>
      <c r="B34" s="44" t="s">
        <v>198</v>
      </c>
      <c r="C34" s="44" t="s">
        <v>199</v>
      </c>
      <c r="D34" s="44" t="s">
        <v>89</v>
      </c>
      <c r="E34" s="45">
        <v>102945</v>
      </c>
      <c r="F34" s="46">
        <v>4260.4302975000001</v>
      </c>
      <c r="G34" s="47">
        <v>1.5048570000000001E-2</v>
      </c>
      <c r="H34" s="40" t="s">
        <v>151</v>
      </c>
      <c r="J34" s="7"/>
    </row>
    <row r="35" spans="1:10" x14ac:dyDescent="0.2">
      <c r="A35" s="43">
        <v>29</v>
      </c>
      <c r="B35" s="44" t="s">
        <v>418</v>
      </c>
      <c r="C35" s="44" t="s">
        <v>419</v>
      </c>
      <c r="D35" s="44" t="s">
        <v>219</v>
      </c>
      <c r="E35" s="45">
        <v>479521</v>
      </c>
      <c r="F35" s="46">
        <v>3937.8264519999998</v>
      </c>
      <c r="G35" s="47">
        <v>1.3909080000000001E-2</v>
      </c>
      <c r="H35" s="40" t="s">
        <v>151</v>
      </c>
      <c r="J35" s="7"/>
    </row>
    <row r="36" spans="1:10" x14ac:dyDescent="0.2">
      <c r="A36" s="43">
        <v>30</v>
      </c>
      <c r="B36" s="44" t="s">
        <v>289</v>
      </c>
      <c r="C36" s="44" t="s">
        <v>290</v>
      </c>
      <c r="D36" s="44" t="s">
        <v>86</v>
      </c>
      <c r="E36" s="45">
        <v>233601</v>
      </c>
      <c r="F36" s="46">
        <v>3914.3351564999998</v>
      </c>
      <c r="G36" s="47">
        <v>1.3826099999999999E-2</v>
      </c>
      <c r="H36" s="40" t="s">
        <v>151</v>
      </c>
      <c r="J36" s="7"/>
    </row>
    <row r="37" spans="1:10" x14ac:dyDescent="0.2">
      <c r="A37" s="43">
        <v>31</v>
      </c>
      <c r="B37" s="44" t="s">
        <v>324</v>
      </c>
      <c r="C37" s="44" t="s">
        <v>325</v>
      </c>
      <c r="D37" s="44" t="s">
        <v>100</v>
      </c>
      <c r="E37" s="45">
        <v>90000</v>
      </c>
      <c r="F37" s="46">
        <v>3901.05</v>
      </c>
      <c r="G37" s="47">
        <v>1.377918E-2</v>
      </c>
      <c r="H37" s="40" t="s">
        <v>151</v>
      </c>
      <c r="J37" s="7"/>
    </row>
    <row r="38" spans="1:10" x14ac:dyDescent="0.2">
      <c r="A38" s="43">
        <v>32</v>
      </c>
      <c r="B38" s="44" t="s">
        <v>556</v>
      </c>
      <c r="C38" s="44" t="s">
        <v>557</v>
      </c>
      <c r="D38" s="44" t="s">
        <v>282</v>
      </c>
      <c r="E38" s="45">
        <v>40344</v>
      </c>
      <c r="F38" s="46">
        <v>3898.9248480000001</v>
      </c>
      <c r="G38" s="47">
        <v>1.377167E-2</v>
      </c>
      <c r="H38" s="40" t="s">
        <v>151</v>
      </c>
      <c r="J38" s="7"/>
    </row>
    <row r="39" spans="1:10" x14ac:dyDescent="0.2">
      <c r="A39" s="43">
        <v>33</v>
      </c>
      <c r="B39" s="44" t="s">
        <v>349</v>
      </c>
      <c r="C39" s="44" t="s">
        <v>350</v>
      </c>
      <c r="D39" s="44" t="s">
        <v>219</v>
      </c>
      <c r="E39" s="45">
        <v>88374</v>
      </c>
      <c r="F39" s="46">
        <v>3875.5092089999998</v>
      </c>
      <c r="G39" s="47">
        <v>1.368896E-2</v>
      </c>
      <c r="H39" s="40" t="s">
        <v>151</v>
      </c>
      <c r="J39" s="7"/>
    </row>
    <row r="40" spans="1:10" ht="25.5" x14ac:dyDescent="0.2">
      <c r="A40" s="43">
        <v>34</v>
      </c>
      <c r="B40" s="44" t="s">
        <v>353</v>
      </c>
      <c r="C40" s="44" t="s">
        <v>354</v>
      </c>
      <c r="D40" s="44" t="s">
        <v>210</v>
      </c>
      <c r="E40" s="45">
        <v>224158</v>
      </c>
      <c r="F40" s="46">
        <v>3854.0605730000002</v>
      </c>
      <c r="G40" s="47">
        <v>1.3613200000000001E-2</v>
      </c>
      <c r="H40" s="40" t="s">
        <v>151</v>
      </c>
      <c r="J40" s="7"/>
    </row>
    <row r="41" spans="1:10" x14ac:dyDescent="0.2">
      <c r="A41" s="43">
        <v>35</v>
      </c>
      <c r="B41" s="44" t="s">
        <v>355</v>
      </c>
      <c r="C41" s="44" t="s">
        <v>356</v>
      </c>
      <c r="D41" s="44" t="s">
        <v>45</v>
      </c>
      <c r="E41" s="45">
        <v>205944</v>
      </c>
      <c r="F41" s="46">
        <v>3723.2615759999999</v>
      </c>
      <c r="G41" s="47">
        <v>1.31512E-2</v>
      </c>
      <c r="H41" s="40" t="s">
        <v>151</v>
      </c>
      <c r="J41" s="7"/>
    </row>
    <row r="42" spans="1:10" x14ac:dyDescent="0.2">
      <c r="A42" s="43">
        <v>36</v>
      </c>
      <c r="B42" s="44" t="s">
        <v>105</v>
      </c>
      <c r="C42" s="44" t="s">
        <v>106</v>
      </c>
      <c r="D42" s="44" t="s">
        <v>107</v>
      </c>
      <c r="E42" s="45">
        <v>688689</v>
      </c>
      <c r="F42" s="46">
        <v>3596.3339580000002</v>
      </c>
      <c r="G42" s="47">
        <v>1.270287E-2</v>
      </c>
      <c r="H42" s="40" t="s">
        <v>151</v>
      </c>
      <c r="J42" s="7"/>
    </row>
    <row r="43" spans="1:10" x14ac:dyDescent="0.2">
      <c r="A43" s="43">
        <v>37</v>
      </c>
      <c r="B43" s="44" t="s">
        <v>258</v>
      </c>
      <c r="C43" s="44" t="s">
        <v>259</v>
      </c>
      <c r="D43" s="44" t="s">
        <v>89</v>
      </c>
      <c r="E43" s="45">
        <v>21813</v>
      </c>
      <c r="F43" s="46">
        <v>3453.5214120000001</v>
      </c>
      <c r="G43" s="47">
        <v>1.219843E-2</v>
      </c>
      <c r="H43" s="40" t="s">
        <v>151</v>
      </c>
      <c r="J43" s="7"/>
    </row>
    <row r="44" spans="1:10" ht="25.5" x14ac:dyDescent="0.2">
      <c r="A44" s="43">
        <v>38</v>
      </c>
      <c r="B44" s="44" t="s">
        <v>82</v>
      </c>
      <c r="C44" s="44" t="s">
        <v>83</v>
      </c>
      <c r="D44" s="44" t="s">
        <v>25</v>
      </c>
      <c r="E44" s="45">
        <v>77891</v>
      </c>
      <c r="F44" s="46">
        <v>3440.4065245000002</v>
      </c>
      <c r="G44" s="47">
        <v>1.2152100000000001E-2</v>
      </c>
      <c r="H44" s="40" t="s">
        <v>151</v>
      </c>
      <c r="J44" s="7"/>
    </row>
    <row r="45" spans="1:10" x14ac:dyDescent="0.2">
      <c r="A45" s="43">
        <v>39</v>
      </c>
      <c r="B45" s="44" t="s">
        <v>446</v>
      </c>
      <c r="C45" s="44" t="s">
        <v>447</v>
      </c>
      <c r="D45" s="44" t="s">
        <v>86</v>
      </c>
      <c r="E45" s="45">
        <v>246194</v>
      </c>
      <c r="F45" s="46">
        <v>3268.5946410000001</v>
      </c>
      <c r="G45" s="47">
        <v>1.154523E-2</v>
      </c>
      <c r="H45" s="40" t="s">
        <v>151</v>
      </c>
      <c r="J45" s="7"/>
    </row>
    <row r="46" spans="1:10" x14ac:dyDescent="0.2">
      <c r="A46" s="43">
        <v>40</v>
      </c>
      <c r="B46" s="44" t="s">
        <v>254</v>
      </c>
      <c r="C46" s="44" t="s">
        <v>255</v>
      </c>
      <c r="D46" s="44" t="s">
        <v>202</v>
      </c>
      <c r="E46" s="45">
        <v>44844</v>
      </c>
      <c r="F46" s="46">
        <v>3151.29999</v>
      </c>
      <c r="G46" s="47">
        <v>1.1130930000000001E-2</v>
      </c>
      <c r="H46" s="40" t="s">
        <v>151</v>
      </c>
      <c r="J46" s="7"/>
    </row>
    <row r="47" spans="1:10" x14ac:dyDescent="0.2">
      <c r="A47" s="43">
        <v>41</v>
      </c>
      <c r="B47" s="44" t="s">
        <v>238</v>
      </c>
      <c r="C47" s="44" t="s">
        <v>239</v>
      </c>
      <c r="D47" s="44" t="s">
        <v>22</v>
      </c>
      <c r="E47" s="45">
        <v>782766</v>
      </c>
      <c r="F47" s="46">
        <v>3070.3996350000002</v>
      </c>
      <c r="G47" s="47">
        <v>1.0845179999999999E-2</v>
      </c>
      <c r="H47" s="40" t="s">
        <v>151</v>
      </c>
      <c r="J47" s="7"/>
    </row>
    <row r="48" spans="1:10" x14ac:dyDescent="0.2">
      <c r="A48" s="43">
        <v>42</v>
      </c>
      <c r="B48" s="44" t="s">
        <v>120</v>
      </c>
      <c r="C48" s="44" t="s">
        <v>121</v>
      </c>
      <c r="D48" s="44" t="s">
        <v>89</v>
      </c>
      <c r="E48" s="45">
        <v>68171</v>
      </c>
      <c r="F48" s="46">
        <v>2909.0951685</v>
      </c>
      <c r="G48" s="47">
        <v>1.027542E-2</v>
      </c>
      <c r="H48" s="40" t="s">
        <v>151</v>
      </c>
      <c r="J48" s="7"/>
    </row>
    <row r="49" spans="1:10" x14ac:dyDescent="0.2">
      <c r="A49" s="43">
        <v>43</v>
      </c>
      <c r="B49" s="44" t="s">
        <v>87</v>
      </c>
      <c r="C49" s="44" t="s">
        <v>88</v>
      </c>
      <c r="D49" s="44" t="s">
        <v>89</v>
      </c>
      <c r="E49" s="45">
        <v>50000</v>
      </c>
      <c r="F49" s="46">
        <v>2794.75</v>
      </c>
      <c r="G49" s="47">
        <v>9.8715299999999999E-3</v>
      </c>
      <c r="H49" s="40" t="s">
        <v>151</v>
      </c>
      <c r="J49" s="7"/>
    </row>
    <row r="50" spans="1:10" x14ac:dyDescent="0.2">
      <c r="A50" s="43">
        <v>44</v>
      </c>
      <c r="B50" s="44" t="s">
        <v>295</v>
      </c>
      <c r="C50" s="44" t="s">
        <v>296</v>
      </c>
      <c r="D50" s="44" t="s">
        <v>242</v>
      </c>
      <c r="E50" s="45">
        <v>1540361</v>
      </c>
      <c r="F50" s="46">
        <v>2762.4834173999998</v>
      </c>
      <c r="G50" s="47">
        <v>9.7575600000000002E-3</v>
      </c>
      <c r="H50" s="40" t="s">
        <v>151</v>
      </c>
      <c r="J50" s="7"/>
    </row>
    <row r="51" spans="1:10" x14ac:dyDescent="0.2">
      <c r="A51" s="43">
        <v>45</v>
      </c>
      <c r="B51" s="44" t="s">
        <v>756</v>
      </c>
      <c r="C51" s="44" t="s">
        <v>757</v>
      </c>
      <c r="D51" s="44" t="s">
        <v>100</v>
      </c>
      <c r="E51" s="45">
        <v>147500</v>
      </c>
      <c r="F51" s="46">
        <v>2728.5287499999999</v>
      </c>
      <c r="G51" s="47">
        <v>9.6376299999999995E-3</v>
      </c>
      <c r="H51" s="40" t="s">
        <v>151</v>
      </c>
      <c r="J51" s="7"/>
    </row>
    <row r="52" spans="1:10" x14ac:dyDescent="0.2">
      <c r="A52" s="43">
        <v>46</v>
      </c>
      <c r="B52" s="44" t="s">
        <v>252</v>
      </c>
      <c r="C52" s="44" t="s">
        <v>253</v>
      </c>
      <c r="D52" s="44" t="s">
        <v>242</v>
      </c>
      <c r="E52" s="45">
        <v>323072</v>
      </c>
      <c r="F52" s="46">
        <v>2725.2738559999998</v>
      </c>
      <c r="G52" s="47">
        <v>9.6261300000000001E-3</v>
      </c>
      <c r="H52" s="40" t="s">
        <v>151</v>
      </c>
      <c r="J52" s="7"/>
    </row>
    <row r="53" spans="1:10" x14ac:dyDescent="0.2">
      <c r="A53" s="43">
        <v>47</v>
      </c>
      <c r="B53" s="44" t="s">
        <v>499</v>
      </c>
      <c r="C53" s="44" t="s">
        <v>500</v>
      </c>
      <c r="D53" s="44" t="s">
        <v>89</v>
      </c>
      <c r="E53" s="45">
        <v>99724</v>
      </c>
      <c r="F53" s="46">
        <v>2681.428774</v>
      </c>
      <c r="G53" s="47">
        <v>9.4712600000000004E-3</v>
      </c>
      <c r="H53" s="40" t="s">
        <v>151</v>
      </c>
      <c r="J53" s="7"/>
    </row>
    <row r="54" spans="1:10" ht="25.5" x14ac:dyDescent="0.2">
      <c r="A54" s="43">
        <v>48</v>
      </c>
      <c r="B54" s="44" t="s">
        <v>299</v>
      </c>
      <c r="C54" s="44" t="s">
        <v>300</v>
      </c>
      <c r="D54" s="44" t="s">
        <v>205</v>
      </c>
      <c r="E54" s="45">
        <v>58146</v>
      </c>
      <c r="F54" s="46">
        <v>2576.303895</v>
      </c>
      <c r="G54" s="47">
        <v>9.0999500000000007E-3</v>
      </c>
      <c r="H54" s="40" t="s">
        <v>151</v>
      </c>
      <c r="J54" s="7"/>
    </row>
    <row r="55" spans="1:10" x14ac:dyDescent="0.2">
      <c r="A55" s="43">
        <v>49</v>
      </c>
      <c r="B55" s="44" t="s">
        <v>275</v>
      </c>
      <c r="C55" s="44" t="s">
        <v>276</v>
      </c>
      <c r="D55" s="44" t="s">
        <v>277</v>
      </c>
      <c r="E55" s="45">
        <v>200235</v>
      </c>
      <c r="F55" s="46">
        <v>2466.3946125000002</v>
      </c>
      <c r="G55" s="47">
        <v>8.7117300000000009E-3</v>
      </c>
      <c r="H55" s="40" t="s">
        <v>151</v>
      </c>
      <c r="J55" s="7"/>
    </row>
    <row r="56" spans="1:10" x14ac:dyDescent="0.2">
      <c r="A56" s="43">
        <v>50</v>
      </c>
      <c r="B56" s="44" t="s">
        <v>250</v>
      </c>
      <c r="C56" s="44" t="s">
        <v>251</v>
      </c>
      <c r="D56" s="44" t="s">
        <v>219</v>
      </c>
      <c r="E56" s="45">
        <v>84251</v>
      </c>
      <c r="F56" s="46">
        <v>2436.9601750000002</v>
      </c>
      <c r="G56" s="47">
        <v>8.6077600000000008E-3</v>
      </c>
      <c r="H56" s="40" t="s">
        <v>151</v>
      </c>
      <c r="J56" s="7"/>
    </row>
    <row r="57" spans="1:10" ht="25.5" x14ac:dyDescent="0.2">
      <c r="A57" s="43">
        <v>51</v>
      </c>
      <c r="B57" s="44" t="s">
        <v>311</v>
      </c>
      <c r="C57" s="44" t="s">
        <v>312</v>
      </c>
      <c r="D57" s="44" t="s">
        <v>313</v>
      </c>
      <c r="E57" s="45">
        <v>355235</v>
      </c>
      <c r="F57" s="46">
        <v>2394.6391349999999</v>
      </c>
      <c r="G57" s="47">
        <v>8.4582700000000004E-3</v>
      </c>
      <c r="H57" s="40" t="s">
        <v>151</v>
      </c>
      <c r="J57" s="7"/>
    </row>
    <row r="58" spans="1:10" x14ac:dyDescent="0.2">
      <c r="A58" s="43">
        <v>52</v>
      </c>
      <c r="B58" s="44" t="s">
        <v>77</v>
      </c>
      <c r="C58" s="44" t="s">
        <v>78</v>
      </c>
      <c r="D58" s="44" t="s">
        <v>33</v>
      </c>
      <c r="E58" s="45">
        <v>60096</v>
      </c>
      <c r="F58" s="46">
        <v>2315.108256</v>
      </c>
      <c r="G58" s="47">
        <v>8.1773599999999998E-3</v>
      </c>
      <c r="H58" s="40" t="s">
        <v>151</v>
      </c>
      <c r="J58" s="7"/>
    </row>
    <row r="59" spans="1:10" x14ac:dyDescent="0.2">
      <c r="A59" s="43">
        <v>53</v>
      </c>
      <c r="B59" s="44" t="s">
        <v>758</v>
      </c>
      <c r="C59" s="44" t="s">
        <v>759</v>
      </c>
      <c r="D59" s="44" t="s">
        <v>222</v>
      </c>
      <c r="E59" s="45">
        <v>89426</v>
      </c>
      <c r="F59" s="46">
        <v>1894.847514</v>
      </c>
      <c r="G59" s="47">
        <v>6.6929299999999997E-3</v>
      </c>
      <c r="H59" s="40" t="s">
        <v>151</v>
      </c>
      <c r="J59" s="7"/>
    </row>
    <row r="60" spans="1:10" ht="25.5" x14ac:dyDescent="0.2">
      <c r="A60" s="43">
        <v>54</v>
      </c>
      <c r="B60" s="44" t="s">
        <v>518</v>
      </c>
      <c r="C60" s="44" t="s">
        <v>519</v>
      </c>
      <c r="D60" s="44" t="s">
        <v>205</v>
      </c>
      <c r="E60" s="45">
        <v>185270</v>
      </c>
      <c r="F60" s="46">
        <v>1520.8814299999999</v>
      </c>
      <c r="G60" s="47">
        <v>5.37201E-3</v>
      </c>
      <c r="H60" s="40" t="s">
        <v>151</v>
      </c>
      <c r="J60" s="7"/>
    </row>
    <row r="61" spans="1:10" x14ac:dyDescent="0.2">
      <c r="A61" s="43">
        <v>55</v>
      </c>
      <c r="B61" s="44" t="s">
        <v>137</v>
      </c>
      <c r="C61" s="44" t="s">
        <v>138</v>
      </c>
      <c r="D61" s="44" t="s">
        <v>33</v>
      </c>
      <c r="E61" s="45">
        <v>96626</v>
      </c>
      <c r="F61" s="46">
        <v>1435.37923</v>
      </c>
      <c r="G61" s="47">
        <v>5.0699999999999999E-3</v>
      </c>
      <c r="H61" s="40" t="s">
        <v>151</v>
      </c>
      <c r="J61" s="7"/>
    </row>
    <row r="62" spans="1:10" ht="25.5" x14ac:dyDescent="0.2">
      <c r="A62" s="43">
        <v>56</v>
      </c>
      <c r="B62" s="44" t="s">
        <v>532</v>
      </c>
      <c r="C62" s="44" t="s">
        <v>533</v>
      </c>
      <c r="D62" s="44" t="s">
        <v>534</v>
      </c>
      <c r="E62" s="45">
        <v>191937</v>
      </c>
      <c r="F62" s="46">
        <v>900.08856149999997</v>
      </c>
      <c r="G62" s="47">
        <v>3.1792700000000001E-3</v>
      </c>
      <c r="H62" s="40" t="s">
        <v>151</v>
      </c>
      <c r="J62" s="7"/>
    </row>
    <row r="63" spans="1:10" x14ac:dyDescent="0.2">
      <c r="A63" s="43">
        <v>57</v>
      </c>
      <c r="B63" s="44" t="s">
        <v>314</v>
      </c>
      <c r="C63" s="44" t="s">
        <v>315</v>
      </c>
      <c r="D63" s="44" t="s">
        <v>100</v>
      </c>
      <c r="E63" s="45">
        <v>247593</v>
      </c>
      <c r="F63" s="46">
        <v>760.60569599999997</v>
      </c>
      <c r="G63" s="47">
        <v>2.68659E-3</v>
      </c>
      <c r="H63" s="40" t="s">
        <v>151</v>
      </c>
      <c r="J63" s="7"/>
    </row>
    <row r="64" spans="1:10" x14ac:dyDescent="0.2">
      <c r="A64" s="43">
        <v>58</v>
      </c>
      <c r="B64" s="44" t="s">
        <v>448</v>
      </c>
      <c r="C64" s="44" t="s">
        <v>449</v>
      </c>
      <c r="D64" s="44" t="s">
        <v>100</v>
      </c>
      <c r="E64" s="45">
        <v>96880</v>
      </c>
      <c r="F64" s="46">
        <v>685.66819999999996</v>
      </c>
      <c r="G64" s="47">
        <v>2.4218999999999998E-3</v>
      </c>
      <c r="H64" s="40" t="s">
        <v>151</v>
      </c>
      <c r="J64" s="7"/>
    </row>
    <row r="65" spans="1:10" x14ac:dyDescent="0.2">
      <c r="A65" s="41"/>
      <c r="B65" s="41"/>
      <c r="C65" s="42" t="s">
        <v>150</v>
      </c>
      <c r="D65" s="41"/>
      <c r="E65" s="41" t="s">
        <v>151</v>
      </c>
      <c r="F65" s="48">
        <f>SUM(F7:F64)</f>
        <v>270689.3350354</v>
      </c>
      <c r="G65" s="49">
        <f>SUM(G7:G64)</f>
        <v>0.95612096999999985</v>
      </c>
      <c r="H65" s="40" t="s">
        <v>151</v>
      </c>
      <c r="J65" s="7"/>
    </row>
    <row r="66" spans="1:10" x14ac:dyDescent="0.2">
      <c r="A66" s="41"/>
      <c r="B66" s="41"/>
      <c r="C66" s="50"/>
      <c r="D66" s="41"/>
      <c r="E66" s="41"/>
      <c r="F66" s="51"/>
      <c r="G66" s="51"/>
      <c r="H66" s="40" t="s">
        <v>151</v>
      </c>
      <c r="J66" s="7"/>
    </row>
    <row r="67" spans="1:10" x14ac:dyDescent="0.2">
      <c r="A67" s="41"/>
      <c r="B67" s="41"/>
      <c r="C67" s="42" t="s">
        <v>152</v>
      </c>
      <c r="D67" s="41"/>
      <c r="E67" s="41"/>
      <c r="F67" s="41"/>
      <c r="G67" s="41"/>
      <c r="H67" s="40" t="s">
        <v>151</v>
      </c>
      <c r="J67" s="7"/>
    </row>
    <row r="68" spans="1:10" x14ac:dyDescent="0.2">
      <c r="A68" s="41"/>
      <c r="B68" s="41"/>
      <c r="C68" s="42" t="s">
        <v>150</v>
      </c>
      <c r="D68" s="41"/>
      <c r="E68" s="41" t="s">
        <v>151</v>
      </c>
      <c r="F68" s="52" t="s">
        <v>153</v>
      </c>
      <c r="G68" s="49">
        <v>0</v>
      </c>
      <c r="H68" s="40" t="s">
        <v>151</v>
      </c>
      <c r="J68" s="7"/>
    </row>
    <row r="69" spans="1:10" x14ac:dyDescent="0.2">
      <c r="A69" s="41"/>
      <c r="B69" s="41"/>
      <c r="C69" s="50"/>
      <c r="D69" s="41"/>
      <c r="E69" s="41"/>
      <c r="F69" s="51"/>
      <c r="G69" s="51"/>
      <c r="H69" s="40" t="s">
        <v>151</v>
      </c>
      <c r="J69" s="7"/>
    </row>
    <row r="70" spans="1:10" x14ac:dyDescent="0.2">
      <c r="A70" s="41"/>
      <c r="B70" s="41"/>
      <c r="C70" s="42" t="s">
        <v>154</v>
      </c>
      <c r="D70" s="41"/>
      <c r="E70" s="41"/>
      <c r="F70" s="41"/>
      <c r="G70" s="41"/>
      <c r="H70" s="40" t="s">
        <v>151</v>
      </c>
      <c r="J70" s="7"/>
    </row>
    <row r="71" spans="1:10" x14ac:dyDescent="0.2">
      <c r="A71" s="43">
        <v>1</v>
      </c>
      <c r="B71" s="44" t="s">
        <v>566</v>
      </c>
      <c r="C71" s="53" t="s">
        <v>998</v>
      </c>
      <c r="D71" s="44" t="s">
        <v>242</v>
      </c>
      <c r="E71" s="45">
        <v>511578</v>
      </c>
      <c r="F71" s="46">
        <v>21.946696200000002</v>
      </c>
      <c r="G71" s="47">
        <v>7.7520000000000003E-5</v>
      </c>
      <c r="H71" s="40" t="s">
        <v>151</v>
      </c>
      <c r="J71" s="7"/>
    </row>
    <row r="72" spans="1:10" x14ac:dyDescent="0.2">
      <c r="A72" s="43">
        <v>2</v>
      </c>
      <c r="B72" s="44" t="s">
        <v>760</v>
      </c>
      <c r="C72" s="53" t="s">
        <v>999</v>
      </c>
      <c r="D72" s="44" t="s">
        <v>229</v>
      </c>
      <c r="E72" s="45">
        <v>39500</v>
      </c>
      <c r="F72" s="46">
        <v>17.040299999999998</v>
      </c>
      <c r="G72" s="47">
        <v>6.0189999999999998E-5</v>
      </c>
      <c r="H72" s="40" t="s">
        <v>151</v>
      </c>
      <c r="J72" s="7"/>
    </row>
    <row r="73" spans="1:10" x14ac:dyDescent="0.2">
      <c r="A73" s="43">
        <v>3</v>
      </c>
      <c r="B73" s="44" t="s">
        <v>761</v>
      </c>
      <c r="C73" s="53" t="s">
        <v>1000</v>
      </c>
      <c r="D73" s="44"/>
      <c r="E73" s="45">
        <v>54000</v>
      </c>
      <c r="F73" s="46">
        <v>5.4000000000000002E-7</v>
      </c>
      <c r="G73" s="54" t="s">
        <v>149</v>
      </c>
      <c r="H73" s="40" t="s">
        <v>151</v>
      </c>
      <c r="J73" s="7"/>
    </row>
    <row r="74" spans="1:10" x14ac:dyDescent="0.2">
      <c r="A74" s="43">
        <v>4</v>
      </c>
      <c r="B74" s="44" t="s">
        <v>762</v>
      </c>
      <c r="C74" s="53" t="s">
        <v>1001</v>
      </c>
      <c r="D74" s="44"/>
      <c r="E74" s="45">
        <v>93200</v>
      </c>
      <c r="F74" s="46">
        <v>9.3200000000000003E-7</v>
      </c>
      <c r="G74" s="54" t="s">
        <v>149</v>
      </c>
      <c r="H74" s="40" t="s">
        <v>151</v>
      </c>
      <c r="J74" s="7"/>
    </row>
    <row r="75" spans="1:10" ht="25.5" x14ac:dyDescent="0.2">
      <c r="A75" s="43">
        <v>5</v>
      </c>
      <c r="B75" s="44" t="s">
        <v>763</v>
      </c>
      <c r="C75" s="53" t="s">
        <v>1005</v>
      </c>
      <c r="D75" s="44" t="s">
        <v>764</v>
      </c>
      <c r="E75" s="45">
        <v>50800</v>
      </c>
      <c r="F75" s="46">
        <v>5.0800000000000005E-7</v>
      </c>
      <c r="G75" s="54" t="s">
        <v>149</v>
      </c>
      <c r="H75" s="40" t="s">
        <v>151</v>
      </c>
      <c r="J75" s="7"/>
    </row>
    <row r="76" spans="1:10" ht="38.25" x14ac:dyDescent="0.2">
      <c r="A76" s="43">
        <v>6</v>
      </c>
      <c r="B76" s="44" t="s">
        <v>765</v>
      </c>
      <c r="C76" s="53" t="s">
        <v>1002</v>
      </c>
      <c r="D76" s="44" t="s">
        <v>766</v>
      </c>
      <c r="E76" s="45">
        <v>200000</v>
      </c>
      <c r="F76" s="46">
        <v>1.9999999999999999E-6</v>
      </c>
      <c r="G76" s="54" t="s">
        <v>149</v>
      </c>
      <c r="H76" s="40" t="s">
        <v>151</v>
      </c>
      <c r="J76" s="7"/>
    </row>
    <row r="77" spans="1:10" x14ac:dyDescent="0.2">
      <c r="A77" s="43">
        <v>7</v>
      </c>
      <c r="B77" s="44" t="s">
        <v>767</v>
      </c>
      <c r="C77" s="53" t="s">
        <v>1004</v>
      </c>
      <c r="D77" s="44"/>
      <c r="E77" s="45">
        <v>200</v>
      </c>
      <c r="F77" s="46">
        <v>2.0000000000000001E-9</v>
      </c>
      <c r="G77" s="54" t="s">
        <v>149</v>
      </c>
      <c r="H77" s="40" t="s">
        <v>151</v>
      </c>
      <c r="J77" s="7"/>
    </row>
    <row r="78" spans="1:10" x14ac:dyDescent="0.2">
      <c r="A78" s="43">
        <v>8</v>
      </c>
      <c r="B78" s="44" t="s">
        <v>768</v>
      </c>
      <c r="C78" s="53" t="s">
        <v>1003</v>
      </c>
      <c r="D78" s="44"/>
      <c r="E78" s="45">
        <v>176305</v>
      </c>
      <c r="F78" s="46">
        <v>1.7630000000000001E-6</v>
      </c>
      <c r="G78" s="54" t="s">
        <v>149</v>
      </c>
      <c r="H78" s="40" t="s">
        <v>151</v>
      </c>
      <c r="J78" s="7"/>
    </row>
    <row r="79" spans="1:10" x14ac:dyDescent="0.2">
      <c r="A79" s="41"/>
      <c r="B79" s="41"/>
      <c r="C79" s="42" t="s">
        <v>150</v>
      </c>
      <c r="D79" s="41"/>
      <c r="E79" s="41" t="s">
        <v>151</v>
      </c>
      <c r="F79" s="48">
        <f>SUM(F71:F78)</f>
        <v>38.987001945000003</v>
      </c>
      <c r="G79" s="49">
        <f>SUM(G71:G78)</f>
        <v>1.3771000000000001E-4</v>
      </c>
      <c r="H79" s="40" t="s">
        <v>151</v>
      </c>
      <c r="J79" s="7"/>
    </row>
    <row r="80" spans="1:10" x14ac:dyDescent="0.2">
      <c r="A80" s="41"/>
      <c r="B80" s="41"/>
      <c r="C80" s="50"/>
      <c r="D80" s="41"/>
      <c r="E80" s="41"/>
      <c r="F80" s="51"/>
      <c r="G80" s="51"/>
      <c r="H80" s="40" t="s">
        <v>151</v>
      </c>
      <c r="J80" s="7"/>
    </row>
    <row r="81" spans="1:10" x14ac:dyDescent="0.2">
      <c r="A81" s="41"/>
      <c r="B81" s="41"/>
      <c r="C81" s="42" t="s">
        <v>155</v>
      </c>
      <c r="D81" s="41"/>
      <c r="E81" s="41"/>
      <c r="F81" s="41"/>
      <c r="G81" s="41"/>
      <c r="H81" s="40" t="s">
        <v>151</v>
      </c>
      <c r="J81" s="7"/>
    </row>
    <row r="82" spans="1:10" x14ac:dyDescent="0.2">
      <c r="A82" s="41"/>
      <c r="B82" s="41"/>
      <c r="C82" s="42" t="s">
        <v>150</v>
      </c>
      <c r="D82" s="41"/>
      <c r="E82" s="41" t="s">
        <v>151</v>
      </c>
      <c r="F82" s="52" t="s">
        <v>153</v>
      </c>
      <c r="G82" s="49">
        <v>0</v>
      </c>
      <c r="H82" s="40" t="s">
        <v>151</v>
      </c>
      <c r="J82" s="7"/>
    </row>
    <row r="83" spans="1:10" x14ac:dyDescent="0.2">
      <c r="A83" s="41"/>
      <c r="B83" s="41"/>
      <c r="C83" s="50"/>
      <c r="D83" s="41"/>
      <c r="E83" s="41"/>
      <c r="F83" s="51"/>
      <c r="G83" s="51"/>
      <c r="H83" s="40" t="s">
        <v>151</v>
      </c>
      <c r="J83" s="7"/>
    </row>
    <row r="84" spans="1:10" x14ac:dyDescent="0.2">
      <c r="A84" s="41"/>
      <c r="B84" s="41"/>
      <c r="C84" s="42" t="s">
        <v>156</v>
      </c>
      <c r="D84" s="41"/>
      <c r="E84" s="41"/>
      <c r="F84" s="51"/>
      <c r="G84" s="51"/>
      <c r="H84" s="40" t="s">
        <v>151</v>
      </c>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157</v>
      </c>
      <c r="D87" s="41"/>
      <c r="E87" s="41"/>
      <c r="F87" s="51"/>
      <c r="G87" s="51"/>
      <c r="H87" s="40" t="s">
        <v>151</v>
      </c>
      <c r="J87" s="7"/>
    </row>
    <row r="88" spans="1:10" x14ac:dyDescent="0.2">
      <c r="A88" s="41"/>
      <c r="B88" s="41"/>
      <c r="C88" s="42" t="s">
        <v>150</v>
      </c>
      <c r="D88" s="41"/>
      <c r="E88" s="41" t="s">
        <v>151</v>
      </c>
      <c r="F88" s="52" t="s">
        <v>153</v>
      </c>
      <c r="G88" s="49">
        <v>0</v>
      </c>
      <c r="H88" s="40" t="s">
        <v>151</v>
      </c>
      <c r="J88" s="7"/>
    </row>
    <row r="89" spans="1:10" x14ac:dyDescent="0.2">
      <c r="A89" s="41"/>
      <c r="B89" s="41"/>
      <c r="C89" s="50"/>
      <c r="D89" s="41"/>
      <c r="E89" s="41"/>
      <c r="F89" s="51"/>
      <c r="G89" s="51"/>
      <c r="H89" s="40" t="s">
        <v>151</v>
      </c>
      <c r="J89" s="7"/>
    </row>
    <row r="90" spans="1:10" x14ac:dyDescent="0.2">
      <c r="A90" s="41"/>
      <c r="B90" s="41"/>
      <c r="C90" s="42" t="s">
        <v>158</v>
      </c>
      <c r="D90" s="41"/>
      <c r="E90" s="41"/>
      <c r="F90" s="48">
        <v>270728.32203734497</v>
      </c>
      <c r="G90" s="49">
        <v>0.95625868000000003</v>
      </c>
      <c r="H90" s="40" t="s">
        <v>151</v>
      </c>
      <c r="J90" s="7"/>
    </row>
    <row r="91" spans="1:10" x14ac:dyDescent="0.2">
      <c r="A91" s="41"/>
      <c r="B91" s="41"/>
      <c r="C91" s="50"/>
      <c r="D91" s="41"/>
      <c r="E91" s="41"/>
      <c r="F91" s="51"/>
      <c r="G91" s="51"/>
      <c r="H91" s="40" t="s">
        <v>151</v>
      </c>
      <c r="J91" s="7"/>
    </row>
    <row r="92" spans="1:10" x14ac:dyDescent="0.2">
      <c r="A92" s="41"/>
      <c r="B92" s="41"/>
      <c r="C92" s="42" t="s">
        <v>159</v>
      </c>
      <c r="D92" s="41"/>
      <c r="E92" s="41"/>
      <c r="F92" s="51"/>
      <c r="G92" s="51"/>
      <c r="H92" s="40" t="s">
        <v>151</v>
      </c>
      <c r="J92" s="7"/>
    </row>
    <row r="93" spans="1:10" x14ac:dyDescent="0.2">
      <c r="A93" s="41"/>
      <c r="B93" s="41"/>
      <c r="C93" s="42" t="s">
        <v>10</v>
      </c>
      <c r="D93" s="41"/>
      <c r="E93" s="41"/>
      <c r="F93" s="51"/>
      <c r="G93" s="51"/>
      <c r="H93" s="40" t="s">
        <v>151</v>
      </c>
      <c r="J93" s="7"/>
    </row>
    <row r="94" spans="1:10" x14ac:dyDescent="0.2">
      <c r="A94" s="41"/>
      <c r="B94" s="41"/>
      <c r="C94" s="42" t="s">
        <v>150</v>
      </c>
      <c r="D94" s="41"/>
      <c r="E94" s="41" t="s">
        <v>151</v>
      </c>
      <c r="F94" s="52" t="s">
        <v>153</v>
      </c>
      <c r="G94" s="49">
        <v>0</v>
      </c>
      <c r="H94" s="40" t="s">
        <v>151</v>
      </c>
      <c r="J94" s="7"/>
    </row>
    <row r="95" spans="1:10" x14ac:dyDescent="0.2">
      <c r="A95" s="41"/>
      <c r="B95" s="41"/>
      <c r="C95" s="50"/>
      <c r="D95" s="41"/>
      <c r="E95" s="41"/>
      <c r="F95" s="51"/>
      <c r="G95" s="51"/>
      <c r="H95" s="40" t="s">
        <v>151</v>
      </c>
      <c r="J95" s="7"/>
    </row>
    <row r="96" spans="1:10" x14ac:dyDescent="0.2">
      <c r="A96" s="41"/>
      <c r="B96" s="41"/>
      <c r="C96" s="42" t="s">
        <v>160</v>
      </c>
      <c r="D96" s="41"/>
      <c r="E96" s="41"/>
      <c r="F96" s="41"/>
      <c r="G96" s="41"/>
      <c r="H96" s="40" t="s">
        <v>151</v>
      </c>
      <c r="J96" s="7"/>
    </row>
    <row r="97" spans="1:10" x14ac:dyDescent="0.2">
      <c r="A97" s="41"/>
      <c r="B97" s="41"/>
      <c r="C97" s="42" t="s">
        <v>150</v>
      </c>
      <c r="D97" s="41"/>
      <c r="E97" s="41" t="s">
        <v>151</v>
      </c>
      <c r="F97" s="52" t="s">
        <v>153</v>
      </c>
      <c r="G97" s="49">
        <v>0</v>
      </c>
      <c r="H97" s="40" t="s">
        <v>151</v>
      </c>
      <c r="J97" s="7"/>
    </row>
    <row r="98" spans="1:10" x14ac:dyDescent="0.2">
      <c r="A98" s="41"/>
      <c r="B98" s="41"/>
      <c r="C98" s="50"/>
      <c r="D98" s="41"/>
      <c r="E98" s="41"/>
      <c r="F98" s="51"/>
      <c r="G98" s="51"/>
      <c r="H98" s="40" t="s">
        <v>151</v>
      </c>
      <c r="J98" s="7"/>
    </row>
    <row r="99" spans="1:10" x14ac:dyDescent="0.2">
      <c r="A99" s="41"/>
      <c r="B99" s="41"/>
      <c r="C99" s="42" t="s">
        <v>161</v>
      </c>
      <c r="D99" s="41"/>
      <c r="E99" s="41"/>
      <c r="F99" s="41"/>
      <c r="G99" s="41"/>
      <c r="H99" s="40" t="s">
        <v>151</v>
      </c>
      <c r="J99" s="7"/>
    </row>
    <row r="100" spans="1:10" x14ac:dyDescent="0.2">
      <c r="A100" s="41"/>
      <c r="B100" s="41"/>
      <c r="C100" s="42" t="s">
        <v>150</v>
      </c>
      <c r="D100" s="41"/>
      <c r="E100" s="41" t="s">
        <v>151</v>
      </c>
      <c r="F100" s="52" t="s">
        <v>153</v>
      </c>
      <c r="G100" s="49">
        <v>0</v>
      </c>
      <c r="H100" s="40" t="s">
        <v>151</v>
      </c>
      <c r="J100" s="7"/>
    </row>
    <row r="101" spans="1:10" x14ac:dyDescent="0.2">
      <c r="A101" s="41"/>
      <c r="B101" s="41"/>
      <c r="C101" s="50"/>
      <c r="D101" s="41"/>
      <c r="E101" s="41"/>
      <c r="F101" s="51"/>
      <c r="G101" s="51"/>
      <c r="H101" s="40" t="s">
        <v>151</v>
      </c>
      <c r="J101" s="7"/>
    </row>
    <row r="102" spans="1:10" x14ac:dyDescent="0.2">
      <c r="A102" s="41"/>
      <c r="B102" s="41"/>
      <c r="C102" s="42" t="s">
        <v>162</v>
      </c>
      <c r="D102" s="41"/>
      <c r="E102" s="41"/>
      <c r="F102" s="51"/>
      <c r="G102" s="51"/>
      <c r="H102" s="40" t="s">
        <v>151</v>
      </c>
      <c r="J102" s="7"/>
    </row>
    <row r="103" spans="1:10" x14ac:dyDescent="0.2">
      <c r="A103" s="41"/>
      <c r="B103" s="41"/>
      <c r="C103" s="42" t="s">
        <v>150</v>
      </c>
      <c r="D103" s="41"/>
      <c r="E103" s="41" t="s">
        <v>151</v>
      </c>
      <c r="F103" s="52" t="s">
        <v>153</v>
      </c>
      <c r="G103" s="49">
        <v>0</v>
      </c>
      <c r="H103" s="40" t="s">
        <v>151</v>
      </c>
      <c r="J103" s="7"/>
    </row>
    <row r="104" spans="1:10" x14ac:dyDescent="0.2">
      <c r="A104" s="41"/>
      <c r="B104" s="41"/>
      <c r="C104" s="50"/>
      <c r="D104" s="41"/>
      <c r="E104" s="41"/>
      <c r="F104" s="51"/>
      <c r="G104" s="51"/>
      <c r="H104" s="40" t="s">
        <v>151</v>
      </c>
      <c r="J104" s="7"/>
    </row>
    <row r="105" spans="1:10" x14ac:dyDescent="0.2">
      <c r="A105" s="41"/>
      <c r="B105" s="41"/>
      <c r="C105" s="42" t="s">
        <v>163</v>
      </c>
      <c r="D105" s="41"/>
      <c r="E105" s="41"/>
      <c r="F105" s="48">
        <v>0</v>
      </c>
      <c r="G105" s="49">
        <v>0</v>
      </c>
      <c r="H105" s="40" t="s">
        <v>151</v>
      </c>
      <c r="J105" s="7"/>
    </row>
    <row r="106" spans="1:10" x14ac:dyDescent="0.2">
      <c r="A106" s="41"/>
      <c r="B106" s="41"/>
      <c r="C106" s="50"/>
      <c r="D106" s="41"/>
      <c r="E106" s="41"/>
      <c r="F106" s="51"/>
      <c r="G106" s="51"/>
      <c r="H106" s="40" t="s">
        <v>151</v>
      </c>
      <c r="J106" s="7"/>
    </row>
    <row r="107" spans="1:10" x14ac:dyDescent="0.2">
      <c r="A107" s="41"/>
      <c r="B107" s="41"/>
      <c r="C107" s="42" t="s">
        <v>164</v>
      </c>
      <c r="D107" s="41"/>
      <c r="E107" s="41"/>
      <c r="F107" s="51"/>
      <c r="G107" s="51"/>
      <c r="H107" s="40" t="s">
        <v>151</v>
      </c>
      <c r="J107" s="7"/>
    </row>
    <row r="108" spans="1:10" x14ac:dyDescent="0.2">
      <c r="A108" s="41"/>
      <c r="B108" s="41"/>
      <c r="C108" s="42" t="s">
        <v>165</v>
      </c>
      <c r="D108" s="41"/>
      <c r="E108" s="41"/>
      <c r="F108" s="51"/>
      <c r="G108" s="51"/>
      <c r="H108" s="40" t="s">
        <v>151</v>
      </c>
      <c r="J108" s="7"/>
    </row>
    <row r="109" spans="1:10" x14ac:dyDescent="0.2">
      <c r="A109" s="41"/>
      <c r="B109" s="41"/>
      <c r="C109" s="42" t="s">
        <v>150</v>
      </c>
      <c r="D109" s="41"/>
      <c r="E109" s="41" t="s">
        <v>151</v>
      </c>
      <c r="F109" s="52" t="s">
        <v>153</v>
      </c>
      <c r="G109" s="49">
        <v>0</v>
      </c>
      <c r="H109" s="40" t="s">
        <v>151</v>
      </c>
      <c r="J109" s="7"/>
    </row>
    <row r="110" spans="1:10" x14ac:dyDescent="0.2">
      <c r="A110" s="41"/>
      <c r="B110" s="41"/>
      <c r="C110" s="50"/>
      <c r="D110" s="41"/>
      <c r="E110" s="41"/>
      <c r="F110" s="51"/>
      <c r="G110" s="51"/>
      <c r="H110" s="40" t="s">
        <v>151</v>
      </c>
      <c r="J110" s="7"/>
    </row>
    <row r="111" spans="1:10" x14ac:dyDescent="0.2">
      <c r="A111" s="41"/>
      <c r="B111" s="41"/>
      <c r="C111" s="42" t="s">
        <v>166</v>
      </c>
      <c r="D111" s="41"/>
      <c r="E111" s="41"/>
      <c r="F111" s="51"/>
      <c r="G111" s="51"/>
      <c r="H111" s="40" t="s">
        <v>151</v>
      </c>
      <c r="J111" s="7"/>
    </row>
    <row r="112" spans="1:10" x14ac:dyDescent="0.2">
      <c r="A112" s="41"/>
      <c r="B112" s="41"/>
      <c r="C112" s="42" t="s">
        <v>150</v>
      </c>
      <c r="D112" s="41"/>
      <c r="E112" s="41" t="s">
        <v>151</v>
      </c>
      <c r="F112" s="52" t="s">
        <v>153</v>
      </c>
      <c r="G112" s="49">
        <v>0</v>
      </c>
      <c r="H112" s="40" t="s">
        <v>151</v>
      </c>
      <c r="J112" s="7"/>
    </row>
    <row r="113" spans="1:10" x14ac:dyDescent="0.2">
      <c r="A113" s="41"/>
      <c r="B113" s="41"/>
      <c r="C113" s="50"/>
      <c r="D113" s="41"/>
      <c r="E113" s="41"/>
      <c r="F113" s="51"/>
      <c r="G113" s="51"/>
      <c r="H113" s="40" t="s">
        <v>151</v>
      </c>
      <c r="J113" s="7"/>
    </row>
    <row r="114" spans="1:10" x14ac:dyDescent="0.2">
      <c r="A114" s="41"/>
      <c r="B114" s="41"/>
      <c r="C114" s="42" t="s">
        <v>167</v>
      </c>
      <c r="D114" s="41"/>
      <c r="E114" s="41"/>
      <c r="F114" s="51"/>
      <c r="G114" s="51"/>
      <c r="H114" s="40" t="s">
        <v>151</v>
      </c>
      <c r="J114" s="7"/>
    </row>
    <row r="115" spans="1:10" x14ac:dyDescent="0.2">
      <c r="A115" s="41"/>
      <c r="B115" s="41"/>
      <c r="C115" s="42" t="s">
        <v>150</v>
      </c>
      <c r="D115" s="41"/>
      <c r="E115" s="41" t="s">
        <v>151</v>
      </c>
      <c r="F115" s="52" t="s">
        <v>153</v>
      </c>
      <c r="G115" s="49">
        <v>0</v>
      </c>
      <c r="H115" s="40" t="s">
        <v>151</v>
      </c>
      <c r="J115" s="7"/>
    </row>
    <row r="116" spans="1:10" x14ac:dyDescent="0.2">
      <c r="A116" s="41"/>
      <c r="B116" s="41"/>
      <c r="C116" s="50"/>
      <c r="D116" s="41"/>
      <c r="E116" s="41"/>
      <c r="F116" s="51"/>
      <c r="G116" s="51"/>
      <c r="H116" s="40" t="s">
        <v>151</v>
      </c>
      <c r="J116" s="7"/>
    </row>
    <row r="117" spans="1:10" x14ac:dyDescent="0.2">
      <c r="A117" s="41"/>
      <c r="B117" s="41"/>
      <c r="C117" s="42" t="s">
        <v>168</v>
      </c>
      <c r="D117" s="41"/>
      <c r="E117" s="41"/>
      <c r="F117" s="51"/>
      <c r="G117" s="51"/>
      <c r="H117" s="40" t="s">
        <v>151</v>
      </c>
      <c r="J117" s="7"/>
    </row>
    <row r="118" spans="1:10" x14ac:dyDescent="0.2">
      <c r="A118" s="43">
        <v>1</v>
      </c>
      <c r="B118" s="44"/>
      <c r="C118" s="44" t="s">
        <v>169</v>
      </c>
      <c r="D118" s="44"/>
      <c r="E118" s="54"/>
      <c r="F118" s="46">
        <v>11619.586331024</v>
      </c>
      <c r="G118" s="47">
        <v>4.104236E-2</v>
      </c>
      <c r="H118" s="40">
        <v>6.39</v>
      </c>
      <c r="J118" s="7"/>
    </row>
    <row r="119" spans="1:10" x14ac:dyDescent="0.2">
      <c r="A119" s="41"/>
      <c r="B119" s="41"/>
      <c r="C119" s="42" t="s">
        <v>150</v>
      </c>
      <c r="D119" s="41"/>
      <c r="E119" s="41" t="s">
        <v>151</v>
      </c>
      <c r="F119" s="48">
        <v>11619.586331024</v>
      </c>
      <c r="G119" s="49">
        <v>4.104236E-2</v>
      </c>
      <c r="H119" s="40" t="s">
        <v>151</v>
      </c>
      <c r="J119" s="7"/>
    </row>
    <row r="120" spans="1:10" x14ac:dyDescent="0.2">
      <c r="A120" s="41"/>
      <c r="B120" s="41"/>
      <c r="C120" s="50"/>
      <c r="D120" s="41"/>
      <c r="E120" s="41"/>
      <c r="F120" s="51"/>
      <c r="G120" s="51"/>
      <c r="H120" s="40" t="s">
        <v>151</v>
      </c>
      <c r="J120" s="7"/>
    </row>
    <row r="121" spans="1:10" x14ac:dyDescent="0.2">
      <c r="A121" s="41"/>
      <c r="B121" s="41"/>
      <c r="C121" s="42" t="s">
        <v>170</v>
      </c>
      <c r="D121" s="41"/>
      <c r="E121" s="41"/>
      <c r="F121" s="48">
        <v>11619.586331024</v>
      </c>
      <c r="G121" s="49">
        <v>4.104236E-2</v>
      </c>
      <c r="H121" s="40" t="s">
        <v>151</v>
      </c>
      <c r="J121" s="7"/>
    </row>
    <row r="122" spans="1:10" x14ac:dyDescent="0.2">
      <c r="A122" s="41"/>
      <c r="B122" s="41"/>
      <c r="C122" s="51"/>
      <c r="D122" s="41"/>
      <c r="E122" s="41"/>
      <c r="F122" s="41"/>
      <c r="G122" s="41"/>
      <c r="H122" s="40" t="s">
        <v>151</v>
      </c>
      <c r="J122" s="7"/>
    </row>
    <row r="123" spans="1:10" x14ac:dyDescent="0.2">
      <c r="A123" s="41"/>
      <c r="B123" s="41"/>
      <c r="C123" s="42" t="s">
        <v>171</v>
      </c>
      <c r="D123" s="41"/>
      <c r="E123" s="41"/>
      <c r="F123" s="41"/>
      <c r="G123" s="41"/>
      <c r="H123" s="40" t="s">
        <v>151</v>
      </c>
      <c r="J123" s="7"/>
    </row>
    <row r="124" spans="1:10" x14ac:dyDescent="0.2">
      <c r="A124" s="41"/>
      <c r="B124" s="41"/>
      <c r="C124" s="42" t="s">
        <v>172</v>
      </c>
      <c r="D124" s="41"/>
      <c r="E124" s="41"/>
      <c r="F124" s="41"/>
      <c r="G124" s="41"/>
      <c r="H124" s="40" t="s">
        <v>151</v>
      </c>
      <c r="J124" s="7"/>
    </row>
    <row r="125" spans="1:10" x14ac:dyDescent="0.2">
      <c r="A125" s="41"/>
      <c r="B125" s="41"/>
      <c r="C125" s="42" t="s">
        <v>150</v>
      </c>
      <c r="D125" s="41"/>
      <c r="E125" s="41" t="s">
        <v>151</v>
      </c>
      <c r="F125" s="52" t="s">
        <v>153</v>
      </c>
      <c r="G125" s="49">
        <v>0</v>
      </c>
      <c r="H125" s="40" t="s">
        <v>151</v>
      </c>
      <c r="J125" s="7"/>
    </row>
    <row r="126" spans="1:10" x14ac:dyDescent="0.2">
      <c r="A126" s="41"/>
      <c r="B126" s="41"/>
      <c r="C126" s="50"/>
      <c r="D126" s="41"/>
      <c r="E126" s="41"/>
      <c r="F126" s="51"/>
      <c r="G126" s="51"/>
      <c r="H126" s="40" t="s">
        <v>151</v>
      </c>
      <c r="J126" s="7"/>
    </row>
    <row r="127" spans="1:10" x14ac:dyDescent="0.2">
      <c r="A127" s="41"/>
      <c r="B127" s="41"/>
      <c r="C127" s="42" t="s">
        <v>173</v>
      </c>
      <c r="D127" s="41"/>
      <c r="E127" s="41"/>
      <c r="F127" s="41"/>
      <c r="G127" s="41"/>
      <c r="H127" s="40" t="s">
        <v>151</v>
      </c>
      <c r="J127" s="7"/>
    </row>
    <row r="128" spans="1:10" x14ac:dyDescent="0.2">
      <c r="A128" s="41"/>
      <c r="B128" s="41"/>
      <c r="C128" s="42" t="s">
        <v>174</v>
      </c>
      <c r="D128" s="41"/>
      <c r="E128" s="41"/>
      <c r="F128" s="41"/>
      <c r="G128" s="41"/>
      <c r="H128" s="40" t="s">
        <v>151</v>
      </c>
      <c r="J128" s="7"/>
    </row>
    <row r="129" spans="1:17" x14ac:dyDescent="0.2">
      <c r="A129" s="41"/>
      <c r="B129" s="41"/>
      <c r="C129" s="42" t="s">
        <v>150</v>
      </c>
      <c r="D129" s="41"/>
      <c r="E129" s="41" t="s">
        <v>151</v>
      </c>
      <c r="F129" s="52" t="s">
        <v>153</v>
      </c>
      <c r="G129" s="49">
        <v>0</v>
      </c>
      <c r="H129" s="40" t="s">
        <v>151</v>
      </c>
      <c r="J129" s="7"/>
    </row>
    <row r="130" spans="1:17" x14ac:dyDescent="0.2">
      <c r="A130" s="41"/>
      <c r="B130" s="41"/>
      <c r="C130" s="50"/>
      <c r="D130" s="41"/>
      <c r="E130" s="41"/>
      <c r="F130" s="51"/>
      <c r="G130" s="51"/>
      <c r="H130" s="40" t="s">
        <v>151</v>
      </c>
      <c r="J130" s="7"/>
    </row>
    <row r="131" spans="1:17" x14ac:dyDescent="0.2">
      <c r="A131" s="41"/>
      <c r="B131" s="41"/>
      <c r="C131" s="42" t="s">
        <v>175</v>
      </c>
      <c r="D131" s="41"/>
      <c r="E131" s="41"/>
      <c r="F131" s="51"/>
      <c r="G131" s="51"/>
      <c r="H131" s="40" t="s">
        <v>151</v>
      </c>
      <c r="J131" s="7"/>
    </row>
    <row r="132" spans="1:17" x14ac:dyDescent="0.2">
      <c r="A132" s="41"/>
      <c r="B132" s="41"/>
      <c r="C132" s="42" t="s">
        <v>150</v>
      </c>
      <c r="D132" s="41"/>
      <c r="E132" s="41" t="s">
        <v>151</v>
      </c>
      <c r="F132" s="52" t="s">
        <v>153</v>
      </c>
      <c r="G132" s="49">
        <v>0</v>
      </c>
      <c r="H132" s="40" t="s">
        <v>151</v>
      </c>
      <c r="J132" s="7"/>
    </row>
    <row r="133" spans="1:17" x14ac:dyDescent="0.2">
      <c r="A133" s="41"/>
      <c r="B133" s="41"/>
      <c r="C133" s="50"/>
      <c r="D133" s="41"/>
      <c r="E133" s="41"/>
      <c r="F133" s="51"/>
      <c r="G133" s="51"/>
      <c r="H133" s="40" t="s">
        <v>151</v>
      </c>
      <c r="J133" s="7"/>
    </row>
    <row r="134" spans="1:17" x14ac:dyDescent="0.2">
      <c r="A134" s="54"/>
      <c r="B134" s="44"/>
      <c r="C134" s="44" t="s">
        <v>176</v>
      </c>
      <c r="D134" s="44"/>
      <c r="E134" s="54"/>
      <c r="F134" s="46">
        <v>764.11562408999998</v>
      </c>
      <c r="G134" s="47">
        <v>2.6989900000000001E-3</v>
      </c>
      <c r="H134" s="40" t="s">
        <v>151</v>
      </c>
      <c r="J134" s="7"/>
    </row>
    <row r="135" spans="1:17" x14ac:dyDescent="0.2">
      <c r="A135" s="50"/>
      <c r="B135" s="50"/>
      <c r="C135" s="42" t="s">
        <v>177</v>
      </c>
      <c r="D135" s="51"/>
      <c r="E135" s="51"/>
      <c r="F135" s="48">
        <v>283112.023992459</v>
      </c>
      <c r="G135" s="55">
        <v>1.00000003</v>
      </c>
      <c r="H135" s="40" t="s">
        <v>151</v>
      </c>
      <c r="J135" s="7"/>
    </row>
    <row r="136" spans="1:17" x14ac:dyDescent="0.2">
      <c r="A136" s="56"/>
      <c r="B136" s="56"/>
      <c r="C136" s="56"/>
      <c r="D136" s="57"/>
      <c r="E136" s="57"/>
      <c r="F136" s="57"/>
      <c r="G136" s="57"/>
      <c r="J136" s="7"/>
    </row>
    <row r="137" spans="1:17" ht="12.75" customHeight="1" x14ac:dyDescent="0.2">
      <c r="A137" s="58"/>
      <c r="B137" s="159" t="s">
        <v>923</v>
      </c>
      <c r="C137" s="159"/>
      <c r="D137" s="159"/>
      <c r="E137" s="159"/>
      <c r="F137" s="159"/>
      <c r="G137" s="159"/>
      <c r="H137" s="159"/>
      <c r="J137" s="7"/>
    </row>
    <row r="138" spans="1:17" ht="14.1" customHeight="1" x14ac:dyDescent="0.2">
      <c r="A138" s="58"/>
      <c r="B138" s="159" t="s">
        <v>924</v>
      </c>
      <c r="C138" s="159"/>
      <c r="D138" s="159"/>
      <c r="E138" s="159"/>
      <c r="F138" s="159"/>
      <c r="G138" s="159"/>
      <c r="H138" s="159"/>
      <c r="J138" s="7"/>
    </row>
    <row r="139" spans="1:17" ht="17.100000000000001" customHeight="1" x14ac:dyDescent="0.2">
      <c r="A139" s="58"/>
      <c r="B139" s="159" t="s">
        <v>925</v>
      </c>
      <c r="C139" s="159"/>
      <c r="D139" s="159"/>
      <c r="E139" s="159"/>
      <c r="F139" s="159"/>
      <c r="G139" s="159"/>
      <c r="H139" s="159"/>
      <c r="J139" s="7"/>
    </row>
    <row r="140" spans="1:17" s="8" customFormat="1" ht="65.25" customHeight="1" x14ac:dyDescent="0.25">
      <c r="A140" s="60"/>
      <c r="B140" s="160" t="s">
        <v>926</v>
      </c>
      <c r="C140" s="160"/>
      <c r="D140" s="160"/>
      <c r="E140" s="160"/>
      <c r="F140" s="160"/>
      <c r="G140" s="160"/>
      <c r="H140" s="160"/>
      <c r="I140"/>
      <c r="J140" s="7"/>
      <c r="K140"/>
      <c r="L140"/>
      <c r="M140"/>
      <c r="N140"/>
      <c r="O140"/>
      <c r="P140"/>
      <c r="Q140"/>
    </row>
    <row r="141" spans="1:17" ht="12.75" customHeight="1" x14ac:dyDescent="0.2">
      <c r="A141" s="58"/>
      <c r="B141" s="159" t="s">
        <v>927</v>
      </c>
      <c r="C141" s="159"/>
      <c r="D141" s="159"/>
      <c r="E141" s="159"/>
      <c r="F141" s="159"/>
      <c r="G141" s="159"/>
      <c r="H141" s="159"/>
      <c r="J141" s="7"/>
    </row>
    <row r="142" spans="1:17" x14ac:dyDescent="0.2">
      <c r="A142" s="61"/>
      <c r="B142" s="61"/>
      <c r="C142" s="61"/>
      <c r="D142" s="62"/>
      <c r="E142" s="62"/>
      <c r="F142" s="62"/>
      <c r="G142" s="62"/>
      <c r="J142" s="7"/>
    </row>
    <row r="143" spans="1:17" x14ac:dyDescent="0.2">
      <c r="A143" s="61"/>
      <c r="B143" s="161" t="s">
        <v>178</v>
      </c>
      <c r="C143" s="162"/>
      <c r="D143" s="163"/>
      <c r="E143" s="63"/>
      <c r="F143" s="62"/>
      <c r="G143" s="62"/>
      <c r="J143" s="7"/>
    </row>
    <row r="144" spans="1:17" ht="29.25" customHeight="1" x14ac:dyDescent="0.2">
      <c r="A144" s="58"/>
      <c r="B144" s="164" t="s">
        <v>179</v>
      </c>
      <c r="C144" s="165"/>
      <c r="D144" s="64" t="s">
        <v>997</v>
      </c>
      <c r="E144" s="65"/>
      <c r="F144" s="66"/>
      <c r="G144" s="66"/>
      <c r="J144" s="7"/>
    </row>
    <row r="145" spans="1:10" ht="17.100000000000001" customHeight="1" x14ac:dyDescent="0.2">
      <c r="A145" s="58"/>
      <c r="B145" s="164" t="s">
        <v>1012</v>
      </c>
      <c r="C145" s="165"/>
      <c r="D145" s="64" t="str">
        <f>"Rs. "&amp;TEXT(F79,"0.00")&amp;" lacs/ 0.01%"</f>
        <v>Rs. 38.99 lacs/ 0.01%</v>
      </c>
      <c r="E145" s="65"/>
      <c r="F145" s="66"/>
      <c r="G145" s="66"/>
      <c r="J145" s="7"/>
    </row>
    <row r="146" spans="1:10" x14ac:dyDescent="0.2">
      <c r="A146" s="61"/>
      <c r="B146" s="156" t="s">
        <v>182</v>
      </c>
      <c r="C146" s="157"/>
      <c r="D146" s="51" t="s">
        <v>151</v>
      </c>
      <c r="E146" s="63"/>
      <c r="F146" s="62"/>
      <c r="G146" s="62"/>
      <c r="J146" s="7"/>
    </row>
    <row r="147" spans="1:10" x14ac:dyDescent="0.2">
      <c r="A147" s="67"/>
      <c r="B147" s="68" t="s">
        <v>151</v>
      </c>
      <c r="C147" s="68" t="s">
        <v>937</v>
      </c>
      <c r="D147" s="68" t="s">
        <v>183</v>
      </c>
      <c r="E147" s="67"/>
      <c r="F147" s="67"/>
      <c r="G147" s="67"/>
      <c r="H147" s="67"/>
      <c r="J147" s="7"/>
    </row>
    <row r="148" spans="1:10" x14ac:dyDescent="0.2">
      <c r="A148" s="69"/>
      <c r="B148" s="70" t="s">
        <v>184</v>
      </c>
      <c r="C148" s="80" t="s">
        <v>185</v>
      </c>
      <c r="D148" s="80" t="s">
        <v>186</v>
      </c>
      <c r="E148" s="69"/>
      <c r="F148" s="69"/>
      <c r="G148" s="69"/>
      <c r="J148" s="7"/>
    </row>
    <row r="149" spans="1:10" x14ac:dyDescent="0.2">
      <c r="A149" s="69"/>
      <c r="B149" s="44" t="s">
        <v>187</v>
      </c>
      <c r="C149" s="72">
        <v>401.6773</v>
      </c>
      <c r="D149" s="72">
        <v>418.88929999999999</v>
      </c>
      <c r="E149" s="69"/>
      <c r="F149" s="73"/>
      <c r="G149" s="74"/>
      <c r="J149" s="7"/>
    </row>
    <row r="150" spans="1:10" ht="25.5" x14ac:dyDescent="0.2">
      <c r="A150" s="69"/>
      <c r="B150" s="44" t="s">
        <v>1096</v>
      </c>
      <c r="C150" s="72">
        <v>92.275199999999998</v>
      </c>
      <c r="D150" s="72">
        <v>96.229100000000003</v>
      </c>
      <c r="E150" s="69"/>
      <c r="F150" s="73"/>
      <c r="G150" s="74"/>
      <c r="J150" s="7"/>
    </row>
    <row r="151" spans="1:10" x14ac:dyDescent="0.2">
      <c r="A151" s="69"/>
      <c r="B151" s="44" t="s">
        <v>188</v>
      </c>
      <c r="C151" s="72">
        <v>364.8886</v>
      </c>
      <c r="D151" s="72">
        <v>380.16660000000002</v>
      </c>
      <c r="E151" s="69"/>
      <c r="F151" s="73"/>
      <c r="G151" s="74"/>
      <c r="J151" s="7"/>
    </row>
    <row r="152" spans="1:10" ht="25.5" x14ac:dyDescent="0.2">
      <c r="A152" s="69"/>
      <c r="B152" s="44" t="s">
        <v>1097</v>
      </c>
      <c r="C152" s="72">
        <v>69.1999</v>
      </c>
      <c r="D152" s="72">
        <v>72.097200000000001</v>
      </c>
      <c r="E152" s="69"/>
      <c r="F152" s="73"/>
      <c r="G152" s="74"/>
      <c r="J152" s="7"/>
    </row>
    <row r="153" spans="1:10" x14ac:dyDescent="0.2">
      <c r="A153" s="69"/>
      <c r="B153" s="69"/>
      <c r="C153" s="69"/>
      <c r="D153" s="69"/>
      <c r="E153" s="69"/>
      <c r="F153" s="69"/>
      <c r="G153" s="69"/>
      <c r="J153" s="7"/>
    </row>
    <row r="154" spans="1:10" x14ac:dyDescent="0.2">
      <c r="A154" s="67"/>
      <c r="B154" s="164" t="s">
        <v>940</v>
      </c>
      <c r="C154" s="165"/>
      <c r="D154" s="64" t="s">
        <v>180</v>
      </c>
      <c r="E154" s="67"/>
      <c r="F154" s="67"/>
      <c r="G154" s="67"/>
      <c r="J154" s="7"/>
    </row>
    <row r="155" spans="1:10" x14ac:dyDescent="0.2">
      <c r="A155" s="67"/>
      <c r="B155" s="84"/>
      <c r="C155" s="84"/>
      <c r="D155" s="84"/>
      <c r="E155" s="67"/>
      <c r="F155" s="67"/>
      <c r="G155" s="67"/>
      <c r="J155" s="7"/>
    </row>
    <row r="156" spans="1:10" ht="29.1" customHeight="1" x14ac:dyDescent="0.2">
      <c r="A156" s="67"/>
      <c r="B156" s="164" t="s">
        <v>189</v>
      </c>
      <c r="C156" s="165"/>
      <c r="D156" s="64" t="s">
        <v>180</v>
      </c>
      <c r="E156" s="75"/>
      <c r="F156" s="67"/>
      <c r="G156" s="67"/>
      <c r="J156" s="7"/>
    </row>
    <row r="157" spans="1:10" ht="29.1" customHeight="1" x14ac:dyDescent="0.2">
      <c r="A157" s="67"/>
      <c r="B157" s="164" t="s">
        <v>190</v>
      </c>
      <c r="C157" s="165"/>
      <c r="D157" s="64" t="s">
        <v>180</v>
      </c>
      <c r="E157" s="75"/>
      <c r="F157" s="67"/>
      <c r="G157" s="67"/>
      <c r="J157" s="7"/>
    </row>
    <row r="158" spans="1:10" ht="17.100000000000001" customHeight="1" x14ac:dyDescent="0.2">
      <c r="A158" s="67"/>
      <c r="B158" s="164" t="s">
        <v>191</v>
      </c>
      <c r="C158" s="165"/>
      <c r="D158" s="64" t="s">
        <v>180</v>
      </c>
      <c r="E158" s="75"/>
      <c r="F158" s="67"/>
      <c r="G158" s="67"/>
      <c r="J158" s="7"/>
    </row>
    <row r="159" spans="1:10" ht="17.100000000000001" customHeight="1" x14ac:dyDescent="0.2">
      <c r="A159" s="67"/>
      <c r="B159" s="164" t="s">
        <v>192</v>
      </c>
      <c r="C159" s="165"/>
      <c r="D159" s="76">
        <v>0.75825994592550594</v>
      </c>
      <c r="E159" s="67"/>
      <c r="F159" s="59"/>
      <c r="G159" s="77"/>
      <c r="J159" s="7"/>
    </row>
    <row r="160" spans="1:10" x14ac:dyDescent="0.2">
      <c r="J160" s="7"/>
    </row>
    <row r="161" spans="2:10" x14ac:dyDescent="0.2">
      <c r="B161" s="129" t="s">
        <v>1077</v>
      </c>
      <c r="J161" s="7"/>
    </row>
    <row r="162" spans="2:10" ht="67.5" x14ac:dyDescent="0.2">
      <c r="B162" s="130" t="s">
        <v>1016</v>
      </c>
      <c r="C162" s="130" t="s">
        <v>1017</v>
      </c>
      <c r="D162" s="130" t="s">
        <v>1018</v>
      </c>
      <c r="E162" s="130" t="s">
        <v>1019</v>
      </c>
      <c r="F162" s="130" t="s">
        <v>1020</v>
      </c>
      <c r="J162" s="7"/>
    </row>
    <row r="163" spans="2:10" ht="13.5" x14ac:dyDescent="0.2">
      <c r="B163" s="131" t="s">
        <v>1046</v>
      </c>
      <c r="C163" s="132" t="s">
        <v>1044</v>
      </c>
      <c r="D163" s="24">
        <v>0</v>
      </c>
      <c r="E163" s="25">
        <v>0</v>
      </c>
      <c r="F163" s="133">
        <v>29.407129999999999</v>
      </c>
      <c r="J163" s="7"/>
    </row>
    <row r="164" spans="2:10" x14ac:dyDescent="0.2">
      <c r="J164" s="7"/>
    </row>
    <row r="165" spans="2:10" x14ac:dyDescent="0.2">
      <c r="J165" s="7"/>
    </row>
    <row r="166" spans="2:10" x14ac:dyDescent="0.2">
      <c r="J166" s="7"/>
    </row>
    <row r="167" spans="2:10" x14ac:dyDescent="0.2">
      <c r="J167" s="7"/>
    </row>
    <row r="168" spans="2:10" x14ac:dyDescent="0.2">
      <c r="J168" s="7"/>
    </row>
  </sheetData>
  <mergeCells count="17">
    <mergeCell ref="B145:C145"/>
    <mergeCell ref="B146:C146"/>
    <mergeCell ref="B154:C154"/>
    <mergeCell ref="B158:C158"/>
    <mergeCell ref="B159:C159"/>
    <mergeCell ref="B156:C156"/>
    <mergeCell ref="B157:C157"/>
    <mergeCell ref="B144:C144"/>
    <mergeCell ref="A1:H1"/>
    <mergeCell ref="A2:H2"/>
    <mergeCell ref="A3:H3"/>
    <mergeCell ref="B137:H137"/>
    <mergeCell ref="B138:H138"/>
    <mergeCell ref="B139:H139"/>
    <mergeCell ref="B140:H140"/>
    <mergeCell ref="B141:H141"/>
    <mergeCell ref="B143:D143"/>
  </mergeCells>
  <hyperlinks>
    <hyperlink ref="I1" location="Index!B20" display="Index" xr:uid="{0FBB2EBE-08CB-45BC-BA5D-5E5A8DD218E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CD782-8952-45C4-B76E-DEE4DDEFB22F}">
  <sheetPr>
    <outlinePr summaryBelow="0" summaryRight="0"/>
  </sheetPr>
  <dimension ref="A1:Q195"/>
  <sheetViews>
    <sheetView showGridLines="0" workbookViewId="0">
      <selection sqref="A1:H1"/>
    </sheetView>
  </sheetViews>
  <sheetFormatPr defaultRowHeight="12.75" x14ac:dyDescent="0.2"/>
  <cols>
    <col min="1" max="1" width="5.85546875" bestFit="1" customWidth="1"/>
    <col min="2" max="2" width="19.7109375" bestFit="1" customWidth="1"/>
    <col min="3" max="3" width="38.7109375" customWidth="1"/>
    <col min="4" max="4" width="17.7109375" bestFit="1" customWidth="1"/>
    <col min="5" max="5" width="8.7109375" bestFit="1" customWidth="1"/>
    <col min="6" max="6" width="10.140625" bestFit="1" customWidth="1"/>
    <col min="7" max="7" width="9.5703125" customWidth="1"/>
    <col min="8" max="8" width="8.4257812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769</v>
      </c>
      <c r="B2" s="158"/>
      <c r="C2" s="158"/>
      <c r="D2" s="158"/>
      <c r="E2" s="158"/>
      <c r="F2" s="158"/>
      <c r="G2" s="158"/>
      <c r="H2" s="158"/>
      <c r="J2" s="11" t="s">
        <v>942</v>
      </c>
    </row>
    <row r="3" spans="1:10" ht="15" x14ac:dyDescent="0.2">
      <c r="A3" s="158" t="s">
        <v>880</v>
      </c>
      <c r="B3" s="158"/>
      <c r="C3" s="158"/>
      <c r="D3" s="158"/>
      <c r="E3" s="158"/>
      <c r="F3" s="158"/>
      <c r="G3" s="158"/>
      <c r="H3" s="158"/>
      <c r="J3" s="7"/>
    </row>
    <row r="4" spans="1:10" s="1" customFormat="1" ht="30"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36</v>
      </c>
      <c r="C7" s="44" t="s">
        <v>37</v>
      </c>
      <c r="D7" s="44" t="s">
        <v>38</v>
      </c>
      <c r="E7" s="45">
        <v>31395</v>
      </c>
      <c r="F7" s="46">
        <v>104.92209</v>
      </c>
      <c r="G7" s="47">
        <v>1.130718E-2</v>
      </c>
      <c r="H7" s="40" t="s">
        <v>151</v>
      </c>
      <c r="J7" s="7"/>
    </row>
    <row r="8" spans="1:10" x14ac:dyDescent="0.2">
      <c r="A8" s="43">
        <v>2</v>
      </c>
      <c r="B8" s="44" t="s">
        <v>84</v>
      </c>
      <c r="C8" s="44" t="s">
        <v>85</v>
      </c>
      <c r="D8" s="44" t="s">
        <v>86</v>
      </c>
      <c r="E8" s="45">
        <v>15942</v>
      </c>
      <c r="F8" s="46">
        <v>102.706335</v>
      </c>
      <c r="G8" s="47">
        <v>1.1068390000000001E-2</v>
      </c>
      <c r="H8" s="40" t="s">
        <v>151</v>
      </c>
      <c r="J8" s="7"/>
    </row>
    <row r="9" spans="1:10" x14ac:dyDescent="0.2">
      <c r="A9" s="43">
        <v>3</v>
      </c>
      <c r="B9" s="44" t="s">
        <v>343</v>
      </c>
      <c r="C9" s="44" t="s">
        <v>344</v>
      </c>
      <c r="D9" s="44" t="s">
        <v>219</v>
      </c>
      <c r="E9" s="45">
        <v>5433</v>
      </c>
      <c r="F9" s="46">
        <v>101.5020225</v>
      </c>
      <c r="G9" s="47">
        <v>1.093861E-2</v>
      </c>
      <c r="H9" s="40" t="s">
        <v>151</v>
      </c>
      <c r="J9" s="7"/>
    </row>
    <row r="10" spans="1:10" x14ac:dyDescent="0.2">
      <c r="A10" s="43">
        <v>4</v>
      </c>
      <c r="B10" s="44" t="s">
        <v>734</v>
      </c>
      <c r="C10" s="44" t="s">
        <v>735</v>
      </c>
      <c r="D10" s="44" t="s">
        <v>232</v>
      </c>
      <c r="E10" s="45">
        <v>14109</v>
      </c>
      <c r="F10" s="46">
        <v>100.949895</v>
      </c>
      <c r="G10" s="47">
        <v>1.0879110000000001E-2</v>
      </c>
      <c r="H10" s="40" t="s">
        <v>151</v>
      </c>
      <c r="J10" s="7"/>
    </row>
    <row r="11" spans="1:10" x14ac:dyDescent="0.2">
      <c r="A11" s="43">
        <v>5</v>
      </c>
      <c r="B11" s="44" t="s">
        <v>770</v>
      </c>
      <c r="C11" s="44" t="s">
        <v>771</v>
      </c>
      <c r="D11" s="44" t="s">
        <v>503</v>
      </c>
      <c r="E11" s="45">
        <v>2953</v>
      </c>
      <c r="F11" s="46">
        <v>100.75931300000001</v>
      </c>
      <c r="G11" s="47">
        <v>1.085857E-2</v>
      </c>
      <c r="H11" s="40" t="s">
        <v>151</v>
      </c>
      <c r="J11" s="7"/>
    </row>
    <row r="12" spans="1:10" x14ac:dyDescent="0.2">
      <c r="A12" s="43">
        <v>6</v>
      </c>
      <c r="B12" s="44" t="s">
        <v>330</v>
      </c>
      <c r="C12" s="44" t="s">
        <v>331</v>
      </c>
      <c r="D12" s="44" t="s">
        <v>232</v>
      </c>
      <c r="E12" s="45">
        <v>13608</v>
      </c>
      <c r="F12" s="46">
        <v>100.148076</v>
      </c>
      <c r="G12" s="47">
        <v>1.0792700000000001E-2</v>
      </c>
      <c r="H12" s="40" t="s">
        <v>151</v>
      </c>
    </row>
    <row r="13" spans="1:10" x14ac:dyDescent="0.2">
      <c r="A13" s="43">
        <v>7</v>
      </c>
      <c r="B13" s="44" t="s">
        <v>467</v>
      </c>
      <c r="C13" s="44" t="s">
        <v>468</v>
      </c>
      <c r="D13" s="44" t="s">
        <v>232</v>
      </c>
      <c r="E13" s="45">
        <v>5683</v>
      </c>
      <c r="F13" s="46">
        <v>99.659929500000004</v>
      </c>
      <c r="G13" s="47">
        <v>1.0740090000000001E-2</v>
      </c>
      <c r="H13" s="40" t="s">
        <v>151</v>
      </c>
      <c r="J13" s="7"/>
    </row>
    <row r="14" spans="1:10" x14ac:dyDescent="0.2">
      <c r="A14" s="43">
        <v>8</v>
      </c>
      <c r="B14" s="44" t="s">
        <v>39</v>
      </c>
      <c r="C14" s="44" t="s">
        <v>40</v>
      </c>
      <c r="D14" s="44" t="s">
        <v>22</v>
      </c>
      <c r="E14" s="45">
        <v>28090</v>
      </c>
      <c r="F14" s="46">
        <v>98.329044999999994</v>
      </c>
      <c r="G14" s="47">
        <v>1.0596660000000001E-2</v>
      </c>
      <c r="H14" s="40" t="s">
        <v>151</v>
      </c>
      <c r="J14" s="7" t="s">
        <v>1067</v>
      </c>
    </row>
    <row r="15" spans="1:10" x14ac:dyDescent="0.2">
      <c r="A15" s="43">
        <v>9</v>
      </c>
      <c r="B15" s="44" t="s">
        <v>364</v>
      </c>
      <c r="C15" s="44" t="s">
        <v>365</v>
      </c>
      <c r="D15" s="44" t="s">
        <v>366</v>
      </c>
      <c r="E15" s="45">
        <v>19827</v>
      </c>
      <c r="F15" s="46">
        <v>98.213044499999995</v>
      </c>
      <c r="G15" s="47">
        <v>1.058416E-2</v>
      </c>
      <c r="H15" s="40" t="s">
        <v>151</v>
      </c>
      <c r="J15" s="7"/>
    </row>
    <row r="16" spans="1:10" x14ac:dyDescent="0.2">
      <c r="A16" s="43">
        <v>10</v>
      </c>
      <c r="B16" s="44" t="s">
        <v>14</v>
      </c>
      <c r="C16" s="44" t="s">
        <v>15</v>
      </c>
      <c r="D16" s="44" t="s">
        <v>16</v>
      </c>
      <c r="E16" s="45">
        <v>23541</v>
      </c>
      <c r="F16" s="46">
        <v>97.93056</v>
      </c>
      <c r="G16" s="47">
        <v>1.0553720000000001E-2</v>
      </c>
      <c r="H16" s="40" t="s">
        <v>151</v>
      </c>
      <c r="J16" s="7"/>
    </row>
    <row r="17" spans="1:10" ht="25.5" x14ac:dyDescent="0.2">
      <c r="A17" s="43">
        <v>11</v>
      </c>
      <c r="B17" s="44" t="s">
        <v>213</v>
      </c>
      <c r="C17" s="44" t="s">
        <v>214</v>
      </c>
      <c r="D17" s="44" t="s">
        <v>210</v>
      </c>
      <c r="E17" s="45">
        <v>7791</v>
      </c>
      <c r="F17" s="46">
        <v>97.169352000000003</v>
      </c>
      <c r="G17" s="47">
        <v>1.0471690000000001E-2</v>
      </c>
      <c r="H17" s="40" t="s">
        <v>151</v>
      </c>
      <c r="J17" s="7"/>
    </row>
    <row r="18" spans="1:10" x14ac:dyDescent="0.2">
      <c r="A18" s="43">
        <v>12</v>
      </c>
      <c r="B18" s="44" t="s">
        <v>772</v>
      </c>
      <c r="C18" s="44" t="s">
        <v>773</v>
      </c>
      <c r="D18" s="44" t="s">
        <v>232</v>
      </c>
      <c r="E18" s="45">
        <v>8212</v>
      </c>
      <c r="F18" s="46">
        <v>96.581332000000003</v>
      </c>
      <c r="G18" s="47">
        <v>1.040832E-2</v>
      </c>
      <c r="H18" s="40" t="s">
        <v>151</v>
      </c>
      <c r="J18" s="7"/>
    </row>
    <row r="19" spans="1:10" x14ac:dyDescent="0.2">
      <c r="A19" s="43">
        <v>13</v>
      </c>
      <c r="B19" s="44" t="s">
        <v>349</v>
      </c>
      <c r="C19" s="44" t="s">
        <v>350</v>
      </c>
      <c r="D19" s="44" t="s">
        <v>219</v>
      </c>
      <c r="E19" s="45">
        <v>2190</v>
      </c>
      <c r="F19" s="46">
        <v>96.039164999999997</v>
      </c>
      <c r="G19" s="47">
        <v>1.034989E-2</v>
      </c>
      <c r="H19" s="40" t="s">
        <v>151</v>
      </c>
      <c r="J19" s="7"/>
    </row>
    <row r="20" spans="1:10" x14ac:dyDescent="0.2">
      <c r="A20" s="43">
        <v>14</v>
      </c>
      <c r="B20" s="44" t="s">
        <v>90</v>
      </c>
      <c r="C20" s="44" t="s">
        <v>91</v>
      </c>
      <c r="D20" s="44" t="s">
        <v>86</v>
      </c>
      <c r="E20" s="45">
        <v>17235</v>
      </c>
      <c r="F20" s="46">
        <v>95.964479999999995</v>
      </c>
      <c r="G20" s="47">
        <v>1.034184E-2</v>
      </c>
      <c r="H20" s="40" t="s">
        <v>151</v>
      </c>
      <c r="J20" s="7"/>
    </row>
    <row r="21" spans="1:10" x14ac:dyDescent="0.2">
      <c r="A21" s="43">
        <v>15</v>
      </c>
      <c r="B21" s="44" t="s">
        <v>471</v>
      </c>
      <c r="C21" s="44" t="s">
        <v>472</v>
      </c>
      <c r="D21" s="44" t="s">
        <v>219</v>
      </c>
      <c r="E21" s="45">
        <v>5839</v>
      </c>
      <c r="F21" s="46">
        <v>95.911413999999994</v>
      </c>
      <c r="G21" s="47">
        <v>1.0336120000000001E-2</v>
      </c>
      <c r="H21" s="40" t="s">
        <v>151</v>
      </c>
      <c r="J21" s="7"/>
    </row>
    <row r="22" spans="1:10" ht="25.5" x14ac:dyDescent="0.2">
      <c r="A22" s="43">
        <v>16</v>
      </c>
      <c r="B22" s="44" t="s">
        <v>353</v>
      </c>
      <c r="C22" s="44" t="s">
        <v>354</v>
      </c>
      <c r="D22" s="44" t="s">
        <v>210</v>
      </c>
      <c r="E22" s="45">
        <v>5542</v>
      </c>
      <c r="F22" s="46">
        <v>95.286377000000002</v>
      </c>
      <c r="G22" s="47">
        <v>1.026876E-2</v>
      </c>
      <c r="H22" s="40" t="s">
        <v>151</v>
      </c>
      <c r="J22" s="12"/>
    </row>
    <row r="23" spans="1:10" x14ac:dyDescent="0.2">
      <c r="A23" s="43">
        <v>17</v>
      </c>
      <c r="B23" s="44" t="s">
        <v>345</v>
      </c>
      <c r="C23" s="44" t="s">
        <v>346</v>
      </c>
      <c r="D23" s="44" t="s">
        <v>202</v>
      </c>
      <c r="E23" s="45">
        <v>41469</v>
      </c>
      <c r="F23" s="46">
        <v>95.150620500000002</v>
      </c>
      <c r="G23" s="47">
        <v>1.025413E-2</v>
      </c>
      <c r="H23" s="40" t="s">
        <v>151</v>
      </c>
      <c r="J23" s="7"/>
    </row>
    <row r="24" spans="1:10" x14ac:dyDescent="0.2">
      <c r="A24" s="43">
        <v>18</v>
      </c>
      <c r="B24" s="44" t="s">
        <v>62</v>
      </c>
      <c r="C24" s="44" t="s">
        <v>63</v>
      </c>
      <c r="D24" s="44" t="s">
        <v>64</v>
      </c>
      <c r="E24" s="45">
        <v>39410</v>
      </c>
      <c r="F24" s="46">
        <v>94.966277000000005</v>
      </c>
      <c r="G24" s="47">
        <v>1.023427E-2</v>
      </c>
      <c r="H24" s="40" t="s">
        <v>151</v>
      </c>
      <c r="J24" s="7"/>
    </row>
    <row r="25" spans="1:10" x14ac:dyDescent="0.2">
      <c r="A25" s="43">
        <v>19</v>
      </c>
      <c r="B25" s="44" t="s">
        <v>774</v>
      </c>
      <c r="C25" s="44" t="s">
        <v>775</v>
      </c>
      <c r="D25" s="44" t="s">
        <v>232</v>
      </c>
      <c r="E25" s="45">
        <v>4697</v>
      </c>
      <c r="F25" s="46">
        <v>94.306365999999997</v>
      </c>
      <c r="G25" s="47">
        <v>1.0163149999999999E-2</v>
      </c>
      <c r="H25" s="40" t="s">
        <v>151</v>
      </c>
      <c r="J25" s="7"/>
    </row>
    <row r="26" spans="1:10" ht="25.5" x14ac:dyDescent="0.2">
      <c r="A26" s="43">
        <v>20</v>
      </c>
      <c r="B26" s="44" t="s">
        <v>776</v>
      </c>
      <c r="C26" s="44" t="s">
        <v>777</v>
      </c>
      <c r="D26" s="44" t="s">
        <v>210</v>
      </c>
      <c r="E26" s="45">
        <v>2968</v>
      </c>
      <c r="F26" s="46">
        <v>94.137540000000001</v>
      </c>
      <c r="G26" s="47">
        <v>1.014496E-2</v>
      </c>
      <c r="H26" s="40" t="s">
        <v>151</v>
      </c>
      <c r="J26" s="7"/>
    </row>
    <row r="27" spans="1:10" x14ac:dyDescent="0.2">
      <c r="A27" s="43">
        <v>21</v>
      </c>
      <c r="B27" s="44" t="s">
        <v>778</v>
      </c>
      <c r="C27" s="44" t="s">
        <v>779</v>
      </c>
      <c r="D27" s="44" t="s">
        <v>16</v>
      </c>
      <c r="E27" s="45">
        <v>8262</v>
      </c>
      <c r="F27" s="46">
        <v>94.025690999999995</v>
      </c>
      <c r="G27" s="47">
        <v>1.01329E-2</v>
      </c>
      <c r="H27" s="40" t="s">
        <v>151</v>
      </c>
      <c r="J27" s="7"/>
    </row>
    <row r="28" spans="1:10" x14ac:dyDescent="0.2">
      <c r="A28" s="43">
        <v>22</v>
      </c>
      <c r="B28" s="44" t="s">
        <v>378</v>
      </c>
      <c r="C28" s="44" t="s">
        <v>379</v>
      </c>
      <c r="D28" s="44" t="s">
        <v>366</v>
      </c>
      <c r="E28" s="45">
        <v>3461</v>
      </c>
      <c r="F28" s="46">
        <v>93.642546499999995</v>
      </c>
      <c r="G28" s="47">
        <v>1.0091610000000001E-2</v>
      </c>
      <c r="H28" s="40" t="s">
        <v>151</v>
      </c>
      <c r="J28" s="7"/>
    </row>
    <row r="29" spans="1:10" x14ac:dyDescent="0.2">
      <c r="A29" s="43">
        <v>23</v>
      </c>
      <c r="B29" s="44" t="s">
        <v>105</v>
      </c>
      <c r="C29" s="44" t="s">
        <v>106</v>
      </c>
      <c r="D29" s="44" t="s">
        <v>107</v>
      </c>
      <c r="E29" s="45">
        <v>17845</v>
      </c>
      <c r="F29" s="46">
        <v>93.186589999999995</v>
      </c>
      <c r="G29" s="47">
        <v>1.0042479999999999E-2</v>
      </c>
      <c r="H29" s="40" t="s">
        <v>151</v>
      </c>
      <c r="J29" s="7"/>
    </row>
    <row r="30" spans="1:10" x14ac:dyDescent="0.2">
      <c r="A30" s="43">
        <v>24</v>
      </c>
      <c r="B30" s="44" t="s">
        <v>780</v>
      </c>
      <c r="C30" s="44" t="s">
        <v>781</v>
      </c>
      <c r="D30" s="44" t="s">
        <v>86</v>
      </c>
      <c r="E30" s="45">
        <v>968</v>
      </c>
      <c r="F30" s="46">
        <v>93.116759999999999</v>
      </c>
      <c r="G30" s="47">
        <v>1.0034950000000001E-2</v>
      </c>
      <c r="H30" s="40" t="s">
        <v>151</v>
      </c>
      <c r="J30" s="7"/>
    </row>
    <row r="31" spans="1:10" ht="25.5" x14ac:dyDescent="0.2">
      <c r="A31" s="43">
        <v>25</v>
      </c>
      <c r="B31" s="44" t="s">
        <v>362</v>
      </c>
      <c r="C31" s="44" t="s">
        <v>363</v>
      </c>
      <c r="D31" s="44" t="s">
        <v>210</v>
      </c>
      <c r="E31" s="45">
        <v>1375</v>
      </c>
      <c r="F31" s="46">
        <v>92.819374999999994</v>
      </c>
      <c r="G31" s="47">
        <v>1.00029E-2</v>
      </c>
      <c r="H31" s="40" t="s">
        <v>151</v>
      </c>
      <c r="J31" s="7"/>
    </row>
    <row r="32" spans="1:10" x14ac:dyDescent="0.2">
      <c r="A32" s="43">
        <v>26</v>
      </c>
      <c r="B32" s="44" t="s">
        <v>782</v>
      </c>
      <c r="C32" s="44" t="s">
        <v>783</v>
      </c>
      <c r="D32" s="44" t="s">
        <v>100</v>
      </c>
      <c r="E32" s="45">
        <v>16724</v>
      </c>
      <c r="F32" s="46">
        <v>92.801475999999994</v>
      </c>
      <c r="G32" s="47">
        <v>1.000097E-2</v>
      </c>
      <c r="H32" s="40" t="s">
        <v>151</v>
      </c>
      <c r="J32" s="7"/>
    </row>
    <row r="33" spans="1:10" x14ac:dyDescent="0.2">
      <c r="A33" s="43">
        <v>27</v>
      </c>
      <c r="B33" s="44" t="s">
        <v>552</v>
      </c>
      <c r="C33" s="44" t="s">
        <v>553</v>
      </c>
      <c r="D33" s="44" t="s">
        <v>268</v>
      </c>
      <c r="E33" s="45">
        <v>6561</v>
      </c>
      <c r="F33" s="46">
        <v>92.726613</v>
      </c>
      <c r="G33" s="47">
        <v>9.9929000000000007E-3</v>
      </c>
      <c r="H33" s="40" t="s">
        <v>151</v>
      </c>
      <c r="J33" s="7"/>
    </row>
    <row r="34" spans="1:10" x14ac:dyDescent="0.2">
      <c r="A34" s="43">
        <v>28</v>
      </c>
      <c r="B34" s="44" t="s">
        <v>784</v>
      </c>
      <c r="C34" s="44" t="s">
        <v>785</v>
      </c>
      <c r="D34" s="44" t="s">
        <v>219</v>
      </c>
      <c r="E34" s="45">
        <v>1638</v>
      </c>
      <c r="F34" s="46">
        <v>92.680497000000003</v>
      </c>
      <c r="G34" s="47">
        <v>9.9879300000000008E-3</v>
      </c>
      <c r="H34" s="40" t="s">
        <v>151</v>
      </c>
      <c r="J34" s="7"/>
    </row>
    <row r="35" spans="1:10" x14ac:dyDescent="0.2">
      <c r="A35" s="43">
        <v>29</v>
      </c>
      <c r="B35" s="44" t="s">
        <v>560</v>
      </c>
      <c r="C35" s="44" t="s">
        <v>561</v>
      </c>
      <c r="D35" s="44" t="s">
        <v>282</v>
      </c>
      <c r="E35" s="45">
        <v>706</v>
      </c>
      <c r="F35" s="46">
        <v>92.597548000000003</v>
      </c>
      <c r="G35" s="47">
        <v>9.979E-3</v>
      </c>
      <c r="H35" s="40" t="s">
        <v>151</v>
      </c>
      <c r="J35" s="7"/>
    </row>
    <row r="36" spans="1:10" x14ac:dyDescent="0.2">
      <c r="A36" s="43">
        <v>30</v>
      </c>
      <c r="B36" s="44" t="s">
        <v>672</v>
      </c>
      <c r="C36" s="44" t="s">
        <v>673</v>
      </c>
      <c r="D36" s="44" t="s">
        <v>22</v>
      </c>
      <c r="E36" s="45">
        <v>50934</v>
      </c>
      <c r="F36" s="46">
        <v>92.531797800000007</v>
      </c>
      <c r="G36" s="47">
        <v>9.9719100000000005E-3</v>
      </c>
      <c r="H36" s="40" t="s">
        <v>151</v>
      </c>
      <c r="J36" s="7"/>
    </row>
    <row r="37" spans="1:10" ht="25.5" x14ac:dyDescent="0.2">
      <c r="A37" s="43">
        <v>31</v>
      </c>
      <c r="B37" s="44" t="s">
        <v>558</v>
      </c>
      <c r="C37" s="44" t="s">
        <v>559</v>
      </c>
      <c r="D37" s="44" t="s">
        <v>25</v>
      </c>
      <c r="E37" s="45">
        <v>3331</v>
      </c>
      <c r="F37" s="46">
        <v>92.493542500000004</v>
      </c>
      <c r="G37" s="47">
        <v>9.9677900000000007E-3</v>
      </c>
      <c r="H37" s="40" t="s">
        <v>151</v>
      </c>
      <c r="J37" s="7"/>
    </row>
    <row r="38" spans="1:10" ht="25.5" x14ac:dyDescent="0.2">
      <c r="A38" s="43">
        <v>32</v>
      </c>
      <c r="B38" s="44" t="s">
        <v>23</v>
      </c>
      <c r="C38" s="44" t="s">
        <v>24</v>
      </c>
      <c r="D38" s="44" t="s">
        <v>25</v>
      </c>
      <c r="E38" s="45">
        <v>775</v>
      </c>
      <c r="F38" s="46">
        <v>92.125799999999998</v>
      </c>
      <c r="G38" s="47">
        <v>9.9281600000000001E-3</v>
      </c>
      <c r="H38" s="40" t="s">
        <v>151</v>
      </c>
      <c r="J38" s="7"/>
    </row>
    <row r="39" spans="1:10" x14ac:dyDescent="0.2">
      <c r="A39" s="43">
        <v>33</v>
      </c>
      <c r="B39" s="44" t="s">
        <v>786</v>
      </c>
      <c r="C39" s="44" t="s">
        <v>787</v>
      </c>
      <c r="D39" s="44" t="s">
        <v>86</v>
      </c>
      <c r="E39" s="45">
        <v>47564</v>
      </c>
      <c r="F39" s="46">
        <v>92.107686000000001</v>
      </c>
      <c r="G39" s="47">
        <v>9.9261999999999996E-3</v>
      </c>
      <c r="H39" s="40" t="s">
        <v>151</v>
      </c>
      <c r="J39" s="7"/>
    </row>
    <row r="40" spans="1:10" ht="25.5" x14ac:dyDescent="0.2">
      <c r="A40" s="43">
        <v>34</v>
      </c>
      <c r="B40" s="44" t="s">
        <v>788</v>
      </c>
      <c r="C40" s="44" t="s">
        <v>789</v>
      </c>
      <c r="D40" s="44" t="s">
        <v>247</v>
      </c>
      <c r="E40" s="45">
        <v>3481</v>
      </c>
      <c r="F40" s="46">
        <v>92.068968999999996</v>
      </c>
      <c r="G40" s="47">
        <v>9.9220300000000001E-3</v>
      </c>
      <c r="H40" s="40" t="s">
        <v>151</v>
      </c>
      <c r="J40" s="7"/>
    </row>
    <row r="41" spans="1:10" ht="25.5" x14ac:dyDescent="0.2">
      <c r="A41" s="43">
        <v>35</v>
      </c>
      <c r="B41" s="44" t="s">
        <v>311</v>
      </c>
      <c r="C41" s="44" t="s">
        <v>312</v>
      </c>
      <c r="D41" s="44" t="s">
        <v>313</v>
      </c>
      <c r="E41" s="45">
        <v>13593</v>
      </c>
      <c r="F41" s="46">
        <v>91.630413000000004</v>
      </c>
      <c r="G41" s="47">
        <v>9.8747699999999997E-3</v>
      </c>
      <c r="H41" s="40" t="s">
        <v>151</v>
      </c>
      <c r="J41" s="7"/>
    </row>
    <row r="42" spans="1:10" x14ac:dyDescent="0.2">
      <c r="A42" s="43">
        <v>36</v>
      </c>
      <c r="B42" s="44" t="s">
        <v>200</v>
      </c>
      <c r="C42" s="44" t="s">
        <v>201</v>
      </c>
      <c r="D42" s="44" t="s">
        <v>202</v>
      </c>
      <c r="E42" s="45">
        <v>1567</v>
      </c>
      <c r="F42" s="46">
        <v>91.497129999999999</v>
      </c>
      <c r="G42" s="47">
        <v>9.86041E-3</v>
      </c>
      <c r="H42" s="40" t="s">
        <v>151</v>
      </c>
      <c r="J42" s="7"/>
    </row>
    <row r="43" spans="1:10" x14ac:dyDescent="0.2">
      <c r="A43" s="43">
        <v>37</v>
      </c>
      <c r="B43" s="44" t="s">
        <v>564</v>
      </c>
      <c r="C43" s="44" t="s">
        <v>565</v>
      </c>
      <c r="D43" s="44" t="s">
        <v>219</v>
      </c>
      <c r="E43" s="45">
        <v>5874</v>
      </c>
      <c r="F43" s="46">
        <v>91.305456000000007</v>
      </c>
      <c r="G43" s="47">
        <v>9.8397499999999995E-3</v>
      </c>
      <c r="H43" s="40" t="s">
        <v>151</v>
      </c>
      <c r="J43" s="7"/>
    </row>
    <row r="44" spans="1:10" ht="25.5" x14ac:dyDescent="0.2">
      <c r="A44" s="43">
        <v>38</v>
      </c>
      <c r="B44" s="44" t="s">
        <v>477</v>
      </c>
      <c r="C44" s="44" t="s">
        <v>478</v>
      </c>
      <c r="D44" s="44" t="s">
        <v>313</v>
      </c>
      <c r="E44" s="45">
        <v>7678</v>
      </c>
      <c r="F44" s="46">
        <v>91.287581000000003</v>
      </c>
      <c r="G44" s="47">
        <v>9.8378200000000006E-3</v>
      </c>
      <c r="H44" s="40" t="s">
        <v>151</v>
      </c>
      <c r="J44" s="7"/>
    </row>
    <row r="45" spans="1:10" x14ac:dyDescent="0.2">
      <c r="A45" s="43">
        <v>39</v>
      </c>
      <c r="B45" s="44" t="s">
        <v>716</v>
      </c>
      <c r="C45" s="44" t="s">
        <v>717</v>
      </c>
      <c r="D45" s="44" t="s">
        <v>277</v>
      </c>
      <c r="E45" s="45">
        <v>1578</v>
      </c>
      <c r="F45" s="46">
        <v>91.278621000000001</v>
      </c>
      <c r="G45" s="47">
        <v>9.8368599999999994E-3</v>
      </c>
      <c r="H45" s="40" t="s">
        <v>151</v>
      </c>
      <c r="J45" s="7"/>
    </row>
    <row r="46" spans="1:10" x14ac:dyDescent="0.2">
      <c r="A46" s="43">
        <v>40</v>
      </c>
      <c r="B46" s="44" t="s">
        <v>661</v>
      </c>
      <c r="C46" s="44" t="s">
        <v>662</v>
      </c>
      <c r="D46" s="44" t="s">
        <v>61</v>
      </c>
      <c r="E46" s="45">
        <v>10224</v>
      </c>
      <c r="F46" s="46">
        <v>90.906695999999997</v>
      </c>
      <c r="G46" s="47">
        <v>9.7967799999999997E-3</v>
      </c>
      <c r="H46" s="40" t="s">
        <v>151</v>
      </c>
      <c r="J46" s="7"/>
    </row>
    <row r="47" spans="1:10" ht="25.5" x14ac:dyDescent="0.2">
      <c r="A47" s="43">
        <v>41</v>
      </c>
      <c r="B47" s="44" t="s">
        <v>380</v>
      </c>
      <c r="C47" s="44" t="s">
        <v>381</v>
      </c>
      <c r="D47" s="44" t="s">
        <v>210</v>
      </c>
      <c r="E47" s="45">
        <v>1840</v>
      </c>
      <c r="F47" s="46">
        <v>90.586879999999994</v>
      </c>
      <c r="G47" s="47">
        <v>9.7623099999999997E-3</v>
      </c>
      <c r="H47" s="40" t="s">
        <v>151</v>
      </c>
      <c r="J47" s="7"/>
    </row>
    <row r="48" spans="1:10" x14ac:dyDescent="0.2">
      <c r="A48" s="43">
        <v>42</v>
      </c>
      <c r="B48" s="44" t="s">
        <v>790</v>
      </c>
      <c r="C48" s="44" t="s">
        <v>791</v>
      </c>
      <c r="D48" s="44" t="s">
        <v>503</v>
      </c>
      <c r="E48" s="45">
        <v>14228</v>
      </c>
      <c r="F48" s="46">
        <v>90.447395999999998</v>
      </c>
      <c r="G48" s="47">
        <v>9.7472800000000005E-3</v>
      </c>
      <c r="H48" s="40" t="s">
        <v>151</v>
      </c>
      <c r="J48" s="7"/>
    </row>
    <row r="49" spans="1:10" ht="25.5" x14ac:dyDescent="0.2">
      <c r="A49" s="43">
        <v>43</v>
      </c>
      <c r="B49" s="44" t="s">
        <v>79</v>
      </c>
      <c r="C49" s="44" t="s">
        <v>80</v>
      </c>
      <c r="D49" s="44" t="s">
        <v>81</v>
      </c>
      <c r="E49" s="45">
        <v>5757</v>
      </c>
      <c r="F49" s="46">
        <v>90.379142999999999</v>
      </c>
      <c r="G49" s="47">
        <v>9.7399199999999991E-3</v>
      </c>
      <c r="H49" s="40" t="s">
        <v>151</v>
      </c>
      <c r="J49" s="7"/>
    </row>
    <row r="50" spans="1:10" x14ac:dyDescent="0.2">
      <c r="A50" s="43">
        <v>44</v>
      </c>
      <c r="B50" s="44" t="s">
        <v>747</v>
      </c>
      <c r="C50" s="44" t="s">
        <v>748</v>
      </c>
      <c r="D50" s="44" t="s">
        <v>100</v>
      </c>
      <c r="E50" s="45">
        <v>2924</v>
      </c>
      <c r="F50" s="46">
        <v>90.189318</v>
      </c>
      <c r="G50" s="47">
        <v>9.7194699999999992E-3</v>
      </c>
      <c r="H50" s="40" t="s">
        <v>151</v>
      </c>
      <c r="J50" s="7"/>
    </row>
    <row r="51" spans="1:10" x14ac:dyDescent="0.2">
      <c r="A51" s="43">
        <v>45</v>
      </c>
      <c r="B51" s="44" t="s">
        <v>11</v>
      </c>
      <c r="C51" s="44" t="s">
        <v>12</v>
      </c>
      <c r="D51" s="44" t="s">
        <v>13</v>
      </c>
      <c r="E51" s="45">
        <v>2340</v>
      </c>
      <c r="F51" s="46">
        <v>89.271000000000001</v>
      </c>
      <c r="G51" s="47">
        <v>9.6205000000000006E-3</v>
      </c>
      <c r="H51" s="40" t="s">
        <v>151</v>
      </c>
      <c r="J51" s="7"/>
    </row>
    <row r="52" spans="1:10" x14ac:dyDescent="0.2">
      <c r="A52" s="43">
        <v>46</v>
      </c>
      <c r="B52" s="44" t="s">
        <v>26</v>
      </c>
      <c r="C52" s="44" t="s">
        <v>27</v>
      </c>
      <c r="D52" s="44" t="s">
        <v>16</v>
      </c>
      <c r="E52" s="45">
        <v>25534</v>
      </c>
      <c r="F52" s="46">
        <v>88.909388000000007</v>
      </c>
      <c r="G52" s="47">
        <v>9.5815299999999996E-3</v>
      </c>
      <c r="H52" s="40" t="s">
        <v>151</v>
      </c>
      <c r="J52" s="7"/>
    </row>
    <row r="53" spans="1:10" x14ac:dyDescent="0.2">
      <c r="A53" s="43">
        <v>47</v>
      </c>
      <c r="B53" s="44" t="s">
        <v>101</v>
      </c>
      <c r="C53" s="44" t="s">
        <v>102</v>
      </c>
      <c r="D53" s="44" t="s">
        <v>76</v>
      </c>
      <c r="E53" s="45">
        <v>1986</v>
      </c>
      <c r="F53" s="46">
        <v>88.817892000000001</v>
      </c>
      <c r="G53" s="47">
        <v>9.5716699999999991E-3</v>
      </c>
      <c r="H53" s="40" t="s">
        <v>151</v>
      </c>
      <c r="J53" s="7"/>
    </row>
    <row r="54" spans="1:10" x14ac:dyDescent="0.2">
      <c r="A54" s="43">
        <v>48</v>
      </c>
      <c r="B54" s="44" t="s">
        <v>55</v>
      </c>
      <c r="C54" s="44" t="s">
        <v>56</v>
      </c>
      <c r="D54" s="44" t="s">
        <v>16</v>
      </c>
      <c r="E54" s="45">
        <v>19547</v>
      </c>
      <c r="F54" s="46">
        <v>88.665192000000005</v>
      </c>
      <c r="G54" s="47">
        <v>9.5552199999999997E-3</v>
      </c>
      <c r="H54" s="40" t="s">
        <v>151</v>
      </c>
      <c r="J54" s="7"/>
    </row>
    <row r="55" spans="1:10" x14ac:dyDescent="0.2">
      <c r="A55" s="43">
        <v>49</v>
      </c>
      <c r="B55" s="44" t="s">
        <v>792</v>
      </c>
      <c r="C55" s="44" t="s">
        <v>793</v>
      </c>
      <c r="D55" s="44" t="s">
        <v>282</v>
      </c>
      <c r="E55" s="45">
        <v>1785</v>
      </c>
      <c r="F55" s="46">
        <v>88.584194999999994</v>
      </c>
      <c r="G55" s="47">
        <v>9.5464899999999995E-3</v>
      </c>
      <c r="H55" s="40" t="s">
        <v>151</v>
      </c>
      <c r="J55" s="7"/>
    </row>
    <row r="56" spans="1:10" x14ac:dyDescent="0.2">
      <c r="A56" s="43">
        <v>50</v>
      </c>
      <c r="B56" s="44" t="s">
        <v>17</v>
      </c>
      <c r="C56" s="44" t="s">
        <v>18</v>
      </c>
      <c r="D56" s="44" t="s">
        <v>19</v>
      </c>
      <c r="E56" s="45">
        <v>5924</v>
      </c>
      <c r="F56" s="46">
        <v>88.359421999999995</v>
      </c>
      <c r="G56" s="47">
        <v>9.5222599999999994E-3</v>
      </c>
      <c r="H56" s="40" t="s">
        <v>151</v>
      </c>
      <c r="J56" s="7"/>
    </row>
    <row r="57" spans="1:10" x14ac:dyDescent="0.2">
      <c r="A57" s="43">
        <v>51</v>
      </c>
      <c r="B57" s="44" t="s">
        <v>280</v>
      </c>
      <c r="C57" s="44" t="s">
        <v>281</v>
      </c>
      <c r="D57" s="44" t="s">
        <v>282</v>
      </c>
      <c r="E57" s="45">
        <v>3486</v>
      </c>
      <c r="F57" s="46">
        <v>88.23066</v>
      </c>
      <c r="G57" s="47">
        <v>9.5083900000000002E-3</v>
      </c>
      <c r="H57" s="40" t="s">
        <v>151</v>
      </c>
      <c r="J57" s="7"/>
    </row>
    <row r="58" spans="1:10" x14ac:dyDescent="0.2">
      <c r="A58" s="43">
        <v>52</v>
      </c>
      <c r="B58" s="44" t="s">
        <v>254</v>
      </c>
      <c r="C58" s="44" t="s">
        <v>255</v>
      </c>
      <c r="D58" s="44" t="s">
        <v>202</v>
      </c>
      <c r="E58" s="45">
        <v>1254</v>
      </c>
      <c r="F58" s="46">
        <v>88.121714999999995</v>
      </c>
      <c r="G58" s="47">
        <v>9.4966500000000006E-3</v>
      </c>
      <c r="H58" s="40" t="s">
        <v>151</v>
      </c>
      <c r="J58" s="7"/>
    </row>
    <row r="59" spans="1:10" x14ac:dyDescent="0.2">
      <c r="A59" s="43">
        <v>53</v>
      </c>
      <c r="B59" s="44" t="s">
        <v>484</v>
      </c>
      <c r="C59" s="44" t="s">
        <v>485</v>
      </c>
      <c r="D59" s="44" t="s">
        <v>219</v>
      </c>
      <c r="E59" s="45">
        <v>16879</v>
      </c>
      <c r="F59" s="46">
        <v>88.108379999999997</v>
      </c>
      <c r="G59" s="47">
        <v>9.4952100000000005E-3</v>
      </c>
      <c r="H59" s="40" t="s">
        <v>151</v>
      </c>
      <c r="J59" s="7"/>
    </row>
    <row r="60" spans="1:10" ht="25.5" x14ac:dyDescent="0.2">
      <c r="A60" s="43">
        <v>54</v>
      </c>
      <c r="B60" s="44" t="s">
        <v>103</v>
      </c>
      <c r="C60" s="44" t="s">
        <v>104</v>
      </c>
      <c r="D60" s="44" t="s">
        <v>25</v>
      </c>
      <c r="E60" s="45">
        <v>12933</v>
      </c>
      <c r="F60" s="46">
        <v>87.9379335</v>
      </c>
      <c r="G60" s="47">
        <v>9.4768400000000003E-3</v>
      </c>
      <c r="H60" s="40" t="s">
        <v>151</v>
      </c>
      <c r="J60" s="7"/>
    </row>
    <row r="61" spans="1:10" x14ac:dyDescent="0.2">
      <c r="A61" s="43">
        <v>55</v>
      </c>
      <c r="B61" s="44" t="s">
        <v>794</v>
      </c>
      <c r="C61" s="44" t="s">
        <v>795</v>
      </c>
      <c r="D61" s="44" t="s">
        <v>503</v>
      </c>
      <c r="E61" s="45">
        <v>6081</v>
      </c>
      <c r="F61" s="46">
        <v>87.612007500000004</v>
      </c>
      <c r="G61" s="47">
        <v>9.4417200000000007E-3</v>
      </c>
      <c r="H61" s="40" t="s">
        <v>151</v>
      </c>
      <c r="J61" s="7"/>
    </row>
    <row r="62" spans="1:10" x14ac:dyDescent="0.2">
      <c r="A62" s="43">
        <v>56</v>
      </c>
      <c r="B62" s="44" t="s">
        <v>796</v>
      </c>
      <c r="C62" s="44" t="s">
        <v>797</v>
      </c>
      <c r="D62" s="44" t="s">
        <v>222</v>
      </c>
      <c r="E62" s="45">
        <v>1323</v>
      </c>
      <c r="F62" s="46">
        <v>87.520419000000004</v>
      </c>
      <c r="G62" s="47">
        <v>9.4318500000000003E-3</v>
      </c>
      <c r="H62" s="40" t="s">
        <v>151</v>
      </c>
      <c r="J62" s="7"/>
    </row>
    <row r="63" spans="1:10" x14ac:dyDescent="0.2">
      <c r="A63" s="43">
        <v>57</v>
      </c>
      <c r="B63" s="44" t="s">
        <v>386</v>
      </c>
      <c r="C63" s="44" t="s">
        <v>387</v>
      </c>
      <c r="D63" s="44" t="s">
        <v>202</v>
      </c>
      <c r="E63" s="45">
        <v>1760</v>
      </c>
      <c r="F63" s="46">
        <v>86.872720000000001</v>
      </c>
      <c r="G63" s="47">
        <v>9.3620500000000002E-3</v>
      </c>
      <c r="H63" s="40" t="s">
        <v>151</v>
      </c>
      <c r="J63" s="7"/>
    </row>
    <row r="64" spans="1:10" x14ac:dyDescent="0.2">
      <c r="A64" s="43">
        <v>58</v>
      </c>
      <c r="B64" s="44" t="s">
        <v>798</v>
      </c>
      <c r="C64" s="44" t="s">
        <v>799</v>
      </c>
      <c r="D64" s="44" t="s">
        <v>89</v>
      </c>
      <c r="E64" s="45">
        <v>248</v>
      </c>
      <c r="F64" s="46">
        <v>86.746555999999998</v>
      </c>
      <c r="G64" s="47">
        <v>9.3484499999999995E-3</v>
      </c>
      <c r="H64" s="40" t="s">
        <v>151</v>
      </c>
      <c r="J64" s="7"/>
    </row>
    <row r="65" spans="1:10" x14ac:dyDescent="0.2">
      <c r="A65" s="43">
        <v>59</v>
      </c>
      <c r="B65" s="44" t="s">
        <v>20</v>
      </c>
      <c r="C65" s="44" t="s">
        <v>21</v>
      </c>
      <c r="D65" s="44" t="s">
        <v>22</v>
      </c>
      <c r="E65" s="45">
        <v>2879</v>
      </c>
      <c r="F65" s="46">
        <v>86.682371500000002</v>
      </c>
      <c r="G65" s="47">
        <v>9.3415300000000007E-3</v>
      </c>
      <c r="H65" s="40" t="s">
        <v>151</v>
      </c>
      <c r="J65" s="7"/>
    </row>
    <row r="66" spans="1:10" x14ac:dyDescent="0.2">
      <c r="A66" s="43">
        <v>60</v>
      </c>
      <c r="B66" s="44" t="s">
        <v>357</v>
      </c>
      <c r="C66" s="44" t="s">
        <v>358</v>
      </c>
      <c r="D66" s="44" t="s">
        <v>282</v>
      </c>
      <c r="E66" s="45">
        <v>7481</v>
      </c>
      <c r="F66" s="46">
        <v>86.528986500000002</v>
      </c>
      <c r="G66" s="47">
        <v>9.325E-3</v>
      </c>
      <c r="H66" s="40" t="s">
        <v>151</v>
      </c>
      <c r="J66" s="7"/>
    </row>
    <row r="67" spans="1:10" x14ac:dyDescent="0.2">
      <c r="A67" s="43">
        <v>61</v>
      </c>
      <c r="B67" s="44" t="s">
        <v>51</v>
      </c>
      <c r="C67" s="44" t="s">
        <v>52</v>
      </c>
      <c r="D67" s="44" t="s">
        <v>45</v>
      </c>
      <c r="E67" s="45">
        <v>9902</v>
      </c>
      <c r="F67" s="46">
        <v>86.385047999999998</v>
      </c>
      <c r="G67" s="47">
        <v>9.3094900000000001E-3</v>
      </c>
      <c r="H67" s="40" t="s">
        <v>151</v>
      </c>
      <c r="J67" s="7"/>
    </row>
    <row r="68" spans="1:10" ht="25.5" x14ac:dyDescent="0.2">
      <c r="A68" s="43">
        <v>62</v>
      </c>
      <c r="B68" s="44" t="s">
        <v>475</v>
      </c>
      <c r="C68" s="44" t="s">
        <v>476</v>
      </c>
      <c r="D68" s="44" t="s">
        <v>210</v>
      </c>
      <c r="E68" s="45">
        <v>5588</v>
      </c>
      <c r="F68" s="46">
        <v>86.295484000000002</v>
      </c>
      <c r="G68" s="47">
        <v>9.2998400000000002E-3</v>
      </c>
      <c r="H68" s="40" t="s">
        <v>151</v>
      </c>
      <c r="J68" s="7"/>
    </row>
    <row r="69" spans="1:10" x14ac:dyDescent="0.2">
      <c r="A69" s="43">
        <v>63</v>
      </c>
      <c r="B69" s="44" t="s">
        <v>800</v>
      </c>
      <c r="C69" s="44" t="s">
        <v>801</v>
      </c>
      <c r="D69" s="44" t="s">
        <v>16</v>
      </c>
      <c r="E69" s="45">
        <v>4669</v>
      </c>
      <c r="F69" s="46">
        <v>86.245767999999998</v>
      </c>
      <c r="G69" s="47">
        <v>9.2944800000000008E-3</v>
      </c>
      <c r="H69" s="40" t="s">
        <v>151</v>
      </c>
      <c r="J69" s="7"/>
    </row>
    <row r="70" spans="1:10" x14ac:dyDescent="0.2">
      <c r="A70" s="43">
        <v>64</v>
      </c>
      <c r="B70" s="44" t="s">
        <v>28</v>
      </c>
      <c r="C70" s="44" t="s">
        <v>29</v>
      </c>
      <c r="D70" s="44" t="s">
        <v>30</v>
      </c>
      <c r="E70" s="45">
        <v>27193</v>
      </c>
      <c r="F70" s="46">
        <v>85.943476500000003</v>
      </c>
      <c r="G70" s="47">
        <v>9.2619E-3</v>
      </c>
      <c r="H70" s="40" t="s">
        <v>151</v>
      </c>
      <c r="J70" s="7"/>
    </row>
    <row r="71" spans="1:10" x14ac:dyDescent="0.2">
      <c r="A71" s="43">
        <v>65</v>
      </c>
      <c r="B71" s="44" t="s">
        <v>404</v>
      </c>
      <c r="C71" s="44" t="s">
        <v>405</v>
      </c>
      <c r="D71" s="44" t="s">
        <v>86</v>
      </c>
      <c r="E71" s="45">
        <v>5203</v>
      </c>
      <c r="F71" s="46">
        <v>85.935349500000001</v>
      </c>
      <c r="G71" s="47">
        <v>9.26103E-3</v>
      </c>
      <c r="H71" s="40" t="s">
        <v>151</v>
      </c>
      <c r="J71" s="7"/>
    </row>
    <row r="72" spans="1:10" ht="25.5" x14ac:dyDescent="0.2">
      <c r="A72" s="43">
        <v>66</v>
      </c>
      <c r="B72" s="44" t="s">
        <v>802</v>
      </c>
      <c r="C72" s="44" t="s">
        <v>803</v>
      </c>
      <c r="D72" s="44" t="s">
        <v>247</v>
      </c>
      <c r="E72" s="45">
        <v>2685</v>
      </c>
      <c r="F72" s="46">
        <v>85.554839999999999</v>
      </c>
      <c r="G72" s="47">
        <v>9.2200200000000006E-3</v>
      </c>
      <c r="H72" s="40" t="s">
        <v>151</v>
      </c>
      <c r="J72" s="7"/>
    </row>
    <row r="73" spans="1:10" x14ac:dyDescent="0.2">
      <c r="A73" s="43">
        <v>67</v>
      </c>
      <c r="B73" s="44" t="s">
        <v>804</v>
      </c>
      <c r="C73" s="44" t="s">
        <v>805</v>
      </c>
      <c r="D73" s="44" t="s">
        <v>89</v>
      </c>
      <c r="E73" s="45">
        <v>43523</v>
      </c>
      <c r="F73" s="46">
        <v>85.553161099999997</v>
      </c>
      <c r="G73" s="47">
        <v>9.21984E-3</v>
      </c>
      <c r="H73" s="40" t="s">
        <v>151</v>
      </c>
      <c r="J73" s="7"/>
    </row>
    <row r="74" spans="1:10" x14ac:dyDescent="0.2">
      <c r="A74" s="43">
        <v>68</v>
      </c>
      <c r="B74" s="44" t="s">
        <v>355</v>
      </c>
      <c r="C74" s="44" t="s">
        <v>356</v>
      </c>
      <c r="D74" s="44" t="s">
        <v>45</v>
      </c>
      <c r="E74" s="45">
        <v>4705</v>
      </c>
      <c r="F74" s="46">
        <v>85.061695</v>
      </c>
      <c r="G74" s="47">
        <v>9.1668800000000005E-3</v>
      </c>
      <c r="H74" s="40" t="s">
        <v>151</v>
      </c>
      <c r="J74" s="7"/>
    </row>
    <row r="75" spans="1:10" x14ac:dyDescent="0.2">
      <c r="A75" s="43">
        <v>69</v>
      </c>
      <c r="B75" s="44" t="s">
        <v>43</v>
      </c>
      <c r="C75" s="44" t="s">
        <v>44</v>
      </c>
      <c r="D75" s="44" t="s">
        <v>45</v>
      </c>
      <c r="E75" s="45">
        <v>6990</v>
      </c>
      <c r="F75" s="46">
        <v>84.921509999999998</v>
      </c>
      <c r="G75" s="47">
        <v>9.15177E-3</v>
      </c>
      <c r="H75" s="40" t="s">
        <v>151</v>
      </c>
      <c r="J75" s="7"/>
    </row>
    <row r="76" spans="1:10" x14ac:dyDescent="0.2">
      <c r="A76" s="43">
        <v>70</v>
      </c>
      <c r="B76" s="44" t="s">
        <v>397</v>
      </c>
      <c r="C76" s="44" t="s">
        <v>398</v>
      </c>
      <c r="D76" s="44" t="s">
        <v>100</v>
      </c>
      <c r="E76" s="45">
        <v>2455</v>
      </c>
      <c r="F76" s="46">
        <v>84.917222499999994</v>
      </c>
      <c r="G76" s="47">
        <v>9.1513099999999993E-3</v>
      </c>
      <c r="H76" s="40" t="s">
        <v>151</v>
      </c>
      <c r="J76" s="7"/>
    </row>
    <row r="77" spans="1:10" x14ac:dyDescent="0.2">
      <c r="A77" s="43">
        <v>71</v>
      </c>
      <c r="B77" s="44" t="s">
        <v>806</v>
      </c>
      <c r="C77" s="44" t="s">
        <v>807</v>
      </c>
      <c r="D77" s="44" t="s">
        <v>16</v>
      </c>
      <c r="E77" s="45">
        <v>11533</v>
      </c>
      <c r="F77" s="46">
        <v>84.704118500000007</v>
      </c>
      <c r="G77" s="47">
        <v>9.1283400000000004E-3</v>
      </c>
      <c r="H77" s="40" t="s">
        <v>151</v>
      </c>
      <c r="J77" s="7"/>
    </row>
    <row r="78" spans="1:10" ht="25.5" x14ac:dyDescent="0.2">
      <c r="A78" s="43">
        <v>72</v>
      </c>
      <c r="B78" s="44" t="s">
        <v>808</v>
      </c>
      <c r="C78" s="44" t="s">
        <v>809</v>
      </c>
      <c r="D78" s="44" t="s">
        <v>25</v>
      </c>
      <c r="E78" s="45">
        <v>305</v>
      </c>
      <c r="F78" s="46">
        <v>84.608372500000002</v>
      </c>
      <c r="G78" s="47">
        <v>9.1180199999999993E-3</v>
      </c>
      <c r="H78" s="40" t="s">
        <v>151</v>
      </c>
      <c r="J78" s="7"/>
    </row>
    <row r="79" spans="1:10" x14ac:dyDescent="0.2">
      <c r="A79" s="43">
        <v>73</v>
      </c>
      <c r="B79" s="44" t="s">
        <v>554</v>
      </c>
      <c r="C79" s="44" t="s">
        <v>555</v>
      </c>
      <c r="D79" s="44" t="s">
        <v>282</v>
      </c>
      <c r="E79" s="45">
        <v>2908</v>
      </c>
      <c r="F79" s="46">
        <v>84.558824000000001</v>
      </c>
      <c r="G79" s="47">
        <v>9.1126799999999997E-3</v>
      </c>
      <c r="H79" s="40" t="s">
        <v>151</v>
      </c>
      <c r="J79" s="7"/>
    </row>
    <row r="80" spans="1:10" x14ac:dyDescent="0.2">
      <c r="A80" s="43">
        <v>74</v>
      </c>
      <c r="B80" s="44" t="s">
        <v>810</v>
      </c>
      <c r="C80" s="44" t="s">
        <v>811</v>
      </c>
      <c r="D80" s="44" t="s">
        <v>64</v>
      </c>
      <c r="E80" s="45">
        <v>9417</v>
      </c>
      <c r="F80" s="46">
        <v>84.333943500000004</v>
      </c>
      <c r="G80" s="47">
        <v>9.0884499999999997E-3</v>
      </c>
      <c r="H80" s="40" t="s">
        <v>151</v>
      </c>
      <c r="J80" s="7"/>
    </row>
    <row r="81" spans="1:10" x14ac:dyDescent="0.2">
      <c r="A81" s="43">
        <v>75</v>
      </c>
      <c r="B81" s="44" t="s">
        <v>556</v>
      </c>
      <c r="C81" s="44" t="s">
        <v>557</v>
      </c>
      <c r="D81" s="44" t="s">
        <v>282</v>
      </c>
      <c r="E81" s="45">
        <v>872</v>
      </c>
      <c r="F81" s="46">
        <v>84.271823999999995</v>
      </c>
      <c r="G81" s="47">
        <v>9.0817499999999995E-3</v>
      </c>
      <c r="H81" s="40" t="s">
        <v>151</v>
      </c>
      <c r="J81" s="7"/>
    </row>
    <row r="82" spans="1:10" x14ac:dyDescent="0.2">
      <c r="A82" s="43">
        <v>76</v>
      </c>
      <c r="B82" s="44" t="s">
        <v>374</v>
      </c>
      <c r="C82" s="44" t="s">
        <v>375</v>
      </c>
      <c r="D82" s="44" t="s">
        <v>282</v>
      </c>
      <c r="E82" s="45">
        <v>1532</v>
      </c>
      <c r="F82" s="46">
        <v>84.083054000000004</v>
      </c>
      <c r="G82" s="47">
        <v>9.0614100000000006E-3</v>
      </c>
      <c r="H82" s="40" t="s">
        <v>151</v>
      </c>
      <c r="J82" s="7"/>
    </row>
    <row r="83" spans="1:10" x14ac:dyDescent="0.2">
      <c r="A83" s="43">
        <v>77</v>
      </c>
      <c r="B83" s="44" t="s">
        <v>745</v>
      </c>
      <c r="C83" s="44" t="s">
        <v>746</v>
      </c>
      <c r="D83" s="44" t="s">
        <v>136</v>
      </c>
      <c r="E83" s="45">
        <v>9022</v>
      </c>
      <c r="F83" s="46">
        <v>83.746714999999995</v>
      </c>
      <c r="G83" s="47">
        <v>9.0251600000000008E-3</v>
      </c>
      <c r="H83" s="40" t="s">
        <v>151</v>
      </c>
      <c r="J83" s="7"/>
    </row>
    <row r="84" spans="1:10" x14ac:dyDescent="0.2">
      <c r="A84" s="43">
        <v>78</v>
      </c>
      <c r="B84" s="44" t="s">
        <v>351</v>
      </c>
      <c r="C84" s="44" t="s">
        <v>352</v>
      </c>
      <c r="D84" s="44" t="s">
        <v>268</v>
      </c>
      <c r="E84" s="45">
        <v>5302</v>
      </c>
      <c r="F84" s="46">
        <v>83.633747999999997</v>
      </c>
      <c r="G84" s="47">
        <v>9.0129900000000002E-3</v>
      </c>
      <c r="H84" s="40" t="s">
        <v>151</v>
      </c>
      <c r="J84" s="7"/>
    </row>
    <row r="85" spans="1:10" ht="25.5" x14ac:dyDescent="0.2">
      <c r="A85" s="43">
        <v>79</v>
      </c>
      <c r="B85" s="44" t="s">
        <v>736</v>
      </c>
      <c r="C85" s="44" t="s">
        <v>737</v>
      </c>
      <c r="D85" s="44" t="s">
        <v>738</v>
      </c>
      <c r="E85" s="45">
        <v>2638</v>
      </c>
      <c r="F85" s="46">
        <v>83.608772000000002</v>
      </c>
      <c r="G85" s="47">
        <v>9.0103000000000006E-3</v>
      </c>
      <c r="H85" s="40" t="s">
        <v>151</v>
      </c>
      <c r="J85" s="7"/>
    </row>
    <row r="86" spans="1:10" x14ac:dyDescent="0.2">
      <c r="A86" s="43">
        <v>80</v>
      </c>
      <c r="B86" s="44" t="s">
        <v>812</v>
      </c>
      <c r="C86" s="44" t="s">
        <v>813</v>
      </c>
      <c r="D86" s="44" t="s">
        <v>45</v>
      </c>
      <c r="E86" s="45">
        <v>67357</v>
      </c>
      <c r="F86" s="46">
        <v>83.489001500000001</v>
      </c>
      <c r="G86" s="47">
        <v>8.9973899999999992E-3</v>
      </c>
      <c r="H86" s="40" t="s">
        <v>151</v>
      </c>
      <c r="J86" s="7"/>
    </row>
    <row r="87" spans="1:10" ht="25.5" x14ac:dyDescent="0.2">
      <c r="A87" s="43">
        <v>81</v>
      </c>
      <c r="B87" s="44" t="s">
        <v>814</v>
      </c>
      <c r="C87" s="44" t="s">
        <v>815</v>
      </c>
      <c r="D87" s="44" t="s">
        <v>242</v>
      </c>
      <c r="E87" s="45">
        <v>8422</v>
      </c>
      <c r="F87" s="46">
        <v>83.179883000000004</v>
      </c>
      <c r="G87" s="47">
        <v>8.9640799999999993E-3</v>
      </c>
      <c r="H87" s="40" t="s">
        <v>151</v>
      </c>
      <c r="J87" s="7"/>
    </row>
    <row r="88" spans="1:10" x14ac:dyDescent="0.2">
      <c r="A88" s="43">
        <v>82</v>
      </c>
      <c r="B88" s="44" t="s">
        <v>665</v>
      </c>
      <c r="C88" s="44" t="s">
        <v>666</v>
      </c>
      <c r="D88" s="44" t="s">
        <v>667</v>
      </c>
      <c r="E88" s="45">
        <v>18434</v>
      </c>
      <c r="F88" s="46">
        <v>83.091255000000004</v>
      </c>
      <c r="G88" s="47">
        <v>8.9545300000000005E-3</v>
      </c>
      <c r="H88" s="40" t="s">
        <v>151</v>
      </c>
      <c r="J88" s="7"/>
    </row>
    <row r="89" spans="1:10" ht="25.5" x14ac:dyDescent="0.2">
      <c r="A89" s="43">
        <v>83</v>
      </c>
      <c r="B89" s="44" t="s">
        <v>273</v>
      </c>
      <c r="C89" s="44" t="s">
        <v>274</v>
      </c>
      <c r="D89" s="44" t="s">
        <v>86</v>
      </c>
      <c r="E89" s="45">
        <v>5857</v>
      </c>
      <c r="F89" s="46">
        <v>82.970262000000005</v>
      </c>
      <c r="G89" s="47">
        <v>8.9414899999999999E-3</v>
      </c>
      <c r="H89" s="40" t="s">
        <v>151</v>
      </c>
      <c r="J89" s="7"/>
    </row>
    <row r="90" spans="1:10" x14ac:dyDescent="0.2">
      <c r="A90" s="43">
        <v>84</v>
      </c>
      <c r="B90" s="44" t="s">
        <v>816</v>
      </c>
      <c r="C90" s="44" t="s">
        <v>817</v>
      </c>
      <c r="D90" s="44" t="s">
        <v>86</v>
      </c>
      <c r="E90" s="45">
        <v>11412</v>
      </c>
      <c r="F90" s="46">
        <v>82.948121999999998</v>
      </c>
      <c r="G90" s="47">
        <v>8.9391000000000002E-3</v>
      </c>
      <c r="H90" s="40" t="s">
        <v>151</v>
      </c>
      <c r="J90" s="7"/>
    </row>
    <row r="91" spans="1:10" x14ac:dyDescent="0.2">
      <c r="A91" s="43">
        <v>85</v>
      </c>
      <c r="B91" s="44" t="s">
        <v>248</v>
      </c>
      <c r="C91" s="44" t="s">
        <v>249</v>
      </c>
      <c r="D91" s="44" t="s">
        <v>86</v>
      </c>
      <c r="E91" s="45">
        <v>2818</v>
      </c>
      <c r="F91" s="46">
        <v>82.622350999999995</v>
      </c>
      <c r="G91" s="47">
        <v>8.9039900000000005E-3</v>
      </c>
      <c r="H91" s="40" t="s">
        <v>151</v>
      </c>
      <c r="J91" s="7"/>
    </row>
    <row r="92" spans="1:10" x14ac:dyDescent="0.2">
      <c r="A92" s="43">
        <v>86</v>
      </c>
      <c r="B92" s="44" t="s">
        <v>359</v>
      </c>
      <c r="C92" s="44" t="s">
        <v>360</v>
      </c>
      <c r="D92" s="44" t="s">
        <v>361</v>
      </c>
      <c r="E92" s="45">
        <v>12250</v>
      </c>
      <c r="F92" s="46">
        <v>82.025999999999996</v>
      </c>
      <c r="G92" s="47">
        <v>8.8397300000000005E-3</v>
      </c>
      <c r="H92" s="40" t="s">
        <v>151</v>
      </c>
      <c r="J92" s="7"/>
    </row>
    <row r="93" spans="1:10" x14ac:dyDescent="0.2">
      <c r="A93" s="43">
        <v>87</v>
      </c>
      <c r="B93" s="44" t="s">
        <v>720</v>
      </c>
      <c r="C93" s="44" t="s">
        <v>721</v>
      </c>
      <c r="D93" s="44" t="s">
        <v>277</v>
      </c>
      <c r="E93" s="45">
        <v>3338</v>
      </c>
      <c r="F93" s="46">
        <v>81.992963000000003</v>
      </c>
      <c r="G93" s="47">
        <v>8.8361700000000008E-3</v>
      </c>
      <c r="H93" s="40" t="s">
        <v>151</v>
      </c>
      <c r="J93" s="7"/>
    </row>
    <row r="94" spans="1:10" x14ac:dyDescent="0.2">
      <c r="A94" s="43">
        <v>88</v>
      </c>
      <c r="B94" s="44" t="s">
        <v>395</v>
      </c>
      <c r="C94" s="44" t="s">
        <v>396</v>
      </c>
      <c r="D94" s="44" t="s">
        <v>45</v>
      </c>
      <c r="E94" s="45">
        <v>70763</v>
      </c>
      <c r="F94" s="46">
        <v>81.172237300000006</v>
      </c>
      <c r="G94" s="47">
        <v>8.7477200000000005E-3</v>
      </c>
      <c r="H94" s="40" t="s">
        <v>151</v>
      </c>
      <c r="J94" s="7"/>
    </row>
    <row r="95" spans="1:10" x14ac:dyDescent="0.2">
      <c r="A95" s="43">
        <v>89</v>
      </c>
      <c r="B95" s="44" t="s">
        <v>756</v>
      </c>
      <c r="C95" s="44" t="s">
        <v>757</v>
      </c>
      <c r="D95" s="44" t="s">
        <v>100</v>
      </c>
      <c r="E95" s="45">
        <v>4367</v>
      </c>
      <c r="F95" s="46">
        <v>80.782949500000001</v>
      </c>
      <c r="G95" s="47">
        <v>8.7057699999999998E-3</v>
      </c>
      <c r="H95" s="40" t="s">
        <v>151</v>
      </c>
      <c r="J95" s="7"/>
    </row>
    <row r="96" spans="1:10" x14ac:dyDescent="0.2">
      <c r="A96" s="43">
        <v>90</v>
      </c>
      <c r="B96" s="44" t="s">
        <v>685</v>
      </c>
      <c r="C96" s="44" t="s">
        <v>686</v>
      </c>
      <c r="D96" s="44" t="s">
        <v>86</v>
      </c>
      <c r="E96" s="45">
        <v>1184</v>
      </c>
      <c r="F96" s="46">
        <v>80.594288000000006</v>
      </c>
      <c r="G96" s="47">
        <v>8.6854399999999991E-3</v>
      </c>
      <c r="H96" s="40" t="s">
        <v>151</v>
      </c>
      <c r="J96" s="7"/>
    </row>
    <row r="97" spans="1:10" x14ac:dyDescent="0.2">
      <c r="A97" s="43">
        <v>91</v>
      </c>
      <c r="B97" s="44" t="s">
        <v>479</v>
      </c>
      <c r="C97" s="44" t="s">
        <v>480</v>
      </c>
      <c r="D97" s="44" t="s">
        <v>45</v>
      </c>
      <c r="E97" s="45">
        <v>5584</v>
      </c>
      <c r="F97" s="46">
        <v>79.728352000000001</v>
      </c>
      <c r="G97" s="47">
        <v>8.59212E-3</v>
      </c>
      <c r="H97" s="40" t="s">
        <v>151</v>
      </c>
      <c r="J97" s="7"/>
    </row>
    <row r="98" spans="1:10" x14ac:dyDescent="0.2">
      <c r="A98" s="43">
        <v>92</v>
      </c>
      <c r="B98" s="44" t="s">
        <v>382</v>
      </c>
      <c r="C98" s="44" t="s">
        <v>383</v>
      </c>
      <c r="D98" s="44" t="s">
        <v>136</v>
      </c>
      <c r="E98" s="45">
        <v>48013</v>
      </c>
      <c r="F98" s="46">
        <v>79.379892900000002</v>
      </c>
      <c r="G98" s="47">
        <v>8.5545599999999992E-3</v>
      </c>
      <c r="H98" s="40" t="s">
        <v>151</v>
      </c>
      <c r="J98" s="7"/>
    </row>
    <row r="99" spans="1:10" x14ac:dyDescent="0.2">
      <c r="A99" s="43">
        <v>93</v>
      </c>
      <c r="B99" s="44" t="s">
        <v>341</v>
      </c>
      <c r="C99" s="44" t="s">
        <v>342</v>
      </c>
      <c r="D99" s="44" t="s">
        <v>45</v>
      </c>
      <c r="E99" s="45">
        <v>4898</v>
      </c>
      <c r="F99" s="46">
        <v>79.139435000000006</v>
      </c>
      <c r="G99" s="47">
        <v>8.5286500000000005E-3</v>
      </c>
      <c r="H99" s="40" t="s">
        <v>151</v>
      </c>
      <c r="J99" s="7"/>
    </row>
    <row r="100" spans="1:10" x14ac:dyDescent="0.2">
      <c r="A100" s="43">
        <v>94</v>
      </c>
      <c r="B100" s="44" t="s">
        <v>67</v>
      </c>
      <c r="C100" s="44" t="s">
        <v>68</v>
      </c>
      <c r="D100" s="44" t="s">
        <v>50</v>
      </c>
      <c r="E100" s="45">
        <v>1107</v>
      </c>
      <c r="F100" s="46">
        <v>78.961202999999998</v>
      </c>
      <c r="G100" s="47">
        <v>8.5094400000000001E-3</v>
      </c>
      <c r="H100" s="40" t="s">
        <v>151</v>
      </c>
      <c r="J100" s="7"/>
    </row>
    <row r="101" spans="1:10" x14ac:dyDescent="0.2">
      <c r="A101" s="43">
        <v>95</v>
      </c>
      <c r="B101" s="44" t="s">
        <v>130</v>
      </c>
      <c r="C101" s="44" t="s">
        <v>131</v>
      </c>
      <c r="D101" s="44" t="s">
        <v>50</v>
      </c>
      <c r="E101" s="45">
        <v>996</v>
      </c>
      <c r="F101" s="46">
        <v>78.652625999999998</v>
      </c>
      <c r="G101" s="47">
        <v>8.4761899999999998E-3</v>
      </c>
      <c r="H101" s="40" t="s">
        <v>151</v>
      </c>
      <c r="J101" s="7"/>
    </row>
    <row r="102" spans="1:10" x14ac:dyDescent="0.2">
      <c r="A102" s="43">
        <v>96</v>
      </c>
      <c r="B102" s="44" t="s">
        <v>134</v>
      </c>
      <c r="C102" s="44" t="s">
        <v>135</v>
      </c>
      <c r="D102" s="44" t="s">
        <v>136</v>
      </c>
      <c r="E102" s="45">
        <v>7898</v>
      </c>
      <c r="F102" s="46">
        <v>78.051985000000002</v>
      </c>
      <c r="G102" s="47">
        <v>8.4114600000000008E-3</v>
      </c>
      <c r="H102" s="40" t="s">
        <v>151</v>
      </c>
      <c r="J102" s="7"/>
    </row>
    <row r="103" spans="1:10" x14ac:dyDescent="0.2">
      <c r="A103" s="43">
        <v>97</v>
      </c>
      <c r="B103" s="44" t="s">
        <v>116</v>
      </c>
      <c r="C103" s="44" t="s">
        <v>117</v>
      </c>
      <c r="D103" s="44" t="s">
        <v>30</v>
      </c>
      <c r="E103" s="45">
        <v>1564</v>
      </c>
      <c r="F103" s="46">
        <v>76.993374000000003</v>
      </c>
      <c r="G103" s="47">
        <v>8.2973700000000001E-3</v>
      </c>
      <c r="H103" s="40" t="s">
        <v>151</v>
      </c>
      <c r="J103" s="7"/>
    </row>
    <row r="104" spans="1:10" x14ac:dyDescent="0.2">
      <c r="A104" s="43">
        <v>98</v>
      </c>
      <c r="B104" s="44" t="s">
        <v>347</v>
      </c>
      <c r="C104" s="44" t="s">
        <v>348</v>
      </c>
      <c r="D104" s="44" t="s">
        <v>45</v>
      </c>
      <c r="E104" s="45">
        <v>6589</v>
      </c>
      <c r="F104" s="46">
        <v>76.834328999999997</v>
      </c>
      <c r="G104" s="47">
        <v>8.2802299999999995E-3</v>
      </c>
      <c r="H104" s="40" t="s">
        <v>151</v>
      </c>
      <c r="J104" s="7"/>
    </row>
    <row r="105" spans="1:10" x14ac:dyDescent="0.2">
      <c r="A105" s="43">
        <v>99</v>
      </c>
      <c r="B105" s="44" t="s">
        <v>818</v>
      </c>
      <c r="C105" s="44" t="s">
        <v>819</v>
      </c>
      <c r="D105" s="44" t="s">
        <v>86</v>
      </c>
      <c r="E105" s="45">
        <v>23285</v>
      </c>
      <c r="F105" s="46">
        <v>76.491225</v>
      </c>
      <c r="G105" s="47">
        <v>8.2432600000000005E-3</v>
      </c>
      <c r="H105" s="40" t="s">
        <v>151</v>
      </c>
      <c r="J105" s="7"/>
    </row>
    <row r="106" spans="1:10" x14ac:dyDescent="0.2">
      <c r="A106" s="43">
        <v>100</v>
      </c>
      <c r="B106" s="44" t="s">
        <v>469</v>
      </c>
      <c r="C106" s="44" t="s">
        <v>470</v>
      </c>
      <c r="D106" s="44" t="s">
        <v>45</v>
      </c>
      <c r="E106" s="45">
        <v>29706</v>
      </c>
      <c r="F106" s="46">
        <v>75.349269000000007</v>
      </c>
      <c r="G106" s="47">
        <v>8.1201899999999994E-3</v>
      </c>
      <c r="H106" s="40" t="s">
        <v>151</v>
      </c>
      <c r="J106" s="7"/>
    </row>
    <row r="107" spans="1:10" x14ac:dyDescent="0.2">
      <c r="A107" s="43">
        <v>101</v>
      </c>
      <c r="B107" s="44" t="s">
        <v>466</v>
      </c>
      <c r="C107" s="44" t="s">
        <v>994</v>
      </c>
      <c r="D107" s="44" t="s">
        <v>282</v>
      </c>
      <c r="E107" s="45">
        <v>1988</v>
      </c>
      <c r="F107" s="46">
        <v>15.76484</v>
      </c>
      <c r="G107" s="47">
        <v>1.6989399999999999E-3</v>
      </c>
      <c r="H107" s="40" t="s">
        <v>151</v>
      </c>
      <c r="J107" s="7"/>
    </row>
    <row r="108" spans="1:10" ht="25.5" x14ac:dyDescent="0.2">
      <c r="A108" s="43">
        <v>102</v>
      </c>
      <c r="B108" s="44" t="s">
        <v>481</v>
      </c>
      <c r="C108" s="44" t="s">
        <v>478</v>
      </c>
      <c r="D108" s="44" t="s">
        <v>313</v>
      </c>
      <c r="E108" s="45">
        <v>295</v>
      </c>
      <c r="F108" s="46">
        <v>1.0943025</v>
      </c>
      <c r="G108" s="47">
        <v>1.1793E-4</v>
      </c>
      <c r="H108" s="40" t="s">
        <v>151</v>
      </c>
      <c r="J108" s="7"/>
    </row>
    <row r="109" spans="1:10" x14ac:dyDescent="0.2">
      <c r="A109" s="41"/>
      <c r="B109" s="41"/>
      <c r="C109" s="42" t="s">
        <v>150</v>
      </c>
      <c r="D109" s="41"/>
      <c r="E109" s="41" t="s">
        <v>151</v>
      </c>
      <c r="F109" s="48">
        <v>8891.7086696000006</v>
      </c>
      <c r="G109" s="49">
        <v>0.95823619000000004</v>
      </c>
      <c r="H109" s="40" t="s">
        <v>151</v>
      </c>
      <c r="J109" s="7"/>
    </row>
    <row r="110" spans="1:10" x14ac:dyDescent="0.2">
      <c r="A110" s="41"/>
      <c r="B110" s="41"/>
      <c r="C110" s="50"/>
      <c r="D110" s="41"/>
      <c r="E110" s="41"/>
      <c r="F110" s="51"/>
      <c r="G110" s="51"/>
      <c r="H110" s="40" t="s">
        <v>151</v>
      </c>
      <c r="J110" s="7"/>
    </row>
    <row r="111" spans="1:10" x14ac:dyDescent="0.2">
      <c r="A111" s="41"/>
      <c r="B111" s="41"/>
      <c r="C111" s="42" t="s">
        <v>152</v>
      </c>
      <c r="D111" s="41"/>
      <c r="E111" s="41"/>
      <c r="F111" s="41"/>
      <c r="G111" s="41"/>
      <c r="H111" s="40" t="s">
        <v>151</v>
      </c>
      <c r="J111" s="7"/>
    </row>
    <row r="112" spans="1:10" x14ac:dyDescent="0.2">
      <c r="A112" s="41"/>
      <c r="B112" s="41"/>
      <c r="C112" s="42" t="s">
        <v>150</v>
      </c>
      <c r="D112" s="41"/>
      <c r="E112" s="41" t="s">
        <v>151</v>
      </c>
      <c r="F112" s="52" t="s">
        <v>153</v>
      </c>
      <c r="G112" s="49">
        <v>0</v>
      </c>
      <c r="H112" s="40" t="s">
        <v>151</v>
      </c>
      <c r="J112" s="7"/>
    </row>
    <row r="113" spans="1:10" x14ac:dyDescent="0.2">
      <c r="A113" s="41"/>
      <c r="B113" s="41"/>
      <c r="C113" s="50"/>
      <c r="D113" s="41"/>
      <c r="E113" s="41"/>
      <c r="F113" s="51"/>
      <c r="G113" s="51"/>
      <c r="H113" s="40" t="s">
        <v>151</v>
      </c>
      <c r="J113" s="7"/>
    </row>
    <row r="114" spans="1:10" x14ac:dyDescent="0.2">
      <c r="A114" s="41"/>
      <c r="B114" s="41"/>
      <c r="C114" s="42" t="s">
        <v>154</v>
      </c>
      <c r="D114" s="41"/>
      <c r="E114" s="41"/>
      <c r="F114" s="41"/>
      <c r="G114" s="41"/>
      <c r="H114" s="40" t="s">
        <v>151</v>
      </c>
      <c r="J114" s="7"/>
    </row>
    <row r="115" spans="1:10" x14ac:dyDescent="0.2">
      <c r="A115" s="41"/>
      <c r="B115" s="41"/>
      <c r="C115" s="42" t="s">
        <v>150</v>
      </c>
      <c r="D115" s="41"/>
      <c r="E115" s="41" t="s">
        <v>151</v>
      </c>
      <c r="F115" s="52" t="s">
        <v>153</v>
      </c>
      <c r="G115" s="49">
        <v>0</v>
      </c>
      <c r="H115" s="40" t="s">
        <v>151</v>
      </c>
      <c r="J115" s="7"/>
    </row>
    <row r="116" spans="1:10" x14ac:dyDescent="0.2">
      <c r="A116" s="41"/>
      <c r="B116" s="41"/>
      <c r="C116" s="50"/>
      <c r="D116" s="41"/>
      <c r="E116" s="41"/>
      <c r="F116" s="51"/>
      <c r="G116" s="51"/>
      <c r="H116" s="40" t="s">
        <v>151</v>
      </c>
      <c r="J116" s="7"/>
    </row>
    <row r="117" spans="1:10" x14ac:dyDescent="0.2">
      <c r="A117" s="41"/>
      <c r="B117" s="41"/>
      <c r="C117" s="42" t="s">
        <v>155</v>
      </c>
      <c r="D117" s="41"/>
      <c r="E117" s="41"/>
      <c r="F117" s="41"/>
      <c r="G117" s="41"/>
      <c r="H117" s="40" t="s">
        <v>151</v>
      </c>
      <c r="J117" s="7"/>
    </row>
    <row r="118" spans="1:10" x14ac:dyDescent="0.2">
      <c r="A118" s="41"/>
      <c r="B118" s="41"/>
      <c r="C118" s="42" t="s">
        <v>150</v>
      </c>
      <c r="D118" s="41"/>
      <c r="E118" s="41" t="s">
        <v>151</v>
      </c>
      <c r="F118" s="52" t="s">
        <v>153</v>
      </c>
      <c r="G118" s="49">
        <v>0</v>
      </c>
      <c r="H118" s="40" t="s">
        <v>151</v>
      </c>
      <c r="J118" s="7"/>
    </row>
    <row r="119" spans="1:10" x14ac:dyDescent="0.2">
      <c r="A119" s="41"/>
      <c r="B119" s="41"/>
      <c r="C119" s="50"/>
      <c r="D119" s="41"/>
      <c r="E119" s="41"/>
      <c r="F119" s="51"/>
      <c r="G119" s="51"/>
      <c r="H119" s="40" t="s">
        <v>151</v>
      </c>
      <c r="J119" s="7"/>
    </row>
    <row r="120" spans="1:10" x14ac:dyDescent="0.2">
      <c r="A120" s="41"/>
      <c r="B120" s="41"/>
      <c r="C120" s="42" t="s">
        <v>156</v>
      </c>
      <c r="D120" s="41"/>
      <c r="E120" s="41"/>
      <c r="F120" s="51"/>
      <c r="G120" s="51"/>
      <c r="H120" s="40" t="s">
        <v>151</v>
      </c>
      <c r="J120" s="7"/>
    </row>
    <row r="121" spans="1:10" x14ac:dyDescent="0.2">
      <c r="A121" s="41"/>
      <c r="B121" s="41"/>
      <c r="C121" s="42" t="s">
        <v>150</v>
      </c>
      <c r="D121" s="41"/>
      <c r="E121" s="41" t="s">
        <v>151</v>
      </c>
      <c r="F121" s="52" t="s">
        <v>153</v>
      </c>
      <c r="G121" s="49">
        <v>0</v>
      </c>
      <c r="H121" s="40" t="s">
        <v>151</v>
      </c>
      <c r="J121" s="7"/>
    </row>
    <row r="122" spans="1:10" x14ac:dyDescent="0.2">
      <c r="A122" s="41"/>
      <c r="B122" s="41"/>
      <c r="C122" s="50"/>
      <c r="D122" s="41"/>
      <c r="E122" s="41"/>
      <c r="F122" s="51"/>
      <c r="G122" s="51"/>
      <c r="H122" s="40" t="s">
        <v>151</v>
      </c>
      <c r="J122" s="7"/>
    </row>
    <row r="123" spans="1:10" x14ac:dyDescent="0.2">
      <c r="A123" s="41"/>
      <c r="B123" s="41"/>
      <c r="C123" s="42" t="s">
        <v>157</v>
      </c>
      <c r="D123" s="41"/>
      <c r="E123" s="41"/>
      <c r="F123" s="51"/>
      <c r="G123" s="51"/>
      <c r="H123" s="40" t="s">
        <v>151</v>
      </c>
      <c r="J123" s="7"/>
    </row>
    <row r="124" spans="1:10" x14ac:dyDescent="0.2">
      <c r="A124" s="41"/>
      <c r="B124" s="41"/>
      <c r="C124" s="42" t="s">
        <v>150</v>
      </c>
      <c r="D124" s="41"/>
      <c r="E124" s="41" t="s">
        <v>151</v>
      </c>
      <c r="F124" s="52" t="s">
        <v>153</v>
      </c>
      <c r="G124" s="49">
        <v>0</v>
      </c>
      <c r="H124" s="40" t="s">
        <v>151</v>
      </c>
      <c r="J124" s="7"/>
    </row>
    <row r="125" spans="1:10" x14ac:dyDescent="0.2">
      <c r="A125" s="41"/>
      <c r="B125" s="41"/>
      <c r="C125" s="50"/>
      <c r="D125" s="41"/>
      <c r="E125" s="41"/>
      <c r="F125" s="51"/>
      <c r="G125" s="51"/>
      <c r="H125" s="40" t="s">
        <v>151</v>
      </c>
      <c r="J125" s="7"/>
    </row>
    <row r="126" spans="1:10" x14ac:dyDescent="0.2">
      <c r="A126" s="41"/>
      <c r="B126" s="41"/>
      <c r="C126" s="42" t="s">
        <v>158</v>
      </c>
      <c r="D126" s="41"/>
      <c r="E126" s="41"/>
      <c r="F126" s="48">
        <v>8891.7086696000006</v>
      </c>
      <c r="G126" s="49">
        <v>0.95823619000000004</v>
      </c>
      <c r="H126" s="40" t="s">
        <v>151</v>
      </c>
      <c r="J126" s="7"/>
    </row>
    <row r="127" spans="1:10" x14ac:dyDescent="0.2">
      <c r="A127" s="41"/>
      <c r="B127" s="41"/>
      <c r="C127" s="50"/>
      <c r="D127" s="41"/>
      <c r="E127" s="41"/>
      <c r="F127" s="51"/>
      <c r="G127" s="51"/>
      <c r="H127" s="40" t="s">
        <v>151</v>
      </c>
      <c r="J127" s="7"/>
    </row>
    <row r="128" spans="1:10" x14ac:dyDescent="0.2">
      <c r="A128" s="41"/>
      <c r="B128" s="41"/>
      <c r="C128" s="42" t="s">
        <v>159</v>
      </c>
      <c r="D128" s="41"/>
      <c r="E128" s="41"/>
      <c r="F128" s="51"/>
      <c r="G128" s="51"/>
      <c r="H128" s="40" t="s">
        <v>151</v>
      </c>
      <c r="J128" s="7"/>
    </row>
    <row r="129" spans="1:10" x14ac:dyDescent="0.2">
      <c r="A129" s="41"/>
      <c r="B129" s="41"/>
      <c r="C129" s="42" t="s">
        <v>10</v>
      </c>
      <c r="D129" s="41"/>
      <c r="E129" s="41"/>
      <c r="F129" s="51"/>
      <c r="G129" s="51"/>
      <c r="H129" s="40" t="s">
        <v>151</v>
      </c>
      <c r="J129" s="7"/>
    </row>
    <row r="130" spans="1:10" x14ac:dyDescent="0.2">
      <c r="A130" s="41"/>
      <c r="B130" s="41"/>
      <c r="C130" s="42" t="s">
        <v>150</v>
      </c>
      <c r="D130" s="41"/>
      <c r="E130" s="41" t="s">
        <v>151</v>
      </c>
      <c r="F130" s="52" t="s">
        <v>153</v>
      </c>
      <c r="G130" s="49">
        <v>0</v>
      </c>
      <c r="H130" s="40" t="s">
        <v>151</v>
      </c>
      <c r="J130" s="7"/>
    </row>
    <row r="131" spans="1:10" x14ac:dyDescent="0.2">
      <c r="A131" s="41"/>
      <c r="B131" s="41"/>
      <c r="C131" s="50"/>
      <c r="D131" s="41"/>
      <c r="E131" s="41"/>
      <c r="F131" s="51"/>
      <c r="G131" s="51"/>
      <c r="H131" s="40" t="s">
        <v>151</v>
      </c>
      <c r="J131" s="7"/>
    </row>
    <row r="132" spans="1:10" x14ac:dyDescent="0.2">
      <c r="A132" s="41"/>
      <c r="B132" s="41"/>
      <c r="C132" s="42" t="s">
        <v>160</v>
      </c>
      <c r="D132" s="41"/>
      <c r="E132" s="41"/>
      <c r="F132" s="41"/>
      <c r="G132" s="41"/>
      <c r="H132" s="40" t="s">
        <v>151</v>
      </c>
      <c r="J132" s="7"/>
    </row>
    <row r="133" spans="1:10" x14ac:dyDescent="0.2">
      <c r="A133" s="41"/>
      <c r="B133" s="41"/>
      <c r="C133" s="42" t="s">
        <v>150</v>
      </c>
      <c r="D133" s="41"/>
      <c r="E133" s="41" t="s">
        <v>151</v>
      </c>
      <c r="F133" s="52" t="s">
        <v>153</v>
      </c>
      <c r="G133" s="49">
        <v>0</v>
      </c>
      <c r="H133" s="40" t="s">
        <v>151</v>
      </c>
      <c r="J133" s="7"/>
    </row>
    <row r="134" spans="1:10" x14ac:dyDescent="0.2">
      <c r="A134" s="41"/>
      <c r="B134" s="41"/>
      <c r="C134" s="50"/>
      <c r="D134" s="41"/>
      <c r="E134" s="41"/>
      <c r="F134" s="51"/>
      <c r="G134" s="51"/>
      <c r="H134" s="40" t="s">
        <v>151</v>
      </c>
      <c r="J134" s="7"/>
    </row>
    <row r="135" spans="1:10" x14ac:dyDescent="0.2">
      <c r="A135" s="41"/>
      <c r="B135" s="41"/>
      <c r="C135" s="42" t="s">
        <v>161</v>
      </c>
      <c r="D135" s="41"/>
      <c r="E135" s="41"/>
      <c r="F135" s="41"/>
      <c r="G135" s="41"/>
      <c r="H135" s="40" t="s">
        <v>151</v>
      </c>
      <c r="J135" s="7"/>
    </row>
    <row r="136" spans="1:10" x14ac:dyDescent="0.2">
      <c r="A136" s="41"/>
      <c r="B136" s="41"/>
      <c r="C136" s="42" t="s">
        <v>150</v>
      </c>
      <c r="D136" s="41"/>
      <c r="E136" s="41" t="s">
        <v>151</v>
      </c>
      <c r="F136" s="52" t="s">
        <v>153</v>
      </c>
      <c r="G136" s="49">
        <v>0</v>
      </c>
      <c r="H136" s="40" t="s">
        <v>151</v>
      </c>
      <c r="J136" s="7"/>
    </row>
    <row r="137" spans="1:10" x14ac:dyDescent="0.2">
      <c r="A137" s="41"/>
      <c r="B137" s="41"/>
      <c r="C137" s="50"/>
      <c r="D137" s="41"/>
      <c r="E137" s="41"/>
      <c r="F137" s="51"/>
      <c r="G137" s="51"/>
      <c r="H137" s="40" t="s">
        <v>151</v>
      </c>
      <c r="J137" s="7"/>
    </row>
    <row r="138" spans="1:10" x14ac:dyDescent="0.2">
      <c r="A138" s="41"/>
      <c r="B138" s="41"/>
      <c r="C138" s="42" t="s">
        <v>162</v>
      </c>
      <c r="D138" s="41"/>
      <c r="E138" s="41"/>
      <c r="F138" s="51"/>
      <c r="G138" s="51"/>
      <c r="H138" s="40" t="s">
        <v>151</v>
      </c>
      <c r="J138" s="7"/>
    </row>
    <row r="139" spans="1:10" x14ac:dyDescent="0.2">
      <c r="A139" s="41"/>
      <c r="B139" s="41"/>
      <c r="C139" s="42" t="s">
        <v>150</v>
      </c>
      <c r="D139" s="41"/>
      <c r="E139" s="41" t="s">
        <v>151</v>
      </c>
      <c r="F139" s="52" t="s">
        <v>153</v>
      </c>
      <c r="G139" s="49">
        <v>0</v>
      </c>
      <c r="H139" s="40" t="s">
        <v>151</v>
      </c>
      <c r="J139" s="7"/>
    </row>
    <row r="140" spans="1:10" x14ac:dyDescent="0.2">
      <c r="A140" s="41"/>
      <c r="B140" s="41"/>
      <c r="C140" s="50"/>
      <c r="D140" s="41"/>
      <c r="E140" s="41"/>
      <c r="F140" s="51"/>
      <c r="G140" s="51"/>
      <c r="H140" s="40" t="s">
        <v>151</v>
      </c>
      <c r="J140" s="7"/>
    </row>
    <row r="141" spans="1:10" x14ac:dyDescent="0.2">
      <c r="A141" s="41"/>
      <c r="B141" s="41"/>
      <c r="C141" s="42" t="s">
        <v>163</v>
      </c>
      <c r="D141" s="41"/>
      <c r="E141" s="41"/>
      <c r="F141" s="48">
        <v>0</v>
      </c>
      <c r="G141" s="49">
        <v>0</v>
      </c>
      <c r="H141" s="40" t="s">
        <v>151</v>
      </c>
      <c r="J141" s="7"/>
    </row>
    <row r="142" spans="1:10" x14ac:dyDescent="0.2">
      <c r="A142" s="41"/>
      <c r="B142" s="41"/>
      <c r="C142" s="50"/>
      <c r="D142" s="41"/>
      <c r="E142" s="41"/>
      <c r="F142" s="51"/>
      <c r="G142" s="51"/>
      <c r="H142" s="40" t="s">
        <v>151</v>
      </c>
      <c r="J142" s="7"/>
    </row>
    <row r="143" spans="1:10" x14ac:dyDescent="0.2">
      <c r="A143" s="41"/>
      <c r="B143" s="41"/>
      <c r="C143" s="42" t="s">
        <v>164</v>
      </c>
      <c r="D143" s="41"/>
      <c r="E143" s="41"/>
      <c r="F143" s="51"/>
      <c r="G143" s="51"/>
      <c r="H143" s="40" t="s">
        <v>151</v>
      </c>
      <c r="J143" s="7"/>
    </row>
    <row r="144" spans="1:10" x14ac:dyDescent="0.2">
      <c r="A144" s="41"/>
      <c r="B144" s="41"/>
      <c r="C144" s="42" t="s">
        <v>165</v>
      </c>
      <c r="D144" s="41"/>
      <c r="E144" s="41"/>
      <c r="F144" s="51"/>
      <c r="G144" s="51"/>
      <c r="H144" s="40" t="s">
        <v>151</v>
      </c>
      <c r="J144" s="7"/>
    </row>
    <row r="145" spans="1:10" x14ac:dyDescent="0.2">
      <c r="A145" s="41"/>
      <c r="B145" s="41"/>
      <c r="C145" s="42" t="s">
        <v>150</v>
      </c>
      <c r="D145" s="41"/>
      <c r="E145" s="41" t="s">
        <v>151</v>
      </c>
      <c r="F145" s="52" t="s">
        <v>153</v>
      </c>
      <c r="G145" s="49">
        <v>0</v>
      </c>
      <c r="H145" s="40" t="s">
        <v>151</v>
      </c>
      <c r="J145" s="7"/>
    </row>
    <row r="146" spans="1:10" x14ac:dyDescent="0.2">
      <c r="A146" s="41"/>
      <c r="B146" s="41"/>
      <c r="C146" s="50"/>
      <c r="D146" s="41"/>
      <c r="E146" s="41"/>
      <c r="F146" s="51"/>
      <c r="G146" s="51"/>
      <c r="H146" s="40" t="s">
        <v>151</v>
      </c>
      <c r="J146" s="7"/>
    </row>
    <row r="147" spans="1:10" x14ac:dyDescent="0.2">
      <c r="A147" s="41"/>
      <c r="B147" s="41"/>
      <c r="C147" s="42" t="s">
        <v>166</v>
      </c>
      <c r="D147" s="41"/>
      <c r="E147" s="41"/>
      <c r="F147" s="51"/>
      <c r="G147" s="51"/>
      <c r="H147" s="40" t="s">
        <v>151</v>
      </c>
      <c r="J147" s="7"/>
    </row>
    <row r="148" spans="1:10" x14ac:dyDescent="0.2">
      <c r="A148" s="41"/>
      <c r="B148" s="41"/>
      <c r="C148" s="42" t="s">
        <v>150</v>
      </c>
      <c r="D148" s="41"/>
      <c r="E148" s="41" t="s">
        <v>151</v>
      </c>
      <c r="F148" s="52" t="s">
        <v>153</v>
      </c>
      <c r="G148" s="49">
        <v>0</v>
      </c>
      <c r="H148" s="40" t="s">
        <v>151</v>
      </c>
      <c r="J148" s="7"/>
    </row>
    <row r="149" spans="1:10" x14ac:dyDescent="0.2">
      <c r="A149" s="41"/>
      <c r="B149" s="41"/>
      <c r="C149" s="50"/>
      <c r="D149" s="41"/>
      <c r="E149" s="41"/>
      <c r="F149" s="51"/>
      <c r="G149" s="51"/>
      <c r="H149" s="40" t="s">
        <v>151</v>
      </c>
      <c r="J149" s="7"/>
    </row>
    <row r="150" spans="1:10" x14ac:dyDescent="0.2">
      <c r="A150" s="41"/>
      <c r="B150" s="41"/>
      <c r="C150" s="42" t="s">
        <v>167</v>
      </c>
      <c r="D150" s="41"/>
      <c r="E150" s="41"/>
      <c r="F150" s="51"/>
      <c r="G150" s="51"/>
      <c r="H150" s="40" t="s">
        <v>151</v>
      </c>
      <c r="J150" s="7"/>
    </row>
    <row r="151" spans="1:10" x14ac:dyDescent="0.2">
      <c r="A151" s="41"/>
      <c r="B151" s="41"/>
      <c r="C151" s="42" t="s">
        <v>150</v>
      </c>
      <c r="D151" s="41"/>
      <c r="E151" s="41" t="s">
        <v>151</v>
      </c>
      <c r="F151" s="52" t="s">
        <v>153</v>
      </c>
      <c r="G151" s="49">
        <v>0</v>
      </c>
      <c r="H151" s="40" t="s">
        <v>151</v>
      </c>
      <c r="J151" s="7"/>
    </row>
    <row r="152" spans="1:10" x14ac:dyDescent="0.2">
      <c r="A152" s="41"/>
      <c r="B152" s="41"/>
      <c r="C152" s="50"/>
      <c r="D152" s="41"/>
      <c r="E152" s="41"/>
      <c r="F152" s="51"/>
      <c r="G152" s="51"/>
      <c r="H152" s="40" t="s">
        <v>151</v>
      </c>
      <c r="J152" s="7"/>
    </row>
    <row r="153" spans="1:10" x14ac:dyDescent="0.2">
      <c r="A153" s="41"/>
      <c r="B153" s="41"/>
      <c r="C153" s="42" t="s">
        <v>168</v>
      </c>
      <c r="D153" s="41"/>
      <c r="E153" s="41"/>
      <c r="F153" s="51"/>
      <c r="G153" s="51"/>
      <c r="H153" s="40" t="s">
        <v>151</v>
      </c>
      <c r="J153" s="7"/>
    </row>
    <row r="154" spans="1:10" x14ac:dyDescent="0.2">
      <c r="A154" s="43">
        <v>1</v>
      </c>
      <c r="B154" s="44"/>
      <c r="C154" s="44" t="s">
        <v>169</v>
      </c>
      <c r="D154" s="44"/>
      <c r="E154" s="54"/>
      <c r="F154" s="46">
        <v>397.56004600199998</v>
      </c>
      <c r="G154" s="47">
        <v>4.2844010000000002E-2</v>
      </c>
      <c r="H154" s="40">
        <v>6.39</v>
      </c>
      <c r="J154" s="7"/>
    </row>
    <row r="155" spans="1:10" x14ac:dyDescent="0.2">
      <c r="A155" s="41"/>
      <c r="B155" s="41"/>
      <c r="C155" s="42" t="s">
        <v>150</v>
      </c>
      <c r="D155" s="41"/>
      <c r="E155" s="41" t="s">
        <v>151</v>
      </c>
      <c r="F155" s="48">
        <v>397.56004600199998</v>
      </c>
      <c r="G155" s="49">
        <v>4.2844010000000002E-2</v>
      </c>
      <c r="H155" s="40" t="s">
        <v>151</v>
      </c>
      <c r="J155" s="7"/>
    </row>
    <row r="156" spans="1:10" x14ac:dyDescent="0.2">
      <c r="A156" s="41"/>
      <c r="B156" s="41"/>
      <c r="C156" s="50"/>
      <c r="D156" s="41"/>
      <c r="E156" s="41"/>
      <c r="F156" s="51"/>
      <c r="G156" s="51"/>
      <c r="H156" s="40" t="s">
        <v>151</v>
      </c>
      <c r="J156" s="7"/>
    </row>
    <row r="157" spans="1:10" x14ac:dyDescent="0.2">
      <c r="A157" s="41"/>
      <c r="B157" s="41"/>
      <c r="C157" s="42" t="s">
        <v>170</v>
      </c>
      <c r="D157" s="41"/>
      <c r="E157" s="41"/>
      <c r="F157" s="48">
        <v>397.56004600199998</v>
      </c>
      <c r="G157" s="49">
        <v>4.2844010000000002E-2</v>
      </c>
      <c r="H157" s="40" t="s">
        <v>151</v>
      </c>
      <c r="J157" s="7"/>
    </row>
    <row r="158" spans="1:10" x14ac:dyDescent="0.2">
      <c r="A158" s="41"/>
      <c r="B158" s="41"/>
      <c r="C158" s="51"/>
      <c r="D158" s="41"/>
      <c r="E158" s="41"/>
      <c r="F158" s="41"/>
      <c r="G158" s="41"/>
      <c r="H158" s="40" t="s">
        <v>151</v>
      </c>
      <c r="J158" s="7"/>
    </row>
    <row r="159" spans="1:10" x14ac:dyDescent="0.2">
      <c r="A159" s="41"/>
      <c r="B159" s="41"/>
      <c r="C159" s="42" t="s">
        <v>171</v>
      </c>
      <c r="D159" s="41"/>
      <c r="E159" s="41"/>
      <c r="F159" s="41"/>
      <c r="G159" s="41"/>
      <c r="H159" s="40" t="s">
        <v>151</v>
      </c>
      <c r="J159" s="7"/>
    </row>
    <row r="160" spans="1:10" x14ac:dyDescent="0.2">
      <c r="A160" s="41"/>
      <c r="B160" s="41"/>
      <c r="C160" s="42" t="s">
        <v>172</v>
      </c>
      <c r="D160" s="41"/>
      <c r="E160" s="41"/>
      <c r="F160" s="41"/>
      <c r="G160" s="41"/>
      <c r="H160" s="40" t="s">
        <v>151</v>
      </c>
      <c r="J160" s="7"/>
    </row>
    <row r="161" spans="1:17" x14ac:dyDescent="0.2">
      <c r="A161" s="41"/>
      <c r="B161" s="41"/>
      <c r="C161" s="42" t="s">
        <v>150</v>
      </c>
      <c r="D161" s="41"/>
      <c r="E161" s="41" t="s">
        <v>151</v>
      </c>
      <c r="F161" s="52" t="s">
        <v>153</v>
      </c>
      <c r="G161" s="49">
        <v>0</v>
      </c>
      <c r="H161" s="40" t="s">
        <v>151</v>
      </c>
      <c r="J161" s="7"/>
    </row>
    <row r="162" spans="1:17" x14ac:dyDescent="0.2">
      <c r="A162" s="41"/>
      <c r="B162" s="41"/>
      <c r="C162" s="50"/>
      <c r="D162" s="41"/>
      <c r="E162" s="41"/>
      <c r="F162" s="51"/>
      <c r="G162" s="51"/>
      <c r="H162" s="40" t="s">
        <v>151</v>
      </c>
      <c r="J162" s="7"/>
    </row>
    <row r="163" spans="1:17" x14ac:dyDescent="0.2">
      <c r="A163" s="41"/>
      <c r="B163" s="41"/>
      <c r="C163" s="42" t="s">
        <v>173</v>
      </c>
      <c r="D163" s="41"/>
      <c r="E163" s="41"/>
      <c r="F163" s="41"/>
      <c r="G163" s="41"/>
      <c r="H163" s="40" t="s">
        <v>151</v>
      </c>
      <c r="J163" s="7"/>
    </row>
    <row r="164" spans="1:17" x14ac:dyDescent="0.2">
      <c r="A164" s="41"/>
      <c r="B164" s="41"/>
      <c r="C164" s="42" t="s">
        <v>174</v>
      </c>
      <c r="D164" s="41"/>
      <c r="E164" s="41"/>
      <c r="F164" s="41"/>
      <c r="G164" s="41"/>
      <c r="H164" s="40" t="s">
        <v>151</v>
      </c>
      <c r="J164" s="7"/>
    </row>
    <row r="165" spans="1:17" x14ac:dyDescent="0.2">
      <c r="A165" s="41"/>
      <c r="B165" s="41"/>
      <c r="C165" s="42" t="s">
        <v>150</v>
      </c>
      <c r="D165" s="41"/>
      <c r="E165" s="41" t="s">
        <v>151</v>
      </c>
      <c r="F165" s="52" t="s">
        <v>153</v>
      </c>
      <c r="G165" s="49">
        <v>0</v>
      </c>
      <c r="H165" s="40" t="s">
        <v>151</v>
      </c>
      <c r="J165" s="7"/>
    </row>
    <row r="166" spans="1:17" x14ac:dyDescent="0.2">
      <c r="A166" s="41"/>
      <c r="B166" s="41"/>
      <c r="C166" s="50"/>
      <c r="D166" s="41"/>
      <c r="E166" s="41"/>
      <c r="F166" s="51"/>
      <c r="G166" s="51"/>
      <c r="H166" s="40" t="s">
        <v>151</v>
      </c>
      <c r="J166" s="7"/>
    </row>
    <row r="167" spans="1:17" ht="25.5" x14ac:dyDescent="0.2">
      <c r="A167" s="41"/>
      <c r="B167" s="41"/>
      <c r="C167" s="42" t="s">
        <v>175</v>
      </c>
      <c r="D167" s="41"/>
      <c r="E167" s="41"/>
      <c r="F167" s="41"/>
      <c r="G167" s="41"/>
      <c r="H167" s="40" t="s">
        <v>151</v>
      </c>
      <c r="J167" s="7"/>
    </row>
    <row r="168" spans="1:17" x14ac:dyDescent="0.2">
      <c r="A168" s="41"/>
      <c r="B168" s="41"/>
      <c r="C168" s="42" t="s">
        <v>150</v>
      </c>
      <c r="D168" s="41"/>
      <c r="E168" s="41" t="s">
        <v>151</v>
      </c>
      <c r="F168" s="52" t="s">
        <v>153</v>
      </c>
      <c r="G168" s="49">
        <v>0</v>
      </c>
      <c r="H168" s="40" t="s">
        <v>151</v>
      </c>
      <c r="J168" s="7"/>
    </row>
    <row r="169" spans="1:17" x14ac:dyDescent="0.2">
      <c r="A169" s="41"/>
      <c r="B169" s="44"/>
      <c r="C169" s="44"/>
      <c r="D169" s="42"/>
      <c r="E169" s="41"/>
      <c r="F169" s="44"/>
      <c r="G169" s="54"/>
      <c r="H169" s="40" t="s">
        <v>151</v>
      </c>
      <c r="J169" s="7"/>
    </row>
    <row r="170" spans="1:17" x14ac:dyDescent="0.2">
      <c r="A170" s="54"/>
      <c r="B170" s="44"/>
      <c r="C170" s="83" t="s">
        <v>176</v>
      </c>
      <c r="D170" s="44"/>
      <c r="E170" s="54"/>
      <c r="F170" s="46">
        <v>-10.023061930000001</v>
      </c>
      <c r="G170" s="47">
        <v>-1.0801599999999999E-3</v>
      </c>
      <c r="H170" s="40" t="s">
        <v>151</v>
      </c>
      <c r="J170" s="7"/>
    </row>
    <row r="171" spans="1:17" x14ac:dyDescent="0.2">
      <c r="A171" s="50"/>
      <c r="B171" s="50"/>
      <c r="C171" s="42" t="s">
        <v>177</v>
      </c>
      <c r="D171" s="51"/>
      <c r="E171" s="51"/>
      <c r="F171" s="48">
        <v>9279.2456536720001</v>
      </c>
      <c r="G171" s="55">
        <v>1.00000004</v>
      </c>
      <c r="H171" s="40" t="s">
        <v>151</v>
      </c>
      <c r="J171" s="7"/>
    </row>
    <row r="172" spans="1:17" x14ac:dyDescent="0.2">
      <c r="A172" s="56"/>
      <c r="B172" s="56"/>
      <c r="C172" s="56"/>
      <c r="D172" s="57"/>
      <c r="E172" s="57"/>
      <c r="F172" s="57"/>
      <c r="G172" s="57"/>
      <c r="J172" s="7"/>
    </row>
    <row r="173" spans="1:17" ht="12.75" customHeight="1" x14ac:dyDescent="0.2">
      <c r="A173" s="58"/>
      <c r="B173" s="159" t="s">
        <v>923</v>
      </c>
      <c r="C173" s="159"/>
      <c r="D173" s="159"/>
      <c r="E173" s="159"/>
      <c r="F173" s="159"/>
      <c r="G173" s="159"/>
      <c r="H173" s="159"/>
      <c r="J173" s="7"/>
    </row>
    <row r="174" spans="1:17" ht="14.1" customHeight="1" x14ac:dyDescent="0.2">
      <c r="A174" s="58"/>
      <c r="B174" s="159" t="s">
        <v>924</v>
      </c>
      <c r="C174" s="159"/>
      <c r="D174" s="159"/>
      <c r="E174" s="159"/>
      <c r="F174" s="159"/>
      <c r="G174" s="159"/>
      <c r="H174" s="159"/>
      <c r="J174" s="7"/>
    </row>
    <row r="175" spans="1:17" ht="17.100000000000001" customHeight="1" x14ac:dyDescent="0.2">
      <c r="A175" s="58"/>
      <c r="B175" s="159" t="s">
        <v>925</v>
      </c>
      <c r="C175" s="159"/>
      <c r="D175" s="159"/>
      <c r="E175" s="159"/>
      <c r="F175" s="159"/>
      <c r="G175" s="159"/>
      <c r="H175" s="159"/>
      <c r="J175" s="7"/>
    </row>
    <row r="176" spans="1:17" s="8" customFormat="1" ht="65.25" customHeight="1" x14ac:dyDescent="0.25">
      <c r="A176" s="60"/>
      <c r="B176" s="160" t="s">
        <v>926</v>
      </c>
      <c r="C176" s="160"/>
      <c r="D176" s="160"/>
      <c r="E176" s="160"/>
      <c r="F176" s="160"/>
      <c r="G176" s="160"/>
      <c r="H176" s="160"/>
      <c r="I176"/>
      <c r="J176" s="7"/>
      <c r="K176"/>
      <c r="L176"/>
      <c r="M176"/>
      <c r="N176"/>
      <c r="O176"/>
      <c r="P176"/>
      <c r="Q176"/>
    </row>
    <row r="177" spans="1:10" ht="12.75" customHeight="1" x14ac:dyDescent="0.2">
      <c r="A177" s="58"/>
      <c r="B177" s="159" t="s">
        <v>927</v>
      </c>
      <c r="C177" s="159"/>
      <c r="D177" s="159"/>
      <c r="E177" s="159"/>
      <c r="F177" s="159"/>
      <c r="G177" s="159"/>
      <c r="H177" s="159"/>
      <c r="J177" s="7"/>
    </row>
    <row r="178" spans="1:10" x14ac:dyDescent="0.2">
      <c r="A178" s="61"/>
      <c r="B178" s="61"/>
      <c r="C178" s="61"/>
      <c r="D178" s="62"/>
      <c r="E178" s="62"/>
      <c r="F178" s="62"/>
      <c r="G178" s="62"/>
      <c r="J178" s="7"/>
    </row>
    <row r="179" spans="1:10" x14ac:dyDescent="0.2">
      <c r="A179" s="61"/>
      <c r="B179" s="161" t="s">
        <v>178</v>
      </c>
      <c r="C179" s="162"/>
      <c r="D179" s="163"/>
      <c r="E179" s="63"/>
      <c r="F179" s="62"/>
      <c r="G179" s="62"/>
      <c r="J179" s="7"/>
    </row>
    <row r="180" spans="1:10" x14ac:dyDescent="0.2">
      <c r="A180" s="61"/>
      <c r="B180" s="156" t="s">
        <v>179</v>
      </c>
      <c r="C180" s="157"/>
      <c r="D180" s="42" t="s">
        <v>180</v>
      </c>
      <c r="E180" s="63"/>
      <c r="F180" s="62"/>
      <c r="G180" s="62"/>
      <c r="J180" s="7"/>
    </row>
    <row r="181" spans="1:10" x14ac:dyDescent="0.2">
      <c r="A181" s="61"/>
      <c r="B181" s="156" t="s">
        <v>181</v>
      </c>
      <c r="C181" s="157"/>
      <c r="D181" s="42" t="s">
        <v>180</v>
      </c>
      <c r="E181" s="63"/>
      <c r="F181" s="62"/>
      <c r="G181" s="62"/>
      <c r="J181" s="7"/>
    </row>
    <row r="182" spans="1:10" x14ac:dyDescent="0.2">
      <c r="A182" s="61"/>
      <c r="B182" s="156" t="s">
        <v>182</v>
      </c>
      <c r="C182" s="157"/>
      <c r="D182" s="51" t="s">
        <v>151</v>
      </c>
      <c r="E182" s="63"/>
      <c r="F182" s="62"/>
      <c r="G182" s="62"/>
      <c r="J182" s="7"/>
    </row>
    <row r="183" spans="1:10" x14ac:dyDescent="0.2">
      <c r="A183" s="67"/>
      <c r="B183" s="68" t="s">
        <v>151</v>
      </c>
      <c r="C183" s="68" t="s">
        <v>937</v>
      </c>
      <c r="D183" s="68" t="s">
        <v>183</v>
      </c>
      <c r="E183" s="67"/>
      <c r="F183" s="67"/>
      <c r="G183" s="67"/>
      <c r="H183" s="67"/>
      <c r="J183" s="7"/>
    </row>
    <row r="184" spans="1:10" x14ac:dyDescent="0.2">
      <c r="A184" s="69"/>
      <c r="B184" s="70" t="s">
        <v>184</v>
      </c>
      <c r="C184" s="80" t="s">
        <v>185</v>
      </c>
      <c r="D184" s="80" t="s">
        <v>186</v>
      </c>
      <c r="E184" s="69"/>
      <c r="F184" s="69"/>
      <c r="G184" s="69"/>
      <c r="J184" s="7"/>
    </row>
    <row r="185" spans="1:10" x14ac:dyDescent="0.2">
      <c r="A185" s="69"/>
      <c r="B185" s="44" t="s">
        <v>187</v>
      </c>
      <c r="C185" s="72">
        <v>181.18989999999999</v>
      </c>
      <c r="D185" s="72">
        <v>190.90289999999999</v>
      </c>
      <c r="E185" s="69"/>
      <c r="F185" s="73"/>
      <c r="G185" s="74"/>
      <c r="J185" s="7"/>
    </row>
    <row r="186" spans="1:10" x14ac:dyDescent="0.2">
      <c r="A186" s="69"/>
      <c r="B186" s="44" t="s">
        <v>1094</v>
      </c>
      <c r="C186" s="72">
        <v>92.054900000000004</v>
      </c>
      <c r="D186" s="72">
        <v>96.989699999999999</v>
      </c>
      <c r="E186" s="69"/>
      <c r="F186" s="73"/>
      <c r="G186" s="74"/>
      <c r="J186" s="7"/>
    </row>
    <row r="187" spans="1:10" x14ac:dyDescent="0.2">
      <c r="A187" s="69"/>
      <c r="B187" s="44" t="s">
        <v>188</v>
      </c>
      <c r="C187" s="72">
        <v>172.8785</v>
      </c>
      <c r="D187" s="72">
        <v>182.0744</v>
      </c>
      <c r="E187" s="69"/>
      <c r="F187" s="73"/>
      <c r="G187" s="74"/>
      <c r="J187" s="7"/>
    </row>
    <row r="188" spans="1:10" x14ac:dyDescent="0.2">
      <c r="A188" s="69"/>
      <c r="B188" s="44" t="s">
        <v>1095</v>
      </c>
      <c r="C188" s="72">
        <v>87.835499999999996</v>
      </c>
      <c r="D188" s="72">
        <v>92.5077</v>
      </c>
      <c r="E188" s="69"/>
      <c r="F188" s="73"/>
      <c r="G188" s="74"/>
      <c r="J188" s="7"/>
    </row>
    <row r="189" spans="1:10" x14ac:dyDescent="0.2">
      <c r="A189" s="69"/>
      <c r="B189" s="69"/>
      <c r="C189" s="69"/>
      <c r="D189" s="69"/>
      <c r="E189" s="69"/>
      <c r="F189" s="69"/>
      <c r="G189" s="69"/>
      <c r="J189" s="7"/>
    </row>
    <row r="190" spans="1:10" x14ac:dyDescent="0.2">
      <c r="A190" s="67"/>
      <c r="B190" s="164" t="s">
        <v>940</v>
      </c>
      <c r="C190" s="165"/>
      <c r="D190" s="64" t="s">
        <v>180</v>
      </c>
      <c r="E190" s="67"/>
      <c r="F190" s="67"/>
      <c r="G190" s="67"/>
      <c r="J190" s="7"/>
    </row>
    <row r="191" spans="1:10" x14ac:dyDescent="0.2">
      <c r="A191" s="67"/>
      <c r="B191" s="84"/>
      <c r="C191" s="84"/>
      <c r="D191" s="84"/>
      <c r="E191" s="67"/>
      <c r="F191" s="67"/>
      <c r="G191" s="67"/>
      <c r="J191" s="7"/>
    </row>
    <row r="192" spans="1:10" ht="29.1" customHeight="1" x14ac:dyDescent="0.2">
      <c r="A192" s="67"/>
      <c r="B192" s="164" t="s">
        <v>189</v>
      </c>
      <c r="C192" s="165"/>
      <c r="D192" s="64" t="s">
        <v>180</v>
      </c>
      <c r="E192" s="75"/>
      <c r="F192" s="67"/>
      <c r="G192" s="67"/>
      <c r="J192" s="7"/>
    </row>
    <row r="193" spans="1:10" ht="29.1" customHeight="1" x14ac:dyDescent="0.2">
      <c r="A193" s="67"/>
      <c r="B193" s="164" t="s">
        <v>190</v>
      </c>
      <c r="C193" s="165"/>
      <c r="D193" s="64" t="s">
        <v>180</v>
      </c>
      <c r="E193" s="75"/>
      <c r="F193" s="67"/>
      <c r="G193" s="67"/>
      <c r="J193" s="7"/>
    </row>
    <row r="194" spans="1:10" ht="17.100000000000001" customHeight="1" x14ac:dyDescent="0.2">
      <c r="A194" s="67"/>
      <c r="B194" s="164" t="s">
        <v>191</v>
      </c>
      <c r="C194" s="165"/>
      <c r="D194" s="64" t="s">
        <v>180</v>
      </c>
      <c r="E194" s="75"/>
      <c r="F194" s="67"/>
      <c r="G194" s="67"/>
      <c r="J194" s="7"/>
    </row>
    <row r="195" spans="1:10" ht="17.100000000000001" customHeight="1" x14ac:dyDescent="0.2">
      <c r="A195" s="67"/>
      <c r="B195" s="164" t="s">
        <v>192</v>
      </c>
      <c r="C195" s="165"/>
      <c r="D195" s="76">
        <v>0.3805813281292193</v>
      </c>
      <c r="E195" s="67"/>
      <c r="F195" s="59"/>
      <c r="G195" s="77"/>
      <c r="J195" s="7"/>
    </row>
  </sheetData>
  <mergeCells count="17">
    <mergeCell ref="B181:C181"/>
    <mergeCell ref="B182:C182"/>
    <mergeCell ref="B190:C190"/>
    <mergeCell ref="B194:C194"/>
    <mergeCell ref="B195:C195"/>
    <mergeCell ref="B192:C192"/>
    <mergeCell ref="B193:C193"/>
    <mergeCell ref="B180:C180"/>
    <mergeCell ref="A1:H1"/>
    <mergeCell ref="A2:H2"/>
    <mergeCell ref="A3:H3"/>
    <mergeCell ref="B173:H173"/>
    <mergeCell ref="B174:H174"/>
    <mergeCell ref="B175:H175"/>
    <mergeCell ref="B176:H176"/>
    <mergeCell ref="B177:H177"/>
    <mergeCell ref="B179:D179"/>
  </mergeCells>
  <hyperlinks>
    <hyperlink ref="I1" location="Index!B22" display="Index" xr:uid="{7AE6842C-7847-4E6B-9C36-E0638350647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067A-507D-41CA-BB93-D7326FE98D8D}">
  <sheetPr>
    <outlinePr summaryBelow="0" summaryRight="0"/>
  </sheetPr>
  <dimension ref="A1:Q172"/>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7.7109375" bestFit="1" customWidth="1"/>
    <col min="5" max="5" width="8.7109375" bestFit="1" customWidth="1"/>
    <col min="6" max="6" width="10.140625" bestFit="1" customWidth="1"/>
    <col min="7" max="7" width="9.140625" customWidth="1"/>
    <col min="8" max="8" width="8.42578125" bestFit="1" customWidth="1"/>
    <col min="9" max="9" width="7.7109375" customWidth="1"/>
    <col min="10" max="10" width="50.7109375" style="9" customWidth="1"/>
  </cols>
  <sheetData>
    <row r="1" spans="1:10" ht="15" x14ac:dyDescent="0.2">
      <c r="A1" s="158" t="s">
        <v>0</v>
      </c>
      <c r="B1" s="158"/>
      <c r="C1" s="158"/>
      <c r="D1" s="158"/>
      <c r="E1" s="158"/>
      <c r="F1" s="158"/>
      <c r="G1" s="158"/>
      <c r="H1" s="158"/>
      <c r="I1" s="10" t="s">
        <v>941</v>
      </c>
      <c r="J1" s="7"/>
    </row>
    <row r="2" spans="1:10" ht="15" x14ac:dyDescent="0.2">
      <c r="A2" s="158" t="s">
        <v>820</v>
      </c>
      <c r="B2" s="158"/>
      <c r="C2" s="158"/>
      <c r="D2" s="158"/>
      <c r="E2" s="158"/>
      <c r="F2" s="158"/>
      <c r="G2" s="158"/>
      <c r="H2" s="158"/>
      <c r="J2" s="11" t="s">
        <v>942</v>
      </c>
    </row>
    <row r="3" spans="1:10" ht="15" x14ac:dyDescent="0.2">
      <c r="A3" s="158" t="s">
        <v>880</v>
      </c>
      <c r="B3" s="158"/>
      <c r="C3" s="158"/>
      <c r="D3" s="158"/>
      <c r="E3" s="158"/>
      <c r="F3" s="158"/>
      <c r="G3" s="158"/>
      <c r="H3" s="158"/>
      <c r="J3" s="7"/>
    </row>
    <row r="4" spans="1:10" s="1" customFormat="1" ht="30"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341</v>
      </c>
      <c r="C7" s="44" t="s">
        <v>342</v>
      </c>
      <c r="D7" s="44" t="s">
        <v>45</v>
      </c>
      <c r="E7" s="45">
        <v>606077</v>
      </c>
      <c r="F7" s="46">
        <v>9792.6891274999998</v>
      </c>
      <c r="G7" s="47">
        <v>7.0216180000000003E-2</v>
      </c>
      <c r="H7" s="40" t="s">
        <v>151</v>
      </c>
      <c r="J7" s="7"/>
    </row>
    <row r="8" spans="1:10" x14ac:dyDescent="0.2">
      <c r="A8" s="43">
        <v>2</v>
      </c>
      <c r="B8" s="44" t="s">
        <v>43</v>
      </c>
      <c r="C8" s="44" t="s">
        <v>44</v>
      </c>
      <c r="D8" s="44" t="s">
        <v>45</v>
      </c>
      <c r="E8" s="45">
        <v>661000</v>
      </c>
      <c r="F8" s="46">
        <v>8030.4889999999996</v>
      </c>
      <c r="G8" s="47">
        <v>5.7580729999999997E-2</v>
      </c>
      <c r="H8" s="40" t="s">
        <v>151</v>
      </c>
      <c r="J8" s="7"/>
    </row>
    <row r="9" spans="1:10" x14ac:dyDescent="0.2">
      <c r="A9" s="43">
        <v>3</v>
      </c>
      <c r="B9" s="44" t="s">
        <v>20</v>
      </c>
      <c r="C9" s="44" t="s">
        <v>21</v>
      </c>
      <c r="D9" s="44" t="s">
        <v>22</v>
      </c>
      <c r="E9" s="45">
        <v>260000</v>
      </c>
      <c r="F9" s="46">
        <v>7828.21</v>
      </c>
      <c r="G9" s="47">
        <v>5.6130340000000001E-2</v>
      </c>
      <c r="H9" s="40" t="s">
        <v>151</v>
      </c>
      <c r="J9" s="7"/>
    </row>
    <row r="10" spans="1:10" x14ac:dyDescent="0.2">
      <c r="A10" s="43">
        <v>4</v>
      </c>
      <c r="B10" s="44" t="s">
        <v>343</v>
      </c>
      <c r="C10" s="44" t="s">
        <v>344</v>
      </c>
      <c r="D10" s="44" t="s">
        <v>219</v>
      </c>
      <c r="E10" s="45">
        <v>313000</v>
      </c>
      <c r="F10" s="46">
        <v>5847.6225000000004</v>
      </c>
      <c r="G10" s="47">
        <v>4.1929000000000001E-2</v>
      </c>
      <c r="H10" s="40" t="s">
        <v>151</v>
      </c>
      <c r="J10" s="7"/>
    </row>
    <row r="11" spans="1:10" x14ac:dyDescent="0.2">
      <c r="A11" s="43">
        <v>5</v>
      </c>
      <c r="B11" s="44" t="s">
        <v>51</v>
      </c>
      <c r="C11" s="44" t="s">
        <v>52</v>
      </c>
      <c r="D11" s="44" t="s">
        <v>45</v>
      </c>
      <c r="E11" s="45">
        <v>444000</v>
      </c>
      <c r="F11" s="46">
        <v>3873.4560000000001</v>
      </c>
      <c r="G11" s="47">
        <v>2.777371E-2</v>
      </c>
      <c r="H11" s="40" t="s">
        <v>151</v>
      </c>
      <c r="J11" s="7"/>
    </row>
    <row r="12" spans="1:10" ht="15" x14ac:dyDescent="0.2">
      <c r="A12" s="43">
        <v>6</v>
      </c>
      <c r="B12" s="44" t="s">
        <v>11</v>
      </c>
      <c r="C12" s="44" t="s">
        <v>12</v>
      </c>
      <c r="D12" s="44" t="s">
        <v>13</v>
      </c>
      <c r="E12" s="45">
        <v>96021</v>
      </c>
      <c r="F12" s="46">
        <v>3663.2011499999999</v>
      </c>
      <c r="G12" s="47">
        <v>2.626612E-2</v>
      </c>
      <c r="H12" s="40" t="s">
        <v>151</v>
      </c>
      <c r="J12" s="12"/>
    </row>
    <row r="13" spans="1:10" x14ac:dyDescent="0.2">
      <c r="A13" s="43">
        <v>7</v>
      </c>
      <c r="B13" s="44" t="s">
        <v>347</v>
      </c>
      <c r="C13" s="44" t="s">
        <v>348</v>
      </c>
      <c r="D13" s="44" t="s">
        <v>45</v>
      </c>
      <c r="E13" s="45">
        <v>311000</v>
      </c>
      <c r="F13" s="46">
        <v>3626.5709999999999</v>
      </c>
      <c r="G13" s="47">
        <v>2.6003479999999999E-2</v>
      </c>
      <c r="H13" s="40" t="s">
        <v>151</v>
      </c>
      <c r="J13" s="7"/>
    </row>
    <row r="14" spans="1:10" x14ac:dyDescent="0.2">
      <c r="A14" s="43">
        <v>8</v>
      </c>
      <c r="B14" s="44" t="s">
        <v>730</v>
      </c>
      <c r="C14" s="44" t="s">
        <v>731</v>
      </c>
      <c r="D14" s="44" t="s">
        <v>282</v>
      </c>
      <c r="E14" s="45">
        <v>39000</v>
      </c>
      <c r="F14" s="46">
        <v>3605.4524999999999</v>
      </c>
      <c r="G14" s="47">
        <v>2.5852050000000001E-2</v>
      </c>
      <c r="H14" s="40" t="s">
        <v>151</v>
      </c>
      <c r="J14" s="7"/>
    </row>
    <row r="15" spans="1:10" ht="25.5" x14ac:dyDescent="0.2">
      <c r="A15" s="43">
        <v>9</v>
      </c>
      <c r="B15" s="44" t="s">
        <v>353</v>
      </c>
      <c r="C15" s="44" t="s">
        <v>354</v>
      </c>
      <c r="D15" s="44" t="s">
        <v>210</v>
      </c>
      <c r="E15" s="45">
        <v>200000</v>
      </c>
      <c r="F15" s="46">
        <v>3438.7</v>
      </c>
      <c r="G15" s="47">
        <v>2.465639E-2</v>
      </c>
      <c r="H15" s="40" t="s">
        <v>151</v>
      </c>
      <c r="J15" s="12" t="s">
        <v>1060</v>
      </c>
    </row>
    <row r="16" spans="1:10" x14ac:dyDescent="0.2">
      <c r="A16" s="43">
        <v>10</v>
      </c>
      <c r="B16" s="44" t="s">
        <v>357</v>
      </c>
      <c r="C16" s="44" t="s">
        <v>358</v>
      </c>
      <c r="D16" s="44" t="s">
        <v>282</v>
      </c>
      <c r="E16" s="45">
        <v>288000</v>
      </c>
      <c r="F16" s="46">
        <v>3331.152</v>
      </c>
      <c r="G16" s="47">
        <v>2.3885239999999999E-2</v>
      </c>
      <c r="H16" s="40" t="s">
        <v>151</v>
      </c>
      <c r="J16" s="7"/>
    </row>
    <row r="17" spans="1:10" x14ac:dyDescent="0.2">
      <c r="A17" s="43">
        <v>11</v>
      </c>
      <c r="B17" s="44" t="s">
        <v>482</v>
      </c>
      <c r="C17" s="83" t="s">
        <v>1011</v>
      </c>
      <c r="D17" s="44" t="s">
        <v>19</v>
      </c>
      <c r="E17" s="45">
        <v>283000</v>
      </c>
      <c r="F17" s="46">
        <v>3069.9839999999999</v>
      </c>
      <c r="G17" s="47">
        <v>2.20126E-2</v>
      </c>
      <c r="H17" s="40" t="s">
        <v>151</v>
      </c>
      <c r="J17" s="7"/>
    </row>
    <row r="18" spans="1:10" x14ac:dyDescent="0.2">
      <c r="A18" s="43">
        <v>12</v>
      </c>
      <c r="B18" s="44" t="s">
        <v>101</v>
      </c>
      <c r="C18" s="44" t="s">
        <v>102</v>
      </c>
      <c r="D18" s="44" t="s">
        <v>76</v>
      </c>
      <c r="E18" s="45">
        <v>63000</v>
      </c>
      <c r="F18" s="46">
        <v>2817.4859999999999</v>
      </c>
      <c r="G18" s="47">
        <v>2.020212E-2</v>
      </c>
      <c r="H18" s="40" t="s">
        <v>151</v>
      </c>
      <c r="J18" s="7"/>
    </row>
    <row r="19" spans="1:10" x14ac:dyDescent="0.2">
      <c r="A19" s="43">
        <v>13</v>
      </c>
      <c r="B19" s="44" t="s">
        <v>564</v>
      </c>
      <c r="C19" s="44" t="s">
        <v>565</v>
      </c>
      <c r="D19" s="44" t="s">
        <v>219</v>
      </c>
      <c r="E19" s="45">
        <v>175000</v>
      </c>
      <c r="F19" s="46">
        <v>2720.2</v>
      </c>
      <c r="G19" s="47">
        <v>1.9504560000000001E-2</v>
      </c>
      <c r="H19" s="40" t="s">
        <v>151</v>
      </c>
      <c r="J19" s="7"/>
    </row>
    <row r="20" spans="1:10" x14ac:dyDescent="0.2">
      <c r="A20" s="43">
        <v>14</v>
      </c>
      <c r="B20" s="44" t="s">
        <v>349</v>
      </c>
      <c r="C20" s="44" t="s">
        <v>350</v>
      </c>
      <c r="D20" s="44" t="s">
        <v>219</v>
      </c>
      <c r="E20" s="45">
        <v>61324</v>
      </c>
      <c r="F20" s="46">
        <v>2689.2720340000001</v>
      </c>
      <c r="G20" s="47">
        <v>1.9282790000000001E-2</v>
      </c>
      <c r="H20" s="40" t="s">
        <v>151</v>
      </c>
      <c r="J20" s="7"/>
    </row>
    <row r="21" spans="1:10" x14ac:dyDescent="0.2">
      <c r="A21" s="43">
        <v>15</v>
      </c>
      <c r="B21" s="44" t="s">
        <v>469</v>
      </c>
      <c r="C21" s="44" t="s">
        <v>470</v>
      </c>
      <c r="D21" s="44" t="s">
        <v>45</v>
      </c>
      <c r="E21" s="45">
        <v>906000</v>
      </c>
      <c r="F21" s="46">
        <v>2298.069</v>
      </c>
      <c r="G21" s="47">
        <v>1.6477760000000001E-2</v>
      </c>
      <c r="H21" s="40" t="s">
        <v>151</v>
      </c>
      <c r="J21" s="7"/>
    </row>
    <row r="22" spans="1:10" ht="25.5" x14ac:dyDescent="0.2">
      <c r="A22" s="43">
        <v>16</v>
      </c>
      <c r="B22" s="44" t="s">
        <v>23</v>
      </c>
      <c r="C22" s="44" t="s">
        <v>24</v>
      </c>
      <c r="D22" s="44" t="s">
        <v>25</v>
      </c>
      <c r="E22" s="45">
        <v>19000</v>
      </c>
      <c r="F22" s="46">
        <v>2258.5680000000002</v>
      </c>
      <c r="G22" s="47">
        <v>1.6194529999999999E-2</v>
      </c>
      <c r="H22" s="40" t="s">
        <v>151</v>
      </c>
      <c r="J22" s="7"/>
    </row>
    <row r="23" spans="1:10" x14ac:dyDescent="0.2">
      <c r="A23" s="43">
        <v>17</v>
      </c>
      <c r="B23" s="44" t="s">
        <v>685</v>
      </c>
      <c r="C23" s="44" t="s">
        <v>686</v>
      </c>
      <c r="D23" s="44" t="s">
        <v>86</v>
      </c>
      <c r="E23" s="45">
        <v>32000</v>
      </c>
      <c r="F23" s="46">
        <v>2178.2240000000002</v>
      </c>
      <c r="G23" s="47">
        <v>1.5618440000000001E-2</v>
      </c>
      <c r="H23" s="40" t="s">
        <v>151</v>
      </c>
      <c r="J23" s="7"/>
    </row>
    <row r="24" spans="1:10" x14ac:dyDescent="0.2">
      <c r="A24" s="43">
        <v>18</v>
      </c>
      <c r="B24" s="44" t="s">
        <v>386</v>
      </c>
      <c r="C24" s="44" t="s">
        <v>387</v>
      </c>
      <c r="D24" s="44" t="s">
        <v>202</v>
      </c>
      <c r="E24" s="45">
        <v>41000</v>
      </c>
      <c r="F24" s="46">
        <v>2023.7394999999999</v>
      </c>
      <c r="G24" s="47">
        <v>1.4510749999999999E-2</v>
      </c>
      <c r="H24" s="40" t="s">
        <v>151</v>
      </c>
      <c r="J24" s="7"/>
    </row>
    <row r="25" spans="1:10" ht="25.5" x14ac:dyDescent="0.2">
      <c r="A25" s="43">
        <v>19</v>
      </c>
      <c r="B25" s="44" t="s">
        <v>273</v>
      </c>
      <c r="C25" s="44" t="s">
        <v>274</v>
      </c>
      <c r="D25" s="44" t="s">
        <v>86</v>
      </c>
      <c r="E25" s="45">
        <v>142000</v>
      </c>
      <c r="F25" s="46">
        <v>2011.5719999999999</v>
      </c>
      <c r="G25" s="47">
        <v>1.4423500000000001E-2</v>
      </c>
      <c r="H25" s="40" t="s">
        <v>151</v>
      </c>
      <c r="J25" s="7"/>
    </row>
    <row r="26" spans="1:10" x14ac:dyDescent="0.2">
      <c r="A26" s="43">
        <v>20</v>
      </c>
      <c r="B26" s="44" t="s">
        <v>378</v>
      </c>
      <c r="C26" s="44" t="s">
        <v>379</v>
      </c>
      <c r="D26" s="44" t="s">
        <v>366</v>
      </c>
      <c r="E26" s="45">
        <v>73000</v>
      </c>
      <c r="F26" s="46">
        <v>1975.1244999999999</v>
      </c>
      <c r="G26" s="47">
        <v>1.416217E-2</v>
      </c>
      <c r="H26" s="40" t="s">
        <v>151</v>
      </c>
      <c r="J26" s="7"/>
    </row>
    <row r="27" spans="1:10" x14ac:dyDescent="0.2">
      <c r="A27" s="43">
        <v>21</v>
      </c>
      <c r="B27" s="44" t="s">
        <v>560</v>
      </c>
      <c r="C27" s="44" t="s">
        <v>561</v>
      </c>
      <c r="D27" s="44" t="s">
        <v>282</v>
      </c>
      <c r="E27" s="45">
        <v>15000</v>
      </c>
      <c r="F27" s="46">
        <v>1967.37</v>
      </c>
      <c r="G27" s="47">
        <v>1.4106560000000001E-2</v>
      </c>
      <c r="H27" s="40" t="s">
        <v>151</v>
      </c>
      <c r="J27" s="7"/>
    </row>
    <row r="28" spans="1:10" x14ac:dyDescent="0.2">
      <c r="A28" s="43">
        <v>22</v>
      </c>
      <c r="B28" s="44" t="s">
        <v>714</v>
      </c>
      <c r="C28" s="44" t="s">
        <v>715</v>
      </c>
      <c r="D28" s="44" t="s">
        <v>100</v>
      </c>
      <c r="E28" s="45">
        <v>111749</v>
      </c>
      <c r="F28" s="46">
        <v>1926.2175130000001</v>
      </c>
      <c r="G28" s="47">
        <v>1.3811489999999999E-2</v>
      </c>
      <c r="H28" s="40" t="s">
        <v>151</v>
      </c>
      <c r="J28" s="7" t="s">
        <v>1068</v>
      </c>
    </row>
    <row r="29" spans="1:10" x14ac:dyDescent="0.2">
      <c r="A29" s="43">
        <v>23</v>
      </c>
      <c r="B29" s="44" t="s">
        <v>240</v>
      </c>
      <c r="C29" s="44" t="s">
        <v>241</v>
      </c>
      <c r="D29" s="44" t="s">
        <v>242</v>
      </c>
      <c r="E29" s="45">
        <v>317000</v>
      </c>
      <c r="F29" s="46">
        <v>1898.1959999999999</v>
      </c>
      <c r="G29" s="47">
        <v>1.3610570000000001E-2</v>
      </c>
      <c r="H29" s="40" t="s">
        <v>151</v>
      </c>
      <c r="J29" s="7"/>
    </row>
    <row r="30" spans="1:10" x14ac:dyDescent="0.2">
      <c r="A30" s="43">
        <v>24</v>
      </c>
      <c r="B30" s="44" t="s">
        <v>545</v>
      </c>
      <c r="C30" s="44" t="s">
        <v>546</v>
      </c>
      <c r="D30" s="44" t="s">
        <v>229</v>
      </c>
      <c r="E30" s="45">
        <v>33000</v>
      </c>
      <c r="F30" s="46">
        <v>1852.6695</v>
      </c>
      <c r="G30" s="47">
        <v>1.328413E-2</v>
      </c>
      <c r="H30" s="40" t="s">
        <v>151</v>
      </c>
      <c r="J30" s="7"/>
    </row>
    <row r="31" spans="1:10" x14ac:dyDescent="0.2">
      <c r="A31" s="43">
        <v>25</v>
      </c>
      <c r="B31" s="44" t="s">
        <v>130</v>
      </c>
      <c r="C31" s="44" t="s">
        <v>131</v>
      </c>
      <c r="D31" s="44" t="s">
        <v>50</v>
      </c>
      <c r="E31" s="45">
        <v>23000</v>
      </c>
      <c r="F31" s="46">
        <v>1816.2755</v>
      </c>
      <c r="G31" s="47">
        <v>1.3023180000000001E-2</v>
      </c>
      <c r="H31" s="40" t="s">
        <v>151</v>
      </c>
      <c r="J31" s="7"/>
    </row>
    <row r="32" spans="1:10" x14ac:dyDescent="0.2">
      <c r="A32" s="43">
        <v>26</v>
      </c>
      <c r="B32" s="44" t="s">
        <v>266</v>
      </c>
      <c r="C32" s="44" t="s">
        <v>267</v>
      </c>
      <c r="D32" s="44" t="s">
        <v>268</v>
      </c>
      <c r="E32" s="45">
        <v>85000</v>
      </c>
      <c r="F32" s="46">
        <v>1712.75</v>
      </c>
      <c r="G32" s="47">
        <v>1.2280869999999999E-2</v>
      </c>
      <c r="H32" s="40" t="s">
        <v>151</v>
      </c>
      <c r="J32" s="7"/>
    </row>
    <row r="33" spans="1:10" ht="25.5" x14ac:dyDescent="0.2">
      <c r="A33" s="43">
        <v>27</v>
      </c>
      <c r="B33" s="44" t="s">
        <v>475</v>
      </c>
      <c r="C33" s="44" t="s">
        <v>476</v>
      </c>
      <c r="D33" s="44" t="s">
        <v>210</v>
      </c>
      <c r="E33" s="45">
        <v>102000</v>
      </c>
      <c r="F33" s="46">
        <v>1575.1859999999999</v>
      </c>
      <c r="G33" s="47">
        <v>1.1294500000000001E-2</v>
      </c>
      <c r="H33" s="40" t="s">
        <v>151</v>
      </c>
      <c r="J33" s="7"/>
    </row>
    <row r="34" spans="1:10" x14ac:dyDescent="0.2">
      <c r="A34" s="43">
        <v>28</v>
      </c>
      <c r="B34" s="44" t="s">
        <v>17</v>
      </c>
      <c r="C34" s="44" t="s">
        <v>18</v>
      </c>
      <c r="D34" s="44" t="s">
        <v>19</v>
      </c>
      <c r="E34" s="45">
        <v>105000</v>
      </c>
      <c r="F34" s="46">
        <v>1566.1275000000001</v>
      </c>
      <c r="G34" s="47">
        <v>1.122955E-2</v>
      </c>
      <c r="H34" s="40" t="s">
        <v>151</v>
      </c>
      <c r="J34" s="7"/>
    </row>
    <row r="35" spans="1:10" x14ac:dyDescent="0.2">
      <c r="A35" s="43">
        <v>29</v>
      </c>
      <c r="B35" s="44" t="s">
        <v>254</v>
      </c>
      <c r="C35" s="44" t="s">
        <v>255</v>
      </c>
      <c r="D35" s="44" t="s">
        <v>202</v>
      </c>
      <c r="E35" s="45">
        <v>22000</v>
      </c>
      <c r="F35" s="46">
        <v>1545.9949999999999</v>
      </c>
      <c r="G35" s="47">
        <v>1.108519E-2</v>
      </c>
      <c r="H35" s="40" t="s">
        <v>151</v>
      </c>
      <c r="J35" s="7"/>
    </row>
    <row r="36" spans="1:10" x14ac:dyDescent="0.2">
      <c r="A36" s="43">
        <v>30</v>
      </c>
      <c r="B36" s="44" t="s">
        <v>520</v>
      </c>
      <c r="C36" s="44" t="s">
        <v>521</v>
      </c>
      <c r="D36" s="44" t="s">
        <v>86</v>
      </c>
      <c r="E36" s="45">
        <v>187941</v>
      </c>
      <c r="F36" s="46">
        <v>1513.8647550000001</v>
      </c>
      <c r="G36" s="47">
        <v>1.0854809999999999E-2</v>
      </c>
      <c r="H36" s="40" t="s">
        <v>151</v>
      </c>
      <c r="J36" s="7"/>
    </row>
    <row r="37" spans="1:10" x14ac:dyDescent="0.2">
      <c r="A37" s="43">
        <v>31</v>
      </c>
      <c r="B37" s="44" t="s">
        <v>355</v>
      </c>
      <c r="C37" s="44" t="s">
        <v>356</v>
      </c>
      <c r="D37" s="44" t="s">
        <v>45</v>
      </c>
      <c r="E37" s="45">
        <v>83000</v>
      </c>
      <c r="F37" s="46">
        <v>1500.557</v>
      </c>
      <c r="G37" s="47">
        <v>1.0759390000000001E-2</v>
      </c>
      <c r="H37" s="40" t="s">
        <v>151</v>
      </c>
      <c r="J37" s="7"/>
    </row>
    <row r="38" spans="1:10" ht="25.5" x14ac:dyDescent="0.2">
      <c r="A38" s="43">
        <v>32</v>
      </c>
      <c r="B38" s="44" t="s">
        <v>372</v>
      </c>
      <c r="C38" s="44" t="s">
        <v>373</v>
      </c>
      <c r="D38" s="44" t="s">
        <v>210</v>
      </c>
      <c r="E38" s="45">
        <v>104000</v>
      </c>
      <c r="F38" s="46">
        <v>1491.5160000000001</v>
      </c>
      <c r="G38" s="47">
        <v>1.069457E-2</v>
      </c>
      <c r="H38" s="40" t="s">
        <v>151</v>
      </c>
      <c r="J38" s="7"/>
    </row>
    <row r="39" spans="1:10" x14ac:dyDescent="0.2">
      <c r="A39" s="43">
        <v>33</v>
      </c>
      <c r="B39" s="44" t="s">
        <v>196</v>
      </c>
      <c r="C39" s="44" t="s">
        <v>197</v>
      </c>
      <c r="D39" s="44" t="s">
        <v>45</v>
      </c>
      <c r="E39" s="45">
        <v>722000</v>
      </c>
      <c r="F39" s="46">
        <v>1454.0358000000001</v>
      </c>
      <c r="G39" s="47">
        <v>1.0425820000000001E-2</v>
      </c>
      <c r="H39" s="40" t="s">
        <v>151</v>
      </c>
      <c r="J39" s="7"/>
    </row>
    <row r="40" spans="1:10" x14ac:dyDescent="0.2">
      <c r="A40" s="43">
        <v>34</v>
      </c>
      <c r="B40" s="44" t="s">
        <v>53</v>
      </c>
      <c r="C40" s="44" t="s">
        <v>54</v>
      </c>
      <c r="D40" s="44" t="s">
        <v>19</v>
      </c>
      <c r="E40" s="45">
        <v>124000</v>
      </c>
      <c r="F40" s="46">
        <v>1410.376</v>
      </c>
      <c r="G40" s="47">
        <v>1.011277E-2</v>
      </c>
      <c r="H40" s="40" t="s">
        <v>151</v>
      </c>
      <c r="J40" s="7"/>
    </row>
    <row r="41" spans="1:10" x14ac:dyDescent="0.2">
      <c r="A41" s="43">
        <v>35</v>
      </c>
      <c r="B41" s="44" t="s">
        <v>278</v>
      </c>
      <c r="C41" s="44" t="s">
        <v>279</v>
      </c>
      <c r="D41" s="44" t="s">
        <v>219</v>
      </c>
      <c r="E41" s="45">
        <v>22302</v>
      </c>
      <c r="F41" s="46">
        <v>1406.25261</v>
      </c>
      <c r="G41" s="47">
        <v>1.00832E-2</v>
      </c>
      <c r="H41" s="40" t="s">
        <v>151</v>
      </c>
      <c r="J41" s="7"/>
    </row>
    <row r="42" spans="1:10" x14ac:dyDescent="0.2">
      <c r="A42" s="43">
        <v>36</v>
      </c>
      <c r="B42" s="44" t="s">
        <v>397</v>
      </c>
      <c r="C42" s="44" t="s">
        <v>398</v>
      </c>
      <c r="D42" s="44" t="s">
        <v>100</v>
      </c>
      <c r="E42" s="45">
        <v>40000</v>
      </c>
      <c r="F42" s="46">
        <v>1383.58</v>
      </c>
      <c r="G42" s="47">
        <v>9.9206399999999997E-3</v>
      </c>
      <c r="H42" s="40" t="s">
        <v>151</v>
      </c>
      <c r="J42" s="7"/>
    </row>
    <row r="43" spans="1:10" ht="51" x14ac:dyDescent="0.2">
      <c r="A43" s="43">
        <v>37</v>
      </c>
      <c r="B43" s="44" t="s">
        <v>821</v>
      </c>
      <c r="C43" s="44" t="s">
        <v>822</v>
      </c>
      <c r="D43" s="44" t="s">
        <v>394</v>
      </c>
      <c r="E43" s="45">
        <v>29000</v>
      </c>
      <c r="F43" s="46">
        <v>1323.9079999999999</v>
      </c>
      <c r="G43" s="47">
        <v>9.4927699999999993E-3</v>
      </c>
      <c r="H43" s="40" t="s">
        <v>151</v>
      </c>
      <c r="J43" s="7"/>
    </row>
    <row r="44" spans="1:10" x14ac:dyDescent="0.2">
      <c r="A44" s="43">
        <v>38</v>
      </c>
      <c r="B44" s="44" t="s">
        <v>230</v>
      </c>
      <c r="C44" s="44" t="s">
        <v>231</v>
      </c>
      <c r="D44" s="44" t="s">
        <v>232</v>
      </c>
      <c r="E44" s="45">
        <v>117000</v>
      </c>
      <c r="F44" s="46">
        <v>1301.04</v>
      </c>
      <c r="G44" s="47">
        <v>9.3287999999999999E-3</v>
      </c>
      <c r="H44" s="40" t="s">
        <v>151</v>
      </c>
      <c r="J44" s="7"/>
    </row>
    <row r="45" spans="1:10" x14ac:dyDescent="0.2">
      <c r="A45" s="43">
        <v>39</v>
      </c>
      <c r="B45" s="44" t="s">
        <v>823</v>
      </c>
      <c r="C45" s="44" t="s">
        <v>824</v>
      </c>
      <c r="D45" s="44" t="s">
        <v>38</v>
      </c>
      <c r="E45" s="45">
        <v>225000</v>
      </c>
      <c r="F45" s="46">
        <v>1299.4875</v>
      </c>
      <c r="G45" s="47">
        <v>9.3176700000000001E-3</v>
      </c>
      <c r="H45" s="40" t="s">
        <v>151</v>
      </c>
      <c r="J45" s="7"/>
    </row>
    <row r="46" spans="1:10" x14ac:dyDescent="0.2">
      <c r="A46" s="43">
        <v>40</v>
      </c>
      <c r="B46" s="44" t="s">
        <v>69</v>
      </c>
      <c r="C46" s="44" t="s">
        <v>70</v>
      </c>
      <c r="D46" s="44" t="s">
        <v>33</v>
      </c>
      <c r="E46" s="45">
        <v>100000</v>
      </c>
      <c r="F46" s="46">
        <v>1234.2</v>
      </c>
      <c r="G46" s="47">
        <v>8.8495399999999995E-3</v>
      </c>
      <c r="H46" s="40" t="s">
        <v>151</v>
      </c>
      <c r="J46" s="7"/>
    </row>
    <row r="47" spans="1:10" ht="25.5" x14ac:dyDescent="0.2">
      <c r="A47" s="43">
        <v>41</v>
      </c>
      <c r="B47" s="44" t="s">
        <v>362</v>
      </c>
      <c r="C47" s="44" t="s">
        <v>363</v>
      </c>
      <c r="D47" s="44" t="s">
        <v>210</v>
      </c>
      <c r="E47" s="45">
        <v>18000</v>
      </c>
      <c r="F47" s="46">
        <v>1215.0899999999999</v>
      </c>
      <c r="G47" s="47">
        <v>8.7125199999999996E-3</v>
      </c>
      <c r="H47" s="40" t="s">
        <v>151</v>
      </c>
      <c r="J47" s="7"/>
    </row>
    <row r="48" spans="1:10" x14ac:dyDescent="0.2">
      <c r="A48" s="43">
        <v>42</v>
      </c>
      <c r="B48" s="44" t="s">
        <v>367</v>
      </c>
      <c r="C48" s="44" t="s">
        <v>368</v>
      </c>
      <c r="D48" s="44" t="s">
        <v>229</v>
      </c>
      <c r="E48" s="45">
        <v>27000</v>
      </c>
      <c r="F48" s="46">
        <v>1158.2190000000001</v>
      </c>
      <c r="G48" s="47">
        <v>8.3047399999999997E-3</v>
      </c>
      <c r="H48" s="40" t="s">
        <v>151</v>
      </c>
      <c r="J48" s="7"/>
    </row>
    <row r="49" spans="1:10" ht="25.5" x14ac:dyDescent="0.2">
      <c r="A49" s="43">
        <v>43</v>
      </c>
      <c r="B49" s="44" t="s">
        <v>802</v>
      </c>
      <c r="C49" s="44" t="s">
        <v>803</v>
      </c>
      <c r="D49" s="44" t="s">
        <v>247</v>
      </c>
      <c r="E49" s="45">
        <v>36000</v>
      </c>
      <c r="F49" s="46">
        <v>1147.104</v>
      </c>
      <c r="G49" s="47">
        <v>8.2250399999999994E-3</v>
      </c>
      <c r="H49" s="40" t="s">
        <v>151</v>
      </c>
      <c r="J49" s="7"/>
    </row>
    <row r="50" spans="1:10" x14ac:dyDescent="0.2">
      <c r="A50" s="43">
        <v>44</v>
      </c>
      <c r="B50" s="44" t="s">
        <v>382</v>
      </c>
      <c r="C50" s="44" t="s">
        <v>383</v>
      </c>
      <c r="D50" s="44" t="s">
        <v>136</v>
      </c>
      <c r="E50" s="45">
        <v>690000</v>
      </c>
      <c r="F50" s="46">
        <v>1140.777</v>
      </c>
      <c r="G50" s="47">
        <v>8.17967E-3</v>
      </c>
      <c r="H50" s="40" t="s">
        <v>151</v>
      </c>
      <c r="J50" s="7"/>
    </row>
    <row r="51" spans="1:10" ht="25.5" x14ac:dyDescent="0.2">
      <c r="A51" s="43">
        <v>45</v>
      </c>
      <c r="B51" s="44" t="s">
        <v>477</v>
      </c>
      <c r="C51" s="44" t="s">
        <v>478</v>
      </c>
      <c r="D51" s="44" t="s">
        <v>313</v>
      </c>
      <c r="E51" s="45">
        <v>92000</v>
      </c>
      <c r="F51" s="46">
        <v>1093.8340000000001</v>
      </c>
      <c r="G51" s="47">
        <v>7.8430800000000005E-3</v>
      </c>
      <c r="H51" s="40" t="s">
        <v>151</v>
      </c>
      <c r="J51" s="7"/>
    </row>
    <row r="52" spans="1:10" ht="25.5" x14ac:dyDescent="0.2">
      <c r="A52" s="43">
        <v>46</v>
      </c>
      <c r="B52" s="44" t="s">
        <v>732</v>
      </c>
      <c r="C52" s="44" t="s">
        <v>733</v>
      </c>
      <c r="D52" s="44" t="s">
        <v>210</v>
      </c>
      <c r="E52" s="45">
        <v>53410</v>
      </c>
      <c r="F52" s="46">
        <v>1083.20821</v>
      </c>
      <c r="G52" s="47">
        <v>7.7668900000000003E-3</v>
      </c>
      <c r="H52" s="40" t="s">
        <v>151</v>
      </c>
      <c r="J52" s="7"/>
    </row>
    <row r="53" spans="1:10" ht="25.5" x14ac:dyDescent="0.2">
      <c r="A53" s="43">
        <v>47</v>
      </c>
      <c r="B53" s="44" t="s">
        <v>825</v>
      </c>
      <c r="C53" s="44" t="s">
        <v>826</v>
      </c>
      <c r="D53" s="44" t="s">
        <v>210</v>
      </c>
      <c r="E53" s="45">
        <v>79880</v>
      </c>
      <c r="F53" s="46">
        <v>1044.7904599999999</v>
      </c>
      <c r="G53" s="47">
        <v>7.4914200000000004E-3</v>
      </c>
      <c r="H53" s="40" t="s">
        <v>151</v>
      </c>
      <c r="J53" s="7"/>
    </row>
    <row r="54" spans="1:10" x14ac:dyDescent="0.2">
      <c r="A54" s="43">
        <v>48</v>
      </c>
      <c r="B54" s="44" t="s">
        <v>827</v>
      </c>
      <c r="C54" s="44" t="s">
        <v>828</v>
      </c>
      <c r="D54" s="44" t="s">
        <v>100</v>
      </c>
      <c r="E54" s="45">
        <v>65000</v>
      </c>
      <c r="F54" s="46">
        <v>1037.595</v>
      </c>
      <c r="G54" s="47">
        <v>7.4398299999999997E-3</v>
      </c>
      <c r="H54" s="40" t="s">
        <v>151</v>
      </c>
      <c r="J54" s="7"/>
    </row>
    <row r="55" spans="1:10" x14ac:dyDescent="0.2">
      <c r="A55" s="43">
        <v>49</v>
      </c>
      <c r="B55" s="44" t="s">
        <v>345</v>
      </c>
      <c r="C55" s="44" t="s">
        <v>346</v>
      </c>
      <c r="D55" s="44" t="s">
        <v>202</v>
      </c>
      <c r="E55" s="45">
        <v>439890</v>
      </c>
      <c r="F55" s="46">
        <v>1009.3276049999999</v>
      </c>
      <c r="G55" s="47">
        <v>7.2371500000000004E-3</v>
      </c>
      <c r="H55" s="40" t="s">
        <v>151</v>
      </c>
      <c r="J55" s="7"/>
    </row>
    <row r="56" spans="1:10" x14ac:dyDescent="0.2">
      <c r="A56" s="43">
        <v>50</v>
      </c>
      <c r="B56" s="44" t="s">
        <v>62</v>
      </c>
      <c r="C56" s="44" t="s">
        <v>63</v>
      </c>
      <c r="D56" s="44" t="s">
        <v>64</v>
      </c>
      <c r="E56" s="45">
        <v>414000</v>
      </c>
      <c r="F56" s="46">
        <v>997.61580000000004</v>
      </c>
      <c r="G56" s="47">
        <v>7.1531700000000004E-3</v>
      </c>
      <c r="H56" s="40" t="s">
        <v>151</v>
      </c>
      <c r="J56" s="7"/>
    </row>
    <row r="57" spans="1:10" x14ac:dyDescent="0.2">
      <c r="A57" s="43">
        <v>51</v>
      </c>
      <c r="B57" s="44" t="s">
        <v>116</v>
      </c>
      <c r="C57" s="44" t="s">
        <v>117</v>
      </c>
      <c r="D57" s="44" t="s">
        <v>30</v>
      </c>
      <c r="E57" s="45">
        <v>20216</v>
      </c>
      <c r="F57" s="46">
        <v>995.20335599999999</v>
      </c>
      <c r="G57" s="47">
        <v>7.1358699999999999E-3</v>
      </c>
      <c r="H57" s="40" t="s">
        <v>151</v>
      </c>
      <c r="J57" s="7"/>
    </row>
    <row r="58" spans="1:10" x14ac:dyDescent="0.2">
      <c r="A58" s="43">
        <v>52</v>
      </c>
      <c r="B58" s="44" t="s">
        <v>77</v>
      </c>
      <c r="C58" s="44" t="s">
        <v>78</v>
      </c>
      <c r="D58" s="44" t="s">
        <v>33</v>
      </c>
      <c r="E58" s="45">
        <v>25000</v>
      </c>
      <c r="F58" s="46">
        <v>963.08749999999998</v>
      </c>
      <c r="G58" s="47">
        <v>6.9055899999999996E-3</v>
      </c>
      <c r="H58" s="40" t="s">
        <v>151</v>
      </c>
      <c r="J58" s="7"/>
    </row>
    <row r="59" spans="1:10" x14ac:dyDescent="0.2">
      <c r="A59" s="43">
        <v>53</v>
      </c>
      <c r="B59" s="44" t="s">
        <v>110</v>
      </c>
      <c r="C59" s="44" t="s">
        <v>111</v>
      </c>
      <c r="D59" s="44" t="s">
        <v>13</v>
      </c>
      <c r="E59" s="45">
        <v>126172</v>
      </c>
      <c r="F59" s="46">
        <v>867.74793</v>
      </c>
      <c r="G59" s="47">
        <v>6.2219800000000002E-3</v>
      </c>
      <c r="H59" s="40" t="s">
        <v>151</v>
      </c>
      <c r="J59" s="7"/>
    </row>
    <row r="60" spans="1:10" x14ac:dyDescent="0.2">
      <c r="A60" s="43">
        <v>54</v>
      </c>
      <c r="B60" s="44" t="s">
        <v>479</v>
      </c>
      <c r="C60" s="44" t="s">
        <v>480</v>
      </c>
      <c r="D60" s="44" t="s">
        <v>45</v>
      </c>
      <c r="E60" s="45">
        <v>60000</v>
      </c>
      <c r="F60" s="46">
        <v>856.68</v>
      </c>
      <c r="G60" s="47">
        <v>6.1426199999999997E-3</v>
      </c>
      <c r="H60" s="40" t="s">
        <v>151</v>
      </c>
      <c r="J60" s="7"/>
    </row>
    <row r="61" spans="1:10" x14ac:dyDescent="0.2">
      <c r="A61" s="43">
        <v>55</v>
      </c>
      <c r="B61" s="44" t="s">
        <v>269</v>
      </c>
      <c r="C61" s="44" t="s">
        <v>270</v>
      </c>
      <c r="D61" s="44" t="s">
        <v>33</v>
      </c>
      <c r="E61" s="45">
        <v>12000</v>
      </c>
      <c r="F61" s="46">
        <v>822.98400000000004</v>
      </c>
      <c r="G61" s="47">
        <v>5.9010099999999999E-3</v>
      </c>
      <c r="H61" s="40" t="s">
        <v>151</v>
      </c>
      <c r="J61" s="7"/>
    </row>
    <row r="62" spans="1:10" ht="25.5" x14ac:dyDescent="0.2">
      <c r="A62" s="43">
        <v>56</v>
      </c>
      <c r="B62" s="44" t="s">
        <v>741</v>
      </c>
      <c r="C62" s="44" t="s">
        <v>742</v>
      </c>
      <c r="D62" s="44" t="s">
        <v>247</v>
      </c>
      <c r="E62" s="45">
        <v>50000</v>
      </c>
      <c r="F62" s="46">
        <v>810.8</v>
      </c>
      <c r="G62" s="47">
        <v>5.8136500000000001E-3</v>
      </c>
      <c r="H62" s="40" t="s">
        <v>151</v>
      </c>
      <c r="J62" s="7"/>
    </row>
    <row r="63" spans="1:10" x14ac:dyDescent="0.2">
      <c r="A63" s="43">
        <v>57</v>
      </c>
      <c r="B63" s="44" t="s">
        <v>716</v>
      </c>
      <c r="C63" s="44" t="s">
        <v>717</v>
      </c>
      <c r="D63" s="44" t="s">
        <v>277</v>
      </c>
      <c r="E63" s="45">
        <v>14000</v>
      </c>
      <c r="F63" s="46">
        <v>809.82299999999998</v>
      </c>
      <c r="G63" s="47">
        <v>5.80665E-3</v>
      </c>
      <c r="H63" s="40" t="s">
        <v>151</v>
      </c>
      <c r="J63" s="7"/>
    </row>
    <row r="64" spans="1:10" x14ac:dyDescent="0.2">
      <c r="A64" s="43">
        <v>58</v>
      </c>
      <c r="B64" s="44" t="s">
        <v>364</v>
      </c>
      <c r="C64" s="44" t="s">
        <v>365</v>
      </c>
      <c r="D64" s="44" t="s">
        <v>366</v>
      </c>
      <c r="E64" s="45">
        <v>159000</v>
      </c>
      <c r="F64" s="46">
        <v>787.60649999999998</v>
      </c>
      <c r="G64" s="47">
        <v>5.6473499999999998E-3</v>
      </c>
      <c r="H64" s="40" t="s">
        <v>151</v>
      </c>
      <c r="J64" s="7"/>
    </row>
    <row r="65" spans="1:10" x14ac:dyDescent="0.2">
      <c r="A65" s="43">
        <v>59</v>
      </c>
      <c r="B65" s="44" t="s">
        <v>739</v>
      </c>
      <c r="C65" s="44" t="s">
        <v>740</v>
      </c>
      <c r="D65" s="44" t="s">
        <v>219</v>
      </c>
      <c r="E65" s="45">
        <v>33000</v>
      </c>
      <c r="F65" s="46">
        <v>785.30100000000004</v>
      </c>
      <c r="G65" s="47">
        <v>5.6308199999999999E-3</v>
      </c>
      <c r="H65" s="40" t="s">
        <v>151</v>
      </c>
      <c r="J65" s="7"/>
    </row>
    <row r="66" spans="1:10" x14ac:dyDescent="0.2">
      <c r="A66" s="43">
        <v>60</v>
      </c>
      <c r="B66" s="44" t="s">
        <v>120</v>
      </c>
      <c r="C66" s="44" t="s">
        <v>121</v>
      </c>
      <c r="D66" s="44" t="s">
        <v>89</v>
      </c>
      <c r="E66" s="45">
        <v>18000</v>
      </c>
      <c r="F66" s="46">
        <v>768.12300000000005</v>
      </c>
      <c r="G66" s="47">
        <v>5.5076500000000002E-3</v>
      </c>
      <c r="H66" s="40" t="s">
        <v>151</v>
      </c>
      <c r="J66" s="7"/>
    </row>
    <row r="67" spans="1:10" ht="25.5" x14ac:dyDescent="0.2">
      <c r="A67" s="43">
        <v>61</v>
      </c>
      <c r="B67" s="44" t="s">
        <v>829</v>
      </c>
      <c r="C67" s="44" t="s">
        <v>830</v>
      </c>
      <c r="D67" s="44" t="s">
        <v>210</v>
      </c>
      <c r="E67" s="45">
        <v>75951</v>
      </c>
      <c r="F67" s="46">
        <v>757.38337200000001</v>
      </c>
      <c r="G67" s="47">
        <v>5.4306399999999996E-3</v>
      </c>
      <c r="H67" s="40" t="s">
        <v>151</v>
      </c>
      <c r="J67" s="7"/>
    </row>
    <row r="68" spans="1:10" ht="25.5" x14ac:dyDescent="0.2">
      <c r="A68" s="43">
        <v>62</v>
      </c>
      <c r="B68" s="44" t="s">
        <v>79</v>
      </c>
      <c r="C68" s="44" t="s">
        <v>80</v>
      </c>
      <c r="D68" s="44" t="s">
        <v>81</v>
      </c>
      <c r="E68" s="45">
        <v>47000</v>
      </c>
      <c r="F68" s="46">
        <v>737.85299999999995</v>
      </c>
      <c r="G68" s="47">
        <v>5.2906000000000003E-3</v>
      </c>
      <c r="H68" s="40" t="s">
        <v>151</v>
      </c>
      <c r="J68" s="7"/>
    </row>
    <row r="69" spans="1:10" x14ac:dyDescent="0.2">
      <c r="A69" s="43">
        <v>63</v>
      </c>
      <c r="B69" s="44" t="s">
        <v>552</v>
      </c>
      <c r="C69" s="44" t="s">
        <v>553</v>
      </c>
      <c r="D69" s="44" t="s">
        <v>268</v>
      </c>
      <c r="E69" s="45">
        <v>52000</v>
      </c>
      <c r="F69" s="46">
        <v>734.91600000000005</v>
      </c>
      <c r="G69" s="47">
        <v>5.2695399999999996E-3</v>
      </c>
      <c r="H69" s="40" t="s">
        <v>151</v>
      </c>
      <c r="J69" s="7"/>
    </row>
    <row r="70" spans="1:10" x14ac:dyDescent="0.2">
      <c r="A70" s="43">
        <v>64</v>
      </c>
      <c r="B70" s="44" t="s">
        <v>330</v>
      </c>
      <c r="C70" s="44" t="s">
        <v>331</v>
      </c>
      <c r="D70" s="44" t="s">
        <v>232</v>
      </c>
      <c r="E70" s="45">
        <v>99000</v>
      </c>
      <c r="F70" s="46">
        <v>728.59050000000002</v>
      </c>
      <c r="G70" s="47">
        <v>5.2241900000000001E-3</v>
      </c>
      <c r="H70" s="40" t="s">
        <v>151</v>
      </c>
      <c r="J70" s="7"/>
    </row>
    <row r="71" spans="1:10" x14ac:dyDescent="0.2">
      <c r="A71" s="43">
        <v>65</v>
      </c>
      <c r="B71" s="44" t="s">
        <v>395</v>
      </c>
      <c r="C71" s="44" t="s">
        <v>396</v>
      </c>
      <c r="D71" s="44" t="s">
        <v>45</v>
      </c>
      <c r="E71" s="45">
        <v>623000</v>
      </c>
      <c r="F71" s="46">
        <v>714.64329999999995</v>
      </c>
      <c r="G71" s="47">
        <v>5.1241799999999999E-3</v>
      </c>
      <c r="H71" s="40" t="s">
        <v>151</v>
      </c>
      <c r="J71" s="7"/>
    </row>
    <row r="72" spans="1:10" x14ac:dyDescent="0.2">
      <c r="A72" s="43">
        <v>66</v>
      </c>
      <c r="B72" s="44" t="s">
        <v>211</v>
      </c>
      <c r="C72" s="44" t="s">
        <v>212</v>
      </c>
      <c r="D72" s="44" t="s">
        <v>61</v>
      </c>
      <c r="E72" s="45">
        <v>38000</v>
      </c>
      <c r="F72" s="46">
        <v>707.71199999999999</v>
      </c>
      <c r="G72" s="47">
        <v>5.0744800000000001E-3</v>
      </c>
      <c r="H72" s="40" t="s">
        <v>151</v>
      </c>
      <c r="J72" s="7"/>
    </row>
    <row r="73" spans="1:10" x14ac:dyDescent="0.2">
      <c r="A73" s="43">
        <v>67</v>
      </c>
      <c r="B73" s="44" t="s">
        <v>238</v>
      </c>
      <c r="C73" s="44" t="s">
        <v>239</v>
      </c>
      <c r="D73" s="44" t="s">
        <v>22</v>
      </c>
      <c r="E73" s="45">
        <v>180000</v>
      </c>
      <c r="F73" s="46">
        <v>706.05</v>
      </c>
      <c r="G73" s="47">
        <v>5.0625699999999997E-3</v>
      </c>
      <c r="H73" s="40" t="s">
        <v>151</v>
      </c>
      <c r="J73" s="7"/>
    </row>
    <row r="74" spans="1:10" x14ac:dyDescent="0.2">
      <c r="A74" s="43">
        <v>68</v>
      </c>
      <c r="B74" s="44" t="s">
        <v>831</v>
      </c>
      <c r="C74" s="44" t="s">
        <v>832</v>
      </c>
      <c r="D74" s="44" t="s">
        <v>277</v>
      </c>
      <c r="E74" s="45">
        <v>29000</v>
      </c>
      <c r="F74" s="46">
        <v>695.36199999999997</v>
      </c>
      <c r="G74" s="47">
        <v>4.9859300000000004E-3</v>
      </c>
      <c r="H74" s="40" t="s">
        <v>151</v>
      </c>
      <c r="J74" s="7"/>
    </row>
    <row r="75" spans="1:10" x14ac:dyDescent="0.2">
      <c r="A75" s="43">
        <v>69</v>
      </c>
      <c r="B75" s="44" t="s">
        <v>303</v>
      </c>
      <c r="C75" s="44" t="s">
        <v>304</v>
      </c>
      <c r="D75" s="44" t="s">
        <v>100</v>
      </c>
      <c r="E75" s="45">
        <v>37047</v>
      </c>
      <c r="F75" s="46">
        <v>548.962446</v>
      </c>
      <c r="G75" s="47">
        <v>3.9362099999999999E-3</v>
      </c>
      <c r="H75" s="40" t="s">
        <v>151</v>
      </c>
      <c r="J75" s="7"/>
    </row>
    <row r="76" spans="1:10" x14ac:dyDescent="0.2">
      <c r="A76" s="43">
        <v>70</v>
      </c>
      <c r="B76" s="44" t="s">
        <v>409</v>
      </c>
      <c r="C76" s="44" t="s">
        <v>410</v>
      </c>
      <c r="D76" s="44" t="s">
        <v>242</v>
      </c>
      <c r="E76" s="45">
        <v>26000</v>
      </c>
      <c r="F76" s="46">
        <v>429.48099999999999</v>
      </c>
      <c r="G76" s="47">
        <v>3.0794899999999998E-3</v>
      </c>
      <c r="H76" s="40" t="s">
        <v>151</v>
      </c>
      <c r="J76" s="7"/>
    </row>
    <row r="77" spans="1:10" ht="25.5" x14ac:dyDescent="0.2">
      <c r="A77" s="43">
        <v>71</v>
      </c>
      <c r="B77" s="44" t="s">
        <v>293</v>
      </c>
      <c r="C77" s="44" t="s">
        <v>294</v>
      </c>
      <c r="D77" s="44" t="s">
        <v>25</v>
      </c>
      <c r="E77" s="45">
        <v>21069</v>
      </c>
      <c r="F77" s="46">
        <v>389.8923795</v>
      </c>
      <c r="G77" s="47">
        <v>2.7956299999999999E-3</v>
      </c>
      <c r="H77" s="40" t="s">
        <v>151</v>
      </c>
      <c r="J77" s="7"/>
    </row>
    <row r="78" spans="1:10" ht="25.5" x14ac:dyDescent="0.2">
      <c r="A78" s="43">
        <v>73</v>
      </c>
      <c r="B78" s="44" t="s">
        <v>318</v>
      </c>
      <c r="C78" s="44" t="s">
        <v>319</v>
      </c>
      <c r="D78" s="44" t="s">
        <v>247</v>
      </c>
      <c r="E78" s="45">
        <v>7000</v>
      </c>
      <c r="F78" s="46">
        <v>266.06650000000002</v>
      </c>
      <c r="G78" s="47">
        <v>1.90777E-3</v>
      </c>
      <c r="H78" s="40" t="s">
        <v>151</v>
      </c>
      <c r="J78" s="7"/>
    </row>
    <row r="79" spans="1:10" ht="25.5" x14ac:dyDescent="0.2">
      <c r="A79" s="43">
        <v>74</v>
      </c>
      <c r="B79" s="44" t="s">
        <v>481</v>
      </c>
      <c r="C79" s="44" t="s">
        <v>478</v>
      </c>
      <c r="D79" s="44" t="s">
        <v>313</v>
      </c>
      <c r="E79" s="45">
        <v>3538</v>
      </c>
      <c r="F79" s="46">
        <v>13.124211000000001</v>
      </c>
      <c r="G79" s="47">
        <v>9.4099999999999997E-5</v>
      </c>
      <c r="H79" s="40" t="s">
        <v>151</v>
      </c>
      <c r="J79" s="7"/>
    </row>
    <row r="80" spans="1:10" x14ac:dyDescent="0.2">
      <c r="A80" s="41"/>
      <c r="B80" s="41"/>
      <c r="C80" s="42" t="s">
        <v>150</v>
      </c>
      <c r="D80" s="41"/>
      <c r="E80" s="41" t="s">
        <v>151</v>
      </c>
      <c r="F80" s="48">
        <f>SUM(F7:F79)</f>
        <v>135084.34105899994</v>
      </c>
      <c r="G80" s="49">
        <f>SUM(G7:G79)</f>
        <v>0.9685905100000004</v>
      </c>
      <c r="H80" s="40" t="s">
        <v>151</v>
      </c>
      <c r="J80" s="7"/>
    </row>
    <row r="81" spans="1:10" x14ac:dyDescent="0.2">
      <c r="A81" s="41"/>
      <c r="B81" s="41"/>
      <c r="C81" s="50"/>
      <c r="D81" s="41"/>
      <c r="E81" s="41"/>
      <c r="F81" s="51"/>
      <c r="G81" s="51"/>
      <c r="H81" s="40" t="s">
        <v>151</v>
      </c>
      <c r="J81" s="7"/>
    </row>
    <row r="82" spans="1:10" x14ac:dyDescent="0.2">
      <c r="A82" s="41"/>
      <c r="B82" s="41"/>
      <c r="C82" s="42" t="s">
        <v>152</v>
      </c>
      <c r="D82" s="41"/>
      <c r="E82" s="41"/>
      <c r="F82" s="41"/>
      <c r="G82" s="41"/>
      <c r="H82" s="40" t="s">
        <v>151</v>
      </c>
      <c r="J82" s="7"/>
    </row>
    <row r="83" spans="1:10" x14ac:dyDescent="0.2">
      <c r="A83" s="41"/>
      <c r="B83" s="41"/>
      <c r="C83" s="42" t="s">
        <v>150</v>
      </c>
      <c r="D83" s="41"/>
      <c r="E83" s="41" t="s">
        <v>151</v>
      </c>
      <c r="F83" s="52" t="s">
        <v>153</v>
      </c>
      <c r="G83" s="49">
        <v>0</v>
      </c>
      <c r="H83" s="40" t="s">
        <v>151</v>
      </c>
      <c r="J83" s="7"/>
    </row>
    <row r="84" spans="1:10" x14ac:dyDescent="0.2">
      <c r="A84" s="41"/>
      <c r="B84" s="41"/>
      <c r="C84" s="50"/>
      <c r="D84" s="41"/>
      <c r="E84" s="41"/>
      <c r="F84" s="51"/>
      <c r="G84" s="51"/>
      <c r="H84" s="40" t="s">
        <v>151</v>
      </c>
      <c r="J84" s="7"/>
    </row>
    <row r="85" spans="1:10" x14ac:dyDescent="0.2">
      <c r="A85" s="41"/>
      <c r="B85" s="41"/>
      <c r="C85" s="42" t="s">
        <v>154</v>
      </c>
      <c r="D85" s="41"/>
      <c r="E85" s="41"/>
      <c r="F85" s="41"/>
      <c r="G85" s="41"/>
      <c r="H85" s="40" t="s">
        <v>151</v>
      </c>
      <c r="J85" s="7"/>
    </row>
    <row r="86" spans="1:10" x14ac:dyDescent="0.2">
      <c r="A86" s="43">
        <v>1</v>
      </c>
      <c r="B86" s="44" t="s">
        <v>566</v>
      </c>
      <c r="C86" s="53" t="s">
        <v>998</v>
      </c>
      <c r="D86" s="44" t="s">
        <v>242</v>
      </c>
      <c r="E86" s="45">
        <v>374002</v>
      </c>
      <c r="F86" s="46">
        <v>16.0446858</v>
      </c>
      <c r="G86" s="47">
        <v>1.1505E-4</v>
      </c>
      <c r="H86" s="40" t="s">
        <v>151</v>
      </c>
      <c r="J86" s="7"/>
    </row>
    <row r="87" spans="1:10" x14ac:dyDescent="0.2">
      <c r="A87" s="43">
        <v>2</v>
      </c>
      <c r="B87" s="44" t="s">
        <v>768</v>
      </c>
      <c r="C87" s="53" t="s">
        <v>1003</v>
      </c>
      <c r="D87" s="44"/>
      <c r="E87" s="45">
        <v>200000</v>
      </c>
      <c r="F87" s="46">
        <v>1.9999999999999999E-6</v>
      </c>
      <c r="G87" s="54" t="s">
        <v>149</v>
      </c>
      <c r="H87" s="40" t="s">
        <v>151</v>
      </c>
      <c r="J87" s="7"/>
    </row>
    <row r="88" spans="1:10" x14ac:dyDescent="0.2">
      <c r="A88" s="41"/>
      <c r="B88" s="41"/>
      <c r="C88" s="42" t="s">
        <v>150</v>
      </c>
      <c r="D88" s="41"/>
      <c r="E88" s="41" t="s">
        <v>151</v>
      </c>
      <c r="F88" s="48">
        <f>SUM(F86:F87)</f>
        <v>16.044687799999998</v>
      </c>
      <c r="G88" s="49">
        <f>SUM(G86:G87)</f>
        <v>1.1505E-4</v>
      </c>
      <c r="H88" s="40" t="s">
        <v>151</v>
      </c>
      <c r="J88" s="7"/>
    </row>
    <row r="89" spans="1:10" x14ac:dyDescent="0.2">
      <c r="A89" s="41"/>
      <c r="B89" s="41"/>
      <c r="C89" s="50"/>
      <c r="D89" s="41"/>
      <c r="E89" s="41"/>
      <c r="F89" s="51"/>
      <c r="G89" s="51"/>
      <c r="H89" s="40" t="s">
        <v>151</v>
      </c>
      <c r="J89" s="7"/>
    </row>
    <row r="90" spans="1:10" x14ac:dyDescent="0.2">
      <c r="A90" s="41"/>
      <c r="B90" s="41"/>
      <c r="C90" s="42" t="s">
        <v>155</v>
      </c>
      <c r="D90" s="41"/>
      <c r="E90" s="41"/>
      <c r="F90" s="41"/>
      <c r="G90" s="41"/>
      <c r="H90" s="40" t="s">
        <v>151</v>
      </c>
      <c r="J90" s="7"/>
    </row>
    <row r="91" spans="1:10" x14ac:dyDescent="0.2">
      <c r="A91" s="41"/>
      <c r="B91" s="41"/>
      <c r="C91" s="42" t="s">
        <v>150</v>
      </c>
      <c r="D91" s="41"/>
      <c r="E91" s="41" t="s">
        <v>151</v>
      </c>
      <c r="F91" s="52" t="s">
        <v>153</v>
      </c>
      <c r="G91" s="49">
        <v>0</v>
      </c>
      <c r="H91" s="40" t="s">
        <v>151</v>
      </c>
      <c r="J91" s="7"/>
    </row>
    <row r="92" spans="1:10" x14ac:dyDescent="0.2">
      <c r="A92" s="41"/>
      <c r="B92" s="41"/>
      <c r="C92" s="50"/>
      <c r="D92" s="41"/>
      <c r="E92" s="41"/>
      <c r="F92" s="51"/>
      <c r="G92" s="51"/>
      <c r="H92" s="40" t="s">
        <v>151</v>
      </c>
      <c r="J92" s="7"/>
    </row>
    <row r="93" spans="1:10" x14ac:dyDescent="0.2">
      <c r="A93" s="41"/>
      <c r="B93" s="41"/>
      <c r="C93" s="42" t="s">
        <v>156</v>
      </c>
      <c r="D93" s="41"/>
      <c r="E93" s="41"/>
      <c r="F93" s="51"/>
      <c r="G93" s="51"/>
      <c r="H93" s="40" t="s">
        <v>151</v>
      </c>
      <c r="J93" s="7"/>
    </row>
    <row r="94" spans="1:10" x14ac:dyDescent="0.2">
      <c r="A94" s="41"/>
      <c r="B94" s="41"/>
      <c r="C94" s="42" t="s">
        <v>150</v>
      </c>
      <c r="D94" s="41"/>
      <c r="E94" s="41" t="s">
        <v>151</v>
      </c>
      <c r="F94" s="52" t="s">
        <v>153</v>
      </c>
      <c r="G94" s="49">
        <v>0</v>
      </c>
      <c r="H94" s="40" t="s">
        <v>151</v>
      </c>
      <c r="J94" s="7"/>
    </row>
    <row r="95" spans="1:10" x14ac:dyDescent="0.2">
      <c r="A95" s="41"/>
      <c r="B95" s="41"/>
      <c r="C95" s="50"/>
      <c r="D95" s="41"/>
      <c r="E95" s="41"/>
      <c r="F95" s="51"/>
      <c r="G95" s="51"/>
      <c r="H95" s="40" t="s">
        <v>151</v>
      </c>
      <c r="J95" s="7"/>
    </row>
    <row r="96" spans="1:10" x14ac:dyDescent="0.2">
      <c r="A96" s="41"/>
      <c r="B96" s="41"/>
      <c r="C96" s="42" t="s">
        <v>157</v>
      </c>
      <c r="D96" s="41"/>
      <c r="E96" s="41"/>
      <c r="F96" s="51"/>
      <c r="G96" s="51"/>
      <c r="H96" s="40" t="s">
        <v>151</v>
      </c>
      <c r="J96" s="7"/>
    </row>
    <row r="97" spans="1:10" x14ac:dyDescent="0.2">
      <c r="A97" s="41"/>
      <c r="B97" s="41"/>
      <c r="C97" s="42" t="s">
        <v>150</v>
      </c>
      <c r="D97" s="41"/>
      <c r="E97" s="41" t="s">
        <v>151</v>
      </c>
      <c r="F97" s="52" t="s">
        <v>153</v>
      </c>
      <c r="G97" s="49">
        <v>0</v>
      </c>
      <c r="H97" s="40" t="s">
        <v>151</v>
      </c>
      <c r="J97" s="7"/>
    </row>
    <row r="98" spans="1:10" x14ac:dyDescent="0.2">
      <c r="A98" s="41"/>
      <c r="B98" s="41"/>
      <c r="C98" s="50"/>
      <c r="D98" s="41"/>
      <c r="E98" s="41"/>
      <c r="F98" s="51"/>
      <c r="G98" s="51"/>
      <c r="H98" s="40" t="s">
        <v>151</v>
      </c>
      <c r="J98" s="7"/>
    </row>
    <row r="99" spans="1:10" x14ac:dyDescent="0.2">
      <c r="A99" s="41"/>
      <c r="B99" s="41"/>
      <c r="C99" s="42" t="s">
        <v>158</v>
      </c>
      <c r="D99" s="41"/>
      <c r="E99" s="41"/>
      <c r="F99" s="48">
        <v>135100.38574679999</v>
      </c>
      <c r="G99" s="49">
        <v>0.96870555999999997</v>
      </c>
      <c r="H99" s="40" t="s">
        <v>151</v>
      </c>
      <c r="J99" s="7"/>
    </row>
    <row r="100" spans="1:10" x14ac:dyDescent="0.2">
      <c r="A100" s="41"/>
      <c r="B100" s="41"/>
      <c r="C100" s="50"/>
      <c r="D100" s="41"/>
      <c r="E100" s="41"/>
      <c r="F100" s="51"/>
      <c r="G100" s="51"/>
      <c r="H100" s="40" t="s">
        <v>151</v>
      </c>
      <c r="J100" s="7"/>
    </row>
    <row r="101" spans="1:10" x14ac:dyDescent="0.2">
      <c r="A101" s="41"/>
      <c r="B101" s="41"/>
      <c r="C101" s="42" t="s">
        <v>159</v>
      </c>
      <c r="D101" s="41"/>
      <c r="E101" s="41"/>
      <c r="F101" s="51"/>
      <c r="G101" s="51"/>
      <c r="H101" s="40" t="s">
        <v>151</v>
      </c>
      <c r="J101" s="7"/>
    </row>
    <row r="102" spans="1:10" x14ac:dyDescent="0.2">
      <c r="A102" s="41"/>
      <c r="B102" s="41"/>
      <c r="C102" s="42" t="s">
        <v>10</v>
      </c>
      <c r="D102" s="41"/>
      <c r="E102" s="41"/>
      <c r="F102" s="51"/>
      <c r="G102" s="51"/>
      <c r="H102" s="40" t="s">
        <v>151</v>
      </c>
      <c r="J102" s="7"/>
    </row>
    <row r="103" spans="1:10" x14ac:dyDescent="0.2">
      <c r="A103" s="41"/>
      <c r="B103" s="41"/>
      <c r="C103" s="42" t="s">
        <v>150</v>
      </c>
      <c r="D103" s="41"/>
      <c r="E103" s="41" t="s">
        <v>151</v>
      </c>
      <c r="F103" s="52" t="s">
        <v>153</v>
      </c>
      <c r="G103" s="49">
        <v>0</v>
      </c>
      <c r="H103" s="40" t="s">
        <v>151</v>
      </c>
      <c r="J103" s="7"/>
    </row>
    <row r="104" spans="1:10" x14ac:dyDescent="0.2">
      <c r="A104" s="41"/>
      <c r="B104" s="41"/>
      <c r="C104" s="50"/>
      <c r="D104" s="41"/>
      <c r="E104" s="41"/>
      <c r="F104" s="51"/>
      <c r="G104" s="51"/>
      <c r="H104" s="40" t="s">
        <v>151</v>
      </c>
      <c r="J104" s="7"/>
    </row>
    <row r="105" spans="1:10" x14ac:dyDescent="0.2">
      <c r="A105" s="41"/>
      <c r="B105" s="41"/>
      <c r="C105" s="42" t="s">
        <v>160</v>
      </c>
      <c r="D105" s="41"/>
      <c r="E105" s="41"/>
      <c r="F105" s="41"/>
      <c r="G105" s="41"/>
      <c r="H105" s="40" t="s">
        <v>151</v>
      </c>
      <c r="J105" s="7"/>
    </row>
    <row r="106" spans="1:10" x14ac:dyDescent="0.2">
      <c r="A106" s="41"/>
      <c r="B106" s="41"/>
      <c r="C106" s="42" t="s">
        <v>150</v>
      </c>
      <c r="D106" s="41"/>
      <c r="E106" s="41" t="s">
        <v>151</v>
      </c>
      <c r="F106" s="52" t="s">
        <v>153</v>
      </c>
      <c r="G106" s="49">
        <v>0</v>
      </c>
      <c r="H106" s="40" t="s">
        <v>151</v>
      </c>
      <c r="J106" s="7"/>
    </row>
    <row r="107" spans="1:10" x14ac:dyDescent="0.2">
      <c r="A107" s="41"/>
      <c r="B107" s="41"/>
      <c r="C107" s="50"/>
      <c r="D107" s="41"/>
      <c r="E107" s="41"/>
      <c r="F107" s="51"/>
      <c r="G107" s="51"/>
      <c r="H107" s="40" t="s">
        <v>151</v>
      </c>
      <c r="J107" s="7"/>
    </row>
    <row r="108" spans="1:10" x14ac:dyDescent="0.2">
      <c r="A108" s="41"/>
      <c r="B108" s="41"/>
      <c r="C108" s="42" t="s">
        <v>161</v>
      </c>
      <c r="D108" s="41"/>
      <c r="E108" s="41"/>
      <c r="F108" s="41"/>
      <c r="G108" s="41"/>
      <c r="H108" s="40" t="s">
        <v>151</v>
      </c>
      <c r="J108" s="7"/>
    </row>
    <row r="109" spans="1:10" x14ac:dyDescent="0.2">
      <c r="A109" s="41"/>
      <c r="B109" s="41"/>
      <c r="C109" s="42" t="s">
        <v>150</v>
      </c>
      <c r="D109" s="41"/>
      <c r="E109" s="41" t="s">
        <v>151</v>
      </c>
      <c r="F109" s="52" t="s">
        <v>153</v>
      </c>
      <c r="G109" s="49">
        <v>0</v>
      </c>
      <c r="H109" s="40" t="s">
        <v>151</v>
      </c>
      <c r="J109" s="7"/>
    </row>
    <row r="110" spans="1:10" x14ac:dyDescent="0.2">
      <c r="A110" s="41"/>
      <c r="B110" s="41"/>
      <c r="C110" s="50"/>
      <c r="D110" s="41"/>
      <c r="E110" s="41"/>
      <c r="F110" s="51"/>
      <c r="G110" s="51"/>
      <c r="H110" s="40" t="s">
        <v>151</v>
      </c>
      <c r="J110" s="7"/>
    </row>
    <row r="111" spans="1:10" x14ac:dyDescent="0.2">
      <c r="A111" s="41"/>
      <c r="B111" s="41"/>
      <c r="C111" s="42" t="s">
        <v>162</v>
      </c>
      <c r="D111" s="41"/>
      <c r="E111" s="41"/>
      <c r="F111" s="51"/>
      <c r="G111" s="51"/>
      <c r="H111" s="40" t="s">
        <v>151</v>
      </c>
      <c r="J111" s="7"/>
    </row>
    <row r="112" spans="1:10" x14ac:dyDescent="0.2">
      <c r="A112" s="41"/>
      <c r="B112" s="41"/>
      <c r="C112" s="42" t="s">
        <v>150</v>
      </c>
      <c r="D112" s="41"/>
      <c r="E112" s="41" t="s">
        <v>151</v>
      </c>
      <c r="F112" s="52" t="s">
        <v>153</v>
      </c>
      <c r="G112" s="49">
        <v>0</v>
      </c>
      <c r="H112" s="40" t="s">
        <v>151</v>
      </c>
      <c r="J112" s="7"/>
    </row>
    <row r="113" spans="1:10" x14ac:dyDescent="0.2">
      <c r="A113" s="41"/>
      <c r="B113" s="41"/>
      <c r="C113" s="50"/>
      <c r="D113" s="41"/>
      <c r="E113" s="41"/>
      <c r="F113" s="51"/>
      <c r="G113" s="51"/>
      <c r="H113" s="40" t="s">
        <v>151</v>
      </c>
      <c r="J113" s="7"/>
    </row>
    <row r="114" spans="1:10" x14ac:dyDescent="0.2">
      <c r="A114" s="41"/>
      <c r="B114" s="41"/>
      <c r="C114" s="42" t="s">
        <v>163</v>
      </c>
      <c r="D114" s="41"/>
      <c r="E114" s="41"/>
      <c r="F114" s="48">
        <v>0</v>
      </c>
      <c r="G114" s="49">
        <v>0</v>
      </c>
      <c r="H114" s="40" t="s">
        <v>151</v>
      </c>
      <c r="J114" s="7"/>
    </row>
    <row r="115" spans="1:10" x14ac:dyDescent="0.2">
      <c r="A115" s="41"/>
      <c r="B115" s="41"/>
      <c r="C115" s="50"/>
      <c r="D115" s="41"/>
      <c r="E115" s="41"/>
      <c r="F115" s="51"/>
      <c r="G115" s="51"/>
      <c r="H115" s="40" t="s">
        <v>151</v>
      </c>
      <c r="J115" s="7"/>
    </row>
    <row r="116" spans="1:10" x14ac:dyDescent="0.2">
      <c r="A116" s="41"/>
      <c r="B116" s="41"/>
      <c r="C116" s="42" t="s">
        <v>164</v>
      </c>
      <c r="D116" s="41"/>
      <c r="E116" s="41"/>
      <c r="F116" s="51"/>
      <c r="G116" s="51"/>
      <c r="H116" s="40" t="s">
        <v>151</v>
      </c>
      <c r="J116" s="7"/>
    </row>
    <row r="117" spans="1:10" x14ac:dyDescent="0.2">
      <c r="A117" s="41"/>
      <c r="B117" s="41"/>
      <c r="C117" s="42" t="s">
        <v>165</v>
      </c>
      <c r="D117" s="41"/>
      <c r="E117" s="41"/>
      <c r="F117" s="51"/>
      <c r="G117" s="51"/>
      <c r="H117" s="40" t="s">
        <v>151</v>
      </c>
      <c r="J117" s="7"/>
    </row>
    <row r="118" spans="1:10" x14ac:dyDescent="0.2">
      <c r="A118" s="41"/>
      <c r="B118" s="41"/>
      <c r="C118" s="42" t="s">
        <v>150</v>
      </c>
      <c r="D118" s="41"/>
      <c r="E118" s="41" t="s">
        <v>151</v>
      </c>
      <c r="F118" s="52" t="s">
        <v>153</v>
      </c>
      <c r="G118" s="49">
        <v>0</v>
      </c>
      <c r="H118" s="40" t="s">
        <v>151</v>
      </c>
      <c r="J118" s="7"/>
    </row>
    <row r="119" spans="1:10" x14ac:dyDescent="0.2">
      <c r="A119" s="41"/>
      <c r="B119" s="41"/>
      <c r="C119" s="50"/>
      <c r="D119" s="41"/>
      <c r="E119" s="41"/>
      <c r="F119" s="51"/>
      <c r="G119" s="51"/>
      <c r="H119" s="40" t="s">
        <v>151</v>
      </c>
      <c r="J119" s="7"/>
    </row>
    <row r="120" spans="1:10" x14ac:dyDescent="0.2">
      <c r="A120" s="41"/>
      <c r="B120" s="41"/>
      <c r="C120" s="42" t="s">
        <v>166</v>
      </c>
      <c r="D120" s="41"/>
      <c r="E120" s="41"/>
      <c r="F120" s="51"/>
      <c r="G120" s="51"/>
      <c r="H120" s="40" t="s">
        <v>151</v>
      </c>
      <c r="J120" s="7"/>
    </row>
    <row r="121" spans="1:10" x14ac:dyDescent="0.2">
      <c r="A121" s="41"/>
      <c r="B121" s="41"/>
      <c r="C121" s="42" t="s">
        <v>150</v>
      </c>
      <c r="D121" s="41"/>
      <c r="E121" s="41" t="s">
        <v>151</v>
      </c>
      <c r="F121" s="52" t="s">
        <v>153</v>
      </c>
      <c r="G121" s="49">
        <v>0</v>
      </c>
      <c r="H121" s="40" t="s">
        <v>151</v>
      </c>
      <c r="J121" s="7"/>
    </row>
    <row r="122" spans="1:10" x14ac:dyDescent="0.2">
      <c r="A122" s="41"/>
      <c r="B122" s="41"/>
      <c r="C122" s="50"/>
      <c r="D122" s="41"/>
      <c r="E122" s="41"/>
      <c r="F122" s="51"/>
      <c r="G122" s="51"/>
      <c r="H122" s="40" t="s">
        <v>151</v>
      </c>
      <c r="J122" s="7"/>
    </row>
    <row r="123" spans="1:10" x14ac:dyDescent="0.2">
      <c r="A123" s="41"/>
      <c r="B123" s="41"/>
      <c r="C123" s="42" t="s">
        <v>167</v>
      </c>
      <c r="D123" s="41"/>
      <c r="E123" s="41"/>
      <c r="F123" s="51"/>
      <c r="G123" s="51"/>
      <c r="H123" s="40" t="s">
        <v>151</v>
      </c>
      <c r="J123" s="7"/>
    </row>
    <row r="124" spans="1:10" x14ac:dyDescent="0.2">
      <c r="A124" s="41"/>
      <c r="B124" s="41"/>
      <c r="C124" s="42" t="s">
        <v>150</v>
      </c>
      <c r="D124" s="41"/>
      <c r="E124" s="41" t="s">
        <v>151</v>
      </c>
      <c r="F124" s="52" t="s">
        <v>153</v>
      </c>
      <c r="G124" s="49">
        <v>0</v>
      </c>
      <c r="H124" s="40" t="s">
        <v>151</v>
      </c>
      <c r="J124" s="7"/>
    </row>
    <row r="125" spans="1:10" x14ac:dyDescent="0.2">
      <c r="A125" s="41"/>
      <c r="B125" s="41"/>
      <c r="C125" s="50"/>
      <c r="D125" s="41"/>
      <c r="E125" s="41"/>
      <c r="F125" s="51"/>
      <c r="G125" s="51"/>
      <c r="H125" s="40" t="s">
        <v>151</v>
      </c>
      <c r="J125" s="7"/>
    </row>
    <row r="126" spans="1:10" x14ac:dyDescent="0.2">
      <c r="A126" s="41"/>
      <c r="B126" s="41"/>
      <c r="C126" s="42" t="s">
        <v>168</v>
      </c>
      <c r="D126" s="41"/>
      <c r="E126" s="41"/>
      <c r="F126" s="51"/>
      <c r="G126" s="51"/>
      <c r="H126" s="40" t="s">
        <v>151</v>
      </c>
      <c r="J126" s="7"/>
    </row>
    <row r="127" spans="1:10" x14ac:dyDescent="0.2">
      <c r="A127" s="43">
        <v>1</v>
      </c>
      <c r="B127" s="44"/>
      <c r="C127" s="44" t="s">
        <v>169</v>
      </c>
      <c r="D127" s="44"/>
      <c r="E127" s="54"/>
      <c r="F127" s="46">
        <v>4592.5607589880001</v>
      </c>
      <c r="G127" s="47">
        <v>3.2929880000000002E-2</v>
      </c>
      <c r="H127" s="40">
        <v>6.39</v>
      </c>
      <c r="J127" s="7"/>
    </row>
    <row r="128" spans="1:10" x14ac:dyDescent="0.2">
      <c r="A128" s="41"/>
      <c r="B128" s="41"/>
      <c r="C128" s="42" t="s">
        <v>150</v>
      </c>
      <c r="D128" s="41"/>
      <c r="E128" s="41" t="s">
        <v>151</v>
      </c>
      <c r="F128" s="48">
        <v>4592.5607589880001</v>
      </c>
      <c r="G128" s="49">
        <v>3.2929880000000002E-2</v>
      </c>
      <c r="H128" s="40" t="s">
        <v>151</v>
      </c>
      <c r="J128" s="7"/>
    </row>
    <row r="129" spans="1:10" x14ac:dyDescent="0.2">
      <c r="A129" s="41"/>
      <c r="B129" s="41"/>
      <c r="C129" s="50"/>
      <c r="D129" s="41"/>
      <c r="E129" s="41"/>
      <c r="F129" s="51"/>
      <c r="G129" s="51"/>
      <c r="H129" s="40" t="s">
        <v>151</v>
      </c>
      <c r="J129" s="7"/>
    </row>
    <row r="130" spans="1:10" x14ac:dyDescent="0.2">
      <c r="A130" s="41"/>
      <c r="B130" s="41"/>
      <c r="C130" s="42" t="s">
        <v>170</v>
      </c>
      <c r="D130" s="41"/>
      <c r="E130" s="41"/>
      <c r="F130" s="48">
        <v>4592.5607589880001</v>
      </c>
      <c r="G130" s="49">
        <v>3.2929880000000002E-2</v>
      </c>
      <c r="H130" s="40" t="s">
        <v>151</v>
      </c>
      <c r="J130" s="7"/>
    </row>
    <row r="131" spans="1:10" x14ac:dyDescent="0.2">
      <c r="A131" s="41"/>
      <c r="B131" s="41"/>
      <c r="C131" s="51"/>
      <c r="D131" s="41"/>
      <c r="E131" s="41"/>
      <c r="F131" s="41"/>
      <c r="G131" s="41"/>
      <c r="H131" s="40" t="s">
        <v>151</v>
      </c>
      <c r="J131" s="7"/>
    </row>
    <row r="132" spans="1:10" x14ac:dyDescent="0.2">
      <c r="A132" s="41"/>
      <c r="B132" s="41"/>
      <c r="C132" s="42" t="s">
        <v>171</v>
      </c>
      <c r="D132" s="41"/>
      <c r="E132" s="41"/>
      <c r="F132" s="41"/>
      <c r="G132" s="41"/>
      <c r="H132" s="40" t="s">
        <v>151</v>
      </c>
      <c r="J132" s="7"/>
    </row>
    <row r="133" spans="1:10" x14ac:dyDescent="0.2">
      <c r="A133" s="41"/>
      <c r="B133" s="41"/>
      <c r="C133" s="42" t="s">
        <v>172</v>
      </c>
      <c r="D133" s="41"/>
      <c r="E133" s="41"/>
      <c r="F133" s="41"/>
      <c r="G133" s="41"/>
      <c r="H133" s="40" t="s">
        <v>151</v>
      </c>
      <c r="J133" s="7"/>
    </row>
    <row r="134" spans="1:10" x14ac:dyDescent="0.2">
      <c r="A134" s="41"/>
      <c r="B134" s="41"/>
      <c r="C134" s="42" t="s">
        <v>150</v>
      </c>
      <c r="D134" s="41"/>
      <c r="E134" s="41" t="s">
        <v>151</v>
      </c>
      <c r="F134" s="52" t="s">
        <v>153</v>
      </c>
      <c r="G134" s="49">
        <v>0</v>
      </c>
      <c r="H134" s="40" t="s">
        <v>151</v>
      </c>
      <c r="J134" s="7"/>
    </row>
    <row r="135" spans="1:10" x14ac:dyDescent="0.2">
      <c r="A135" s="41"/>
      <c r="B135" s="41"/>
      <c r="C135" s="50"/>
      <c r="D135" s="41"/>
      <c r="E135" s="41"/>
      <c r="F135" s="51"/>
      <c r="G135" s="51"/>
      <c r="H135" s="40" t="s">
        <v>151</v>
      </c>
      <c r="J135" s="7"/>
    </row>
    <row r="136" spans="1:10" x14ac:dyDescent="0.2">
      <c r="A136" s="41"/>
      <c r="B136" s="41"/>
      <c r="C136" s="42" t="s">
        <v>173</v>
      </c>
      <c r="D136" s="41"/>
      <c r="E136" s="41"/>
      <c r="F136" s="41"/>
      <c r="G136" s="41"/>
      <c r="H136" s="40" t="s">
        <v>151</v>
      </c>
      <c r="J136" s="7"/>
    </row>
    <row r="137" spans="1:10" x14ac:dyDescent="0.2">
      <c r="A137" s="41"/>
      <c r="B137" s="41"/>
      <c r="C137" s="42" t="s">
        <v>174</v>
      </c>
      <c r="D137" s="41"/>
      <c r="E137" s="41"/>
      <c r="F137" s="41"/>
      <c r="G137" s="41"/>
      <c r="H137" s="40" t="s">
        <v>151</v>
      </c>
      <c r="J137" s="7"/>
    </row>
    <row r="138" spans="1:10" x14ac:dyDescent="0.2">
      <c r="A138" s="41"/>
      <c r="B138" s="41"/>
      <c r="C138" s="42" t="s">
        <v>150</v>
      </c>
      <c r="D138" s="41"/>
      <c r="E138" s="41" t="s">
        <v>151</v>
      </c>
      <c r="F138" s="52" t="s">
        <v>153</v>
      </c>
      <c r="G138" s="49">
        <v>0</v>
      </c>
      <c r="H138" s="40" t="s">
        <v>151</v>
      </c>
      <c r="J138" s="7"/>
    </row>
    <row r="139" spans="1:10" x14ac:dyDescent="0.2">
      <c r="A139" s="41"/>
      <c r="B139" s="41"/>
      <c r="C139" s="50"/>
      <c r="D139" s="41"/>
      <c r="E139" s="41"/>
      <c r="F139" s="51"/>
      <c r="G139" s="51"/>
      <c r="H139" s="40" t="s">
        <v>151</v>
      </c>
      <c r="J139" s="7"/>
    </row>
    <row r="140" spans="1:10" x14ac:dyDescent="0.2">
      <c r="A140" s="41"/>
      <c r="B140" s="41"/>
      <c r="C140" s="42" t="s">
        <v>175</v>
      </c>
      <c r="D140" s="41"/>
      <c r="E140" s="41"/>
      <c r="F140" s="51"/>
      <c r="G140" s="51"/>
      <c r="H140" s="40" t="s">
        <v>151</v>
      </c>
      <c r="J140" s="7"/>
    </row>
    <row r="141" spans="1:10" x14ac:dyDescent="0.2">
      <c r="A141" s="41"/>
      <c r="B141" s="41"/>
      <c r="C141" s="42" t="s">
        <v>150</v>
      </c>
      <c r="D141" s="41"/>
      <c r="E141" s="41" t="s">
        <v>151</v>
      </c>
      <c r="F141" s="52" t="s">
        <v>153</v>
      </c>
      <c r="G141" s="49">
        <v>0</v>
      </c>
      <c r="H141" s="40" t="s">
        <v>151</v>
      </c>
      <c r="J141" s="7"/>
    </row>
    <row r="142" spans="1:10" x14ac:dyDescent="0.2">
      <c r="A142" s="41"/>
      <c r="B142" s="41"/>
      <c r="C142" s="50"/>
      <c r="D142" s="41"/>
      <c r="E142" s="41"/>
      <c r="F142" s="51"/>
      <c r="G142" s="51"/>
      <c r="H142" s="40" t="s">
        <v>151</v>
      </c>
      <c r="J142" s="7"/>
    </row>
    <row r="143" spans="1:10" x14ac:dyDescent="0.2">
      <c r="A143" s="54"/>
      <c r="B143" s="44"/>
      <c r="C143" s="44" t="s">
        <v>176</v>
      </c>
      <c r="D143" s="44"/>
      <c r="E143" s="54"/>
      <c r="F143" s="46">
        <v>-228.08509343</v>
      </c>
      <c r="G143" s="47">
        <v>-1.63543E-3</v>
      </c>
      <c r="H143" s="40" t="s">
        <v>151</v>
      </c>
      <c r="J143" s="7"/>
    </row>
    <row r="144" spans="1:10" x14ac:dyDescent="0.2">
      <c r="A144" s="50"/>
      <c r="B144" s="50"/>
      <c r="C144" s="42" t="s">
        <v>177</v>
      </c>
      <c r="D144" s="51"/>
      <c r="E144" s="51"/>
      <c r="F144" s="48">
        <v>139464.861412358</v>
      </c>
      <c r="G144" s="55">
        <v>1.0000000099999999</v>
      </c>
      <c r="H144" s="40" t="s">
        <v>151</v>
      </c>
      <c r="J144" s="7"/>
    </row>
    <row r="145" spans="1:17" x14ac:dyDescent="0.2">
      <c r="A145" s="56"/>
      <c r="B145" s="56"/>
      <c r="C145" s="56"/>
      <c r="D145" s="57"/>
      <c r="E145" s="57"/>
      <c r="F145" s="57"/>
      <c r="G145" s="57"/>
      <c r="J145" s="7"/>
    </row>
    <row r="146" spans="1:17" ht="12.75" customHeight="1" x14ac:dyDescent="0.2">
      <c r="A146" s="58"/>
      <c r="B146" s="159" t="s">
        <v>923</v>
      </c>
      <c r="C146" s="159"/>
      <c r="D146" s="159"/>
      <c r="E146" s="159"/>
      <c r="F146" s="159"/>
      <c r="G146" s="159"/>
      <c r="H146" s="159"/>
      <c r="J146" s="7"/>
    </row>
    <row r="147" spans="1:17" ht="14.1" customHeight="1" x14ac:dyDescent="0.2">
      <c r="A147" s="58"/>
      <c r="B147" s="159" t="s">
        <v>924</v>
      </c>
      <c r="C147" s="159"/>
      <c r="D147" s="159"/>
      <c r="E147" s="159"/>
      <c r="F147" s="159"/>
      <c r="G147" s="159"/>
      <c r="H147" s="159"/>
      <c r="J147" s="7"/>
    </row>
    <row r="148" spans="1:17" ht="17.100000000000001" customHeight="1" x14ac:dyDescent="0.2">
      <c r="A148" s="58"/>
      <c r="B148" s="159" t="s">
        <v>925</v>
      </c>
      <c r="C148" s="159"/>
      <c r="D148" s="159"/>
      <c r="E148" s="159"/>
      <c r="F148" s="159"/>
      <c r="G148" s="159"/>
      <c r="H148" s="159"/>
      <c r="J148" s="7"/>
    </row>
    <row r="149" spans="1:17" s="8" customFormat="1" ht="65.25" customHeight="1" x14ac:dyDescent="0.25">
      <c r="A149" s="60"/>
      <c r="B149" s="160" t="s">
        <v>926</v>
      </c>
      <c r="C149" s="160"/>
      <c r="D149" s="160"/>
      <c r="E149" s="160"/>
      <c r="F149" s="160"/>
      <c r="G149" s="160"/>
      <c r="H149" s="160"/>
      <c r="I149"/>
      <c r="J149" s="7"/>
      <c r="K149"/>
      <c r="L149"/>
      <c r="M149"/>
      <c r="N149"/>
      <c r="O149"/>
      <c r="P149"/>
      <c r="Q149"/>
    </row>
    <row r="150" spans="1:17" ht="12.75" customHeight="1" x14ac:dyDescent="0.2">
      <c r="A150" s="58"/>
      <c r="B150" s="159" t="s">
        <v>927</v>
      </c>
      <c r="C150" s="159"/>
      <c r="D150" s="159"/>
      <c r="E150" s="159"/>
      <c r="F150" s="159"/>
      <c r="G150" s="159"/>
      <c r="H150" s="159"/>
      <c r="J150" s="7"/>
    </row>
    <row r="151" spans="1:17" x14ac:dyDescent="0.2">
      <c r="A151" s="61"/>
      <c r="B151" s="61"/>
      <c r="C151" s="61"/>
      <c r="D151" s="62"/>
      <c r="E151" s="62"/>
      <c r="F151" s="62"/>
      <c r="G151" s="62"/>
      <c r="J151" s="7"/>
    </row>
    <row r="152" spans="1:17" x14ac:dyDescent="0.2">
      <c r="A152" s="61"/>
      <c r="B152" s="161" t="s">
        <v>178</v>
      </c>
      <c r="C152" s="162"/>
      <c r="D152" s="163"/>
      <c r="E152" s="63"/>
      <c r="F152" s="62"/>
      <c r="G152" s="62"/>
      <c r="J152" s="7"/>
    </row>
    <row r="153" spans="1:17" ht="25.5" customHeight="1" x14ac:dyDescent="0.2">
      <c r="A153" s="58"/>
      <c r="B153" s="164" t="s">
        <v>179</v>
      </c>
      <c r="C153" s="165"/>
      <c r="D153" s="64" t="s">
        <v>997</v>
      </c>
      <c r="E153" s="65"/>
      <c r="F153" s="66"/>
      <c r="G153" s="66"/>
      <c r="J153" s="7"/>
    </row>
    <row r="154" spans="1:17" ht="17.100000000000001" customHeight="1" x14ac:dyDescent="0.2">
      <c r="A154" s="58"/>
      <c r="B154" s="164" t="s">
        <v>1012</v>
      </c>
      <c r="C154" s="165"/>
      <c r="D154" s="134" t="str">
        <f>"Rs. "&amp;TEXT(F88,"0.00")&amp;" lacs / 0.01%"</f>
        <v>Rs. 16.04 lacs / 0.01%</v>
      </c>
      <c r="E154" s="65"/>
      <c r="F154" s="66"/>
      <c r="G154" s="66"/>
      <c r="J154" s="7"/>
    </row>
    <row r="155" spans="1:17" x14ac:dyDescent="0.2">
      <c r="A155" s="61"/>
      <c r="B155" s="156" t="s">
        <v>182</v>
      </c>
      <c r="C155" s="157"/>
      <c r="D155" s="51" t="s">
        <v>151</v>
      </c>
      <c r="E155" s="63"/>
      <c r="F155" s="62"/>
      <c r="G155" s="62"/>
      <c r="J155" s="7"/>
    </row>
    <row r="156" spans="1:17" x14ac:dyDescent="0.2">
      <c r="A156" s="67"/>
      <c r="B156" s="68" t="s">
        <v>151</v>
      </c>
      <c r="C156" s="68" t="s">
        <v>937</v>
      </c>
      <c r="D156" s="68" t="s">
        <v>183</v>
      </c>
      <c r="E156" s="67"/>
      <c r="F156" s="67"/>
      <c r="G156" s="67"/>
      <c r="H156" s="67"/>
      <c r="J156" s="7"/>
    </row>
    <row r="157" spans="1:17" x14ac:dyDescent="0.2">
      <c r="A157" s="69"/>
      <c r="B157" s="70" t="s">
        <v>184</v>
      </c>
      <c r="C157" s="80" t="s">
        <v>185</v>
      </c>
      <c r="D157" s="80" t="s">
        <v>186</v>
      </c>
      <c r="E157" s="69"/>
      <c r="F157" s="69"/>
      <c r="G157" s="69"/>
      <c r="J157" s="7"/>
    </row>
    <row r="158" spans="1:17" x14ac:dyDescent="0.2">
      <c r="A158" s="69"/>
      <c r="B158" s="44" t="s">
        <v>187</v>
      </c>
      <c r="C158" s="72">
        <v>517.48310000000004</v>
      </c>
      <c r="D158" s="72">
        <v>534.89949999999999</v>
      </c>
      <c r="E158" s="69"/>
      <c r="F158" s="73"/>
      <c r="G158" s="74"/>
      <c r="J158" s="7"/>
    </row>
    <row r="159" spans="1:17" ht="25.5" x14ac:dyDescent="0.2">
      <c r="A159" s="69"/>
      <c r="B159" s="44" t="s">
        <v>1096</v>
      </c>
      <c r="C159" s="72">
        <v>516.96289999999999</v>
      </c>
      <c r="D159" s="72">
        <v>534.36090000000002</v>
      </c>
      <c r="E159" s="69"/>
      <c r="F159" s="73"/>
      <c r="G159" s="74"/>
      <c r="J159" s="7"/>
    </row>
    <row r="160" spans="1:17" x14ac:dyDescent="0.2">
      <c r="A160" s="69"/>
      <c r="B160" s="44" t="s">
        <v>188</v>
      </c>
      <c r="C160" s="72">
        <v>486.7869</v>
      </c>
      <c r="D160" s="72">
        <v>502.93799999999999</v>
      </c>
      <c r="E160" s="69"/>
      <c r="F160" s="73"/>
      <c r="G160" s="74"/>
      <c r="J160" s="7"/>
    </row>
    <row r="161" spans="1:10" ht="25.5" x14ac:dyDescent="0.2">
      <c r="A161" s="69"/>
      <c r="B161" s="44" t="s">
        <v>1097</v>
      </c>
      <c r="C161" s="72">
        <v>421.07040000000001</v>
      </c>
      <c r="D161" s="72">
        <v>435.04050000000001</v>
      </c>
      <c r="E161" s="69"/>
      <c r="F161" s="73"/>
      <c r="G161" s="74"/>
      <c r="J161" s="7"/>
    </row>
    <row r="162" spans="1:10" x14ac:dyDescent="0.2">
      <c r="A162" s="69"/>
      <c r="B162" s="69"/>
      <c r="C162" s="69"/>
      <c r="D162" s="69"/>
      <c r="E162" s="69"/>
      <c r="F162" s="69"/>
      <c r="G162" s="69"/>
      <c r="J162" s="7"/>
    </row>
    <row r="163" spans="1:10" x14ac:dyDescent="0.2">
      <c r="A163" s="67"/>
      <c r="B163" s="164" t="s">
        <v>940</v>
      </c>
      <c r="C163" s="165"/>
      <c r="D163" s="64" t="s">
        <v>180</v>
      </c>
      <c r="E163" s="67"/>
      <c r="F163" s="67"/>
      <c r="G163" s="67"/>
      <c r="J163" s="7"/>
    </row>
    <row r="164" spans="1:10" x14ac:dyDescent="0.2">
      <c r="A164" s="67"/>
      <c r="B164" s="84"/>
      <c r="C164" s="84"/>
      <c r="D164" s="84"/>
      <c r="E164" s="67"/>
      <c r="F164" s="67"/>
      <c r="G164" s="67"/>
      <c r="J164" s="7"/>
    </row>
    <row r="165" spans="1:10" ht="29.1" customHeight="1" x14ac:dyDescent="0.2">
      <c r="A165" s="67"/>
      <c r="B165" s="164" t="s">
        <v>189</v>
      </c>
      <c r="C165" s="165"/>
      <c r="D165" s="64" t="s">
        <v>180</v>
      </c>
      <c r="E165" s="75"/>
      <c r="F165" s="67"/>
      <c r="G165" s="67"/>
      <c r="J165" s="7"/>
    </row>
    <row r="166" spans="1:10" ht="29.1" customHeight="1" x14ac:dyDescent="0.2">
      <c r="A166" s="67"/>
      <c r="B166" s="164" t="s">
        <v>190</v>
      </c>
      <c r="C166" s="165"/>
      <c r="D166" s="64" t="s">
        <v>180</v>
      </c>
      <c r="E166" s="75"/>
      <c r="F166" s="67"/>
      <c r="G166" s="67"/>
      <c r="J166" s="7"/>
    </row>
    <row r="167" spans="1:10" ht="17.100000000000001" customHeight="1" x14ac:dyDescent="0.2">
      <c r="A167" s="67"/>
      <c r="B167" s="164" t="s">
        <v>191</v>
      </c>
      <c r="C167" s="165"/>
      <c r="D167" s="64" t="s">
        <v>180</v>
      </c>
      <c r="E167" s="75"/>
      <c r="F167" s="67"/>
      <c r="G167" s="67"/>
      <c r="J167" s="7"/>
    </row>
    <row r="168" spans="1:10" ht="17.100000000000001" customHeight="1" x14ac:dyDescent="0.2">
      <c r="A168" s="67"/>
      <c r="B168" s="164" t="s">
        <v>192</v>
      </c>
      <c r="C168" s="165"/>
      <c r="D168" s="76">
        <v>0.23245985513803341</v>
      </c>
      <c r="E168" s="67"/>
      <c r="F168" s="59"/>
      <c r="G168" s="77"/>
      <c r="J168" s="7"/>
    </row>
    <row r="169" spans="1:10" x14ac:dyDescent="0.2">
      <c r="J169" s="7"/>
    </row>
    <row r="170" spans="1:10" ht="13.5" x14ac:dyDescent="0.25">
      <c r="B170" s="129" t="s">
        <v>1077</v>
      </c>
      <c r="C170" s="135"/>
      <c r="D170" s="135"/>
      <c r="E170" s="26"/>
      <c r="F170" s="27"/>
      <c r="J170" s="7"/>
    </row>
    <row r="171" spans="1:10" ht="67.5" x14ac:dyDescent="0.25">
      <c r="B171" s="136" t="s">
        <v>1016</v>
      </c>
      <c r="C171" s="136" t="s">
        <v>1017</v>
      </c>
      <c r="D171" s="136" t="s">
        <v>1018</v>
      </c>
      <c r="E171" s="136" t="s">
        <v>1019</v>
      </c>
      <c r="F171" s="136" t="s">
        <v>1020</v>
      </c>
      <c r="J171" s="7"/>
    </row>
    <row r="172" spans="1:10" ht="13.5" x14ac:dyDescent="0.2">
      <c r="B172" s="137" t="s">
        <v>1047</v>
      </c>
      <c r="C172" s="138" t="s">
        <v>1044</v>
      </c>
      <c r="D172" s="28">
        <v>0</v>
      </c>
      <c r="E172" s="29">
        <v>0</v>
      </c>
      <c r="F172" s="139">
        <v>0.54925000000000002</v>
      </c>
    </row>
  </sheetData>
  <mergeCells count="17">
    <mergeCell ref="B154:C154"/>
    <mergeCell ref="B155:C155"/>
    <mergeCell ref="B163:C163"/>
    <mergeCell ref="B167:C167"/>
    <mergeCell ref="B168:C168"/>
    <mergeCell ref="B165:C165"/>
    <mergeCell ref="B166:C166"/>
    <mergeCell ref="B153:C153"/>
    <mergeCell ref="A1:H1"/>
    <mergeCell ref="A2:H2"/>
    <mergeCell ref="A3:H3"/>
    <mergeCell ref="B146:H146"/>
    <mergeCell ref="B147:H147"/>
    <mergeCell ref="B148:H148"/>
    <mergeCell ref="B149:H149"/>
    <mergeCell ref="B150:H150"/>
    <mergeCell ref="B152:D152"/>
  </mergeCells>
  <hyperlinks>
    <hyperlink ref="I1" location="Index!B23" display="Index" xr:uid="{7A12A152-14C1-41AC-B521-F405387DECC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E4156-FC4C-4C4F-842E-52B876365E05}">
  <sheetPr>
    <outlinePr summaryBelow="0" summaryRight="0"/>
  </sheetPr>
  <dimension ref="A1:Q12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 bestFit="1" customWidth="1"/>
    <col min="5" max="5" width="8.7109375" bestFit="1" customWidth="1"/>
    <col min="6" max="6" width="10.140625" bestFit="1" customWidth="1"/>
    <col min="7" max="7" width="9.28515625" customWidth="1"/>
    <col min="8" max="8" width="8.4257812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833</v>
      </c>
      <c r="B2" s="158"/>
      <c r="C2" s="158"/>
      <c r="D2" s="158"/>
      <c r="E2" s="158"/>
      <c r="F2" s="158"/>
      <c r="G2" s="158"/>
      <c r="H2" s="158"/>
      <c r="J2" s="11" t="s">
        <v>942</v>
      </c>
    </row>
    <row r="3" spans="1:10" ht="15" x14ac:dyDescent="0.2">
      <c r="A3" s="158" t="s">
        <v>880</v>
      </c>
      <c r="B3" s="158"/>
      <c r="C3" s="158"/>
      <c r="D3" s="158"/>
      <c r="E3" s="158"/>
      <c r="F3" s="158"/>
      <c r="G3" s="158"/>
      <c r="H3" s="158"/>
      <c r="J3" s="7"/>
    </row>
    <row r="4" spans="1:10" s="1" customFormat="1" ht="30"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364</v>
      </c>
      <c r="C7" s="44" t="s">
        <v>365</v>
      </c>
      <c r="D7" s="44" t="s">
        <v>366</v>
      </c>
      <c r="E7" s="45">
        <v>2991251</v>
      </c>
      <c r="F7" s="46">
        <v>14817.1618285</v>
      </c>
      <c r="G7" s="47">
        <v>9.3635889999999999E-2</v>
      </c>
      <c r="H7" s="40" t="s">
        <v>151</v>
      </c>
      <c r="J7" s="7"/>
    </row>
    <row r="8" spans="1:10" x14ac:dyDescent="0.2">
      <c r="A8" s="43">
        <v>2</v>
      </c>
      <c r="B8" s="44" t="s">
        <v>17</v>
      </c>
      <c r="C8" s="44" t="s">
        <v>18</v>
      </c>
      <c r="D8" s="44" t="s">
        <v>19</v>
      </c>
      <c r="E8" s="45">
        <v>987983</v>
      </c>
      <c r="F8" s="46">
        <v>14736.260436500001</v>
      </c>
      <c r="G8" s="47">
        <v>9.3124639999999995E-2</v>
      </c>
      <c r="H8" s="40" t="s">
        <v>151</v>
      </c>
      <c r="J8" s="7"/>
    </row>
    <row r="9" spans="1:10" x14ac:dyDescent="0.2">
      <c r="A9" s="43">
        <v>3</v>
      </c>
      <c r="B9" s="44" t="s">
        <v>194</v>
      </c>
      <c r="C9" s="44" t="s">
        <v>195</v>
      </c>
      <c r="D9" s="44" t="s">
        <v>100</v>
      </c>
      <c r="E9" s="45">
        <v>2304592</v>
      </c>
      <c r="F9" s="46">
        <v>13352.806048</v>
      </c>
      <c r="G9" s="47">
        <v>8.4382009999999993E-2</v>
      </c>
      <c r="H9" s="40" t="s">
        <v>151</v>
      </c>
      <c r="J9" s="7"/>
    </row>
    <row r="10" spans="1:10" x14ac:dyDescent="0.2">
      <c r="A10" s="43">
        <v>4</v>
      </c>
      <c r="B10" s="44" t="s">
        <v>554</v>
      </c>
      <c r="C10" s="44" t="s">
        <v>555</v>
      </c>
      <c r="D10" s="44" t="s">
        <v>282</v>
      </c>
      <c r="E10" s="45">
        <v>407736</v>
      </c>
      <c r="F10" s="46">
        <v>11856.147408000001</v>
      </c>
      <c r="G10" s="47">
        <v>7.4924000000000004E-2</v>
      </c>
      <c r="H10" s="40" t="s">
        <v>151</v>
      </c>
      <c r="J10" s="7"/>
    </row>
    <row r="11" spans="1:10" x14ac:dyDescent="0.2">
      <c r="A11" s="43">
        <v>5</v>
      </c>
      <c r="B11" s="44" t="s">
        <v>378</v>
      </c>
      <c r="C11" s="44" t="s">
        <v>379</v>
      </c>
      <c r="D11" s="44" t="s">
        <v>366</v>
      </c>
      <c r="E11" s="45">
        <v>350212</v>
      </c>
      <c r="F11" s="46">
        <v>9475.5109780000003</v>
      </c>
      <c r="G11" s="47">
        <v>5.9879750000000002E-2</v>
      </c>
      <c r="H11" s="40" t="s">
        <v>151</v>
      </c>
      <c r="J11" s="7"/>
    </row>
    <row r="12" spans="1:10" ht="15" x14ac:dyDescent="0.2">
      <c r="A12" s="43">
        <v>6</v>
      </c>
      <c r="B12" s="44" t="s">
        <v>397</v>
      </c>
      <c r="C12" s="44" t="s">
        <v>398</v>
      </c>
      <c r="D12" s="44" t="s">
        <v>100</v>
      </c>
      <c r="E12" s="45">
        <v>255389</v>
      </c>
      <c r="F12" s="46">
        <v>8833.7778154999996</v>
      </c>
      <c r="G12" s="47">
        <v>5.5824369999999998E-2</v>
      </c>
      <c r="H12" s="40" t="s">
        <v>151</v>
      </c>
      <c r="J12" s="12"/>
    </row>
    <row r="13" spans="1:10" x14ac:dyDescent="0.2">
      <c r="A13" s="43">
        <v>7</v>
      </c>
      <c r="B13" s="44" t="s">
        <v>552</v>
      </c>
      <c r="C13" s="44" t="s">
        <v>553</v>
      </c>
      <c r="D13" s="44" t="s">
        <v>268</v>
      </c>
      <c r="E13" s="45">
        <v>480998</v>
      </c>
      <c r="F13" s="46">
        <v>6797.9447339999997</v>
      </c>
      <c r="G13" s="47">
        <v>4.2959079999999997E-2</v>
      </c>
      <c r="H13" s="40" t="s">
        <v>151</v>
      </c>
      <c r="J13" s="7"/>
    </row>
    <row r="14" spans="1:10" x14ac:dyDescent="0.2">
      <c r="A14" s="43">
        <v>8</v>
      </c>
      <c r="B14" s="44" t="s">
        <v>560</v>
      </c>
      <c r="C14" s="44" t="s">
        <v>561</v>
      </c>
      <c r="D14" s="44" t="s">
        <v>282</v>
      </c>
      <c r="E14" s="45">
        <v>49344</v>
      </c>
      <c r="F14" s="46">
        <v>6471.8603519999997</v>
      </c>
      <c r="G14" s="47">
        <v>4.0898410000000003E-2</v>
      </c>
      <c r="H14" s="40" t="s">
        <v>151</v>
      </c>
      <c r="J14" s="7"/>
    </row>
    <row r="15" spans="1:10" x14ac:dyDescent="0.2">
      <c r="A15" s="43">
        <v>9</v>
      </c>
      <c r="B15" s="44" t="s">
        <v>501</v>
      </c>
      <c r="C15" s="44" t="s">
        <v>502</v>
      </c>
      <c r="D15" s="44" t="s">
        <v>503</v>
      </c>
      <c r="E15" s="45">
        <v>766731</v>
      </c>
      <c r="F15" s="46">
        <v>6263.8089044999997</v>
      </c>
      <c r="G15" s="47">
        <v>3.9583649999999998E-2</v>
      </c>
      <c r="H15" s="40" t="s">
        <v>151</v>
      </c>
      <c r="J15" s="7"/>
    </row>
    <row r="16" spans="1:10" x14ac:dyDescent="0.2">
      <c r="A16" s="43">
        <v>10</v>
      </c>
      <c r="B16" s="44" t="s">
        <v>407</v>
      </c>
      <c r="C16" s="44" t="s">
        <v>408</v>
      </c>
      <c r="D16" s="44" t="s">
        <v>100</v>
      </c>
      <c r="E16" s="45">
        <v>246492</v>
      </c>
      <c r="F16" s="46">
        <v>5104.8493200000003</v>
      </c>
      <c r="G16" s="47">
        <v>3.2259700000000002E-2</v>
      </c>
      <c r="H16" s="40" t="s">
        <v>151</v>
      </c>
      <c r="J16" s="7"/>
    </row>
    <row r="17" spans="1:10" x14ac:dyDescent="0.2">
      <c r="A17" s="43">
        <v>11</v>
      </c>
      <c r="B17" s="44" t="s">
        <v>796</v>
      </c>
      <c r="C17" s="44" t="s">
        <v>797</v>
      </c>
      <c r="D17" s="44" t="s">
        <v>222</v>
      </c>
      <c r="E17" s="45">
        <v>68048</v>
      </c>
      <c r="F17" s="46">
        <v>4501.5793439999998</v>
      </c>
      <c r="G17" s="47">
        <v>2.8447380000000001E-2</v>
      </c>
      <c r="H17" s="40" t="s">
        <v>151</v>
      </c>
      <c r="J17" s="7"/>
    </row>
    <row r="18" spans="1:10" x14ac:dyDescent="0.2">
      <c r="A18" s="43">
        <v>12</v>
      </c>
      <c r="B18" s="44" t="s">
        <v>720</v>
      </c>
      <c r="C18" s="44" t="s">
        <v>721</v>
      </c>
      <c r="D18" s="44" t="s">
        <v>277</v>
      </c>
      <c r="E18" s="45">
        <v>169170</v>
      </c>
      <c r="F18" s="46">
        <v>4155.407295</v>
      </c>
      <c r="G18" s="47">
        <v>2.6259770000000002E-2</v>
      </c>
      <c r="H18" s="40" t="s">
        <v>151</v>
      </c>
      <c r="J18" s="7"/>
    </row>
    <row r="19" spans="1:10" x14ac:dyDescent="0.2">
      <c r="A19" s="43">
        <v>13</v>
      </c>
      <c r="B19" s="44" t="s">
        <v>780</v>
      </c>
      <c r="C19" s="44" t="s">
        <v>781</v>
      </c>
      <c r="D19" s="44" t="s">
        <v>86</v>
      </c>
      <c r="E19" s="45">
        <v>42124</v>
      </c>
      <c r="F19" s="46">
        <v>4052.1181799999999</v>
      </c>
      <c r="G19" s="47">
        <v>2.5607040000000001E-2</v>
      </c>
      <c r="H19" s="40" t="s">
        <v>151</v>
      </c>
      <c r="J19" s="7" t="s">
        <v>1069</v>
      </c>
    </row>
    <row r="20" spans="1:10" x14ac:dyDescent="0.2">
      <c r="A20" s="43">
        <v>14</v>
      </c>
      <c r="B20" s="44" t="s">
        <v>351</v>
      </c>
      <c r="C20" s="44" t="s">
        <v>352</v>
      </c>
      <c r="D20" s="44" t="s">
        <v>268</v>
      </c>
      <c r="E20" s="45">
        <v>237937</v>
      </c>
      <c r="F20" s="46">
        <v>3753.2182379999999</v>
      </c>
      <c r="G20" s="47">
        <v>2.371817E-2</v>
      </c>
      <c r="H20" s="40" t="s">
        <v>151</v>
      </c>
      <c r="J20" s="7"/>
    </row>
    <row r="21" spans="1:10" x14ac:dyDescent="0.2">
      <c r="A21" s="43">
        <v>15</v>
      </c>
      <c r="B21" s="44" t="s">
        <v>59</v>
      </c>
      <c r="C21" s="44" t="s">
        <v>60</v>
      </c>
      <c r="D21" s="44" t="s">
        <v>61</v>
      </c>
      <c r="E21" s="45">
        <v>262525</v>
      </c>
      <c r="F21" s="46">
        <v>3301.7769250000001</v>
      </c>
      <c r="G21" s="47">
        <v>2.086532E-2</v>
      </c>
      <c r="H21" s="40" t="s">
        <v>151</v>
      </c>
      <c r="J21" s="7"/>
    </row>
    <row r="22" spans="1:10" ht="15" x14ac:dyDescent="0.2">
      <c r="A22" s="43">
        <v>16</v>
      </c>
      <c r="B22" s="44" t="s">
        <v>834</v>
      </c>
      <c r="C22" s="44" t="s">
        <v>835</v>
      </c>
      <c r="D22" s="44" t="s">
        <v>202</v>
      </c>
      <c r="E22" s="45">
        <v>1419211</v>
      </c>
      <c r="F22" s="46">
        <v>3116.8711982</v>
      </c>
      <c r="G22" s="47">
        <v>1.969682E-2</v>
      </c>
      <c r="H22" s="40" t="s">
        <v>151</v>
      </c>
      <c r="J22" s="12"/>
    </row>
    <row r="23" spans="1:10" x14ac:dyDescent="0.2">
      <c r="A23" s="43">
        <v>17</v>
      </c>
      <c r="B23" s="44" t="s">
        <v>254</v>
      </c>
      <c r="C23" s="44" t="s">
        <v>255</v>
      </c>
      <c r="D23" s="44" t="s">
        <v>202</v>
      </c>
      <c r="E23" s="45">
        <v>43401</v>
      </c>
      <c r="F23" s="46">
        <v>3049.8967725000002</v>
      </c>
      <c r="G23" s="47">
        <v>1.9273579999999998E-2</v>
      </c>
      <c r="H23" s="40" t="s">
        <v>151</v>
      </c>
      <c r="J23" s="7"/>
    </row>
    <row r="24" spans="1:10" x14ac:dyDescent="0.2">
      <c r="A24" s="43">
        <v>18</v>
      </c>
      <c r="B24" s="44" t="s">
        <v>716</v>
      </c>
      <c r="C24" s="44" t="s">
        <v>717</v>
      </c>
      <c r="D24" s="44" t="s">
        <v>277</v>
      </c>
      <c r="E24" s="45">
        <v>51578</v>
      </c>
      <c r="F24" s="46">
        <v>2983.5036209999998</v>
      </c>
      <c r="G24" s="47">
        <v>1.8854019999999999E-2</v>
      </c>
      <c r="H24" s="40" t="s">
        <v>151</v>
      </c>
      <c r="J24" s="7"/>
    </row>
    <row r="25" spans="1:10" x14ac:dyDescent="0.2">
      <c r="A25" s="43">
        <v>19</v>
      </c>
      <c r="B25" s="44" t="s">
        <v>345</v>
      </c>
      <c r="C25" s="44" t="s">
        <v>346</v>
      </c>
      <c r="D25" s="44" t="s">
        <v>202</v>
      </c>
      <c r="E25" s="45">
        <v>1251943</v>
      </c>
      <c r="F25" s="46">
        <v>2872.5832135000001</v>
      </c>
      <c r="G25" s="47">
        <v>1.815307E-2</v>
      </c>
      <c r="H25" s="40" t="s">
        <v>151</v>
      </c>
      <c r="J25" s="7"/>
    </row>
    <row r="26" spans="1:10" x14ac:dyDescent="0.2">
      <c r="A26" s="43">
        <v>20</v>
      </c>
      <c r="B26" s="44" t="s">
        <v>747</v>
      </c>
      <c r="C26" s="44" t="s">
        <v>748</v>
      </c>
      <c r="D26" s="44" t="s">
        <v>100</v>
      </c>
      <c r="E26" s="45">
        <v>83527</v>
      </c>
      <c r="F26" s="46">
        <v>2576.3485515000002</v>
      </c>
      <c r="G26" s="47">
        <v>1.6281029999999998E-2</v>
      </c>
      <c r="H26" s="40" t="s">
        <v>151</v>
      </c>
      <c r="J26" s="7"/>
    </row>
    <row r="27" spans="1:10" x14ac:dyDescent="0.2">
      <c r="A27" s="43">
        <v>21</v>
      </c>
      <c r="B27" s="44" t="s">
        <v>556</v>
      </c>
      <c r="C27" s="44" t="s">
        <v>557</v>
      </c>
      <c r="D27" s="44" t="s">
        <v>282</v>
      </c>
      <c r="E27" s="45">
        <v>25666</v>
      </c>
      <c r="F27" s="46">
        <v>2480.4135719999999</v>
      </c>
      <c r="G27" s="47">
        <v>1.5674779999999999E-2</v>
      </c>
      <c r="H27" s="40" t="s">
        <v>151</v>
      </c>
      <c r="J27" s="7"/>
    </row>
    <row r="28" spans="1:10" x14ac:dyDescent="0.2">
      <c r="A28" s="43">
        <v>22</v>
      </c>
      <c r="B28" s="44" t="s">
        <v>139</v>
      </c>
      <c r="C28" s="44" t="s">
        <v>140</v>
      </c>
      <c r="D28" s="44" t="s">
        <v>89</v>
      </c>
      <c r="E28" s="45">
        <v>276870</v>
      </c>
      <c r="F28" s="46">
        <v>2412.229875</v>
      </c>
      <c r="G28" s="47">
        <v>1.5243899999999999E-2</v>
      </c>
      <c r="H28" s="40" t="s">
        <v>151</v>
      </c>
      <c r="J28" s="7"/>
    </row>
    <row r="29" spans="1:10" x14ac:dyDescent="0.2">
      <c r="A29" s="43">
        <v>23</v>
      </c>
      <c r="B29" s="44" t="s">
        <v>386</v>
      </c>
      <c r="C29" s="44" t="s">
        <v>387</v>
      </c>
      <c r="D29" s="44" t="s">
        <v>202</v>
      </c>
      <c r="E29" s="45">
        <v>47556</v>
      </c>
      <c r="F29" s="46">
        <v>2347.3403819999999</v>
      </c>
      <c r="G29" s="47">
        <v>1.4833829999999999E-2</v>
      </c>
      <c r="H29" s="40" t="s">
        <v>151</v>
      </c>
      <c r="J29" s="7"/>
    </row>
    <row r="30" spans="1:10" x14ac:dyDescent="0.2">
      <c r="A30" s="43">
        <v>24</v>
      </c>
      <c r="B30" s="44" t="s">
        <v>200</v>
      </c>
      <c r="C30" s="44" t="s">
        <v>201</v>
      </c>
      <c r="D30" s="44" t="s">
        <v>202</v>
      </c>
      <c r="E30" s="45">
        <v>35301</v>
      </c>
      <c r="F30" s="46">
        <v>2061.2253900000001</v>
      </c>
      <c r="G30" s="47">
        <v>1.3025749999999999E-2</v>
      </c>
      <c r="H30" s="40" t="s">
        <v>151</v>
      </c>
      <c r="J30" s="7"/>
    </row>
    <row r="31" spans="1:10" x14ac:dyDescent="0.2">
      <c r="A31" s="43">
        <v>25</v>
      </c>
      <c r="B31" s="44" t="s">
        <v>275</v>
      </c>
      <c r="C31" s="44" t="s">
        <v>276</v>
      </c>
      <c r="D31" s="44" t="s">
        <v>277</v>
      </c>
      <c r="E31" s="45">
        <v>151951</v>
      </c>
      <c r="F31" s="46">
        <v>1871.6564424999999</v>
      </c>
      <c r="G31" s="47">
        <v>1.1827789999999999E-2</v>
      </c>
      <c r="H31" s="40" t="s">
        <v>151</v>
      </c>
      <c r="J31" s="7"/>
    </row>
    <row r="32" spans="1:10" x14ac:dyDescent="0.2">
      <c r="A32" s="43">
        <v>26</v>
      </c>
      <c r="B32" s="44" t="s">
        <v>827</v>
      </c>
      <c r="C32" s="44" t="s">
        <v>828</v>
      </c>
      <c r="D32" s="44" t="s">
        <v>100</v>
      </c>
      <c r="E32" s="45">
        <v>115213</v>
      </c>
      <c r="F32" s="46">
        <v>1839.145119</v>
      </c>
      <c r="G32" s="47">
        <v>1.162233E-2</v>
      </c>
      <c r="H32" s="40" t="s">
        <v>151</v>
      </c>
      <c r="J32" s="7"/>
    </row>
    <row r="33" spans="1:10" x14ac:dyDescent="0.2">
      <c r="A33" s="43">
        <v>27</v>
      </c>
      <c r="B33" s="44" t="s">
        <v>266</v>
      </c>
      <c r="C33" s="44" t="s">
        <v>267</v>
      </c>
      <c r="D33" s="44" t="s">
        <v>268</v>
      </c>
      <c r="E33" s="45">
        <v>82792</v>
      </c>
      <c r="F33" s="46">
        <v>1668.2588000000001</v>
      </c>
      <c r="G33" s="47">
        <v>1.054243E-2</v>
      </c>
      <c r="H33" s="40" t="s">
        <v>151</v>
      </c>
      <c r="J33" s="7"/>
    </row>
    <row r="34" spans="1:10" x14ac:dyDescent="0.2">
      <c r="A34" s="43">
        <v>28</v>
      </c>
      <c r="B34" s="44" t="s">
        <v>295</v>
      </c>
      <c r="C34" s="44" t="s">
        <v>296</v>
      </c>
      <c r="D34" s="44" t="s">
        <v>242</v>
      </c>
      <c r="E34" s="45">
        <v>766558</v>
      </c>
      <c r="F34" s="46">
        <v>1374.7451172000001</v>
      </c>
      <c r="G34" s="47">
        <v>8.6875900000000002E-3</v>
      </c>
      <c r="H34" s="40" t="s">
        <v>151</v>
      </c>
      <c r="J34" s="7"/>
    </row>
    <row r="35" spans="1:10" x14ac:dyDescent="0.2">
      <c r="A35" s="43">
        <v>29</v>
      </c>
      <c r="B35" s="44" t="s">
        <v>836</v>
      </c>
      <c r="C35" s="44" t="s">
        <v>837</v>
      </c>
      <c r="D35" s="44" t="s">
        <v>100</v>
      </c>
      <c r="E35" s="45">
        <v>257002</v>
      </c>
      <c r="F35" s="46">
        <v>1300.687122</v>
      </c>
      <c r="G35" s="47">
        <v>8.2195900000000006E-3</v>
      </c>
      <c r="H35" s="40" t="s">
        <v>151</v>
      </c>
      <c r="J35" s="7"/>
    </row>
    <row r="36" spans="1:10" x14ac:dyDescent="0.2">
      <c r="A36" s="43">
        <v>30</v>
      </c>
      <c r="B36" s="44" t="s">
        <v>838</v>
      </c>
      <c r="C36" s="44" t="s">
        <v>839</v>
      </c>
      <c r="D36" s="44" t="s">
        <v>371</v>
      </c>
      <c r="E36" s="45">
        <v>210077</v>
      </c>
      <c r="F36" s="46">
        <v>1106.6856359999999</v>
      </c>
      <c r="G36" s="47">
        <v>6.9936099999999999E-3</v>
      </c>
      <c r="H36" s="40" t="s">
        <v>151</v>
      </c>
      <c r="J36" s="7"/>
    </row>
    <row r="37" spans="1:10" x14ac:dyDescent="0.2">
      <c r="A37" s="43">
        <v>31</v>
      </c>
      <c r="B37" s="44" t="s">
        <v>240</v>
      </c>
      <c r="C37" s="44" t="s">
        <v>241</v>
      </c>
      <c r="D37" s="44" t="s">
        <v>242</v>
      </c>
      <c r="E37" s="45">
        <v>73603</v>
      </c>
      <c r="F37" s="46">
        <v>440.73476399999998</v>
      </c>
      <c r="G37" s="47">
        <v>2.7851899999999999E-3</v>
      </c>
      <c r="H37" s="40" t="s">
        <v>151</v>
      </c>
      <c r="J37" s="7"/>
    </row>
    <row r="38" spans="1:10" x14ac:dyDescent="0.2">
      <c r="A38" s="41"/>
      <c r="B38" s="41"/>
      <c r="C38" s="42" t="s">
        <v>150</v>
      </c>
      <c r="D38" s="41"/>
      <c r="E38" s="41" t="s">
        <v>151</v>
      </c>
      <c r="F38" s="48">
        <v>150976.55338339999</v>
      </c>
      <c r="G38" s="49">
        <v>0.95408448999999995</v>
      </c>
      <c r="H38" s="40" t="s">
        <v>151</v>
      </c>
      <c r="J38" s="7"/>
    </row>
    <row r="39" spans="1:10" x14ac:dyDescent="0.2">
      <c r="A39" s="41"/>
      <c r="B39" s="41"/>
      <c r="C39" s="50"/>
      <c r="D39" s="41"/>
      <c r="E39" s="41"/>
      <c r="F39" s="51"/>
      <c r="G39" s="51"/>
      <c r="H39" s="40" t="s">
        <v>151</v>
      </c>
      <c r="J39" s="7"/>
    </row>
    <row r="40" spans="1:10" x14ac:dyDescent="0.2">
      <c r="A40" s="41"/>
      <c r="B40" s="41"/>
      <c r="C40" s="42" t="s">
        <v>152</v>
      </c>
      <c r="D40" s="41"/>
      <c r="E40" s="41"/>
      <c r="F40" s="41"/>
      <c r="G40" s="41"/>
      <c r="H40" s="40" t="s">
        <v>151</v>
      </c>
      <c r="J40" s="7"/>
    </row>
    <row r="41" spans="1:10" x14ac:dyDescent="0.2">
      <c r="A41" s="41"/>
      <c r="B41" s="41"/>
      <c r="C41" s="42" t="s">
        <v>150</v>
      </c>
      <c r="D41" s="41"/>
      <c r="E41" s="41" t="s">
        <v>151</v>
      </c>
      <c r="F41" s="52" t="s">
        <v>153</v>
      </c>
      <c r="G41" s="49">
        <v>0</v>
      </c>
      <c r="H41" s="40" t="s">
        <v>151</v>
      </c>
      <c r="J41" s="7"/>
    </row>
    <row r="42" spans="1:10" x14ac:dyDescent="0.2">
      <c r="A42" s="41"/>
      <c r="B42" s="41"/>
      <c r="C42" s="50"/>
      <c r="D42" s="41"/>
      <c r="E42" s="41"/>
      <c r="F42" s="51"/>
      <c r="G42" s="51"/>
      <c r="H42" s="40" t="s">
        <v>151</v>
      </c>
      <c r="J42" s="7"/>
    </row>
    <row r="43" spans="1:10" x14ac:dyDescent="0.2">
      <c r="A43" s="41"/>
      <c r="B43" s="41"/>
      <c r="C43" s="42" t="s">
        <v>154</v>
      </c>
      <c r="D43" s="41"/>
      <c r="E43" s="41"/>
      <c r="F43" s="41"/>
      <c r="G43" s="41"/>
      <c r="H43" s="40" t="s">
        <v>151</v>
      </c>
      <c r="J43" s="7"/>
    </row>
    <row r="44" spans="1:10" x14ac:dyDescent="0.2">
      <c r="A44" s="41"/>
      <c r="B44" s="41"/>
      <c r="C44" s="42" t="s">
        <v>150</v>
      </c>
      <c r="D44" s="41"/>
      <c r="E44" s="41" t="s">
        <v>151</v>
      </c>
      <c r="F44" s="52" t="s">
        <v>153</v>
      </c>
      <c r="G44" s="49">
        <v>0</v>
      </c>
      <c r="H44" s="40" t="s">
        <v>151</v>
      </c>
      <c r="J44" s="7"/>
    </row>
    <row r="45" spans="1:10" x14ac:dyDescent="0.2">
      <c r="A45" s="41"/>
      <c r="B45" s="41"/>
      <c r="C45" s="50"/>
      <c r="D45" s="41"/>
      <c r="E45" s="41"/>
      <c r="F45" s="51"/>
      <c r="G45" s="51"/>
      <c r="H45" s="40" t="s">
        <v>151</v>
      </c>
      <c r="J45" s="7"/>
    </row>
    <row r="46" spans="1:10" x14ac:dyDescent="0.2">
      <c r="A46" s="41"/>
      <c r="B46" s="41"/>
      <c r="C46" s="42" t="s">
        <v>155</v>
      </c>
      <c r="D46" s="41"/>
      <c r="E46" s="41"/>
      <c r="F46" s="41"/>
      <c r="G46" s="41"/>
      <c r="H46" s="40" t="s">
        <v>151</v>
      </c>
      <c r="J46" s="7"/>
    </row>
    <row r="47" spans="1:10" x14ac:dyDescent="0.2">
      <c r="A47" s="41"/>
      <c r="B47" s="41"/>
      <c r="C47" s="42" t="s">
        <v>150</v>
      </c>
      <c r="D47" s="41"/>
      <c r="E47" s="41" t="s">
        <v>151</v>
      </c>
      <c r="F47" s="52" t="s">
        <v>153</v>
      </c>
      <c r="G47" s="49">
        <v>0</v>
      </c>
      <c r="H47" s="40" t="s">
        <v>151</v>
      </c>
      <c r="J47" s="7"/>
    </row>
    <row r="48" spans="1:10" x14ac:dyDescent="0.2">
      <c r="A48" s="41"/>
      <c r="B48" s="41"/>
      <c r="C48" s="50"/>
      <c r="D48" s="41"/>
      <c r="E48" s="41"/>
      <c r="F48" s="51"/>
      <c r="G48" s="51"/>
      <c r="H48" s="40" t="s">
        <v>151</v>
      </c>
      <c r="J48" s="7"/>
    </row>
    <row r="49" spans="1:10" x14ac:dyDescent="0.2">
      <c r="A49" s="41"/>
      <c r="B49" s="41"/>
      <c r="C49" s="42" t="s">
        <v>156</v>
      </c>
      <c r="D49" s="41"/>
      <c r="E49" s="41"/>
      <c r="F49" s="51"/>
      <c r="G49" s="51"/>
      <c r="H49" s="40" t="s">
        <v>151</v>
      </c>
      <c r="J49" s="7"/>
    </row>
    <row r="50" spans="1:10" x14ac:dyDescent="0.2">
      <c r="A50" s="41"/>
      <c r="B50" s="41"/>
      <c r="C50" s="42" t="s">
        <v>150</v>
      </c>
      <c r="D50" s="41"/>
      <c r="E50" s="41" t="s">
        <v>151</v>
      </c>
      <c r="F50" s="52" t="s">
        <v>153</v>
      </c>
      <c r="G50" s="49">
        <v>0</v>
      </c>
      <c r="H50" s="40" t="s">
        <v>151</v>
      </c>
      <c r="J50" s="7"/>
    </row>
    <row r="51" spans="1:10" x14ac:dyDescent="0.2">
      <c r="A51" s="41"/>
      <c r="B51" s="41"/>
      <c r="C51" s="50"/>
      <c r="D51" s="41"/>
      <c r="E51" s="41"/>
      <c r="F51" s="51"/>
      <c r="G51" s="51"/>
      <c r="H51" s="40" t="s">
        <v>151</v>
      </c>
      <c r="J51" s="7"/>
    </row>
    <row r="52" spans="1:10" x14ac:dyDescent="0.2">
      <c r="A52" s="41"/>
      <c r="B52" s="41"/>
      <c r="C52" s="42" t="s">
        <v>157</v>
      </c>
      <c r="D52" s="41"/>
      <c r="E52" s="41"/>
      <c r="F52" s="51"/>
      <c r="G52" s="51"/>
      <c r="H52" s="40" t="s">
        <v>151</v>
      </c>
      <c r="J52" s="7"/>
    </row>
    <row r="53" spans="1:10" x14ac:dyDescent="0.2">
      <c r="A53" s="41"/>
      <c r="B53" s="41"/>
      <c r="C53" s="42" t="s">
        <v>150</v>
      </c>
      <c r="D53" s="41"/>
      <c r="E53" s="41" t="s">
        <v>151</v>
      </c>
      <c r="F53" s="52" t="s">
        <v>153</v>
      </c>
      <c r="G53" s="49">
        <v>0</v>
      </c>
      <c r="H53" s="40" t="s">
        <v>151</v>
      </c>
      <c r="J53" s="7"/>
    </row>
    <row r="54" spans="1:10" x14ac:dyDescent="0.2">
      <c r="A54" s="41"/>
      <c r="B54" s="41"/>
      <c r="C54" s="50"/>
      <c r="D54" s="41"/>
      <c r="E54" s="41"/>
      <c r="F54" s="51"/>
      <c r="G54" s="51"/>
      <c r="H54" s="40" t="s">
        <v>151</v>
      </c>
      <c r="J54" s="7"/>
    </row>
    <row r="55" spans="1:10" x14ac:dyDescent="0.2">
      <c r="A55" s="41"/>
      <c r="B55" s="41"/>
      <c r="C55" s="42" t="s">
        <v>158</v>
      </c>
      <c r="D55" s="41"/>
      <c r="E55" s="41"/>
      <c r="F55" s="48">
        <v>150976.55338339999</v>
      </c>
      <c r="G55" s="49">
        <v>0.95408448999999995</v>
      </c>
      <c r="H55" s="40" t="s">
        <v>151</v>
      </c>
      <c r="J55" s="7"/>
    </row>
    <row r="56" spans="1:10" x14ac:dyDescent="0.2">
      <c r="A56" s="41"/>
      <c r="B56" s="41"/>
      <c r="C56" s="50"/>
      <c r="D56" s="41"/>
      <c r="E56" s="41"/>
      <c r="F56" s="51"/>
      <c r="G56" s="51"/>
      <c r="H56" s="40" t="s">
        <v>151</v>
      </c>
      <c r="J56" s="7"/>
    </row>
    <row r="57" spans="1:10" x14ac:dyDescent="0.2">
      <c r="A57" s="41"/>
      <c r="B57" s="41"/>
      <c r="C57" s="42" t="s">
        <v>159</v>
      </c>
      <c r="D57" s="41"/>
      <c r="E57" s="41"/>
      <c r="F57" s="51"/>
      <c r="G57" s="51"/>
      <c r="H57" s="40" t="s">
        <v>151</v>
      </c>
      <c r="J57" s="7"/>
    </row>
    <row r="58" spans="1:10" x14ac:dyDescent="0.2">
      <c r="A58" s="41"/>
      <c r="B58" s="41"/>
      <c r="C58" s="42" t="s">
        <v>10</v>
      </c>
      <c r="D58" s="41"/>
      <c r="E58" s="41"/>
      <c r="F58" s="51"/>
      <c r="G58" s="51"/>
      <c r="H58" s="40" t="s">
        <v>151</v>
      </c>
      <c r="J58" s="7"/>
    </row>
    <row r="59" spans="1:10" x14ac:dyDescent="0.2">
      <c r="A59" s="41"/>
      <c r="B59" s="41"/>
      <c r="C59" s="42" t="s">
        <v>150</v>
      </c>
      <c r="D59" s="41"/>
      <c r="E59" s="41" t="s">
        <v>151</v>
      </c>
      <c r="F59" s="52" t="s">
        <v>153</v>
      </c>
      <c r="G59" s="49">
        <v>0</v>
      </c>
      <c r="H59" s="40" t="s">
        <v>151</v>
      </c>
      <c r="J59" s="7"/>
    </row>
    <row r="60" spans="1:10" x14ac:dyDescent="0.2">
      <c r="A60" s="41"/>
      <c r="B60" s="41"/>
      <c r="C60" s="50"/>
      <c r="D60" s="41"/>
      <c r="E60" s="41"/>
      <c r="F60" s="51"/>
      <c r="G60" s="51"/>
      <c r="H60" s="40" t="s">
        <v>151</v>
      </c>
      <c r="J60" s="7"/>
    </row>
    <row r="61" spans="1:10" x14ac:dyDescent="0.2">
      <c r="A61" s="41"/>
      <c r="B61" s="41"/>
      <c r="C61" s="42" t="s">
        <v>160</v>
      </c>
      <c r="D61" s="41"/>
      <c r="E61" s="41"/>
      <c r="F61" s="41"/>
      <c r="G61" s="41"/>
      <c r="H61" s="40" t="s">
        <v>151</v>
      </c>
      <c r="J61" s="7"/>
    </row>
    <row r="62" spans="1:10" x14ac:dyDescent="0.2">
      <c r="A62" s="41"/>
      <c r="B62" s="41"/>
      <c r="C62" s="42" t="s">
        <v>150</v>
      </c>
      <c r="D62" s="41"/>
      <c r="E62" s="41" t="s">
        <v>151</v>
      </c>
      <c r="F62" s="52" t="s">
        <v>153</v>
      </c>
      <c r="G62" s="49">
        <v>0</v>
      </c>
      <c r="H62" s="40" t="s">
        <v>151</v>
      </c>
      <c r="J62" s="7"/>
    </row>
    <row r="63" spans="1:10" x14ac:dyDescent="0.2">
      <c r="A63" s="41"/>
      <c r="B63" s="41"/>
      <c r="C63" s="50"/>
      <c r="D63" s="41"/>
      <c r="E63" s="41"/>
      <c r="F63" s="51"/>
      <c r="G63" s="51"/>
      <c r="H63" s="40" t="s">
        <v>151</v>
      </c>
      <c r="J63" s="7"/>
    </row>
    <row r="64" spans="1:10" x14ac:dyDescent="0.2">
      <c r="A64" s="41"/>
      <c r="B64" s="41"/>
      <c r="C64" s="42" t="s">
        <v>161</v>
      </c>
      <c r="D64" s="41"/>
      <c r="E64" s="41"/>
      <c r="F64" s="41"/>
      <c r="G64" s="41"/>
      <c r="H64" s="40" t="s">
        <v>151</v>
      </c>
      <c r="J64" s="7"/>
    </row>
    <row r="65" spans="1:10" x14ac:dyDescent="0.2">
      <c r="A65" s="41"/>
      <c r="B65" s="41"/>
      <c r="C65" s="42" t="s">
        <v>150</v>
      </c>
      <c r="D65" s="41"/>
      <c r="E65" s="41" t="s">
        <v>151</v>
      </c>
      <c r="F65" s="52" t="s">
        <v>153</v>
      </c>
      <c r="G65" s="49">
        <v>0</v>
      </c>
      <c r="H65" s="40" t="s">
        <v>151</v>
      </c>
      <c r="J65" s="7"/>
    </row>
    <row r="66" spans="1:10" x14ac:dyDescent="0.2">
      <c r="A66" s="41"/>
      <c r="B66" s="41"/>
      <c r="C66" s="50"/>
      <c r="D66" s="41"/>
      <c r="E66" s="41"/>
      <c r="F66" s="51"/>
      <c r="G66" s="51"/>
      <c r="H66" s="40" t="s">
        <v>151</v>
      </c>
      <c r="J66" s="7"/>
    </row>
    <row r="67" spans="1:10" x14ac:dyDescent="0.2">
      <c r="A67" s="41"/>
      <c r="B67" s="41"/>
      <c r="C67" s="42" t="s">
        <v>162</v>
      </c>
      <c r="D67" s="41"/>
      <c r="E67" s="41"/>
      <c r="F67" s="51"/>
      <c r="G67" s="51"/>
      <c r="H67" s="40" t="s">
        <v>151</v>
      </c>
      <c r="J67" s="7"/>
    </row>
    <row r="68" spans="1:10" x14ac:dyDescent="0.2">
      <c r="A68" s="41"/>
      <c r="B68" s="41"/>
      <c r="C68" s="42" t="s">
        <v>150</v>
      </c>
      <c r="D68" s="41"/>
      <c r="E68" s="41" t="s">
        <v>151</v>
      </c>
      <c r="F68" s="52" t="s">
        <v>153</v>
      </c>
      <c r="G68" s="49">
        <v>0</v>
      </c>
      <c r="H68" s="40" t="s">
        <v>151</v>
      </c>
      <c r="J68" s="7"/>
    </row>
    <row r="69" spans="1:10" x14ac:dyDescent="0.2">
      <c r="A69" s="41"/>
      <c r="B69" s="41"/>
      <c r="C69" s="50"/>
      <c r="D69" s="41"/>
      <c r="E69" s="41"/>
      <c r="F69" s="51"/>
      <c r="G69" s="51"/>
      <c r="H69" s="40" t="s">
        <v>151</v>
      </c>
      <c r="J69" s="7"/>
    </row>
    <row r="70" spans="1:10" x14ac:dyDescent="0.2">
      <c r="A70" s="41"/>
      <c r="B70" s="41"/>
      <c r="C70" s="42" t="s">
        <v>163</v>
      </c>
      <c r="D70" s="41"/>
      <c r="E70" s="41"/>
      <c r="F70" s="48">
        <v>0</v>
      </c>
      <c r="G70" s="49">
        <v>0</v>
      </c>
      <c r="H70" s="40" t="s">
        <v>151</v>
      </c>
      <c r="J70" s="7"/>
    </row>
    <row r="71" spans="1:10" x14ac:dyDescent="0.2">
      <c r="A71" s="41"/>
      <c r="B71" s="41"/>
      <c r="C71" s="50"/>
      <c r="D71" s="41"/>
      <c r="E71" s="41"/>
      <c r="F71" s="51"/>
      <c r="G71" s="51"/>
      <c r="H71" s="40" t="s">
        <v>151</v>
      </c>
      <c r="J71" s="7"/>
    </row>
    <row r="72" spans="1:10" x14ac:dyDescent="0.2">
      <c r="A72" s="41"/>
      <c r="B72" s="41"/>
      <c r="C72" s="42" t="s">
        <v>164</v>
      </c>
      <c r="D72" s="41"/>
      <c r="E72" s="41"/>
      <c r="F72" s="51"/>
      <c r="G72" s="51"/>
      <c r="H72" s="40" t="s">
        <v>151</v>
      </c>
      <c r="J72" s="7"/>
    </row>
    <row r="73" spans="1:10" x14ac:dyDescent="0.2">
      <c r="A73" s="41"/>
      <c r="B73" s="41"/>
      <c r="C73" s="42" t="s">
        <v>165</v>
      </c>
      <c r="D73" s="41"/>
      <c r="E73" s="41"/>
      <c r="F73" s="51"/>
      <c r="G73" s="51"/>
      <c r="H73" s="40" t="s">
        <v>151</v>
      </c>
      <c r="J73" s="7"/>
    </row>
    <row r="74" spans="1:10" x14ac:dyDescent="0.2">
      <c r="A74" s="41"/>
      <c r="B74" s="41"/>
      <c r="C74" s="42" t="s">
        <v>150</v>
      </c>
      <c r="D74" s="41"/>
      <c r="E74" s="41" t="s">
        <v>151</v>
      </c>
      <c r="F74" s="52" t="s">
        <v>153</v>
      </c>
      <c r="G74" s="49">
        <v>0</v>
      </c>
      <c r="H74" s="40" t="s">
        <v>151</v>
      </c>
      <c r="J74" s="7"/>
    </row>
    <row r="75" spans="1:10" x14ac:dyDescent="0.2">
      <c r="A75" s="41"/>
      <c r="B75" s="41"/>
      <c r="C75" s="50"/>
      <c r="D75" s="41"/>
      <c r="E75" s="41"/>
      <c r="F75" s="51"/>
      <c r="G75" s="51"/>
      <c r="H75" s="40" t="s">
        <v>151</v>
      </c>
      <c r="J75" s="7"/>
    </row>
    <row r="76" spans="1:10" x14ac:dyDescent="0.2">
      <c r="A76" s="41"/>
      <c r="B76" s="41"/>
      <c r="C76" s="42" t="s">
        <v>166</v>
      </c>
      <c r="D76" s="41"/>
      <c r="E76" s="41"/>
      <c r="F76" s="51"/>
      <c r="G76" s="51"/>
      <c r="H76" s="40" t="s">
        <v>151</v>
      </c>
      <c r="J76" s="7"/>
    </row>
    <row r="77" spans="1:10" x14ac:dyDescent="0.2">
      <c r="A77" s="41"/>
      <c r="B77" s="41"/>
      <c r="C77" s="42" t="s">
        <v>150</v>
      </c>
      <c r="D77" s="41"/>
      <c r="E77" s="41" t="s">
        <v>151</v>
      </c>
      <c r="F77" s="52" t="s">
        <v>153</v>
      </c>
      <c r="G77" s="49">
        <v>0</v>
      </c>
      <c r="H77" s="40" t="s">
        <v>151</v>
      </c>
      <c r="J77" s="7"/>
    </row>
    <row r="78" spans="1:10" x14ac:dyDescent="0.2">
      <c r="A78" s="41"/>
      <c r="B78" s="41"/>
      <c r="C78" s="50"/>
      <c r="D78" s="41"/>
      <c r="E78" s="41"/>
      <c r="F78" s="51"/>
      <c r="G78" s="51"/>
      <c r="H78" s="40" t="s">
        <v>151</v>
      </c>
      <c r="J78" s="7"/>
    </row>
    <row r="79" spans="1:10" x14ac:dyDescent="0.2">
      <c r="A79" s="41"/>
      <c r="B79" s="41"/>
      <c r="C79" s="42" t="s">
        <v>167</v>
      </c>
      <c r="D79" s="41"/>
      <c r="E79" s="41"/>
      <c r="F79" s="51"/>
      <c r="G79" s="51"/>
      <c r="H79" s="40" t="s">
        <v>151</v>
      </c>
      <c r="J79" s="7"/>
    </row>
    <row r="80" spans="1:10" x14ac:dyDescent="0.2">
      <c r="A80" s="41"/>
      <c r="B80" s="41"/>
      <c r="C80" s="42" t="s">
        <v>150</v>
      </c>
      <c r="D80" s="41"/>
      <c r="E80" s="41" t="s">
        <v>151</v>
      </c>
      <c r="F80" s="52" t="s">
        <v>153</v>
      </c>
      <c r="G80" s="49">
        <v>0</v>
      </c>
      <c r="H80" s="40" t="s">
        <v>151</v>
      </c>
      <c r="J80" s="7"/>
    </row>
    <row r="81" spans="1:10" x14ac:dyDescent="0.2">
      <c r="A81" s="41"/>
      <c r="B81" s="41"/>
      <c r="C81" s="50"/>
      <c r="D81" s="41"/>
      <c r="E81" s="41"/>
      <c r="F81" s="51"/>
      <c r="G81" s="51"/>
      <c r="H81" s="40" t="s">
        <v>151</v>
      </c>
      <c r="J81" s="7"/>
    </row>
    <row r="82" spans="1:10" x14ac:dyDescent="0.2">
      <c r="A82" s="41"/>
      <c r="B82" s="41"/>
      <c r="C82" s="42" t="s">
        <v>168</v>
      </c>
      <c r="D82" s="41"/>
      <c r="E82" s="41"/>
      <c r="F82" s="51"/>
      <c r="G82" s="51"/>
      <c r="H82" s="40" t="s">
        <v>151</v>
      </c>
      <c r="J82" s="7"/>
    </row>
    <row r="83" spans="1:10" x14ac:dyDescent="0.2">
      <c r="A83" s="43">
        <v>1</v>
      </c>
      <c r="B83" s="44"/>
      <c r="C83" s="44" t="s">
        <v>169</v>
      </c>
      <c r="D83" s="44"/>
      <c r="E83" s="54"/>
      <c r="F83" s="46">
        <v>8053.9333280279998</v>
      </c>
      <c r="G83" s="47">
        <v>5.0896200000000003E-2</v>
      </c>
      <c r="H83" s="40">
        <v>6.39</v>
      </c>
      <c r="J83" s="7"/>
    </row>
    <row r="84" spans="1:10" x14ac:dyDescent="0.2">
      <c r="A84" s="41"/>
      <c r="B84" s="41"/>
      <c r="C84" s="42" t="s">
        <v>150</v>
      </c>
      <c r="D84" s="41"/>
      <c r="E84" s="41" t="s">
        <v>151</v>
      </c>
      <c r="F84" s="48">
        <v>8053.9333280279998</v>
      </c>
      <c r="G84" s="49">
        <v>5.0896200000000003E-2</v>
      </c>
      <c r="H84" s="40" t="s">
        <v>151</v>
      </c>
      <c r="J84" s="7"/>
    </row>
    <row r="85" spans="1:10" x14ac:dyDescent="0.2">
      <c r="A85" s="41"/>
      <c r="B85" s="41"/>
      <c r="C85" s="50"/>
      <c r="D85" s="41"/>
      <c r="E85" s="41"/>
      <c r="F85" s="51"/>
      <c r="G85" s="51"/>
      <c r="H85" s="40" t="s">
        <v>151</v>
      </c>
      <c r="J85" s="7"/>
    </row>
    <row r="86" spans="1:10" x14ac:dyDescent="0.2">
      <c r="A86" s="41"/>
      <c r="B86" s="41"/>
      <c r="C86" s="42" t="s">
        <v>170</v>
      </c>
      <c r="D86" s="41"/>
      <c r="E86" s="41"/>
      <c r="F86" s="48">
        <v>8053.9333280279998</v>
      </c>
      <c r="G86" s="49">
        <v>5.0896200000000003E-2</v>
      </c>
      <c r="H86" s="40" t="s">
        <v>151</v>
      </c>
      <c r="J86" s="7"/>
    </row>
    <row r="87" spans="1:10" x14ac:dyDescent="0.2">
      <c r="A87" s="41"/>
      <c r="B87" s="41"/>
      <c r="C87" s="51"/>
      <c r="D87" s="41"/>
      <c r="E87" s="41"/>
      <c r="F87" s="41"/>
      <c r="G87" s="41"/>
      <c r="H87" s="40" t="s">
        <v>151</v>
      </c>
      <c r="J87" s="7"/>
    </row>
    <row r="88" spans="1:10" x14ac:dyDescent="0.2">
      <c r="A88" s="41"/>
      <c r="B88" s="41"/>
      <c r="C88" s="42" t="s">
        <v>171</v>
      </c>
      <c r="D88" s="41"/>
      <c r="E88" s="41"/>
      <c r="F88" s="41"/>
      <c r="G88" s="41"/>
      <c r="H88" s="40" t="s">
        <v>151</v>
      </c>
      <c r="J88" s="7"/>
    </row>
    <row r="89" spans="1:10" x14ac:dyDescent="0.2">
      <c r="A89" s="41"/>
      <c r="B89" s="41"/>
      <c r="C89" s="42" t="s">
        <v>172</v>
      </c>
      <c r="D89" s="41"/>
      <c r="E89" s="41"/>
      <c r="F89" s="41"/>
      <c r="G89" s="41"/>
      <c r="H89" s="40" t="s">
        <v>151</v>
      </c>
      <c r="J89" s="7"/>
    </row>
    <row r="90" spans="1:10" x14ac:dyDescent="0.2">
      <c r="A90" s="41"/>
      <c r="B90" s="41"/>
      <c r="C90" s="42" t="s">
        <v>150</v>
      </c>
      <c r="D90" s="41"/>
      <c r="E90" s="41" t="s">
        <v>151</v>
      </c>
      <c r="F90" s="52" t="s">
        <v>153</v>
      </c>
      <c r="G90" s="49">
        <v>0</v>
      </c>
      <c r="H90" s="40" t="s">
        <v>151</v>
      </c>
      <c r="J90" s="7"/>
    </row>
    <row r="91" spans="1:10" x14ac:dyDescent="0.2">
      <c r="A91" s="41"/>
      <c r="B91" s="41"/>
      <c r="C91" s="50"/>
      <c r="D91" s="41"/>
      <c r="E91" s="41"/>
      <c r="F91" s="51"/>
      <c r="G91" s="51"/>
      <c r="H91" s="40" t="s">
        <v>151</v>
      </c>
      <c r="J91" s="7"/>
    </row>
    <row r="92" spans="1:10" x14ac:dyDescent="0.2">
      <c r="A92" s="41"/>
      <c r="B92" s="41"/>
      <c r="C92" s="42" t="s">
        <v>173</v>
      </c>
      <c r="D92" s="41"/>
      <c r="E92" s="41"/>
      <c r="F92" s="41"/>
      <c r="G92" s="41"/>
      <c r="H92" s="40" t="s">
        <v>151</v>
      </c>
      <c r="J92" s="7"/>
    </row>
    <row r="93" spans="1:10" x14ac:dyDescent="0.2">
      <c r="A93" s="41"/>
      <c r="B93" s="41"/>
      <c r="C93" s="42" t="s">
        <v>174</v>
      </c>
      <c r="D93" s="41"/>
      <c r="E93" s="41"/>
      <c r="F93" s="41"/>
      <c r="G93" s="41"/>
      <c r="H93" s="40" t="s">
        <v>151</v>
      </c>
      <c r="J93" s="7"/>
    </row>
    <row r="94" spans="1:10" x14ac:dyDescent="0.2">
      <c r="A94" s="41"/>
      <c r="B94" s="41"/>
      <c r="C94" s="42" t="s">
        <v>150</v>
      </c>
      <c r="D94" s="41"/>
      <c r="E94" s="41" t="s">
        <v>151</v>
      </c>
      <c r="F94" s="52" t="s">
        <v>153</v>
      </c>
      <c r="G94" s="49">
        <v>0</v>
      </c>
      <c r="H94" s="40" t="s">
        <v>151</v>
      </c>
      <c r="J94" s="7"/>
    </row>
    <row r="95" spans="1:10" x14ac:dyDescent="0.2">
      <c r="A95" s="41"/>
      <c r="B95" s="41"/>
      <c r="C95" s="50"/>
      <c r="D95" s="41"/>
      <c r="E95" s="41"/>
      <c r="F95" s="51"/>
      <c r="G95" s="51"/>
      <c r="H95" s="40" t="s">
        <v>151</v>
      </c>
      <c r="J95" s="7"/>
    </row>
    <row r="96" spans="1:10" x14ac:dyDescent="0.2">
      <c r="A96" s="41"/>
      <c r="B96" s="41"/>
      <c r="C96" s="42" t="s">
        <v>175</v>
      </c>
      <c r="D96" s="41"/>
      <c r="E96" s="41"/>
      <c r="F96" s="51"/>
      <c r="G96" s="51"/>
      <c r="H96" s="40" t="s">
        <v>151</v>
      </c>
      <c r="J96" s="7"/>
    </row>
    <row r="97" spans="1:17" x14ac:dyDescent="0.2">
      <c r="A97" s="41"/>
      <c r="B97" s="41"/>
      <c r="C97" s="42" t="s">
        <v>150</v>
      </c>
      <c r="D97" s="41"/>
      <c r="E97" s="41" t="s">
        <v>151</v>
      </c>
      <c r="F97" s="52" t="s">
        <v>153</v>
      </c>
      <c r="G97" s="49">
        <v>0</v>
      </c>
      <c r="H97" s="40" t="s">
        <v>151</v>
      </c>
      <c r="J97" s="7"/>
    </row>
    <row r="98" spans="1:17" x14ac:dyDescent="0.2">
      <c r="A98" s="41"/>
      <c r="B98" s="44"/>
      <c r="C98" s="44"/>
      <c r="D98" s="42"/>
      <c r="E98" s="41"/>
      <c r="F98" s="44"/>
      <c r="G98" s="54"/>
      <c r="H98" s="40" t="s">
        <v>151</v>
      </c>
      <c r="J98" s="7"/>
    </row>
    <row r="99" spans="1:17" x14ac:dyDescent="0.2">
      <c r="A99" s="54"/>
      <c r="B99" s="44"/>
      <c r="C99" s="44" t="s">
        <v>176</v>
      </c>
      <c r="D99" s="44"/>
      <c r="E99" s="54"/>
      <c r="F99" s="46">
        <v>-788.15753095000002</v>
      </c>
      <c r="G99" s="47">
        <v>-4.9807000000000002E-3</v>
      </c>
      <c r="H99" s="40" t="s">
        <v>151</v>
      </c>
      <c r="J99" s="7"/>
    </row>
    <row r="100" spans="1:17" x14ac:dyDescent="0.2">
      <c r="A100" s="50"/>
      <c r="B100" s="50"/>
      <c r="C100" s="42" t="s">
        <v>177</v>
      </c>
      <c r="D100" s="51"/>
      <c r="E100" s="51"/>
      <c r="F100" s="48">
        <v>158242.329180478</v>
      </c>
      <c r="G100" s="55">
        <v>0.99999998999999995</v>
      </c>
      <c r="H100" s="40" t="s">
        <v>151</v>
      </c>
      <c r="J100" s="7"/>
    </row>
    <row r="101" spans="1:17" x14ac:dyDescent="0.2">
      <c r="A101" s="56"/>
      <c r="B101" s="56"/>
      <c r="C101" s="56"/>
      <c r="D101" s="57"/>
      <c r="E101" s="57"/>
      <c r="F101" s="57"/>
      <c r="G101" s="57"/>
      <c r="J101" s="7"/>
    </row>
    <row r="102" spans="1:17" ht="12.75" customHeight="1" x14ac:dyDescent="0.2">
      <c r="A102" s="58"/>
      <c r="B102" s="159" t="s">
        <v>923</v>
      </c>
      <c r="C102" s="159"/>
      <c r="D102" s="159"/>
      <c r="E102" s="159"/>
      <c r="F102" s="159"/>
      <c r="G102" s="159"/>
      <c r="H102" s="159"/>
      <c r="J102" s="7"/>
    </row>
    <row r="103" spans="1:17" ht="14.1" customHeight="1" x14ac:dyDescent="0.2">
      <c r="A103" s="58"/>
      <c r="B103" s="159" t="s">
        <v>924</v>
      </c>
      <c r="C103" s="159"/>
      <c r="D103" s="159"/>
      <c r="E103" s="159"/>
      <c r="F103" s="159"/>
      <c r="G103" s="159"/>
      <c r="H103" s="159"/>
      <c r="J103" s="7"/>
    </row>
    <row r="104" spans="1:17" ht="17.100000000000001" customHeight="1" x14ac:dyDescent="0.2">
      <c r="A104" s="58"/>
      <c r="B104" s="159" t="s">
        <v>925</v>
      </c>
      <c r="C104" s="159"/>
      <c r="D104" s="159"/>
      <c r="E104" s="159"/>
      <c r="F104" s="159"/>
      <c r="G104" s="159"/>
      <c r="H104" s="159"/>
      <c r="J104" s="7"/>
    </row>
    <row r="105" spans="1:17" s="8" customFormat="1" ht="65.25" customHeight="1" x14ac:dyDescent="0.25">
      <c r="A105" s="60"/>
      <c r="B105" s="160" t="s">
        <v>926</v>
      </c>
      <c r="C105" s="160"/>
      <c r="D105" s="160"/>
      <c r="E105" s="160"/>
      <c r="F105" s="160"/>
      <c r="G105" s="160"/>
      <c r="H105" s="160"/>
      <c r="I105"/>
      <c r="J105" s="7"/>
      <c r="K105"/>
      <c r="L105"/>
      <c r="M105"/>
      <c r="N105"/>
      <c r="O105"/>
      <c r="P105"/>
      <c r="Q105"/>
    </row>
    <row r="106" spans="1:17" ht="12.75" customHeight="1" x14ac:dyDescent="0.2">
      <c r="A106" s="58"/>
      <c r="B106" s="159" t="s">
        <v>927</v>
      </c>
      <c r="C106" s="159"/>
      <c r="D106" s="159"/>
      <c r="E106" s="159"/>
      <c r="F106" s="159"/>
      <c r="G106" s="159"/>
      <c r="H106" s="159"/>
      <c r="J106" s="7"/>
    </row>
    <row r="107" spans="1:17" x14ac:dyDescent="0.2">
      <c r="A107" s="61"/>
      <c r="B107" s="61"/>
      <c r="C107" s="61"/>
      <c r="D107" s="62"/>
      <c r="E107" s="62"/>
      <c r="F107" s="62"/>
      <c r="G107" s="62"/>
      <c r="J107" s="7"/>
    </row>
    <row r="108" spans="1:17" x14ac:dyDescent="0.2">
      <c r="A108" s="61"/>
      <c r="B108" s="161" t="s">
        <v>178</v>
      </c>
      <c r="C108" s="162"/>
      <c r="D108" s="163"/>
      <c r="E108" s="63"/>
      <c r="F108" s="62"/>
      <c r="G108" s="62"/>
      <c r="J108" s="7"/>
    </row>
    <row r="109" spans="1:17" x14ac:dyDescent="0.2">
      <c r="A109" s="61"/>
      <c r="B109" s="156" t="s">
        <v>179</v>
      </c>
      <c r="C109" s="157"/>
      <c r="D109" s="42" t="s">
        <v>180</v>
      </c>
      <c r="E109" s="63"/>
      <c r="F109" s="62"/>
      <c r="G109" s="62"/>
      <c r="J109" s="7"/>
    </row>
    <row r="110" spans="1:17" x14ac:dyDescent="0.2">
      <c r="A110" s="61"/>
      <c r="B110" s="156" t="s">
        <v>181</v>
      </c>
      <c r="C110" s="157"/>
      <c r="D110" s="42" t="s">
        <v>180</v>
      </c>
      <c r="E110" s="63"/>
      <c r="F110" s="62"/>
      <c r="G110" s="62"/>
      <c r="J110" s="7"/>
    </row>
    <row r="111" spans="1:17" x14ac:dyDescent="0.2">
      <c r="A111" s="61"/>
      <c r="B111" s="156" t="s">
        <v>182</v>
      </c>
      <c r="C111" s="157"/>
      <c r="D111" s="51" t="s">
        <v>151</v>
      </c>
      <c r="E111" s="63"/>
      <c r="F111" s="62"/>
      <c r="G111" s="62"/>
      <c r="J111" s="7"/>
    </row>
    <row r="112" spans="1:17" x14ac:dyDescent="0.2">
      <c r="A112" s="67"/>
      <c r="B112" s="68" t="s">
        <v>151</v>
      </c>
      <c r="C112" s="68" t="s">
        <v>937</v>
      </c>
      <c r="D112" s="68" t="s">
        <v>183</v>
      </c>
      <c r="E112" s="67"/>
      <c r="F112" s="67"/>
      <c r="G112" s="67"/>
      <c r="H112" s="67"/>
      <c r="J112" s="7"/>
    </row>
    <row r="113" spans="1:10" x14ac:dyDescent="0.2">
      <c r="A113" s="69"/>
      <c r="B113" s="70" t="s">
        <v>184</v>
      </c>
      <c r="C113" s="80" t="s">
        <v>185</v>
      </c>
      <c r="D113" s="80" t="s">
        <v>186</v>
      </c>
      <c r="E113" s="69"/>
      <c r="F113" s="69"/>
      <c r="G113" s="69"/>
      <c r="J113" s="7"/>
    </row>
    <row r="114" spans="1:10" x14ac:dyDescent="0.2">
      <c r="A114" s="69"/>
      <c r="B114" s="44" t="s">
        <v>187</v>
      </c>
      <c r="C114" s="72">
        <v>98.680300000000003</v>
      </c>
      <c r="D114" s="72">
        <v>105.4335</v>
      </c>
      <c r="E114" s="69"/>
      <c r="F114" s="73"/>
      <c r="G114" s="74"/>
      <c r="J114" s="7"/>
    </row>
    <row r="115" spans="1:10" x14ac:dyDescent="0.2">
      <c r="A115" s="69"/>
      <c r="B115" s="44" t="s">
        <v>1094</v>
      </c>
      <c r="C115" s="72">
        <v>32.860500000000002</v>
      </c>
      <c r="D115" s="72">
        <v>35.109400000000001</v>
      </c>
      <c r="E115" s="69"/>
      <c r="F115" s="73"/>
      <c r="G115" s="74"/>
      <c r="J115" s="7"/>
    </row>
    <row r="116" spans="1:10" x14ac:dyDescent="0.2">
      <c r="A116" s="69"/>
      <c r="B116" s="44" t="s">
        <v>188</v>
      </c>
      <c r="C116" s="72">
        <v>90.836799999999997</v>
      </c>
      <c r="D116" s="72">
        <v>96.981499999999997</v>
      </c>
      <c r="E116" s="69"/>
      <c r="F116" s="73"/>
      <c r="G116" s="74"/>
      <c r="J116" s="7"/>
    </row>
    <row r="117" spans="1:10" x14ac:dyDescent="0.2">
      <c r="A117" s="69"/>
      <c r="B117" s="44" t="s">
        <v>1095</v>
      </c>
      <c r="C117" s="72">
        <v>29.747900000000001</v>
      </c>
      <c r="D117" s="72">
        <v>31.760200000000001</v>
      </c>
      <c r="E117" s="69"/>
      <c r="F117" s="73"/>
      <c r="G117" s="74"/>
      <c r="J117" s="7"/>
    </row>
    <row r="118" spans="1:10" x14ac:dyDescent="0.2">
      <c r="A118" s="69"/>
      <c r="B118" s="69"/>
      <c r="C118" s="69"/>
      <c r="D118" s="69"/>
      <c r="E118" s="69"/>
      <c r="F118" s="69"/>
      <c r="G118" s="69"/>
      <c r="J118" s="7"/>
    </row>
    <row r="119" spans="1:10" x14ac:dyDescent="0.2">
      <c r="A119" s="67"/>
      <c r="B119" s="164" t="s">
        <v>940</v>
      </c>
      <c r="C119" s="165"/>
      <c r="D119" s="64" t="s">
        <v>180</v>
      </c>
      <c r="E119" s="67"/>
      <c r="F119" s="67"/>
      <c r="G119" s="67"/>
      <c r="J119" s="7"/>
    </row>
    <row r="120" spans="1:10" x14ac:dyDescent="0.2">
      <c r="A120" s="67"/>
      <c r="B120" s="84"/>
      <c r="C120" s="84"/>
      <c r="D120" s="84"/>
      <c r="E120" s="67"/>
      <c r="F120" s="67"/>
      <c r="G120" s="67"/>
      <c r="J120" s="7"/>
    </row>
    <row r="121" spans="1:10" ht="29.1" customHeight="1" x14ac:dyDescent="0.2">
      <c r="A121" s="67"/>
      <c r="B121" s="164" t="s">
        <v>189</v>
      </c>
      <c r="C121" s="165"/>
      <c r="D121" s="64" t="s">
        <v>180</v>
      </c>
      <c r="E121" s="75"/>
      <c r="F121" s="67"/>
      <c r="G121" s="67"/>
      <c r="J121" s="7"/>
    </row>
    <row r="122" spans="1:10" ht="29.1" customHeight="1" x14ac:dyDescent="0.2">
      <c r="A122" s="67"/>
      <c r="B122" s="164" t="s">
        <v>190</v>
      </c>
      <c r="C122" s="165"/>
      <c r="D122" s="64" t="s">
        <v>180</v>
      </c>
      <c r="E122" s="75"/>
      <c r="F122" s="67"/>
      <c r="G122" s="67"/>
      <c r="J122" s="7"/>
    </row>
    <row r="123" spans="1:10" ht="17.100000000000001" customHeight="1" x14ac:dyDescent="0.2">
      <c r="A123" s="67"/>
      <c r="B123" s="164" t="s">
        <v>191</v>
      </c>
      <c r="C123" s="165"/>
      <c r="D123" s="64" t="s">
        <v>180</v>
      </c>
      <c r="E123" s="75"/>
      <c r="F123" s="67"/>
      <c r="G123" s="67"/>
      <c r="J123" s="7"/>
    </row>
    <row r="124" spans="1:10" ht="17.100000000000001" customHeight="1" x14ac:dyDescent="0.2">
      <c r="A124" s="67"/>
      <c r="B124" s="164" t="s">
        <v>192</v>
      </c>
      <c r="C124" s="165"/>
      <c r="D124" s="76">
        <v>0.20317902796801904</v>
      </c>
      <c r="E124" s="67"/>
      <c r="F124" s="59"/>
      <c r="G124" s="77"/>
      <c r="J124" s="7"/>
    </row>
    <row r="125" spans="1:10" x14ac:dyDescent="0.2">
      <c r="J125" s="7"/>
    </row>
  </sheetData>
  <mergeCells count="17">
    <mergeCell ref="B110:C110"/>
    <mergeCell ref="B111:C111"/>
    <mergeCell ref="B119:C119"/>
    <mergeCell ref="B123:C123"/>
    <mergeCell ref="B124:C124"/>
    <mergeCell ref="B121:C121"/>
    <mergeCell ref="B122:C122"/>
    <mergeCell ref="B109:C109"/>
    <mergeCell ref="A1:H1"/>
    <mergeCell ref="A2:H2"/>
    <mergeCell ref="A3:H3"/>
    <mergeCell ref="B102:H102"/>
    <mergeCell ref="B103:H103"/>
    <mergeCell ref="B104:H104"/>
    <mergeCell ref="B105:H105"/>
    <mergeCell ref="B106:H106"/>
    <mergeCell ref="B108:D108"/>
  </mergeCells>
  <hyperlinks>
    <hyperlink ref="I1" location="Index!B24" display="Index" xr:uid="{6252281A-82D1-476E-BB4F-104B29E5E47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EDDB1-F096-405C-A46A-5A9F7FB336CE}">
  <sheetPr>
    <outlinePr summaryBelow="0" summaryRight="0"/>
  </sheetPr>
  <dimension ref="A1:Q150"/>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6.5703125" bestFit="1" customWidth="1"/>
    <col min="5" max="5" width="9" bestFit="1" customWidth="1"/>
    <col min="6" max="6" width="10.140625" bestFit="1" customWidth="1"/>
    <col min="7" max="7" width="9.42578125" customWidth="1"/>
    <col min="8" max="8" width="8.42578125" bestFit="1" customWidth="1"/>
    <col min="10" max="10" width="50.7109375" style="9" customWidth="1"/>
  </cols>
  <sheetData>
    <row r="1" spans="1:10" ht="15" customHeight="1" x14ac:dyDescent="0.2">
      <c r="A1" s="186" t="s">
        <v>0</v>
      </c>
      <c r="B1" s="187"/>
      <c r="C1" s="187"/>
      <c r="D1" s="187"/>
      <c r="E1" s="187"/>
      <c r="F1" s="187"/>
      <c r="G1" s="187"/>
      <c r="H1" s="188"/>
      <c r="I1" s="13" t="s">
        <v>941</v>
      </c>
      <c r="J1" s="7"/>
    </row>
    <row r="2" spans="1:10" ht="15" x14ac:dyDescent="0.2">
      <c r="A2" s="158" t="s">
        <v>840</v>
      </c>
      <c r="B2" s="158"/>
      <c r="C2" s="158"/>
      <c r="D2" s="158"/>
      <c r="E2" s="158"/>
      <c r="F2" s="158"/>
      <c r="G2" s="158"/>
      <c r="H2" s="158"/>
      <c r="J2" s="11" t="s">
        <v>942</v>
      </c>
    </row>
    <row r="3" spans="1:10" ht="15" x14ac:dyDescent="0.2">
      <c r="A3" s="158" t="s">
        <v>880</v>
      </c>
      <c r="B3" s="158"/>
      <c r="C3" s="158"/>
      <c r="D3" s="158"/>
      <c r="E3" s="158"/>
      <c r="F3" s="158"/>
      <c r="G3" s="158"/>
      <c r="H3" s="158"/>
      <c r="J3" s="7"/>
    </row>
    <row r="4" spans="1:10" s="1" customFormat="1" ht="30"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17</v>
      </c>
      <c r="C7" s="44" t="s">
        <v>18</v>
      </c>
      <c r="D7" s="44" t="s">
        <v>19</v>
      </c>
      <c r="E7" s="45">
        <v>1980418</v>
      </c>
      <c r="F7" s="46">
        <v>29538.924679</v>
      </c>
      <c r="G7" s="47">
        <v>7.9062649999999998E-2</v>
      </c>
      <c r="H7" s="40" t="s">
        <v>151</v>
      </c>
      <c r="J7" s="7"/>
    </row>
    <row r="8" spans="1:10" x14ac:dyDescent="0.2">
      <c r="A8" s="43">
        <v>2</v>
      </c>
      <c r="B8" s="44" t="s">
        <v>341</v>
      </c>
      <c r="C8" s="44" t="s">
        <v>342</v>
      </c>
      <c r="D8" s="44" t="s">
        <v>45</v>
      </c>
      <c r="E8" s="45">
        <v>1825472</v>
      </c>
      <c r="F8" s="46">
        <v>29495.063839999999</v>
      </c>
      <c r="G8" s="47">
        <v>7.8945249999999995E-2</v>
      </c>
      <c r="H8" s="40" t="s">
        <v>151</v>
      </c>
      <c r="J8" s="7"/>
    </row>
    <row r="9" spans="1:10" x14ac:dyDescent="0.2">
      <c r="A9" s="43">
        <v>3</v>
      </c>
      <c r="B9" s="44" t="s">
        <v>20</v>
      </c>
      <c r="C9" s="44" t="s">
        <v>21</v>
      </c>
      <c r="D9" s="44" t="s">
        <v>22</v>
      </c>
      <c r="E9" s="45">
        <v>621300</v>
      </c>
      <c r="F9" s="46">
        <v>18706.411049999999</v>
      </c>
      <c r="G9" s="47">
        <v>5.0068799999999997E-2</v>
      </c>
      <c r="H9" s="40" t="s">
        <v>151</v>
      </c>
      <c r="J9" s="7"/>
    </row>
    <row r="10" spans="1:10" x14ac:dyDescent="0.2">
      <c r="A10" s="43">
        <v>4</v>
      </c>
      <c r="B10" s="44" t="s">
        <v>841</v>
      </c>
      <c r="C10" s="44" t="s">
        <v>842</v>
      </c>
      <c r="D10" s="44" t="s">
        <v>229</v>
      </c>
      <c r="E10" s="45">
        <v>1714247</v>
      </c>
      <c r="F10" s="46">
        <v>13252.843557</v>
      </c>
      <c r="G10" s="47">
        <v>3.5472009999999998E-2</v>
      </c>
      <c r="H10" s="40" t="s">
        <v>151</v>
      </c>
      <c r="J10" s="7"/>
    </row>
    <row r="11" spans="1:10" x14ac:dyDescent="0.2">
      <c r="A11" s="43">
        <v>5</v>
      </c>
      <c r="B11" s="44" t="s">
        <v>264</v>
      </c>
      <c r="C11" s="44" t="s">
        <v>265</v>
      </c>
      <c r="D11" s="44" t="s">
        <v>86</v>
      </c>
      <c r="E11" s="45">
        <v>849405</v>
      </c>
      <c r="F11" s="46">
        <v>12890.9949825</v>
      </c>
      <c r="G11" s="47">
        <v>3.4503499999999999E-2</v>
      </c>
      <c r="H11" s="40" t="s">
        <v>151</v>
      </c>
      <c r="J11" s="7"/>
    </row>
    <row r="12" spans="1:10" ht="15" x14ac:dyDescent="0.2">
      <c r="A12" s="43">
        <v>6</v>
      </c>
      <c r="B12" s="44" t="s">
        <v>347</v>
      </c>
      <c r="C12" s="44" t="s">
        <v>348</v>
      </c>
      <c r="D12" s="44" t="s">
        <v>45</v>
      </c>
      <c r="E12" s="45">
        <v>949004</v>
      </c>
      <c r="F12" s="46">
        <v>11066.335644000001</v>
      </c>
      <c r="G12" s="47">
        <v>2.9619690000000001E-2</v>
      </c>
      <c r="H12" s="40" t="s">
        <v>151</v>
      </c>
      <c r="J12" s="12"/>
    </row>
    <row r="13" spans="1:10" x14ac:dyDescent="0.2">
      <c r="A13" s="43">
        <v>7</v>
      </c>
      <c r="B13" s="44" t="s">
        <v>330</v>
      </c>
      <c r="C13" s="44" t="s">
        <v>331</v>
      </c>
      <c r="D13" s="44" t="s">
        <v>232</v>
      </c>
      <c r="E13" s="45">
        <v>1431993</v>
      </c>
      <c r="F13" s="46">
        <v>10538.7524835</v>
      </c>
      <c r="G13" s="47">
        <v>2.8207579999999999E-2</v>
      </c>
      <c r="H13" s="40" t="s">
        <v>151</v>
      </c>
      <c r="J13" s="7"/>
    </row>
    <row r="14" spans="1:10" ht="25.5" x14ac:dyDescent="0.2">
      <c r="A14" s="43">
        <v>8</v>
      </c>
      <c r="B14" s="44" t="s">
        <v>796</v>
      </c>
      <c r="C14" s="44" t="s">
        <v>797</v>
      </c>
      <c r="D14" s="44" t="s">
        <v>222</v>
      </c>
      <c r="E14" s="45">
        <v>155851</v>
      </c>
      <c r="F14" s="46">
        <v>10310.011203</v>
      </c>
      <c r="G14" s="47">
        <v>2.7595339999999999E-2</v>
      </c>
      <c r="H14" s="40" t="s">
        <v>151</v>
      </c>
      <c r="J14" s="7" t="s">
        <v>1070</v>
      </c>
    </row>
    <row r="15" spans="1:10" x14ac:dyDescent="0.2">
      <c r="A15" s="43">
        <v>9</v>
      </c>
      <c r="B15" s="44" t="s">
        <v>479</v>
      </c>
      <c r="C15" s="44" t="s">
        <v>480</v>
      </c>
      <c r="D15" s="44" t="s">
        <v>45</v>
      </c>
      <c r="E15" s="45">
        <v>694951</v>
      </c>
      <c r="F15" s="46">
        <v>9922.5103780000009</v>
      </c>
      <c r="G15" s="47">
        <v>2.6558180000000001E-2</v>
      </c>
      <c r="H15" s="40" t="s">
        <v>151</v>
      </c>
      <c r="J15" s="7"/>
    </row>
    <row r="16" spans="1:10" x14ac:dyDescent="0.2">
      <c r="A16" s="43">
        <v>10</v>
      </c>
      <c r="B16" s="44" t="s">
        <v>118</v>
      </c>
      <c r="C16" s="44" t="s">
        <v>119</v>
      </c>
      <c r="D16" s="44" t="s">
        <v>19</v>
      </c>
      <c r="E16" s="45">
        <v>2096126</v>
      </c>
      <c r="F16" s="46">
        <v>9079.3697690000008</v>
      </c>
      <c r="G16" s="47">
        <v>2.430146E-2</v>
      </c>
      <c r="H16" s="40" t="s">
        <v>151</v>
      </c>
      <c r="J16" s="7"/>
    </row>
    <row r="17" spans="1:10" x14ac:dyDescent="0.2">
      <c r="A17" s="43">
        <v>11</v>
      </c>
      <c r="B17" s="44" t="s">
        <v>397</v>
      </c>
      <c r="C17" s="44" t="s">
        <v>398</v>
      </c>
      <c r="D17" s="44" t="s">
        <v>100</v>
      </c>
      <c r="E17" s="45">
        <v>259444</v>
      </c>
      <c r="F17" s="46">
        <v>8974.0382379999992</v>
      </c>
      <c r="G17" s="47">
        <v>2.4019539999999999E-2</v>
      </c>
      <c r="H17" s="40" t="s">
        <v>151</v>
      </c>
      <c r="J17" s="7"/>
    </row>
    <row r="18" spans="1:10" x14ac:dyDescent="0.2">
      <c r="A18" s="43">
        <v>12</v>
      </c>
      <c r="B18" s="44" t="s">
        <v>416</v>
      </c>
      <c r="C18" s="44" t="s">
        <v>417</v>
      </c>
      <c r="D18" s="44" t="s">
        <v>45</v>
      </c>
      <c r="E18" s="45">
        <v>18470366</v>
      </c>
      <c r="F18" s="46">
        <v>8282.1121144000008</v>
      </c>
      <c r="G18" s="47">
        <v>2.2167559999999999E-2</v>
      </c>
      <c r="H18" s="40" t="s">
        <v>151</v>
      </c>
      <c r="J18" s="7"/>
    </row>
    <row r="19" spans="1:10" x14ac:dyDescent="0.2">
      <c r="A19" s="43">
        <v>13</v>
      </c>
      <c r="B19" s="44" t="s">
        <v>278</v>
      </c>
      <c r="C19" s="44" t="s">
        <v>279</v>
      </c>
      <c r="D19" s="44" t="s">
        <v>219</v>
      </c>
      <c r="E19" s="45">
        <v>115379</v>
      </c>
      <c r="F19" s="46">
        <v>7275.2228450000002</v>
      </c>
      <c r="G19" s="47">
        <v>1.947256E-2</v>
      </c>
      <c r="H19" s="40" t="s">
        <v>151</v>
      </c>
      <c r="J19" s="7"/>
    </row>
    <row r="20" spans="1:10" x14ac:dyDescent="0.2">
      <c r="A20" s="43">
        <v>14</v>
      </c>
      <c r="B20" s="44" t="s">
        <v>414</v>
      </c>
      <c r="C20" s="44" t="s">
        <v>415</v>
      </c>
      <c r="D20" s="44" t="s">
        <v>45</v>
      </c>
      <c r="E20" s="45">
        <v>8587852</v>
      </c>
      <c r="F20" s="46">
        <v>6936.4080604000001</v>
      </c>
      <c r="G20" s="47">
        <v>1.8565700000000001E-2</v>
      </c>
      <c r="H20" s="40" t="s">
        <v>151</v>
      </c>
      <c r="J20" s="7"/>
    </row>
    <row r="21" spans="1:10" x14ac:dyDescent="0.2">
      <c r="A21" s="43">
        <v>15</v>
      </c>
      <c r="B21" s="44" t="s">
        <v>411</v>
      </c>
      <c r="C21" s="44" t="s">
        <v>412</v>
      </c>
      <c r="D21" s="44" t="s">
        <v>413</v>
      </c>
      <c r="E21" s="45">
        <v>453931</v>
      </c>
      <c r="F21" s="46">
        <v>6854.8120310000004</v>
      </c>
      <c r="G21" s="47">
        <v>1.83473E-2</v>
      </c>
      <c r="H21" s="40" t="s">
        <v>151</v>
      </c>
      <c r="J21" s="7"/>
    </row>
    <row r="22" spans="1:10" ht="15" x14ac:dyDescent="0.2">
      <c r="A22" s="43">
        <v>16</v>
      </c>
      <c r="B22" s="44" t="s">
        <v>428</v>
      </c>
      <c r="C22" s="44" t="s">
        <v>429</v>
      </c>
      <c r="D22" s="44" t="s">
        <v>430</v>
      </c>
      <c r="E22" s="45">
        <v>425515</v>
      </c>
      <c r="F22" s="46">
        <v>6383.7887874999997</v>
      </c>
      <c r="G22" s="47">
        <v>1.7086580000000001E-2</v>
      </c>
      <c r="H22" s="40" t="s">
        <v>151</v>
      </c>
      <c r="J22" s="12"/>
    </row>
    <row r="23" spans="1:10" x14ac:dyDescent="0.2">
      <c r="A23" s="43">
        <v>17</v>
      </c>
      <c r="B23" s="44" t="s">
        <v>53</v>
      </c>
      <c r="C23" s="44" t="s">
        <v>54</v>
      </c>
      <c r="D23" s="44" t="s">
        <v>19</v>
      </c>
      <c r="E23" s="45">
        <v>556250</v>
      </c>
      <c r="F23" s="46">
        <v>6326.7875000000004</v>
      </c>
      <c r="G23" s="47">
        <v>1.6934020000000001E-2</v>
      </c>
      <c r="H23" s="40" t="s">
        <v>151</v>
      </c>
      <c r="J23" s="7"/>
    </row>
    <row r="24" spans="1:10" x14ac:dyDescent="0.2">
      <c r="A24" s="43">
        <v>18</v>
      </c>
      <c r="B24" s="44" t="s">
        <v>418</v>
      </c>
      <c r="C24" s="44" t="s">
        <v>419</v>
      </c>
      <c r="D24" s="44" t="s">
        <v>219</v>
      </c>
      <c r="E24" s="45">
        <v>755098</v>
      </c>
      <c r="F24" s="46">
        <v>6200.8647760000003</v>
      </c>
      <c r="G24" s="47">
        <v>1.6596980000000001E-2</v>
      </c>
      <c r="H24" s="40" t="s">
        <v>151</v>
      </c>
      <c r="J24" s="7"/>
    </row>
    <row r="25" spans="1:10" x14ac:dyDescent="0.2">
      <c r="A25" s="43">
        <v>19</v>
      </c>
      <c r="B25" s="44" t="s">
        <v>252</v>
      </c>
      <c r="C25" s="44" t="s">
        <v>253</v>
      </c>
      <c r="D25" s="44" t="s">
        <v>242</v>
      </c>
      <c r="E25" s="45">
        <v>732261</v>
      </c>
      <c r="F25" s="46">
        <v>6176.9876654999998</v>
      </c>
      <c r="G25" s="47">
        <v>1.653307E-2</v>
      </c>
      <c r="H25" s="40" t="s">
        <v>151</v>
      </c>
      <c r="J25" s="7"/>
    </row>
    <row r="26" spans="1:10" ht="25.5" x14ac:dyDescent="0.2">
      <c r="A26" s="43">
        <v>20</v>
      </c>
      <c r="B26" s="44" t="s">
        <v>220</v>
      </c>
      <c r="C26" s="44" t="s">
        <v>221</v>
      </c>
      <c r="D26" s="44" t="s">
        <v>222</v>
      </c>
      <c r="E26" s="45">
        <v>1188668</v>
      </c>
      <c r="F26" s="46">
        <v>5965.9246919999996</v>
      </c>
      <c r="G26" s="47">
        <v>1.5968139999999999E-2</v>
      </c>
      <c r="H26" s="40" t="s">
        <v>151</v>
      </c>
      <c r="J26" s="7" t="s">
        <v>1071</v>
      </c>
    </row>
    <row r="27" spans="1:10" x14ac:dyDescent="0.2">
      <c r="A27" s="43">
        <v>21</v>
      </c>
      <c r="B27" s="44" t="s">
        <v>444</v>
      </c>
      <c r="C27" s="44" t="s">
        <v>445</v>
      </c>
      <c r="D27" s="44" t="s">
        <v>242</v>
      </c>
      <c r="E27" s="45">
        <v>717133</v>
      </c>
      <c r="F27" s="46">
        <v>5942.881171</v>
      </c>
      <c r="G27" s="47">
        <v>1.5906469999999999E-2</v>
      </c>
      <c r="H27" s="40" t="s">
        <v>151</v>
      </c>
      <c r="J27" s="7"/>
    </row>
    <row r="28" spans="1:10" x14ac:dyDescent="0.2">
      <c r="A28" s="43">
        <v>22</v>
      </c>
      <c r="B28" s="44" t="s">
        <v>784</v>
      </c>
      <c r="C28" s="44" t="s">
        <v>785</v>
      </c>
      <c r="D28" s="44" t="s">
        <v>219</v>
      </c>
      <c r="E28" s="45">
        <v>102950</v>
      </c>
      <c r="F28" s="46">
        <v>5825.0654249999998</v>
      </c>
      <c r="G28" s="47">
        <v>1.559113E-2</v>
      </c>
      <c r="H28" s="40" t="s">
        <v>151</v>
      </c>
      <c r="J28" s="7"/>
    </row>
    <row r="29" spans="1:10" x14ac:dyDescent="0.2">
      <c r="A29" s="43">
        <v>23</v>
      </c>
      <c r="B29" s="44" t="s">
        <v>458</v>
      </c>
      <c r="C29" s="44" t="s">
        <v>459</v>
      </c>
      <c r="D29" s="44" t="s">
        <v>61</v>
      </c>
      <c r="E29" s="45">
        <v>157978</v>
      </c>
      <c r="F29" s="46">
        <v>5682.7846159999999</v>
      </c>
      <c r="G29" s="47">
        <v>1.52103E-2</v>
      </c>
      <c r="H29" s="40" t="s">
        <v>151</v>
      </c>
      <c r="J29" s="7"/>
    </row>
    <row r="30" spans="1:10" x14ac:dyDescent="0.2">
      <c r="A30" s="43">
        <v>24</v>
      </c>
      <c r="B30" s="44" t="s">
        <v>367</v>
      </c>
      <c r="C30" s="44" t="s">
        <v>368</v>
      </c>
      <c r="D30" s="44" t="s">
        <v>229</v>
      </c>
      <c r="E30" s="45">
        <v>131177</v>
      </c>
      <c r="F30" s="46">
        <v>5627.0997690000004</v>
      </c>
      <c r="G30" s="47">
        <v>1.506126E-2</v>
      </c>
      <c r="H30" s="40" t="s">
        <v>151</v>
      </c>
      <c r="J30" s="7"/>
    </row>
    <row r="31" spans="1:10" x14ac:dyDescent="0.2">
      <c r="A31" s="43">
        <v>25</v>
      </c>
      <c r="B31" s="44" t="s">
        <v>74</v>
      </c>
      <c r="C31" s="44" t="s">
        <v>75</v>
      </c>
      <c r="D31" s="44" t="s">
        <v>76</v>
      </c>
      <c r="E31" s="45">
        <v>525866</v>
      </c>
      <c r="F31" s="46">
        <v>5471.372797</v>
      </c>
      <c r="G31" s="47">
        <v>1.464445E-2</v>
      </c>
      <c r="H31" s="40" t="s">
        <v>151</v>
      </c>
      <c r="J31" s="7"/>
    </row>
    <row r="32" spans="1:10" x14ac:dyDescent="0.2">
      <c r="A32" s="43">
        <v>26</v>
      </c>
      <c r="B32" s="44" t="s">
        <v>254</v>
      </c>
      <c r="C32" s="44" t="s">
        <v>255</v>
      </c>
      <c r="D32" s="44" t="s">
        <v>202</v>
      </c>
      <c r="E32" s="45">
        <v>77583</v>
      </c>
      <c r="F32" s="46">
        <v>5451.9513674999998</v>
      </c>
      <c r="G32" s="47">
        <v>1.459247E-2</v>
      </c>
      <c r="H32" s="40" t="s">
        <v>151</v>
      </c>
      <c r="J32" s="7"/>
    </row>
    <row r="33" spans="1:10" x14ac:dyDescent="0.2">
      <c r="A33" s="43">
        <v>27</v>
      </c>
      <c r="B33" s="44" t="s">
        <v>345</v>
      </c>
      <c r="C33" s="44" t="s">
        <v>346</v>
      </c>
      <c r="D33" s="44" t="s">
        <v>202</v>
      </c>
      <c r="E33" s="45">
        <v>2361073</v>
      </c>
      <c r="F33" s="46">
        <v>5417.4819985000004</v>
      </c>
      <c r="G33" s="47">
        <v>1.4500209999999999E-2</v>
      </c>
      <c r="H33" s="40" t="s">
        <v>151</v>
      </c>
      <c r="J33" s="7"/>
    </row>
    <row r="34" spans="1:10" x14ac:dyDescent="0.2">
      <c r="A34" s="43">
        <v>28</v>
      </c>
      <c r="B34" s="44" t="s">
        <v>422</v>
      </c>
      <c r="C34" s="44" t="s">
        <v>423</v>
      </c>
      <c r="D34" s="44" t="s">
        <v>222</v>
      </c>
      <c r="E34" s="45">
        <v>1552344</v>
      </c>
      <c r="F34" s="46">
        <v>5387.4098519999998</v>
      </c>
      <c r="G34" s="47">
        <v>1.441972E-2</v>
      </c>
      <c r="H34" s="40" t="s">
        <v>151</v>
      </c>
      <c r="J34" s="7"/>
    </row>
    <row r="35" spans="1:10" x14ac:dyDescent="0.2">
      <c r="A35" s="43">
        <v>29</v>
      </c>
      <c r="B35" s="44" t="s">
        <v>217</v>
      </c>
      <c r="C35" s="44" t="s">
        <v>218</v>
      </c>
      <c r="D35" s="44" t="s">
        <v>219</v>
      </c>
      <c r="E35" s="45">
        <v>106441</v>
      </c>
      <c r="F35" s="46">
        <v>5143.5484429999997</v>
      </c>
      <c r="G35" s="47">
        <v>1.376701E-2</v>
      </c>
      <c r="H35" s="40" t="s">
        <v>151</v>
      </c>
      <c r="J35" s="7"/>
    </row>
    <row r="36" spans="1:10" x14ac:dyDescent="0.2">
      <c r="A36" s="43">
        <v>30</v>
      </c>
      <c r="B36" s="44" t="s">
        <v>84</v>
      </c>
      <c r="C36" s="44" t="s">
        <v>85</v>
      </c>
      <c r="D36" s="44" t="s">
        <v>86</v>
      </c>
      <c r="E36" s="45">
        <v>789004</v>
      </c>
      <c r="F36" s="46">
        <v>5083.1582699999999</v>
      </c>
      <c r="G36" s="47">
        <v>1.360537E-2</v>
      </c>
      <c r="H36" s="40" t="s">
        <v>151</v>
      </c>
      <c r="J36" s="7"/>
    </row>
    <row r="37" spans="1:10" x14ac:dyDescent="0.2">
      <c r="A37" s="43">
        <v>31</v>
      </c>
      <c r="B37" s="44" t="s">
        <v>43</v>
      </c>
      <c r="C37" s="44" t="s">
        <v>44</v>
      </c>
      <c r="D37" s="44" t="s">
        <v>45</v>
      </c>
      <c r="E37" s="45">
        <v>413869</v>
      </c>
      <c r="F37" s="46">
        <v>5028.0944810000001</v>
      </c>
      <c r="G37" s="47">
        <v>1.345799E-2</v>
      </c>
      <c r="H37" s="40" t="s">
        <v>151</v>
      </c>
      <c r="J37" s="7"/>
    </row>
    <row r="38" spans="1:10" x14ac:dyDescent="0.2">
      <c r="A38" s="43">
        <v>32</v>
      </c>
      <c r="B38" s="44" t="s">
        <v>399</v>
      </c>
      <c r="C38" s="44" t="s">
        <v>400</v>
      </c>
      <c r="D38" s="44" t="s">
        <v>401</v>
      </c>
      <c r="E38" s="45">
        <v>11684</v>
      </c>
      <c r="F38" s="46">
        <v>4953.63627</v>
      </c>
      <c r="G38" s="47">
        <v>1.32587E-2</v>
      </c>
      <c r="H38" s="40" t="s">
        <v>151</v>
      </c>
      <c r="J38" s="7"/>
    </row>
    <row r="39" spans="1:10" x14ac:dyDescent="0.2">
      <c r="A39" s="43">
        <v>33</v>
      </c>
      <c r="B39" s="44" t="s">
        <v>424</v>
      </c>
      <c r="C39" s="44" t="s">
        <v>425</v>
      </c>
      <c r="D39" s="44" t="s">
        <v>45</v>
      </c>
      <c r="E39" s="45">
        <v>1496154</v>
      </c>
      <c r="F39" s="46">
        <v>4907.3851199999999</v>
      </c>
      <c r="G39" s="47">
        <v>1.31349E-2</v>
      </c>
      <c r="H39" s="40" t="s">
        <v>151</v>
      </c>
      <c r="J39" s="7"/>
    </row>
    <row r="40" spans="1:10" x14ac:dyDescent="0.2">
      <c r="A40" s="43">
        <v>34</v>
      </c>
      <c r="B40" s="44" t="s">
        <v>194</v>
      </c>
      <c r="C40" s="44" t="s">
        <v>195</v>
      </c>
      <c r="D40" s="44" t="s">
        <v>100</v>
      </c>
      <c r="E40" s="45">
        <v>816410</v>
      </c>
      <c r="F40" s="46">
        <v>4730.2795400000005</v>
      </c>
      <c r="G40" s="47">
        <v>1.2660869999999999E-2</v>
      </c>
      <c r="H40" s="40" t="s">
        <v>151</v>
      </c>
      <c r="J40" s="7"/>
    </row>
    <row r="41" spans="1:10" x14ac:dyDescent="0.2">
      <c r="A41" s="43">
        <v>35</v>
      </c>
      <c r="B41" s="44" t="s">
        <v>564</v>
      </c>
      <c r="C41" s="44" t="s">
        <v>565</v>
      </c>
      <c r="D41" s="44" t="s">
        <v>219</v>
      </c>
      <c r="E41" s="45">
        <v>299465</v>
      </c>
      <c r="F41" s="46">
        <v>4654.8839600000001</v>
      </c>
      <c r="G41" s="47">
        <v>1.2459069999999999E-2</v>
      </c>
      <c r="H41" s="40" t="s">
        <v>151</v>
      </c>
      <c r="J41" s="7"/>
    </row>
    <row r="42" spans="1:10" x14ac:dyDescent="0.2">
      <c r="A42" s="43">
        <v>36</v>
      </c>
      <c r="B42" s="44" t="s">
        <v>409</v>
      </c>
      <c r="C42" s="44" t="s">
        <v>410</v>
      </c>
      <c r="D42" s="44" t="s">
        <v>242</v>
      </c>
      <c r="E42" s="45">
        <v>273508</v>
      </c>
      <c r="F42" s="46">
        <v>4517.941898</v>
      </c>
      <c r="G42" s="47">
        <v>1.2092530000000001E-2</v>
      </c>
      <c r="H42" s="40" t="s">
        <v>151</v>
      </c>
      <c r="J42" s="7"/>
    </row>
    <row r="43" spans="1:10" x14ac:dyDescent="0.2">
      <c r="A43" s="43">
        <v>37</v>
      </c>
      <c r="B43" s="44" t="s">
        <v>289</v>
      </c>
      <c r="C43" s="44" t="s">
        <v>290</v>
      </c>
      <c r="D43" s="44" t="s">
        <v>86</v>
      </c>
      <c r="E43" s="45">
        <v>265869</v>
      </c>
      <c r="F43" s="46">
        <v>4455.0338984999999</v>
      </c>
      <c r="G43" s="47">
        <v>1.192416E-2</v>
      </c>
      <c r="H43" s="40" t="s">
        <v>151</v>
      </c>
      <c r="J43" s="7"/>
    </row>
    <row r="44" spans="1:10" x14ac:dyDescent="0.2">
      <c r="A44" s="43">
        <v>38</v>
      </c>
      <c r="B44" s="44" t="s">
        <v>467</v>
      </c>
      <c r="C44" s="44" t="s">
        <v>468</v>
      </c>
      <c r="D44" s="44" t="s">
        <v>232</v>
      </c>
      <c r="E44" s="45">
        <v>252204</v>
      </c>
      <c r="F44" s="46">
        <v>4422.7754459999996</v>
      </c>
      <c r="G44" s="47">
        <v>1.1837820000000001E-2</v>
      </c>
      <c r="H44" s="40" t="s">
        <v>151</v>
      </c>
      <c r="J44" s="7"/>
    </row>
    <row r="45" spans="1:10" x14ac:dyDescent="0.2">
      <c r="A45" s="43">
        <v>39</v>
      </c>
      <c r="B45" s="44" t="s">
        <v>438</v>
      </c>
      <c r="C45" s="44" t="s">
        <v>439</v>
      </c>
      <c r="D45" s="44" t="s">
        <v>229</v>
      </c>
      <c r="E45" s="45">
        <v>190363</v>
      </c>
      <c r="F45" s="46">
        <v>4123.5481245000001</v>
      </c>
      <c r="G45" s="47">
        <v>1.103692E-2</v>
      </c>
      <c r="H45" s="40" t="s">
        <v>151</v>
      </c>
      <c r="J45" s="7"/>
    </row>
    <row r="46" spans="1:10" ht="25.5" x14ac:dyDescent="0.2">
      <c r="A46" s="43">
        <v>40</v>
      </c>
      <c r="B46" s="44" t="s">
        <v>431</v>
      </c>
      <c r="C46" s="44" t="s">
        <v>432</v>
      </c>
      <c r="D46" s="44" t="s">
        <v>433</v>
      </c>
      <c r="E46" s="45">
        <v>941308</v>
      </c>
      <c r="F46" s="46">
        <v>4016.561236</v>
      </c>
      <c r="G46" s="47">
        <v>1.0750559999999999E-2</v>
      </c>
      <c r="H46" s="40" t="s">
        <v>151</v>
      </c>
      <c r="J46" s="7"/>
    </row>
    <row r="47" spans="1:10" x14ac:dyDescent="0.2">
      <c r="A47" s="43">
        <v>41</v>
      </c>
      <c r="B47" s="44" t="s">
        <v>685</v>
      </c>
      <c r="C47" s="44" t="s">
        <v>686</v>
      </c>
      <c r="D47" s="44" t="s">
        <v>86</v>
      </c>
      <c r="E47" s="45">
        <v>56679</v>
      </c>
      <c r="F47" s="46">
        <v>3858.1111904999998</v>
      </c>
      <c r="G47" s="47">
        <v>1.0326460000000001E-2</v>
      </c>
      <c r="H47" s="40" t="s">
        <v>151</v>
      </c>
      <c r="J47" s="7"/>
    </row>
    <row r="48" spans="1:10" x14ac:dyDescent="0.2">
      <c r="A48" s="43">
        <v>42</v>
      </c>
      <c r="B48" s="44" t="s">
        <v>520</v>
      </c>
      <c r="C48" s="44" t="s">
        <v>521</v>
      </c>
      <c r="D48" s="44" t="s">
        <v>86</v>
      </c>
      <c r="E48" s="45">
        <v>475185</v>
      </c>
      <c r="F48" s="46">
        <v>3827.6151749999999</v>
      </c>
      <c r="G48" s="47">
        <v>1.024484E-2</v>
      </c>
      <c r="H48" s="40" t="s">
        <v>151</v>
      </c>
      <c r="J48" s="7"/>
    </row>
    <row r="49" spans="1:10" x14ac:dyDescent="0.2">
      <c r="A49" s="43">
        <v>43</v>
      </c>
      <c r="B49" s="44" t="s">
        <v>516</v>
      </c>
      <c r="C49" s="44" t="s">
        <v>517</v>
      </c>
      <c r="D49" s="44" t="s">
        <v>100</v>
      </c>
      <c r="E49" s="45">
        <v>371803</v>
      </c>
      <c r="F49" s="46">
        <v>3608.1622134999998</v>
      </c>
      <c r="G49" s="47">
        <v>9.6574599999999997E-3</v>
      </c>
      <c r="H49" s="40" t="s">
        <v>151</v>
      </c>
      <c r="J49" s="7"/>
    </row>
    <row r="50" spans="1:10" x14ac:dyDescent="0.2">
      <c r="A50" s="43">
        <v>44</v>
      </c>
      <c r="B50" s="44" t="s">
        <v>454</v>
      </c>
      <c r="C50" s="44" t="s">
        <v>455</v>
      </c>
      <c r="D50" s="44" t="s">
        <v>76</v>
      </c>
      <c r="E50" s="45">
        <v>353653</v>
      </c>
      <c r="F50" s="46">
        <v>3588.6938175</v>
      </c>
      <c r="G50" s="47">
        <v>9.6053500000000003E-3</v>
      </c>
      <c r="H50" s="40" t="s">
        <v>151</v>
      </c>
      <c r="J50" s="7"/>
    </row>
    <row r="51" spans="1:10" x14ac:dyDescent="0.2">
      <c r="A51" s="43">
        <v>45</v>
      </c>
      <c r="B51" s="44" t="s">
        <v>386</v>
      </c>
      <c r="C51" s="44" t="s">
        <v>387</v>
      </c>
      <c r="D51" s="44" t="s">
        <v>202</v>
      </c>
      <c r="E51" s="45">
        <v>60312</v>
      </c>
      <c r="F51" s="46">
        <v>2976.9701639999998</v>
      </c>
      <c r="G51" s="47">
        <v>7.9680299999999992E-3</v>
      </c>
      <c r="H51" s="40" t="s">
        <v>151</v>
      </c>
      <c r="J51" s="7"/>
    </row>
    <row r="52" spans="1:10" x14ac:dyDescent="0.2">
      <c r="A52" s="43">
        <v>46</v>
      </c>
      <c r="B52" s="44" t="s">
        <v>758</v>
      </c>
      <c r="C52" s="44" t="s">
        <v>759</v>
      </c>
      <c r="D52" s="44" t="s">
        <v>222</v>
      </c>
      <c r="E52" s="45">
        <v>139519</v>
      </c>
      <c r="F52" s="46">
        <v>2956.2680909999999</v>
      </c>
      <c r="G52" s="47">
        <v>7.9126200000000004E-3</v>
      </c>
      <c r="H52" s="40" t="s">
        <v>151</v>
      </c>
      <c r="J52" s="7"/>
    </row>
    <row r="53" spans="1:10" x14ac:dyDescent="0.2">
      <c r="A53" s="43">
        <v>47</v>
      </c>
      <c r="B53" s="44" t="s">
        <v>309</v>
      </c>
      <c r="C53" s="44" t="s">
        <v>310</v>
      </c>
      <c r="D53" s="44" t="s">
        <v>229</v>
      </c>
      <c r="E53" s="45">
        <v>110265</v>
      </c>
      <c r="F53" s="46">
        <v>2818.8695925000002</v>
      </c>
      <c r="G53" s="47">
        <v>7.5448700000000004E-3</v>
      </c>
      <c r="H53" s="40" t="s">
        <v>151</v>
      </c>
      <c r="J53" s="7"/>
    </row>
    <row r="54" spans="1:10" x14ac:dyDescent="0.2">
      <c r="A54" s="43">
        <v>48</v>
      </c>
      <c r="B54" s="44" t="s">
        <v>446</v>
      </c>
      <c r="C54" s="44" t="s">
        <v>447</v>
      </c>
      <c r="D54" s="44" t="s">
        <v>86</v>
      </c>
      <c r="E54" s="45">
        <v>207221</v>
      </c>
      <c r="F54" s="46">
        <v>2751.1696065000001</v>
      </c>
      <c r="G54" s="47">
        <v>7.3636700000000001E-3</v>
      </c>
      <c r="H54" s="40" t="s">
        <v>151</v>
      </c>
      <c r="J54" s="7"/>
    </row>
    <row r="55" spans="1:10" x14ac:dyDescent="0.2">
      <c r="A55" s="43">
        <v>49</v>
      </c>
      <c r="B55" s="44" t="s">
        <v>530</v>
      </c>
      <c r="C55" s="44" t="s">
        <v>531</v>
      </c>
      <c r="D55" s="44" t="s">
        <v>229</v>
      </c>
      <c r="E55" s="45">
        <v>236039</v>
      </c>
      <c r="F55" s="46">
        <v>2449.2586835000002</v>
      </c>
      <c r="G55" s="47">
        <v>6.5555800000000001E-3</v>
      </c>
      <c r="H55" s="40" t="s">
        <v>151</v>
      </c>
      <c r="J55" s="7"/>
    </row>
    <row r="56" spans="1:10" x14ac:dyDescent="0.2">
      <c r="A56" s="43">
        <v>50</v>
      </c>
      <c r="B56" s="44" t="s">
        <v>271</v>
      </c>
      <c r="C56" s="44" t="s">
        <v>272</v>
      </c>
      <c r="D56" s="44" t="s">
        <v>45</v>
      </c>
      <c r="E56" s="45">
        <v>1650061</v>
      </c>
      <c r="F56" s="46">
        <v>2224.282228</v>
      </c>
      <c r="G56" s="47">
        <v>5.9534200000000001E-3</v>
      </c>
      <c r="H56" s="40" t="s">
        <v>151</v>
      </c>
      <c r="J56" s="7"/>
    </row>
    <row r="57" spans="1:10" x14ac:dyDescent="0.2">
      <c r="A57" s="43">
        <v>51</v>
      </c>
      <c r="B57" s="44" t="s">
        <v>541</v>
      </c>
      <c r="C57" s="44" t="s">
        <v>542</v>
      </c>
      <c r="D57" s="44" t="s">
        <v>232</v>
      </c>
      <c r="E57" s="45">
        <v>361058</v>
      </c>
      <c r="F57" s="46">
        <v>2163.0984779999999</v>
      </c>
      <c r="G57" s="47">
        <v>5.7896600000000003E-3</v>
      </c>
      <c r="H57" s="40" t="s">
        <v>151</v>
      </c>
      <c r="J57" s="7"/>
    </row>
    <row r="58" spans="1:10" x14ac:dyDescent="0.2">
      <c r="A58" s="43">
        <v>52</v>
      </c>
      <c r="B58" s="44" t="s">
        <v>434</v>
      </c>
      <c r="C58" s="44" t="s">
        <v>435</v>
      </c>
      <c r="D58" s="44" t="s">
        <v>86</v>
      </c>
      <c r="E58" s="45">
        <v>233862</v>
      </c>
      <c r="F58" s="46">
        <v>1984.6698630000001</v>
      </c>
      <c r="G58" s="47">
        <v>5.3120800000000003E-3</v>
      </c>
      <c r="H58" s="40" t="s">
        <v>151</v>
      </c>
      <c r="J58" s="7"/>
    </row>
    <row r="59" spans="1:10" x14ac:dyDescent="0.2">
      <c r="A59" s="41"/>
      <c r="B59" s="41"/>
      <c r="C59" s="42" t="s">
        <v>150</v>
      </c>
      <c r="D59" s="41"/>
      <c r="E59" s="41" t="s">
        <v>151</v>
      </c>
      <c r="F59" s="48">
        <v>360228.2270818</v>
      </c>
      <c r="G59" s="49">
        <v>0.96417185999999999</v>
      </c>
      <c r="H59" s="40" t="s">
        <v>151</v>
      </c>
      <c r="J59" s="7"/>
    </row>
    <row r="60" spans="1:10" x14ac:dyDescent="0.2">
      <c r="A60" s="41"/>
      <c r="B60" s="41"/>
      <c r="C60" s="50"/>
      <c r="D60" s="41"/>
      <c r="E60" s="41"/>
      <c r="F60" s="51"/>
      <c r="G60" s="51"/>
      <c r="H60" s="40" t="s">
        <v>151</v>
      </c>
      <c r="J60" s="7"/>
    </row>
    <row r="61" spans="1:10" x14ac:dyDescent="0.2">
      <c r="A61" s="41"/>
      <c r="B61" s="41"/>
      <c r="C61" s="42" t="s">
        <v>152</v>
      </c>
      <c r="D61" s="41"/>
      <c r="E61" s="41"/>
      <c r="F61" s="41"/>
      <c r="G61" s="41"/>
      <c r="H61" s="40" t="s">
        <v>151</v>
      </c>
      <c r="J61" s="7"/>
    </row>
    <row r="62" spans="1:10" x14ac:dyDescent="0.2">
      <c r="A62" s="43">
        <v>1</v>
      </c>
      <c r="B62" s="44" t="s">
        <v>843</v>
      </c>
      <c r="C62" s="44" t="s">
        <v>1010</v>
      </c>
      <c r="D62" s="44" t="s">
        <v>242</v>
      </c>
      <c r="E62" s="45">
        <v>37829</v>
      </c>
      <c r="F62" s="46">
        <v>2964.8860671580001</v>
      </c>
      <c r="G62" s="47">
        <v>7.9356900000000005E-3</v>
      </c>
      <c r="H62" s="40" t="s">
        <v>151</v>
      </c>
      <c r="J62" s="7"/>
    </row>
    <row r="63" spans="1:10" x14ac:dyDescent="0.2">
      <c r="A63" s="41"/>
      <c r="B63" s="41"/>
      <c r="C63" s="42" t="s">
        <v>150</v>
      </c>
      <c r="D63" s="41"/>
      <c r="E63" s="41" t="s">
        <v>151</v>
      </c>
      <c r="F63" s="48">
        <v>2964.8860671580001</v>
      </c>
      <c r="G63" s="49">
        <v>7.9356900000000005E-3</v>
      </c>
      <c r="H63" s="40" t="s">
        <v>151</v>
      </c>
      <c r="J63" s="7"/>
    </row>
    <row r="64" spans="1:10" x14ac:dyDescent="0.2">
      <c r="A64" s="41"/>
      <c r="B64" s="41"/>
      <c r="C64" s="50"/>
      <c r="D64" s="41"/>
      <c r="E64" s="41"/>
      <c r="F64" s="51"/>
      <c r="G64" s="51"/>
      <c r="H64" s="40" t="s">
        <v>151</v>
      </c>
      <c r="J64" s="7"/>
    </row>
    <row r="65" spans="1:10" x14ac:dyDescent="0.2">
      <c r="A65" s="41"/>
      <c r="B65" s="41"/>
      <c r="C65" s="42" t="s">
        <v>154</v>
      </c>
      <c r="D65" s="41"/>
      <c r="E65" s="41"/>
      <c r="F65" s="41"/>
      <c r="G65" s="41"/>
      <c r="H65" s="40" t="s">
        <v>151</v>
      </c>
      <c r="J65" s="7"/>
    </row>
    <row r="66" spans="1:10" x14ac:dyDescent="0.2">
      <c r="A66" s="41"/>
      <c r="B66" s="41"/>
      <c r="C66" s="42" t="s">
        <v>150</v>
      </c>
      <c r="D66" s="41"/>
      <c r="E66" s="41" t="s">
        <v>151</v>
      </c>
      <c r="F66" s="52" t="s">
        <v>153</v>
      </c>
      <c r="G66" s="49">
        <v>0</v>
      </c>
      <c r="H66" s="40" t="s">
        <v>151</v>
      </c>
      <c r="J66" s="7"/>
    </row>
    <row r="67" spans="1:10" x14ac:dyDescent="0.2">
      <c r="A67" s="41"/>
      <c r="B67" s="41"/>
      <c r="C67" s="50"/>
      <c r="D67" s="41"/>
      <c r="E67" s="41"/>
      <c r="F67" s="51"/>
      <c r="G67" s="51"/>
      <c r="H67" s="40" t="s">
        <v>151</v>
      </c>
      <c r="J67" s="7"/>
    </row>
    <row r="68" spans="1:10" x14ac:dyDescent="0.2">
      <c r="A68" s="41"/>
      <c r="B68" s="41"/>
      <c r="C68" s="42" t="s">
        <v>155</v>
      </c>
      <c r="D68" s="41"/>
      <c r="E68" s="41"/>
      <c r="F68" s="41"/>
      <c r="G68" s="41"/>
      <c r="H68" s="40" t="s">
        <v>151</v>
      </c>
      <c r="J68" s="7"/>
    </row>
    <row r="69" spans="1:10" x14ac:dyDescent="0.2">
      <c r="A69" s="41"/>
      <c r="B69" s="41"/>
      <c r="C69" s="42" t="s">
        <v>150</v>
      </c>
      <c r="D69" s="41"/>
      <c r="E69" s="41" t="s">
        <v>151</v>
      </c>
      <c r="F69" s="52" t="s">
        <v>153</v>
      </c>
      <c r="G69" s="49">
        <v>0</v>
      </c>
      <c r="H69" s="40" t="s">
        <v>151</v>
      </c>
      <c r="J69" s="7"/>
    </row>
    <row r="70" spans="1:10" x14ac:dyDescent="0.2">
      <c r="A70" s="41"/>
      <c r="B70" s="41"/>
      <c r="C70" s="50"/>
      <c r="D70" s="41"/>
      <c r="E70" s="41"/>
      <c r="F70" s="51"/>
      <c r="G70" s="51"/>
      <c r="H70" s="40" t="s">
        <v>151</v>
      </c>
      <c r="J70" s="7"/>
    </row>
    <row r="71" spans="1:10" x14ac:dyDescent="0.2">
      <c r="A71" s="41"/>
      <c r="B71" s="41"/>
      <c r="C71" s="42" t="s">
        <v>156</v>
      </c>
      <c r="D71" s="41"/>
      <c r="E71" s="41"/>
      <c r="F71" s="51"/>
      <c r="G71" s="51"/>
      <c r="H71" s="40" t="s">
        <v>151</v>
      </c>
      <c r="J71" s="7"/>
    </row>
    <row r="72" spans="1:10" x14ac:dyDescent="0.2">
      <c r="A72" s="41"/>
      <c r="B72" s="41"/>
      <c r="C72" s="42" t="s">
        <v>150</v>
      </c>
      <c r="D72" s="41"/>
      <c r="E72" s="41" t="s">
        <v>151</v>
      </c>
      <c r="F72" s="52" t="s">
        <v>153</v>
      </c>
      <c r="G72" s="49">
        <v>0</v>
      </c>
      <c r="H72" s="40" t="s">
        <v>151</v>
      </c>
      <c r="J72" s="7"/>
    </row>
    <row r="73" spans="1:10" x14ac:dyDescent="0.2">
      <c r="A73" s="41"/>
      <c r="B73" s="41"/>
      <c r="C73" s="50"/>
      <c r="D73" s="41"/>
      <c r="E73" s="41"/>
      <c r="F73" s="51"/>
      <c r="G73" s="51"/>
      <c r="H73" s="40" t="s">
        <v>151</v>
      </c>
      <c r="J73" s="7"/>
    </row>
    <row r="74" spans="1:10" x14ac:dyDescent="0.2">
      <c r="A74" s="41"/>
      <c r="B74" s="41"/>
      <c r="C74" s="42" t="s">
        <v>157</v>
      </c>
      <c r="D74" s="41"/>
      <c r="E74" s="41"/>
      <c r="F74" s="51"/>
      <c r="G74" s="51"/>
      <c r="H74" s="40" t="s">
        <v>151</v>
      </c>
      <c r="J74" s="7"/>
    </row>
    <row r="75" spans="1:10" x14ac:dyDescent="0.2">
      <c r="A75" s="41"/>
      <c r="B75" s="41"/>
      <c r="C75" s="42" t="s">
        <v>150</v>
      </c>
      <c r="D75" s="41"/>
      <c r="E75" s="41" t="s">
        <v>151</v>
      </c>
      <c r="F75" s="52" t="s">
        <v>153</v>
      </c>
      <c r="G75" s="49">
        <v>0</v>
      </c>
      <c r="H75" s="40" t="s">
        <v>151</v>
      </c>
      <c r="J75" s="7"/>
    </row>
    <row r="76" spans="1:10" x14ac:dyDescent="0.2">
      <c r="A76" s="41"/>
      <c r="B76" s="41"/>
      <c r="C76" s="50"/>
      <c r="D76" s="41"/>
      <c r="E76" s="41"/>
      <c r="F76" s="51"/>
      <c r="G76" s="51"/>
      <c r="H76" s="40" t="s">
        <v>151</v>
      </c>
      <c r="J76" s="7"/>
    </row>
    <row r="77" spans="1:10" x14ac:dyDescent="0.2">
      <c r="A77" s="41"/>
      <c r="B77" s="41"/>
      <c r="C77" s="42" t="s">
        <v>158</v>
      </c>
      <c r="D77" s="41"/>
      <c r="E77" s="41"/>
      <c r="F77" s="48">
        <v>363193.11314895801</v>
      </c>
      <c r="G77" s="49">
        <v>0.97210755000000004</v>
      </c>
      <c r="H77" s="40" t="s">
        <v>151</v>
      </c>
      <c r="J77" s="7"/>
    </row>
    <row r="78" spans="1:10" x14ac:dyDescent="0.2">
      <c r="A78" s="41"/>
      <c r="B78" s="41"/>
      <c r="C78" s="50"/>
      <c r="D78" s="41"/>
      <c r="E78" s="41"/>
      <c r="F78" s="51"/>
      <c r="G78" s="51"/>
      <c r="H78" s="40" t="s">
        <v>151</v>
      </c>
      <c r="J78" s="7"/>
    </row>
    <row r="79" spans="1:10" x14ac:dyDescent="0.2">
      <c r="A79" s="41"/>
      <c r="B79" s="41"/>
      <c r="C79" s="42" t="s">
        <v>159</v>
      </c>
      <c r="D79" s="41"/>
      <c r="E79" s="41"/>
      <c r="F79" s="51"/>
      <c r="G79" s="51"/>
      <c r="H79" s="40" t="s">
        <v>151</v>
      </c>
      <c r="J79" s="7"/>
    </row>
    <row r="80" spans="1:10" x14ac:dyDescent="0.2">
      <c r="A80" s="41"/>
      <c r="B80" s="41"/>
      <c r="C80" s="42" t="s">
        <v>10</v>
      </c>
      <c r="D80" s="41"/>
      <c r="E80" s="41"/>
      <c r="F80" s="51"/>
      <c r="G80" s="51"/>
      <c r="H80" s="40" t="s">
        <v>151</v>
      </c>
      <c r="J80" s="7"/>
    </row>
    <row r="81" spans="1:10" x14ac:dyDescent="0.2">
      <c r="A81" s="41"/>
      <c r="B81" s="41"/>
      <c r="C81" s="42" t="s">
        <v>150</v>
      </c>
      <c r="D81" s="41"/>
      <c r="E81" s="41" t="s">
        <v>151</v>
      </c>
      <c r="F81" s="52" t="s">
        <v>153</v>
      </c>
      <c r="G81" s="49">
        <v>0</v>
      </c>
      <c r="H81" s="40" t="s">
        <v>151</v>
      </c>
      <c r="J81" s="7"/>
    </row>
    <row r="82" spans="1:10" x14ac:dyDescent="0.2">
      <c r="A82" s="41"/>
      <c r="B82" s="41"/>
      <c r="C82" s="50"/>
      <c r="D82" s="41"/>
      <c r="E82" s="41"/>
      <c r="F82" s="51"/>
      <c r="G82" s="51"/>
      <c r="H82" s="40" t="s">
        <v>151</v>
      </c>
      <c r="J82" s="7"/>
    </row>
    <row r="83" spans="1:10" x14ac:dyDescent="0.2">
      <c r="A83" s="41"/>
      <c r="B83" s="41"/>
      <c r="C83" s="42" t="s">
        <v>160</v>
      </c>
      <c r="D83" s="41"/>
      <c r="E83" s="41"/>
      <c r="F83" s="41"/>
      <c r="G83" s="41"/>
      <c r="H83" s="40" t="s">
        <v>151</v>
      </c>
      <c r="J83" s="7"/>
    </row>
    <row r="84" spans="1:10" x14ac:dyDescent="0.2">
      <c r="A84" s="41"/>
      <c r="B84" s="41"/>
      <c r="C84" s="42" t="s">
        <v>150</v>
      </c>
      <c r="D84" s="41"/>
      <c r="E84" s="41" t="s">
        <v>151</v>
      </c>
      <c r="F84" s="52" t="s">
        <v>153</v>
      </c>
      <c r="G84" s="49">
        <v>0</v>
      </c>
      <c r="H84" s="40" t="s">
        <v>151</v>
      </c>
      <c r="J84" s="7"/>
    </row>
    <row r="85" spans="1:10" x14ac:dyDescent="0.2">
      <c r="A85" s="41"/>
      <c r="B85" s="41"/>
      <c r="C85" s="50"/>
      <c r="D85" s="41"/>
      <c r="E85" s="41"/>
      <c r="F85" s="51"/>
      <c r="G85" s="51"/>
      <c r="H85" s="40" t="s">
        <v>151</v>
      </c>
      <c r="J85" s="7"/>
    </row>
    <row r="86" spans="1:10" x14ac:dyDescent="0.2">
      <c r="A86" s="41"/>
      <c r="B86" s="41"/>
      <c r="C86" s="42" t="s">
        <v>161</v>
      </c>
      <c r="D86" s="41"/>
      <c r="E86" s="41"/>
      <c r="F86" s="41"/>
      <c r="G86" s="41"/>
      <c r="H86" s="40" t="s">
        <v>151</v>
      </c>
      <c r="J86" s="7"/>
    </row>
    <row r="87" spans="1:10" x14ac:dyDescent="0.2">
      <c r="A87" s="41"/>
      <c r="B87" s="41"/>
      <c r="C87" s="42" t="s">
        <v>150</v>
      </c>
      <c r="D87" s="41"/>
      <c r="E87" s="41" t="s">
        <v>151</v>
      </c>
      <c r="F87" s="52" t="s">
        <v>153</v>
      </c>
      <c r="G87" s="49">
        <v>0</v>
      </c>
      <c r="H87" s="40" t="s">
        <v>151</v>
      </c>
      <c r="J87" s="7"/>
    </row>
    <row r="88" spans="1:10" x14ac:dyDescent="0.2">
      <c r="A88" s="41"/>
      <c r="B88" s="41"/>
      <c r="C88" s="50"/>
      <c r="D88" s="41"/>
      <c r="E88" s="41"/>
      <c r="F88" s="51"/>
      <c r="G88" s="51"/>
      <c r="H88" s="40" t="s">
        <v>151</v>
      </c>
      <c r="J88" s="7"/>
    </row>
    <row r="89" spans="1:10" x14ac:dyDescent="0.2">
      <c r="A89" s="41"/>
      <c r="B89" s="41"/>
      <c r="C89" s="42" t="s">
        <v>162</v>
      </c>
      <c r="D89" s="41"/>
      <c r="E89" s="41"/>
      <c r="F89" s="51"/>
      <c r="G89" s="51"/>
      <c r="H89" s="40" t="s">
        <v>151</v>
      </c>
      <c r="J89" s="7"/>
    </row>
    <row r="90" spans="1:10" x14ac:dyDescent="0.2">
      <c r="A90" s="41"/>
      <c r="B90" s="41"/>
      <c r="C90" s="42" t="s">
        <v>150</v>
      </c>
      <c r="D90" s="41"/>
      <c r="E90" s="41" t="s">
        <v>151</v>
      </c>
      <c r="F90" s="52" t="s">
        <v>153</v>
      </c>
      <c r="G90" s="49">
        <v>0</v>
      </c>
      <c r="H90" s="40" t="s">
        <v>151</v>
      </c>
      <c r="J90" s="7"/>
    </row>
    <row r="91" spans="1:10" x14ac:dyDescent="0.2">
      <c r="A91" s="41"/>
      <c r="B91" s="41"/>
      <c r="C91" s="50"/>
      <c r="D91" s="41"/>
      <c r="E91" s="41"/>
      <c r="F91" s="51"/>
      <c r="G91" s="51"/>
      <c r="H91" s="40" t="s">
        <v>151</v>
      </c>
      <c r="J91" s="7"/>
    </row>
    <row r="92" spans="1:10" x14ac:dyDescent="0.2">
      <c r="A92" s="41"/>
      <c r="B92" s="41"/>
      <c r="C92" s="42" t="s">
        <v>163</v>
      </c>
      <c r="D92" s="41"/>
      <c r="E92" s="41"/>
      <c r="F92" s="48">
        <v>0</v>
      </c>
      <c r="G92" s="49">
        <v>0</v>
      </c>
      <c r="H92" s="40" t="s">
        <v>151</v>
      </c>
      <c r="J92" s="7"/>
    </row>
    <row r="93" spans="1:10" x14ac:dyDescent="0.2">
      <c r="A93" s="41"/>
      <c r="B93" s="41"/>
      <c r="C93" s="50"/>
      <c r="D93" s="41"/>
      <c r="E93" s="41"/>
      <c r="F93" s="51"/>
      <c r="G93" s="51"/>
      <c r="H93" s="40" t="s">
        <v>151</v>
      </c>
      <c r="J93" s="7"/>
    </row>
    <row r="94" spans="1:10" x14ac:dyDescent="0.2">
      <c r="A94" s="41"/>
      <c r="B94" s="41"/>
      <c r="C94" s="42" t="s">
        <v>164</v>
      </c>
      <c r="D94" s="41"/>
      <c r="E94" s="41"/>
      <c r="F94" s="51"/>
      <c r="G94" s="51"/>
      <c r="H94" s="40" t="s">
        <v>151</v>
      </c>
      <c r="J94" s="7"/>
    </row>
    <row r="95" spans="1:10" x14ac:dyDescent="0.2">
      <c r="A95" s="41"/>
      <c r="B95" s="41"/>
      <c r="C95" s="42" t="s">
        <v>165</v>
      </c>
      <c r="D95" s="41"/>
      <c r="E95" s="41"/>
      <c r="F95" s="51"/>
      <c r="G95" s="51"/>
      <c r="H95" s="40" t="s">
        <v>151</v>
      </c>
      <c r="J95" s="7"/>
    </row>
    <row r="96" spans="1:10" x14ac:dyDescent="0.2">
      <c r="A96" s="41"/>
      <c r="B96" s="41"/>
      <c r="C96" s="42" t="s">
        <v>150</v>
      </c>
      <c r="D96" s="41"/>
      <c r="E96" s="41" t="s">
        <v>151</v>
      </c>
      <c r="F96" s="52" t="s">
        <v>153</v>
      </c>
      <c r="G96" s="49">
        <v>0</v>
      </c>
      <c r="H96" s="40" t="s">
        <v>151</v>
      </c>
      <c r="J96" s="7"/>
    </row>
    <row r="97" spans="1:10" x14ac:dyDescent="0.2">
      <c r="A97" s="41"/>
      <c r="B97" s="41"/>
      <c r="C97" s="50"/>
      <c r="D97" s="41"/>
      <c r="E97" s="41"/>
      <c r="F97" s="51"/>
      <c r="G97" s="51"/>
      <c r="H97" s="40" t="s">
        <v>151</v>
      </c>
      <c r="J97" s="7"/>
    </row>
    <row r="98" spans="1:10" x14ac:dyDescent="0.2">
      <c r="A98" s="41"/>
      <c r="B98" s="41"/>
      <c r="C98" s="42" t="s">
        <v>166</v>
      </c>
      <c r="D98" s="41"/>
      <c r="E98" s="41"/>
      <c r="F98" s="51"/>
      <c r="G98" s="51"/>
      <c r="H98" s="40" t="s">
        <v>151</v>
      </c>
      <c r="J98" s="7"/>
    </row>
    <row r="99" spans="1:10" x14ac:dyDescent="0.2">
      <c r="A99" s="41"/>
      <c r="B99" s="41"/>
      <c r="C99" s="42" t="s">
        <v>150</v>
      </c>
      <c r="D99" s="41"/>
      <c r="E99" s="41" t="s">
        <v>151</v>
      </c>
      <c r="F99" s="52" t="s">
        <v>153</v>
      </c>
      <c r="G99" s="49">
        <v>0</v>
      </c>
      <c r="H99" s="40" t="s">
        <v>151</v>
      </c>
      <c r="J99" s="7"/>
    </row>
    <row r="100" spans="1:10" x14ac:dyDescent="0.2">
      <c r="A100" s="41"/>
      <c r="B100" s="41"/>
      <c r="C100" s="50"/>
      <c r="D100" s="41"/>
      <c r="E100" s="41"/>
      <c r="F100" s="51"/>
      <c r="G100" s="51"/>
      <c r="H100" s="40" t="s">
        <v>151</v>
      </c>
      <c r="J100" s="7"/>
    </row>
    <row r="101" spans="1:10" x14ac:dyDescent="0.2">
      <c r="A101" s="41"/>
      <c r="B101" s="41"/>
      <c r="C101" s="42" t="s">
        <v>167</v>
      </c>
      <c r="D101" s="41"/>
      <c r="E101" s="41"/>
      <c r="F101" s="51"/>
      <c r="G101" s="51"/>
      <c r="H101" s="40" t="s">
        <v>151</v>
      </c>
      <c r="J101" s="7"/>
    </row>
    <row r="102" spans="1:10" x14ac:dyDescent="0.2">
      <c r="A102" s="43">
        <v>1</v>
      </c>
      <c r="B102" s="44" t="s">
        <v>682</v>
      </c>
      <c r="C102" s="44" t="s">
        <v>1085</v>
      </c>
      <c r="D102" s="44" t="s">
        <v>549</v>
      </c>
      <c r="E102" s="45">
        <v>2000000</v>
      </c>
      <c r="F102" s="46">
        <v>1975.002</v>
      </c>
      <c r="G102" s="47">
        <v>5.2862100000000004E-3</v>
      </c>
      <c r="H102" s="40">
        <v>6.6</v>
      </c>
      <c r="J102" s="7"/>
    </row>
    <row r="103" spans="1:10" x14ac:dyDescent="0.2">
      <c r="A103" s="43">
        <v>2</v>
      </c>
      <c r="B103" s="44" t="s">
        <v>548</v>
      </c>
      <c r="C103" s="44" t="s">
        <v>1080</v>
      </c>
      <c r="D103" s="44" t="s">
        <v>549</v>
      </c>
      <c r="E103" s="45">
        <v>1000000</v>
      </c>
      <c r="F103" s="46">
        <v>951.52200000000005</v>
      </c>
      <c r="G103" s="47">
        <v>2.5468000000000001E-3</v>
      </c>
      <c r="H103" s="40">
        <v>6.7868000000000004</v>
      </c>
      <c r="J103" s="7"/>
    </row>
    <row r="104" spans="1:10" x14ac:dyDescent="0.2">
      <c r="A104" s="41"/>
      <c r="B104" s="41"/>
      <c r="C104" s="42" t="s">
        <v>150</v>
      </c>
      <c r="D104" s="41"/>
      <c r="E104" s="41" t="s">
        <v>151</v>
      </c>
      <c r="F104" s="48">
        <v>2926.5239999999999</v>
      </c>
      <c r="G104" s="49">
        <v>7.8330099999999996E-3</v>
      </c>
      <c r="H104" s="40" t="s">
        <v>151</v>
      </c>
      <c r="J104" s="7"/>
    </row>
    <row r="105" spans="1:10" x14ac:dyDescent="0.2">
      <c r="A105" s="41"/>
      <c r="B105" s="41"/>
      <c r="C105" s="50"/>
      <c r="D105" s="41"/>
      <c r="E105" s="41"/>
      <c r="F105" s="51"/>
      <c r="G105" s="51"/>
      <c r="H105" s="40" t="s">
        <v>151</v>
      </c>
      <c r="J105" s="7"/>
    </row>
    <row r="106" spans="1:10" x14ac:dyDescent="0.2">
      <c r="A106" s="41"/>
      <c r="B106" s="41"/>
      <c r="C106" s="42" t="s">
        <v>168</v>
      </c>
      <c r="D106" s="41"/>
      <c r="E106" s="41"/>
      <c r="F106" s="51"/>
      <c r="G106" s="51"/>
      <c r="H106" s="40" t="s">
        <v>151</v>
      </c>
      <c r="J106" s="7"/>
    </row>
    <row r="107" spans="1:10" x14ac:dyDescent="0.2">
      <c r="A107" s="43">
        <v>1</v>
      </c>
      <c r="B107" s="44"/>
      <c r="C107" s="44" t="s">
        <v>169</v>
      </c>
      <c r="D107" s="44"/>
      <c r="E107" s="54"/>
      <c r="F107" s="46">
        <v>8677.0100209979992</v>
      </c>
      <c r="G107" s="47">
        <v>2.3224519999999998E-2</v>
      </c>
      <c r="H107" s="40">
        <v>6.39</v>
      </c>
      <c r="J107" s="7"/>
    </row>
    <row r="108" spans="1:10" x14ac:dyDescent="0.2">
      <c r="A108" s="41"/>
      <c r="B108" s="41"/>
      <c r="C108" s="42" t="s">
        <v>150</v>
      </c>
      <c r="D108" s="41"/>
      <c r="E108" s="41" t="s">
        <v>151</v>
      </c>
      <c r="F108" s="48">
        <v>8677.0100209979992</v>
      </c>
      <c r="G108" s="49">
        <v>2.3224519999999998E-2</v>
      </c>
      <c r="H108" s="40" t="s">
        <v>151</v>
      </c>
      <c r="J108" s="7"/>
    </row>
    <row r="109" spans="1:10" x14ac:dyDescent="0.2">
      <c r="A109" s="41"/>
      <c r="B109" s="41"/>
      <c r="C109" s="50"/>
      <c r="D109" s="41"/>
      <c r="E109" s="41"/>
      <c r="F109" s="51"/>
      <c r="G109" s="51"/>
      <c r="H109" s="40" t="s">
        <v>151</v>
      </c>
      <c r="J109" s="7"/>
    </row>
    <row r="110" spans="1:10" x14ac:dyDescent="0.2">
      <c r="A110" s="41"/>
      <c r="B110" s="41"/>
      <c r="C110" s="42" t="s">
        <v>170</v>
      </c>
      <c r="D110" s="41"/>
      <c r="E110" s="41"/>
      <c r="F110" s="48">
        <v>11603.534020998</v>
      </c>
      <c r="G110" s="49">
        <v>3.105753E-2</v>
      </c>
      <c r="H110" s="40" t="s">
        <v>151</v>
      </c>
      <c r="J110" s="7"/>
    </row>
    <row r="111" spans="1:10" x14ac:dyDescent="0.2">
      <c r="A111" s="41"/>
      <c r="B111" s="41"/>
      <c r="C111" s="51"/>
      <c r="D111" s="41"/>
      <c r="E111" s="41"/>
      <c r="F111" s="41"/>
      <c r="G111" s="41"/>
      <c r="H111" s="40" t="s">
        <v>151</v>
      </c>
      <c r="J111" s="7"/>
    </row>
    <row r="112" spans="1:10" x14ac:dyDescent="0.2">
      <c r="A112" s="41"/>
      <c r="B112" s="41"/>
      <c r="C112" s="42" t="s">
        <v>171</v>
      </c>
      <c r="D112" s="41"/>
      <c r="E112" s="41"/>
      <c r="F112" s="41"/>
      <c r="G112" s="41"/>
      <c r="H112" s="40" t="s">
        <v>151</v>
      </c>
      <c r="J112" s="7"/>
    </row>
    <row r="113" spans="1:10" x14ac:dyDescent="0.2">
      <c r="A113" s="41"/>
      <c r="B113" s="41"/>
      <c r="C113" s="42" t="s">
        <v>172</v>
      </c>
      <c r="D113" s="41"/>
      <c r="E113" s="41"/>
      <c r="F113" s="41"/>
      <c r="G113" s="41"/>
      <c r="H113" s="40" t="s">
        <v>151</v>
      </c>
      <c r="J113" s="7"/>
    </row>
    <row r="114" spans="1:10" x14ac:dyDescent="0.2">
      <c r="A114" s="41"/>
      <c r="B114" s="41"/>
      <c r="C114" s="42" t="s">
        <v>150</v>
      </c>
      <c r="D114" s="41"/>
      <c r="E114" s="41" t="s">
        <v>151</v>
      </c>
      <c r="F114" s="52" t="s">
        <v>153</v>
      </c>
      <c r="G114" s="49">
        <v>0</v>
      </c>
      <c r="H114" s="40" t="s">
        <v>151</v>
      </c>
      <c r="J114" s="7"/>
    </row>
    <row r="115" spans="1:10" x14ac:dyDescent="0.2">
      <c r="A115" s="41"/>
      <c r="B115" s="41"/>
      <c r="C115" s="50"/>
      <c r="D115" s="41"/>
      <c r="E115" s="41"/>
      <c r="F115" s="51"/>
      <c r="G115" s="51"/>
      <c r="H115" s="40" t="s">
        <v>151</v>
      </c>
      <c r="J115" s="7"/>
    </row>
    <row r="116" spans="1:10" x14ac:dyDescent="0.2">
      <c r="A116" s="41"/>
      <c r="B116" s="41"/>
      <c r="C116" s="42" t="s">
        <v>173</v>
      </c>
      <c r="D116" s="41"/>
      <c r="E116" s="41"/>
      <c r="F116" s="41"/>
      <c r="G116" s="41"/>
      <c r="H116" s="40" t="s">
        <v>151</v>
      </c>
      <c r="J116" s="7"/>
    </row>
    <row r="117" spans="1:10" x14ac:dyDescent="0.2">
      <c r="A117" s="41"/>
      <c r="B117" s="41"/>
      <c r="C117" s="42" t="s">
        <v>174</v>
      </c>
      <c r="D117" s="41"/>
      <c r="E117" s="41"/>
      <c r="F117" s="41"/>
      <c r="G117" s="41"/>
      <c r="H117" s="40" t="s">
        <v>151</v>
      </c>
      <c r="J117" s="7"/>
    </row>
    <row r="118" spans="1:10" x14ac:dyDescent="0.2">
      <c r="A118" s="41"/>
      <c r="B118" s="41"/>
      <c r="C118" s="42" t="s">
        <v>150</v>
      </c>
      <c r="D118" s="41"/>
      <c r="E118" s="41" t="s">
        <v>151</v>
      </c>
      <c r="F118" s="52" t="s">
        <v>153</v>
      </c>
      <c r="G118" s="49">
        <v>0</v>
      </c>
      <c r="H118" s="40" t="s">
        <v>151</v>
      </c>
      <c r="J118" s="7"/>
    </row>
    <row r="119" spans="1:10" x14ac:dyDescent="0.2">
      <c r="A119" s="41"/>
      <c r="B119" s="41"/>
      <c r="C119" s="50"/>
      <c r="D119" s="41"/>
      <c r="E119" s="41"/>
      <c r="F119" s="51"/>
      <c r="G119" s="51"/>
      <c r="H119" s="40" t="s">
        <v>151</v>
      </c>
      <c r="J119" s="7"/>
    </row>
    <row r="120" spans="1:10" x14ac:dyDescent="0.2">
      <c r="A120" s="41"/>
      <c r="B120" s="41"/>
      <c r="C120" s="42" t="s">
        <v>175</v>
      </c>
      <c r="D120" s="41"/>
      <c r="E120" s="41"/>
      <c r="F120" s="51"/>
      <c r="G120" s="51"/>
      <c r="H120" s="40" t="s">
        <v>151</v>
      </c>
      <c r="J120" s="7"/>
    </row>
    <row r="121" spans="1:10" x14ac:dyDescent="0.2">
      <c r="A121" s="41"/>
      <c r="B121" s="41"/>
      <c r="C121" s="42" t="s">
        <v>150</v>
      </c>
      <c r="D121" s="41"/>
      <c r="E121" s="41" t="s">
        <v>151</v>
      </c>
      <c r="F121" s="52" t="s">
        <v>153</v>
      </c>
      <c r="G121" s="49">
        <v>0</v>
      </c>
      <c r="H121" s="40" t="s">
        <v>151</v>
      </c>
      <c r="J121" s="7"/>
    </row>
    <row r="122" spans="1:10" x14ac:dyDescent="0.2">
      <c r="A122" s="41"/>
      <c r="B122" s="41"/>
      <c r="C122" s="50"/>
      <c r="D122" s="41"/>
      <c r="E122" s="41"/>
      <c r="F122" s="51"/>
      <c r="G122" s="51"/>
      <c r="H122" s="40" t="s">
        <v>151</v>
      </c>
      <c r="J122" s="7"/>
    </row>
    <row r="123" spans="1:10" x14ac:dyDescent="0.2">
      <c r="A123" s="54"/>
      <c r="B123" s="44"/>
      <c r="C123" s="44" t="s">
        <v>550</v>
      </c>
      <c r="D123" s="44"/>
      <c r="E123" s="54"/>
      <c r="F123" s="46">
        <v>999.99990490000005</v>
      </c>
      <c r="G123" s="47">
        <v>2.6765600000000001E-3</v>
      </c>
      <c r="H123" s="40" t="s">
        <v>151</v>
      </c>
      <c r="J123" s="7"/>
    </row>
    <row r="124" spans="1:10" x14ac:dyDescent="0.2">
      <c r="A124" s="54"/>
      <c r="B124" s="44"/>
      <c r="C124" s="83" t="s">
        <v>996</v>
      </c>
      <c r="D124" s="44"/>
      <c r="E124" s="54"/>
      <c r="F124" s="46">
        <v>-2182.4937637100002</v>
      </c>
      <c r="G124" s="47">
        <v>-5.8415699999999999E-3</v>
      </c>
      <c r="H124" s="40" t="s">
        <v>151</v>
      </c>
      <c r="J124" s="7"/>
    </row>
    <row r="125" spans="1:10" x14ac:dyDescent="0.2">
      <c r="A125" s="50"/>
      <c r="B125" s="50"/>
      <c r="C125" s="42" t="s">
        <v>177</v>
      </c>
      <c r="D125" s="51"/>
      <c r="E125" s="51"/>
      <c r="F125" s="48">
        <v>373614.15331114602</v>
      </c>
      <c r="G125" s="55">
        <v>1.00000007</v>
      </c>
      <c r="H125" s="40" t="s">
        <v>151</v>
      </c>
      <c r="J125" s="7"/>
    </row>
    <row r="126" spans="1:10" x14ac:dyDescent="0.2">
      <c r="A126" s="56"/>
      <c r="B126" s="56"/>
      <c r="C126" s="56"/>
      <c r="D126" s="57"/>
      <c r="E126" s="57"/>
      <c r="F126" s="57"/>
      <c r="G126" s="57"/>
      <c r="J126" s="7"/>
    </row>
    <row r="127" spans="1:10" ht="12.75" customHeight="1" x14ac:dyDescent="0.2">
      <c r="A127" s="58"/>
      <c r="B127" s="159" t="s">
        <v>923</v>
      </c>
      <c r="C127" s="159"/>
      <c r="D127" s="159"/>
      <c r="E127" s="159"/>
      <c r="F127" s="159"/>
      <c r="G127" s="159"/>
      <c r="H127" s="159"/>
      <c r="J127" s="7"/>
    </row>
    <row r="128" spans="1:10" ht="14.1" customHeight="1" x14ac:dyDescent="0.2">
      <c r="A128" s="58"/>
      <c r="B128" s="159" t="s">
        <v>924</v>
      </c>
      <c r="C128" s="159"/>
      <c r="D128" s="159"/>
      <c r="E128" s="159"/>
      <c r="F128" s="159"/>
      <c r="G128" s="159"/>
      <c r="H128" s="159"/>
      <c r="J128" s="7"/>
    </row>
    <row r="129" spans="1:17" ht="17.100000000000001" customHeight="1" x14ac:dyDescent="0.2">
      <c r="A129" s="58"/>
      <c r="B129" s="159" t="s">
        <v>925</v>
      </c>
      <c r="C129" s="159"/>
      <c r="D129" s="159"/>
      <c r="E129" s="159"/>
      <c r="F129" s="159"/>
      <c r="G129" s="159"/>
      <c r="H129" s="159"/>
      <c r="J129" s="7"/>
    </row>
    <row r="130" spans="1:17" s="8" customFormat="1" ht="65.25" customHeight="1" x14ac:dyDescent="0.25">
      <c r="A130" s="60"/>
      <c r="B130" s="160" t="s">
        <v>926</v>
      </c>
      <c r="C130" s="160"/>
      <c r="D130" s="160"/>
      <c r="E130" s="160"/>
      <c r="F130" s="160"/>
      <c r="G130" s="160"/>
      <c r="H130" s="160"/>
      <c r="I130"/>
      <c r="J130" s="7"/>
      <c r="K130"/>
      <c r="L130"/>
      <c r="M130"/>
      <c r="N130"/>
      <c r="O130"/>
      <c r="P130"/>
      <c r="Q130"/>
    </row>
    <row r="131" spans="1:17" ht="12.75" customHeight="1" x14ac:dyDescent="0.2">
      <c r="A131" s="58"/>
      <c r="B131" s="159" t="s">
        <v>927</v>
      </c>
      <c r="C131" s="159"/>
      <c r="D131" s="159"/>
      <c r="E131" s="159"/>
      <c r="F131" s="159"/>
      <c r="G131" s="159"/>
      <c r="H131" s="159"/>
      <c r="J131" s="7"/>
    </row>
    <row r="132" spans="1:17" x14ac:dyDescent="0.2">
      <c r="A132" s="61"/>
      <c r="B132" s="61"/>
      <c r="C132" s="61"/>
      <c r="D132" s="62"/>
      <c r="E132" s="62"/>
      <c r="F132" s="62"/>
      <c r="G132" s="62"/>
      <c r="J132" s="7"/>
    </row>
    <row r="133" spans="1:17" x14ac:dyDescent="0.2">
      <c r="A133" s="61"/>
      <c r="B133" s="161" t="s">
        <v>178</v>
      </c>
      <c r="C133" s="162"/>
      <c r="D133" s="163"/>
      <c r="E133" s="63"/>
      <c r="F133" s="62"/>
      <c r="G133" s="62"/>
      <c r="J133" s="7"/>
    </row>
    <row r="134" spans="1:17" x14ac:dyDescent="0.2">
      <c r="A134" s="61"/>
      <c r="B134" s="156" t="s">
        <v>179</v>
      </c>
      <c r="C134" s="157"/>
      <c r="D134" s="42" t="s">
        <v>180</v>
      </c>
      <c r="E134" s="63"/>
      <c r="F134" s="62"/>
      <c r="G134" s="62"/>
      <c r="J134" s="7"/>
    </row>
    <row r="135" spans="1:17" x14ac:dyDescent="0.2">
      <c r="A135" s="61"/>
      <c r="B135" s="156" t="s">
        <v>181</v>
      </c>
      <c r="C135" s="157"/>
      <c r="D135" s="42" t="s">
        <v>180</v>
      </c>
      <c r="E135" s="63"/>
      <c r="F135" s="62"/>
      <c r="G135" s="62"/>
      <c r="J135" s="7"/>
    </row>
    <row r="136" spans="1:17" x14ac:dyDescent="0.2">
      <c r="A136" s="61"/>
      <c r="B136" s="156" t="s">
        <v>182</v>
      </c>
      <c r="C136" s="157"/>
      <c r="D136" s="51" t="s">
        <v>151</v>
      </c>
      <c r="E136" s="63"/>
      <c r="F136" s="62"/>
      <c r="G136" s="62"/>
      <c r="J136" s="7"/>
    </row>
    <row r="137" spans="1:17" x14ac:dyDescent="0.2">
      <c r="A137" s="67"/>
      <c r="B137" s="68" t="s">
        <v>151</v>
      </c>
      <c r="C137" s="68" t="s">
        <v>937</v>
      </c>
      <c r="D137" s="68" t="s">
        <v>183</v>
      </c>
      <c r="E137" s="67"/>
      <c r="F137" s="67"/>
      <c r="G137" s="67"/>
      <c r="H137" s="67"/>
      <c r="J137" s="7"/>
    </row>
    <row r="138" spans="1:17" x14ac:dyDescent="0.2">
      <c r="A138" s="69"/>
      <c r="B138" s="70" t="s">
        <v>184</v>
      </c>
      <c r="C138" s="80" t="s">
        <v>185</v>
      </c>
      <c r="D138" s="80" t="s">
        <v>186</v>
      </c>
      <c r="E138" s="69"/>
      <c r="F138" s="69"/>
      <c r="G138" s="69"/>
      <c r="J138" s="7"/>
    </row>
    <row r="139" spans="1:17" x14ac:dyDescent="0.2">
      <c r="A139" s="69"/>
      <c r="B139" s="44" t="s">
        <v>187</v>
      </c>
      <c r="C139" s="72">
        <v>33.023400000000002</v>
      </c>
      <c r="D139" s="72">
        <v>33.980499999999999</v>
      </c>
      <c r="E139" s="69"/>
      <c r="F139" s="73"/>
      <c r="G139" s="74"/>
      <c r="J139" s="7"/>
    </row>
    <row r="140" spans="1:17" x14ac:dyDescent="0.2">
      <c r="A140" s="69"/>
      <c r="B140" s="44" t="s">
        <v>1094</v>
      </c>
      <c r="C140" s="72">
        <v>24.4299</v>
      </c>
      <c r="D140" s="72">
        <v>25.137899999999998</v>
      </c>
      <c r="E140" s="69"/>
      <c r="F140" s="73"/>
      <c r="G140" s="74"/>
      <c r="J140" s="7"/>
    </row>
    <row r="141" spans="1:17" x14ac:dyDescent="0.2">
      <c r="A141" s="69"/>
      <c r="B141" s="44" t="s">
        <v>188</v>
      </c>
      <c r="C141" s="72">
        <v>30.875499999999999</v>
      </c>
      <c r="D141" s="72">
        <v>31.738700000000001</v>
      </c>
      <c r="E141" s="69"/>
      <c r="F141" s="73"/>
      <c r="G141" s="74"/>
      <c r="J141" s="7"/>
    </row>
    <row r="142" spans="1:17" x14ac:dyDescent="0.2">
      <c r="A142" s="69"/>
      <c r="B142" s="44" t="s">
        <v>1095</v>
      </c>
      <c r="C142" s="72">
        <v>22.8169</v>
      </c>
      <c r="D142" s="72">
        <v>23.454799999999999</v>
      </c>
      <c r="E142" s="69"/>
      <c r="F142" s="73"/>
      <c r="G142" s="74"/>
      <c r="J142" s="7"/>
    </row>
    <row r="143" spans="1:17" x14ac:dyDescent="0.2">
      <c r="A143" s="69"/>
      <c r="B143" s="69"/>
      <c r="C143" s="69"/>
      <c r="D143" s="69"/>
      <c r="E143" s="69"/>
      <c r="F143" s="69"/>
      <c r="G143" s="69"/>
      <c r="J143" s="7"/>
    </row>
    <row r="144" spans="1:17" x14ac:dyDescent="0.2">
      <c r="A144" s="67"/>
      <c r="B144" s="164" t="s">
        <v>940</v>
      </c>
      <c r="C144" s="165"/>
      <c r="D144" s="64" t="s">
        <v>180</v>
      </c>
      <c r="E144" s="67"/>
      <c r="F144" s="67"/>
      <c r="G144" s="67"/>
      <c r="J144" s="7"/>
    </row>
    <row r="145" spans="1:10" x14ac:dyDescent="0.2">
      <c r="A145" s="67"/>
      <c r="B145" s="84"/>
      <c r="C145" s="84"/>
      <c r="D145" s="84"/>
      <c r="E145" s="67"/>
      <c r="F145" s="67"/>
      <c r="G145" s="67"/>
      <c r="J145" s="7"/>
    </row>
    <row r="146" spans="1:10" ht="29.1" customHeight="1" x14ac:dyDescent="0.2">
      <c r="A146" s="67"/>
      <c r="B146" s="164" t="s">
        <v>189</v>
      </c>
      <c r="C146" s="165"/>
      <c r="D146" s="64" t="s">
        <v>180</v>
      </c>
      <c r="E146" s="67"/>
      <c r="F146" s="67"/>
      <c r="G146" s="67"/>
      <c r="H146" s="67"/>
      <c r="J146" s="7"/>
    </row>
    <row r="147" spans="1:10" ht="29.1" customHeight="1" x14ac:dyDescent="0.2">
      <c r="A147" s="67"/>
      <c r="B147" s="164" t="s">
        <v>190</v>
      </c>
      <c r="C147" s="165"/>
      <c r="D147" s="140" t="str">
        <f>"Rs. "&amp;TEXT(F63,"0.00")&amp;" Lacs"</f>
        <v>Rs. 2964.89 Lacs</v>
      </c>
      <c r="E147" s="75"/>
      <c r="F147" s="67"/>
      <c r="G147" s="67"/>
      <c r="H147" s="67"/>
      <c r="J147" s="7"/>
    </row>
    <row r="148" spans="1:10" ht="17.100000000000001" customHeight="1" x14ac:dyDescent="0.2">
      <c r="A148" s="67"/>
      <c r="B148" s="164" t="s">
        <v>191</v>
      </c>
      <c r="C148" s="165"/>
      <c r="D148" s="64" t="s">
        <v>180</v>
      </c>
      <c r="E148" s="75"/>
      <c r="F148" s="67"/>
      <c r="G148" s="67"/>
      <c r="H148" s="67"/>
      <c r="J148" s="7"/>
    </row>
    <row r="149" spans="1:10" ht="17.100000000000001" customHeight="1" x14ac:dyDescent="0.2">
      <c r="A149" s="67"/>
      <c r="B149" s="164" t="s">
        <v>192</v>
      </c>
      <c r="C149" s="165"/>
      <c r="D149" s="76">
        <v>0.79679595441128948</v>
      </c>
      <c r="E149" s="67"/>
      <c r="F149" s="59"/>
      <c r="G149" s="77"/>
      <c r="H149" s="77"/>
      <c r="J149" s="7"/>
    </row>
    <row r="150" spans="1:10" x14ac:dyDescent="0.2">
      <c r="J150" s="7"/>
    </row>
  </sheetData>
  <mergeCells count="17">
    <mergeCell ref="B135:C135"/>
    <mergeCell ref="B136:C136"/>
    <mergeCell ref="B144:C144"/>
    <mergeCell ref="B148:C148"/>
    <mergeCell ref="B149:C149"/>
    <mergeCell ref="B146:C146"/>
    <mergeCell ref="B147:C147"/>
    <mergeCell ref="B134:C134"/>
    <mergeCell ref="A1:H1"/>
    <mergeCell ref="A2:H2"/>
    <mergeCell ref="A3:H3"/>
    <mergeCell ref="B127:H127"/>
    <mergeCell ref="B128:H128"/>
    <mergeCell ref="B129:H129"/>
    <mergeCell ref="B130:H130"/>
    <mergeCell ref="B131:H131"/>
    <mergeCell ref="B133:D133"/>
  </mergeCells>
  <hyperlinks>
    <hyperlink ref="I1" location="Index!B25" display="Index" xr:uid="{C2167FBA-3479-47BA-8E2B-921718AD329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347B1-74DE-46AC-8FE6-2F5BC7B53C76}">
  <sheetPr>
    <outlinePr summaryBelow="0" summaryRight="0"/>
  </sheetPr>
  <dimension ref="A1:Q159"/>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42578125" bestFit="1" customWidth="1"/>
    <col min="5" max="5" width="8.7109375" bestFit="1" customWidth="1"/>
    <col min="6" max="6" width="10.140625" bestFit="1" customWidth="1"/>
    <col min="7" max="7" width="8.85546875" customWidth="1"/>
    <col min="8" max="8" width="8.42578125" bestFit="1" customWidth="1"/>
    <col min="10" max="10" width="50.7109375" style="9" customWidth="1"/>
  </cols>
  <sheetData>
    <row r="1" spans="1:10" ht="15" x14ac:dyDescent="0.2">
      <c r="A1" s="158" t="s">
        <v>0</v>
      </c>
      <c r="B1" s="158"/>
      <c r="C1" s="158"/>
      <c r="D1" s="158"/>
      <c r="E1" s="158"/>
      <c r="F1" s="158"/>
      <c r="G1" s="158"/>
      <c r="H1" s="158"/>
      <c r="I1" s="13" t="s">
        <v>941</v>
      </c>
      <c r="J1" s="7"/>
    </row>
    <row r="2" spans="1:10" ht="15" x14ac:dyDescent="0.2">
      <c r="A2" s="158" t="s">
        <v>844</v>
      </c>
      <c r="B2" s="158"/>
      <c r="C2" s="158"/>
      <c r="D2" s="158"/>
      <c r="E2" s="158"/>
      <c r="F2" s="158"/>
      <c r="G2" s="158"/>
      <c r="H2" s="158"/>
      <c r="J2" s="11" t="s">
        <v>942</v>
      </c>
    </row>
    <row r="3" spans="1:10" ht="15" x14ac:dyDescent="0.2">
      <c r="A3" s="158" t="s">
        <v>880</v>
      </c>
      <c r="B3" s="158"/>
      <c r="C3" s="158"/>
      <c r="D3" s="158"/>
      <c r="E3" s="158"/>
      <c r="F3" s="158"/>
      <c r="G3" s="158"/>
      <c r="H3" s="158"/>
      <c r="J3" s="7"/>
    </row>
    <row r="4" spans="1:10" s="1" customFormat="1" ht="30" x14ac:dyDescent="0.2">
      <c r="A4" s="36" t="s">
        <v>2</v>
      </c>
      <c r="B4" s="36" t="s">
        <v>3</v>
      </c>
      <c r="C4" s="36" t="s">
        <v>4</v>
      </c>
      <c r="D4" s="36" t="s">
        <v>5</v>
      </c>
      <c r="E4" s="36" t="s">
        <v>6</v>
      </c>
      <c r="F4" s="36" t="s">
        <v>7</v>
      </c>
      <c r="G4" s="36" t="s">
        <v>8</v>
      </c>
      <c r="H4" s="37" t="s">
        <v>921</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341</v>
      </c>
      <c r="C7" s="44" t="s">
        <v>342</v>
      </c>
      <c r="D7" s="44" t="s">
        <v>45</v>
      </c>
      <c r="E7" s="45">
        <v>767171</v>
      </c>
      <c r="F7" s="46">
        <v>12395.5654325</v>
      </c>
      <c r="G7" s="47">
        <v>7.3874110000000007E-2</v>
      </c>
      <c r="H7" s="40" t="s">
        <v>151</v>
      </c>
      <c r="J7" s="7"/>
    </row>
    <row r="8" spans="1:10" x14ac:dyDescent="0.2">
      <c r="A8" s="43">
        <v>2</v>
      </c>
      <c r="B8" s="44" t="s">
        <v>43</v>
      </c>
      <c r="C8" s="44" t="s">
        <v>44</v>
      </c>
      <c r="D8" s="44" t="s">
        <v>45</v>
      </c>
      <c r="E8" s="45">
        <v>883000</v>
      </c>
      <c r="F8" s="46">
        <v>10727.566999999999</v>
      </c>
      <c r="G8" s="47">
        <v>6.3933309999999993E-2</v>
      </c>
      <c r="H8" s="40" t="s">
        <v>151</v>
      </c>
      <c r="J8" s="7"/>
    </row>
    <row r="9" spans="1:10" x14ac:dyDescent="0.2">
      <c r="A9" s="43">
        <v>3</v>
      </c>
      <c r="B9" s="44" t="s">
        <v>20</v>
      </c>
      <c r="C9" s="44" t="s">
        <v>21</v>
      </c>
      <c r="D9" s="44" t="s">
        <v>22</v>
      </c>
      <c r="E9" s="45">
        <v>331000</v>
      </c>
      <c r="F9" s="46">
        <v>9965.9135000000006</v>
      </c>
      <c r="G9" s="47">
        <v>5.9394059999999999E-2</v>
      </c>
      <c r="H9" s="40" t="s">
        <v>151</v>
      </c>
      <c r="J9" s="7"/>
    </row>
    <row r="10" spans="1:10" x14ac:dyDescent="0.2">
      <c r="A10" s="43">
        <v>4</v>
      </c>
      <c r="B10" s="44" t="s">
        <v>343</v>
      </c>
      <c r="C10" s="44" t="s">
        <v>344</v>
      </c>
      <c r="D10" s="44" t="s">
        <v>219</v>
      </c>
      <c r="E10" s="45">
        <v>418000</v>
      </c>
      <c r="F10" s="46">
        <v>7809.2849999999999</v>
      </c>
      <c r="G10" s="47">
        <v>4.6541159999999998E-2</v>
      </c>
      <c r="H10" s="40" t="s">
        <v>151</v>
      </c>
      <c r="J10" s="7"/>
    </row>
    <row r="11" spans="1:10" x14ac:dyDescent="0.2">
      <c r="A11" s="43">
        <v>5</v>
      </c>
      <c r="B11" s="44" t="s">
        <v>11</v>
      </c>
      <c r="C11" s="44" t="s">
        <v>12</v>
      </c>
      <c r="D11" s="44" t="s">
        <v>13</v>
      </c>
      <c r="E11" s="45">
        <v>156446</v>
      </c>
      <c r="F11" s="46">
        <v>5968.4148999999998</v>
      </c>
      <c r="G11" s="47">
        <v>3.5570089999999999E-2</v>
      </c>
      <c r="H11" s="40" t="s">
        <v>151</v>
      </c>
      <c r="J11" s="7"/>
    </row>
    <row r="12" spans="1:10" ht="25.5" x14ac:dyDescent="0.2">
      <c r="A12" s="43">
        <v>6</v>
      </c>
      <c r="B12" s="44" t="s">
        <v>353</v>
      </c>
      <c r="C12" s="44" t="s">
        <v>354</v>
      </c>
      <c r="D12" s="44" t="s">
        <v>210</v>
      </c>
      <c r="E12" s="45">
        <v>326000</v>
      </c>
      <c r="F12" s="46">
        <v>5605.0810000000001</v>
      </c>
      <c r="G12" s="47">
        <v>3.3404719999999999E-2</v>
      </c>
      <c r="H12" s="40" t="s">
        <v>151</v>
      </c>
      <c r="J12" s="12"/>
    </row>
    <row r="13" spans="1:10" x14ac:dyDescent="0.2">
      <c r="A13" s="43">
        <v>7</v>
      </c>
      <c r="B13" s="44" t="s">
        <v>357</v>
      </c>
      <c r="C13" s="44" t="s">
        <v>358</v>
      </c>
      <c r="D13" s="44" t="s">
        <v>282</v>
      </c>
      <c r="E13" s="45">
        <v>457000</v>
      </c>
      <c r="F13" s="46">
        <v>5285.8905000000004</v>
      </c>
      <c r="G13" s="47">
        <v>3.1502429999999998E-2</v>
      </c>
      <c r="H13" s="40" t="s">
        <v>151</v>
      </c>
      <c r="J13" s="7"/>
    </row>
    <row r="14" spans="1:10" x14ac:dyDescent="0.2">
      <c r="A14" s="43">
        <v>8</v>
      </c>
      <c r="B14" s="44" t="s">
        <v>349</v>
      </c>
      <c r="C14" s="44" t="s">
        <v>350</v>
      </c>
      <c r="D14" s="44" t="s">
        <v>219</v>
      </c>
      <c r="E14" s="45">
        <v>114734</v>
      </c>
      <c r="F14" s="46">
        <v>5031.4874689999997</v>
      </c>
      <c r="G14" s="47">
        <v>2.9986260000000001E-2</v>
      </c>
      <c r="H14" s="40" t="s">
        <v>151</v>
      </c>
      <c r="J14" s="7" t="s">
        <v>1060</v>
      </c>
    </row>
    <row r="15" spans="1:10" x14ac:dyDescent="0.2">
      <c r="A15" s="43">
        <v>9</v>
      </c>
      <c r="B15" s="44" t="s">
        <v>347</v>
      </c>
      <c r="C15" s="44" t="s">
        <v>348</v>
      </c>
      <c r="D15" s="44" t="s">
        <v>45</v>
      </c>
      <c r="E15" s="45">
        <v>419000</v>
      </c>
      <c r="F15" s="46">
        <v>4885.9589999999998</v>
      </c>
      <c r="G15" s="47">
        <v>2.9118950000000001E-2</v>
      </c>
      <c r="H15" s="40" t="s">
        <v>151</v>
      </c>
      <c r="J15" s="7"/>
    </row>
    <row r="16" spans="1:10" x14ac:dyDescent="0.2">
      <c r="A16" s="43">
        <v>10</v>
      </c>
      <c r="B16" s="44" t="s">
        <v>51</v>
      </c>
      <c r="C16" s="44" t="s">
        <v>52</v>
      </c>
      <c r="D16" s="44" t="s">
        <v>45</v>
      </c>
      <c r="E16" s="45">
        <v>545000</v>
      </c>
      <c r="F16" s="46">
        <v>4754.58</v>
      </c>
      <c r="G16" s="47">
        <v>2.8335969999999999E-2</v>
      </c>
      <c r="H16" s="40" t="s">
        <v>151</v>
      </c>
      <c r="J16" s="7"/>
    </row>
    <row r="17" spans="1:10" x14ac:dyDescent="0.2">
      <c r="A17" s="43">
        <v>11</v>
      </c>
      <c r="B17" s="44" t="s">
        <v>17</v>
      </c>
      <c r="C17" s="44" t="s">
        <v>18</v>
      </c>
      <c r="D17" s="44" t="s">
        <v>19</v>
      </c>
      <c r="E17" s="45">
        <v>304000</v>
      </c>
      <c r="F17" s="46">
        <v>4534.3119999999999</v>
      </c>
      <c r="G17" s="47">
        <v>2.7023229999999999E-2</v>
      </c>
      <c r="H17" s="40" t="s">
        <v>151</v>
      </c>
      <c r="J17" s="7"/>
    </row>
    <row r="18" spans="1:10" x14ac:dyDescent="0.2">
      <c r="A18" s="43">
        <v>12</v>
      </c>
      <c r="B18" s="44" t="s">
        <v>101</v>
      </c>
      <c r="C18" s="44" t="s">
        <v>102</v>
      </c>
      <c r="D18" s="44" t="s">
        <v>76</v>
      </c>
      <c r="E18" s="45">
        <v>100000</v>
      </c>
      <c r="F18" s="46">
        <v>4472.2</v>
      </c>
      <c r="G18" s="47">
        <v>2.6653059999999999E-2</v>
      </c>
      <c r="H18" s="40" t="s">
        <v>151</v>
      </c>
      <c r="J18" s="7"/>
    </row>
    <row r="19" spans="1:10" ht="25.5" x14ac:dyDescent="0.2">
      <c r="A19" s="43">
        <v>13</v>
      </c>
      <c r="B19" s="44" t="s">
        <v>273</v>
      </c>
      <c r="C19" s="44" t="s">
        <v>274</v>
      </c>
      <c r="D19" s="44" t="s">
        <v>86</v>
      </c>
      <c r="E19" s="45">
        <v>211078</v>
      </c>
      <c r="F19" s="46">
        <v>2990.130948</v>
      </c>
      <c r="G19" s="47">
        <v>1.7820349999999999E-2</v>
      </c>
      <c r="H19" s="40" t="s">
        <v>151</v>
      </c>
      <c r="J19" s="7"/>
    </row>
    <row r="20" spans="1:10" ht="25.5" x14ac:dyDescent="0.2">
      <c r="A20" s="43">
        <v>14</v>
      </c>
      <c r="B20" s="44" t="s">
        <v>23</v>
      </c>
      <c r="C20" s="44" t="s">
        <v>24</v>
      </c>
      <c r="D20" s="44" t="s">
        <v>25</v>
      </c>
      <c r="E20" s="45">
        <v>25000</v>
      </c>
      <c r="F20" s="46">
        <v>2971.8</v>
      </c>
      <c r="G20" s="47">
        <v>1.77111E-2</v>
      </c>
      <c r="H20" s="40" t="s">
        <v>151</v>
      </c>
      <c r="J20" s="7"/>
    </row>
    <row r="21" spans="1:10" x14ac:dyDescent="0.2">
      <c r="A21" s="43">
        <v>15</v>
      </c>
      <c r="B21" s="44" t="s">
        <v>545</v>
      </c>
      <c r="C21" s="44" t="s">
        <v>546</v>
      </c>
      <c r="D21" s="44" t="s">
        <v>229</v>
      </c>
      <c r="E21" s="45">
        <v>52000</v>
      </c>
      <c r="F21" s="46">
        <v>2919.3580000000002</v>
      </c>
      <c r="G21" s="47">
        <v>1.739856E-2</v>
      </c>
      <c r="H21" s="40" t="s">
        <v>151</v>
      </c>
      <c r="J21" s="7"/>
    </row>
    <row r="22" spans="1:10" ht="15" x14ac:dyDescent="0.2">
      <c r="A22" s="43">
        <v>16</v>
      </c>
      <c r="B22" s="44" t="s">
        <v>404</v>
      </c>
      <c r="C22" s="44" t="s">
        <v>405</v>
      </c>
      <c r="D22" s="44" t="s">
        <v>86</v>
      </c>
      <c r="E22" s="45">
        <v>176000</v>
      </c>
      <c r="F22" s="46">
        <v>2906.904</v>
      </c>
      <c r="G22" s="47">
        <v>1.7324340000000001E-2</v>
      </c>
      <c r="H22" s="40" t="s">
        <v>151</v>
      </c>
      <c r="J22" s="12"/>
    </row>
    <row r="23" spans="1:10" x14ac:dyDescent="0.2">
      <c r="A23" s="43">
        <v>17</v>
      </c>
      <c r="B23" s="44" t="s">
        <v>378</v>
      </c>
      <c r="C23" s="44" t="s">
        <v>379</v>
      </c>
      <c r="D23" s="44" t="s">
        <v>366</v>
      </c>
      <c r="E23" s="45">
        <v>103000</v>
      </c>
      <c r="F23" s="46">
        <v>2786.8195000000001</v>
      </c>
      <c r="G23" s="47">
        <v>1.6608669999999999E-2</v>
      </c>
      <c r="H23" s="40" t="s">
        <v>151</v>
      </c>
      <c r="J23" s="7"/>
    </row>
    <row r="24" spans="1:10" x14ac:dyDescent="0.2">
      <c r="A24" s="43">
        <v>18</v>
      </c>
      <c r="B24" s="44" t="s">
        <v>560</v>
      </c>
      <c r="C24" s="44" t="s">
        <v>561</v>
      </c>
      <c r="D24" s="44" t="s">
        <v>282</v>
      </c>
      <c r="E24" s="45">
        <v>21000</v>
      </c>
      <c r="F24" s="46">
        <v>2754.3180000000002</v>
      </c>
      <c r="G24" s="47">
        <v>1.6414970000000001E-2</v>
      </c>
      <c r="H24" s="40" t="s">
        <v>151</v>
      </c>
      <c r="J24" s="7"/>
    </row>
    <row r="25" spans="1:10" x14ac:dyDescent="0.2">
      <c r="A25" s="43">
        <v>19</v>
      </c>
      <c r="B25" s="44" t="s">
        <v>240</v>
      </c>
      <c r="C25" s="44" t="s">
        <v>241</v>
      </c>
      <c r="D25" s="44" t="s">
        <v>242</v>
      </c>
      <c r="E25" s="45">
        <v>439000</v>
      </c>
      <c r="F25" s="46">
        <v>2628.732</v>
      </c>
      <c r="G25" s="47">
        <v>1.5666510000000002E-2</v>
      </c>
      <c r="H25" s="40" t="s">
        <v>151</v>
      </c>
      <c r="J25" s="7" t="s">
        <v>1068</v>
      </c>
    </row>
    <row r="26" spans="1:10" x14ac:dyDescent="0.2">
      <c r="A26" s="43">
        <v>20</v>
      </c>
      <c r="B26" s="44" t="s">
        <v>351</v>
      </c>
      <c r="C26" s="44" t="s">
        <v>352</v>
      </c>
      <c r="D26" s="44" t="s">
        <v>268</v>
      </c>
      <c r="E26" s="45">
        <v>161000</v>
      </c>
      <c r="F26" s="46">
        <v>2539.614</v>
      </c>
      <c r="G26" s="47">
        <v>1.513539E-2</v>
      </c>
      <c r="H26" s="40" t="s">
        <v>151</v>
      </c>
      <c r="J26" s="7"/>
    </row>
    <row r="27" spans="1:10" x14ac:dyDescent="0.2">
      <c r="A27" s="43">
        <v>21</v>
      </c>
      <c r="B27" s="44" t="s">
        <v>96</v>
      </c>
      <c r="C27" s="44" t="s">
        <v>97</v>
      </c>
      <c r="D27" s="44" t="s">
        <v>33</v>
      </c>
      <c r="E27" s="45">
        <v>98000</v>
      </c>
      <c r="F27" s="46">
        <v>2536.779</v>
      </c>
      <c r="G27" s="47">
        <v>1.51185E-2</v>
      </c>
      <c r="H27" s="40" t="s">
        <v>151</v>
      </c>
      <c r="J27" s="7"/>
    </row>
    <row r="28" spans="1:10" x14ac:dyDescent="0.2">
      <c r="A28" s="43">
        <v>22</v>
      </c>
      <c r="B28" s="44" t="s">
        <v>130</v>
      </c>
      <c r="C28" s="44" t="s">
        <v>131</v>
      </c>
      <c r="D28" s="44" t="s">
        <v>50</v>
      </c>
      <c r="E28" s="45">
        <v>31000</v>
      </c>
      <c r="F28" s="46">
        <v>2448.0234999999998</v>
      </c>
      <c r="G28" s="47">
        <v>1.458954E-2</v>
      </c>
      <c r="H28" s="40" t="s">
        <v>151</v>
      </c>
      <c r="J28" s="7"/>
    </row>
    <row r="29" spans="1:10" x14ac:dyDescent="0.2">
      <c r="A29" s="43">
        <v>23</v>
      </c>
      <c r="B29" s="44" t="s">
        <v>714</v>
      </c>
      <c r="C29" s="44" t="s">
        <v>715</v>
      </c>
      <c r="D29" s="44" t="s">
        <v>100</v>
      </c>
      <c r="E29" s="45">
        <v>138229</v>
      </c>
      <c r="F29" s="46">
        <v>2382.6532729999999</v>
      </c>
      <c r="G29" s="47">
        <v>1.4199949999999999E-2</v>
      </c>
      <c r="H29" s="40" t="s">
        <v>151</v>
      </c>
      <c r="J29" s="7"/>
    </row>
    <row r="30" spans="1:10" x14ac:dyDescent="0.2">
      <c r="A30" s="43">
        <v>24</v>
      </c>
      <c r="B30" s="44" t="s">
        <v>386</v>
      </c>
      <c r="C30" s="44" t="s">
        <v>387</v>
      </c>
      <c r="D30" s="44" t="s">
        <v>202</v>
      </c>
      <c r="E30" s="45">
        <v>48000</v>
      </c>
      <c r="F30" s="46">
        <v>2369.2559999999999</v>
      </c>
      <c r="G30" s="47">
        <v>1.412011E-2</v>
      </c>
      <c r="H30" s="40" t="s">
        <v>151</v>
      </c>
      <c r="J30" s="7"/>
    </row>
    <row r="31" spans="1:10" x14ac:dyDescent="0.2">
      <c r="A31" s="43">
        <v>25</v>
      </c>
      <c r="B31" s="44" t="s">
        <v>469</v>
      </c>
      <c r="C31" s="44" t="s">
        <v>470</v>
      </c>
      <c r="D31" s="44" t="s">
        <v>45</v>
      </c>
      <c r="E31" s="45">
        <v>885000</v>
      </c>
      <c r="F31" s="46">
        <v>2244.8024999999998</v>
      </c>
      <c r="G31" s="47">
        <v>1.33784E-2</v>
      </c>
      <c r="H31" s="40" t="s">
        <v>151</v>
      </c>
      <c r="J31" s="7"/>
    </row>
    <row r="32" spans="1:10" x14ac:dyDescent="0.2">
      <c r="A32" s="43">
        <v>26</v>
      </c>
      <c r="B32" s="44" t="s">
        <v>254</v>
      </c>
      <c r="C32" s="44" t="s">
        <v>255</v>
      </c>
      <c r="D32" s="44" t="s">
        <v>202</v>
      </c>
      <c r="E32" s="45">
        <v>31000</v>
      </c>
      <c r="F32" s="46">
        <v>2178.4475000000002</v>
      </c>
      <c r="G32" s="47">
        <v>1.298294E-2</v>
      </c>
      <c r="H32" s="40" t="s">
        <v>151</v>
      </c>
      <c r="J32" s="7"/>
    </row>
    <row r="33" spans="1:10" x14ac:dyDescent="0.2">
      <c r="A33" s="43">
        <v>27</v>
      </c>
      <c r="B33" s="44" t="s">
        <v>564</v>
      </c>
      <c r="C33" s="44" t="s">
        <v>565</v>
      </c>
      <c r="D33" s="44" t="s">
        <v>219</v>
      </c>
      <c r="E33" s="45">
        <v>139000</v>
      </c>
      <c r="F33" s="46">
        <v>2160.616</v>
      </c>
      <c r="G33" s="47">
        <v>1.287667E-2</v>
      </c>
      <c r="H33" s="40" t="s">
        <v>151</v>
      </c>
      <c r="J33" s="7"/>
    </row>
    <row r="34" spans="1:10" ht="25.5" x14ac:dyDescent="0.2">
      <c r="A34" s="43">
        <v>28</v>
      </c>
      <c r="B34" s="44" t="s">
        <v>475</v>
      </c>
      <c r="C34" s="44" t="s">
        <v>476</v>
      </c>
      <c r="D34" s="44" t="s">
        <v>210</v>
      </c>
      <c r="E34" s="45">
        <v>139000</v>
      </c>
      <c r="F34" s="46">
        <v>2146.5770000000002</v>
      </c>
      <c r="G34" s="47">
        <v>1.2793000000000001E-2</v>
      </c>
      <c r="H34" s="40" t="s">
        <v>151</v>
      </c>
      <c r="J34" s="7"/>
    </row>
    <row r="35" spans="1:10" ht="25.5" x14ac:dyDescent="0.2">
      <c r="A35" s="43">
        <v>29</v>
      </c>
      <c r="B35" s="44" t="s">
        <v>477</v>
      </c>
      <c r="C35" s="44" t="s">
        <v>478</v>
      </c>
      <c r="D35" s="44" t="s">
        <v>313</v>
      </c>
      <c r="E35" s="45">
        <v>162000</v>
      </c>
      <c r="F35" s="46">
        <v>1926.0989999999999</v>
      </c>
      <c r="G35" s="47">
        <v>1.147901E-2</v>
      </c>
      <c r="H35" s="40" t="s">
        <v>151</v>
      </c>
      <c r="J35" s="7"/>
    </row>
    <row r="36" spans="1:10" x14ac:dyDescent="0.2">
      <c r="A36" s="43">
        <v>30</v>
      </c>
      <c r="B36" s="44" t="s">
        <v>134</v>
      </c>
      <c r="C36" s="44" t="s">
        <v>135</v>
      </c>
      <c r="D36" s="44" t="s">
        <v>136</v>
      </c>
      <c r="E36" s="45">
        <v>194000</v>
      </c>
      <c r="F36" s="46">
        <v>1917.2049999999999</v>
      </c>
      <c r="G36" s="47">
        <v>1.142601E-2</v>
      </c>
      <c r="H36" s="40" t="s">
        <v>151</v>
      </c>
      <c r="J36" s="7"/>
    </row>
    <row r="37" spans="1:10" x14ac:dyDescent="0.2">
      <c r="A37" s="43">
        <v>31</v>
      </c>
      <c r="B37" s="44" t="s">
        <v>230</v>
      </c>
      <c r="C37" s="44" t="s">
        <v>231</v>
      </c>
      <c r="D37" s="44" t="s">
        <v>232</v>
      </c>
      <c r="E37" s="45">
        <v>171000</v>
      </c>
      <c r="F37" s="46">
        <v>1901.52</v>
      </c>
      <c r="G37" s="47">
        <v>1.133253E-2</v>
      </c>
      <c r="H37" s="40" t="s">
        <v>151</v>
      </c>
      <c r="J37" s="7"/>
    </row>
    <row r="38" spans="1:10" x14ac:dyDescent="0.2">
      <c r="A38" s="43">
        <v>32</v>
      </c>
      <c r="B38" s="44" t="s">
        <v>196</v>
      </c>
      <c r="C38" s="44" t="s">
        <v>197</v>
      </c>
      <c r="D38" s="44" t="s">
        <v>45</v>
      </c>
      <c r="E38" s="45">
        <v>923000</v>
      </c>
      <c r="F38" s="46">
        <v>1858.8297</v>
      </c>
      <c r="G38" s="47">
        <v>1.107811E-2</v>
      </c>
      <c r="H38" s="40" t="s">
        <v>151</v>
      </c>
      <c r="J38" s="7"/>
    </row>
    <row r="39" spans="1:10" x14ac:dyDescent="0.2">
      <c r="A39" s="43">
        <v>33</v>
      </c>
      <c r="B39" s="44" t="s">
        <v>520</v>
      </c>
      <c r="C39" s="44" t="s">
        <v>521</v>
      </c>
      <c r="D39" s="44" t="s">
        <v>86</v>
      </c>
      <c r="E39" s="45">
        <v>226727</v>
      </c>
      <c r="F39" s="46">
        <v>1826.285985</v>
      </c>
      <c r="G39" s="47">
        <v>1.088416E-2</v>
      </c>
      <c r="H39" s="40" t="s">
        <v>151</v>
      </c>
      <c r="J39" s="7"/>
    </row>
    <row r="40" spans="1:10" x14ac:dyDescent="0.2">
      <c r="A40" s="43">
        <v>34</v>
      </c>
      <c r="B40" s="44" t="s">
        <v>355</v>
      </c>
      <c r="C40" s="44" t="s">
        <v>356</v>
      </c>
      <c r="D40" s="44" t="s">
        <v>45</v>
      </c>
      <c r="E40" s="45">
        <v>96000</v>
      </c>
      <c r="F40" s="46">
        <v>1735.5840000000001</v>
      </c>
      <c r="G40" s="47">
        <v>1.03436E-2</v>
      </c>
      <c r="H40" s="40" t="s">
        <v>151</v>
      </c>
      <c r="J40" s="7"/>
    </row>
    <row r="41" spans="1:10" x14ac:dyDescent="0.2">
      <c r="A41" s="43">
        <v>35</v>
      </c>
      <c r="B41" s="44" t="s">
        <v>397</v>
      </c>
      <c r="C41" s="44" t="s">
        <v>398</v>
      </c>
      <c r="D41" s="44" t="s">
        <v>100</v>
      </c>
      <c r="E41" s="45">
        <v>49000</v>
      </c>
      <c r="F41" s="46">
        <v>1694.8855000000001</v>
      </c>
      <c r="G41" s="47">
        <v>1.010105E-2</v>
      </c>
      <c r="H41" s="40" t="s">
        <v>151</v>
      </c>
      <c r="J41" s="7"/>
    </row>
    <row r="42" spans="1:10" ht="25.5" x14ac:dyDescent="0.2">
      <c r="A42" s="43">
        <v>36</v>
      </c>
      <c r="B42" s="44" t="s">
        <v>741</v>
      </c>
      <c r="C42" s="44" t="s">
        <v>742</v>
      </c>
      <c r="D42" s="44" t="s">
        <v>247</v>
      </c>
      <c r="E42" s="45">
        <v>100000</v>
      </c>
      <c r="F42" s="46">
        <v>1621.6</v>
      </c>
      <c r="G42" s="47">
        <v>9.6642800000000008E-3</v>
      </c>
      <c r="H42" s="40" t="s">
        <v>151</v>
      </c>
      <c r="J42" s="7"/>
    </row>
    <row r="43" spans="1:10" x14ac:dyDescent="0.2">
      <c r="A43" s="43">
        <v>37</v>
      </c>
      <c r="B43" s="44" t="s">
        <v>266</v>
      </c>
      <c r="C43" s="44" t="s">
        <v>267</v>
      </c>
      <c r="D43" s="44" t="s">
        <v>268</v>
      </c>
      <c r="E43" s="45">
        <v>79000</v>
      </c>
      <c r="F43" s="46">
        <v>1591.85</v>
      </c>
      <c r="G43" s="47">
        <v>9.4869800000000008E-3</v>
      </c>
      <c r="H43" s="40" t="s">
        <v>151</v>
      </c>
      <c r="J43" s="7"/>
    </row>
    <row r="44" spans="1:10" x14ac:dyDescent="0.2">
      <c r="A44" s="43">
        <v>38</v>
      </c>
      <c r="B44" s="44" t="s">
        <v>823</v>
      </c>
      <c r="C44" s="44" t="s">
        <v>824</v>
      </c>
      <c r="D44" s="44" t="s">
        <v>38</v>
      </c>
      <c r="E44" s="45">
        <v>274000</v>
      </c>
      <c r="F44" s="46">
        <v>1582.4870000000001</v>
      </c>
      <c r="G44" s="47">
        <v>9.4311800000000008E-3</v>
      </c>
      <c r="H44" s="40" t="s">
        <v>151</v>
      </c>
      <c r="J44" s="7"/>
    </row>
    <row r="45" spans="1:10" x14ac:dyDescent="0.2">
      <c r="A45" s="43">
        <v>39</v>
      </c>
      <c r="B45" s="44" t="s">
        <v>827</v>
      </c>
      <c r="C45" s="44" t="s">
        <v>828</v>
      </c>
      <c r="D45" s="44" t="s">
        <v>100</v>
      </c>
      <c r="E45" s="45">
        <v>96000</v>
      </c>
      <c r="F45" s="46">
        <v>1532.4480000000001</v>
      </c>
      <c r="G45" s="47">
        <v>9.1329600000000007E-3</v>
      </c>
      <c r="H45" s="40" t="s">
        <v>151</v>
      </c>
      <c r="J45" s="7"/>
    </row>
    <row r="46" spans="1:10" x14ac:dyDescent="0.2">
      <c r="A46" s="43">
        <v>40</v>
      </c>
      <c r="B46" s="44" t="s">
        <v>278</v>
      </c>
      <c r="C46" s="44" t="s">
        <v>279</v>
      </c>
      <c r="D46" s="44" t="s">
        <v>219</v>
      </c>
      <c r="E46" s="45">
        <v>23000</v>
      </c>
      <c r="F46" s="46">
        <v>1450.2650000000001</v>
      </c>
      <c r="G46" s="47">
        <v>8.6431800000000003E-3</v>
      </c>
      <c r="H46" s="40" t="s">
        <v>151</v>
      </c>
      <c r="J46" s="7"/>
    </row>
    <row r="47" spans="1:10" ht="25.5" x14ac:dyDescent="0.2">
      <c r="A47" s="43">
        <v>41</v>
      </c>
      <c r="B47" s="44" t="s">
        <v>802</v>
      </c>
      <c r="C47" s="44" t="s">
        <v>803</v>
      </c>
      <c r="D47" s="44" t="s">
        <v>247</v>
      </c>
      <c r="E47" s="45">
        <v>45000</v>
      </c>
      <c r="F47" s="46">
        <v>1433.88</v>
      </c>
      <c r="G47" s="47">
        <v>8.5455300000000008E-3</v>
      </c>
      <c r="H47" s="40" t="s">
        <v>151</v>
      </c>
      <c r="J47" s="7"/>
    </row>
    <row r="48" spans="1:10" x14ac:dyDescent="0.2">
      <c r="A48" s="43">
        <v>42</v>
      </c>
      <c r="B48" s="44" t="s">
        <v>552</v>
      </c>
      <c r="C48" s="44" t="s">
        <v>553</v>
      </c>
      <c r="D48" s="44" t="s">
        <v>268</v>
      </c>
      <c r="E48" s="45">
        <v>96000</v>
      </c>
      <c r="F48" s="46">
        <v>1356.768</v>
      </c>
      <c r="G48" s="47">
        <v>8.0859599999999997E-3</v>
      </c>
      <c r="H48" s="40" t="s">
        <v>151</v>
      </c>
      <c r="J48" s="7"/>
    </row>
    <row r="49" spans="1:10" x14ac:dyDescent="0.2">
      <c r="A49" s="43">
        <v>43</v>
      </c>
      <c r="B49" s="44" t="s">
        <v>739</v>
      </c>
      <c r="C49" s="44" t="s">
        <v>740</v>
      </c>
      <c r="D49" s="44" t="s">
        <v>219</v>
      </c>
      <c r="E49" s="45">
        <v>57000</v>
      </c>
      <c r="F49" s="46">
        <v>1356.4290000000001</v>
      </c>
      <c r="G49" s="47">
        <v>8.0839399999999995E-3</v>
      </c>
      <c r="H49" s="40" t="s">
        <v>151</v>
      </c>
      <c r="J49" s="7"/>
    </row>
    <row r="50" spans="1:10" x14ac:dyDescent="0.2">
      <c r="A50" s="43">
        <v>44</v>
      </c>
      <c r="B50" s="44" t="s">
        <v>716</v>
      </c>
      <c r="C50" s="44" t="s">
        <v>717</v>
      </c>
      <c r="D50" s="44" t="s">
        <v>277</v>
      </c>
      <c r="E50" s="45">
        <v>22000</v>
      </c>
      <c r="F50" s="46">
        <v>1272.579</v>
      </c>
      <c r="G50" s="47">
        <v>7.58422E-3</v>
      </c>
      <c r="H50" s="40" t="s">
        <v>151</v>
      </c>
      <c r="J50" s="7"/>
    </row>
    <row r="51" spans="1:10" x14ac:dyDescent="0.2">
      <c r="A51" s="43">
        <v>45</v>
      </c>
      <c r="B51" s="44" t="s">
        <v>62</v>
      </c>
      <c r="C51" s="44" t="s">
        <v>63</v>
      </c>
      <c r="D51" s="44" t="s">
        <v>64</v>
      </c>
      <c r="E51" s="45">
        <v>498000</v>
      </c>
      <c r="F51" s="46">
        <v>1200.0306</v>
      </c>
      <c r="G51" s="47">
        <v>7.1518500000000004E-3</v>
      </c>
      <c r="H51" s="40" t="s">
        <v>151</v>
      </c>
      <c r="J51" s="7"/>
    </row>
    <row r="52" spans="1:10" x14ac:dyDescent="0.2">
      <c r="A52" s="43">
        <v>46</v>
      </c>
      <c r="B52" s="44" t="s">
        <v>479</v>
      </c>
      <c r="C52" s="44" t="s">
        <v>480</v>
      </c>
      <c r="D52" s="44" t="s">
        <v>45</v>
      </c>
      <c r="E52" s="45">
        <v>84000</v>
      </c>
      <c r="F52" s="46">
        <v>1199.3520000000001</v>
      </c>
      <c r="G52" s="47">
        <v>7.1478000000000002E-3</v>
      </c>
      <c r="H52" s="40" t="s">
        <v>151</v>
      </c>
      <c r="J52" s="7"/>
    </row>
    <row r="53" spans="1:10" x14ac:dyDescent="0.2">
      <c r="A53" s="43">
        <v>47</v>
      </c>
      <c r="B53" s="44" t="s">
        <v>364</v>
      </c>
      <c r="C53" s="44" t="s">
        <v>365</v>
      </c>
      <c r="D53" s="44" t="s">
        <v>366</v>
      </c>
      <c r="E53" s="45">
        <v>240000</v>
      </c>
      <c r="F53" s="46">
        <v>1188.8399999999999</v>
      </c>
      <c r="G53" s="47">
        <v>7.0851600000000001E-3</v>
      </c>
      <c r="H53" s="40" t="s">
        <v>151</v>
      </c>
      <c r="J53" s="7"/>
    </row>
    <row r="54" spans="1:10" ht="25.5" x14ac:dyDescent="0.2">
      <c r="A54" s="43">
        <v>48</v>
      </c>
      <c r="B54" s="44" t="s">
        <v>372</v>
      </c>
      <c r="C54" s="44" t="s">
        <v>373</v>
      </c>
      <c r="D54" s="44" t="s">
        <v>210</v>
      </c>
      <c r="E54" s="45">
        <v>82000</v>
      </c>
      <c r="F54" s="46">
        <v>1176.0029999999999</v>
      </c>
      <c r="G54" s="47">
        <v>7.0086499999999999E-3</v>
      </c>
      <c r="H54" s="40" t="s">
        <v>151</v>
      </c>
      <c r="J54" s="7"/>
    </row>
    <row r="55" spans="1:10" x14ac:dyDescent="0.2">
      <c r="A55" s="43">
        <v>49</v>
      </c>
      <c r="B55" s="44" t="s">
        <v>831</v>
      </c>
      <c r="C55" s="44" t="s">
        <v>832</v>
      </c>
      <c r="D55" s="44" t="s">
        <v>277</v>
      </c>
      <c r="E55" s="45">
        <v>44000</v>
      </c>
      <c r="F55" s="46">
        <v>1055.0319999999999</v>
      </c>
      <c r="G55" s="47">
        <v>6.2877000000000002E-3</v>
      </c>
      <c r="H55" s="40" t="s">
        <v>151</v>
      </c>
      <c r="J55" s="7"/>
    </row>
    <row r="56" spans="1:10" x14ac:dyDescent="0.2">
      <c r="A56" s="43">
        <v>50</v>
      </c>
      <c r="B56" s="44" t="s">
        <v>211</v>
      </c>
      <c r="C56" s="44" t="s">
        <v>212</v>
      </c>
      <c r="D56" s="44" t="s">
        <v>61</v>
      </c>
      <c r="E56" s="45">
        <v>55000</v>
      </c>
      <c r="F56" s="46">
        <v>1024.32</v>
      </c>
      <c r="G56" s="47">
        <v>6.1046599999999996E-3</v>
      </c>
      <c r="H56" s="40" t="s">
        <v>151</v>
      </c>
      <c r="J56" s="7"/>
    </row>
    <row r="57" spans="1:10" ht="25.5" x14ac:dyDescent="0.2">
      <c r="A57" s="43">
        <v>51</v>
      </c>
      <c r="B57" s="44" t="s">
        <v>79</v>
      </c>
      <c r="C57" s="44" t="s">
        <v>80</v>
      </c>
      <c r="D57" s="44" t="s">
        <v>81</v>
      </c>
      <c r="E57" s="45">
        <v>64000</v>
      </c>
      <c r="F57" s="46">
        <v>1004.736</v>
      </c>
      <c r="G57" s="47">
        <v>5.9879499999999997E-3</v>
      </c>
      <c r="H57" s="40" t="s">
        <v>151</v>
      </c>
      <c r="J57" s="7"/>
    </row>
    <row r="58" spans="1:10" x14ac:dyDescent="0.2">
      <c r="A58" s="43">
        <v>52</v>
      </c>
      <c r="B58" s="44" t="s">
        <v>120</v>
      </c>
      <c r="C58" s="44" t="s">
        <v>121</v>
      </c>
      <c r="D58" s="44" t="s">
        <v>89</v>
      </c>
      <c r="E58" s="45">
        <v>22000</v>
      </c>
      <c r="F58" s="46">
        <v>938.81700000000001</v>
      </c>
      <c r="G58" s="47">
        <v>5.5950899999999996E-3</v>
      </c>
      <c r="H58" s="40" t="s">
        <v>151</v>
      </c>
      <c r="J58" s="7"/>
    </row>
    <row r="59" spans="1:10" x14ac:dyDescent="0.2">
      <c r="A59" s="43">
        <v>53</v>
      </c>
      <c r="B59" s="44" t="s">
        <v>269</v>
      </c>
      <c r="C59" s="44" t="s">
        <v>270</v>
      </c>
      <c r="D59" s="44" t="s">
        <v>33</v>
      </c>
      <c r="E59" s="45">
        <v>13672</v>
      </c>
      <c r="F59" s="46">
        <v>937.65310399999998</v>
      </c>
      <c r="G59" s="47">
        <v>5.5881500000000001E-3</v>
      </c>
      <c r="H59" s="40" t="s">
        <v>151</v>
      </c>
      <c r="J59" s="7"/>
    </row>
    <row r="60" spans="1:10" x14ac:dyDescent="0.2">
      <c r="A60" s="43">
        <v>54</v>
      </c>
      <c r="B60" s="44" t="s">
        <v>330</v>
      </c>
      <c r="C60" s="44" t="s">
        <v>331</v>
      </c>
      <c r="D60" s="44" t="s">
        <v>232</v>
      </c>
      <c r="E60" s="45">
        <v>119000</v>
      </c>
      <c r="F60" s="46">
        <v>875.78049999999996</v>
      </c>
      <c r="G60" s="47">
        <v>5.2194099999999998E-3</v>
      </c>
      <c r="H60" s="40" t="s">
        <v>151</v>
      </c>
      <c r="J60" s="7"/>
    </row>
    <row r="61" spans="1:10" x14ac:dyDescent="0.2">
      <c r="A61" s="43">
        <v>55</v>
      </c>
      <c r="B61" s="44" t="s">
        <v>395</v>
      </c>
      <c r="C61" s="44" t="s">
        <v>396</v>
      </c>
      <c r="D61" s="44" t="s">
        <v>45</v>
      </c>
      <c r="E61" s="45">
        <v>695000</v>
      </c>
      <c r="F61" s="46">
        <v>797.23450000000003</v>
      </c>
      <c r="G61" s="47">
        <v>4.7513E-3</v>
      </c>
      <c r="H61" s="40" t="s">
        <v>151</v>
      </c>
      <c r="J61" s="7"/>
    </row>
    <row r="62" spans="1:10" ht="25.5" x14ac:dyDescent="0.2">
      <c r="A62" s="43">
        <v>56</v>
      </c>
      <c r="B62" s="44" t="s">
        <v>318</v>
      </c>
      <c r="C62" s="44" t="s">
        <v>319</v>
      </c>
      <c r="D62" s="44" t="s">
        <v>247</v>
      </c>
      <c r="E62" s="45">
        <v>20000</v>
      </c>
      <c r="F62" s="46">
        <v>760.19</v>
      </c>
      <c r="G62" s="47">
        <v>4.5305199999999997E-3</v>
      </c>
      <c r="H62" s="40" t="s">
        <v>151</v>
      </c>
      <c r="J62" s="7"/>
    </row>
    <row r="63" spans="1:10" x14ac:dyDescent="0.2">
      <c r="A63" s="43">
        <v>57</v>
      </c>
      <c r="B63" s="44" t="s">
        <v>409</v>
      </c>
      <c r="C63" s="44" t="s">
        <v>410</v>
      </c>
      <c r="D63" s="44" t="s">
        <v>242</v>
      </c>
      <c r="E63" s="45">
        <v>46000</v>
      </c>
      <c r="F63" s="46">
        <v>759.851</v>
      </c>
      <c r="G63" s="47">
        <v>4.5285000000000004E-3</v>
      </c>
      <c r="H63" s="40" t="s">
        <v>151</v>
      </c>
      <c r="J63" s="7"/>
    </row>
    <row r="64" spans="1:10" x14ac:dyDescent="0.2">
      <c r="A64" s="43">
        <v>58</v>
      </c>
      <c r="B64" s="44" t="s">
        <v>303</v>
      </c>
      <c r="C64" s="44" t="s">
        <v>304</v>
      </c>
      <c r="D64" s="44" t="s">
        <v>100</v>
      </c>
      <c r="E64" s="45">
        <v>45056</v>
      </c>
      <c r="F64" s="46">
        <v>667.63980800000002</v>
      </c>
      <c r="G64" s="47">
        <v>3.9789500000000002E-3</v>
      </c>
      <c r="H64" s="40" t="s">
        <v>151</v>
      </c>
      <c r="J64" s="7"/>
    </row>
    <row r="65" spans="1:10" ht="25.5" x14ac:dyDescent="0.2">
      <c r="A65" s="43">
        <v>59</v>
      </c>
      <c r="B65" s="44" t="s">
        <v>293</v>
      </c>
      <c r="C65" s="44" t="s">
        <v>294</v>
      </c>
      <c r="D65" s="44" t="s">
        <v>25</v>
      </c>
      <c r="E65" s="45">
        <v>32737</v>
      </c>
      <c r="F65" s="46">
        <v>605.81455349999999</v>
      </c>
      <c r="G65" s="47">
        <v>3.6104900000000001E-3</v>
      </c>
      <c r="H65" s="40" t="s">
        <v>151</v>
      </c>
      <c r="J65" s="7"/>
    </row>
    <row r="66" spans="1:10" x14ac:dyDescent="0.2">
      <c r="A66" s="43">
        <v>60</v>
      </c>
      <c r="B66" s="44" t="s">
        <v>382</v>
      </c>
      <c r="C66" s="44" t="s">
        <v>383</v>
      </c>
      <c r="D66" s="44" t="s">
        <v>136</v>
      </c>
      <c r="E66" s="45">
        <v>300000</v>
      </c>
      <c r="F66" s="46">
        <v>495.99</v>
      </c>
      <c r="G66" s="47">
        <v>2.9559600000000001E-3</v>
      </c>
      <c r="H66" s="40" t="s">
        <v>151</v>
      </c>
      <c r="J66" s="7"/>
    </row>
    <row r="67" spans="1:10" ht="25.5" x14ac:dyDescent="0.2">
      <c r="A67" s="43">
        <v>61</v>
      </c>
      <c r="B67" s="44" t="s">
        <v>829</v>
      </c>
      <c r="C67" s="44" t="s">
        <v>830</v>
      </c>
      <c r="D67" s="44" t="s">
        <v>210</v>
      </c>
      <c r="E67" s="45">
        <v>43972</v>
      </c>
      <c r="F67" s="46">
        <v>438.48878400000001</v>
      </c>
      <c r="G67" s="47">
        <v>2.61327E-3</v>
      </c>
      <c r="H67" s="40" t="s">
        <v>151</v>
      </c>
      <c r="J67" s="7"/>
    </row>
    <row r="68" spans="1:10" x14ac:dyDescent="0.2">
      <c r="A68" s="43">
        <v>62</v>
      </c>
      <c r="B68" s="44" t="s">
        <v>53</v>
      </c>
      <c r="C68" s="44" t="s">
        <v>54</v>
      </c>
      <c r="D68" s="44" t="s">
        <v>19</v>
      </c>
      <c r="E68" s="45">
        <v>35000</v>
      </c>
      <c r="F68" s="46">
        <v>398.09</v>
      </c>
      <c r="G68" s="47">
        <v>2.37251E-3</v>
      </c>
      <c r="H68" s="40" t="s">
        <v>151</v>
      </c>
      <c r="J68" s="7"/>
    </row>
    <row r="69" spans="1:10" x14ac:dyDescent="0.2">
      <c r="A69" s="43">
        <v>63</v>
      </c>
      <c r="B69" s="44" t="s">
        <v>367</v>
      </c>
      <c r="C69" s="44" t="s">
        <v>368</v>
      </c>
      <c r="D69" s="44" t="s">
        <v>229</v>
      </c>
      <c r="E69" s="45">
        <v>8719</v>
      </c>
      <c r="F69" s="46">
        <v>374.01894299999998</v>
      </c>
      <c r="G69" s="47">
        <v>2.2290500000000002E-3</v>
      </c>
      <c r="H69" s="40" t="s">
        <v>151</v>
      </c>
      <c r="J69" s="7"/>
    </row>
    <row r="70" spans="1:10" x14ac:dyDescent="0.2">
      <c r="A70" s="43">
        <v>64</v>
      </c>
      <c r="B70" s="44" t="s">
        <v>238</v>
      </c>
      <c r="C70" s="44" t="s">
        <v>239</v>
      </c>
      <c r="D70" s="44" t="s">
        <v>22</v>
      </c>
      <c r="E70" s="45">
        <v>90000</v>
      </c>
      <c r="F70" s="46">
        <v>353.02499999999998</v>
      </c>
      <c r="G70" s="47">
        <v>2.1039299999999999E-3</v>
      </c>
      <c r="H70" s="40" t="s">
        <v>151</v>
      </c>
      <c r="J70" s="7"/>
    </row>
    <row r="71" spans="1:10" x14ac:dyDescent="0.2">
      <c r="A71" s="43">
        <v>65</v>
      </c>
      <c r="B71" s="44" t="s">
        <v>345</v>
      </c>
      <c r="C71" s="44" t="s">
        <v>346</v>
      </c>
      <c r="D71" s="44" t="s">
        <v>202</v>
      </c>
      <c r="E71" s="45">
        <v>89000</v>
      </c>
      <c r="F71" s="46">
        <v>204.2105</v>
      </c>
      <c r="G71" s="47">
        <v>1.21704E-3</v>
      </c>
      <c r="H71" s="40" t="s">
        <v>151</v>
      </c>
      <c r="J71" s="7"/>
    </row>
    <row r="72" spans="1:10" ht="25.5" x14ac:dyDescent="0.2">
      <c r="A72" s="43">
        <v>66</v>
      </c>
      <c r="B72" s="44" t="s">
        <v>481</v>
      </c>
      <c r="C72" s="44" t="s">
        <v>478</v>
      </c>
      <c r="D72" s="44" t="s">
        <v>313</v>
      </c>
      <c r="E72" s="45">
        <v>6230</v>
      </c>
      <c r="F72" s="46">
        <v>23.110185000000001</v>
      </c>
      <c r="G72" s="47">
        <v>1.3773E-4</v>
      </c>
      <c r="H72" s="40" t="s">
        <v>151</v>
      </c>
      <c r="J72" s="7"/>
    </row>
    <row r="73" spans="1:10" x14ac:dyDescent="0.2">
      <c r="A73" s="41"/>
      <c r="B73" s="41"/>
      <c r="C73" s="42" t="s">
        <v>150</v>
      </c>
      <c r="D73" s="41"/>
      <c r="E73" s="41" t="s">
        <v>151</v>
      </c>
      <c r="F73" s="48">
        <v>164938.02968499999</v>
      </c>
      <c r="G73" s="49">
        <v>0.98298472000000003</v>
      </c>
      <c r="H73" s="40" t="s">
        <v>151</v>
      </c>
      <c r="J73" s="7"/>
    </row>
    <row r="74" spans="1:10" x14ac:dyDescent="0.2">
      <c r="A74" s="41"/>
      <c r="B74" s="41"/>
      <c r="C74" s="50"/>
      <c r="D74" s="41"/>
      <c r="E74" s="41"/>
      <c r="F74" s="51"/>
      <c r="G74" s="51"/>
      <c r="H74" s="40" t="s">
        <v>151</v>
      </c>
      <c r="J74" s="7"/>
    </row>
    <row r="75" spans="1:10" x14ac:dyDescent="0.2">
      <c r="A75" s="41"/>
      <c r="B75" s="41"/>
      <c r="C75" s="42" t="s">
        <v>152</v>
      </c>
      <c r="D75" s="41"/>
      <c r="E75" s="41"/>
      <c r="F75" s="41"/>
      <c r="G75" s="41"/>
      <c r="H75" s="40" t="s">
        <v>151</v>
      </c>
      <c r="J75" s="7"/>
    </row>
    <row r="76" spans="1:10" x14ac:dyDescent="0.2">
      <c r="A76" s="41"/>
      <c r="B76" s="41"/>
      <c r="C76" s="42" t="s">
        <v>150</v>
      </c>
      <c r="D76" s="41"/>
      <c r="E76" s="41" t="s">
        <v>151</v>
      </c>
      <c r="F76" s="52" t="s">
        <v>153</v>
      </c>
      <c r="G76" s="49">
        <v>0</v>
      </c>
      <c r="H76" s="40" t="s">
        <v>151</v>
      </c>
      <c r="J76" s="7"/>
    </row>
    <row r="77" spans="1:10" x14ac:dyDescent="0.2">
      <c r="A77" s="41"/>
      <c r="B77" s="41"/>
      <c r="C77" s="50"/>
      <c r="D77" s="41"/>
      <c r="E77" s="41"/>
      <c r="F77" s="51"/>
      <c r="G77" s="51"/>
      <c r="H77" s="40" t="s">
        <v>151</v>
      </c>
      <c r="J77" s="7"/>
    </row>
    <row r="78" spans="1:10" x14ac:dyDescent="0.2">
      <c r="A78" s="41"/>
      <c r="B78" s="41"/>
      <c r="C78" s="42" t="s">
        <v>154</v>
      </c>
      <c r="D78" s="41"/>
      <c r="E78" s="41"/>
      <c r="F78" s="41"/>
      <c r="G78" s="41"/>
      <c r="H78" s="40" t="s">
        <v>151</v>
      </c>
      <c r="J78" s="7"/>
    </row>
    <row r="79" spans="1:10" x14ac:dyDescent="0.2">
      <c r="A79" s="41"/>
      <c r="B79" s="41"/>
      <c r="C79" s="42" t="s">
        <v>150</v>
      </c>
      <c r="D79" s="41"/>
      <c r="E79" s="41" t="s">
        <v>151</v>
      </c>
      <c r="F79" s="52" t="s">
        <v>153</v>
      </c>
      <c r="G79" s="49">
        <v>0</v>
      </c>
      <c r="H79" s="40" t="s">
        <v>151</v>
      </c>
      <c r="J79" s="7"/>
    </row>
    <row r="80" spans="1:10" x14ac:dyDescent="0.2">
      <c r="A80" s="41"/>
      <c r="B80" s="41"/>
      <c r="C80" s="50"/>
      <c r="D80" s="41"/>
      <c r="E80" s="41"/>
      <c r="F80" s="51"/>
      <c r="G80" s="51"/>
      <c r="H80" s="40" t="s">
        <v>151</v>
      </c>
      <c r="J80" s="7"/>
    </row>
    <row r="81" spans="1:10" x14ac:dyDescent="0.2">
      <c r="A81" s="41"/>
      <c r="B81" s="41"/>
      <c r="C81" s="42" t="s">
        <v>155</v>
      </c>
      <c r="D81" s="41"/>
      <c r="E81" s="41"/>
      <c r="F81" s="41"/>
      <c r="G81" s="41"/>
      <c r="H81" s="40" t="s">
        <v>151</v>
      </c>
      <c r="J81" s="7"/>
    </row>
    <row r="82" spans="1:10" x14ac:dyDescent="0.2">
      <c r="A82" s="41"/>
      <c r="B82" s="41"/>
      <c r="C82" s="42" t="s">
        <v>150</v>
      </c>
      <c r="D82" s="41"/>
      <c r="E82" s="41" t="s">
        <v>151</v>
      </c>
      <c r="F82" s="52" t="s">
        <v>153</v>
      </c>
      <c r="G82" s="49">
        <v>0</v>
      </c>
      <c r="H82" s="40" t="s">
        <v>151</v>
      </c>
      <c r="J82" s="7"/>
    </row>
    <row r="83" spans="1:10" x14ac:dyDescent="0.2">
      <c r="A83" s="41"/>
      <c r="B83" s="41"/>
      <c r="C83" s="50"/>
      <c r="D83" s="41"/>
      <c r="E83" s="41"/>
      <c r="F83" s="51"/>
      <c r="G83" s="51"/>
      <c r="H83" s="40" t="s">
        <v>151</v>
      </c>
      <c r="J83" s="7"/>
    </row>
    <row r="84" spans="1:10" x14ac:dyDescent="0.2">
      <c r="A84" s="41"/>
      <c r="B84" s="41"/>
      <c r="C84" s="42" t="s">
        <v>156</v>
      </c>
      <c r="D84" s="41"/>
      <c r="E84" s="41"/>
      <c r="F84" s="51"/>
      <c r="G84" s="51"/>
      <c r="H84" s="40" t="s">
        <v>151</v>
      </c>
      <c r="J84" s="7"/>
    </row>
    <row r="85" spans="1:10" x14ac:dyDescent="0.2">
      <c r="A85" s="41"/>
      <c r="B85" s="41"/>
      <c r="C85" s="42" t="s">
        <v>150</v>
      </c>
      <c r="D85" s="41"/>
      <c r="E85" s="41" t="s">
        <v>151</v>
      </c>
      <c r="F85" s="52" t="s">
        <v>153</v>
      </c>
      <c r="G85" s="49">
        <v>0</v>
      </c>
      <c r="H85" s="40" t="s">
        <v>151</v>
      </c>
      <c r="J85" s="7"/>
    </row>
    <row r="86" spans="1:10" x14ac:dyDescent="0.2">
      <c r="A86" s="41"/>
      <c r="B86" s="41"/>
      <c r="C86" s="50"/>
      <c r="D86" s="41"/>
      <c r="E86" s="41"/>
      <c r="F86" s="51"/>
      <c r="G86" s="51"/>
      <c r="H86" s="40" t="s">
        <v>151</v>
      </c>
      <c r="J86" s="7"/>
    </row>
    <row r="87" spans="1:10" x14ac:dyDescent="0.2">
      <c r="A87" s="41"/>
      <c r="B87" s="41"/>
      <c r="C87" s="42" t="s">
        <v>157</v>
      </c>
      <c r="D87" s="41"/>
      <c r="E87" s="41"/>
      <c r="F87" s="51"/>
      <c r="G87" s="51"/>
      <c r="H87" s="40" t="s">
        <v>151</v>
      </c>
      <c r="J87" s="7"/>
    </row>
    <row r="88" spans="1:10" x14ac:dyDescent="0.2">
      <c r="A88" s="41"/>
      <c r="B88" s="41"/>
      <c r="C88" s="42" t="s">
        <v>150</v>
      </c>
      <c r="D88" s="41"/>
      <c r="E88" s="41" t="s">
        <v>151</v>
      </c>
      <c r="F88" s="52" t="s">
        <v>153</v>
      </c>
      <c r="G88" s="49">
        <v>0</v>
      </c>
      <c r="H88" s="40" t="s">
        <v>151</v>
      </c>
      <c r="J88" s="7"/>
    </row>
    <row r="89" spans="1:10" x14ac:dyDescent="0.2">
      <c r="A89" s="41"/>
      <c r="B89" s="41"/>
      <c r="C89" s="50"/>
      <c r="D89" s="41"/>
      <c r="E89" s="41"/>
      <c r="F89" s="51"/>
      <c r="G89" s="51"/>
      <c r="H89" s="40" t="s">
        <v>151</v>
      </c>
      <c r="J89" s="7"/>
    </row>
    <row r="90" spans="1:10" x14ac:dyDescent="0.2">
      <c r="A90" s="41"/>
      <c r="B90" s="41"/>
      <c r="C90" s="42" t="s">
        <v>158</v>
      </c>
      <c r="D90" s="41"/>
      <c r="E90" s="41"/>
      <c r="F90" s="48">
        <v>164938.02968499999</v>
      </c>
      <c r="G90" s="49">
        <v>0.98298472000000003</v>
      </c>
      <c r="H90" s="40" t="s">
        <v>151</v>
      </c>
      <c r="J90" s="7"/>
    </row>
    <row r="91" spans="1:10" x14ac:dyDescent="0.2">
      <c r="A91" s="41"/>
      <c r="B91" s="41"/>
      <c r="C91" s="50"/>
      <c r="D91" s="41"/>
      <c r="E91" s="41"/>
      <c r="F91" s="51"/>
      <c r="G91" s="51"/>
      <c r="H91" s="40" t="s">
        <v>151</v>
      </c>
      <c r="J91" s="7"/>
    </row>
    <row r="92" spans="1:10" x14ac:dyDescent="0.2">
      <c r="A92" s="41"/>
      <c r="B92" s="41"/>
      <c r="C92" s="42" t="s">
        <v>159</v>
      </c>
      <c r="D92" s="41"/>
      <c r="E92" s="41"/>
      <c r="F92" s="51"/>
      <c r="G92" s="51"/>
      <c r="H92" s="40" t="s">
        <v>151</v>
      </c>
      <c r="J92" s="7"/>
    </row>
    <row r="93" spans="1:10" x14ac:dyDescent="0.2">
      <c r="A93" s="41"/>
      <c r="B93" s="41"/>
      <c r="C93" s="42" t="s">
        <v>10</v>
      </c>
      <c r="D93" s="41"/>
      <c r="E93" s="41"/>
      <c r="F93" s="51"/>
      <c r="G93" s="51"/>
      <c r="H93" s="40" t="s">
        <v>151</v>
      </c>
      <c r="J93" s="7"/>
    </row>
    <row r="94" spans="1:10" x14ac:dyDescent="0.2">
      <c r="A94" s="41"/>
      <c r="B94" s="41"/>
      <c r="C94" s="42" t="s">
        <v>150</v>
      </c>
      <c r="D94" s="41"/>
      <c r="E94" s="41" t="s">
        <v>151</v>
      </c>
      <c r="F94" s="52" t="s">
        <v>153</v>
      </c>
      <c r="G94" s="49">
        <v>0</v>
      </c>
      <c r="H94" s="40" t="s">
        <v>151</v>
      </c>
      <c r="J94" s="7"/>
    </row>
    <row r="95" spans="1:10" x14ac:dyDescent="0.2">
      <c r="A95" s="41"/>
      <c r="B95" s="41"/>
      <c r="C95" s="50"/>
      <c r="D95" s="41"/>
      <c r="E95" s="41"/>
      <c r="F95" s="51"/>
      <c r="G95" s="51"/>
      <c r="H95" s="40" t="s">
        <v>151</v>
      </c>
      <c r="J95" s="7"/>
    </row>
    <row r="96" spans="1:10" x14ac:dyDescent="0.2">
      <c r="A96" s="41"/>
      <c r="B96" s="41"/>
      <c r="C96" s="42" t="s">
        <v>160</v>
      </c>
      <c r="D96" s="41"/>
      <c r="E96" s="41"/>
      <c r="F96" s="41"/>
      <c r="G96" s="41"/>
      <c r="H96" s="40" t="s">
        <v>151</v>
      </c>
      <c r="J96" s="7"/>
    </row>
    <row r="97" spans="1:10" x14ac:dyDescent="0.2">
      <c r="A97" s="41"/>
      <c r="B97" s="41"/>
      <c r="C97" s="42" t="s">
        <v>150</v>
      </c>
      <c r="D97" s="41"/>
      <c r="E97" s="41" t="s">
        <v>151</v>
      </c>
      <c r="F97" s="52" t="s">
        <v>153</v>
      </c>
      <c r="G97" s="49">
        <v>0</v>
      </c>
      <c r="H97" s="40" t="s">
        <v>151</v>
      </c>
      <c r="J97" s="7"/>
    </row>
    <row r="98" spans="1:10" x14ac:dyDescent="0.2">
      <c r="A98" s="41"/>
      <c r="B98" s="41"/>
      <c r="C98" s="50"/>
      <c r="D98" s="41"/>
      <c r="E98" s="41"/>
      <c r="F98" s="51"/>
      <c r="G98" s="51"/>
      <c r="H98" s="40" t="s">
        <v>151</v>
      </c>
      <c r="J98" s="7"/>
    </row>
    <row r="99" spans="1:10" x14ac:dyDescent="0.2">
      <c r="A99" s="41"/>
      <c r="B99" s="41"/>
      <c r="C99" s="42" t="s">
        <v>161</v>
      </c>
      <c r="D99" s="41"/>
      <c r="E99" s="41"/>
      <c r="F99" s="41"/>
      <c r="G99" s="41"/>
      <c r="H99" s="40" t="s">
        <v>151</v>
      </c>
      <c r="J99" s="7"/>
    </row>
    <row r="100" spans="1:10" x14ac:dyDescent="0.2">
      <c r="A100" s="41"/>
      <c r="B100" s="41"/>
      <c r="C100" s="42" t="s">
        <v>150</v>
      </c>
      <c r="D100" s="41"/>
      <c r="E100" s="41" t="s">
        <v>151</v>
      </c>
      <c r="F100" s="52" t="s">
        <v>153</v>
      </c>
      <c r="G100" s="49">
        <v>0</v>
      </c>
      <c r="H100" s="40" t="s">
        <v>151</v>
      </c>
      <c r="J100" s="7"/>
    </row>
    <row r="101" spans="1:10" x14ac:dyDescent="0.2">
      <c r="A101" s="41"/>
      <c r="B101" s="41"/>
      <c r="C101" s="50"/>
      <c r="D101" s="41"/>
      <c r="E101" s="41"/>
      <c r="F101" s="51"/>
      <c r="G101" s="51"/>
      <c r="H101" s="40" t="s">
        <v>151</v>
      </c>
      <c r="J101" s="7"/>
    </row>
    <row r="102" spans="1:10" x14ac:dyDescent="0.2">
      <c r="A102" s="41"/>
      <c r="B102" s="41"/>
      <c r="C102" s="42" t="s">
        <v>162</v>
      </c>
      <c r="D102" s="41"/>
      <c r="E102" s="41"/>
      <c r="F102" s="51"/>
      <c r="G102" s="51"/>
      <c r="H102" s="40" t="s">
        <v>151</v>
      </c>
      <c r="J102" s="7"/>
    </row>
    <row r="103" spans="1:10" x14ac:dyDescent="0.2">
      <c r="A103" s="41"/>
      <c r="B103" s="41"/>
      <c r="C103" s="42" t="s">
        <v>150</v>
      </c>
      <c r="D103" s="41"/>
      <c r="E103" s="41" t="s">
        <v>151</v>
      </c>
      <c r="F103" s="52" t="s">
        <v>153</v>
      </c>
      <c r="G103" s="49">
        <v>0</v>
      </c>
      <c r="H103" s="40" t="s">
        <v>151</v>
      </c>
      <c r="J103" s="7"/>
    </row>
    <row r="104" spans="1:10" x14ac:dyDescent="0.2">
      <c r="A104" s="41"/>
      <c r="B104" s="41"/>
      <c r="C104" s="50"/>
      <c r="D104" s="41"/>
      <c r="E104" s="41"/>
      <c r="F104" s="51"/>
      <c r="G104" s="51"/>
      <c r="H104" s="40" t="s">
        <v>151</v>
      </c>
      <c r="J104" s="7"/>
    </row>
    <row r="105" spans="1:10" x14ac:dyDescent="0.2">
      <c r="A105" s="41"/>
      <c r="B105" s="41"/>
      <c r="C105" s="42" t="s">
        <v>163</v>
      </c>
      <c r="D105" s="41"/>
      <c r="E105" s="41"/>
      <c r="F105" s="48">
        <v>0</v>
      </c>
      <c r="G105" s="49">
        <v>0</v>
      </c>
      <c r="H105" s="40" t="s">
        <v>151</v>
      </c>
      <c r="J105" s="7"/>
    </row>
    <row r="106" spans="1:10" x14ac:dyDescent="0.2">
      <c r="A106" s="41"/>
      <c r="B106" s="41"/>
      <c r="C106" s="50"/>
      <c r="D106" s="41"/>
      <c r="E106" s="41"/>
      <c r="F106" s="51"/>
      <c r="G106" s="51"/>
      <c r="H106" s="40" t="s">
        <v>151</v>
      </c>
      <c r="J106" s="7"/>
    </row>
    <row r="107" spans="1:10" x14ac:dyDescent="0.2">
      <c r="A107" s="41"/>
      <c r="B107" s="41"/>
      <c r="C107" s="42" t="s">
        <v>164</v>
      </c>
      <c r="D107" s="41"/>
      <c r="E107" s="41"/>
      <c r="F107" s="51"/>
      <c r="G107" s="51"/>
      <c r="H107" s="40" t="s">
        <v>151</v>
      </c>
      <c r="J107" s="7"/>
    </row>
    <row r="108" spans="1:10" x14ac:dyDescent="0.2">
      <c r="A108" s="41"/>
      <c r="B108" s="41"/>
      <c r="C108" s="42" t="s">
        <v>165</v>
      </c>
      <c r="D108" s="41"/>
      <c r="E108" s="41"/>
      <c r="F108" s="51"/>
      <c r="G108" s="51"/>
      <c r="H108" s="40" t="s">
        <v>151</v>
      </c>
      <c r="J108" s="7"/>
    </row>
    <row r="109" spans="1:10" x14ac:dyDescent="0.2">
      <c r="A109" s="41"/>
      <c r="B109" s="41"/>
      <c r="C109" s="42" t="s">
        <v>150</v>
      </c>
      <c r="D109" s="41"/>
      <c r="E109" s="41" t="s">
        <v>151</v>
      </c>
      <c r="F109" s="52" t="s">
        <v>153</v>
      </c>
      <c r="G109" s="49">
        <v>0</v>
      </c>
      <c r="H109" s="40" t="s">
        <v>151</v>
      </c>
      <c r="J109" s="7"/>
    </row>
    <row r="110" spans="1:10" x14ac:dyDescent="0.2">
      <c r="A110" s="41"/>
      <c r="B110" s="41"/>
      <c r="C110" s="50"/>
      <c r="D110" s="41"/>
      <c r="E110" s="41"/>
      <c r="F110" s="51"/>
      <c r="G110" s="51"/>
      <c r="H110" s="40" t="s">
        <v>151</v>
      </c>
      <c r="J110" s="7"/>
    </row>
    <row r="111" spans="1:10" x14ac:dyDescent="0.2">
      <c r="A111" s="41"/>
      <c r="B111" s="41"/>
      <c r="C111" s="42" t="s">
        <v>166</v>
      </c>
      <c r="D111" s="41"/>
      <c r="E111" s="41"/>
      <c r="F111" s="51"/>
      <c r="G111" s="51"/>
      <c r="H111" s="40" t="s">
        <v>151</v>
      </c>
      <c r="J111" s="7"/>
    </row>
    <row r="112" spans="1:10" x14ac:dyDescent="0.2">
      <c r="A112" s="41"/>
      <c r="B112" s="41"/>
      <c r="C112" s="42" t="s">
        <v>150</v>
      </c>
      <c r="D112" s="41"/>
      <c r="E112" s="41" t="s">
        <v>151</v>
      </c>
      <c r="F112" s="52" t="s">
        <v>153</v>
      </c>
      <c r="G112" s="49">
        <v>0</v>
      </c>
      <c r="H112" s="40" t="s">
        <v>151</v>
      </c>
      <c r="J112" s="7"/>
    </row>
    <row r="113" spans="1:10" x14ac:dyDescent="0.2">
      <c r="A113" s="41"/>
      <c r="B113" s="41"/>
      <c r="C113" s="50"/>
      <c r="D113" s="41"/>
      <c r="E113" s="41"/>
      <c r="F113" s="51"/>
      <c r="G113" s="51"/>
      <c r="H113" s="40" t="s">
        <v>151</v>
      </c>
      <c r="J113" s="7"/>
    </row>
    <row r="114" spans="1:10" x14ac:dyDescent="0.2">
      <c r="A114" s="41"/>
      <c r="B114" s="41"/>
      <c r="C114" s="42" t="s">
        <v>167</v>
      </c>
      <c r="D114" s="41"/>
      <c r="E114" s="41"/>
      <c r="F114" s="51"/>
      <c r="G114" s="51"/>
      <c r="H114" s="40" t="s">
        <v>151</v>
      </c>
      <c r="J114" s="7"/>
    </row>
    <row r="115" spans="1:10" x14ac:dyDescent="0.2">
      <c r="A115" s="41"/>
      <c r="B115" s="41"/>
      <c r="C115" s="42" t="s">
        <v>150</v>
      </c>
      <c r="D115" s="41"/>
      <c r="E115" s="41" t="s">
        <v>151</v>
      </c>
      <c r="F115" s="52" t="s">
        <v>153</v>
      </c>
      <c r="G115" s="49">
        <v>0</v>
      </c>
      <c r="H115" s="40" t="s">
        <v>151</v>
      </c>
      <c r="J115" s="7"/>
    </row>
    <row r="116" spans="1:10" x14ac:dyDescent="0.2">
      <c r="A116" s="41"/>
      <c r="B116" s="41"/>
      <c r="C116" s="50"/>
      <c r="D116" s="41"/>
      <c r="E116" s="41"/>
      <c r="F116" s="51"/>
      <c r="G116" s="51"/>
      <c r="H116" s="40" t="s">
        <v>151</v>
      </c>
      <c r="J116" s="7"/>
    </row>
    <row r="117" spans="1:10" x14ac:dyDescent="0.2">
      <c r="A117" s="41"/>
      <c r="B117" s="41"/>
      <c r="C117" s="42" t="s">
        <v>168</v>
      </c>
      <c r="D117" s="41"/>
      <c r="E117" s="41"/>
      <c r="F117" s="51"/>
      <c r="G117" s="51"/>
      <c r="H117" s="40" t="s">
        <v>151</v>
      </c>
      <c r="J117" s="7"/>
    </row>
    <row r="118" spans="1:10" x14ac:dyDescent="0.2">
      <c r="A118" s="43">
        <v>1</v>
      </c>
      <c r="B118" s="44"/>
      <c r="C118" s="44" t="s">
        <v>169</v>
      </c>
      <c r="D118" s="44"/>
      <c r="E118" s="54"/>
      <c r="F118" s="46">
        <v>3050.8436930140001</v>
      </c>
      <c r="G118" s="47">
        <v>1.8182179999999999E-2</v>
      </c>
      <c r="H118" s="40">
        <v>6.39</v>
      </c>
      <c r="J118" s="7"/>
    </row>
    <row r="119" spans="1:10" x14ac:dyDescent="0.2">
      <c r="A119" s="41"/>
      <c r="B119" s="41"/>
      <c r="C119" s="42" t="s">
        <v>150</v>
      </c>
      <c r="D119" s="41"/>
      <c r="E119" s="41" t="s">
        <v>151</v>
      </c>
      <c r="F119" s="48">
        <v>3050.8436930140001</v>
      </c>
      <c r="G119" s="49">
        <v>1.8182179999999999E-2</v>
      </c>
      <c r="H119" s="40" t="s">
        <v>151</v>
      </c>
      <c r="J119" s="7"/>
    </row>
    <row r="120" spans="1:10" x14ac:dyDescent="0.2">
      <c r="A120" s="41"/>
      <c r="B120" s="41"/>
      <c r="C120" s="50"/>
      <c r="D120" s="41"/>
      <c r="E120" s="41"/>
      <c r="F120" s="51"/>
      <c r="G120" s="51"/>
      <c r="H120" s="40" t="s">
        <v>151</v>
      </c>
      <c r="J120" s="7"/>
    </row>
    <row r="121" spans="1:10" x14ac:dyDescent="0.2">
      <c r="A121" s="41"/>
      <c r="B121" s="41"/>
      <c r="C121" s="42" t="s">
        <v>170</v>
      </c>
      <c r="D121" s="41"/>
      <c r="E121" s="41"/>
      <c r="F121" s="48">
        <v>3050.8436930140001</v>
      </c>
      <c r="G121" s="49">
        <v>1.8182179999999999E-2</v>
      </c>
      <c r="H121" s="40" t="s">
        <v>151</v>
      </c>
      <c r="J121" s="7"/>
    </row>
    <row r="122" spans="1:10" x14ac:dyDescent="0.2">
      <c r="A122" s="41"/>
      <c r="B122" s="41"/>
      <c r="C122" s="51"/>
      <c r="D122" s="41"/>
      <c r="E122" s="41"/>
      <c r="F122" s="41"/>
      <c r="G122" s="41"/>
      <c r="H122" s="40" t="s">
        <v>151</v>
      </c>
      <c r="J122" s="7"/>
    </row>
    <row r="123" spans="1:10" x14ac:dyDescent="0.2">
      <c r="A123" s="41"/>
      <c r="B123" s="41"/>
      <c r="C123" s="42" t="s">
        <v>171</v>
      </c>
      <c r="D123" s="41"/>
      <c r="E123" s="41"/>
      <c r="F123" s="41"/>
      <c r="G123" s="41"/>
      <c r="H123" s="40" t="s">
        <v>151</v>
      </c>
      <c r="J123" s="7"/>
    </row>
    <row r="124" spans="1:10" x14ac:dyDescent="0.2">
      <c r="A124" s="41"/>
      <c r="B124" s="41"/>
      <c r="C124" s="42" t="s">
        <v>172</v>
      </c>
      <c r="D124" s="41"/>
      <c r="E124" s="41"/>
      <c r="F124" s="41"/>
      <c r="G124" s="41"/>
      <c r="H124" s="40" t="s">
        <v>151</v>
      </c>
      <c r="J124" s="7"/>
    </row>
    <row r="125" spans="1:10" x14ac:dyDescent="0.2">
      <c r="A125" s="41"/>
      <c r="B125" s="41"/>
      <c r="C125" s="42" t="s">
        <v>150</v>
      </c>
      <c r="D125" s="41"/>
      <c r="E125" s="41" t="s">
        <v>151</v>
      </c>
      <c r="F125" s="52" t="s">
        <v>153</v>
      </c>
      <c r="G125" s="49">
        <v>0</v>
      </c>
      <c r="H125" s="40" t="s">
        <v>151</v>
      </c>
      <c r="J125" s="7"/>
    </row>
    <row r="126" spans="1:10" x14ac:dyDescent="0.2">
      <c r="A126" s="41"/>
      <c r="B126" s="41"/>
      <c r="C126" s="50"/>
      <c r="D126" s="41"/>
      <c r="E126" s="41"/>
      <c r="F126" s="51"/>
      <c r="G126" s="51"/>
      <c r="H126" s="40" t="s">
        <v>151</v>
      </c>
      <c r="J126" s="7"/>
    </row>
    <row r="127" spans="1:10" x14ac:dyDescent="0.2">
      <c r="A127" s="41"/>
      <c r="B127" s="41"/>
      <c r="C127" s="42" t="s">
        <v>173</v>
      </c>
      <c r="D127" s="41"/>
      <c r="E127" s="41"/>
      <c r="F127" s="41"/>
      <c r="G127" s="41"/>
      <c r="H127" s="40" t="s">
        <v>151</v>
      </c>
      <c r="J127" s="7"/>
    </row>
    <row r="128" spans="1:10" x14ac:dyDescent="0.2">
      <c r="A128" s="41"/>
      <c r="B128" s="41"/>
      <c r="C128" s="42" t="s">
        <v>174</v>
      </c>
      <c r="D128" s="41"/>
      <c r="E128" s="41"/>
      <c r="F128" s="41"/>
      <c r="G128" s="41"/>
      <c r="H128" s="40" t="s">
        <v>151</v>
      </c>
      <c r="J128" s="7"/>
    </row>
    <row r="129" spans="1:17" x14ac:dyDescent="0.2">
      <c r="A129" s="41"/>
      <c r="B129" s="41"/>
      <c r="C129" s="42" t="s">
        <v>150</v>
      </c>
      <c r="D129" s="41"/>
      <c r="E129" s="41" t="s">
        <v>151</v>
      </c>
      <c r="F129" s="52" t="s">
        <v>153</v>
      </c>
      <c r="G129" s="49">
        <v>0</v>
      </c>
      <c r="H129" s="40" t="s">
        <v>151</v>
      </c>
      <c r="J129" s="7"/>
    </row>
    <row r="130" spans="1:17" x14ac:dyDescent="0.2">
      <c r="A130" s="41"/>
      <c r="B130" s="41"/>
      <c r="C130" s="50"/>
      <c r="D130" s="41"/>
      <c r="E130" s="41"/>
      <c r="F130" s="51"/>
      <c r="G130" s="51"/>
      <c r="H130" s="40" t="s">
        <v>151</v>
      </c>
      <c r="J130" s="7"/>
    </row>
    <row r="131" spans="1:17" x14ac:dyDescent="0.2">
      <c r="A131" s="41"/>
      <c r="B131" s="41"/>
      <c r="C131" s="42" t="s">
        <v>175</v>
      </c>
      <c r="D131" s="41"/>
      <c r="E131" s="41"/>
      <c r="F131" s="51"/>
      <c r="G131" s="51"/>
      <c r="H131" s="40" t="s">
        <v>151</v>
      </c>
      <c r="J131" s="7"/>
    </row>
    <row r="132" spans="1:17" x14ac:dyDescent="0.2">
      <c r="A132" s="41"/>
      <c r="B132" s="41"/>
      <c r="C132" s="42" t="s">
        <v>150</v>
      </c>
      <c r="D132" s="41"/>
      <c r="E132" s="41" t="s">
        <v>151</v>
      </c>
      <c r="F132" s="52" t="s">
        <v>153</v>
      </c>
      <c r="G132" s="49">
        <v>0</v>
      </c>
      <c r="H132" s="40" t="s">
        <v>151</v>
      </c>
      <c r="J132" s="7"/>
    </row>
    <row r="133" spans="1:17" x14ac:dyDescent="0.2">
      <c r="A133" s="41"/>
      <c r="B133" s="44"/>
      <c r="C133" s="44"/>
      <c r="D133" s="42"/>
      <c r="E133" s="41"/>
      <c r="F133" s="44"/>
      <c r="G133" s="54"/>
      <c r="H133" s="40" t="s">
        <v>151</v>
      </c>
      <c r="J133" s="7"/>
    </row>
    <row r="134" spans="1:17" x14ac:dyDescent="0.2">
      <c r="A134" s="54"/>
      <c r="B134" s="44"/>
      <c r="C134" s="44" t="s">
        <v>176</v>
      </c>
      <c r="D134" s="44"/>
      <c r="E134" s="54"/>
      <c r="F134" s="46">
        <v>-195.78261638999999</v>
      </c>
      <c r="G134" s="47">
        <v>-1.1668099999999999E-3</v>
      </c>
      <c r="H134" s="40" t="s">
        <v>151</v>
      </c>
      <c r="J134" s="7"/>
    </row>
    <row r="135" spans="1:17" x14ac:dyDescent="0.2">
      <c r="A135" s="50"/>
      <c r="B135" s="50"/>
      <c r="C135" s="42" t="s">
        <v>177</v>
      </c>
      <c r="D135" s="51"/>
      <c r="E135" s="51"/>
      <c r="F135" s="48">
        <v>167793.09076162399</v>
      </c>
      <c r="G135" s="55">
        <v>1.0000000899999999</v>
      </c>
      <c r="H135" s="40" t="s">
        <v>151</v>
      </c>
      <c r="J135" s="7"/>
    </row>
    <row r="136" spans="1:17" x14ac:dyDescent="0.2">
      <c r="A136" s="56"/>
      <c r="B136" s="56"/>
      <c r="C136" s="56"/>
      <c r="D136" s="57"/>
      <c r="E136" s="57"/>
      <c r="F136" s="57"/>
      <c r="G136" s="57"/>
      <c r="J136" s="7"/>
    </row>
    <row r="137" spans="1:17" ht="12.75" customHeight="1" x14ac:dyDescent="0.2">
      <c r="A137" s="58"/>
      <c r="B137" s="159" t="s">
        <v>923</v>
      </c>
      <c r="C137" s="159"/>
      <c r="D137" s="159"/>
      <c r="E137" s="159"/>
      <c r="F137" s="159"/>
      <c r="G137" s="159"/>
      <c r="H137" s="159"/>
      <c r="J137" s="7"/>
    </row>
    <row r="138" spans="1:17" ht="14.1" customHeight="1" x14ac:dyDescent="0.2">
      <c r="A138" s="58"/>
      <c r="B138" s="159" t="s">
        <v>924</v>
      </c>
      <c r="C138" s="159"/>
      <c r="D138" s="159"/>
      <c r="E138" s="159"/>
      <c r="F138" s="159"/>
      <c r="G138" s="159"/>
      <c r="H138" s="159"/>
      <c r="J138" s="7"/>
    </row>
    <row r="139" spans="1:17" ht="17.100000000000001" customHeight="1" x14ac:dyDescent="0.2">
      <c r="A139" s="58"/>
      <c r="B139" s="159" t="s">
        <v>925</v>
      </c>
      <c r="C139" s="159"/>
      <c r="D139" s="159"/>
      <c r="E139" s="159"/>
      <c r="F139" s="159"/>
      <c r="G139" s="159"/>
      <c r="H139" s="159"/>
      <c r="J139" s="7"/>
    </row>
    <row r="140" spans="1:17" s="8" customFormat="1" ht="65.25" customHeight="1" x14ac:dyDescent="0.25">
      <c r="A140" s="60"/>
      <c r="B140" s="160" t="s">
        <v>926</v>
      </c>
      <c r="C140" s="160"/>
      <c r="D140" s="160"/>
      <c r="E140" s="160"/>
      <c r="F140" s="160"/>
      <c r="G140" s="160"/>
      <c r="H140" s="160"/>
      <c r="I140"/>
      <c r="J140" s="7"/>
      <c r="K140"/>
      <c r="L140"/>
      <c r="M140"/>
      <c r="N140"/>
      <c r="O140"/>
      <c r="P140"/>
      <c r="Q140"/>
    </row>
    <row r="141" spans="1:17" ht="12.75" customHeight="1" x14ac:dyDescent="0.2">
      <c r="A141" s="58"/>
      <c r="B141" s="159" t="s">
        <v>927</v>
      </c>
      <c r="C141" s="159"/>
      <c r="D141" s="159"/>
      <c r="E141" s="159"/>
      <c r="F141" s="159"/>
      <c r="G141" s="159"/>
      <c r="H141" s="159"/>
      <c r="J141" s="7"/>
    </row>
    <row r="142" spans="1:17" x14ac:dyDescent="0.2">
      <c r="A142" s="61"/>
      <c r="B142" s="61"/>
      <c r="C142" s="61"/>
      <c r="D142" s="62"/>
      <c r="E142" s="62"/>
      <c r="F142" s="62"/>
      <c r="G142" s="62"/>
      <c r="J142" s="7"/>
    </row>
    <row r="143" spans="1:17" x14ac:dyDescent="0.2">
      <c r="A143" s="61"/>
      <c r="B143" s="161" t="s">
        <v>178</v>
      </c>
      <c r="C143" s="162"/>
      <c r="D143" s="163"/>
      <c r="E143" s="63"/>
      <c r="F143" s="62"/>
      <c r="G143" s="62"/>
      <c r="J143" s="7"/>
    </row>
    <row r="144" spans="1:17" x14ac:dyDescent="0.2">
      <c r="A144" s="61"/>
      <c r="B144" s="156" t="s">
        <v>179</v>
      </c>
      <c r="C144" s="157"/>
      <c r="D144" s="42" t="s">
        <v>180</v>
      </c>
      <c r="E144" s="63"/>
      <c r="F144" s="62"/>
      <c r="G144" s="62"/>
      <c r="J144" s="7"/>
    </row>
    <row r="145" spans="1:10" x14ac:dyDescent="0.2">
      <c r="A145" s="61"/>
      <c r="B145" s="156" t="s">
        <v>181</v>
      </c>
      <c r="C145" s="157"/>
      <c r="D145" s="42" t="s">
        <v>180</v>
      </c>
      <c r="E145" s="63"/>
      <c r="F145" s="62"/>
      <c r="G145" s="62"/>
      <c r="J145" s="7"/>
    </row>
    <row r="146" spans="1:10" x14ac:dyDescent="0.2">
      <c r="A146" s="61"/>
      <c r="B146" s="156" t="s">
        <v>182</v>
      </c>
      <c r="C146" s="157"/>
      <c r="D146" s="51" t="s">
        <v>151</v>
      </c>
      <c r="E146" s="63"/>
      <c r="F146" s="62"/>
      <c r="G146" s="62"/>
      <c r="J146" s="7"/>
    </row>
    <row r="147" spans="1:10" x14ac:dyDescent="0.2">
      <c r="A147" s="67"/>
      <c r="B147" s="68" t="s">
        <v>151</v>
      </c>
      <c r="C147" s="68" t="s">
        <v>937</v>
      </c>
      <c r="D147" s="68" t="s">
        <v>183</v>
      </c>
      <c r="E147" s="67"/>
      <c r="F147" s="67"/>
      <c r="G147" s="67"/>
      <c r="H147" s="67"/>
      <c r="J147" s="7"/>
    </row>
    <row r="148" spans="1:10" x14ac:dyDescent="0.2">
      <c r="A148" s="69"/>
      <c r="B148" s="70" t="s">
        <v>184</v>
      </c>
      <c r="C148" s="80" t="s">
        <v>185</v>
      </c>
      <c r="D148" s="80" t="s">
        <v>186</v>
      </c>
      <c r="E148" s="69"/>
      <c r="F148" s="69"/>
      <c r="G148" s="69"/>
      <c r="J148" s="7"/>
    </row>
    <row r="149" spans="1:10" x14ac:dyDescent="0.2">
      <c r="A149" s="69"/>
      <c r="B149" s="44" t="s">
        <v>187</v>
      </c>
      <c r="C149" s="72">
        <v>222.91149999999999</v>
      </c>
      <c r="D149" s="72">
        <v>231.12819999999999</v>
      </c>
      <c r="E149" s="69"/>
      <c r="F149" s="73"/>
      <c r="G149" s="74"/>
      <c r="J149" s="7"/>
    </row>
    <row r="150" spans="1:10" x14ac:dyDescent="0.2">
      <c r="A150" s="69"/>
      <c r="B150" s="44" t="s">
        <v>1094</v>
      </c>
      <c r="C150" s="72">
        <v>20.2666</v>
      </c>
      <c r="D150" s="72">
        <v>21.0137</v>
      </c>
      <c r="E150" s="69"/>
      <c r="F150" s="73"/>
      <c r="G150" s="74"/>
      <c r="J150" s="7"/>
    </row>
    <row r="151" spans="1:10" x14ac:dyDescent="0.2">
      <c r="A151" s="69"/>
      <c r="B151" s="44" t="s">
        <v>188</v>
      </c>
      <c r="C151" s="72">
        <v>211.6172</v>
      </c>
      <c r="D151" s="72">
        <v>219.31309999999999</v>
      </c>
      <c r="E151" s="69"/>
      <c r="F151" s="73"/>
      <c r="G151" s="74"/>
      <c r="J151" s="7"/>
    </row>
    <row r="152" spans="1:10" x14ac:dyDescent="0.2">
      <c r="A152" s="69"/>
      <c r="B152" s="44" t="s">
        <v>1095</v>
      </c>
      <c r="C152" s="72">
        <v>16.7742</v>
      </c>
      <c r="D152" s="72">
        <v>17.3842</v>
      </c>
      <c r="E152" s="69"/>
      <c r="F152" s="73"/>
      <c r="G152" s="74"/>
      <c r="J152" s="7"/>
    </row>
    <row r="153" spans="1:10" x14ac:dyDescent="0.2">
      <c r="A153" s="69"/>
      <c r="B153" s="69"/>
      <c r="C153" s="69"/>
      <c r="D153" s="69"/>
      <c r="E153" s="69"/>
      <c r="F153" s="69"/>
      <c r="G153" s="69"/>
      <c r="J153" s="7"/>
    </row>
    <row r="154" spans="1:10" x14ac:dyDescent="0.2">
      <c r="A154" s="69"/>
      <c r="B154" s="156" t="s">
        <v>940</v>
      </c>
      <c r="C154" s="157"/>
      <c r="D154" s="42" t="s">
        <v>180</v>
      </c>
      <c r="E154" s="69"/>
      <c r="F154" s="69"/>
      <c r="G154" s="69"/>
      <c r="J154" s="7"/>
    </row>
    <row r="155" spans="1:10" x14ac:dyDescent="0.2">
      <c r="A155" s="69"/>
      <c r="B155" s="84"/>
      <c r="C155" s="84"/>
      <c r="D155" s="84"/>
      <c r="E155" s="69"/>
      <c r="F155" s="69"/>
      <c r="G155" s="69"/>
      <c r="J155" s="7"/>
    </row>
    <row r="156" spans="1:10" ht="29.1" customHeight="1" x14ac:dyDescent="0.2">
      <c r="A156" s="67"/>
      <c r="B156" s="164" t="s">
        <v>189</v>
      </c>
      <c r="C156" s="165"/>
      <c r="D156" s="64" t="s">
        <v>180</v>
      </c>
      <c r="E156" s="75"/>
      <c r="F156" s="67"/>
      <c r="G156" s="67"/>
      <c r="J156" s="7"/>
    </row>
    <row r="157" spans="1:10" ht="29.1" customHeight="1" x14ac:dyDescent="0.2">
      <c r="A157" s="67"/>
      <c r="B157" s="164" t="s">
        <v>190</v>
      </c>
      <c r="C157" s="165"/>
      <c r="D157" s="64" t="s">
        <v>180</v>
      </c>
      <c r="E157" s="75"/>
      <c r="F157" s="67"/>
      <c r="G157" s="67"/>
    </row>
    <row r="158" spans="1:10" ht="17.100000000000001" customHeight="1" x14ac:dyDescent="0.2">
      <c r="A158" s="67"/>
      <c r="B158" s="164" t="s">
        <v>191</v>
      </c>
      <c r="C158" s="165"/>
      <c r="D158" s="64" t="s">
        <v>180</v>
      </c>
      <c r="E158" s="75"/>
      <c r="F158" s="67"/>
      <c r="G158" s="67"/>
    </row>
    <row r="159" spans="1:10" ht="17.100000000000001" customHeight="1" x14ac:dyDescent="0.2">
      <c r="A159" s="67"/>
      <c r="B159" s="164" t="s">
        <v>192</v>
      </c>
      <c r="C159" s="165"/>
      <c r="D159" s="76">
        <v>0.13459374393824156</v>
      </c>
      <c r="E159" s="67"/>
      <c r="F159" s="59"/>
      <c r="G159" s="77"/>
    </row>
  </sheetData>
  <mergeCells count="17">
    <mergeCell ref="B145:C145"/>
    <mergeCell ref="B146:C146"/>
    <mergeCell ref="B154:C154"/>
    <mergeCell ref="B158:C158"/>
    <mergeCell ref="B159:C159"/>
    <mergeCell ref="B156:C156"/>
    <mergeCell ref="B157:C157"/>
    <mergeCell ref="B144:C144"/>
    <mergeCell ref="A1:H1"/>
    <mergeCell ref="A2:H2"/>
    <mergeCell ref="A3:H3"/>
    <mergeCell ref="B137:H137"/>
    <mergeCell ref="B138:H138"/>
    <mergeCell ref="B139:H139"/>
    <mergeCell ref="B140:H140"/>
    <mergeCell ref="B141:H141"/>
    <mergeCell ref="B143:D143"/>
  </mergeCells>
  <hyperlinks>
    <hyperlink ref="I1" location="Index!B26" display="Index" xr:uid="{AF93E290-1197-490A-9928-63D50CF86A8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D0612-2CB2-49CF-AFEA-DE1DAAC15894}">
  <sheetPr>
    <outlinePr summaryBelow="0" summaryRight="0"/>
  </sheetPr>
  <dimension ref="A1:Q151"/>
  <sheetViews>
    <sheetView showGridLines="0" workbookViewId="0">
      <selection activeCell="J1" sqref="J1:J1048576"/>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8.85546875" customWidth="1"/>
    <col min="8" max="8" width="8.42578125" bestFit="1" customWidth="1"/>
    <col min="10" max="10" width="50.7109375" customWidth="1"/>
  </cols>
  <sheetData>
    <row r="1" spans="1:10" ht="15" x14ac:dyDescent="0.2">
      <c r="A1" s="158" t="s">
        <v>0</v>
      </c>
      <c r="B1" s="158"/>
      <c r="C1" s="158"/>
      <c r="D1" s="158"/>
      <c r="E1" s="158"/>
      <c r="F1" s="158"/>
      <c r="G1" s="158"/>
      <c r="H1" s="158"/>
      <c r="I1" s="13" t="s">
        <v>941</v>
      </c>
      <c r="J1" s="30"/>
    </row>
    <row r="2" spans="1:10" ht="15" x14ac:dyDescent="0.2">
      <c r="A2" s="158" t="s">
        <v>845</v>
      </c>
      <c r="B2" s="158"/>
      <c r="C2" s="158"/>
      <c r="D2" s="158"/>
      <c r="E2" s="158"/>
      <c r="F2" s="158"/>
      <c r="G2" s="158"/>
      <c r="H2" s="158"/>
      <c r="J2" s="11" t="s">
        <v>942</v>
      </c>
    </row>
    <row r="3" spans="1:10" ht="15" x14ac:dyDescent="0.2">
      <c r="A3" s="158" t="s">
        <v>880</v>
      </c>
      <c r="B3" s="158"/>
      <c r="C3" s="158"/>
      <c r="D3" s="158"/>
      <c r="E3" s="158"/>
      <c r="F3" s="158"/>
      <c r="G3" s="158"/>
      <c r="H3" s="158"/>
      <c r="J3" s="30"/>
    </row>
    <row r="4" spans="1:10" s="1" customFormat="1" ht="30" x14ac:dyDescent="0.2">
      <c r="A4" s="36" t="s">
        <v>2</v>
      </c>
      <c r="B4" s="36" t="s">
        <v>3</v>
      </c>
      <c r="C4" s="36" t="s">
        <v>4</v>
      </c>
      <c r="D4" s="36" t="s">
        <v>5</v>
      </c>
      <c r="E4" s="36" t="s">
        <v>6</v>
      </c>
      <c r="F4" s="36" t="s">
        <v>7</v>
      </c>
      <c r="G4" s="36" t="s">
        <v>8</v>
      </c>
      <c r="H4" s="37" t="s">
        <v>921</v>
      </c>
      <c r="J4" s="31"/>
    </row>
    <row r="5" spans="1:10" x14ac:dyDescent="0.2">
      <c r="A5" s="41"/>
      <c r="B5" s="41"/>
      <c r="C5" s="42" t="s">
        <v>9</v>
      </c>
      <c r="D5" s="41"/>
      <c r="E5" s="41"/>
      <c r="F5" s="41"/>
      <c r="G5" s="41"/>
      <c r="H5" s="40" t="s">
        <v>151</v>
      </c>
      <c r="J5" s="30"/>
    </row>
    <row r="6" spans="1:10" x14ac:dyDescent="0.2">
      <c r="A6" s="41"/>
      <c r="B6" s="41"/>
      <c r="C6" s="42" t="s">
        <v>10</v>
      </c>
      <c r="D6" s="41"/>
      <c r="E6" s="41"/>
      <c r="F6" s="41"/>
      <c r="G6" s="41"/>
      <c r="H6" s="40" t="s">
        <v>151</v>
      </c>
      <c r="J6" s="30"/>
    </row>
    <row r="7" spans="1:10" x14ac:dyDescent="0.2">
      <c r="A7" s="43">
        <v>1</v>
      </c>
      <c r="B7" s="44" t="s">
        <v>341</v>
      </c>
      <c r="C7" s="44" t="s">
        <v>342</v>
      </c>
      <c r="D7" s="44" t="s">
        <v>45</v>
      </c>
      <c r="E7" s="45">
        <v>1839000</v>
      </c>
      <c r="F7" s="46">
        <v>29713.642500000002</v>
      </c>
      <c r="G7" s="47">
        <v>8.1763039999999995E-2</v>
      </c>
      <c r="H7" s="40" t="s">
        <v>151</v>
      </c>
      <c r="J7" s="30"/>
    </row>
    <row r="8" spans="1:10" x14ac:dyDescent="0.2">
      <c r="A8" s="43">
        <v>2</v>
      </c>
      <c r="B8" s="44" t="s">
        <v>43</v>
      </c>
      <c r="C8" s="44" t="s">
        <v>44</v>
      </c>
      <c r="D8" s="44" t="s">
        <v>45</v>
      </c>
      <c r="E8" s="45">
        <v>2365000</v>
      </c>
      <c r="F8" s="46">
        <v>28732.384999999998</v>
      </c>
      <c r="G8" s="47">
        <v>7.906291E-2</v>
      </c>
      <c r="H8" s="40" t="s">
        <v>151</v>
      </c>
      <c r="J8" s="30"/>
    </row>
    <row r="9" spans="1:10" x14ac:dyDescent="0.2">
      <c r="A9" s="43">
        <v>3</v>
      </c>
      <c r="B9" s="44" t="s">
        <v>20</v>
      </c>
      <c r="C9" s="44" t="s">
        <v>21</v>
      </c>
      <c r="D9" s="44" t="s">
        <v>22</v>
      </c>
      <c r="E9" s="45">
        <v>874000</v>
      </c>
      <c r="F9" s="46">
        <v>26314.829000000002</v>
      </c>
      <c r="G9" s="47">
        <v>7.2410520000000006E-2</v>
      </c>
      <c r="H9" s="40" t="s">
        <v>151</v>
      </c>
      <c r="J9" s="30"/>
    </row>
    <row r="10" spans="1:10" x14ac:dyDescent="0.2">
      <c r="A10" s="43">
        <v>4</v>
      </c>
      <c r="B10" s="44" t="s">
        <v>343</v>
      </c>
      <c r="C10" s="44" t="s">
        <v>344</v>
      </c>
      <c r="D10" s="44" t="s">
        <v>219</v>
      </c>
      <c r="E10" s="45">
        <v>1167000</v>
      </c>
      <c r="F10" s="46">
        <v>21802.477500000001</v>
      </c>
      <c r="G10" s="47">
        <v>5.9993879999999999E-2</v>
      </c>
      <c r="H10" s="40" t="s">
        <v>151</v>
      </c>
      <c r="J10" s="30"/>
    </row>
    <row r="11" spans="1:10" x14ac:dyDescent="0.2">
      <c r="A11" s="43">
        <v>5</v>
      </c>
      <c r="B11" s="44" t="s">
        <v>11</v>
      </c>
      <c r="C11" s="44" t="s">
        <v>12</v>
      </c>
      <c r="D11" s="44" t="s">
        <v>13</v>
      </c>
      <c r="E11" s="45">
        <v>555000</v>
      </c>
      <c r="F11" s="46">
        <v>21173.25</v>
      </c>
      <c r="G11" s="47">
        <v>5.8262439999999999E-2</v>
      </c>
      <c r="H11" s="40" t="s">
        <v>151</v>
      </c>
      <c r="J11" s="30"/>
    </row>
    <row r="12" spans="1:10" ht="15" x14ac:dyDescent="0.2">
      <c r="A12" s="43">
        <v>6</v>
      </c>
      <c r="B12" s="44" t="s">
        <v>51</v>
      </c>
      <c r="C12" s="44" t="s">
        <v>52</v>
      </c>
      <c r="D12" s="44" t="s">
        <v>45</v>
      </c>
      <c r="E12" s="45">
        <v>1717000</v>
      </c>
      <c r="F12" s="46">
        <v>14979.108</v>
      </c>
      <c r="G12" s="47">
        <v>4.1218009999999999E-2</v>
      </c>
      <c r="H12" s="40" t="s">
        <v>151</v>
      </c>
      <c r="J12" s="12"/>
    </row>
    <row r="13" spans="1:10" x14ac:dyDescent="0.2">
      <c r="A13" s="43">
        <v>7</v>
      </c>
      <c r="B13" s="44" t="s">
        <v>17</v>
      </c>
      <c r="C13" s="44" t="s">
        <v>18</v>
      </c>
      <c r="D13" s="44" t="s">
        <v>19</v>
      </c>
      <c r="E13" s="45">
        <v>977000</v>
      </c>
      <c r="F13" s="46">
        <v>14572.443499999999</v>
      </c>
      <c r="G13" s="47">
        <v>4.0099000000000003E-2</v>
      </c>
      <c r="H13" s="40" t="s">
        <v>151</v>
      </c>
      <c r="J13" s="7"/>
    </row>
    <row r="14" spans="1:10" x14ac:dyDescent="0.2">
      <c r="A14" s="43">
        <v>8</v>
      </c>
      <c r="B14" s="44" t="s">
        <v>347</v>
      </c>
      <c r="C14" s="44" t="s">
        <v>348</v>
      </c>
      <c r="D14" s="44" t="s">
        <v>45</v>
      </c>
      <c r="E14" s="45">
        <v>1109000</v>
      </c>
      <c r="F14" s="46">
        <v>12932.049000000001</v>
      </c>
      <c r="G14" s="47">
        <v>3.5585119999999998E-2</v>
      </c>
      <c r="H14" s="40" t="s">
        <v>151</v>
      </c>
      <c r="J14" s="7" t="s">
        <v>1072</v>
      </c>
    </row>
    <row r="15" spans="1:10" ht="25.5" x14ac:dyDescent="0.2">
      <c r="A15" s="43">
        <v>9</v>
      </c>
      <c r="B15" s="44" t="s">
        <v>353</v>
      </c>
      <c r="C15" s="44" t="s">
        <v>354</v>
      </c>
      <c r="D15" s="44" t="s">
        <v>210</v>
      </c>
      <c r="E15" s="45">
        <v>662000</v>
      </c>
      <c r="F15" s="46">
        <v>11382.097</v>
      </c>
      <c r="G15" s="47">
        <v>3.132012E-2</v>
      </c>
      <c r="H15" s="40" t="s">
        <v>151</v>
      </c>
      <c r="J15" s="30"/>
    </row>
    <row r="16" spans="1:10" x14ac:dyDescent="0.2">
      <c r="A16" s="43">
        <v>10</v>
      </c>
      <c r="B16" s="44" t="s">
        <v>466</v>
      </c>
      <c r="C16" s="44" t="s">
        <v>994</v>
      </c>
      <c r="D16" s="44" t="s">
        <v>282</v>
      </c>
      <c r="E16" s="45">
        <v>1312000</v>
      </c>
      <c r="F16" s="46">
        <v>10404.16</v>
      </c>
      <c r="G16" s="47">
        <v>2.8629129999999999E-2</v>
      </c>
      <c r="H16" s="40" t="s">
        <v>151</v>
      </c>
      <c r="J16" s="30"/>
    </row>
    <row r="17" spans="1:10" x14ac:dyDescent="0.2">
      <c r="A17" s="43">
        <v>11</v>
      </c>
      <c r="B17" s="44" t="s">
        <v>349</v>
      </c>
      <c r="C17" s="44" t="s">
        <v>350</v>
      </c>
      <c r="D17" s="44" t="s">
        <v>219</v>
      </c>
      <c r="E17" s="45">
        <v>203752</v>
      </c>
      <c r="F17" s="46">
        <v>8935.2383320000008</v>
      </c>
      <c r="G17" s="47">
        <v>2.4587100000000001E-2</v>
      </c>
      <c r="H17" s="40" t="s">
        <v>151</v>
      </c>
      <c r="J17" s="30"/>
    </row>
    <row r="18" spans="1:10" x14ac:dyDescent="0.2">
      <c r="A18" s="43">
        <v>12</v>
      </c>
      <c r="B18" s="44" t="s">
        <v>560</v>
      </c>
      <c r="C18" s="44" t="s">
        <v>561</v>
      </c>
      <c r="D18" s="44" t="s">
        <v>282</v>
      </c>
      <c r="E18" s="45">
        <v>66000</v>
      </c>
      <c r="F18" s="46">
        <v>8656.4279999999999</v>
      </c>
      <c r="G18" s="47">
        <v>2.3819900000000001E-2</v>
      </c>
      <c r="H18" s="40" t="s">
        <v>151</v>
      </c>
      <c r="J18" s="30"/>
    </row>
    <row r="19" spans="1:10" x14ac:dyDescent="0.2">
      <c r="A19" s="43">
        <v>13</v>
      </c>
      <c r="B19" s="44" t="s">
        <v>14</v>
      </c>
      <c r="C19" s="44" t="s">
        <v>15</v>
      </c>
      <c r="D19" s="44" t="s">
        <v>16</v>
      </c>
      <c r="E19" s="45">
        <v>1967000</v>
      </c>
      <c r="F19" s="46">
        <v>8182.72</v>
      </c>
      <c r="G19" s="47">
        <v>2.2516390000000001E-2</v>
      </c>
      <c r="H19" s="40" t="s">
        <v>151</v>
      </c>
      <c r="J19" s="30"/>
    </row>
    <row r="20" spans="1:10" x14ac:dyDescent="0.2">
      <c r="A20" s="43">
        <v>14</v>
      </c>
      <c r="B20" s="44" t="s">
        <v>351</v>
      </c>
      <c r="C20" s="44" t="s">
        <v>352</v>
      </c>
      <c r="D20" s="44" t="s">
        <v>268</v>
      </c>
      <c r="E20" s="45">
        <v>475000</v>
      </c>
      <c r="F20" s="46">
        <v>7492.65</v>
      </c>
      <c r="G20" s="47">
        <v>2.0617529999999998E-2</v>
      </c>
      <c r="H20" s="40" t="s">
        <v>151</v>
      </c>
      <c r="J20" s="30"/>
    </row>
    <row r="21" spans="1:10" x14ac:dyDescent="0.2">
      <c r="A21" s="43">
        <v>15</v>
      </c>
      <c r="B21" s="44" t="s">
        <v>101</v>
      </c>
      <c r="C21" s="44" t="s">
        <v>102</v>
      </c>
      <c r="D21" s="44" t="s">
        <v>76</v>
      </c>
      <c r="E21" s="45">
        <v>160000</v>
      </c>
      <c r="F21" s="46">
        <v>7155.52</v>
      </c>
      <c r="G21" s="47">
        <v>1.9689849999999998E-2</v>
      </c>
      <c r="H21" s="40" t="s">
        <v>151</v>
      </c>
      <c r="J21" s="30"/>
    </row>
    <row r="22" spans="1:10" ht="15" x14ac:dyDescent="0.2">
      <c r="A22" s="43">
        <v>16</v>
      </c>
      <c r="B22" s="44" t="s">
        <v>378</v>
      </c>
      <c r="C22" s="44" t="s">
        <v>379</v>
      </c>
      <c r="D22" s="44" t="s">
        <v>366</v>
      </c>
      <c r="E22" s="45">
        <v>260000</v>
      </c>
      <c r="F22" s="46">
        <v>7034.69</v>
      </c>
      <c r="G22" s="47">
        <v>1.9357360000000001E-2</v>
      </c>
      <c r="H22" s="40" t="s">
        <v>151</v>
      </c>
      <c r="J22" s="12"/>
    </row>
    <row r="23" spans="1:10" x14ac:dyDescent="0.2">
      <c r="A23" s="43">
        <v>17</v>
      </c>
      <c r="B23" s="44" t="s">
        <v>404</v>
      </c>
      <c r="C23" s="44" t="s">
        <v>405</v>
      </c>
      <c r="D23" s="44" t="s">
        <v>86</v>
      </c>
      <c r="E23" s="45">
        <v>381000</v>
      </c>
      <c r="F23" s="46">
        <v>6292.7865000000002</v>
      </c>
      <c r="G23" s="47">
        <v>1.7315859999999999E-2</v>
      </c>
      <c r="H23" s="40" t="s">
        <v>151</v>
      </c>
      <c r="J23" s="7"/>
    </row>
    <row r="24" spans="1:10" ht="25.5" x14ac:dyDescent="0.2">
      <c r="A24" s="43">
        <v>18</v>
      </c>
      <c r="B24" s="44" t="s">
        <v>475</v>
      </c>
      <c r="C24" s="44" t="s">
        <v>476</v>
      </c>
      <c r="D24" s="44" t="s">
        <v>210</v>
      </c>
      <c r="E24" s="45">
        <v>401000</v>
      </c>
      <c r="F24" s="46">
        <v>6192.643</v>
      </c>
      <c r="G24" s="47">
        <v>1.7040300000000001E-2</v>
      </c>
      <c r="H24" s="40" t="s">
        <v>151</v>
      </c>
      <c r="J24" s="30"/>
    </row>
    <row r="25" spans="1:10" ht="25.5" x14ac:dyDescent="0.2">
      <c r="A25" s="43">
        <v>19</v>
      </c>
      <c r="B25" s="44" t="s">
        <v>23</v>
      </c>
      <c r="C25" s="44" t="s">
        <v>24</v>
      </c>
      <c r="D25" s="44" t="s">
        <v>25</v>
      </c>
      <c r="E25" s="45">
        <v>50000</v>
      </c>
      <c r="F25" s="46">
        <v>5943.6</v>
      </c>
      <c r="G25" s="47">
        <v>1.635501E-2</v>
      </c>
      <c r="H25" s="40" t="s">
        <v>151</v>
      </c>
      <c r="J25" s="7"/>
    </row>
    <row r="26" spans="1:10" x14ac:dyDescent="0.2">
      <c r="A26" s="43">
        <v>20</v>
      </c>
      <c r="B26" s="44" t="s">
        <v>479</v>
      </c>
      <c r="C26" s="44" t="s">
        <v>480</v>
      </c>
      <c r="D26" s="44" t="s">
        <v>45</v>
      </c>
      <c r="E26" s="45">
        <v>398000</v>
      </c>
      <c r="F26" s="46">
        <v>5682.6440000000002</v>
      </c>
      <c r="G26" s="47">
        <v>1.563693E-2</v>
      </c>
      <c r="H26" s="40" t="s">
        <v>151</v>
      </c>
      <c r="J26" s="7" t="s">
        <v>1073</v>
      </c>
    </row>
    <row r="27" spans="1:10" x14ac:dyDescent="0.2">
      <c r="A27" s="43">
        <v>21</v>
      </c>
      <c r="B27" s="44" t="s">
        <v>564</v>
      </c>
      <c r="C27" s="44" t="s">
        <v>565</v>
      </c>
      <c r="D27" s="44" t="s">
        <v>219</v>
      </c>
      <c r="E27" s="45">
        <v>337000</v>
      </c>
      <c r="F27" s="46">
        <v>5238.3280000000004</v>
      </c>
      <c r="G27" s="47">
        <v>1.441431E-2</v>
      </c>
      <c r="H27" s="40" t="s">
        <v>151</v>
      </c>
      <c r="J27" s="30"/>
    </row>
    <row r="28" spans="1:10" ht="25.5" x14ac:dyDescent="0.2">
      <c r="A28" s="43">
        <v>22</v>
      </c>
      <c r="B28" s="44" t="s">
        <v>273</v>
      </c>
      <c r="C28" s="44" t="s">
        <v>274</v>
      </c>
      <c r="D28" s="44" t="s">
        <v>86</v>
      </c>
      <c r="E28" s="45">
        <v>348206</v>
      </c>
      <c r="F28" s="46">
        <v>4932.6861959999997</v>
      </c>
      <c r="G28" s="47">
        <v>1.357327E-2</v>
      </c>
      <c r="H28" s="40" t="s">
        <v>151</v>
      </c>
      <c r="J28" s="30"/>
    </row>
    <row r="29" spans="1:10" x14ac:dyDescent="0.2">
      <c r="A29" s="43">
        <v>23</v>
      </c>
      <c r="B29" s="44" t="s">
        <v>471</v>
      </c>
      <c r="C29" s="44" t="s">
        <v>472</v>
      </c>
      <c r="D29" s="44" t="s">
        <v>219</v>
      </c>
      <c r="E29" s="45">
        <v>285965</v>
      </c>
      <c r="F29" s="46">
        <v>4697.26109</v>
      </c>
      <c r="G29" s="47">
        <v>1.292545E-2</v>
      </c>
      <c r="H29" s="40" t="s">
        <v>151</v>
      </c>
      <c r="J29" s="30"/>
    </row>
    <row r="30" spans="1:10" x14ac:dyDescent="0.2">
      <c r="A30" s="43">
        <v>24</v>
      </c>
      <c r="B30" s="44" t="s">
        <v>364</v>
      </c>
      <c r="C30" s="44" t="s">
        <v>365</v>
      </c>
      <c r="D30" s="44" t="s">
        <v>366</v>
      </c>
      <c r="E30" s="45">
        <v>885000</v>
      </c>
      <c r="F30" s="46">
        <v>4383.8474999999999</v>
      </c>
      <c r="G30" s="47">
        <v>1.2063030000000001E-2</v>
      </c>
      <c r="H30" s="40" t="s">
        <v>151</v>
      </c>
      <c r="J30" s="30"/>
    </row>
    <row r="31" spans="1:10" x14ac:dyDescent="0.2">
      <c r="A31" s="43">
        <v>25</v>
      </c>
      <c r="B31" s="44" t="s">
        <v>685</v>
      </c>
      <c r="C31" s="44" t="s">
        <v>686</v>
      </c>
      <c r="D31" s="44" t="s">
        <v>86</v>
      </c>
      <c r="E31" s="45">
        <v>63000</v>
      </c>
      <c r="F31" s="46">
        <v>4288.3784999999998</v>
      </c>
      <c r="G31" s="47">
        <v>1.180033E-2</v>
      </c>
      <c r="H31" s="40" t="s">
        <v>151</v>
      </c>
      <c r="J31" s="30"/>
    </row>
    <row r="32" spans="1:10" ht="25.5" x14ac:dyDescent="0.2">
      <c r="A32" s="43">
        <v>26</v>
      </c>
      <c r="B32" s="44" t="s">
        <v>79</v>
      </c>
      <c r="C32" s="44" t="s">
        <v>80</v>
      </c>
      <c r="D32" s="44" t="s">
        <v>81</v>
      </c>
      <c r="E32" s="45">
        <v>267000</v>
      </c>
      <c r="F32" s="46">
        <v>4191.6329999999998</v>
      </c>
      <c r="G32" s="47">
        <v>1.153412E-2</v>
      </c>
      <c r="H32" s="40" t="s">
        <v>151</v>
      </c>
      <c r="J32" s="30"/>
    </row>
    <row r="33" spans="1:10" x14ac:dyDescent="0.2">
      <c r="A33" s="43">
        <v>27</v>
      </c>
      <c r="B33" s="44" t="s">
        <v>355</v>
      </c>
      <c r="C33" s="44" t="s">
        <v>356</v>
      </c>
      <c r="D33" s="44" t="s">
        <v>45</v>
      </c>
      <c r="E33" s="45">
        <v>220000</v>
      </c>
      <c r="F33" s="46">
        <v>3977.38</v>
      </c>
      <c r="G33" s="47">
        <v>1.0944560000000001E-2</v>
      </c>
      <c r="H33" s="40" t="s">
        <v>151</v>
      </c>
      <c r="J33" s="30"/>
    </row>
    <row r="34" spans="1:10" ht="25.5" x14ac:dyDescent="0.2">
      <c r="A34" s="43">
        <v>28</v>
      </c>
      <c r="B34" s="44" t="s">
        <v>558</v>
      </c>
      <c r="C34" s="44" t="s">
        <v>559</v>
      </c>
      <c r="D34" s="44" t="s">
        <v>25</v>
      </c>
      <c r="E34" s="45">
        <v>134000</v>
      </c>
      <c r="F34" s="46">
        <v>3720.8449999999998</v>
      </c>
      <c r="G34" s="47">
        <v>1.023865E-2</v>
      </c>
      <c r="H34" s="40" t="s">
        <v>151</v>
      </c>
      <c r="J34" s="30"/>
    </row>
    <row r="35" spans="1:10" x14ac:dyDescent="0.2">
      <c r="A35" s="43">
        <v>29</v>
      </c>
      <c r="B35" s="44" t="s">
        <v>53</v>
      </c>
      <c r="C35" s="44" t="s">
        <v>54</v>
      </c>
      <c r="D35" s="44" t="s">
        <v>19</v>
      </c>
      <c r="E35" s="45">
        <v>319000</v>
      </c>
      <c r="F35" s="46">
        <v>3628.306</v>
      </c>
      <c r="G35" s="47">
        <v>9.9840099999999998E-3</v>
      </c>
      <c r="H35" s="40" t="s">
        <v>151</v>
      </c>
      <c r="J35" s="30"/>
    </row>
    <row r="36" spans="1:10" ht="25.5" x14ac:dyDescent="0.2">
      <c r="A36" s="43">
        <v>30</v>
      </c>
      <c r="B36" s="44" t="s">
        <v>477</v>
      </c>
      <c r="C36" s="44" t="s">
        <v>478</v>
      </c>
      <c r="D36" s="44" t="s">
        <v>313</v>
      </c>
      <c r="E36" s="45">
        <v>305000</v>
      </c>
      <c r="F36" s="46">
        <v>3626.2975000000001</v>
      </c>
      <c r="G36" s="47">
        <v>9.9784799999999996E-3</v>
      </c>
      <c r="H36" s="40" t="s">
        <v>151</v>
      </c>
      <c r="J36" s="30"/>
    </row>
    <row r="37" spans="1:10" ht="25.5" x14ac:dyDescent="0.2">
      <c r="A37" s="43">
        <v>31</v>
      </c>
      <c r="B37" s="44" t="s">
        <v>362</v>
      </c>
      <c r="C37" s="44" t="s">
        <v>363</v>
      </c>
      <c r="D37" s="44" t="s">
        <v>210</v>
      </c>
      <c r="E37" s="45">
        <v>52000</v>
      </c>
      <c r="F37" s="46">
        <v>3510.26</v>
      </c>
      <c r="G37" s="47">
        <v>9.6591799999999998E-3</v>
      </c>
      <c r="H37" s="40" t="s">
        <v>151</v>
      </c>
      <c r="J37" s="30"/>
    </row>
    <row r="38" spans="1:10" x14ac:dyDescent="0.2">
      <c r="A38" s="43">
        <v>32</v>
      </c>
      <c r="B38" s="44" t="s">
        <v>552</v>
      </c>
      <c r="C38" s="44" t="s">
        <v>553</v>
      </c>
      <c r="D38" s="44" t="s">
        <v>268</v>
      </c>
      <c r="E38" s="45">
        <v>237000</v>
      </c>
      <c r="F38" s="46">
        <v>3349.5210000000002</v>
      </c>
      <c r="G38" s="47">
        <v>9.2168800000000002E-3</v>
      </c>
      <c r="H38" s="40" t="s">
        <v>151</v>
      </c>
      <c r="J38" s="30"/>
    </row>
    <row r="39" spans="1:10" x14ac:dyDescent="0.2">
      <c r="A39" s="43">
        <v>33</v>
      </c>
      <c r="B39" s="44" t="s">
        <v>305</v>
      </c>
      <c r="C39" s="44" t="s">
        <v>306</v>
      </c>
      <c r="D39" s="44" t="s">
        <v>89</v>
      </c>
      <c r="E39" s="45">
        <v>493000</v>
      </c>
      <c r="F39" s="46">
        <v>3348.7024999999999</v>
      </c>
      <c r="G39" s="47">
        <v>9.2146299999999997E-3</v>
      </c>
      <c r="H39" s="40" t="s">
        <v>151</v>
      </c>
      <c r="J39" s="30"/>
    </row>
    <row r="40" spans="1:10" x14ac:dyDescent="0.2">
      <c r="A40" s="43">
        <v>34</v>
      </c>
      <c r="B40" s="44" t="s">
        <v>254</v>
      </c>
      <c r="C40" s="44" t="s">
        <v>255</v>
      </c>
      <c r="D40" s="44" t="s">
        <v>202</v>
      </c>
      <c r="E40" s="45">
        <v>47000</v>
      </c>
      <c r="F40" s="46">
        <v>3302.8074999999999</v>
      </c>
      <c r="G40" s="47">
        <v>9.0883400000000003E-3</v>
      </c>
      <c r="H40" s="40" t="s">
        <v>151</v>
      </c>
      <c r="J40" s="30"/>
    </row>
    <row r="41" spans="1:10" x14ac:dyDescent="0.2">
      <c r="A41" s="43">
        <v>35</v>
      </c>
      <c r="B41" s="44" t="s">
        <v>397</v>
      </c>
      <c r="C41" s="44" t="s">
        <v>398</v>
      </c>
      <c r="D41" s="44" t="s">
        <v>100</v>
      </c>
      <c r="E41" s="45">
        <v>95000</v>
      </c>
      <c r="F41" s="46">
        <v>3286.0025000000001</v>
      </c>
      <c r="G41" s="47">
        <v>9.0420899999999992E-3</v>
      </c>
      <c r="H41" s="40" t="s">
        <v>151</v>
      </c>
      <c r="J41" s="30"/>
    </row>
    <row r="42" spans="1:10" x14ac:dyDescent="0.2">
      <c r="A42" s="43">
        <v>36</v>
      </c>
      <c r="B42" s="44" t="s">
        <v>386</v>
      </c>
      <c r="C42" s="44" t="s">
        <v>387</v>
      </c>
      <c r="D42" s="44" t="s">
        <v>202</v>
      </c>
      <c r="E42" s="45">
        <v>63000</v>
      </c>
      <c r="F42" s="46">
        <v>3109.6484999999998</v>
      </c>
      <c r="G42" s="47">
        <v>8.5568199999999997E-3</v>
      </c>
      <c r="H42" s="40" t="s">
        <v>151</v>
      </c>
      <c r="J42" s="30"/>
    </row>
    <row r="43" spans="1:10" x14ac:dyDescent="0.2">
      <c r="A43" s="43">
        <v>37</v>
      </c>
      <c r="B43" s="44" t="s">
        <v>345</v>
      </c>
      <c r="C43" s="44" t="s">
        <v>346</v>
      </c>
      <c r="D43" s="44" t="s">
        <v>202</v>
      </c>
      <c r="E43" s="45">
        <v>1228000</v>
      </c>
      <c r="F43" s="46">
        <v>2817.6460000000002</v>
      </c>
      <c r="G43" s="47">
        <v>7.7533200000000002E-3</v>
      </c>
      <c r="H43" s="40" t="s">
        <v>151</v>
      </c>
      <c r="J43" s="30"/>
    </row>
    <row r="44" spans="1:10" x14ac:dyDescent="0.2">
      <c r="A44" s="43">
        <v>38</v>
      </c>
      <c r="B44" s="44" t="s">
        <v>823</v>
      </c>
      <c r="C44" s="44" t="s">
        <v>824</v>
      </c>
      <c r="D44" s="44" t="s">
        <v>38</v>
      </c>
      <c r="E44" s="45">
        <v>437000</v>
      </c>
      <c r="F44" s="46">
        <v>2523.8935000000001</v>
      </c>
      <c r="G44" s="47">
        <v>6.9449999999999998E-3</v>
      </c>
      <c r="H44" s="40" t="s">
        <v>151</v>
      </c>
      <c r="J44" s="30"/>
    </row>
    <row r="45" spans="1:10" x14ac:dyDescent="0.2">
      <c r="A45" s="43">
        <v>39</v>
      </c>
      <c r="B45" s="44" t="s">
        <v>467</v>
      </c>
      <c r="C45" s="44" t="s">
        <v>468</v>
      </c>
      <c r="D45" s="44" t="s">
        <v>232</v>
      </c>
      <c r="E45" s="45">
        <v>143000</v>
      </c>
      <c r="F45" s="46">
        <v>2507.7195000000002</v>
      </c>
      <c r="G45" s="47">
        <v>6.9004899999999996E-3</v>
      </c>
      <c r="H45" s="40" t="s">
        <v>151</v>
      </c>
      <c r="J45" s="30"/>
    </row>
    <row r="46" spans="1:10" x14ac:dyDescent="0.2">
      <c r="A46" s="43">
        <v>40</v>
      </c>
      <c r="B46" s="44" t="s">
        <v>359</v>
      </c>
      <c r="C46" s="44" t="s">
        <v>360</v>
      </c>
      <c r="D46" s="44" t="s">
        <v>361</v>
      </c>
      <c r="E46" s="45">
        <v>352868</v>
      </c>
      <c r="F46" s="46">
        <v>2362.8041280000002</v>
      </c>
      <c r="G46" s="47">
        <v>6.5017299999999998E-3</v>
      </c>
      <c r="H46" s="40" t="s">
        <v>151</v>
      </c>
      <c r="J46" s="30"/>
    </row>
    <row r="47" spans="1:10" x14ac:dyDescent="0.2">
      <c r="A47" s="43">
        <v>41</v>
      </c>
      <c r="B47" s="44" t="s">
        <v>756</v>
      </c>
      <c r="C47" s="44" t="s">
        <v>757</v>
      </c>
      <c r="D47" s="44" t="s">
        <v>100</v>
      </c>
      <c r="E47" s="45">
        <v>127000</v>
      </c>
      <c r="F47" s="46">
        <v>2349.3094999999998</v>
      </c>
      <c r="G47" s="47">
        <v>6.4646E-3</v>
      </c>
      <c r="H47" s="40" t="s">
        <v>151</v>
      </c>
      <c r="J47" s="30"/>
    </row>
    <row r="48" spans="1:10" x14ac:dyDescent="0.2">
      <c r="A48" s="43">
        <v>42</v>
      </c>
      <c r="B48" s="44" t="s">
        <v>84</v>
      </c>
      <c r="C48" s="44" t="s">
        <v>85</v>
      </c>
      <c r="D48" s="44" t="s">
        <v>86</v>
      </c>
      <c r="E48" s="45">
        <v>355000</v>
      </c>
      <c r="F48" s="46">
        <v>2287.0875000000001</v>
      </c>
      <c r="G48" s="47">
        <v>6.2933800000000003E-3</v>
      </c>
      <c r="H48" s="40" t="s">
        <v>151</v>
      </c>
      <c r="J48" s="30"/>
    </row>
    <row r="49" spans="1:10" x14ac:dyDescent="0.2">
      <c r="A49" s="43">
        <v>43</v>
      </c>
      <c r="B49" s="44" t="s">
        <v>62</v>
      </c>
      <c r="C49" s="44" t="s">
        <v>63</v>
      </c>
      <c r="D49" s="44" t="s">
        <v>64</v>
      </c>
      <c r="E49" s="45">
        <v>927000</v>
      </c>
      <c r="F49" s="46">
        <v>2233.7919000000002</v>
      </c>
      <c r="G49" s="47">
        <v>6.1467300000000004E-3</v>
      </c>
      <c r="H49" s="40" t="s">
        <v>151</v>
      </c>
      <c r="J49" s="30"/>
    </row>
    <row r="50" spans="1:10" x14ac:dyDescent="0.2">
      <c r="A50" s="43">
        <v>44</v>
      </c>
      <c r="B50" s="44" t="s">
        <v>716</v>
      </c>
      <c r="C50" s="44" t="s">
        <v>717</v>
      </c>
      <c r="D50" s="44" t="s">
        <v>277</v>
      </c>
      <c r="E50" s="45">
        <v>38000</v>
      </c>
      <c r="F50" s="46">
        <v>2198.0909999999999</v>
      </c>
      <c r="G50" s="47">
        <v>6.0484900000000001E-3</v>
      </c>
      <c r="H50" s="40" t="s">
        <v>151</v>
      </c>
      <c r="J50" s="30"/>
    </row>
    <row r="51" spans="1:10" x14ac:dyDescent="0.2">
      <c r="A51" s="43">
        <v>45</v>
      </c>
      <c r="B51" s="44" t="s">
        <v>90</v>
      </c>
      <c r="C51" s="44" t="s">
        <v>91</v>
      </c>
      <c r="D51" s="44" t="s">
        <v>86</v>
      </c>
      <c r="E51" s="45">
        <v>370000</v>
      </c>
      <c r="F51" s="46">
        <v>2060.16</v>
      </c>
      <c r="G51" s="47">
        <v>5.6689399999999999E-3</v>
      </c>
      <c r="H51" s="40" t="s">
        <v>151</v>
      </c>
      <c r="J51" s="30"/>
    </row>
    <row r="52" spans="1:10" x14ac:dyDescent="0.2">
      <c r="A52" s="43">
        <v>46</v>
      </c>
      <c r="B52" s="44" t="s">
        <v>26</v>
      </c>
      <c r="C52" s="44" t="s">
        <v>27</v>
      </c>
      <c r="D52" s="44" t="s">
        <v>16</v>
      </c>
      <c r="E52" s="45">
        <v>540000</v>
      </c>
      <c r="F52" s="46">
        <v>1880.28</v>
      </c>
      <c r="G52" s="47">
        <v>5.17397E-3</v>
      </c>
      <c r="H52" s="40" t="s">
        <v>151</v>
      </c>
      <c r="J52" s="30"/>
    </row>
    <row r="53" spans="1:10" x14ac:dyDescent="0.2">
      <c r="A53" s="43">
        <v>47</v>
      </c>
      <c r="B53" s="44" t="s">
        <v>238</v>
      </c>
      <c r="C53" s="44" t="s">
        <v>239</v>
      </c>
      <c r="D53" s="44" t="s">
        <v>22</v>
      </c>
      <c r="E53" s="45">
        <v>465000</v>
      </c>
      <c r="F53" s="46">
        <v>1823.9625000000001</v>
      </c>
      <c r="G53" s="47">
        <v>5.019E-3</v>
      </c>
      <c r="H53" s="40" t="s">
        <v>151</v>
      </c>
      <c r="J53" s="30"/>
    </row>
    <row r="54" spans="1:10" x14ac:dyDescent="0.2">
      <c r="A54" s="43">
        <v>48</v>
      </c>
      <c r="B54" s="44" t="s">
        <v>130</v>
      </c>
      <c r="C54" s="44" t="s">
        <v>131</v>
      </c>
      <c r="D54" s="44" t="s">
        <v>50</v>
      </c>
      <c r="E54" s="45">
        <v>18000</v>
      </c>
      <c r="F54" s="46">
        <v>1421.433</v>
      </c>
      <c r="G54" s="47">
        <v>3.91136E-3</v>
      </c>
      <c r="H54" s="40" t="s">
        <v>151</v>
      </c>
      <c r="J54" s="30"/>
    </row>
    <row r="55" spans="1:10" x14ac:dyDescent="0.2">
      <c r="A55" s="43">
        <v>49</v>
      </c>
      <c r="B55" s="44" t="s">
        <v>382</v>
      </c>
      <c r="C55" s="44" t="s">
        <v>383</v>
      </c>
      <c r="D55" s="44" t="s">
        <v>136</v>
      </c>
      <c r="E55" s="45">
        <v>800000</v>
      </c>
      <c r="F55" s="46">
        <v>1322.64</v>
      </c>
      <c r="G55" s="47">
        <v>3.6395099999999999E-3</v>
      </c>
      <c r="H55" s="40" t="s">
        <v>151</v>
      </c>
      <c r="J55" s="30"/>
    </row>
    <row r="56" spans="1:10" ht="25.5" x14ac:dyDescent="0.2">
      <c r="A56" s="43">
        <v>50</v>
      </c>
      <c r="B56" s="44" t="s">
        <v>372</v>
      </c>
      <c r="C56" s="44" t="s">
        <v>373</v>
      </c>
      <c r="D56" s="44" t="s">
        <v>210</v>
      </c>
      <c r="E56" s="45">
        <v>91000</v>
      </c>
      <c r="F56" s="46">
        <v>1305.0764999999999</v>
      </c>
      <c r="G56" s="47">
        <v>3.5911799999999998E-3</v>
      </c>
      <c r="H56" s="40" t="s">
        <v>151</v>
      </c>
      <c r="J56" s="30"/>
    </row>
    <row r="57" spans="1:10" x14ac:dyDescent="0.2">
      <c r="A57" s="43">
        <v>51</v>
      </c>
      <c r="B57" s="44" t="s">
        <v>395</v>
      </c>
      <c r="C57" s="44" t="s">
        <v>396</v>
      </c>
      <c r="D57" s="44" t="s">
        <v>45</v>
      </c>
      <c r="E57" s="45">
        <v>1125000</v>
      </c>
      <c r="F57" s="46">
        <v>1290.4875</v>
      </c>
      <c r="G57" s="47">
        <v>3.5510400000000001E-3</v>
      </c>
      <c r="H57" s="40" t="s">
        <v>151</v>
      </c>
      <c r="J57" s="30"/>
    </row>
    <row r="58" spans="1:10" x14ac:dyDescent="0.2">
      <c r="A58" s="43">
        <v>52</v>
      </c>
      <c r="B58" s="44" t="s">
        <v>796</v>
      </c>
      <c r="C58" s="44" t="s">
        <v>797</v>
      </c>
      <c r="D58" s="44" t="s">
        <v>222</v>
      </c>
      <c r="E58" s="45">
        <v>19000</v>
      </c>
      <c r="F58" s="46">
        <v>1256.9069999999999</v>
      </c>
      <c r="G58" s="47">
        <v>3.4586299999999999E-3</v>
      </c>
      <c r="H58" s="40" t="s">
        <v>151</v>
      </c>
      <c r="J58" s="30"/>
    </row>
    <row r="59" spans="1:10" x14ac:dyDescent="0.2">
      <c r="A59" s="43">
        <v>53</v>
      </c>
      <c r="B59" s="44" t="s">
        <v>846</v>
      </c>
      <c r="C59" s="44" t="s">
        <v>847</v>
      </c>
      <c r="D59" s="44" t="s">
        <v>503</v>
      </c>
      <c r="E59" s="45">
        <v>6000</v>
      </c>
      <c r="F59" s="46">
        <v>1014.273</v>
      </c>
      <c r="G59" s="47">
        <v>2.7909800000000002E-3</v>
      </c>
      <c r="H59" s="40" t="s">
        <v>151</v>
      </c>
      <c r="J59" s="30"/>
    </row>
    <row r="60" spans="1:10" x14ac:dyDescent="0.2">
      <c r="A60" s="43">
        <v>54</v>
      </c>
      <c r="B60" s="44" t="s">
        <v>734</v>
      </c>
      <c r="C60" s="44" t="s">
        <v>735</v>
      </c>
      <c r="D60" s="44" t="s">
        <v>232</v>
      </c>
      <c r="E60" s="45">
        <v>110000</v>
      </c>
      <c r="F60" s="46">
        <v>787.05</v>
      </c>
      <c r="G60" s="47">
        <v>2.1657299999999998E-3</v>
      </c>
      <c r="H60" s="40" t="s">
        <v>151</v>
      </c>
      <c r="J60" s="30"/>
    </row>
    <row r="61" spans="1:10" x14ac:dyDescent="0.2">
      <c r="A61" s="43">
        <v>55</v>
      </c>
      <c r="B61" s="44" t="s">
        <v>116</v>
      </c>
      <c r="C61" s="44" t="s">
        <v>117</v>
      </c>
      <c r="D61" s="44" t="s">
        <v>30</v>
      </c>
      <c r="E61" s="45">
        <v>15550</v>
      </c>
      <c r="F61" s="46">
        <v>765.50317500000006</v>
      </c>
      <c r="G61" s="47">
        <v>2.1064399999999998E-3</v>
      </c>
      <c r="H61" s="40" t="s">
        <v>151</v>
      </c>
      <c r="J61" s="30"/>
    </row>
    <row r="62" spans="1:10" x14ac:dyDescent="0.2">
      <c r="A62" s="43">
        <v>56</v>
      </c>
      <c r="B62" s="44" t="s">
        <v>357</v>
      </c>
      <c r="C62" s="44" t="s">
        <v>358</v>
      </c>
      <c r="D62" s="44" t="s">
        <v>282</v>
      </c>
      <c r="E62" s="45">
        <v>58791</v>
      </c>
      <c r="F62" s="46">
        <v>680.0061015</v>
      </c>
      <c r="G62" s="47">
        <v>1.8711699999999999E-3</v>
      </c>
      <c r="H62" s="40" t="s">
        <v>151</v>
      </c>
      <c r="J62" s="30"/>
    </row>
    <row r="63" spans="1:10" ht="25.5" x14ac:dyDescent="0.2">
      <c r="A63" s="43">
        <v>57</v>
      </c>
      <c r="B63" s="44" t="s">
        <v>293</v>
      </c>
      <c r="C63" s="44" t="s">
        <v>294</v>
      </c>
      <c r="D63" s="44" t="s">
        <v>25</v>
      </c>
      <c r="E63" s="45">
        <v>31690</v>
      </c>
      <c r="F63" s="46">
        <v>586.43929500000002</v>
      </c>
      <c r="G63" s="47">
        <v>1.61371E-3</v>
      </c>
      <c r="H63" s="40" t="s">
        <v>151</v>
      </c>
      <c r="J63" s="30"/>
    </row>
    <row r="64" spans="1:10" ht="25.5" x14ac:dyDescent="0.2">
      <c r="A64" s="43">
        <v>58</v>
      </c>
      <c r="B64" s="44" t="s">
        <v>481</v>
      </c>
      <c r="C64" s="44" t="s">
        <v>478</v>
      </c>
      <c r="D64" s="44" t="s">
        <v>313</v>
      </c>
      <c r="E64" s="45">
        <v>11730</v>
      </c>
      <c r="F64" s="46">
        <v>43.512435000000004</v>
      </c>
      <c r="G64" s="47">
        <v>1.1972999999999999E-4</v>
      </c>
      <c r="H64" s="40" t="s">
        <v>151</v>
      </c>
      <c r="J64" s="30"/>
    </row>
    <row r="65" spans="1:10" x14ac:dyDescent="0.2">
      <c r="A65" s="41"/>
      <c r="B65" s="41"/>
      <c r="C65" s="42" t="s">
        <v>150</v>
      </c>
      <c r="D65" s="41"/>
      <c r="E65" s="41" t="s">
        <v>151</v>
      </c>
      <c r="F65" s="48">
        <v>361685.3396525</v>
      </c>
      <c r="G65" s="49">
        <v>0.99524968000000003</v>
      </c>
      <c r="H65" s="40" t="s">
        <v>151</v>
      </c>
      <c r="J65" s="30"/>
    </row>
    <row r="66" spans="1:10" x14ac:dyDescent="0.2">
      <c r="A66" s="41"/>
      <c r="B66" s="41"/>
      <c r="C66" s="50"/>
      <c r="D66" s="41"/>
      <c r="E66" s="41"/>
      <c r="F66" s="51"/>
      <c r="G66" s="51"/>
      <c r="H66" s="40" t="s">
        <v>151</v>
      </c>
      <c r="J66" s="30"/>
    </row>
    <row r="67" spans="1:10" x14ac:dyDescent="0.2">
      <c r="A67" s="41"/>
      <c r="B67" s="41"/>
      <c r="C67" s="42" t="s">
        <v>152</v>
      </c>
      <c r="D67" s="41"/>
      <c r="E67" s="41"/>
      <c r="F67" s="41"/>
      <c r="G67" s="41"/>
      <c r="H67" s="40" t="s">
        <v>151</v>
      </c>
      <c r="J67" s="30"/>
    </row>
    <row r="68" spans="1:10" x14ac:dyDescent="0.2">
      <c r="A68" s="41"/>
      <c r="B68" s="41"/>
      <c r="C68" s="42" t="s">
        <v>150</v>
      </c>
      <c r="D68" s="41"/>
      <c r="E68" s="41" t="s">
        <v>151</v>
      </c>
      <c r="F68" s="52" t="s">
        <v>153</v>
      </c>
      <c r="G68" s="49">
        <v>0</v>
      </c>
      <c r="H68" s="40" t="s">
        <v>151</v>
      </c>
      <c r="J68" s="30"/>
    </row>
    <row r="69" spans="1:10" x14ac:dyDescent="0.2">
      <c r="A69" s="41"/>
      <c r="B69" s="41"/>
      <c r="C69" s="50"/>
      <c r="D69" s="41"/>
      <c r="E69" s="41"/>
      <c r="F69" s="51"/>
      <c r="G69" s="51"/>
      <c r="H69" s="40" t="s">
        <v>151</v>
      </c>
      <c r="J69" s="30"/>
    </row>
    <row r="70" spans="1:10" x14ac:dyDescent="0.2">
      <c r="A70" s="41"/>
      <c r="B70" s="41"/>
      <c r="C70" s="42" t="s">
        <v>154</v>
      </c>
      <c r="D70" s="41"/>
      <c r="E70" s="41"/>
      <c r="F70" s="41"/>
      <c r="G70" s="41"/>
      <c r="H70" s="40" t="s">
        <v>151</v>
      </c>
      <c r="J70" s="30"/>
    </row>
    <row r="71" spans="1:10" x14ac:dyDescent="0.2">
      <c r="A71" s="41"/>
      <c r="B71" s="41"/>
      <c r="C71" s="42" t="s">
        <v>150</v>
      </c>
      <c r="D71" s="41"/>
      <c r="E71" s="41" t="s">
        <v>151</v>
      </c>
      <c r="F71" s="52" t="s">
        <v>153</v>
      </c>
      <c r="G71" s="49">
        <v>0</v>
      </c>
      <c r="H71" s="40" t="s">
        <v>151</v>
      </c>
      <c r="J71" s="30"/>
    </row>
    <row r="72" spans="1:10" x14ac:dyDescent="0.2">
      <c r="A72" s="41"/>
      <c r="B72" s="41"/>
      <c r="C72" s="50"/>
      <c r="D72" s="41"/>
      <c r="E72" s="41"/>
      <c r="F72" s="51"/>
      <c r="G72" s="51"/>
      <c r="H72" s="40" t="s">
        <v>151</v>
      </c>
      <c r="J72" s="30"/>
    </row>
    <row r="73" spans="1:10" x14ac:dyDescent="0.2">
      <c r="A73" s="41"/>
      <c r="B73" s="41"/>
      <c r="C73" s="42" t="s">
        <v>155</v>
      </c>
      <c r="D73" s="41"/>
      <c r="E73" s="41"/>
      <c r="F73" s="41"/>
      <c r="G73" s="41"/>
      <c r="H73" s="40" t="s">
        <v>151</v>
      </c>
      <c r="J73" s="30"/>
    </row>
    <row r="74" spans="1:10" x14ac:dyDescent="0.2">
      <c r="A74" s="41"/>
      <c r="B74" s="41"/>
      <c r="C74" s="42" t="s">
        <v>150</v>
      </c>
      <c r="D74" s="41"/>
      <c r="E74" s="41" t="s">
        <v>151</v>
      </c>
      <c r="F74" s="52" t="s">
        <v>153</v>
      </c>
      <c r="G74" s="49">
        <v>0</v>
      </c>
      <c r="H74" s="40" t="s">
        <v>151</v>
      </c>
      <c r="J74" s="30"/>
    </row>
    <row r="75" spans="1:10" x14ac:dyDescent="0.2">
      <c r="A75" s="41"/>
      <c r="B75" s="41"/>
      <c r="C75" s="50"/>
      <c r="D75" s="41"/>
      <c r="E75" s="41"/>
      <c r="F75" s="51"/>
      <c r="G75" s="51"/>
      <c r="H75" s="40" t="s">
        <v>151</v>
      </c>
      <c r="J75" s="30"/>
    </row>
    <row r="76" spans="1:10" x14ac:dyDescent="0.2">
      <c r="A76" s="41"/>
      <c r="B76" s="41"/>
      <c r="C76" s="42" t="s">
        <v>156</v>
      </c>
      <c r="D76" s="41"/>
      <c r="E76" s="41"/>
      <c r="F76" s="51"/>
      <c r="G76" s="51"/>
      <c r="H76" s="40" t="s">
        <v>151</v>
      </c>
      <c r="J76" s="30"/>
    </row>
    <row r="77" spans="1:10" x14ac:dyDescent="0.2">
      <c r="A77" s="41"/>
      <c r="B77" s="41"/>
      <c r="C77" s="42" t="s">
        <v>150</v>
      </c>
      <c r="D77" s="41"/>
      <c r="E77" s="41" t="s">
        <v>151</v>
      </c>
      <c r="F77" s="52" t="s">
        <v>153</v>
      </c>
      <c r="G77" s="49">
        <v>0</v>
      </c>
      <c r="H77" s="40" t="s">
        <v>151</v>
      </c>
      <c r="J77" s="30"/>
    </row>
    <row r="78" spans="1:10" x14ac:dyDescent="0.2">
      <c r="A78" s="41"/>
      <c r="B78" s="41"/>
      <c r="C78" s="50"/>
      <c r="D78" s="41"/>
      <c r="E78" s="41"/>
      <c r="F78" s="51"/>
      <c r="G78" s="51"/>
      <c r="H78" s="40" t="s">
        <v>151</v>
      </c>
      <c r="J78" s="30"/>
    </row>
    <row r="79" spans="1:10" x14ac:dyDescent="0.2">
      <c r="A79" s="41"/>
      <c r="B79" s="41"/>
      <c r="C79" s="42" t="s">
        <v>157</v>
      </c>
      <c r="D79" s="41"/>
      <c r="E79" s="41"/>
      <c r="F79" s="51"/>
      <c r="G79" s="51"/>
      <c r="H79" s="40" t="s">
        <v>151</v>
      </c>
      <c r="J79" s="30"/>
    </row>
    <row r="80" spans="1:10" x14ac:dyDescent="0.2">
      <c r="A80" s="41"/>
      <c r="B80" s="41"/>
      <c r="C80" s="42" t="s">
        <v>150</v>
      </c>
      <c r="D80" s="41"/>
      <c r="E80" s="41" t="s">
        <v>151</v>
      </c>
      <c r="F80" s="52" t="s">
        <v>153</v>
      </c>
      <c r="G80" s="49">
        <v>0</v>
      </c>
      <c r="H80" s="40" t="s">
        <v>151</v>
      </c>
      <c r="J80" s="30"/>
    </row>
    <row r="81" spans="1:10" x14ac:dyDescent="0.2">
      <c r="A81" s="41"/>
      <c r="B81" s="41"/>
      <c r="C81" s="50"/>
      <c r="D81" s="41"/>
      <c r="E81" s="41"/>
      <c r="F81" s="51"/>
      <c r="G81" s="51"/>
      <c r="H81" s="40" t="s">
        <v>151</v>
      </c>
      <c r="J81" s="30"/>
    </row>
    <row r="82" spans="1:10" x14ac:dyDescent="0.2">
      <c r="A82" s="41"/>
      <c r="B82" s="41"/>
      <c r="C82" s="42" t="s">
        <v>158</v>
      </c>
      <c r="D82" s="41"/>
      <c r="E82" s="41"/>
      <c r="F82" s="48">
        <v>361685.3396525</v>
      </c>
      <c r="G82" s="49">
        <v>0.99524968000000003</v>
      </c>
      <c r="H82" s="40" t="s">
        <v>151</v>
      </c>
      <c r="J82" s="30"/>
    </row>
    <row r="83" spans="1:10" x14ac:dyDescent="0.2">
      <c r="A83" s="41"/>
      <c r="B83" s="41"/>
      <c r="C83" s="50"/>
      <c r="D83" s="41"/>
      <c r="E83" s="41"/>
      <c r="F83" s="51"/>
      <c r="G83" s="51"/>
      <c r="H83" s="40" t="s">
        <v>151</v>
      </c>
      <c r="J83" s="30"/>
    </row>
    <row r="84" spans="1:10" x14ac:dyDescent="0.2">
      <c r="A84" s="41"/>
      <c r="B84" s="41"/>
      <c r="C84" s="42" t="s">
        <v>159</v>
      </c>
      <c r="D84" s="41"/>
      <c r="E84" s="41"/>
      <c r="F84" s="51"/>
      <c r="G84" s="51"/>
      <c r="H84" s="40" t="s">
        <v>151</v>
      </c>
      <c r="J84" s="30"/>
    </row>
    <row r="85" spans="1:10" x14ac:dyDescent="0.2">
      <c r="A85" s="41"/>
      <c r="B85" s="41"/>
      <c r="C85" s="42" t="s">
        <v>10</v>
      </c>
      <c r="D85" s="41"/>
      <c r="E85" s="41"/>
      <c r="F85" s="51"/>
      <c r="G85" s="51"/>
      <c r="H85" s="40" t="s">
        <v>151</v>
      </c>
      <c r="J85" s="30"/>
    </row>
    <row r="86" spans="1:10" x14ac:dyDescent="0.2">
      <c r="A86" s="41"/>
      <c r="B86" s="41"/>
      <c r="C86" s="42" t="s">
        <v>150</v>
      </c>
      <c r="D86" s="41"/>
      <c r="E86" s="41" t="s">
        <v>151</v>
      </c>
      <c r="F86" s="52" t="s">
        <v>153</v>
      </c>
      <c r="G86" s="49">
        <v>0</v>
      </c>
      <c r="H86" s="40" t="s">
        <v>151</v>
      </c>
      <c r="J86" s="30"/>
    </row>
    <row r="87" spans="1:10" x14ac:dyDescent="0.2">
      <c r="A87" s="41"/>
      <c r="B87" s="41"/>
      <c r="C87" s="50"/>
      <c r="D87" s="41"/>
      <c r="E87" s="41"/>
      <c r="F87" s="51"/>
      <c r="G87" s="51"/>
      <c r="H87" s="40" t="s">
        <v>151</v>
      </c>
      <c r="J87" s="30"/>
    </row>
    <row r="88" spans="1:10" x14ac:dyDescent="0.2">
      <c r="A88" s="41"/>
      <c r="B88" s="41"/>
      <c r="C88" s="42" t="s">
        <v>160</v>
      </c>
      <c r="D88" s="41"/>
      <c r="E88" s="41"/>
      <c r="F88" s="41"/>
      <c r="G88" s="41"/>
      <c r="H88" s="40" t="s">
        <v>151</v>
      </c>
      <c r="J88" s="30"/>
    </row>
    <row r="89" spans="1:10" x14ac:dyDescent="0.2">
      <c r="A89" s="41"/>
      <c r="B89" s="41"/>
      <c r="C89" s="42" t="s">
        <v>150</v>
      </c>
      <c r="D89" s="41"/>
      <c r="E89" s="41" t="s">
        <v>151</v>
      </c>
      <c r="F89" s="52" t="s">
        <v>153</v>
      </c>
      <c r="G89" s="49">
        <v>0</v>
      </c>
      <c r="H89" s="40" t="s">
        <v>151</v>
      </c>
      <c r="J89" s="30"/>
    </row>
    <row r="90" spans="1:10" x14ac:dyDescent="0.2">
      <c r="A90" s="41"/>
      <c r="B90" s="41"/>
      <c r="C90" s="50"/>
      <c r="D90" s="41"/>
      <c r="E90" s="41"/>
      <c r="F90" s="51"/>
      <c r="G90" s="51"/>
      <c r="H90" s="40" t="s">
        <v>151</v>
      </c>
      <c r="J90" s="30"/>
    </row>
    <row r="91" spans="1:10" x14ac:dyDescent="0.2">
      <c r="A91" s="41"/>
      <c r="B91" s="41"/>
      <c r="C91" s="42" t="s">
        <v>161</v>
      </c>
      <c r="D91" s="41"/>
      <c r="E91" s="41"/>
      <c r="F91" s="41"/>
      <c r="G91" s="41"/>
      <c r="H91" s="40" t="s">
        <v>151</v>
      </c>
      <c r="J91" s="30"/>
    </row>
    <row r="92" spans="1:10" x14ac:dyDescent="0.2">
      <c r="A92" s="41"/>
      <c r="B92" s="41"/>
      <c r="C92" s="42" t="s">
        <v>150</v>
      </c>
      <c r="D92" s="41"/>
      <c r="E92" s="41" t="s">
        <v>151</v>
      </c>
      <c r="F92" s="52" t="s">
        <v>153</v>
      </c>
      <c r="G92" s="49">
        <v>0</v>
      </c>
      <c r="H92" s="40" t="s">
        <v>151</v>
      </c>
      <c r="J92" s="30"/>
    </row>
    <row r="93" spans="1:10" x14ac:dyDescent="0.2">
      <c r="A93" s="41"/>
      <c r="B93" s="41"/>
      <c r="C93" s="50"/>
      <c r="D93" s="41"/>
      <c r="E93" s="41"/>
      <c r="F93" s="51"/>
      <c r="G93" s="51"/>
      <c r="H93" s="40" t="s">
        <v>151</v>
      </c>
      <c r="J93" s="30"/>
    </row>
    <row r="94" spans="1:10" x14ac:dyDescent="0.2">
      <c r="A94" s="41"/>
      <c r="B94" s="41"/>
      <c r="C94" s="42" t="s">
        <v>162</v>
      </c>
      <c r="D94" s="41"/>
      <c r="E94" s="41"/>
      <c r="F94" s="51"/>
      <c r="G94" s="51"/>
      <c r="H94" s="40" t="s">
        <v>151</v>
      </c>
      <c r="J94" s="30"/>
    </row>
    <row r="95" spans="1:10" x14ac:dyDescent="0.2">
      <c r="A95" s="41"/>
      <c r="B95" s="41"/>
      <c r="C95" s="42" t="s">
        <v>150</v>
      </c>
      <c r="D95" s="41"/>
      <c r="E95" s="41" t="s">
        <v>151</v>
      </c>
      <c r="F95" s="52" t="s">
        <v>153</v>
      </c>
      <c r="G95" s="49">
        <v>0</v>
      </c>
      <c r="H95" s="40" t="s">
        <v>151</v>
      </c>
      <c r="J95" s="30"/>
    </row>
    <row r="96" spans="1:10" x14ac:dyDescent="0.2">
      <c r="A96" s="41"/>
      <c r="B96" s="41"/>
      <c r="C96" s="50"/>
      <c r="D96" s="41"/>
      <c r="E96" s="41"/>
      <c r="F96" s="51"/>
      <c r="G96" s="51"/>
      <c r="H96" s="40" t="s">
        <v>151</v>
      </c>
      <c r="J96" s="30"/>
    </row>
    <row r="97" spans="1:10" x14ac:dyDescent="0.2">
      <c r="A97" s="41"/>
      <c r="B97" s="41"/>
      <c r="C97" s="42" t="s">
        <v>163</v>
      </c>
      <c r="D97" s="41"/>
      <c r="E97" s="41"/>
      <c r="F97" s="48">
        <v>0</v>
      </c>
      <c r="G97" s="49">
        <v>0</v>
      </c>
      <c r="H97" s="40" t="s">
        <v>151</v>
      </c>
      <c r="J97" s="30"/>
    </row>
    <row r="98" spans="1:10" x14ac:dyDescent="0.2">
      <c r="A98" s="41"/>
      <c r="B98" s="41"/>
      <c r="C98" s="50"/>
      <c r="D98" s="41"/>
      <c r="E98" s="41"/>
      <c r="F98" s="51"/>
      <c r="G98" s="51"/>
      <c r="H98" s="40" t="s">
        <v>151</v>
      </c>
      <c r="J98" s="30"/>
    </row>
    <row r="99" spans="1:10" x14ac:dyDescent="0.2">
      <c r="A99" s="41"/>
      <c r="B99" s="41"/>
      <c r="C99" s="42" t="s">
        <v>164</v>
      </c>
      <c r="D99" s="41"/>
      <c r="E99" s="41"/>
      <c r="F99" s="51"/>
      <c r="G99" s="51"/>
      <c r="H99" s="40" t="s">
        <v>151</v>
      </c>
      <c r="J99" s="30"/>
    </row>
    <row r="100" spans="1:10" x14ac:dyDescent="0.2">
      <c r="A100" s="41"/>
      <c r="B100" s="41"/>
      <c r="C100" s="42" t="s">
        <v>165</v>
      </c>
      <c r="D100" s="41"/>
      <c r="E100" s="41"/>
      <c r="F100" s="51"/>
      <c r="G100" s="51"/>
      <c r="H100" s="40" t="s">
        <v>151</v>
      </c>
      <c r="J100" s="30"/>
    </row>
    <row r="101" spans="1:10" x14ac:dyDescent="0.2">
      <c r="A101" s="41"/>
      <c r="B101" s="41"/>
      <c r="C101" s="42" t="s">
        <v>150</v>
      </c>
      <c r="D101" s="41"/>
      <c r="E101" s="41" t="s">
        <v>151</v>
      </c>
      <c r="F101" s="52" t="s">
        <v>153</v>
      </c>
      <c r="G101" s="49">
        <v>0</v>
      </c>
      <c r="H101" s="40" t="s">
        <v>151</v>
      </c>
      <c r="J101" s="30"/>
    </row>
    <row r="102" spans="1:10" x14ac:dyDescent="0.2">
      <c r="A102" s="41"/>
      <c r="B102" s="41"/>
      <c r="C102" s="50"/>
      <c r="D102" s="41"/>
      <c r="E102" s="41"/>
      <c r="F102" s="51"/>
      <c r="G102" s="51"/>
      <c r="H102" s="40" t="s">
        <v>151</v>
      </c>
      <c r="J102" s="30"/>
    </row>
    <row r="103" spans="1:10" x14ac:dyDescent="0.2">
      <c r="A103" s="41"/>
      <c r="B103" s="41"/>
      <c r="C103" s="42" t="s">
        <v>166</v>
      </c>
      <c r="D103" s="41"/>
      <c r="E103" s="41"/>
      <c r="F103" s="51"/>
      <c r="G103" s="51"/>
      <c r="H103" s="40" t="s">
        <v>151</v>
      </c>
      <c r="J103" s="30"/>
    </row>
    <row r="104" spans="1:10" x14ac:dyDescent="0.2">
      <c r="A104" s="41"/>
      <c r="B104" s="41"/>
      <c r="C104" s="42" t="s">
        <v>150</v>
      </c>
      <c r="D104" s="41"/>
      <c r="E104" s="41" t="s">
        <v>151</v>
      </c>
      <c r="F104" s="52" t="s">
        <v>153</v>
      </c>
      <c r="G104" s="49">
        <v>0</v>
      </c>
      <c r="H104" s="40" t="s">
        <v>151</v>
      </c>
      <c r="J104" s="30"/>
    </row>
    <row r="105" spans="1:10" x14ac:dyDescent="0.2">
      <c r="A105" s="41"/>
      <c r="B105" s="41"/>
      <c r="C105" s="50"/>
      <c r="D105" s="41"/>
      <c r="E105" s="41"/>
      <c r="F105" s="51"/>
      <c r="G105" s="51"/>
      <c r="H105" s="40" t="s">
        <v>151</v>
      </c>
      <c r="J105" s="30"/>
    </row>
    <row r="106" spans="1:10" x14ac:dyDescent="0.2">
      <c r="A106" s="41"/>
      <c r="B106" s="41"/>
      <c r="C106" s="42" t="s">
        <v>167</v>
      </c>
      <c r="D106" s="41"/>
      <c r="E106" s="41"/>
      <c r="F106" s="51"/>
      <c r="G106" s="51"/>
      <c r="H106" s="40" t="s">
        <v>151</v>
      </c>
      <c r="J106" s="30"/>
    </row>
    <row r="107" spans="1:10" x14ac:dyDescent="0.2">
      <c r="A107" s="41"/>
      <c r="B107" s="41"/>
      <c r="C107" s="42" t="s">
        <v>150</v>
      </c>
      <c r="D107" s="41"/>
      <c r="E107" s="41" t="s">
        <v>151</v>
      </c>
      <c r="F107" s="52" t="s">
        <v>153</v>
      </c>
      <c r="G107" s="49">
        <v>0</v>
      </c>
      <c r="H107" s="40" t="s">
        <v>151</v>
      </c>
      <c r="J107" s="30"/>
    </row>
    <row r="108" spans="1:10" x14ac:dyDescent="0.2">
      <c r="A108" s="41"/>
      <c r="B108" s="41"/>
      <c r="C108" s="50"/>
      <c r="D108" s="41"/>
      <c r="E108" s="41"/>
      <c r="F108" s="51"/>
      <c r="G108" s="51"/>
      <c r="H108" s="40" t="s">
        <v>151</v>
      </c>
      <c r="J108" s="30"/>
    </row>
    <row r="109" spans="1:10" x14ac:dyDescent="0.2">
      <c r="A109" s="41"/>
      <c r="B109" s="41"/>
      <c r="C109" s="42" t="s">
        <v>168</v>
      </c>
      <c r="D109" s="41"/>
      <c r="E109" s="41"/>
      <c r="F109" s="51"/>
      <c r="G109" s="51"/>
      <c r="H109" s="40" t="s">
        <v>151</v>
      </c>
      <c r="J109" s="30"/>
    </row>
    <row r="110" spans="1:10" x14ac:dyDescent="0.2">
      <c r="A110" s="43">
        <v>1</v>
      </c>
      <c r="B110" s="44"/>
      <c r="C110" s="44" t="s">
        <v>169</v>
      </c>
      <c r="D110" s="44"/>
      <c r="E110" s="54"/>
      <c r="F110" s="46">
        <v>726.96379800099999</v>
      </c>
      <c r="G110" s="47">
        <v>2.0003899999999999E-3</v>
      </c>
      <c r="H110" s="40">
        <v>6.39</v>
      </c>
      <c r="J110" s="30"/>
    </row>
    <row r="111" spans="1:10" x14ac:dyDescent="0.2">
      <c r="A111" s="41"/>
      <c r="B111" s="41"/>
      <c r="C111" s="42" t="s">
        <v>150</v>
      </c>
      <c r="D111" s="41"/>
      <c r="E111" s="41" t="s">
        <v>151</v>
      </c>
      <c r="F111" s="48">
        <v>726.96379800099999</v>
      </c>
      <c r="G111" s="49">
        <v>2.0003899999999999E-3</v>
      </c>
      <c r="H111" s="40" t="s">
        <v>151</v>
      </c>
      <c r="J111" s="30"/>
    </row>
    <row r="112" spans="1:10" x14ac:dyDescent="0.2">
      <c r="A112" s="41"/>
      <c r="B112" s="41"/>
      <c r="C112" s="50"/>
      <c r="D112" s="41"/>
      <c r="E112" s="41"/>
      <c r="F112" s="51"/>
      <c r="G112" s="51"/>
      <c r="H112" s="40" t="s">
        <v>151</v>
      </c>
      <c r="J112" s="30"/>
    </row>
    <row r="113" spans="1:10" x14ac:dyDescent="0.2">
      <c r="A113" s="41"/>
      <c r="B113" s="41"/>
      <c r="C113" s="42" t="s">
        <v>170</v>
      </c>
      <c r="D113" s="41"/>
      <c r="E113" s="41"/>
      <c r="F113" s="48">
        <v>726.96379800099999</v>
      </c>
      <c r="G113" s="49">
        <v>2.0003899999999999E-3</v>
      </c>
      <c r="H113" s="40" t="s">
        <v>151</v>
      </c>
      <c r="J113" s="30"/>
    </row>
    <row r="114" spans="1:10" x14ac:dyDescent="0.2">
      <c r="A114" s="41"/>
      <c r="B114" s="41"/>
      <c r="C114" s="51"/>
      <c r="D114" s="41"/>
      <c r="E114" s="41"/>
      <c r="F114" s="41"/>
      <c r="G114" s="41"/>
      <c r="H114" s="40" t="s">
        <v>151</v>
      </c>
      <c r="J114" s="30"/>
    </row>
    <row r="115" spans="1:10" x14ac:dyDescent="0.2">
      <c r="A115" s="41"/>
      <c r="B115" s="41"/>
      <c r="C115" s="42" t="s">
        <v>171</v>
      </c>
      <c r="D115" s="41"/>
      <c r="E115" s="41"/>
      <c r="F115" s="41"/>
      <c r="G115" s="41"/>
      <c r="H115" s="40" t="s">
        <v>151</v>
      </c>
      <c r="J115" s="30"/>
    </row>
    <row r="116" spans="1:10" x14ac:dyDescent="0.2">
      <c r="A116" s="41"/>
      <c r="B116" s="41"/>
      <c r="C116" s="42" t="s">
        <v>172</v>
      </c>
      <c r="D116" s="41"/>
      <c r="E116" s="41"/>
      <c r="F116" s="41"/>
      <c r="G116" s="41"/>
      <c r="H116" s="40" t="s">
        <v>151</v>
      </c>
      <c r="J116" s="30"/>
    </row>
    <row r="117" spans="1:10" x14ac:dyDescent="0.2">
      <c r="A117" s="41"/>
      <c r="B117" s="41"/>
      <c r="C117" s="42" t="s">
        <v>150</v>
      </c>
      <c r="D117" s="41"/>
      <c r="E117" s="41" t="s">
        <v>151</v>
      </c>
      <c r="F117" s="52" t="s">
        <v>153</v>
      </c>
      <c r="G117" s="49">
        <v>0</v>
      </c>
      <c r="H117" s="40" t="s">
        <v>151</v>
      </c>
      <c r="J117" s="30"/>
    </row>
    <row r="118" spans="1:10" x14ac:dyDescent="0.2">
      <c r="A118" s="41"/>
      <c r="B118" s="41"/>
      <c r="C118" s="50"/>
      <c r="D118" s="41"/>
      <c r="E118" s="41"/>
      <c r="F118" s="51"/>
      <c r="G118" s="51"/>
      <c r="H118" s="40" t="s">
        <v>151</v>
      </c>
      <c r="J118" s="30"/>
    </row>
    <row r="119" spans="1:10" x14ac:dyDescent="0.2">
      <c r="A119" s="41"/>
      <c r="B119" s="41"/>
      <c r="C119" s="42" t="s">
        <v>173</v>
      </c>
      <c r="D119" s="41"/>
      <c r="E119" s="41"/>
      <c r="F119" s="41"/>
      <c r="G119" s="41"/>
      <c r="H119" s="40" t="s">
        <v>151</v>
      </c>
      <c r="J119" s="30"/>
    </row>
    <row r="120" spans="1:10" x14ac:dyDescent="0.2">
      <c r="A120" s="41"/>
      <c r="B120" s="41"/>
      <c r="C120" s="42" t="s">
        <v>174</v>
      </c>
      <c r="D120" s="41"/>
      <c r="E120" s="41"/>
      <c r="F120" s="41"/>
      <c r="G120" s="41"/>
      <c r="H120" s="40" t="s">
        <v>151</v>
      </c>
      <c r="J120" s="30"/>
    </row>
    <row r="121" spans="1:10" x14ac:dyDescent="0.2">
      <c r="A121" s="41"/>
      <c r="B121" s="41"/>
      <c r="C121" s="42" t="s">
        <v>150</v>
      </c>
      <c r="D121" s="41"/>
      <c r="E121" s="41" t="s">
        <v>151</v>
      </c>
      <c r="F121" s="52" t="s">
        <v>153</v>
      </c>
      <c r="G121" s="49">
        <v>0</v>
      </c>
      <c r="H121" s="40" t="s">
        <v>151</v>
      </c>
      <c r="J121" s="30"/>
    </row>
    <row r="122" spans="1:10" x14ac:dyDescent="0.2">
      <c r="A122" s="41"/>
      <c r="B122" s="41"/>
      <c r="C122" s="50"/>
      <c r="D122" s="41"/>
      <c r="E122" s="41"/>
      <c r="F122" s="51"/>
      <c r="G122" s="51"/>
      <c r="H122" s="40" t="s">
        <v>151</v>
      </c>
      <c r="J122" s="30"/>
    </row>
    <row r="123" spans="1:10" x14ac:dyDescent="0.2">
      <c r="A123" s="41"/>
      <c r="B123" s="41"/>
      <c r="C123" s="42" t="s">
        <v>175</v>
      </c>
      <c r="D123" s="41"/>
      <c r="E123" s="41"/>
      <c r="F123" s="51"/>
      <c r="G123" s="51"/>
      <c r="H123" s="40" t="s">
        <v>151</v>
      </c>
      <c r="J123" s="30"/>
    </row>
    <row r="124" spans="1:10" x14ac:dyDescent="0.2">
      <c r="A124" s="41"/>
      <c r="B124" s="41"/>
      <c r="C124" s="42" t="s">
        <v>150</v>
      </c>
      <c r="D124" s="41"/>
      <c r="E124" s="41" t="s">
        <v>151</v>
      </c>
      <c r="F124" s="52" t="s">
        <v>153</v>
      </c>
      <c r="G124" s="49">
        <v>0</v>
      </c>
      <c r="H124" s="40" t="s">
        <v>151</v>
      </c>
      <c r="J124" s="30"/>
    </row>
    <row r="125" spans="1:10" x14ac:dyDescent="0.2">
      <c r="A125" s="41"/>
      <c r="B125" s="44"/>
      <c r="C125" s="44"/>
      <c r="D125" s="42"/>
      <c r="E125" s="41"/>
      <c r="F125" s="44"/>
      <c r="G125" s="54"/>
      <c r="H125" s="40" t="s">
        <v>151</v>
      </c>
      <c r="J125" s="30"/>
    </row>
    <row r="126" spans="1:10" x14ac:dyDescent="0.2">
      <c r="A126" s="54"/>
      <c r="B126" s="44"/>
      <c r="C126" s="83" t="s">
        <v>176</v>
      </c>
      <c r="D126" s="44"/>
      <c r="E126" s="54"/>
      <c r="F126" s="46">
        <v>999.37967495999999</v>
      </c>
      <c r="G126" s="47">
        <v>2.7499899999999999E-3</v>
      </c>
      <c r="H126" s="40" t="s">
        <v>151</v>
      </c>
      <c r="J126" s="30"/>
    </row>
    <row r="127" spans="1:10" x14ac:dyDescent="0.2">
      <c r="A127" s="50"/>
      <c r="B127" s="50"/>
      <c r="C127" s="42" t="s">
        <v>177</v>
      </c>
      <c r="D127" s="51"/>
      <c r="E127" s="51"/>
      <c r="F127" s="48">
        <v>363411.68312546099</v>
      </c>
      <c r="G127" s="55">
        <v>1.0000000600000001</v>
      </c>
      <c r="H127" s="40" t="s">
        <v>151</v>
      </c>
      <c r="J127" s="7"/>
    </row>
    <row r="128" spans="1:10" x14ac:dyDescent="0.2">
      <c r="A128" s="56"/>
      <c r="B128" s="56"/>
      <c r="C128" s="56"/>
      <c r="D128" s="57"/>
      <c r="E128" s="57"/>
      <c r="F128" s="57"/>
      <c r="G128" s="57"/>
      <c r="J128" s="7"/>
    </row>
    <row r="129" spans="1:17" ht="12.75" customHeight="1" x14ac:dyDescent="0.2">
      <c r="A129" s="58"/>
      <c r="B129" s="159" t="s">
        <v>923</v>
      </c>
      <c r="C129" s="159"/>
      <c r="D129" s="159"/>
      <c r="E129" s="159"/>
      <c r="F129" s="159"/>
      <c r="G129" s="159"/>
      <c r="H129" s="159"/>
      <c r="J129" s="7"/>
    </row>
    <row r="130" spans="1:17" ht="14.1" customHeight="1" x14ac:dyDescent="0.2">
      <c r="A130" s="58"/>
      <c r="B130" s="159" t="s">
        <v>924</v>
      </c>
      <c r="C130" s="159"/>
      <c r="D130" s="159"/>
      <c r="E130" s="159"/>
      <c r="F130" s="159"/>
      <c r="G130" s="159"/>
      <c r="H130" s="159"/>
      <c r="J130" s="7"/>
    </row>
    <row r="131" spans="1:17" ht="17.100000000000001" customHeight="1" x14ac:dyDescent="0.2">
      <c r="A131" s="58"/>
      <c r="B131" s="159" t="s">
        <v>925</v>
      </c>
      <c r="C131" s="159"/>
      <c r="D131" s="159"/>
      <c r="E131" s="159"/>
      <c r="F131" s="159"/>
      <c r="G131" s="159"/>
      <c r="H131" s="159"/>
      <c r="J131" s="7"/>
    </row>
    <row r="132" spans="1:17" s="8" customFormat="1" ht="65.25" customHeight="1" x14ac:dyDescent="0.25">
      <c r="A132" s="60"/>
      <c r="B132" s="160" t="s">
        <v>926</v>
      </c>
      <c r="C132" s="160"/>
      <c r="D132" s="160"/>
      <c r="E132" s="160"/>
      <c r="F132" s="160"/>
      <c r="G132" s="160"/>
      <c r="H132" s="160"/>
      <c r="I132"/>
      <c r="J132" s="30"/>
      <c r="K132"/>
      <c r="L132"/>
      <c r="M132"/>
      <c r="N132"/>
      <c r="O132"/>
      <c r="P132"/>
      <c r="Q132"/>
    </row>
    <row r="133" spans="1:17" ht="12.75" customHeight="1" x14ac:dyDescent="0.2">
      <c r="A133" s="58"/>
      <c r="B133" s="159" t="s">
        <v>927</v>
      </c>
      <c r="C133" s="159"/>
      <c r="D133" s="159"/>
      <c r="E133" s="159"/>
      <c r="F133" s="159"/>
      <c r="G133" s="159"/>
      <c r="H133" s="159"/>
      <c r="J133" s="30"/>
    </row>
    <row r="134" spans="1:17" x14ac:dyDescent="0.2">
      <c r="A134" s="61"/>
      <c r="B134" s="61"/>
      <c r="C134" s="61"/>
      <c r="D134" s="62"/>
      <c r="E134" s="62"/>
      <c r="F134" s="62"/>
      <c r="G134" s="62"/>
      <c r="J134" s="30"/>
    </row>
    <row r="135" spans="1:17" x14ac:dyDescent="0.2">
      <c r="A135" s="61"/>
      <c r="B135" s="161" t="s">
        <v>178</v>
      </c>
      <c r="C135" s="162"/>
      <c r="D135" s="163"/>
      <c r="E135" s="63"/>
      <c r="F135" s="62"/>
      <c r="G135" s="62"/>
      <c r="J135" s="30"/>
    </row>
    <row r="136" spans="1:17" x14ac:dyDescent="0.2">
      <c r="A136" s="61"/>
      <c r="B136" s="156" t="s">
        <v>179</v>
      </c>
      <c r="C136" s="157"/>
      <c r="D136" s="42" t="s">
        <v>180</v>
      </c>
      <c r="E136" s="63"/>
      <c r="F136" s="62"/>
      <c r="G136" s="62"/>
      <c r="J136" s="30"/>
    </row>
    <row r="137" spans="1:17" x14ac:dyDescent="0.2">
      <c r="A137" s="61"/>
      <c r="B137" s="156" t="s">
        <v>181</v>
      </c>
      <c r="C137" s="157"/>
      <c r="D137" s="42" t="s">
        <v>180</v>
      </c>
      <c r="E137" s="63"/>
      <c r="F137" s="62"/>
      <c r="G137" s="62"/>
      <c r="J137" s="30"/>
    </row>
    <row r="138" spans="1:17" x14ac:dyDescent="0.2">
      <c r="A138" s="61"/>
      <c r="B138" s="156" t="s">
        <v>182</v>
      </c>
      <c r="C138" s="157"/>
      <c r="D138" s="51" t="s">
        <v>151</v>
      </c>
      <c r="E138" s="63"/>
      <c r="F138" s="62"/>
      <c r="G138" s="62"/>
      <c r="J138" s="30"/>
    </row>
    <row r="139" spans="1:17" x14ac:dyDescent="0.2">
      <c r="A139" s="67"/>
      <c r="B139" s="68" t="s">
        <v>151</v>
      </c>
      <c r="C139" s="68" t="s">
        <v>937</v>
      </c>
      <c r="D139" s="68" t="s">
        <v>183</v>
      </c>
      <c r="E139" s="67"/>
      <c r="F139" s="67"/>
      <c r="G139" s="67"/>
      <c r="H139" s="67"/>
      <c r="J139" s="30"/>
    </row>
    <row r="140" spans="1:17" x14ac:dyDescent="0.2">
      <c r="A140" s="69"/>
      <c r="B140" s="70" t="s">
        <v>184</v>
      </c>
      <c r="C140" s="80" t="s">
        <v>185</v>
      </c>
      <c r="D140" s="80" t="s">
        <v>186</v>
      </c>
      <c r="E140" s="69"/>
      <c r="F140" s="69"/>
      <c r="G140" s="69"/>
      <c r="J140" s="30"/>
    </row>
    <row r="141" spans="1:17" x14ac:dyDescent="0.2">
      <c r="A141" s="69"/>
      <c r="B141" s="44" t="s">
        <v>187</v>
      </c>
      <c r="C141" s="72">
        <v>21.917300000000001</v>
      </c>
      <c r="D141" s="72">
        <v>22.845600000000001</v>
      </c>
      <c r="E141" s="69"/>
      <c r="F141" s="73"/>
      <c r="G141" s="74"/>
      <c r="J141" s="30"/>
    </row>
    <row r="142" spans="1:17" x14ac:dyDescent="0.2">
      <c r="A142" s="69"/>
      <c r="B142" s="44" t="s">
        <v>1094</v>
      </c>
      <c r="C142" s="72">
        <v>18.6127</v>
      </c>
      <c r="D142" s="72">
        <v>19.4011</v>
      </c>
      <c r="E142" s="69"/>
      <c r="F142" s="73"/>
      <c r="G142" s="74"/>
      <c r="J142" s="30"/>
    </row>
    <row r="143" spans="1:17" x14ac:dyDescent="0.2">
      <c r="A143" s="69"/>
      <c r="B143" s="44" t="s">
        <v>188</v>
      </c>
      <c r="C143" s="72">
        <v>20.689900000000002</v>
      </c>
      <c r="D143" s="72">
        <v>21.5426</v>
      </c>
      <c r="E143" s="69"/>
      <c r="F143" s="73"/>
      <c r="G143" s="74"/>
      <c r="J143" s="30"/>
    </row>
    <row r="144" spans="1:17" x14ac:dyDescent="0.2">
      <c r="A144" s="69"/>
      <c r="B144" s="44" t="s">
        <v>1095</v>
      </c>
      <c r="C144" s="72">
        <v>17.553699999999999</v>
      </c>
      <c r="D144" s="72">
        <v>18.277200000000001</v>
      </c>
      <c r="E144" s="69"/>
      <c r="F144" s="73"/>
      <c r="G144" s="74"/>
      <c r="J144" s="30"/>
    </row>
    <row r="145" spans="1:10" x14ac:dyDescent="0.2">
      <c r="A145" s="69"/>
      <c r="B145" s="69"/>
      <c r="C145" s="69"/>
      <c r="D145" s="69"/>
      <c r="E145" s="69"/>
      <c r="F145" s="69"/>
      <c r="G145" s="69"/>
      <c r="J145" s="30"/>
    </row>
    <row r="146" spans="1:10" x14ac:dyDescent="0.2">
      <c r="A146" s="67"/>
      <c r="B146" s="164" t="s">
        <v>940</v>
      </c>
      <c r="C146" s="165"/>
      <c r="D146" s="64" t="s">
        <v>180</v>
      </c>
      <c r="E146" s="67"/>
      <c r="F146" s="67"/>
      <c r="G146" s="67"/>
      <c r="J146" s="30"/>
    </row>
    <row r="147" spans="1:10" x14ac:dyDescent="0.2">
      <c r="A147" s="67"/>
      <c r="B147" s="84"/>
      <c r="C147" s="84"/>
      <c r="D147" s="84"/>
      <c r="E147" s="67"/>
      <c r="F147" s="67"/>
      <c r="G147" s="67"/>
      <c r="J147" s="30"/>
    </row>
    <row r="148" spans="1:10" ht="29.1" customHeight="1" x14ac:dyDescent="0.2">
      <c r="A148" s="67"/>
      <c r="B148" s="164" t="s">
        <v>189</v>
      </c>
      <c r="C148" s="165"/>
      <c r="D148" s="64" t="s">
        <v>180</v>
      </c>
      <c r="E148" s="75"/>
      <c r="F148" s="67"/>
      <c r="G148" s="67"/>
      <c r="J148" s="30"/>
    </row>
    <row r="149" spans="1:10" ht="29.1" customHeight="1" x14ac:dyDescent="0.2">
      <c r="A149" s="67"/>
      <c r="B149" s="164" t="s">
        <v>190</v>
      </c>
      <c r="C149" s="165"/>
      <c r="D149" s="64" t="s">
        <v>180</v>
      </c>
      <c r="E149" s="75"/>
      <c r="F149" s="67"/>
      <c r="G149" s="67"/>
      <c r="J149" s="30"/>
    </row>
    <row r="150" spans="1:10" ht="17.100000000000001" customHeight="1" x14ac:dyDescent="0.2">
      <c r="A150" s="67"/>
      <c r="B150" s="164" t="s">
        <v>191</v>
      </c>
      <c r="C150" s="165"/>
      <c r="D150" s="64" t="s">
        <v>180</v>
      </c>
      <c r="E150" s="75"/>
      <c r="F150" s="67"/>
      <c r="G150" s="67"/>
    </row>
    <row r="151" spans="1:10" ht="17.100000000000001" customHeight="1" x14ac:dyDescent="0.2">
      <c r="A151" s="67"/>
      <c r="B151" s="164" t="s">
        <v>192</v>
      </c>
      <c r="C151" s="165"/>
      <c r="D151" s="76">
        <v>0.15104549130896774</v>
      </c>
      <c r="E151" s="67"/>
      <c r="F151" s="59"/>
      <c r="G151" s="77"/>
    </row>
  </sheetData>
  <mergeCells count="17">
    <mergeCell ref="B137:C137"/>
    <mergeCell ref="B138:C138"/>
    <mergeCell ref="B146:C146"/>
    <mergeCell ref="B150:C150"/>
    <mergeCell ref="B151:C151"/>
    <mergeCell ref="B148:C148"/>
    <mergeCell ref="B149:C149"/>
    <mergeCell ref="B136:C136"/>
    <mergeCell ref="A1:H1"/>
    <mergeCell ref="A2:H2"/>
    <mergeCell ref="A3:H3"/>
    <mergeCell ref="B129:H129"/>
    <mergeCell ref="B130:H130"/>
    <mergeCell ref="B131:H131"/>
    <mergeCell ref="B132:H132"/>
    <mergeCell ref="B133:H133"/>
    <mergeCell ref="B135:D135"/>
  </mergeCells>
  <hyperlinks>
    <hyperlink ref="I1" location="Index!B27" display="Index" xr:uid="{FDD1B35D-169F-4118-83FF-CC3999FD605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48436-0315-4E4B-944C-36B3EFB684EC}">
  <sheetPr>
    <outlinePr summaryBelow="0" summaryRight="0"/>
  </sheetPr>
  <dimension ref="A1:Q149"/>
  <sheetViews>
    <sheetView showGridLines="0" workbookViewId="0">
      <selection activeCell="J14" sqref="J14"/>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8.7109375" bestFit="1" customWidth="1"/>
    <col min="6" max="6" width="10.140625" bestFit="1" customWidth="1"/>
    <col min="7" max="7" width="8.85546875" customWidth="1"/>
    <col min="8" max="8" width="8.42578125" bestFit="1" customWidth="1"/>
    <col min="10" max="10" width="50.7109375" customWidth="1"/>
  </cols>
  <sheetData>
    <row r="1" spans="1:10" ht="15" x14ac:dyDescent="0.2">
      <c r="A1" s="158" t="s">
        <v>0</v>
      </c>
      <c r="B1" s="158"/>
      <c r="C1" s="158"/>
      <c r="D1" s="158"/>
      <c r="E1" s="158"/>
      <c r="F1" s="158"/>
      <c r="G1" s="158"/>
      <c r="H1" s="158"/>
      <c r="I1" s="13" t="s">
        <v>941</v>
      </c>
      <c r="J1" s="30"/>
    </row>
    <row r="2" spans="1:10" ht="15" x14ac:dyDescent="0.2">
      <c r="A2" s="158" t="s">
        <v>848</v>
      </c>
      <c r="B2" s="158"/>
      <c r="C2" s="158"/>
      <c r="D2" s="158"/>
      <c r="E2" s="158"/>
      <c r="F2" s="158"/>
      <c r="G2" s="158"/>
      <c r="H2" s="158"/>
      <c r="J2" s="11" t="s">
        <v>942</v>
      </c>
    </row>
    <row r="3" spans="1:10" ht="15" x14ac:dyDescent="0.2">
      <c r="A3" s="158" t="s">
        <v>880</v>
      </c>
      <c r="B3" s="158"/>
      <c r="C3" s="158"/>
      <c r="D3" s="158"/>
      <c r="E3" s="158"/>
      <c r="F3" s="158"/>
      <c r="G3" s="158"/>
      <c r="H3" s="158"/>
      <c r="J3" s="30"/>
    </row>
    <row r="4" spans="1:10" s="1" customFormat="1" ht="30" x14ac:dyDescent="0.2">
      <c r="A4" s="36" t="s">
        <v>2</v>
      </c>
      <c r="B4" s="36" t="s">
        <v>3</v>
      </c>
      <c r="C4" s="36" t="s">
        <v>4</v>
      </c>
      <c r="D4" s="36" t="s">
        <v>5</v>
      </c>
      <c r="E4" s="36" t="s">
        <v>6</v>
      </c>
      <c r="F4" s="36" t="s">
        <v>7</v>
      </c>
      <c r="G4" s="36" t="s">
        <v>8</v>
      </c>
      <c r="H4" s="37" t="s">
        <v>921</v>
      </c>
      <c r="J4" s="31"/>
    </row>
    <row r="5" spans="1:10" x14ac:dyDescent="0.2">
      <c r="A5" s="41"/>
      <c r="B5" s="41"/>
      <c r="C5" s="42" t="s">
        <v>9</v>
      </c>
      <c r="D5" s="41"/>
      <c r="E5" s="41"/>
      <c r="F5" s="41"/>
      <c r="G5" s="41"/>
      <c r="H5" s="40" t="s">
        <v>151</v>
      </c>
      <c r="J5" s="30"/>
    </row>
    <row r="6" spans="1:10" x14ac:dyDescent="0.2">
      <c r="A6" s="41"/>
      <c r="B6" s="41"/>
      <c r="C6" s="42" t="s">
        <v>10</v>
      </c>
      <c r="D6" s="41"/>
      <c r="E6" s="41"/>
      <c r="F6" s="41"/>
      <c r="G6" s="41"/>
      <c r="H6" s="40" t="s">
        <v>151</v>
      </c>
      <c r="J6" s="30"/>
    </row>
    <row r="7" spans="1:10" x14ac:dyDescent="0.2">
      <c r="A7" s="43">
        <v>1</v>
      </c>
      <c r="B7" s="44" t="s">
        <v>11</v>
      </c>
      <c r="C7" s="44" t="s">
        <v>12</v>
      </c>
      <c r="D7" s="44" t="s">
        <v>13</v>
      </c>
      <c r="E7" s="45">
        <v>182302</v>
      </c>
      <c r="F7" s="46">
        <v>6954.8212999999996</v>
      </c>
      <c r="G7" s="47">
        <v>5.22508E-2</v>
      </c>
      <c r="H7" s="40" t="s">
        <v>151</v>
      </c>
      <c r="J7" s="30"/>
    </row>
    <row r="8" spans="1:10" x14ac:dyDescent="0.2">
      <c r="A8" s="43">
        <v>2</v>
      </c>
      <c r="B8" s="44" t="s">
        <v>17</v>
      </c>
      <c r="C8" s="44" t="s">
        <v>18</v>
      </c>
      <c r="D8" s="44" t="s">
        <v>19</v>
      </c>
      <c r="E8" s="45">
        <v>452502</v>
      </c>
      <c r="F8" s="46">
        <v>6749.2935809999999</v>
      </c>
      <c r="G8" s="47">
        <v>5.0706689999999999E-2</v>
      </c>
      <c r="H8" s="40" t="s">
        <v>151</v>
      </c>
      <c r="J8" s="30"/>
    </row>
    <row r="9" spans="1:10" x14ac:dyDescent="0.2">
      <c r="A9" s="43">
        <v>3</v>
      </c>
      <c r="B9" s="44" t="s">
        <v>20</v>
      </c>
      <c r="C9" s="44" t="s">
        <v>21</v>
      </c>
      <c r="D9" s="44" t="s">
        <v>22</v>
      </c>
      <c r="E9" s="45">
        <v>215312</v>
      </c>
      <c r="F9" s="46">
        <v>6482.7213519999996</v>
      </c>
      <c r="G9" s="47">
        <v>4.8703969999999999E-2</v>
      </c>
      <c r="H9" s="40" t="s">
        <v>151</v>
      </c>
      <c r="J9" s="30"/>
    </row>
    <row r="10" spans="1:10" x14ac:dyDescent="0.2">
      <c r="A10" s="43">
        <v>4</v>
      </c>
      <c r="B10" s="44" t="s">
        <v>409</v>
      </c>
      <c r="C10" s="44" t="s">
        <v>410</v>
      </c>
      <c r="D10" s="44" t="s">
        <v>242</v>
      </c>
      <c r="E10" s="45">
        <v>261573</v>
      </c>
      <c r="F10" s="46">
        <v>4320.7936005000001</v>
      </c>
      <c r="G10" s="47">
        <v>3.246164E-2</v>
      </c>
      <c r="H10" s="40" t="s">
        <v>151</v>
      </c>
      <c r="J10" s="30"/>
    </row>
    <row r="11" spans="1:10" x14ac:dyDescent="0.2">
      <c r="A11" s="43">
        <v>5</v>
      </c>
      <c r="B11" s="44" t="s">
        <v>324</v>
      </c>
      <c r="C11" s="44" t="s">
        <v>325</v>
      </c>
      <c r="D11" s="44" t="s">
        <v>100</v>
      </c>
      <c r="E11" s="45">
        <v>83478</v>
      </c>
      <c r="F11" s="46">
        <v>3618.3539099999998</v>
      </c>
      <c r="G11" s="47">
        <v>2.718429E-2</v>
      </c>
      <c r="H11" s="40" t="s">
        <v>151</v>
      </c>
      <c r="J11" s="30"/>
    </row>
    <row r="12" spans="1:10" ht="15" x14ac:dyDescent="0.2">
      <c r="A12" s="43">
        <v>6</v>
      </c>
      <c r="B12" s="44" t="s">
        <v>734</v>
      </c>
      <c r="C12" s="44" t="s">
        <v>735</v>
      </c>
      <c r="D12" s="44" t="s">
        <v>232</v>
      </c>
      <c r="E12" s="45">
        <v>494630</v>
      </c>
      <c r="F12" s="46">
        <v>3539.0776500000002</v>
      </c>
      <c r="G12" s="47">
        <v>2.65887E-2</v>
      </c>
      <c r="H12" s="40" t="s">
        <v>151</v>
      </c>
      <c r="J12" s="12"/>
    </row>
    <row r="13" spans="1:10" x14ac:dyDescent="0.2">
      <c r="A13" s="43">
        <v>7</v>
      </c>
      <c r="B13" s="44" t="s">
        <v>359</v>
      </c>
      <c r="C13" s="44" t="s">
        <v>360</v>
      </c>
      <c r="D13" s="44" t="s">
        <v>361</v>
      </c>
      <c r="E13" s="45">
        <v>495412</v>
      </c>
      <c r="F13" s="46">
        <v>3317.2787520000002</v>
      </c>
      <c r="G13" s="47">
        <v>2.4922349999999999E-2</v>
      </c>
      <c r="H13" s="40" t="s">
        <v>151</v>
      </c>
      <c r="J13" s="7"/>
    </row>
    <row r="14" spans="1:10" x14ac:dyDescent="0.2">
      <c r="A14" s="43">
        <v>8</v>
      </c>
      <c r="B14" s="44" t="s">
        <v>240</v>
      </c>
      <c r="C14" s="44" t="s">
        <v>241</v>
      </c>
      <c r="D14" s="44" t="s">
        <v>242</v>
      </c>
      <c r="E14" s="45">
        <v>497314</v>
      </c>
      <c r="F14" s="46">
        <v>2977.916232</v>
      </c>
      <c r="G14" s="47">
        <v>2.237275E-2</v>
      </c>
      <c r="H14" s="40" t="s">
        <v>151</v>
      </c>
      <c r="J14" s="7" t="s">
        <v>1104</v>
      </c>
    </row>
    <row r="15" spans="1:10" x14ac:dyDescent="0.2">
      <c r="A15" s="43">
        <v>9</v>
      </c>
      <c r="B15" s="44" t="s">
        <v>367</v>
      </c>
      <c r="C15" s="44" t="s">
        <v>368</v>
      </c>
      <c r="D15" s="44" t="s">
        <v>229</v>
      </c>
      <c r="E15" s="45">
        <v>64307</v>
      </c>
      <c r="F15" s="46">
        <v>2758.5773789999998</v>
      </c>
      <c r="G15" s="47">
        <v>2.0724889999999999E-2</v>
      </c>
      <c r="H15" s="40" t="s">
        <v>151</v>
      </c>
      <c r="J15" s="30"/>
    </row>
    <row r="16" spans="1:10" x14ac:dyDescent="0.2">
      <c r="A16" s="43">
        <v>10</v>
      </c>
      <c r="B16" s="44" t="s">
        <v>357</v>
      </c>
      <c r="C16" s="44" t="s">
        <v>358</v>
      </c>
      <c r="D16" s="44" t="s">
        <v>282</v>
      </c>
      <c r="E16" s="45">
        <v>235212</v>
      </c>
      <c r="F16" s="46">
        <v>2720.5795979999998</v>
      </c>
      <c r="G16" s="47">
        <v>2.0439410000000002E-2</v>
      </c>
      <c r="H16" s="40" t="s">
        <v>151</v>
      </c>
      <c r="J16" s="30"/>
    </row>
    <row r="17" spans="1:10" x14ac:dyDescent="0.2">
      <c r="A17" s="43">
        <v>11</v>
      </c>
      <c r="B17" s="44" t="s">
        <v>108</v>
      </c>
      <c r="C17" s="44" t="s">
        <v>109</v>
      </c>
      <c r="D17" s="44" t="s">
        <v>33</v>
      </c>
      <c r="E17" s="45">
        <v>199280</v>
      </c>
      <c r="F17" s="46">
        <v>2703.2332000000001</v>
      </c>
      <c r="G17" s="47">
        <v>2.0309089999999998E-2</v>
      </c>
      <c r="H17" s="40" t="s">
        <v>151</v>
      </c>
      <c r="J17" s="30"/>
    </row>
    <row r="18" spans="1:10" x14ac:dyDescent="0.2">
      <c r="A18" s="43">
        <v>12</v>
      </c>
      <c r="B18" s="44" t="s">
        <v>556</v>
      </c>
      <c r="C18" s="44" t="s">
        <v>557</v>
      </c>
      <c r="D18" s="44" t="s">
        <v>282</v>
      </c>
      <c r="E18" s="45">
        <v>27544</v>
      </c>
      <c r="F18" s="46">
        <v>2661.907248</v>
      </c>
      <c r="G18" s="47">
        <v>1.999861E-2</v>
      </c>
      <c r="H18" s="40" t="s">
        <v>151</v>
      </c>
      <c r="J18" s="30"/>
    </row>
    <row r="19" spans="1:10" x14ac:dyDescent="0.2">
      <c r="A19" s="43">
        <v>13</v>
      </c>
      <c r="B19" s="44" t="s">
        <v>849</v>
      </c>
      <c r="C19" s="44" t="s">
        <v>850</v>
      </c>
      <c r="D19" s="44" t="s">
        <v>222</v>
      </c>
      <c r="E19" s="45">
        <v>210130</v>
      </c>
      <c r="F19" s="46">
        <v>2639.7581249999998</v>
      </c>
      <c r="G19" s="47">
        <v>1.9832209999999999E-2</v>
      </c>
      <c r="H19" s="40" t="s">
        <v>151</v>
      </c>
      <c r="J19" s="30"/>
    </row>
    <row r="20" spans="1:10" x14ac:dyDescent="0.2">
      <c r="A20" s="43">
        <v>14</v>
      </c>
      <c r="B20" s="44" t="s">
        <v>345</v>
      </c>
      <c r="C20" s="44" t="s">
        <v>346</v>
      </c>
      <c r="D20" s="44" t="s">
        <v>202</v>
      </c>
      <c r="E20" s="45">
        <v>1062496</v>
      </c>
      <c r="F20" s="46">
        <v>2437.8970720000002</v>
      </c>
      <c r="G20" s="47">
        <v>1.8315649999999999E-2</v>
      </c>
      <c r="H20" s="40" t="s">
        <v>151</v>
      </c>
      <c r="J20" s="30"/>
    </row>
    <row r="21" spans="1:10" x14ac:dyDescent="0.2">
      <c r="A21" s="43">
        <v>15</v>
      </c>
      <c r="B21" s="44" t="s">
        <v>418</v>
      </c>
      <c r="C21" s="44" t="s">
        <v>419</v>
      </c>
      <c r="D21" s="44" t="s">
        <v>219</v>
      </c>
      <c r="E21" s="45">
        <v>287113</v>
      </c>
      <c r="F21" s="46">
        <v>2357.771956</v>
      </c>
      <c r="G21" s="47">
        <v>1.7713679999999999E-2</v>
      </c>
      <c r="H21" s="40" t="s">
        <v>151</v>
      </c>
      <c r="J21" s="30"/>
    </row>
    <row r="22" spans="1:10" ht="15" x14ac:dyDescent="0.2">
      <c r="A22" s="43">
        <v>16</v>
      </c>
      <c r="B22" s="44" t="s">
        <v>227</v>
      </c>
      <c r="C22" s="44" t="s">
        <v>228</v>
      </c>
      <c r="D22" s="44" t="s">
        <v>229</v>
      </c>
      <c r="E22" s="45">
        <v>47354</v>
      </c>
      <c r="F22" s="46">
        <v>2147.1250679999998</v>
      </c>
      <c r="G22" s="47">
        <v>1.6131110000000001E-2</v>
      </c>
      <c r="H22" s="40" t="s">
        <v>151</v>
      </c>
      <c r="J22" s="12"/>
    </row>
    <row r="23" spans="1:10" x14ac:dyDescent="0.2">
      <c r="A23" s="43">
        <v>17</v>
      </c>
      <c r="B23" s="44" t="s">
        <v>411</v>
      </c>
      <c r="C23" s="44" t="s">
        <v>412</v>
      </c>
      <c r="D23" s="44" t="s">
        <v>413</v>
      </c>
      <c r="E23" s="45">
        <v>139421</v>
      </c>
      <c r="F23" s="46">
        <v>2105.3965210000001</v>
      </c>
      <c r="G23" s="47">
        <v>1.5817609999999999E-2</v>
      </c>
      <c r="H23" s="40" t="s">
        <v>151</v>
      </c>
      <c r="J23" s="7"/>
    </row>
    <row r="24" spans="1:10" x14ac:dyDescent="0.2">
      <c r="A24" s="43">
        <v>18</v>
      </c>
      <c r="B24" s="44" t="s">
        <v>552</v>
      </c>
      <c r="C24" s="44" t="s">
        <v>553</v>
      </c>
      <c r="D24" s="44" t="s">
        <v>268</v>
      </c>
      <c r="E24" s="45">
        <v>145079</v>
      </c>
      <c r="F24" s="46">
        <v>2050.401507</v>
      </c>
      <c r="G24" s="47">
        <v>1.540444E-2</v>
      </c>
      <c r="H24" s="40" t="s">
        <v>151</v>
      </c>
      <c r="J24" s="30"/>
    </row>
    <row r="25" spans="1:10" ht="25.5" x14ac:dyDescent="0.2">
      <c r="A25" s="43">
        <v>19</v>
      </c>
      <c r="B25" s="44" t="s">
        <v>851</v>
      </c>
      <c r="C25" s="44" t="s">
        <v>852</v>
      </c>
      <c r="D25" s="44" t="s">
        <v>229</v>
      </c>
      <c r="E25" s="45">
        <v>168252</v>
      </c>
      <c r="F25" s="46">
        <v>1905.1173960000001</v>
      </c>
      <c r="G25" s="47">
        <v>1.431294E-2</v>
      </c>
      <c r="H25" s="40" t="s">
        <v>151</v>
      </c>
      <c r="J25" s="7"/>
    </row>
    <row r="26" spans="1:10" x14ac:dyDescent="0.2">
      <c r="A26" s="43">
        <v>20</v>
      </c>
      <c r="B26" s="44" t="s">
        <v>497</v>
      </c>
      <c r="C26" s="44" t="s">
        <v>498</v>
      </c>
      <c r="D26" s="44" t="s">
        <v>413</v>
      </c>
      <c r="E26" s="45">
        <v>102548</v>
      </c>
      <c r="F26" s="46">
        <v>1801.5632639999999</v>
      </c>
      <c r="G26" s="47">
        <v>1.353495E-2</v>
      </c>
      <c r="H26" s="40" t="s">
        <v>151</v>
      </c>
      <c r="J26" s="7"/>
    </row>
    <row r="27" spans="1:10" x14ac:dyDescent="0.2">
      <c r="A27" s="43">
        <v>21</v>
      </c>
      <c r="B27" s="44" t="s">
        <v>320</v>
      </c>
      <c r="C27" s="44" t="s">
        <v>321</v>
      </c>
      <c r="D27" s="44" t="s">
        <v>50</v>
      </c>
      <c r="E27" s="45">
        <v>2349521</v>
      </c>
      <c r="F27" s="46">
        <v>1630.0976697999999</v>
      </c>
      <c r="G27" s="47">
        <v>1.2246740000000001E-2</v>
      </c>
      <c r="H27" s="40" t="s">
        <v>151</v>
      </c>
      <c r="J27" s="30"/>
    </row>
    <row r="28" spans="1:10" ht="25.5" x14ac:dyDescent="0.2">
      <c r="A28" s="43">
        <v>22</v>
      </c>
      <c r="B28" s="44" t="s">
        <v>245</v>
      </c>
      <c r="C28" s="44" t="s">
        <v>246</v>
      </c>
      <c r="D28" s="44" t="s">
        <v>247</v>
      </c>
      <c r="E28" s="45">
        <v>50477</v>
      </c>
      <c r="F28" s="46">
        <v>1560.900271</v>
      </c>
      <c r="G28" s="47">
        <v>1.172687E-2</v>
      </c>
      <c r="H28" s="40" t="s">
        <v>151</v>
      </c>
      <c r="J28" s="30"/>
    </row>
    <row r="29" spans="1:10" x14ac:dyDescent="0.2">
      <c r="A29" s="43">
        <v>23</v>
      </c>
      <c r="B29" s="44" t="s">
        <v>307</v>
      </c>
      <c r="C29" s="44" t="s">
        <v>308</v>
      </c>
      <c r="D29" s="44" t="s">
        <v>222</v>
      </c>
      <c r="E29" s="45">
        <v>49635</v>
      </c>
      <c r="F29" s="46">
        <v>1534.0193099999999</v>
      </c>
      <c r="G29" s="47">
        <v>1.1524919999999999E-2</v>
      </c>
      <c r="H29" s="40" t="s">
        <v>151</v>
      </c>
      <c r="J29" s="30"/>
    </row>
    <row r="30" spans="1:10" x14ac:dyDescent="0.2">
      <c r="A30" s="43">
        <v>24</v>
      </c>
      <c r="B30" s="44" t="s">
        <v>87</v>
      </c>
      <c r="C30" s="44" t="s">
        <v>88</v>
      </c>
      <c r="D30" s="44" t="s">
        <v>89</v>
      </c>
      <c r="E30" s="45">
        <v>27280</v>
      </c>
      <c r="F30" s="46">
        <v>1524.8155999999999</v>
      </c>
      <c r="G30" s="47">
        <v>1.1455770000000001E-2</v>
      </c>
      <c r="H30" s="40" t="s">
        <v>151</v>
      </c>
      <c r="J30" s="30"/>
    </row>
    <row r="31" spans="1:10" x14ac:dyDescent="0.2">
      <c r="A31" s="43">
        <v>25</v>
      </c>
      <c r="B31" s="44" t="s">
        <v>535</v>
      </c>
      <c r="C31" s="44" t="s">
        <v>536</v>
      </c>
      <c r="D31" s="44" t="s">
        <v>100</v>
      </c>
      <c r="E31" s="45">
        <v>152583</v>
      </c>
      <c r="F31" s="46">
        <v>1454.0396985</v>
      </c>
      <c r="G31" s="47">
        <v>1.0924039999999999E-2</v>
      </c>
      <c r="H31" s="40" t="s">
        <v>151</v>
      </c>
      <c r="J31" s="30"/>
    </row>
    <row r="32" spans="1:10" x14ac:dyDescent="0.2">
      <c r="A32" s="43">
        <v>26</v>
      </c>
      <c r="B32" s="44" t="s">
        <v>853</v>
      </c>
      <c r="C32" s="44" t="s">
        <v>854</v>
      </c>
      <c r="D32" s="44" t="s">
        <v>89</v>
      </c>
      <c r="E32" s="45">
        <v>88435</v>
      </c>
      <c r="F32" s="46">
        <v>1438.2184050000001</v>
      </c>
      <c r="G32" s="47">
        <v>1.0805179999999999E-2</v>
      </c>
      <c r="H32" s="40" t="s">
        <v>151</v>
      </c>
      <c r="J32" s="30"/>
    </row>
    <row r="33" spans="1:10" x14ac:dyDescent="0.2">
      <c r="A33" s="43">
        <v>27</v>
      </c>
      <c r="B33" s="44" t="s">
        <v>266</v>
      </c>
      <c r="C33" s="44" t="s">
        <v>267</v>
      </c>
      <c r="D33" s="44" t="s">
        <v>268</v>
      </c>
      <c r="E33" s="45">
        <v>69656</v>
      </c>
      <c r="F33" s="46">
        <v>1403.5684000000001</v>
      </c>
      <c r="G33" s="47">
        <v>1.054485E-2</v>
      </c>
      <c r="H33" s="40" t="s">
        <v>151</v>
      </c>
      <c r="J33" s="30"/>
    </row>
    <row r="34" spans="1:10" ht="25.5" x14ac:dyDescent="0.2">
      <c r="A34" s="43">
        <v>28</v>
      </c>
      <c r="B34" s="44" t="s">
        <v>233</v>
      </c>
      <c r="C34" s="44" t="s">
        <v>234</v>
      </c>
      <c r="D34" s="44" t="s">
        <v>235</v>
      </c>
      <c r="E34" s="45">
        <v>91829</v>
      </c>
      <c r="F34" s="46">
        <v>1334.2753700000001</v>
      </c>
      <c r="G34" s="47">
        <v>1.002426E-2</v>
      </c>
      <c r="H34" s="40" t="s">
        <v>151</v>
      </c>
      <c r="J34" s="30"/>
    </row>
    <row r="35" spans="1:10" x14ac:dyDescent="0.2">
      <c r="A35" s="43">
        <v>29</v>
      </c>
      <c r="B35" s="44" t="s">
        <v>397</v>
      </c>
      <c r="C35" s="44" t="s">
        <v>398</v>
      </c>
      <c r="D35" s="44" t="s">
        <v>100</v>
      </c>
      <c r="E35" s="45">
        <v>37948</v>
      </c>
      <c r="F35" s="46">
        <v>1312.6023459999999</v>
      </c>
      <c r="G35" s="47">
        <v>9.8614400000000008E-3</v>
      </c>
      <c r="H35" s="40" t="s">
        <v>151</v>
      </c>
      <c r="J35" s="30"/>
    </row>
    <row r="36" spans="1:10" ht="25.5" x14ac:dyDescent="0.2">
      <c r="A36" s="43">
        <v>30</v>
      </c>
      <c r="B36" s="44" t="s">
        <v>855</v>
      </c>
      <c r="C36" s="44" t="s">
        <v>856</v>
      </c>
      <c r="D36" s="44" t="s">
        <v>73</v>
      </c>
      <c r="E36" s="45">
        <v>165290</v>
      </c>
      <c r="F36" s="46">
        <v>1165.7903699999999</v>
      </c>
      <c r="G36" s="47">
        <v>8.7584499999999992E-3</v>
      </c>
      <c r="H36" s="40" t="s">
        <v>151</v>
      </c>
      <c r="J36" s="30"/>
    </row>
    <row r="37" spans="1:10" x14ac:dyDescent="0.2">
      <c r="A37" s="43">
        <v>31</v>
      </c>
      <c r="B37" s="44" t="s">
        <v>834</v>
      </c>
      <c r="C37" s="44" t="s">
        <v>835</v>
      </c>
      <c r="D37" s="44" t="s">
        <v>202</v>
      </c>
      <c r="E37" s="45">
        <v>450000</v>
      </c>
      <c r="F37" s="46">
        <v>988.29</v>
      </c>
      <c r="G37" s="47">
        <v>7.4249099999999998E-3</v>
      </c>
      <c r="H37" s="40" t="s">
        <v>151</v>
      </c>
      <c r="J37" s="30"/>
    </row>
    <row r="38" spans="1:10" x14ac:dyDescent="0.2">
      <c r="A38" s="43">
        <v>32</v>
      </c>
      <c r="B38" s="44" t="s">
        <v>857</v>
      </c>
      <c r="C38" s="44" t="s">
        <v>858</v>
      </c>
      <c r="D38" s="44" t="s">
        <v>33</v>
      </c>
      <c r="E38" s="45">
        <v>157026</v>
      </c>
      <c r="F38" s="46">
        <v>835.69237199999998</v>
      </c>
      <c r="G38" s="47">
        <v>6.2784599999999996E-3</v>
      </c>
      <c r="H38" s="40" t="s">
        <v>151</v>
      </c>
      <c r="J38" s="30"/>
    </row>
    <row r="39" spans="1:10" x14ac:dyDescent="0.2">
      <c r="A39" s="43">
        <v>33</v>
      </c>
      <c r="B39" s="44" t="s">
        <v>128</v>
      </c>
      <c r="C39" s="44" t="s">
        <v>129</v>
      </c>
      <c r="D39" s="44" t="s">
        <v>76</v>
      </c>
      <c r="E39" s="45">
        <v>203716</v>
      </c>
      <c r="F39" s="46">
        <v>823.01264000000003</v>
      </c>
      <c r="G39" s="47">
        <v>6.1831999999999998E-3</v>
      </c>
      <c r="H39" s="40" t="s">
        <v>151</v>
      </c>
      <c r="J39" s="30"/>
    </row>
    <row r="40" spans="1:10" x14ac:dyDescent="0.2">
      <c r="A40" s="43">
        <v>34</v>
      </c>
      <c r="B40" s="44" t="s">
        <v>859</v>
      </c>
      <c r="C40" s="44" t="s">
        <v>860</v>
      </c>
      <c r="D40" s="44" t="s">
        <v>202</v>
      </c>
      <c r="E40" s="45">
        <v>424921</v>
      </c>
      <c r="F40" s="46">
        <v>820.0550379</v>
      </c>
      <c r="G40" s="47">
        <v>6.1609799999999999E-3</v>
      </c>
      <c r="H40" s="40" t="s">
        <v>151</v>
      </c>
      <c r="J40" s="30"/>
    </row>
    <row r="41" spans="1:10" x14ac:dyDescent="0.2">
      <c r="A41" s="43">
        <v>35</v>
      </c>
      <c r="B41" s="44" t="s">
        <v>798</v>
      </c>
      <c r="C41" s="44" t="s">
        <v>799</v>
      </c>
      <c r="D41" s="44" t="s">
        <v>89</v>
      </c>
      <c r="E41" s="45">
        <v>2295</v>
      </c>
      <c r="F41" s="46">
        <v>802.7554275</v>
      </c>
      <c r="G41" s="47">
        <v>6.0310099999999998E-3</v>
      </c>
      <c r="H41" s="40" t="s">
        <v>151</v>
      </c>
      <c r="J41" s="30"/>
    </row>
    <row r="42" spans="1:10" x14ac:dyDescent="0.2">
      <c r="A42" s="43">
        <v>36</v>
      </c>
      <c r="B42" s="44" t="s">
        <v>758</v>
      </c>
      <c r="C42" s="44" t="s">
        <v>759</v>
      </c>
      <c r="D42" s="44" t="s">
        <v>222</v>
      </c>
      <c r="E42" s="45">
        <v>36663</v>
      </c>
      <c r="F42" s="46">
        <v>776.852307</v>
      </c>
      <c r="G42" s="47">
        <v>5.8364100000000002E-3</v>
      </c>
      <c r="H42" s="40" t="s">
        <v>151</v>
      </c>
      <c r="J42" s="30"/>
    </row>
    <row r="43" spans="1:10" x14ac:dyDescent="0.2">
      <c r="A43" s="43">
        <v>37</v>
      </c>
      <c r="B43" s="44" t="s">
        <v>139</v>
      </c>
      <c r="C43" s="44" t="s">
        <v>140</v>
      </c>
      <c r="D43" s="44" t="s">
        <v>89</v>
      </c>
      <c r="E43" s="45">
        <v>83294</v>
      </c>
      <c r="F43" s="46">
        <v>725.69897500000002</v>
      </c>
      <c r="G43" s="47">
        <v>5.4520999999999997E-3</v>
      </c>
      <c r="H43" s="40" t="s">
        <v>151</v>
      </c>
      <c r="J43" s="30"/>
    </row>
    <row r="44" spans="1:10" x14ac:dyDescent="0.2">
      <c r="A44" s="43">
        <v>38</v>
      </c>
      <c r="B44" s="44" t="s">
        <v>407</v>
      </c>
      <c r="C44" s="44" t="s">
        <v>408</v>
      </c>
      <c r="D44" s="44" t="s">
        <v>100</v>
      </c>
      <c r="E44" s="45">
        <v>26667</v>
      </c>
      <c r="F44" s="46">
        <v>552.27356999999995</v>
      </c>
      <c r="G44" s="47">
        <v>4.1491699999999998E-3</v>
      </c>
      <c r="H44" s="40" t="s">
        <v>151</v>
      </c>
      <c r="J44" s="30"/>
    </row>
    <row r="45" spans="1:10" x14ac:dyDescent="0.2">
      <c r="A45" s="43">
        <v>39</v>
      </c>
      <c r="B45" s="44" t="s">
        <v>114</v>
      </c>
      <c r="C45" s="44" t="s">
        <v>115</v>
      </c>
      <c r="D45" s="44" t="s">
        <v>50</v>
      </c>
      <c r="E45" s="45">
        <v>73841</v>
      </c>
      <c r="F45" s="46">
        <v>543.46975999999995</v>
      </c>
      <c r="G45" s="47">
        <v>4.0830299999999996E-3</v>
      </c>
      <c r="H45" s="40" t="s">
        <v>151</v>
      </c>
      <c r="J45" s="30"/>
    </row>
    <row r="46" spans="1:10" x14ac:dyDescent="0.2">
      <c r="A46" s="43">
        <v>40</v>
      </c>
      <c r="B46" s="44" t="s">
        <v>126</v>
      </c>
      <c r="C46" s="44" t="s">
        <v>127</v>
      </c>
      <c r="D46" s="44" t="s">
        <v>33</v>
      </c>
      <c r="E46" s="45">
        <v>269818</v>
      </c>
      <c r="F46" s="46">
        <v>474.60986200000002</v>
      </c>
      <c r="G46" s="47">
        <v>3.5656899999999998E-3</v>
      </c>
      <c r="H46" s="40" t="s">
        <v>151</v>
      </c>
      <c r="J46" s="30"/>
    </row>
    <row r="47" spans="1:10" x14ac:dyDescent="0.2">
      <c r="A47" s="41"/>
      <c r="B47" s="41"/>
      <c r="C47" s="42" t="s">
        <v>150</v>
      </c>
      <c r="D47" s="41"/>
      <c r="E47" s="41" t="s">
        <v>151</v>
      </c>
      <c r="F47" s="48">
        <v>87950.622103200003</v>
      </c>
      <c r="G47" s="49">
        <v>0.66076325999999996</v>
      </c>
      <c r="H47" s="40" t="s">
        <v>151</v>
      </c>
      <c r="J47" s="30"/>
    </row>
    <row r="48" spans="1:10" x14ac:dyDescent="0.2">
      <c r="A48" s="41"/>
      <c r="B48" s="41"/>
      <c r="C48" s="50"/>
      <c r="D48" s="41"/>
      <c r="E48" s="41"/>
      <c r="F48" s="51"/>
      <c r="G48" s="51"/>
      <c r="H48" s="40" t="s">
        <v>151</v>
      </c>
      <c r="J48" s="30"/>
    </row>
    <row r="49" spans="1:10" x14ac:dyDescent="0.2">
      <c r="A49" s="41"/>
      <c r="B49" s="41"/>
      <c r="C49" s="42" t="s">
        <v>152</v>
      </c>
      <c r="D49" s="41"/>
      <c r="E49" s="41"/>
      <c r="F49" s="41"/>
      <c r="G49" s="41"/>
      <c r="H49" s="40" t="s">
        <v>151</v>
      </c>
      <c r="J49" s="30"/>
    </row>
    <row r="50" spans="1:10" x14ac:dyDescent="0.2">
      <c r="A50" s="41"/>
      <c r="B50" s="41"/>
      <c r="C50" s="42" t="s">
        <v>150</v>
      </c>
      <c r="D50" s="41"/>
      <c r="E50" s="41" t="s">
        <v>151</v>
      </c>
      <c r="F50" s="52" t="s">
        <v>153</v>
      </c>
      <c r="G50" s="49">
        <v>0</v>
      </c>
      <c r="H50" s="40" t="s">
        <v>151</v>
      </c>
      <c r="J50" s="30"/>
    </row>
    <row r="51" spans="1:10" x14ac:dyDescent="0.2">
      <c r="A51" s="41"/>
      <c r="B51" s="41"/>
      <c r="C51" s="50"/>
      <c r="D51" s="41"/>
      <c r="E51" s="41"/>
      <c r="F51" s="51"/>
      <c r="G51" s="51"/>
      <c r="H51" s="40" t="s">
        <v>151</v>
      </c>
      <c r="J51" s="30"/>
    </row>
    <row r="52" spans="1:10" x14ac:dyDescent="0.2">
      <c r="A52" s="41"/>
      <c r="B52" s="41"/>
      <c r="C52" s="42" t="s">
        <v>154</v>
      </c>
      <c r="D52" s="41"/>
      <c r="E52" s="41"/>
      <c r="F52" s="41"/>
      <c r="G52" s="41"/>
      <c r="H52" s="40" t="s">
        <v>151</v>
      </c>
      <c r="J52" s="30"/>
    </row>
    <row r="53" spans="1:10" x14ac:dyDescent="0.2">
      <c r="A53" s="41"/>
      <c r="B53" s="41"/>
      <c r="C53" s="42" t="s">
        <v>150</v>
      </c>
      <c r="D53" s="41"/>
      <c r="E53" s="41" t="s">
        <v>151</v>
      </c>
      <c r="F53" s="52" t="s">
        <v>153</v>
      </c>
      <c r="G53" s="49">
        <v>0</v>
      </c>
      <c r="H53" s="40" t="s">
        <v>151</v>
      </c>
      <c r="J53" s="30"/>
    </row>
    <row r="54" spans="1:10" x14ac:dyDescent="0.2">
      <c r="A54" s="41"/>
      <c r="B54" s="41"/>
      <c r="C54" s="50"/>
      <c r="D54" s="41"/>
      <c r="E54" s="41"/>
      <c r="F54" s="51"/>
      <c r="G54" s="51"/>
      <c r="H54" s="40" t="s">
        <v>151</v>
      </c>
      <c r="J54" s="30"/>
    </row>
    <row r="55" spans="1:10" x14ac:dyDescent="0.2">
      <c r="A55" s="41"/>
      <c r="B55" s="41"/>
      <c r="C55" s="42" t="s">
        <v>155</v>
      </c>
      <c r="D55" s="41"/>
      <c r="E55" s="41"/>
      <c r="F55" s="41"/>
      <c r="G55" s="41"/>
      <c r="H55" s="40" t="s">
        <v>151</v>
      </c>
      <c r="J55" s="30"/>
    </row>
    <row r="56" spans="1:10" x14ac:dyDescent="0.2">
      <c r="A56" s="41"/>
      <c r="B56" s="41"/>
      <c r="C56" s="42" t="s">
        <v>150</v>
      </c>
      <c r="D56" s="41"/>
      <c r="E56" s="41" t="s">
        <v>151</v>
      </c>
      <c r="F56" s="52" t="s">
        <v>153</v>
      </c>
      <c r="G56" s="49">
        <v>0</v>
      </c>
      <c r="H56" s="40" t="s">
        <v>151</v>
      </c>
      <c r="J56" s="30"/>
    </row>
    <row r="57" spans="1:10" x14ac:dyDescent="0.2">
      <c r="A57" s="41"/>
      <c r="B57" s="41"/>
      <c r="C57" s="50"/>
      <c r="D57" s="41"/>
      <c r="E57" s="41"/>
      <c r="F57" s="51"/>
      <c r="G57" s="51"/>
      <c r="H57" s="40" t="s">
        <v>151</v>
      </c>
      <c r="J57" s="30"/>
    </row>
    <row r="58" spans="1:10" x14ac:dyDescent="0.2">
      <c r="A58" s="41"/>
      <c r="B58" s="41"/>
      <c r="C58" s="42" t="s">
        <v>156</v>
      </c>
      <c r="D58" s="41"/>
      <c r="E58" s="41"/>
      <c r="F58" s="51"/>
      <c r="G58" s="51"/>
      <c r="H58" s="40" t="s">
        <v>151</v>
      </c>
      <c r="J58" s="30"/>
    </row>
    <row r="59" spans="1:10" x14ac:dyDescent="0.2">
      <c r="A59" s="41"/>
      <c r="B59" s="41"/>
      <c r="C59" s="42" t="s">
        <v>150</v>
      </c>
      <c r="D59" s="41"/>
      <c r="E59" s="41" t="s">
        <v>151</v>
      </c>
      <c r="F59" s="52" t="s">
        <v>153</v>
      </c>
      <c r="G59" s="49">
        <v>0</v>
      </c>
      <c r="H59" s="40" t="s">
        <v>151</v>
      </c>
      <c r="J59" s="30"/>
    </row>
    <row r="60" spans="1:10" x14ac:dyDescent="0.2">
      <c r="A60" s="41"/>
      <c r="B60" s="41"/>
      <c r="C60" s="50"/>
      <c r="D60" s="41"/>
      <c r="E60" s="41"/>
      <c r="F60" s="51"/>
      <c r="G60" s="51"/>
      <c r="H60" s="40" t="s">
        <v>151</v>
      </c>
      <c r="J60" s="30"/>
    </row>
    <row r="61" spans="1:10" x14ac:dyDescent="0.2">
      <c r="A61" s="41"/>
      <c r="B61" s="41"/>
      <c r="C61" s="42" t="s">
        <v>157</v>
      </c>
      <c r="D61" s="41"/>
      <c r="E61" s="41"/>
      <c r="F61" s="51"/>
      <c r="G61" s="51"/>
      <c r="H61" s="40" t="s">
        <v>151</v>
      </c>
      <c r="J61" s="30"/>
    </row>
    <row r="62" spans="1:10" x14ac:dyDescent="0.2">
      <c r="A62" s="41"/>
      <c r="B62" s="41"/>
      <c r="C62" s="42" t="s">
        <v>150</v>
      </c>
      <c r="D62" s="41"/>
      <c r="E62" s="41" t="s">
        <v>151</v>
      </c>
      <c r="F62" s="52" t="s">
        <v>153</v>
      </c>
      <c r="G62" s="49">
        <v>0</v>
      </c>
      <c r="H62" s="40" t="s">
        <v>151</v>
      </c>
      <c r="J62" s="30"/>
    </row>
    <row r="63" spans="1:10" x14ac:dyDescent="0.2">
      <c r="A63" s="41"/>
      <c r="B63" s="41"/>
      <c r="C63" s="50"/>
      <c r="D63" s="41"/>
      <c r="E63" s="41"/>
      <c r="F63" s="51"/>
      <c r="G63" s="51"/>
      <c r="H63" s="40" t="s">
        <v>151</v>
      </c>
      <c r="J63" s="30"/>
    </row>
    <row r="64" spans="1:10" x14ac:dyDescent="0.2">
      <c r="A64" s="41"/>
      <c r="B64" s="41"/>
      <c r="C64" s="42" t="s">
        <v>158</v>
      </c>
      <c r="D64" s="41"/>
      <c r="E64" s="41"/>
      <c r="F64" s="48">
        <v>87950.622103200003</v>
      </c>
      <c r="G64" s="49">
        <v>0.66076325999999996</v>
      </c>
      <c r="H64" s="40" t="s">
        <v>151</v>
      </c>
      <c r="J64" s="30"/>
    </row>
    <row r="65" spans="1:10" x14ac:dyDescent="0.2">
      <c r="A65" s="41"/>
      <c r="B65" s="41"/>
      <c r="C65" s="50"/>
      <c r="D65" s="41"/>
      <c r="E65" s="41"/>
      <c r="F65" s="51"/>
      <c r="G65" s="51"/>
      <c r="H65" s="40" t="s">
        <v>151</v>
      </c>
      <c r="J65" s="30"/>
    </row>
    <row r="66" spans="1:10" x14ac:dyDescent="0.2">
      <c r="A66" s="41"/>
      <c r="B66" s="41"/>
      <c r="C66" s="42" t="s">
        <v>159</v>
      </c>
      <c r="D66" s="41"/>
      <c r="E66" s="41"/>
      <c r="F66" s="51"/>
      <c r="G66" s="51"/>
      <c r="H66" s="40" t="s">
        <v>151</v>
      </c>
      <c r="J66" s="30"/>
    </row>
    <row r="67" spans="1:10" x14ac:dyDescent="0.2">
      <c r="A67" s="41"/>
      <c r="B67" s="41"/>
      <c r="C67" s="42" t="s">
        <v>10</v>
      </c>
      <c r="D67" s="41"/>
      <c r="E67" s="41"/>
      <c r="F67" s="51"/>
      <c r="G67" s="51"/>
      <c r="H67" s="40" t="s">
        <v>151</v>
      </c>
      <c r="J67" s="30"/>
    </row>
    <row r="68" spans="1:10" x14ac:dyDescent="0.2">
      <c r="A68" s="41"/>
      <c r="B68" s="41"/>
      <c r="C68" s="42" t="s">
        <v>150</v>
      </c>
      <c r="D68" s="41"/>
      <c r="E68" s="41" t="s">
        <v>151</v>
      </c>
      <c r="F68" s="52" t="s">
        <v>153</v>
      </c>
      <c r="G68" s="49">
        <v>0</v>
      </c>
      <c r="H68" s="40" t="s">
        <v>151</v>
      </c>
      <c r="J68" s="30"/>
    </row>
    <row r="69" spans="1:10" x14ac:dyDescent="0.2">
      <c r="A69" s="41"/>
      <c r="B69" s="41"/>
      <c r="C69" s="50"/>
      <c r="D69" s="41"/>
      <c r="E69" s="41"/>
      <c r="F69" s="51"/>
      <c r="G69" s="51"/>
      <c r="H69" s="40" t="s">
        <v>151</v>
      </c>
      <c r="J69" s="30"/>
    </row>
    <row r="70" spans="1:10" x14ac:dyDescent="0.2">
      <c r="A70" s="41"/>
      <c r="B70" s="41"/>
      <c r="C70" s="42" t="s">
        <v>160</v>
      </c>
      <c r="D70" s="41"/>
      <c r="E70" s="41"/>
      <c r="F70" s="41"/>
      <c r="G70" s="41"/>
      <c r="H70" s="40" t="s">
        <v>151</v>
      </c>
      <c r="J70" s="30"/>
    </row>
    <row r="71" spans="1:10" x14ac:dyDescent="0.2">
      <c r="A71" s="41"/>
      <c r="B71" s="41"/>
      <c r="C71" s="42" t="s">
        <v>150</v>
      </c>
      <c r="D71" s="41"/>
      <c r="E71" s="41" t="s">
        <v>151</v>
      </c>
      <c r="F71" s="52" t="s">
        <v>153</v>
      </c>
      <c r="G71" s="49">
        <v>0</v>
      </c>
      <c r="H71" s="40" t="s">
        <v>151</v>
      </c>
      <c r="J71" s="30"/>
    </row>
    <row r="72" spans="1:10" x14ac:dyDescent="0.2">
      <c r="A72" s="41"/>
      <c r="B72" s="41"/>
      <c r="C72" s="50"/>
      <c r="D72" s="41"/>
      <c r="E72" s="41"/>
      <c r="F72" s="51"/>
      <c r="G72" s="51"/>
      <c r="H72" s="40" t="s">
        <v>151</v>
      </c>
      <c r="J72" s="30"/>
    </row>
    <row r="73" spans="1:10" x14ac:dyDescent="0.2">
      <c r="A73" s="41"/>
      <c r="B73" s="41"/>
      <c r="C73" s="42" t="s">
        <v>161</v>
      </c>
      <c r="D73" s="41"/>
      <c r="E73" s="41"/>
      <c r="F73" s="41"/>
      <c r="G73" s="41"/>
      <c r="H73" s="40" t="s">
        <v>151</v>
      </c>
      <c r="J73" s="30"/>
    </row>
    <row r="74" spans="1:10" x14ac:dyDescent="0.2">
      <c r="A74" s="41"/>
      <c r="B74" s="41"/>
      <c r="C74" s="42" t="s">
        <v>150</v>
      </c>
      <c r="D74" s="41"/>
      <c r="E74" s="41" t="s">
        <v>151</v>
      </c>
      <c r="F74" s="52" t="s">
        <v>153</v>
      </c>
      <c r="G74" s="49">
        <v>0</v>
      </c>
      <c r="H74" s="40" t="s">
        <v>151</v>
      </c>
      <c r="J74" s="30"/>
    </row>
    <row r="75" spans="1:10" x14ac:dyDescent="0.2">
      <c r="A75" s="41"/>
      <c r="B75" s="41"/>
      <c r="C75" s="50"/>
      <c r="D75" s="41"/>
      <c r="E75" s="41"/>
      <c r="F75" s="51"/>
      <c r="G75" s="51"/>
      <c r="H75" s="40" t="s">
        <v>151</v>
      </c>
      <c r="J75" s="30"/>
    </row>
    <row r="76" spans="1:10" x14ac:dyDescent="0.2">
      <c r="A76" s="41"/>
      <c r="B76" s="41"/>
      <c r="C76" s="42" t="s">
        <v>162</v>
      </c>
      <c r="D76" s="41"/>
      <c r="E76" s="41"/>
      <c r="F76" s="51"/>
      <c r="G76" s="51"/>
      <c r="H76" s="40" t="s">
        <v>151</v>
      </c>
      <c r="J76" s="30"/>
    </row>
    <row r="77" spans="1:10" x14ac:dyDescent="0.2">
      <c r="A77" s="41"/>
      <c r="B77" s="41"/>
      <c r="C77" s="42" t="s">
        <v>150</v>
      </c>
      <c r="D77" s="41"/>
      <c r="E77" s="41" t="s">
        <v>151</v>
      </c>
      <c r="F77" s="52" t="s">
        <v>153</v>
      </c>
      <c r="G77" s="49">
        <v>0</v>
      </c>
      <c r="H77" s="40" t="s">
        <v>151</v>
      </c>
      <c r="J77" s="30"/>
    </row>
    <row r="78" spans="1:10" x14ac:dyDescent="0.2">
      <c r="A78" s="41"/>
      <c r="B78" s="41"/>
      <c r="C78" s="50"/>
      <c r="D78" s="41"/>
      <c r="E78" s="41"/>
      <c r="F78" s="51"/>
      <c r="G78" s="51"/>
      <c r="H78" s="40" t="s">
        <v>151</v>
      </c>
      <c r="J78" s="30"/>
    </row>
    <row r="79" spans="1:10" x14ac:dyDescent="0.2">
      <c r="A79" s="41"/>
      <c r="B79" s="41"/>
      <c r="C79" s="42" t="s">
        <v>163</v>
      </c>
      <c r="D79" s="41"/>
      <c r="E79" s="41"/>
      <c r="F79" s="48">
        <v>0</v>
      </c>
      <c r="G79" s="49">
        <v>0</v>
      </c>
      <c r="H79" s="40" t="s">
        <v>151</v>
      </c>
      <c r="J79" s="30"/>
    </row>
    <row r="80" spans="1:10" x14ac:dyDescent="0.2">
      <c r="A80" s="41"/>
      <c r="B80" s="41"/>
      <c r="C80" s="50"/>
      <c r="D80" s="41"/>
      <c r="E80" s="41"/>
      <c r="F80" s="51"/>
      <c r="G80" s="51"/>
      <c r="H80" s="40" t="s">
        <v>151</v>
      </c>
      <c r="J80" s="30"/>
    </row>
    <row r="81" spans="1:10" x14ac:dyDescent="0.2">
      <c r="A81" s="41"/>
      <c r="B81" s="41"/>
      <c r="C81" s="42" t="s">
        <v>164</v>
      </c>
      <c r="D81" s="41"/>
      <c r="E81" s="41"/>
      <c r="F81" s="51"/>
      <c r="G81" s="51"/>
      <c r="H81" s="40" t="s">
        <v>151</v>
      </c>
      <c r="J81" s="30"/>
    </row>
    <row r="82" spans="1:10" x14ac:dyDescent="0.2">
      <c r="A82" s="41"/>
      <c r="B82" s="41"/>
      <c r="C82" s="42" t="s">
        <v>165</v>
      </c>
      <c r="D82" s="41"/>
      <c r="E82" s="41"/>
      <c r="F82" s="51"/>
      <c r="G82" s="51"/>
      <c r="H82" s="40" t="s">
        <v>151</v>
      </c>
      <c r="J82" s="30"/>
    </row>
    <row r="83" spans="1:10" x14ac:dyDescent="0.2">
      <c r="A83" s="41"/>
      <c r="B83" s="41"/>
      <c r="C83" s="42" t="s">
        <v>150</v>
      </c>
      <c r="D83" s="41"/>
      <c r="E83" s="41" t="s">
        <v>151</v>
      </c>
      <c r="F83" s="52" t="s">
        <v>153</v>
      </c>
      <c r="G83" s="49">
        <v>0</v>
      </c>
      <c r="H83" s="40" t="s">
        <v>151</v>
      </c>
      <c r="J83" s="30"/>
    </row>
    <row r="84" spans="1:10" x14ac:dyDescent="0.2">
      <c r="A84" s="41"/>
      <c r="B84" s="41"/>
      <c r="C84" s="50"/>
      <c r="D84" s="41"/>
      <c r="E84" s="41"/>
      <c r="F84" s="51"/>
      <c r="G84" s="51"/>
      <c r="H84" s="40" t="s">
        <v>151</v>
      </c>
      <c r="J84" s="30"/>
    </row>
    <row r="85" spans="1:10" x14ac:dyDescent="0.2">
      <c r="A85" s="41"/>
      <c r="B85" s="41"/>
      <c r="C85" s="42" t="s">
        <v>166</v>
      </c>
      <c r="D85" s="41"/>
      <c r="E85" s="41"/>
      <c r="F85" s="51"/>
      <c r="G85" s="51"/>
      <c r="H85" s="40" t="s">
        <v>151</v>
      </c>
      <c r="J85" s="30"/>
    </row>
    <row r="86" spans="1:10" x14ac:dyDescent="0.2">
      <c r="A86" s="41"/>
      <c r="B86" s="41"/>
      <c r="C86" s="42" t="s">
        <v>150</v>
      </c>
      <c r="D86" s="41"/>
      <c r="E86" s="41" t="s">
        <v>151</v>
      </c>
      <c r="F86" s="52" t="s">
        <v>153</v>
      </c>
      <c r="G86" s="49">
        <v>0</v>
      </c>
      <c r="H86" s="40" t="s">
        <v>151</v>
      </c>
      <c r="J86" s="30"/>
    </row>
    <row r="87" spans="1:10" x14ac:dyDescent="0.2">
      <c r="A87" s="41"/>
      <c r="B87" s="41"/>
      <c r="C87" s="50"/>
      <c r="D87" s="41"/>
      <c r="E87" s="41"/>
      <c r="F87" s="51"/>
      <c r="G87" s="51"/>
      <c r="H87" s="40" t="s">
        <v>151</v>
      </c>
      <c r="J87" s="30"/>
    </row>
    <row r="88" spans="1:10" x14ac:dyDescent="0.2">
      <c r="A88" s="41"/>
      <c r="B88" s="41"/>
      <c r="C88" s="42" t="s">
        <v>167</v>
      </c>
      <c r="D88" s="41"/>
      <c r="E88" s="41"/>
      <c r="F88" s="51"/>
      <c r="G88" s="51"/>
      <c r="H88" s="40" t="s">
        <v>151</v>
      </c>
      <c r="J88" s="30"/>
    </row>
    <row r="89" spans="1:10" x14ac:dyDescent="0.2">
      <c r="A89" s="41"/>
      <c r="B89" s="41"/>
      <c r="C89" s="42" t="s">
        <v>150</v>
      </c>
      <c r="D89" s="41"/>
      <c r="E89" s="41" t="s">
        <v>151</v>
      </c>
      <c r="F89" s="52" t="s">
        <v>153</v>
      </c>
      <c r="G89" s="49">
        <v>0</v>
      </c>
      <c r="H89" s="40" t="s">
        <v>151</v>
      </c>
      <c r="J89" s="30"/>
    </row>
    <row r="90" spans="1:10" x14ac:dyDescent="0.2">
      <c r="A90" s="41"/>
      <c r="B90" s="41"/>
      <c r="C90" s="50"/>
      <c r="D90" s="41"/>
      <c r="E90" s="41"/>
      <c r="F90" s="51"/>
      <c r="G90" s="51"/>
      <c r="H90" s="40" t="s">
        <v>151</v>
      </c>
      <c r="J90" s="30"/>
    </row>
    <row r="91" spans="1:10" x14ac:dyDescent="0.2">
      <c r="A91" s="41"/>
      <c r="B91" s="41"/>
      <c r="C91" s="42" t="s">
        <v>168</v>
      </c>
      <c r="D91" s="41"/>
      <c r="E91" s="41"/>
      <c r="F91" s="51"/>
      <c r="G91" s="51"/>
      <c r="H91" s="40" t="s">
        <v>151</v>
      </c>
      <c r="J91" s="30"/>
    </row>
    <row r="92" spans="1:10" x14ac:dyDescent="0.2">
      <c r="A92" s="43">
        <v>1</v>
      </c>
      <c r="B92" s="44"/>
      <c r="C92" s="44" t="s">
        <v>169</v>
      </c>
      <c r="D92" s="44"/>
      <c r="E92" s="54"/>
      <c r="F92" s="46">
        <v>48366.439371947003</v>
      </c>
      <c r="G92" s="47">
        <v>0.36337167999999997</v>
      </c>
      <c r="H92" s="40">
        <v>6.39</v>
      </c>
      <c r="J92" s="30"/>
    </row>
    <row r="93" spans="1:10" x14ac:dyDescent="0.2">
      <c r="A93" s="41"/>
      <c r="B93" s="41"/>
      <c r="C93" s="42" t="s">
        <v>150</v>
      </c>
      <c r="D93" s="41"/>
      <c r="E93" s="41" t="s">
        <v>151</v>
      </c>
      <c r="F93" s="48">
        <v>48366.439371947003</v>
      </c>
      <c r="G93" s="49">
        <v>0.36337167999999997</v>
      </c>
      <c r="H93" s="40" t="s">
        <v>151</v>
      </c>
      <c r="J93" s="30"/>
    </row>
    <row r="94" spans="1:10" x14ac:dyDescent="0.2">
      <c r="A94" s="41"/>
      <c r="B94" s="41"/>
      <c r="C94" s="50"/>
      <c r="D94" s="41"/>
      <c r="E94" s="41"/>
      <c r="F94" s="51"/>
      <c r="G94" s="51"/>
      <c r="H94" s="40" t="s">
        <v>151</v>
      </c>
      <c r="J94" s="30"/>
    </row>
    <row r="95" spans="1:10" x14ac:dyDescent="0.2">
      <c r="A95" s="41"/>
      <c r="B95" s="41"/>
      <c r="C95" s="42" t="s">
        <v>170</v>
      </c>
      <c r="D95" s="41"/>
      <c r="E95" s="41"/>
      <c r="F95" s="48">
        <v>48366.439371947003</v>
      </c>
      <c r="G95" s="49">
        <v>0.36337167999999997</v>
      </c>
      <c r="H95" s="40" t="s">
        <v>151</v>
      </c>
      <c r="J95" s="30"/>
    </row>
    <row r="96" spans="1:10" x14ac:dyDescent="0.2">
      <c r="A96" s="41"/>
      <c r="B96" s="41"/>
      <c r="C96" s="51"/>
      <c r="D96" s="41"/>
      <c r="E96" s="41"/>
      <c r="F96" s="41"/>
      <c r="G96" s="41"/>
      <c r="H96" s="40" t="s">
        <v>151</v>
      </c>
      <c r="J96" s="30"/>
    </row>
    <row r="97" spans="1:10" x14ac:dyDescent="0.2">
      <c r="A97" s="41"/>
      <c r="B97" s="41"/>
      <c r="C97" s="42" t="s">
        <v>171</v>
      </c>
      <c r="D97" s="41"/>
      <c r="E97" s="41"/>
      <c r="F97" s="41"/>
      <c r="G97" s="41"/>
      <c r="H97" s="40" t="s">
        <v>151</v>
      </c>
      <c r="J97" s="30"/>
    </row>
    <row r="98" spans="1:10" x14ac:dyDescent="0.2">
      <c r="A98" s="41"/>
      <c r="B98" s="41"/>
      <c r="C98" s="42" t="s">
        <v>172</v>
      </c>
      <c r="D98" s="41"/>
      <c r="E98" s="41"/>
      <c r="F98" s="41"/>
      <c r="G98" s="41"/>
      <c r="H98" s="40" t="s">
        <v>151</v>
      </c>
      <c r="J98" s="30"/>
    </row>
    <row r="99" spans="1:10" x14ac:dyDescent="0.2">
      <c r="A99" s="41"/>
      <c r="B99" s="41"/>
      <c r="C99" s="42" t="s">
        <v>150</v>
      </c>
      <c r="D99" s="41"/>
      <c r="E99" s="41" t="s">
        <v>151</v>
      </c>
      <c r="F99" s="52" t="s">
        <v>153</v>
      </c>
      <c r="G99" s="49">
        <v>0</v>
      </c>
      <c r="H99" s="40" t="s">
        <v>151</v>
      </c>
      <c r="J99" s="30"/>
    </row>
    <row r="100" spans="1:10" x14ac:dyDescent="0.2">
      <c r="A100" s="41"/>
      <c r="B100" s="41"/>
      <c r="C100" s="50"/>
      <c r="D100" s="41"/>
      <c r="E100" s="41"/>
      <c r="F100" s="51"/>
      <c r="G100" s="51"/>
      <c r="H100" s="40" t="s">
        <v>151</v>
      </c>
      <c r="J100" s="30"/>
    </row>
    <row r="101" spans="1:10" x14ac:dyDescent="0.2">
      <c r="A101" s="41"/>
      <c r="B101" s="41"/>
      <c r="C101" s="42" t="s">
        <v>173</v>
      </c>
      <c r="D101" s="41"/>
      <c r="E101" s="41"/>
      <c r="F101" s="41"/>
      <c r="G101" s="41"/>
      <c r="H101" s="40" t="s">
        <v>151</v>
      </c>
      <c r="J101" s="30"/>
    </row>
    <row r="102" spans="1:10" x14ac:dyDescent="0.2">
      <c r="A102" s="41"/>
      <c r="B102" s="41"/>
      <c r="C102" s="42" t="s">
        <v>174</v>
      </c>
      <c r="D102" s="41"/>
      <c r="E102" s="41"/>
      <c r="F102" s="41"/>
      <c r="G102" s="41"/>
      <c r="H102" s="40" t="s">
        <v>151</v>
      </c>
      <c r="J102" s="30"/>
    </row>
    <row r="103" spans="1:10" x14ac:dyDescent="0.2">
      <c r="A103" s="41"/>
      <c r="B103" s="41"/>
      <c r="C103" s="42" t="s">
        <v>150</v>
      </c>
      <c r="D103" s="41"/>
      <c r="E103" s="41" t="s">
        <v>151</v>
      </c>
      <c r="F103" s="52" t="s">
        <v>153</v>
      </c>
      <c r="G103" s="49">
        <v>0</v>
      </c>
      <c r="H103" s="40" t="s">
        <v>151</v>
      </c>
      <c r="J103" s="30"/>
    </row>
    <row r="104" spans="1:10" x14ac:dyDescent="0.2">
      <c r="A104" s="41"/>
      <c r="B104" s="41"/>
      <c r="C104" s="50"/>
      <c r="D104" s="41"/>
      <c r="E104" s="41"/>
      <c r="F104" s="51"/>
      <c r="G104" s="51"/>
      <c r="H104" s="40" t="s">
        <v>151</v>
      </c>
      <c r="J104" s="30"/>
    </row>
    <row r="105" spans="1:10" x14ac:dyDescent="0.2">
      <c r="A105" s="41"/>
      <c r="B105" s="41"/>
      <c r="C105" s="42" t="s">
        <v>175</v>
      </c>
      <c r="D105" s="41"/>
      <c r="E105" s="41"/>
      <c r="F105" s="51"/>
      <c r="G105" s="51"/>
      <c r="H105" s="40" t="s">
        <v>151</v>
      </c>
      <c r="J105" s="30"/>
    </row>
    <row r="106" spans="1:10" x14ac:dyDescent="0.2">
      <c r="A106" s="41"/>
      <c r="B106" s="41"/>
      <c r="C106" s="42" t="s">
        <v>150</v>
      </c>
      <c r="D106" s="41"/>
      <c r="E106" s="41" t="s">
        <v>151</v>
      </c>
      <c r="F106" s="52" t="s">
        <v>153</v>
      </c>
      <c r="G106" s="49">
        <v>0</v>
      </c>
      <c r="H106" s="40" t="s">
        <v>151</v>
      </c>
      <c r="J106" s="30"/>
    </row>
    <row r="107" spans="1:10" x14ac:dyDescent="0.2">
      <c r="A107" s="41"/>
      <c r="B107" s="41"/>
      <c r="C107" s="50"/>
      <c r="D107" s="41"/>
      <c r="E107" s="41"/>
      <c r="F107" s="51"/>
      <c r="G107" s="51"/>
      <c r="H107" s="40" t="s">
        <v>151</v>
      </c>
      <c r="J107" s="30"/>
    </row>
    <row r="108" spans="1:10" x14ac:dyDescent="0.2">
      <c r="A108" s="54"/>
      <c r="B108" s="44"/>
      <c r="C108" s="44" t="s">
        <v>176</v>
      </c>
      <c r="D108" s="44"/>
      <c r="E108" s="54"/>
      <c r="F108" s="46">
        <v>-3212.4696941399998</v>
      </c>
      <c r="G108" s="47">
        <v>-2.4134929999999999E-2</v>
      </c>
      <c r="H108" s="40" t="s">
        <v>151</v>
      </c>
      <c r="J108" s="30"/>
    </row>
    <row r="109" spans="1:10" x14ac:dyDescent="0.2">
      <c r="A109" s="50"/>
      <c r="B109" s="50"/>
      <c r="C109" s="42" t="s">
        <v>177</v>
      </c>
      <c r="D109" s="51"/>
      <c r="E109" s="51"/>
      <c r="F109" s="48">
        <v>133104.59178100701</v>
      </c>
      <c r="G109" s="55">
        <v>1.0000000099999999</v>
      </c>
      <c r="H109" s="40" t="s">
        <v>151</v>
      </c>
      <c r="J109" s="30"/>
    </row>
    <row r="110" spans="1:10" x14ac:dyDescent="0.2">
      <c r="A110" s="56"/>
      <c r="B110" s="56"/>
      <c r="C110" s="56"/>
      <c r="D110" s="57"/>
      <c r="E110" s="57"/>
      <c r="F110" s="57"/>
      <c r="G110" s="57"/>
      <c r="J110" s="30"/>
    </row>
    <row r="111" spans="1:10" ht="12.75" customHeight="1" x14ac:dyDescent="0.2">
      <c r="A111" s="58"/>
      <c r="B111" s="159" t="s">
        <v>923</v>
      </c>
      <c r="C111" s="159"/>
      <c r="D111" s="159"/>
      <c r="E111" s="159"/>
      <c r="F111" s="159"/>
      <c r="G111" s="159"/>
      <c r="H111" s="159"/>
      <c r="J111" s="30"/>
    </row>
    <row r="112" spans="1:10" ht="14.1" customHeight="1" x14ac:dyDescent="0.2">
      <c r="A112" s="58"/>
      <c r="B112" s="159" t="s">
        <v>924</v>
      </c>
      <c r="C112" s="159"/>
      <c r="D112" s="159"/>
      <c r="E112" s="159"/>
      <c r="F112" s="159"/>
      <c r="G112" s="159"/>
      <c r="H112" s="159"/>
      <c r="J112" s="30"/>
    </row>
    <row r="113" spans="1:17" ht="17.100000000000001" customHeight="1" x14ac:dyDescent="0.2">
      <c r="A113" s="58"/>
      <c r="B113" s="159" t="s">
        <v>925</v>
      </c>
      <c r="C113" s="159"/>
      <c r="D113" s="159"/>
      <c r="E113" s="159"/>
      <c r="F113" s="159"/>
      <c r="G113" s="159"/>
      <c r="H113" s="159"/>
      <c r="J113" s="30"/>
    </row>
    <row r="114" spans="1:17" s="8" customFormat="1" ht="65.25" customHeight="1" x14ac:dyDescent="0.25">
      <c r="A114" s="60"/>
      <c r="B114" s="160" t="s">
        <v>926</v>
      </c>
      <c r="C114" s="160"/>
      <c r="D114" s="160"/>
      <c r="E114" s="160"/>
      <c r="F114" s="160"/>
      <c r="G114" s="160"/>
      <c r="H114" s="160"/>
      <c r="I114"/>
      <c r="J114" s="30"/>
      <c r="K114"/>
      <c r="L114"/>
      <c r="M114"/>
      <c r="N114"/>
      <c r="O114"/>
      <c r="P114"/>
      <c r="Q114"/>
    </row>
    <row r="115" spans="1:17" ht="12.75" customHeight="1" x14ac:dyDescent="0.2">
      <c r="A115" s="58"/>
      <c r="B115" s="159" t="s">
        <v>927</v>
      </c>
      <c r="C115" s="159"/>
      <c r="D115" s="159"/>
      <c r="E115" s="159"/>
      <c r="F115" s="159"/>
      <c r="G115" s="159"/>
      <c r="H115" s="159"/>
      <c r="J115" s="30"/>
    </row>
    <row r="116" spans="1:17" x14ac:dyDescent="0.2">
      <c r="A116" s="61"/>
      <c r="B116" s="61"/>
      <c r="C116" s="61"/>
      <c r="D116" s="62"/>
      <c r="E116" s="62"/>
      <c r="F116" s="62"/>
      <c r="G116" s="62"/>
      <c r="J116" s="30"/>
    </row>
    <row r="117" spans="1:17" x14ac:dyDescent="0.2">
      <c r="A117" s="61"/>
      <c r="B117" s="161" t="s">
        <v>178</v>
      </c>
      <c r="C117" s="162"/>
      <c r="D117" s="163"/>
      <c r="E117" s="63"/>
      <c r="F117" s="62"/>
      <c r="G117" s="62"/>
      <c r="J117" s="30"/>
    </row>
    <row r="118" spans="1:17" x14ac:dyDescent="0.2">
      <c r="A118" s="61"/>
      <c r="B118" s="156" t="s">
        <v>179</v>
      </c>
      <c r="C118" s="157"/>
      <c r="D118" s="42" t="s">
        <v>180</v>
      </c>
      <c r="E118" s="63"/>
      <c r="F118" s="62"/>
      <c r="G118" s="62"/>
      <c r="J118" s="30"/>
    </row>
    <row r="119" spans="1:17" x14ac:dyDescent="0.2">
      <c r="A119" s="61"/>
      <c r="B119" s="156" t="s">
        <v>181</v>
      </c>
      <c r="C119" s="157"/>
      <c r="D119" s="42" t="s">
        <v>180</v>
      </c>
      <c r="E119" s="63"/>
      <c r="F119" s="62"/>
      <c r="G119" s="62"/>
      <c r="J119" s="30"/>
    </row>
    <row r="120" spans="1:17" x14ac:dyDescent="0.2">
      <c r="A120" s="61"/>
      <c r="B120" s="156" t="s">
        <v>182</v>
      </c>
      <c r="C120" s="157"/>
      <c r="D120" s="51" t="s">
        <v>151</v>
      </c>
      <c r="E120" s="63"/>
      <c r="F120" s="62"/>
      <c r="G120" s="62"/>
      <c r="J120" s="30"/>
    </row>
    <row r="121" spans="1:17" x14ac:dyDescent="0.2">
      <c r="A121" s="67"/>
      <c r="B121" s="68" t="s">
        <v>151</v>
      </c>
      <c r="C121" s="68" t="s">
        <v>937</v>
      </c>
      <c r="D121" s="68" t="s">
        <v>183</v>
      </c>
      <c r="E121" s="67"/>
      <c r="F121" s="67"/>
      <c r="G121" s="67"/>
      <c r="H121" s="67"/>
      <c r="J121" s="30"/>
    </row>
    <row r="122" spans="1:17" x14ac:dyDescent="0.2">
      <c r="A122" s="69"/>
      <c r="B122" s="70" t="s">
        <v>184</v>
      </c>
      <c r="C122" s="80" t="s">
        <v>185</v>
      </c>
      <c r="D122" s="80" t="s">
        <v>186</v>
      </c>
      <c r="E122" s="69"/>
      <c r="F122" s="69"/>
      <c r="G122" s="69"/>
      <c r="J122" s="30"/>
    </row>
    <row r="123" spans="1:17" x14ac:dyDescent="0.2">
      <c r="A123" s="69"/>
      <c r="B123" s="44" t="s">
        <v>187</v>
      </c>
      <c r="C123" s="72">
        <v>10.0145</v>
      </c>
      <c r="D123" s="72">
        <v>10.3216</v>
      </c>
      <c r="E123" s="69"/>
      <c r="F123" s="73"/>
      <c r="G123" s="74"/>
      <c r="J123" s="30"/>
    </row>
    <row r="124" spans="1:17" x14ac:dyDescent="0.2">
      <c r="A124" s="69"/>
      <c r="B124" s="44" t="s">
        <v>1094</v>
      </c>
      <c r="C124" s="72">
        <v>10.0145</v>
      </c>
      <c r="D124" s="72">
        <v>10.3216</v>
      </c>
      <c r="E124" s="69"/>
      <c r="F124" s="73"/>
      <c r="G124" s="74"/>
      <c r="J124" s="30"/>
    </row>
    <row r="125" spans="1:17" x14ac:dyDescent="0.2">
      <c r="A125" s="69"/>
      <c r="B125" s="44" t="s">
        <v>188</v>
      </c>
      <c r="C125" s="72">
        <v>10.011799999999999</v>
      </c>
      <c r="D125" s="72">
        <v>10.3042</v>
      </c>
      <c r="E125" s="69"/>
      <c r="F125" s="73"/>
      <c r="G125" s="74"/>
      <c r="J125" s="30"/>
    </row>
    <row r="126" spans="1:17" x14ac:dyDescent="0.2">
      <c r="A126" s="69"/>
      <c r="B126" s="44" t="s">
        <v>1095</v>
      </c>
      <c r="C126" s="72">
        <v>10.011799999999999</v>
      </c>
      <c r="D126" s="72">
        <v>10.3042</v>
      </c>
      <c r="E126" s="69"/>
      <c r="F126" s="73"/>
      <c r="G126" s="74"/>
      <c r="J126" s="30"/>
    </row>
    <row r="127" spans="1:17" x14ac:dyDescent="0.2">
      <c r="A127" s="69"/>
      <c r="B127" s="69"/>
      <c r="C127" s="69"/>
      <c r="D127" s="69"/>
      <c r="E127" s="69"/>
      <c r="F127" s="69"/>
      <c r="G127" s="69"/>
      <c r="J127" s="7"/>
    </row>
    <row r="128" spans="1:17" x14ac:dyDescent="0.2">
      <c r="A128" s="67"/>
      <c r="B128" s="164" t="s">
        <v>940</v>
      </c>
      <c r="C128" s="165"/>
      <c r="D128" s="64" t="s">
        <v>180</v>
      </c>
      <c r="E128" s="67"/>
      <c r="F128" s="67"/>
      <c r="G128" s="67"/>
      <c r="J128" s="7"/>
    </row>
    <row r="129" spans="1:10" x14ac:dyDescent="0.2">
      <c r="A129" s="67"/>
      <c r="B129" s="59"/>
      <c r="C129" s="59"/>
      <c r="D129" s="67"/>
      <c r="E129" s="67"/>
      <c r="F129" s="67"/>
      <c r="G129" s="67"/>
      <c r="J129" s="7"/>
    </row>
    <row r="130" spans="1:10" ht="12.75" customHeight="1" x14ac:dyDescent="0.2">
      <c r="A130" s="67"/>
      <c r="B130" s="164" t="s">
        <v>189</v>
      </c>
      <c r="C130" s="165"/>
      <c r="D130" s="64" t="s">
        <v>180</v>
      </c>
      <c r="E130" s="75"/>
      <c r="F130" s="67"/>
      <c r="G130" s="67"/>
      <c r="J130" s="7"/>
    </row>
    <row r="131" spans="1:10" ht="27" customHeight="1" x14ac:dyDescent="0.2">
      <c r="A131" s="67"/>
      <c r="B131" s="164" t="s">
        <v>190</v>
      </c>
      <c r="C131" s="165"/>
      <c r="D131" s="64" t="s">
        <v>180</v>
      </c>
      <c r="E131" s="75"/>
      <c r="F131" s="67"/>
      <c r="G131" s="67"/>
      <c r="J131" s="7"/>
    </row>
    <row r="132" spans="1:10" ht="12.75" customHeight="1" x14ac:dyDescent="0.2">
      <c r="A132" s="67"/>
      <c r="B132" s="164" t="s">
        <v>191</v>
      </c>
      <c r="C132" s="165"/>
      <c r="D132" s="64" t="s">
        <v>180</v>
      </c>
      <c r="E132" s="75"/>
      <c r="F132" s="67"/>
      <c r="G132" s="67"/>
      <c r="J132" s="30"/>
    </row>
    <row r="133" spans="1:10" x14ac:dyDescent="0.2">
      <c r="A133" s="67"/>
      <c r="B133" s="164" t="s">
        <v>192</v>
      </c>
      <c r="C133" s="165"/>
      <c r="D133" s="76">
        <v>5.1547584240264777E-3</v>
      </c>
      <c r="E133" s="67"/>
      <c r="F133" s="59"/>
      <c r="G133" s="77"/>
      <c r="J133" s="30"/>
    </row>
    <row r="134" spans="1:10" x14ac:dyDescent="0.2">
      <c r="J134" s="30"/>
    </row>
    <row r="135" spans="1:10" x14ac:dyDescent="0.2">
      <c r="J135" s="30"/>
    </row>
    <row r="136" spans="1:10" x14ac:dyDescent="0.2">
      <c r="J136" s="30"/>
    </row>
    <row r="137" spans="1:10" x14ac:dyDescent="0.2">
      <c r="J137" s="30"/>
    </row>
    <row r="138" spans="1:10" x14ac:dyDescent="0.2">
      <c r="J138" s="30"/>
    </row>
    <row r="139" spans="1:10" x14ac:dyDescent="0.2">
      <c r="J139" s="30"/>
    </row>
    <row r="140" spans="1:10" x14ac:dyDescent="0.2">
      <c r="J140" s="30"/>
    </row>
    <row r="141" spans="1:10" x14ac:dyDescent="0.2">
      <c r="J141" s="30"/>
    </row>
    <row r="142" spans="1:10" x14ac:dyDescent="0.2">
      <c r="J142" s="30"/>
    </row>
    <row r="143" spans="1:10" x14ac:dyDescent="0.2">
      <c r="J143" s="30"/>
    </row>
    <row r="144" spans="1:10" x14ac:dyDescent="0.2">
      <c r="J144" s="30"/>
    </row>
    <row r="145" spans="10:10" x14ac:dyDescent="0.2">
      <c r="J145" s="30"/>
    </row>
    <row r="146" spans="10:10" x14ac:dyDescent="0.2">
      <c r="J146" s="30"/>
    </row>
    <row r="147" spans="10:10" x14ac:dyDescent="0.2">
      <c r="J147" s="30"/>
    </row>
    <row r="148" spans="10:10" x14ac:dyDescent="0.2">
      <c r="J148" s="30"/>
    </row>
    <row r="149" spans="10:10" x14ac:dyDescent="0.2">
      <c r="J149" s="30"/>
    </row>
  </sheetData>
  <mergeCells count="17">
    <mergeCell ref="B119:C119"/>
    <mergeCell ref="B120:C120"/>
    <mergeCell ref="B128:C128"/>
    <mergeCell ref="B132:C132"/>
    <mergeCell ref="B133:C133"/>
    <mergeCell ref="B130:C130"/>
    <mergeCell ref="B131:C131"/>
    <mergeCell ref="B118:C118"/>
    <mergeCell ref="A1:H1"/>
    <mergeCell ref="A2:H2"/>
    <mergeCell ref="A3:H3"/>
    <mergeCell ref="B111:H111"/>
    <mergeCell ref="B112:H112"/>
    <mergeCell ref="B113:H113"/>
    <mergeCell ref="B114:H114"/>
    <mergeCell ref="B115:H115"/>
    <mergeCell ref="B117:D117"/>
  </mergeCells>
  <hyperlinks>
    <hyperlink ref="I1" location="Index!B28" display="Index" xr:uid="{ECF3A3DB-2CDB-4722-9F4F-0EA07D35EF7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4F7E4-B1EE-447B-AA8F-BA39E18BC9C7}">
  <sheetPr>
    <outlinePr summaryBelow="0" summaryRight="0"/>
  </sheetPr>
  <dimension ref="A1:Q157"/>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7.42578125" bestFit="1" customWidth="1"/>
    <col min="5" max="5" width="8.7109375" bestFit="1" customWidth="1"/>
    <col min="6" max="6" width="10.140625" bestFit="1" customWidth="1"/>
    <col min="7" max="7" width="9.7109375" customWidth="1"/>
    <col min="8" max="8" width="8.42578125" bestFit="1" customWidth="1"/>
    <col min="10" max="10" width="50.7109375" customWidth="1"/>
  </cols>
  <sheetData>
    <row r="1" spans="1:10" ht="15" x14ac:dyDescent="0.2">
      <c r="A1" s="158" t="s">
        <v>0</v>
      </c>
      <c r="B1" s="158"/>
      <c r="C1" s="158"/>
      <c r="D1" s="158"/>
      <c r="E1" s="158"/>
      <c r="F1" s="158"/>
      <c r="G1" s="158"/>
      <c r="H1" s="158"/>
      <c r="I1" s="13" t="s">
        <v>941</v>
      </c>
      <c r="J1" s="30"/>
    </row>
    <row r="2" spans="1:10" ht="15" x14ac:dyDescent="0.2">
      <c r="A2" s="158" t="s">
        <v>861</v>
      </c>
      <c r="B2" s="158"/>
      <c r="C2" s="158"/>
      <c r="D2" s="158"/>
      <c r="E2" s="158"/>
      <c r="F2" s="158"/>
      <c r="G2" s="158"/>
      <c r="H2" s="158"/>
      <c r="J2" s="11" t="s">
        <v>942</v>
      </c>
    </row>
    <row r="3" spans="1:10" ht="15" x14ac:dyDescent="0.2">
      <c r="A3" s="158" t="s">
        <v>880</v>
      </c>
      <c r="B3" s="158"/>
      <c r="C3" s="158"/>
      <c r="D3" s="158"/>
      <c r="E3" s="158"/>
      <c r="F3" s="158"/>
      <c r="G3" s="158"/>
      <c r="H3" s="158"/>
      <c r="J3" s="30"/>
    </row>
    <row r="4" spans="1:10" s="1" customFormat="1" ht="30" x14ac:dyDescent="0.2">
      <c r="A4" s="36" t="s">
        <v>2</v>
      </c>
      <c r="B4" s="36" t="s">
        <v>3</v>
      </c>
      <c r="C4" s="36" t="s">
        <v>4</v>
      </c>
      <c r="D4" s="36" t="s">
        <v>5</v>
      </c>
      <c r="E4" s="36" t="s">
        <v>6</v>
      </c>
      <c r="F4" s="36" t="s">
        <v>7</v>
      </c>
      <c r="G4" s="36" t="s">
        <v>8</v>
      </c>
      <c r="H4" s="37" t="s">
        <v>921</v>
      </c>
      <c r="J4" s="31"/>
    </row>
    <row r="5" spans="1:10" x14ac:dyDescent="0.2">
      <c r="A5" s="41"/>
      <c r="B5" s="41"/>
      <c r="C5" s="42" t="s">
        <v>9</v>
      </c>
      <c r="D5" s="41"/>
      <c r="E5" s="41"/>
      <c r="F5" s="41"/>
      <c r="G5" s="41"/>
      <c r="H5" s="40" t="s">
        <v>151</v>
      </c>
      <c r="J5" s="30"/>
    </row>
    <row r="6" spans="1:10" x14ac:dyDescent="0.2">
      <c r="A6" s="41"/>
      <c r="B6" s="41"/>
      <c r="C6" s="42" t="s">
        <v>10</v>
      </c>
      <c r="D6" s="41"/>
      <c r="E6" s="41"/>
      <c r="F6" s="41"/>
      <c r="G6" s="41"/>
      <c r="H6" s="40" t="s">
        <v>151</v>
      </c>
      <c r="J6" s="30"/>
    </row>
    <row r="7" spans="1:10" x14ac:dyDescent="0.2">
      <c r="A7" s="43">
        <v>1</v>
      </c>
      <c r="B7" s="44" t="s">
        <v>341</v>
      </c>
      <c r="C7" s="44" t="s">
        <v>342</v>
      </c>
      <c r="D7" s="44" t="s">
        <v>45</v>
      </c>
      <c r="E7" s="45">
        <v>1055765</v>
      </c>
      <c r="F7" s="46">
        <v>17058.5229875</v>
      </c>
      <c r="G7" s="47">
        <v>7.8025579999999997E-2</v>
      </c>
      <c r="H7" s="40" t="s">
        <v>151</v>
      </c>
      <c r="J7" s="30"/>
    </row>
    <row r="8" spans="1:10" x14ac:dyDescent="0.2">
      <c r="A8" s="43">
        <v>2</v>
      </c>
      <c r="B8" s="44" t="s">
        <v>20</v>
      </c>
      <c r="C8" s="44" t="s">
        <v>21</v>
      </c>
      <c r="D8" s="44" t="s">
        <v>22</v>
      </c>
      <c r="E8" s="45">
        <v>455000</v>
      </c>
      <c r="F8" s="46">
        <v>13699.3675</v>
      </c>
      <c r="G8" s="47">
        <v>6.2660820000000006E-2</v>
      </c>
      <c r="H8" s="40" t="s">
        <v>151</v>
      </c>
      <c r="J8" s="30"/>
    </row>
    <row r="9" spans="1:10" x14ac:dyDescent="0.2">
      <c r="A9" s="43">
        <v>3</v>
      </c>
      <c r="B9" s="44" t="s">
        <v>43</v>
      </c>
      <c r="C9" s="44" t="s">
        <v>44</v>
      </c>
      <c r="D9" s="44" t="s">
        <v>45</v>
      </c>
      <c r="E9" s="45">
        <v>980000</v>
      </c>
      <c r="F9" s="46">
        <v>11906.02</v>
      </c>
      <c r="G9" s="47">
        <v>5.4458060000000003E-2</v>
      </c>
      <c r="H9" s="40" t="s">
        <v>151</v>
      </c>
      <c r="J9" s="30"/>
    </row>
    <row r="10" spans="1:10" x14ac:dyDescent="0.2">
      <c r="A10" s="43">
        <v>4</v>
      </c>
      <c r="B10" s="44" t="s">
        <v>343</v>
      </c>
      <c r="C10" s="44" t="s">
        <v>344</v>
      </c>
      <c r="D10" s="44" t="s">
        <v>219</v>
      </c>
      <c r="E10" s="45">
        <v>574000</v>
      </c>
      <c r="F10" s="46">
        <v>10723.754999999999</v>
      </c>
      <c r="G10" s="47">
        <v>4.9050389999999999E-2</v>
      </c>
      <c r="H10" s="40" t="s">
        <v>151</v>
      </c>
      <c r="J10" s="30"/>
    </row>
    <row r="11" spans="1:10" x14ac:dyDescent="0.2">
      <c r="A11" s="43">
        <v>5</v>
      </c>
      <c r="B11" s="44" t="s">
        <v>11</v>
      </c>
      <c r="C11" s="44" t="s">
        <v>12</v>
      </c>
      <c r="D11" s="44" t="s">
        <v>13</v>
      </c>
      <c r="E11" s="45">
        <v>202401</v>
      </c>
      <c r="F11" s="46">
        <v>7721.5981499999998</v>
      </c>
      <c r="G11" s="47">
        <v>3.5318540000000002E-2</v>
      </c>
      <c r="H11" s="40" t="s">
        <v>151</v>
      </c>
      <c r="J11" s="30"/>
    </row>
    <row r="12" spans="1:10" ht="15" x14ac:dyDescent="0.2">
      <c r="A12" s="43">
        <v>6</v>
      </c>
      <c r="B12" s="44" t="s">
        <v>17</v>
      </c>
      <c r="C12" s="44" t="s">
        <v>18</v>
      </c>
      <c r="D12" s="44" t="s">
        <v>19</v>
      </c>
      <c r="E12" s="45">
        <v>427000</v>
      </c>
      <c r="F12" s="46">
        <v>6368.9184999999998</v>
      </c>
      <c r="G12" s="47">
        <v>2.913139E-2</v>
      </c>
      <c r="H12" s="40" t="s">
        <v>151</v>
      </c>
      <c r="J12" s="12"/>
    </row>
    <row r="13" spans="1:10" x14ac:dyDescent="0.2">
      <c r="A13" s="43">
        <v>7</v>
      </c>
      <c r="B13" s="44" t="s">
        <v>51</v>
      </c>
      <c r="C13" s="44" t="s">
        <v>52</v>
      </c>
      <c r="D13" s="44" t="s">
        <v>45</v>
      </c>
      <c r="E13" s="45">
        <v>716000</v>
      </c>
      <c r="F13" s="46">
        <v>6246.384</v>
      </c>
      <c r="G13" s="47">
        <v>2.857092E-2</v>
      </c>
      <c r="H13" s="40" t="s">
        <v>151</v>
      </c>
      <c r="J13" s="34"/>
    </row>
    <row r="14" spans="1:10" x14ac:dyDescent="0.2">
      <c r="A14" s="43">
        <v>8</v>
      </c>
      <c r="B14" s="44" t="s">
        <v>101</v>
      </c>
      <c r="C14" s="44" t="s">
        <v>102</v>
      </c>
      <c r="D14" s="44" t="s">
        <v>76</v>
      </c>
      <c r="E14" s="45">
        <v>127000</v>
      </c>
      <c r="F14" s="46">
        <v>5679.6940000000004</v>
      </c>
      <c r="G14" s="47">
        <v>2.5978890000000001E-2</v>
      </c>
      <c r="H14" s="40" t="s">
        <v>151</v>
      </c>
      <c r="J14" s="34"/>
    </row>
    <row r="15" spans="1:10" x14ac:dyDescent="0.2">
      <c r="A15" s="43">
        <v>9</v>
      </c>
      <c r="B15" s="44" t="s">
        <v>364</v>
      </c>
      <c r="C15" s="44" t="s">
        <v>365</v>
      </c>
      <c r="D15" s="44" t="s">
        <v>366</v>
      </c>
      <c r="E15" s="45">
        <v>1100000</v>
      </c>
      <c r="F15" s="46">
        <v>5448.85</v>
      </c>
      <c r="G15" s="47">
        <v>2.4923009999999999E-2</v>
      </c>
      <c r="H15" s="40" t="s">
        <v>151</v>
      </c>
      <c r="J15" s="34" t="s">
        <v>1063</v>
      </c>
    </row>
    <row r="16" spans="1:10" x14ac:dyDescent="0.2">
      <c r="A16" s="43">
        <v>10</v>
      </c>
      <c r="B16" s="44" t="s">
        <v>124</v>
      </c>
      <c r="C16" s="44" t="s">
        <v>125</v>
      </c>
      <c r="D16" s="44" t="s">
        <v>50</v>
      </c>
      <c r="E16" s="45">
        <v>907000</v>
      </c>
      <c r="F16" s="46">
        <v>5393.0219999999999</v>
      </c>
      <c r="G16" s="47">
        <v>2.4667649999999999E-2</v>
      </c>
      <c r="H16" s="40" t="s">
        <v>151</v>
      </c>
      <c r="J16" s="30"/>
    </row>
    <row r="17" spans="1:10" ht="25.5" x14ac:dyDescent="0.2">
      <c r="A17" s="43">
        <v>11</v>
      </c>
      <c r="B17" s="44" t="s">
        <v>353</v>
      </c>
      <c r="C17" s="44" t="s">
        <v>354</v>
      </c>
      <c r="D17" s="44" t="s">
        <v>210</v>
      </c>
      <c r="E17" s="45">
        <v>305000</v>
      </c>
      <c r="F17" s="46">
        <v>5244.0174999999999</v>
      </c>
      <c r="G17" s="47">
        <v>2.39861E-2</v>
      </c>
      <c r="H17" s="40" t="s">
        <v>151</v>
      </c>
      <c r="J17" s="30"/>
    </row>
    <row r="18" spans="1:10" x14ac:dyDescent="0.2">
      <c r="A18" s="43">
        <v>12</v>
      </c>
      <c r="B18" s="44" t="s">
        <v>349</v>
      </c>
      <c r="C18" s="44" t="s">
        <v>350</v>
      </c>
      <c r="D18" s="44" t="s">
        <v>219</v>
      </c>
      <c r="E18" s="45">
        <v>117702</v>
      </c>
      <c r="F18" s="46">
        <v>5161.6446569999998</v>
      </c>
      <c r="G18" s="47">
        <v>2.3609330000000001E-2</v>
      </c>
      <c r="H18" s="40" t="s">
        <v>151</v>
      </c>
      <c r="J18" s="30"/>
    </row>
    <row r="19" spans="1:10" ht="25.5" x14ac:dyDescent="0.2">
      <c r="A19" s="43">
        <v>13</v>
      </c>
      <c r="B19" s="44" t="s">
        <v>23</v>
      </c>
      <c r="C19" s="44" t="s">
        <v>24</v>
      </c>
      <c r="D19" s="44" t="s">
        <v>25</v>
      </c>
      <c r="E19" s="45">
        <v>42000</v>
      </c>
      <c r="F19" s="46">
        <v>4992.6239999999998</v>
      </c>
      <c r="G19" s="47">
        <v>2.2836229999999999E-2</v>
      </c>
      <c r="H19" s="40" t="s">
        <v>151</v>
      </c>
      <c r="J19" s="30"/>
    </row>
    <row r="20" spans="1:10" x14ac:dyDescent="0.2">
      <c r="A20" s="43">
        <v>14</v>
      </c>
      <c r="B20" s="44" t="s">
        <v>560</v>
      </c>
      <c r="C20" s="44" t="s">
        <v>561</v>
      </c>
      <c r="D20" s="44" t="s">
        <v>282</v>
      </c>
      <c r="E20" s="45">
        <v>36500</v>
      </c>
      <c r="F20" s="46">
        <v>4787.2669999999998</v>
      </c>
      <c r="G20" s="47">
        <v>2.1896929999999998E-2</v>
      </c>
      <c r="H20" s="40" t="s">
        <v>151</v>
      </c>
      <c r="J20" s="30"/>
    </row>
    <row r="21" spans="1:10" x14ac:dyDescent="0.2">
      <c r="A21" s="43">
        <v>15</v>
      </c>
      <c r="B21" s="44" t="s">
        <v>347</v>
      </c>
      <c r="C21" s="44" t="s">
        <v>348</v>
      </c>
      <c r="D21" s="44" t="s">
        <v>45</v>
      </c>
      <c r="E21" s="45">
        <v>401535</v>
      </c>
      <c r="F21" s="46">
        <v>4682.2996350000003</v>
      </c>
      <c r="G21" s="47">
        <v>2.1416810000000001E-2</v>
      </c>
      <c r="H21" s="40" t="s">
        <v>151</v>
      </c>
      <c r="J21" s="30"/>
    </row>
    <row r="22" spans="1:10" ht="15" x14ac:dyDescent="0.2">
      <c r="A22" s="43">
        <v>16</v>
      </c>
      <c r="B22" s="44" t="s">
        <v>685</v>
      </c>
      <c r="C22" s="44" t="s">
        <v>686</v>
      </c>
      <c r="D22" s="44" t="s">
        <v>86</v>
      </c>
      <c r="E22" s="45">
        <v>65000</v>
      </c>
      <c r="F22" s="46">
        <v>4424.5174999999999</v>
      </c>
      <c r="G22" s="47">
        <v>2.0237720000000001E-2</v>
      </c>
      <c r="H22" s="40" t="s">
        <v>151</v>
      </c>
      <c r="J22" s="12"/>
    </row>
    <row r="23" spans="1:10" ht="25.5" x14ac:dyDescent="0.2">
      <c r="A23" s="43">
        <v>17</v>
      </c>
      <c r="B23" s="44" t="s">
        <v>273</v>
      </c>
      <c r="C23" s="44" t="s">
        <v>274</v>
      </c>
      <c r="D23" s="44" t="s">
        <v>86</v>
      </c>
      <c r="E23" s="45">
        <v>269000</v>
      </c>
      <c r="F23" s="46">
        <v>3810.654</v>
      </c>
      <c r="G23" s="47">
        <v>1.742991E-2</v>
      </c>
      <c r="H23" s="40" t="s">
        <v>151</v>
      </c>
      <c r="J23" s="7"/>
    </row>
    <row r="24" spans="1:10" x14ac:dyDescent="0.2">
      <c r="A24" s="43">
        <v>18</v>
      </c>
      <c r="B24" s="44" t="s">
        <v>378</v>
      </c>
      <c r="C24" s="44" t="s">
        <v>379</v>
      </c>
      <c r="D24" s="44" t="s">
        <v>366</v>
      </c>
      <c r="E24" s="45">
        <v>140000</v>
      </c>
      <c r="F24" s="46">
        <v>3787.91</v>
      </c>
      <c r="G24" s="47">
        <v>1.7325879999999998E-2</v>
      </c>
      <c r="H24" s="40" t="s">
        <v>151</v>
      </c>
      <c r="J24" s="7"/>
    </row>
    <row r="25" spans="1:10" x14ac:dyDescent="0.2">
      <c r="A25" s="43">
        <v>19</v>
      </c>
      <c r="B25" s="44" t="s">
        <v>357</v>
      </c>
      <c r="C25" s="44" t="s">
        <v>358</v>
      </c>
      <c r="D25" s="44" t="s">
        <v>282</v>
      </c>
      <c r="E25" s="45">
        <v>318000</v>
      </c>
      <c r="F25" s="46">
        <v>3678.1469999999999</v>
      </c>
      <c r="G25" s="47">
        <v>1.682382E-2</v>
      </c>
      <c r="H25" s="40" t="s">
        <v>151</v>
      </c>
      <c r="J25" s="7" t="s">
        <v>1074</v>
      </c>
    </row>
    <row r="26" spans="1:10" x14ac:dyDescent="0.2">
      <c r="A26" s="43">
        <v>20</v>
      </c>
      <c r="B26" s="44" t="s">
        <v>564</v>
      </c>
      <c r="C26" s="44" t="s">
        <v>565</v>
      </c>
      <c r="D26" s="44" t="s">
        <v>219</v>
      </c>
      <c r="E26" s="45">
        <v>229000</v>
      </c>
      <c r="F26" s="46">
        <v>3559.576</v>
      </c>
      <c r="G26" s="47">
        <v>1.6281480000000001E-2</v>
      </c>
      <c r="H26" s="40" t="s">
        <v>151</v>
      </c>
      <c r="J26" s="30"/>
    </row>
    <row r="27" spans="1:10" x14ac:dyDescent="0.2">
      <c r="A27" s="43">
        <v>21</v>
      </c>
      <c r="B27" s="44" t="s">
        <v>479</v>
      </c>
      <c r="C27" s="44" t="s">
        <v>480</v>
      </c>
      <c r="D27" s="44" t="s">
        <v>45</v>
      </c>
      <c r="E27" s="45">
        <v>240000</v>
      </c>
      <c r="F27" s="46">
        <v>3426.72</v>
      </c>
      <c r="G27" s="47">
        <v>1.5673800000000002E-2</v>
      </c>
      <c r="H27" s="40" t="s">
        <v>151</v>
      </c>
      <c r="J27" s="30"/>
    </row>
    <row r="28" spans="1:10" ht="25.5" x14ac:dyDescent="0.2">
      <c r="A28" s="43">
        <v>22</v>
      </c>
      <c r="B28" s="44" t="s">
        <v>372</v>
      </c>
      <c r="C28" s="44" t="s">
        <v>373</v>
      </c>
      <c r="D28" s="44" t="s">
        <v>210</v>
      </c>
      <c r="E28" s="45">
        <v>226000</v>
      </c>
      <c r="F28" s="46">
        <v>3241.1790000000001</v>
      </c>
      <c r="G28" s="47">
        <v>1.4825130000000001E-2</v>
      </c>
      <c r="H28" s="40" t="s">
        <v>151</v>
      </c>
      <c r="J28" s="30"/>
    </row>
    <row r="29" spans="1:10" x14ac:dyDescent="0.2">
      <c r="A29" s="43">
        <v>23</v>
      </c>
      <c r="B29" s="44" t="s">
        <v>14</v>
      </c>
      <c r="C29" s="44" t="s">
        <v>15</v>
      </c>
      <c r="D29" s="44" t="s">
        <v>16</v>
      </c>
      <c r="E29" s="45">
        <v>770000</v>
      </c>
      <c r="F29" s="46">
        <v>3203.2</v>
      </c>
      <c r="G29" s="47">
        <v>1.465142E-2</v>
      </c>
      <c r="H29" s="40" t="s">
        <v>151</v>
      </c>
      <c r="J29" s="30"/>
    </row>
    <row r="30" spans="1:10" x14ac:dyDescent="0.2">
      <c r="A30" s="43">
        <v>24</v>
      </c>
      <c r="B30" s="44" t="s">
        <v>386</v>
      </c>
      <c r="C30" s="44" t="s">
        <v>387</v>
      </c>
      <c r="D30" s="44" t="s">
        <v>202</v>
      </c>
      <c r="E30" s="45">
        <v>62000</v>
      </c>
      <c r="F30" s="46">
        <v>3060.2890000000002</v>
      </c>
      <c r="G30" s="47">
        <v>1.399774E-2</v>
      </c>
      <c r="H30" s="40" t="s">
        <v>151</v>
      </c>
      <c r="J30" s="30"/>
    </row>
    <row r="31" spans="1:10" ht="25.5" x14ac:dyDescent="0.2">
      <c r="A31" s="43">
        <v>25</v>
      </c>
      <c r="B31" s="44" t="s">
        <v>475</v>
      </c>
      <c r="C31" s="44" t="s">
        <v>476</v>
      </c>
      <c r="D31" s="44" t="s">
        <v>210</v>
      </c>
      <c r="E31" s="45">
        <v>196000</v>
      </c>
      <c r="F31" s="46">
        <v>3026.828</v>
      </c>
      <c r="G31" s="47">
        <v>1.384469E-2</v>
      </c>
      <c r="H31" s="40" t="s">
        <v>151</v>
      </c>
      <c r="J31" s="30"/>
    </row>
    <row r="32" spans="1:10" x14ac:dyDescent="0.2">
      <c r="A32" s="43">
        <v>26</v>
      </c>
      <c r="B32" s="44" t="s">
        <v>254</v>
      </c>
      <c r="C32" s="44" t="s">
        <v>255</v>
      </c>
      <c r="D32" s="44" t="s">
        <v>202</v>
      </c>
      <c r="E32" s="45">
        <v>42000</v>
      </c>
      <c r="F32" s="46">
        <v>2951.4450000000002</v>
      </c>
      <c r="G32" s="47">
        <v>1.3499890000000001E-2</v>
      </c>
      <c r="H32" s="40" t="s">
        <v>151</v>
      </c>
      <c r="J32" s="30"/>
    </row>
    <row r="33" spans="1:10" x14ac:dyDescent="0.2">
      <c r="A33" s="43">
        <v>27</v>
      </c>
      <c r="B33" s="44" t="s">
        <v>714</v>
      </c>
      <c r="C33" s="44" t="s">
        <v>715</v>
      </c>
      <c r="D33" s="44" t="s">
        <v>100</v>
      </c>
      <c r="E33" s="45">
        <v>167000</v>
      </c>
      <c r="F33" s="46">
        <v>2878.5790000000002</v>
      </c>
      <c r="G33" s="47">
        <v>1.3166600000000001E-2</v>
      </c>
      <c r="H33" s="40" t="s">
        <v>151</v>
      </c>
      <c r="J33" s="30"/>
    </row>
    <row r="34" spans="1:10" ht="25.5" x14ac:dyDescent="0.2">
      <c r="A34" s="43">
        <v>28</v>
      </c>
      <c r="B34" s="44" t="s">
        <v>362</v>
      </c>
      <c r="C34" s="44" t="s">
        <v>363</v>
      </c>
      <c r="D34" s="44" t="s">
        <v>210</v>
      </c>
      <c r="E34" s="45">
        <v>42500</v>
      </c>
      <c r="F34" s="46">
        <v>2868.9625000000001</v>
      </c>
      <c r="G34" s="47">
        <v>1.312262E-2</v>
      </c>
      <c r="H34" s="40" t="s">
        <v>151</v>
      </c>
      <c r="J34" s="30"/>
    </row>
    <row r="35" spans="1:10" x14ac:dyDescent="0.2">
      <c r="A35" s="43">
        <v>29</v>
      </c>
      <c r="B35" s="44" t="s">
        <v>528</v>
      </c>
      <c r="C35" s="44" t="s">
        <v>529</v>
      </c>
      <c r="D35" s="44" t="s">
        <v>229</v>
      </c>
      <c r="E35" s="45">
        <v>120000</v>
      </c>
      <c r="F35" s="46">
        <v>2754.54</v>
      </c>
      <c r="G35" s="47">
        <v>1.2599249999999999E-2</v>
      </c>
      <c r="H35" s="40" t="s">
        <v>151</v>
      </c>
      <c r="J35" s="30"/>
    </row>
    <row r="36" spans="1:10" ht="25.5" x14ac:dyDescent="0.2">
      <c r="A36" s="43">
        <v>30</v>
      </c>
      <c r="B36" s="44" t="s">
        <v>79</v>
      </c>
      <c r="C36" s="44" t="s">
        <v>80</v>
      </c>
      <c r="D36" s="44" t="s">
        <v>81</v>
      </c>
      <c r="E36" s="45">
        <v>175000</v>
      </c>
      <c r="F36" s="46">
        <v>2747.3249999999998</v>
      </c>
      <c r="G36" s="47">
        <v>1.2566249999999999E-2</v>
      </c>
      <c r="H36" s="40" t="s">
        <v>151</v>
      </c>
      <c r="J36" s="30"/>
    </row>
    <row r="37" spans="1:10" x14ac:dyDescent="0.2">
      <c r="A37" s="43">
        <v>31</v>
      </c>
      <c r="B37" s="44" t="s">
        <v>758</v>
      </c>
      <c r="C37" s="44" t="s">
        <v>759</v>
      </c>
      <c r="D37" s="44" t="s">
        <v>222</v>
      </c>
      <c r="E37" s="45">
        <v>127000</v>
      </c>
      <c r="F37" s="46">
        <v>2691.0030000000002</v>
      </c>
      <c r="G37" s="47">
        <v>1.2308629999999999E-2</v>
      </c>
      <c r="H37" s="40" t="s">
        <v>151</v>
      </c>
      <c r="J37" s="30"/>
    </row>
    <row r="38" spans="1:10" x14ac:dyDescent="0.2">
      <c r="A38" s="43">
        <v>32</v>
      </c>
      <c r="B38" s="44" t="s">
        <v>382</v>
      </c>
      <c r="C38" s="44" t="s">
        <v>383</v>
      </c>
      <c r="D38" s="44" t="s">
        <v>136</v>
      </c>
      <c r="E38" s="45">
        <v>1625000</v>
      </c>
      <c r="F38" s="46">
        <v>2686.6125000000002</v>
      </c>
      <c r="G38" s="47">
        <v>1.2288550000000001E-2</v>
      </c>
      <c r="H38" s="40" t="s">
        <v>151</v>
      </c>
      <c r="J38" s="30"/>
    </row>
    <row r="39" spans="1:10" x14ac:dyDescent="0.2">
      <c r="A39" s="43">
        <v>33</v>
      </c>
      <c r="B39" s="44" t="s">
        <v>545</v>
      </c>
      <c r="C39" s="44" t="s">
        <v>546</v>
      </c>
      <c r="D39" s="44" t="s">
        <v>229</v>
      </c>
      <c r="E39" s="45">
        <v>46000</v>
      </c>
      <c r="F39" s="46">
        <v>2582.509</v>
      </c>
      <c r="G39" s="47">
        <v>1.1812380000000001E-2</v>
      </c>
      <c r="H39" s="40" t="s">
        <v>151</v>
      </c>
      <c r="J39" s="30"/>
    </row>
    <row r="40" spans="1:10" x14ac:dyDescent="0.2">
      <c r="A40" s="43">
        <v>34</v>
      </c>
      <c r="B40" s="44" t="s">
        <v>230</v>
      </c>
      <c r="C40" s="44" t="s">
        <v>231</v>
      </c>
      <c r="D40" s="44" t="s">
        <v>232</v>
      </c>
      <c r="E40" s="45">
        <v>226000</v>
      </c>
      <c r="F40" s="46">
        <v>2513.12</v>
      </c>
      <c r="G40" s="47">
        <v>1.1495E-2</v>
      </c>
      <c r="H40" s="40" t="s">
        <v>151</v>
      </c>
      <c r="J40" s="30"/>
    </row>
    <row r="41" spans="1:10" x14ac:dyDescent="0.2">
      <c r="A41" s="43">
        <v>35</v>
      </c>
      <c r="B41" s="44" t="s">
        <v>520</v>
      </c>
      <c r="C41" s="44" t="s">
        <v>521</v>
      </c>
      <c r="D41" s="44" t="s">
        <v>86</v>
      </c>
      <c r="E41" s="45">
        <v>295284</v>
      </c>
      <c r="F41" s="46">
        <v>2378.51262</v>
      </c>
      <c r="G41" s="47">
        <v>1.08793E-2</v>
      </c>
      <c r="H41" s="40" t="s">
        <v>151</v>
      </c>
      <c r="J41" s="30"/>
    </row>
    <row r="42" spans="1:10" x14ac:dyDescent="0.2">
      <c r="A42" s="43">
        <v>36</v>
      </c>
      <c r="B42" s="44" t="s">
        <v>53</v>
      </c>
      <c r="C42" s="44" t="s">
        <v>54</v>
      </c>
      <c r="D42" s="44" t="s">
        <v>19</v>
      </c>
      <c r="E42" s="45">
        <v>198000</v>
      </c>
      <c r="F42" s="46">
        <v>2252.0520000000001</v>
      </c>
      <c r="G42" s="47">
        <v>1.030087E-2</v>
      </c>
      <c r="H42" s="40" t="s">
        <v>151</v>
      </c>
      <c r="J42" s="30"/>
    </row>
    <row r="43" spans="1:10" ht="25.5" x14ac:dyDescent="0.2">
      <c r="A43" s="43">
        <v>37</v>
      </c>
      <c r="B43" s="44" t="s">
        <v>802</v>
      </c>
      <c r="C43" s="44" t="s">
        <v>803</v>
      </c>
      <c r="D43" s="44" t="s">
        <v>247</v>
      </c>
      <c r="E43" s="45">
        <v>70000</v>
      </c>
      <c r="F43" s="46">
        <v>2230.48</v>
      </c>
      <c r="G43" s="47">
        <v>1.02022E-2</v>
      </c>
      <c r="H43" s="40" t="s">
        <v>151</v>
      </c>
      <c r="J43" s="30"/>
    </row>
    <row r="44" spans="1:10" x14ac:dyDescent="0.2">
      <c r="A44" s="43">
        <v>38</v>
      </c>
      <c r="B44" s="44" t="s">
        <v>397</v>
      </c>
      <c r="C44" s="44" t="s">
        <v>398</v>
      </c>
      <c r="D44" s="44" t="s">
        <v>100</v>
      </c>
      <c r="E44" s="45">
        <v>64000</v>
      </c>
      <c r="F44" s="46">
        <v>2213.7280000000001</v>
      </c>
      <c r="G44" s="47">
        <v>1.012558E-2</v>
      </c>
      <c r="H44" s="40" t="s">
        <v>151</v>
      </c>
      <c r="J44" s="30"/>
    </row>
    <row r="45" spans="1:10" x14ac:dyDescent="0.2">
      <c r="A45" s="43">
        <v>39</v>
      </c>
      <c r="B45" s="44" t="s">
        <v>823</v>
      </c>
      <c r="C45" s="44" t="s">
        <v>824</v>
      </c>
      <c r="D45" s="44" t="s">
        <v>38</v>
      </c>
      <c r="E45" s="45">
        <v>356000</v>
      </c>
      <c r="F45" s="46">
        <v>2056.078</v>
      </c>
      <c r="G45" s="47">
        <v>9.4044899999999997E-3</v>
      </c>
      <c r="H45" s="40" t="s">
        <v>151</v>
      </c>
      <c r="J45" s="30"/>
    </row>
    <row r="46" spans="1:10" ht="25.5" x14ac:dyDescent="0.2">
      <c r="A46" s="43">
        <v>40</v>
      </c>
      <c r="B46" s="44" t="s">
        <v>293</v>
      </c>
      <c r="C46" s="44" t="s">
        <v>294</v>
      </c>
      <c r="D46" s="44" t="s">
        <v>25</v>
      </c>
      <c r="E46" s="45">
        <v>110137</v>
      </c>
      <c r="F46" s="46">
        <v>2038.1402535</v>
      </c>
      <c r="G46" s="47">
        <v>9.3224399999999995E-3</v>
      </c>
      <c r="H46" s="40" t="s">
        <v>151</v>
      </c>
      <c r="J46" s="30"/>
    </row>
    <row r="47" spans="1:10" x14ac:dyDescent="0.2">
      <c r="A47" s="43">
        <v>41</v>
      </c>
      <c r="B47" s="44" t="s">
        <v>524</v>
      </c>
      <c r="C47" s="44" t="s">
        <v>525</v>
      </c>
      <c r="D47" s="44" t="s">
        <v>503</v>
      </c>
      <c r="E47" s="45">
        <v>26000</v>
      </c>
      <c r="F47" s="46">
        <v>2034.422</v>
      </c>
      <c r="G47" s="47">
        <v>9.30543E-3</v>
      </c>
      <c r="H47" s="40" t="s">
        <v>151</v>
      </c>
      <c r="J47" s="30"/>
    </row>
    <row r="48" spans="1:10" x14ac:dyDescent="0.2">
      <c r="A48" s="43">
        <v>42</v>
      </c>
      <c r="B48" s="44" t="s">
        <v>355</v>
      </c>
      <c r="C48" s="44" t="s">
        <v>356</v>
      </c>
      <c r="D48" s="44" t="s">
        <v>45</v>
      </c>
      <c r="E48" s="45">
        <v>110000</v>
      </c>
      <c r="F48" s="46">
        <v>1988.69</v>
      </c>
      <c r="G48" s="47">
        <v>9.0962600000000001E-3</v>
      </c>
      <c r="H48" s="40" t="s">
        <v>151</v>
      </c>
      <c r="J48" s="30"/>
    </row>
    <row r="49" spans="1:10" x14ac:dyDescent="0.2">
      <c r="A49" s="43">
        <v>43</v>
      </c>
      <c r="B49" s="44" t="s">
        <v>26</v>
      </c>
      <c r="C49" s="44" t="s">
        <v>27</v>
      </c>
      <c r="D49" s="44" t="s">
        <v>16</v>
      </c>
      <c r="E49" s="45">
        <v>560000</v>
      </c>
      <c r="F49" s="46">
        <v>1949.92</v>
      </c>
      <c r="G49" s="47">
        <v>8.9189200000000003E-3</v>
      </c>
      <c r="H49" s="40" t="s">
        <v>151</v>
      </c>
      <c r="J49" s="30"/>
    </row>
    <row r="50" spans="1:10" x14ac:dyDescent="0.2">
      <c r="A50" s="43">
        <v>44</v>
      </c>
      <c r="B50" s="44" t="s">
        <v>196</v>
      </c>
      <c r="C50" s="44" t="s">
        <v>197</v>
      </c>
      <c r="D50" s="44" t="s">
        <v>45</v>
      </c>
      <c r="E50" s="45">
        <v>865456</v>
      </c>
      <c r="F50" s="46">
        <v>1742.9418384000001</v>
      </c>
      <c r="G50" s="47">
        <v>7.9722100000000004E-3</v>
      </c>
      <c r="H50" s="40" t="s">
        <v>151</v>
      </c>
      <c r="J50" s="30"/>
    </row>
    <row r="51" spans="1:10" x14ac:dyDescent="0.2">
      <c r="A51" s="43">
        <v>45</v>
      </c>
      <c r="B51" s="44" t="s">
        <v>345</v>
      </c>
      <c r="C51" s="44" t="s">
        <v>346</v>
      </c>
      <c r="D51" s="44" t="s">
        <v>202</v>
      </c>
      <c r="E51" s="45">
        <v>751000</v>
      </c>
      <c r="F51" s="46">
        <v>1723.1695</v>
      </c>
      <c r="G51" s="47">
        <v>7.8817699999999997E-3</v>
      </c>
      <c r="H51" s="40" t="s">
        <v>151</v>
      </c>
      <c r="J51" s="30"/>
    </row>
    <row r="52" spans="1:10" x14ac:dyDescent="0.2">
      <c r="A52" s="43">
        <v>46</v>
      </c>
      <c r="B52" s="44" t="s">
        <v>240</v>
      </c>
      <c r="C52" s="44" t="s">
        <v>241</v>
      </c>
      <c r="D52" s="44" t="s">
        <v>242</v>
      </c>
      <c r="E52" s="45">
        <v>285000</v>
      </c>
      <c r="F52" s="46">
        <v>1706.58</v>
      </c>
      <c r="G52" s="47">
        <v>7.8058900000000002E-3</v>
      </c>
      <c r="H52" s="40" t="s">
        <v>151</v>
      </c>
      <c r="J52" s="30"/>
    </row>
    <row r="53" spans="1:10" x14ac:dyDescent="0.2">
      <c r="A53" s="43">
        <v>47</v>
      </c>
      <c r="B53" s="44" t="s">
        <v>367</v>
      </c>
      <c r="C53" s="44" t="s">
        <v>368</v>
      </c>
      <c r="D53" s="44" t="s">
        <v>229</v>
      </c>
      <c r="E53" s="45">
        <v>39000</v>
      </c>
      <c r="F53" s="46">
        <v>1672.9829999999999</v>
      </c>
      <c r="G53" s="47">
        <v>7.6522099999999996E-3</v>
      </c>
      <c r="H53" s="40" t="s">
        <v>151</v>
      </c>
      <c r="J53" s="30"/>
    </row>
    <row r="54" spans="1:10" x14ac:dyDescent="0.2">
      <c r="A54" s="43">
        <v>48</v>
      </c>
      <c r="B54" s="44" t="s">
        <v>62</v>
      </c>
      <c r="C54" s="44" t="s">
        <v>63</v>
      </c>
      <c r="D54" s="44" t="s">
        <v>64</v>
      </c>
      <c r="E54" s="45">
        <v>651000</v>
      </c>
      <c r="F54" s="46">
        <v>1568.7147</v>
      </c>
      <c r="G54" s="47">
        <v>7.17529E-3</v>
      </c>
      <c r="H54" s="40" t="s">
        <v>151</v>
      </c>
      <c r="J54" s="30"/>
    </row>
    <row r="55" spans="1:10" x14ac:dyDescent="0.2">
      <c r="A55" s="43">
        <v>49</v>
      </c>
      <c r="B55" s="44" t="s">
        <v>77</v>
      </c>
      <c r="C55" s="44" t="s">
        <v>78</v>
      </c>
      <c r="D55" s="44" t="s">
        <v>33</v>
      </c>
      <c r="E55" s="45">
        <v>38000</v>
      </c>
      <c r="F55" s="46">
        <v>1463.893</v>
      </c>
      <c r="G55" s="47">
        <v>6.6958399999999998E-3</v>
      </c>
      <c r="H55" s="40" t="s">
        <v>151</v>
      </c>
      <c r="J55" s="30"/>
    </row>
    <row r="56" spans="1:10" x14ac:dyDescent="0.2">
      <c r="A56" s="43">
        <v>50</v>
      </c>
      <c r="B56" s="44" t="s">
        <v>266</v>
      </c>
      <c r="C56" s="44" t="s">
        <v>267</v>
      </c>
      <c r="D56" s="44" t="s">
        <v>268</v>
      </c>
      <c r="E56" s="45">
        <v>64000</v>
      </c>
      <c r="F56" s="46">
        <v>1289.5999999999999</v>
      </c>
      <c r="G56" s="47">
        <v>5.8986200000000003E-3</v>
      </c>
      <c r="H56" s="40" t="s">
        <v>151</v>
      </c>
      <c r="J56" s="30"/>
    </row>
    <row r="57" spans="1:10" x14ac:dyDescent="0.2">
      <c r="A57" s="43">
        <v>51</v>
      </c>
      <c r="B57" s="44" t="s">
        <v>139</v>
      </c>
      <c r="C57" s="44" t="s">
        <v>140</v>
      </c>
      <c r="D57" s="44" t="s">
        <v>89</v>
      </c>
      <c r="E57" s="45">
        <v>145000</v>
      </c>
      <c r="F57" s="46">
        <v>1263.3125</v>
      </c>
      <c r="G57" s="47">
        <v>5.7783799999999996E-3</v>
      </c>
      <c r="H57" s="40" t="s">
        <v>151</v>
      </c>
      <c r="J57" s="30"/>
    </row>
    <row r="58" spans="1:10" x14ac:dyDescent="0.2">
      <c r="A58" s="43">
        <v>52</v>
      </c>
      <c r="B58" s="44" t="s">
        <v>543</v>
      </c>
      <c r="C58" s="44" t="s">
        <v>544</v>
      </c>
      <c r="D58" s="44" t="s">
        <v>76</v>
      </c>
      <c r="E58" s="45">
        <v>104000</v>
      </c>
      <c r="F58" s="46">
        <v>1255.0719999999999</v>
      </c>
      <c r="G58" s="47">
        <v>5.7406899999999997E-3</v>
      </c>
      <c r="H58" s="40" t="s">
        <v>151</v>
      </c>
      <c r="J58" s="30"/>
    </row>
    <row r="59" spans="1:10" x14ac:dyDescent="0.2">
      <c r="A59" s="43">
        <v>53</v>
      </c>
      <c r="B59" s="44" t="s">
        <v>330</v>
      </c>
      <c r="C59" s="44" t="s">
        <v>331</v>
      </c>
      <c r="D59" s="44" t="s">
        <v>232</v>
      </c>
      <c r="E59" s="45">
        <v>155000</v>
      </c>
      <c r="F59" s="46">
        <v>1140.7225000000001</v>
      </c>
      <c r="G59" s="47">
        <v>5.2176599999999998E-3</v>
      </c>
      <c r="H59" s="40" t="s">
        <v>151</v>
      </c>
      <c r="J59" s="30"/>
    </row>
    <row r="60" spans="1:10" x14ac:dyDescent="0.2">
      <c r="A60" s="43">
        <v>54</v>
      </c>
      <c r="B60" s="44" t="s">
        <v>395</v>
      </c>
      <c r="C60" s="44" t="s">
        <v>396</v>
      </c>
      <c r="D60" s="44" t="s">
        <v>45</v>
      </c>
      <c r="E60" s="45">
        <v>930000</v>
      </c>
      <c r="F60" s="46">
        <v>1066.8030000000001</v>
      </c>
      <c r="G60" s="47">
        <v>4.8795499999999999E-3</v>
      </c>
      <c r="H60" s="40" t="s">
        <v>151</v>
      </c>
      <c r="J60" s="30"/>
    </row>
    <row r="61" spans="1:10" x14ac:dyDescent="0.2">
      <c r="A61" s="43">
        <v>55</v>
      </c>
      <c r="B61" s="44" t="s">
        <v>450</v>
      </c>
      <c r="C61" s="44" t="s">
        <v>451</v>
      </c>
      <c r="D61" s="44" t="s">
        <v>100</v>
      </c>
      <c r="E61" s="45">
        <v>119455</v>
      </c>
      <c r="F61" s="46">
        <v>1046.90362</v>
      </c>
      <c r="G61" s="47">
        <v>4.78853E-3</v>
      </c>
      <c r="H61" s="40" t="s">
        <v>151</v>
      </c>
      <c r="J61" s="30"/>
    </row>
    <row r="62" spans="1:10" x14ac:dyDescent="0.2">
      <c r="A62" s="43">
        <v>56</v>
      </c>
      <c r="B62" s="44" t="s">
        <v>120</v>
      </c>
      <c r="C62" s="44" t="s">
        <v>121</v>
      </c>
      <c r="D62" s="44" t="s">
        <v>89</v>
      </c>
      <c r="E62" s="45">
        <v>21000</v>
      </c>
      <c r="F62" s="46">
        <v>896.14350000000002</v>
      </c>
      <c r="G62" s="47">
        <v>4.0989599999999996E-3</v>
      </c>
      <c r="H62" s="40" t="s">
        <v>151</v>
      </c>
      <c r="J62" s="30"/>
    </row>
    <row r="63" spans="1:10" ht="25.5" x14ac:dyDescent="0.2">
      <c r="A63" s="43">
        <v>57</v>
      </c>
      <c r="B63" s="44" t="s">
        <v>829</v>
      </c>
      <c r="C63" s="44" t="s">
        <v>830</v>
      </c>
      <c r="D63" s="44" t="s">
        <v>210</v>
      </c>
      <c r="E63" s="45">
        <v>87944</v>
      </c>
      <c r="F63" s="46">
        <v>876.97756800000002</v>
      </c>
      <c r="G63" s="47">
        <v>4.0112899999999998E-3</v>
      </c>
      <c r="H63" s="40" t="s">
        <v>151</v>
      </c>
      <c r="J63" s="30"/>
    </row>
    <row r="64" spans="1:10" x14ac:dyDescent="0.2">
      <c r="A64" s="43">
        <v>58</v>
      </c>
      <c r="B64" s="44" t="s">
        <v>303</v>
      </c>
      <c r="C64" s="44" t="s">
        <v>304</v>
      </c>
      <c r="D64" s="44" t="s">
        <v>100</v>
      </c>
      <c r="E64" s="45">
        <v>59073</v>
      </c>
      <c r="F64" s="46">
        <v>875.34371399999998</v>
      </c>
      <c r="G64" s="47">
        <v>4.0038199999999999E-3</v>
      </c>
      <c r="H64" s="40" t="s">
        <v>151</v>
      </c>
      <c r="J64" s="30"/>
    </row>
    <row r="65" spans="1:10" x14ac:dyDescent="0.2">
      <c r="A65" s="43">
        <v>59</v>
      </c>
      <c r="B65" s="44" t="s">
        <v>743</v>
      </c>
      <c r="C65" s="44" t="s">
        <v>744</v>
      </c>
      <c r="D65" s="44" t="s">
        <v>413</v>
      </c>
      <c r="E65" s="45">
        <v>77000</v>
      </c>
      <c r="F65" s="46">
        <v>769.49950000000001</v>
      </c>
      <c r="G65" s="47">
        <v>3.5196899999999998E-3</v>
      </c>
      <c r="H65" s="40" t="s">
        <v>151</v>
      </c>
      <c r="J65" s="30"/>
    </row>
    <row r="66" spans="1:10" x14ac:dyDescent="0.2">
      <c r="A66" s="43">
        <v>60</v>
      </c>
      <c r="B66" s="44" t="s">
        <v>862</v>
      </c>
      <c r="C66" s="44" t="s">
        <v>863</v>
      </c>
      <c r="D66" s="44" t="s">
        <v>86</v>
      </c>
      <c r="E66" s="45">
        <v>34732</v>
      </c>
      <c r="F66" s="46">
        <v>650.89504599999998</v>
      </c>
      <c r="G66" s="47">
        <v>2.9771899999999998E-3</v>
      </c>
      <c r="H66" s="40" t="s">
        <v>151</v>
      </c>
      <c r="J66" s="30"/>
    </row>
    <row r="67" spans="1:10" x14ac:dyDescent="0.2">
      <c r="A67" s="43">
        <v>61</v>
      </c>
      <c r="B67" s="44" t="s">
        <v>827</v>
      </c>
      <c r="C67" s="44" t="s">
        <v>828</v>
      </c>
      <c r="D67" s="44" t="s">
        <v>100</v>
      </c>
      <c r="E67" s="45">
        <v>40000</v>
      </c>
      <c r="F67" s="46">
        <v>638.52</v>
      </c>
      <c r="G67" s="47">
        <v>2.9205899999999998E-3</v>
      </c>
      <c r="H67" s="40" t="s">
        <v>151</v>
      </c>
      <c r="J67" s="30"/>
    </row>
    <row r="68" spans="1:10" ht="25.5" x14ac:dyDescent="0.2">
      <c r="A68" s="43">
        <v>62</v>
      </c>
      <c r="B68" s="44" t="s">
        <v>141</v>
      </c>
      <c r="C68" s="44" t="s">
        <v>142</v>
      </c>
      <c r="D68" s="44" t="s">
        <v>25</v>
      </c>
      <c r="E68" s="45">
        <v>250000</v>
      </c>
      <c r="F68" s="46">
        <v>542.875</v>
      </c>
      <c r="G68" s="47">
        <v>2.4831100000000002E-3</v>
      </c>
      <c r="H68" s="40" t="s">
        <v>151</v>
      </c>
      <c r="J68" s="30"/>
    </row>
    <row r="69" spans="1:10" x14ac:dyDescent="0.2">
      <c r="A69" s="43">
        <v>63</v>
      </c>
      <c r="B69" s="44" t="s">
        <v>269</v>
      </c>
      <c r="C69" s="44" t="s">
        <v>270</v>
      </c>
      <c r="D69" s="44" t="s">
        <v>33</v>
      </c>
      <c r="E69" s="45">
        <v>7000</v>
      </c>
      <c r="F69" s="46">
        <v>480.07400000000001</v>
      </c>
      <c r="G69" s="47">
        <v>2.19586E-3</v>
      </c>
      <c r="H69" s="40" t="s">
        <v>151</v>
      </c>
      <c r="J69" s="30"/>
    </row>
    <row r="70" spans="1:10" x14ac:dyDescent="0.2">
      <c r="A70" s="43">
        <v>64</v>
      </c>
      <c r="B70" s="44" t="s">
        <v>499</v>
      </c>
      <c r="C70" s="44" t="s">
        <v>500</v>
      </c>
      <c r="D70" s="44" t="s">
        <v>89</v>
      </c>
      <c r="E70" s="45">
        <v>10904</v>
      </c>
      <c r="F70" s="46">
        <v>293.192204</v>
      </c>
      <c r="G70" s="47">
        <v>1.34106E-3</v>
      </c>
      <c r="H70" s="40" t="s">
        <v>151</v>
      </c>
      <c r="J70" s="30"/>
    </row>
    <row r="71" spans="1:10" x14ac:dyDescent="0.2">
      <c r="A71" s="41"/>
      <c r="B71" s="41"/>
      <c r="C71" s="42" t="s">
        <v>150</v>
      </c>
      <c r="D71" s="41"/>
      <c r="E71" s="41" t="s">
        <v>151</v>
      </c>
      <c r="F71" s="48">
        <v>217113.3404934</v>
      </c>
      <c r="G71" s="49">
        <v>0.99307511000000004</v>
      </c>
      <c r="H71" s="40" t="s">
        <v>151</v>
      </c>
      <c r="J71" s="30"/>
    </row>
    <row r="72" spans="1:10" x14ac:dyDescent="0.2">
      <c r="A72" s="41"/>
      <c r="B72" s="41"/>
      <c r="C72" s="50"/>
      <c r="D72" s="41"/>
      <c r="E72" s="41"/>
      <c r="F72" s="51"/>
      <c r="G72" s="51"/>
      <c r="H72" s="40" t="s">
        <v>151</v>
      </c>
      <c r="J72" s="30"/>
    </row>
    <row r="73" spans="1:10" x14ac:dyDescent="0.2">
      <c r="A73" s="41"/>
      <c r="B73" s="41"/>
      <c r="C73" s="42" t="s">
        <v>152</v>
      </c>
      <c r="D73" s="41"/>
      <c r="E73" s="41"/>
      <c r="F73" s="41"/>
      <c r="G73" s="41"/>
      <c r="H73" s="40" t="s">
        <v>151</v>
      </c>
      <c r="J73" s="30"/>
    </row>
    <row r="74" spans="1:10" x14ac:dyDescent="0.2">
      <c r="A74" s="41"/>
      <c r="B74" s="41"/>
      <c r="C74" s="42" t="s">
        <v>150</v>
      </c>
      <c r="D74" s="41"/>
      <c r="E74" s="41" t="s">
        <v>151</v>
      </c>
      <c r="F74" s="52" t="s">
        <v>153</v>
      </c>
      <c r="G74" s="49">
        <v>0</v>
      </c>
      <c r="H74" s="40" t="s">
        <v>151</v>
      </c>
      <c r="J74" s="30"/>
    </row>
    <row r="75" spans="1:10" x14ac:dyDescent="0.2">
      <c r="A75" s="41"/>
      <c r="B75" s="41"/>
      <c r="C75" s="50"/>
      <c r="D75" s="41"/>
      <c r="E75" s="41"/>
      <c r="F75" s="51"/>
      <c r="G75" s="51"/>
      <c r="H75" s="40" t="s">
        <v>151</v>
      </c>
      <c r="J75" s="30"/>
    </row>
    <row r="76" spans="1:10" x14ac:dyDescent="0.2">
      <c r="A76" s="41"/>
      <c r="B76" s="41"/>
      <c r="C76" s="42" t="s">
        <v>154</v>
      </c>
      <c r="D76" s="41"/>
      <c r="E76" s="41"/>
      <c r="F76" s="41"/>
      <c r="G76" s="41"/>
      <c r="H76" s="40" t="s">
        <v>151</v>
      </c>
      <c r="J76" s="30"/>
    </row>
    <row r="77" spans="1:10" x14ac:dyDescent="0.2">
      <c r="A77" s="41"/>
      <c r="B77" s="41"/>
      <c r="C77" s="42" t="s">
        <v>150</v>
      </c>
      <c r="D77" s="41"/>
      <c r="E77" s="41" t="s">
        <v>151</v>
      </c>
      <c r="F77" s="52" t="s">
        <v>153</v>
      </c>
      <c r="G77" s="49">
        <v>0</v>
      </c>
      <c r="H77" s="40" t="s">
        <v>151</v>
      </c>
      <c r="J77" s="30"/>
    </row>
    <row r="78" spans="1:10" x14ac:dyDescent="0.2">
      <c r="A78" s="41"/>
      <c r="B78" s="41"/>
      <c r="C78" s="50"/>
      <c r="D78" s="41"/>
      <c r="E78" s="41"/>
      <c r="F78" s="51"/>
      <c r="G78" s="51"/>
      <c r="H78" s="40" t="s">
        <v>151</v>
      </c>
      <c r="J78" s="30"/>
    </row>
    <row r="79" spans="1:10" x14ac:dyDescent="0.2">
      <c r="A79" s="41"/>
      <c r="B79" s="41"/>
      <c r="C79" s="42" t="s">
        <v>155</v>
      </c>
      <c r="D79" s="41"/>
      <c r="E79" s="41"/>
      <c r="F79" s="41"/>
      <c r="G79" s="41"/>
      <c r="H79" s="40" t="s">
        <v>151</v>
      </c>
      <c r="J79" s="30"/>
    </row>
    <row r="80" spans="1:10" x14ac:dyDescent="0.2">
      <c r="A80" s="41"/>
      <c r="B80" s="41"/>
      <c r="C80" s="42" t="s">
        <v>150</v>
      </c>
      <c r="D80" s="41"/>
      <c r="E80" s="41" t="s">
        <v>151</v>
      </c>
      <c r="F80" s="52" t="s">
        <v>153</v>
      </c>
      <c r="G80" s="49">
        <v>0</v>
      </c>
      <c r="H80" s="40" t="s">
        <v>151</v>
      </c>
      <c r="J80" s="30"/>
    </row>
    <row r="81" spans="1:10" x14ac:dyDescent="0.2">
      <c r="A81" s="41"/>
      <c r="B81" s="41"/>
      <c r="C81" s="50"/>
      <c r="D81" s="41"/>
      <c r="E81" s="41"/>
      <c r="F81" s="51"/>
      <c r="G81" s="51"/>
      <c r="H81" s="40" t="s">
        <v>151</v>
      </c>
      <c r="J81" s="30"/>
    </row>
    <row r="82" spans="1:10" x14ac:dyDescent="0.2">
      <c r="A82" s="41"/>
      <c r="B82" s="41"/>
      <c r="C82" s="42" t="s">
        <v>156</v>
      </c>
      <c r="D82" s="41"/>
      <c r="E82" s="41"/>
      <c r="F82" s="51"/>
      <c r="G82" s="51"/>
      <c r="H82" s="40" t="s">
        <v>151</v>
      </c>
      <c r="J82" s="30"/>
    </row>
    <row r="83" spans="1:10" x14ac:dyDescent="0.2">
      <c r="A83" s="41"/>
      <c r="B83" s="41"/>
      <c r="C83" s="42" t="s">
        <v>150</v>
      </c>
      <c r="D83" s="41"/>
      <c r="E83" s="41" t="s">
        <v>151</v>
      </c>
      <c r="F83" s="52" t="s">
        <v>153</v>
      </c>
      <c r="G83" s="49">
        <v>0</v>
      </c>
      <c r="H83" s="40" t="s">
        <v>151</v>
      </c>
      <c r="J83" s="30"/>
    </row>
    <row r="84" spans="1:10" x14ac:dyDescent="0.2">
      <c r="A84" s="41"/>
      <c r="B84" s="41"/>
      <c r="C84" s="50"/>
      <c r="D84" s="41"/>
      <c r="E84" s="41"/>
      <c r="F84" s="51"/>
      <c r="G84" s="51"/>
      <c r="H84" s="40" t="s">
        <v>151</v>
      </c>
      <c r="J84" s="30"/>
    </row>
    <row r="85" spans="1:10" x14ac:dyDescent="0.2">
      <c r="A85" s="41"/>
      <c r="B85" s="41"/>
      <c r="C85" s="42" t="s">
        <v>157</v>
      </c>
      <c r="D85" s="41"/>
      <c r="E85" s="41"/>
      <c r="F85" s="51"/>
      <c r="G85" s="51"/>
      <c r="H85" s="40" t="s">
        <v>151</v>
      </c>
      <c r="J85" s="30"/>
    </row>
    <row r="86" spans="1:10" x14ac:dyDescent="0.2">
      <c r="A86" s="41"/>
      <c r="B86" s="41"/>
      <c r="C86" s="42" t="s">
        <v>150</v>
      </c>
      <c r="D86" s="41"/>
      <c r="E86" s="41" t="s">
        <v>151</v>
      </c>
      <c r="F86" s="52" t="s">
        <v>153</v>
      </c>
      <c r="G86" s="49">
        <v>0</v>
      </c>
      <c r="H86" s="40" t="s">
        <v>151</v>
      </c>
      <c r="J86" s="30"/>
    </row>
    <row r="87" spans="1:10" x14ac:dyDescent="0.2">
      <c r="A87" s="41"/>
      <c r="B87" s="41"/>
      <c r="C87" s="50"/>
      <c r="D87" s="41"/>
      <c r="E87" s="41"/>
      <c r="F87" s="51"/>
      <c r="G87" s="51"/>
      <c r="H87" s="40" t="s">
        <v>151</v>
      </c>
      <c r="J87" s="30"/>
    </row>
    <row r="88" spans="1:10" x14ac:dyDescent="0.2">
      <c r="A88" s="41"/>
      <c r="B88" s="41"/>
      <c r="C88" s="42" t="s">
        <v>158</v>
      </c>
      <c r="D88" s="41"/>
      <c r="E88" s="41"/>
      <c r="F88" s="48">
        <v>217113.3404934</v>
      </c>
      <c r="G88" s="49">
        <v>0.99307511000000004</v>
      </c>
      <c r="H88" s="40" t="s">
        <v>151</v>
      </c>
      <c r="J88" s="30"/>
    </row>
    <row r="89" spans="1:10" x14ac:dyDescent="0.2">
      <c r="A89" s="41"/>
      <c r="B89" s="41"/>
      <c r="C89" s="50"/>
      <c r="D89" s="41"/>
      <c r="E89" s="41"/>
      <c r="F89" s="51"/>
      <c r="G89" s="51"/>
      <c r="H89" s="40" t="s">
        <v>151</v>
      </c>
      <c r="J89" s="30"/>
    </row>
    <row r="90" spans="1:10" x14ac:dyDescent="0.2">
      <c r="A90" s="41"/>
      <c r="B90" s="41"/>
      <c r="C90" s="42" t="s">
        <v>159</v>
      </c>
      <c r="D90" s="41"/>
      <c r="E90" s="41"/>
      <c r="F90" s="51"/>
      <c r="G90" s="51"/>
      <c r="H90" s="40" t="s">
        <v>151</v>
      </c>
      <c r="J90" s="30"/>
    </row>
    <row r="91" spans="1:10" x14ac:dyDescent="0.2">
      <c r="A91" s="41"/>
      <c r="B91" s="41"/>
      <c r="C91" s="42" t="s">
        <v>10</v>
      </c>
      <c r="D91" s="41"/>
      <c r="E91" s="41"/>
      <c r="F91" s="51"/>
      <c r="G91" s="51"/>
      <c r="H91" s="40" t="s">
        <v>151</v>
      </c>
      <c r="J91" s="30"/>
    </row>
    <row r="92" spans="1:10" x14ac:dyDescent="0.2">
      <c r="A92" s="41"/>
      <c r="B92" s="41"/>
      <c r="C92" s="42" t="s">
        <v>150</v>
      </c>
      <c r="D92" s="41"/>
      <c r="E92" s="41" t="s">
        <v>151</v>
      </c>
      <c r="F92" s="52" t="s">
        <v>153</v>
      </c>
      <c r="G92" s="49">
        <v>0</v>
      </c>
      <c r="H92" s="40" t="s">
        <v>151</v>
      </c>
      <c r="J92" s="30"/>
    </row>
    <row r="93" spans="1:10" x14ac:dyDescent="0.2">
      <c r="A93" s="41"/>
      <c r="B93" s="41"/>
      <c r="C93" s="50"/>
      <c r="D93" s="41"/>
      <c r="E93" s="41"/>
      <c r="F93" s="51"/>
      <c r="G93" s="51"/>
      <c r="H93" s="40" t="s">
        <v>151</v>
      </c>
      <c r="J93" s="30"/>
    </row>
    <row r="94" spans="1:10" x14ac:dyDescent="0.2">
      <c r="A94" s="41"/>
      <c r="B94" s="41"/>
      <c r="C94" s="42" t="s">
        <v>160</v>
      </c>
      <c r="D94" s="41"/>
      <c r="E94" s="41"/>
      <c r="F94" s="41"/>
      <c r="G94" s="41"/>
      <c r="H94" s="40" t="s">
        <v>151</v>
      </c>
      <c r="J94" s="30"/>
    </row>
    <row r="95" spans="1:10" x14ac:dyDescent="0.2">
      <c r="A95" s="41"/>
      <c r="B95" s="41"/>
      <c r="C95" s="42" t="s">
        <v>150</v>
      </c>
      <c r="D95" s="41"/>
      <c r="E95" s="41" t="s">
        <v>151</v>
      </c>
      <c r="F95" s="52" t="s">
        <v>153</v>
      </c>
      <c r="G95" s="49">
        <v>0</v>
      </c>
      <c r="H95" s="40" t="s">
        <v>151</v>
      </c>
      <c r="J95" s="30"/>
    </row>
    <row r="96" spans="1:10" x14ac:dyDescent="0.2">
      <c r="A96" s="41"/>
      <c r="B96" s="41"/>
      <c r="C96" s="50"/>
      <c r="D96" s="41"/>
      <c r="E96" s="41"/>
      <c r="F96" s="51"/>
      <c r="G96" s="51"/>
      <c r="H96" s="40" t="s">
        <v>151</v>
      </c>
      <c r="J96" s="30"/>
    </row>
    <row r="97" spans="1:10" x14ac:dyDescent="0.2">
      <c r="A97" s="41"/>
      <c r="B97" s="41"/>
      <c r="C97" s="42" t="s">
        <v>161</v>
      </c>
      <c r="D97" s="41"/>
      <c r="E97" s="41"/>
      <c r="F97" s="41"/>
      <c r="G97" s="41"/>
      <c r="H97" s="40" t="s">
        <v>151</v>
      </c>
      <c r="J97" s="30"/>
    </row>
    <row r="98" spans="1:10" x14ac:dyDescent="0.2">
      <c r="A98" s="41"/>
      <c r="B98" s="41"/>
      <c r="C98" s="42" t="s">
        <v>150</v>
      </c>
      <c r="D98" s="41"/>
      <c r="E98" s="41" t="s">
        <v>151</v>
      </c>
      <c r="F98" s="52" t="s">
        <v>153</v>
      </c>
      <c r="G98" s="49">
        <v>0</v>
      </c>
      <c r="H98" s="40" t="s">
        <v>151</v>
      </c>
      <c r="J98" s="30"/>
    </row>
    <row r="99" spans="1:10" x14ac:dyDescent="0.2">
      <c r="A99" s="41"/>
      <c r="B99" s="41"/>
      <c r="C99" s="50"/>
      <c r="D99" s="41"/>
      <c r="E99" s="41"/>
      <c r="F99" s="51"/>
      <c r="G99" s="51"/>
      <c r="H99" s="40" t="s">
        <v>151</v>
      </c>
      <c r="J99" s="30"/>
    </row>
    <row r="100" spans="1:10" x14ac:dyDescent="0.2">
      <c r="A100" s="41"/>
      <c r="B100" s="41"/>
      <c r="C100" s="42" t="s">
        <v>162</v>
      </c>
      <c r="D100" s="41"/>
      <c r="E100" s="41"/>
      <c r="F100" s="51"/>
      <c r="G100" s="51"/>
      <c r="H100" s="40" t="s">
        <v>151</v>
      </c>
      <c r="J100" s="30"/>
    </row>
    <row r="101" spans="1:10" x14ac:dyDescent="0.2">
      <c r="A101" s="41"/>
      <c r="B101" s="41"/>
      <c r="C101" s="42" t="s">
        <v>150</v>
      </c>
      <c r="D101" s="41"/>
      <c r="E101" s="41" t="s">
        <v>151</v>
      </c>
      <c r="F101" s="52" t="s">
        <v>153</v>
      </c>
      <c r="G101" s="49">
        <v>0</v>
      </c>
      <c r="H101" s="40" t="s">
        <v>151</v>
      </c>
      <c r="J101" s="30"/>
    </row>
    <row r="102" spans="1:10" x14ac:dyDescent="0.2">
      <c r="A102" s="41"/>
      <c r="B102" s="41"/>
      <c r="C102" s="50"/>
      <c r="D102" s="41"/>
      <c r="E102" s="41"/>
      <c r="F102" s="51"/>
      <c r="G102" s="51"/>
      <c r="H102" s="40" t="s">
        <v>151</v>
      </c>
      <c r="J102" s="30"/>
    </row>
    <row r="103" spans="1:10" x14ac:dyDescent="0.2">
      <c r="A103" s="41"/>
      <c r="B103" s="41"/>
      <c r="C103" s="42" t="s">
        <v>163</v>
      </c>
      <c r="D103" s="41"/>
      <c r="E103" s="41"/>
      <c r="F103" s="48">
        <v>0</v>
      </c>
      <c r="G103" s="49">
        <v>0</v>
      </c>
      <c r="H103" s="40" t="s">
        <v>151</v>
      </c>
      <c r="J103" s="30"/>
    </row>
    <row r="104" spans="1:10" x14ac:dyDescent="0.2">
      <c r="A104" s="41"/>
      <c r="B104" s="41"/>
      <c r="C104" s="50"/>
      <c r="D104" s="41"/>
      <c r="E104" s="41"/>
      <c r="F104" s="51"/>
      <c r="G104" s="51"/>
      <c r="H104" s="40" t="s">
        <v>151</v>
      </c>
      <c r="J104" s="30"/>
    </row>
    <row r="105" spans="1:10" x14ac:dyDescent="0.2">
      <c r="A105" s="41"/>
      <c r="B105" s="41"/>
      <c r="C105" s="42" t="s">
        <v>164</v>
      </c>
      <c r="D105" s="41"/>
      <c r="E105" s="41"/>
      <c r="F105" s="51"/>
      <c r="G105" s="51"/>
      <c r="H105" s="40" t="s">
        <v>151</v>
      </c>
      <c r="J105" s="30"/>
    </row>
    <row r="106" spans="1:10" x14ac:dyDescent="0.2">
      <c r="A106" s="41"/>
      <c r="B106" s="41"/>
      <c r="C106" s="42" t="s">
        <v>165</v>
      </c>
      <c r="D106" s="41"/>
      <c r="E106" s="41"/>
      <c r="F106" s="51"/>
      <c r="G106" s="51"/>
      <c r="H106" s="40" t="s">
        <v>151</v>
      </c>
      <c r="J106" s="30"/>
    </row>
    <row r="107" spans="1:10" x14ac:dyDescent="0.2">
      <c r="A107" s="41"/>
      <c r="B107" s="41"/>
      <c r="C107" s="42" t="s">
        <v>150</v>
      </c>
      <c r="D107" s="41"/>
      <c r="E107" s="41" t="s">
        <v>151</v>
      </c>
      <c r="F107" s="52" t="s">
        <v>153</v>
      </c>
      <c r="G107" s="49">
        <v>0</v>
      </c>
      <c r="H107" s="40" t="s">
        <v>151</v>
      </c>
      <c r="J107" s="30"/>
    </row>
    <row r="108" spans="1:10" x14ac:dyDescent="0.2">
      <c r="A108" s="41"/>
      <c r="B108" s="41"/>
      <c r="C108" s="50"/>
      <c r="D108" s="41"/>
      <c r="E108" s="41"/>
      <c r="F108" s="51"/>
      <c r="G108" s="51"/>
      <c r="H108" s="40" t="s">
        <v>151</v>
      </c>
      <c r="J108" s="30"/>
    </row>
    <row r="109" spans="1:10" x14ac:dyDescent="0.2">
      <c r="A109" s="41"/>
      <c r="B109" s="41"/>
      <c r="C109" s="42" t="s">
        <v>166</v>
      </c>
      <c r="D109" s="41"/>
      <c r="E109" s="41"/>
      <c r="F109" s="51"/>
      <c r="G109" s="51"/>
      <c r="H109" s="40" t="s">
        <v>151</v>
      </c>
      <c r="J109" s="30"/>
    </row>
    <row r="110" spans="1:10" x14ac:dyDescent="0.2">
      <c r="A110" s="41"/>
      <c r="B110" s="41"/>
      <c r="C110" s="42" t="s">
        <v>150</v>
      </c>
      <c r="D110" s="41"/>
      <c r="E110" s="41" t="s">
        <v>151</v>
      </c>
      <c r="F110" s="52" t="s">
        <v>153</v>
      </c>
      <c r="G110" s="49">
        <v>0</v>
      </c>
      <c r="H110" s="40" t="s">
        <v>151</v>
      </c>
      <c r="J110" s="30"/>
    </row>
    <row r="111" spans="1:10" x14ac:dyDescent="0.2">
      <c r="A111" s="41"/>
      <c r="B111" s="41"/>
      <c r="C111" s="50"/>
      <c r="D111" s="41"/>
      <c r="E111" s="41"/>
      <c r="F111" s="51"/>
      <c r="G111" s="51"/>
      <c r="H111" s="40" t="s">
        <v>151</v>
      </c>
      <c r="J111" s="30"/>
    </row>
    <row r="112" spans="1:10" x14ac:dyDescent="0.2">
      <c r="A112" s="41"/>
      <c r="B112" s="41"/>
      <c r="C112" s="42" t="s">
        <v>167</v>
      </c>
      <c r="D112" s="41"/>
      <c r="E112" s="41"/>
      <c r="F112" s="51"/>
      <c r="G112" s="51"/>
      <c r="H112" s="40" t="s">
        <v>151</v>
      </c>
      <c r="J112" s="30"/>
    </row>
    <row r="113" spans="1:10" x14ac:dyDescent="0.2">
      <c r="A113" s="41"/>
      <c r="B113" s="41"/>
      <c r="C113" s="42" t="s">
        <v>150</v>
      </c>
      <c r="D113" s="41"/>
      <c r="E113" s="41" t="s">
        <v>151</v>
      </c>
      <c r="F113" s="52" t="s">
        <v>153</v>
      </c>
      <c r="G113" s="49">
        <v>0</v>
      </c>
      <c r="H113" s="40" t="s">
        <v>151</v>
      </c>
      <c r="J113" s="30"/>
    </row>
    <row r="114" spans="1:10" x14ac:dyDescent="0.2">
      <c r="A114" s="41"/>
      <c r="B114" s="41"/>
      <c r="C114" s="50"/>
      <c r="D114" s="41"/>
      <c r="E114" s="41"/>
      <c r="F114" s="51"/>
      <c r="G114" s="51"/>
      <c r="H114" s="40" t="s">
        <v>151</v>
      </c>
      <c r="J114" s="30"/>
    </row>
    <row r="115" spans="1:10" x14ac:dyDescent="0.2">
      <c r="A115" s="41"/>
      <c r="B115" s="41"/>
      <c r="C115" s="42" t="s">
        <v>168</v>
      </c>
      <c r="D115" s="41"/>
      <c r="E115" s="41"/>
      <c r="F115" s="51"/>
      <c r="G115" s="51"/>
      <c r="H115" s="40" t="s">
        <v>151</v>
      </c>
      <c r="J115" s="30"/>
    </row>
    <row r="116" spans="1:10" x14ac:dyDescent="0.2">
      <c r="A116" s="43">
        <v>1</v>
      </c>
      <c r="B116" s="44"/>
      <c r="C116" s="44" t="s">
        <v>169</v>
      </c>
      <c r="D116" s="44"/>
      <c r="E116" s="54"/>
      <c r="F116" s="46">
        <v>1718.501496993</v>
      </c>
      <c r="G116" s="47">
        <v>7.8604199999999999E-3</v>
      </c>
      <c r="H116" s="40">
        <v>6.39</v>
      </c>
      <c r="J116" s="30"/>
    </row>
    <row r="117" spans="1:10" x14ac:dyDescent="0.2">
      <c r="A117" s="41"/>
      <c r="B117" s="41"/>
      <c r="C117" s="42" t="s">
        <v>150</v>
      </c>
      <c r="D117" s="41"/>
      <c r="E117" s="41" t="s">
        <v>151</v>
      </c>
      <c r="F117" s="48">
        <v>1718.501496993</v>
      </c>
      <c r="G117" s="49">
        <v>7.8604199999999999E-3</v>
      </c>
      <c r="H117" s="40" t="s">
        <v>151</v>
      </c>
      <c r="J117" s="30"/>
    </row>
    <row r="118" spans="1:10" x14ac:dyDescent="0.2">
      <c r="A118" s="41"/>
      <c r="B118" s="41"/>
      <c r="C118" s="50"/>
      <c r="D118" s="41"/>
      <c r="E118" s="41"/>
      <c r="F118" s="51"/>
      <c r="G118" s="51"/>
      <c r="H118" s="40" t="s">
        <v>151</v>
      </c>
      <c r="J118" s="30"/>
    </row>
    <row r="119" spans="1:10" x14ac:dyDescent="0.2">
      <c r="A119" s="41"/>
      <c r="B119" s="41"/>
      <c r="C119" s="42" t="s">
        <v>170</v>
      </c>
      <c r="D119" s="41"/>
      <c r="E119" s="41"/>
      <c r="F119" s="48">
        <v>1718.501496993</v>
      </c>
      <c r="G119" s="49">
        <v>7.8604199999999999E-3</v>
      </c>
      <c r="H119" s="40" t="s">
        <v>151</v>
      </c>
      <c r="J119" s="30"/>
    </row>
    <row r="120" spans="1:10" x14ac:dyDescent="0.2">
      <c r="A120" s="41"/>
      <c r="B120" s="41"/>
      <c r="C120" s="51"/>
      <c r="D120" s="41"/>
      <c r="E120" s="41"/>
      <c r="F120" s="41"/>
      <c r="G120" s="41"/>
      <c r="H120" s="40" t="s">
        <v>151</v>
      </c>
      <c r="J120" s="30"/>
    </row>
    <row r="121" spans="1:10" x14ac:dyDescent="0.2">
      <c r="A121" s="41"/>
      <c r="B121" s="41"/>
      <c r="C121" s="42" t="s">
        <v>171</v>
      </c>
      <c r="D121" s="41"/>
      <c r="E121" s="41"/>
      <c r="F121" s="41"/>
      <c r="G121" s="41"/>
      <c r="H121" s="40" t="s">
        <v>151</v>
      </c>
      <c r="J121" s="30"/>
    </row>
    <row r="122" spans="1:10" x14ac:dyDescent="0.2">
      <c r="A122" s="41"/>
      <c r="B122" s="41"/>
      <c r="C122" s="42" t="s">
        <v>172</v>
      </c>
      <c r="D122" s="41"/>
      <c r="E122" s="41"/>
      <c r="F122" s="41"/>
      <c r="G122" s="41"/>
      <c r="H122" s="40" t="s">
        <v>151</v>
      </c>
      <c r="J122" s="30"/>
    </row>
    <row r="123" spans="1:10" x14ac:dyDescent="0.2">
      <c r="A123" s="41"/>
      <c r="B123" s="41"/>
      <c r="C123" s="42" t="s">
        <v>150</v>
      </c>
      <c r="D123" s="41"/>
      <c r="E123" s="41" t="s">
        <v>151</v>
      </c>
      <c r="F123" s="52" t="s">
        <v>153</v>
      </c>
      <c r="G123" s="49">
        <v>0</v>
      </c>
      <c r="H123" s="40" t="s">
        <v>151</v>
      </c>
      <c r="J123" s="30"/>
    </row>
    <row r="124" spans="1:10" x14ac:dyDescent="0.2">
      <c r="A124" s="41"/>
      <c r="B124" s="41"/>
      <c r="C124" s="50"/>
      <c r="D124" s="41"/>
      <c r="E124" s="41"/>
      <c r="F124" s="51"/>
      <c r="G124" s="51"/>
      <c r="H124" s="40" t="s">
        <v>151</v>
      </c>
      <c r="J124" s="30"/>
    </row>
    <row r="125" spans="1:10" x14ac:dyDescent="0.2">
      <c r="A125" s="41"/>
      <c r="B125" s="41"/>
      <c r="C125" s="42" t="s">
        <v>173</v>
      </c>
      <c r="D125" s="41"/>
      <c r="E125" s="41"/>
      <c r="F125" s="41"/>
      <c r="G125" s="41"/>
      <c r="H125" s="40" t="s">
        <v>151</v>
      </c>
      <c r="J125" s="30"/>
    </row>
    <row r="126" spans="1:10" x14ac:dyDescent="0.2">
      <c r="A126" s="41"/>
      <c r="B126" s="41"/>
      <c r="C126" s="42" t="s">
        <v>174</v>
      </c>
      <c r="D126" s="41"/>
      <c r="E126" s="41"/>
      <c r="F126" s="41"/>
      <c r="G126" s="41"/>
      <c r="H126" s="40" t="s">
        <v>151</v>
      </c>
      <c r="J126" s="30"/>
    </row>
    <row r="127" spans="1:10" x14ac:dyDescent="0.2">
      <c r="A127" s="41"/>
      <c r="B127" s="41"/>
      <c r="C127" s="42" t="s">
        <v>150</v>
      </c>
      <c r="D127" s="41"/>
      <c r="E127" s="41" t="s">
        <v>151</v>
      </c>
      <c r="F127" s="52" t="s">
        <v>153</v>
      </c>
      <c r="G127" s="49">
        <v>0</v>
      </c>
      <c r="H127" s="40" t="s">
        <v>151</v>
      </c>
      <c r="J127" s="30"/>
    </row>
    <row r="128" spans="1:10" x14ac:dyDescent="0.2">
      <c r="A128" s="41"/>
      <c r="B128" s="41"/>
      <c r="C128" s="50"/>
      <c r="D128" s="41"/>
      <c r="E128" s="41"/>
      <c r="F128" s="51"/>
      <c r="G128" s="51"/>
      <c r="H128" s="40" t="s">
        <v>151</v>
      </c>
      <c r="J128" s="30"/>
    </row>
    <row r="129" spans="1:17" x14ac:dyDescent="0.2">
      <c r="A129" s="41"/>
      <c r="B129" s="41"/>
      <c r="C129" s="42" t="s">
        <v>175</v>
      </c>
      <c r="D129" s="41"/>
      <c r="E129" s="41"/>
      <c r="F129" s="51"/>
      <c r="G129" s="51"/>
      <c r="H129" s="40" t="s">
        <v>151</v>
      </c>
      <c r="J129" s="30"/>
    </row>
    <row r="130" spans="1:17" x14ac:dyDescent="0.2">
      <c r="A130" s="41"/>
      <c r="B130" s="41"/>
      <c r="C130" s="42" t="s">
        <v>150</v>
      </c>
      <c r="D130" s="41"/>
      <c r="E130" s="41" t="s">
        <v>151</v>
      </c>
      <c r="F130" s="52" t="s">
        <v>153</v>
      </c>
      <c r="G130" s="49">
        <v>0</v>
      </c>
      <c r="H130" s="40" t="s">
        <v>151</v>
      </c>
      <c r="J130" s="30"/>
    </row>
    <row r="131" spans="1:17" x14ac:dyDescent="0.2">
      <c r="A131" s="41"/>
      <c r="B131" s="41"/>
      <c r="C131" s="50"/>
      <c r="D131" s="41"/>
      <c r="E131" s="41"/>
      <c r="F131" s="51"/>
      <c r="G131" s="51"/>
      <c r="H131" s="40" t="s">
        <v>151</v>
      </c>
      <c r="J131" s="30"/>
    </row>
    <row r="132" spans="1:17" x14ac:dyDescent="0.2">
      <c r="A132" s="54"/>
      <c r="B132" s="44"/>
      <c r="C132" s="44" t="s">
        <v>176</v>
      </c>
      <c r="D132" s="44"/>
      <c r="E132" s="54"/>
      <c r="F132" s="46">
        <v>-204.51886089000001</v>
      </c>
      <c r="G132" s="47">
        <v>-9.3546999999999999E-4</v>
      </c>
      <c r="H132" s="40" t="s">
        <v>151</v>
      </c>
      <c r="J132" s="30"/>
    </row>
    <row r="133" spans="1:17" x14ac:dyDescent="0.2">
      <c r="A133" s="50"/>
      <c r="B133" s="50"/>
      <c r="C133" s="42" t="s">
        <v>177</v>
      </c>
      <c r="D133" s="51"/>
      <c r="E133" s="51"/>
      <c r="F133" s="48">
        <v>218627.323129503</v>
      </c>
      <c r="G133" s="55">
        <v>1.0000000600000001</v>
      </c>
      <c r="H133" s="40" t="s">
        <v>151</v>
      </c>
      <c r="J133" s="30"/>
    </row>
    <row r="134" spans="1:17" x14ac:dyDescent="0.2">
      <c r="A134" s="56"/>
      <c r="B134" s="56"/>
      <c r="C134" s="56"/>
      <c r="D134" s="57"/>
      <c r="E134" s="57"/>
      <c r="F134" s="57"/>
      <c r="G134" s="57"/>
      <c r="J134" s="7"/>
    </row>
    <row r="135" spans="1:17" ht="12.75" customHeight="1" x14ac:dyDescent="0.2">
      <c r="A135" s="58"/>
      <c r="B135" s="159" t="s">
        <v>923</v>
      </c>
      <c r="C135" s="159"/>
      <c r="D135" s="159"/>
      <c r="E135" s="159"/>
      <c r="F135" s="159"/>
      <c r="G135" s="159"/>
      <c r="H135" s="159"/>
      <c r="J135" s="7"/>
    </row>
    <row r="136" spans="1:17" ht="14.1" customHeight="1" x14ac:dyDescent="0.2">
      <c r="A136" s="58"/>
      <c r="B136" s="159" t="s">
        <v>924</v>
      </c>
      <c r="C136" s="159"/>
      <c r="D136" s="159"/>
      <c r="E136" s="159"/>
      <c r="F136" s="159"/>
      <c r="G136" s="159"/>
      <c r="H136" s="159"/>
      <c r="J136" s="7"/>
    </row>
    <row r="137" spans="1:17" ht="17.100000000000001" customHeight="1" x14ac:dyDescent="0.2">
      <c r="A137" s="58"/>
      <c r="B137" s="159" t="s">
        <v>925</v>
      </c>
      <c r="C137" s="159"/>
      <c r="D137" s="159"/>
      <c r="E137" s="159"/>
      <c r="F137" s="159"/>
      <c r="G137" s="159"/>
      <c r="H137" s="159"/>
      <c r="J137" s="7"/>
    </row>
    <row r="138" spans="1:17" s="8" customFormat="1" ht="65.25" customHeight="1" x14ac:dyDescent="0.25">
      <c r="A138" s="60"/>
      <c r="B138" s="160" t="s">
        <v>926</v>
      </c>
      <c r="C138" s="160"/>
      <c r="D138" s="160"/>
      <c r="E138" s="160"/>
      <c r="F138" s="160"/>
      <c r="G138" s="160"/>
      <c r="H138" s="160"/>
      <c r="I138"/>
      <c r="J138" s="7"/>
      <c r="K138"/>
      <c r="L138"/>
      <c r="M138"/>
      <c r="N138"/>
      <c r="O138"/>
      <c r="P138"/>
      <c r="Q138"/>
    </row>
    <row r="139" spans="1:17" ht="12.75" customHeight="1" x14ac:dyDescent="0.2">
      <c r="A139" s="58"/>
      <c r="B139" s="159" t="s">
        <v>927</v>
      </c>
      <c r="C139" s="159"/>
      <c r="D139" s="159"/>
      <c r="E139" s="159"/>
      <c r="F139" s="159"/>
      <c r="G139" s="159"/>
      <c r="H139" s="159"/>
      <c r="J139" s="30"/>
    </row>
    <row r="140" spans="1:17" x14ac:dyDescent="0.2">
      <c r="A140" s="61"/>
      <c r="B140" s="61"/>
      <c r="C140" s="61"/>
      <c r="D140" s="62"/>
      <c r="E140" s="62"/>
      <c r="F140" s="62"/>
      <c r="G140" s="62"/>
      <c r="J140" s="30"/>
    </row>
    <row r="141" spans="1:17" x14ac:dyDescent="0.2">
      <c r="A141" s="61"/>
      <c r="B141" s="161" t="s">
        <v>178</v>
      </c>
      <c r="C141" s="162"/>
      <c r="D141" s="163"/>
      <c r="E141" s="63"/>
      <c r="F141" s="62"/>
      <c r="G141" s="62"/>
      <c r="J141" s="30"/>
    </row>
    <row r="142" spans="1:17" x14ac:dyDescent="0.2">
      <c r="A142" s="61"/>
      <c r="B142" s="156" t="s">
        <v>179</v>
      </c>
      <c r="C142" s="157"/>
      <c r="D142" s="42" t="s">
        <v>180</v>
      </c>
      <c r="E142" s="63"/>
      <c r="F142" s="62"/>
      <c r="G142" s="62"/>
      <c r="J142" s="30"/>
    </row>
    <row r="143" spans="1:17" x14ac:dyDescent="0.2">
      <c r="A143" s="61"/>
      <c r="B143" s="156" t="s">
        <v>181</v>
      </c>
      <c r="C143" s="157"/>
      <c r="D143" s="42" t="s">
        <v>180</v>
      </c>
      <c r="E143" s="63"/>
      <c r="F143" s="62"/>
      <c r="G143" s="62"/>
      <c r="J143" s="30"/>
    </row>
    <row r="144" spans="1:17" x14ac:dyDescent="0.2">
      <c r="A144" s="61"/>
      <c r="B144" s="156" t="s">
        <v>182</v>
      </c>
      <c r="C144" s="157"/>
      <c r="D144" s="51" t="s">
        <v>151</v>
      </c>
      <c r="E144" s="63"/>
      <c r="F144" s="62"/>
      <c r="G144" s="62"/>
      <c r="J144" s="30"/>
    </row>
    <row r="145" spans="1:10" x14ac:dyDescent="0.2">
      <c r="A145" s="67"/>
      <c r="B145" s="68" t="s">
        <v>151</v>
      </c>
      <c r="C145" s="68" t="s">
        <v>937</v>
      </c>
      <c r="D145" s="68" t="s">
        <v>183</v>
      </c>
      <c r="E145" s="67"/>
      <c r="F145" s="67"/>
      <c r="G145" s="67"/>
      <c r="H145" s="67"/>
      <c r="J145" s="30"/>
    </row>
    <row r="146" spans="1:10" x14ac:dyDescent="0.2">
      <c r="A146" s="69"/>
      <c r="B146" s="70" t="s">
        <v>184</v>
      </c>
      <c r="C146" s="80" t="s">
        <v>185</v>
      </c>
      <c r="D146" s="80" t="s">
        <v>186</v>
      </c>
      <c r="E146" s="69"/>
      <c r="F146" s="69"/>
      <c r="G146" s="69"/>
      <c r="J146" s="30"/>
    </row>
    <row r="147" spans="1:10" x14ac:dyDescent="0.2">
      <c r="A147" s="69"/>
      <c r="B147" s="44" t="s">
        <v>187</v>
      </c>
      <c r="C147" s="72">
        <v>14.235900000000001</v>
      </c>
      <c r="D147" s="72">
        <v>14.8147</v>
      </c>
      <c r="E147" s="69"/>
      <c r="F147" s="73"/>
      <c r="G147" s="74"/>
      <c r="J147" s="30"/>
    </row>
    <row r="148" spans="1:10" x14ac:dyDescent="0.2">
      <c r="A148" s="69"/>
      <c r="B148" s="44" t="s">
        <v>1094</v>
      </c>
      <c r="C148" s="72">
        <v>14.2355</v>
      </c>
      <c r="D148" s="72">
        <v>14.814299999999999</v>
      </c>
      <c r="E148" s="69"/>
      <c r="F148" s="73"/>
      <c r="G148" s="74"/>
      <c r="J148" s="30"/>
    </row>
    <row r="149" spans="1:10" x14ac:dyDescent="0.2">
      <c r="A149" s="69"/>
      <c r="B149" s="44" t="s">
        <v>188</v>
      </c>
      <c r="C149" s="72">
        <v>13.808400000000001</v>
      </c>
      <c r="D149" s="72">
        <v>14.352399999999999</v>
      </c>
      <c r="E149" s="69"/>
      <c r="F149" s="73"/>
      <c r="G149" s="74"/>
      <c r="J149" s="30"/>
    </row>
    <row r="150" spans="1:10" x14ac:dyDescent="0.2">
      <c r="A150" s="69"/>
      <c r="B150" s="44" t="s">
        <v>1095</v>
      </c>
      <c r="C150" s="72">
        <v>13.808199999999999</v>
      </c>
      <c r="D150" s="72">
        <v>14.3522</v>
      </c>
      <c r="E150" s="69"/>
      <c r="F150" s="73"/>
      <c r="G150" s="74"/>
      <c r="J150" s="30"/>
    </row>
    <row r="151" spans="1:10" x14ac:dyDescent="0.2">
      <c r="A151" s="69"/>
      <c r="B151" s="69"/>
      <c r="C151" s="69"/>
      <c r="D151" s="69"/>
      <c r="E151" s="69"/>
      <c r="F151" s="69"/>
      <c r="G151" s="69"/>
      <c r="J151" s="30"/>
    </row>
    <row r="152" spans="1:10" x14ac:dyDescent="0.2">
      <c r="A152" s="67"/>
      <c r="B152" s="164" t="s">
        <v>940</v>
      </c>
      <c r="C152" s="165"/>
      <c r="D152" s="64" t="s">
        <v>180</v>
      </c>
      <c r="E152" s="67"/>
      <c r="F152" s="67"/>
      <c r="G152" s="67"/>
      <c r="J152" s="30"/>
    </row>
    <row r="153" spans="1:10" x14ac:dyDescent="0.2">
      <c r="A153" s="67"/>
      <c r="B153" s="84"/>
      <c r="C153" s="84"/>
      <c r="D153" s="84"/>
      <c r="E153" s="67"/>
      <c r="F153" s="67"/>
      <c r="G153" s="67"/>
      <c r="J153" s="30"/>
    </row>
    <row r="154" spans="1:10" ht="29.1" customHeight="1" x14ac:dyDescent="0.2">
      <c r="A154" s="67"/>
      <c r="B154" s="164" t="s">
        <v>189</v>
      </c>
      <c r="C154" s="165"/>
      <c r="D154" s="64" t="s">
        <v>180</v>
      </c>
      <c r="E154" s="75"/>
      <c r="F154" s="67"/>
      <c r="G154" s="67"/>
      <c r="J154" s="30"/>
    </row>
    <row r="155" spans="1:10" ht="29.1" customHeight="1" x14ac:dyDescent="0.2">
      <c r="A155" s="67"/>
      <c r="B155" s="164" t="s">
        <v>190</v>
      </c>
      <c r="C155" s="165"/>
      <c r="D155" s="64" t="s">
        <v>180</v>
      </c>
      <c r="E155" s="75"/>
      <c r="F155" s="67"/>
      <c r="G155" s="67"/>
      <c r="J155" s="30"/>
    </row>
    <row r="156" spans="1:10" ht="17.100000000000001" customHeight="1" x14ac:dyDescent="0.2">
      <c r="A156" s="67"/>
      <c r="B156" s="164" t="s">
        <v>191</v>
      </c>
      <c r="C156" s="165"/>
      <c r="D156" s="64" t="s">
        <v>180</v>
      </c>
      <c r="E156" s="75"/>
      <c r="F156" s="67"/>
      <c r="G156" s="67"/>
      <c r="J156" s="30"/>
    </row>
    <row r="157" spans="1:10" ht="17.100000000000001" customHeight="1" x14ac:dyDescent="0.2">
      <c r="A157" s="67"/>
      <c r="B157" s="164" t="s">
        <v>192</v>
      </c>
      <c r="C157" s="165"/>
      <c r="D157" s="76">
        <v>0.24993681081766775</v>
      </c>
      <c r="E157" s="67"/>
      <c r="F157" s="59"/>
      <c r="G157" s="77"/>
    </row>
  </sheetData>
  <mergeCells count="17">
    <mergeCell ref="B143:C143"/>
    <mergeCell ref="B144:C144"/>
    <mergeCell ref="B152:C152"/>
    <mergeCell ref="B156:C156"/>
    <mergeCell ref="B157:C157"/>
    <mergeCell ref="B154:C154"/>
    <mergeCell ref="B155:C155"/>
    <mergeCell ref="B142:C142"/>
    <mergeCell ref="A1:H1"/>
    <mergeCell ref="A2:H2"/>
    <mergeCell ref="A3:H3"/>
    <mergeCell ref="B135:H135"/>
    <mergeCell ref="B136:H136"/>
    <mergeCell ref="B137:H137"/>
    <mergeCell ref="B138:H138"/>
    <mergeCell ref="B139:H139"/>
    <mergeCell ref="B141:D141"/>
  </mergeCells>
  <hyperlinks>
    <hyperlink ref="I1" location="Index!B28" display="Index" xr:uid="{E781477F-8CF2-4638-8CA3-0DE198ADFCE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C25BE-5CC5-4C9E-A477-3D0909024987}">
  <sheetPr>
    <outlinePr summaryBelow="0" summaryRight="0"/>
  </sheetPr>
  <dimension ref="A1:Q12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13.7109375" bestFit="1" customWidth="1"/>
    <col min="5" max="5" width="9" bestFit="1" customWidth="1"/>
    <col min="6" max="6" width="10.140625" bestFit="1" customWidth="1"/>
    <col min="7" max="7" width="10.140625" customWidth="1"/>
    <col min="8" max="8" width="8.42578125" bestFit="1" customWidth="1"/>
    <col min="10" max="10" width="50.7109375" style="1" customWidth="1"/>
  </cols>
  <sheetData>
    <row r="1" spans="1:10" ht="15" x14ac:dyDescent="0.2">
      <c r="A1" s="158" t="s">
        <v>0</v>
      </c>
      <c r="B1" s="158"/>
      <c r="C1" s="158"/>
      <c r="D1" s="158"/>
      <c r="E1" s="158"/>
      <c r="F1" s="158"/>
      <c r="G1" s="158"/>
      <c r="H1" s="158"/>
      <c r="I1" s="13" t="s">
        <v>941</v>
      </c>
      <c r="J1" s="31"/>
    </row>
    <row r="2" spans="1:10" ht="15" x14ac:dyDescent="0.2">
      <c r="A2" s="158" t="s">
        <v>864</v>
      </c>
      <c r="B2" s="158"/>
      <c r="C2" s="158"/>
      <c r="D2" s="158"/>
      <c r="E2" s="158"/>
      <c r="F2" s="158"/>
      <c r="G2" s="158"/>
      <c r="H2" s="158"/>
      <c r="J2" s="11" t="s">
        <v>942</v>
      </c>
    </row>
    <row r="3" spans="1:10" ht="15" x14ac:dyDescent="0.2">
      <c r="A3" s="158" t="s">
        <v>880</v>
      </c>
      <c r="B3" s="158"/>
      <c r="C3" s="158"/>
      <c r="D3" s="158"/>
      <c r="E3" s="158"/>
      <c r="F3" s="158"/>
      <c r="G3" s="158"/>
      <c r="H3" s="158"/>
      <c r="J3" s="31"/>
    </row>
    <row r="4" spans="1:10" s="1" customFormat="1" ht="30" x14ac:dyDescent="0.2">
      <c r="A4" s="36" t="s">
        <v>2</v>
      </c>
      <c r="B4" s="36" t="s">
        <v>3</v>
      </c>
      <c r="C4" s="36" t="s">
        <v>4</v>
      </c>
      <c r="D4" s="36" t="s">
        <v>5</v>
      </c>
      <c r="E4" s="36" t="s">
        <v>6</v>
      </c>
      <c r="F4" s="36" t="s">
        <v>7</v>
      </c>
      <c r="G4" s="36" t="s">
        <v>8</v>
      </c>
      <c r="H4" s="37" t="s">
        <v>921</v>
      </c>
      <c r="J4" s="31"/>
    </row>
    <row r="5" spans="1:10" x14ac:dyDescent="0.2">
      <c r="A5" s="41"/>
      <c r="B5" s="41"/>
      <c r="C5" s="42" t="s">
        <v>9</v>
      </c>
      <c r="D5" s="41"/>
      <c r="E5" s="41"/>
      <c r="F5" s="41"/>
      <c r="G5" s="41"/>
      <c r="H5" s="40" t="s">
        <v>151</v>
      </c>
      <c r="J5" s="31"/>
    </row>
    <row r="6" spans="1:10" x14ac:dyDescent="0.2">
      <c r="A6" s="41"/>
      <c r="B6" s="41"/>
      <c r="C6" s="42" t="s">
        <v>10</v>
      </c>
      <c r="D6" s="41"/>
      <c r="E6" s="41"/>
      <c r="F6" s="41"/>
      <c r="G6" s="41"/>
      <c r="H6" s="40" t="s">
        <v>151</v>
      </c>
      <c r="J6" s="31"/>
    </row>
    <row r="7" spans="1:10" x14ac:dyDescent="0.2">
      <c r="A7" s="43">
        <v>1</v>
      </c>
      <c r="B7" s="44" t="s">
        <v>341</v>
      </c>
      <c r="C7" s="44" t="s">
        <v>342</v>
      </c>
      <c r="D7" s="44" t="s">
        <v>45</v>
      </c>
      <c r="E7" s="45">
        <v>1549965</v>
      </c>
      <c r="F7" s="46">
        <v>25043.559487499999</v>
      </c>
      <c r="G7" s="47">
        <v>0.17768149</v>
      </c>
      <c r="H7" s="40" t="s">
        <v>151</v>
      </c>
      <c r="J7" s="31"/>
    </row>
    <row r="8" spans="1:10" x14ac:dyDescent="0.2">
      <c r="A8" s="43">
        <v>2</v>
      </c>
      <c r="B8" s="44" t="s">
        <v>347</v>
      </c>
      <c r="C8" s="44" t="s">
        <v>348</v>
      </c>
      <c r="D8" s="44" t="s">
        <v>45</v>
      </c>
      <c r="E8" s="45">
        <v>1135593</v>
      </c>
      <c r="F8" s="46">
        <v>13242.149973</v>
      </c>
      <c r="G8" s="47">
        <v>9.3951699999999999E-2</v>
      </c>
      <c r="H8" s="40" t="s">
        <v>151</v>
      </c>
      <c r="J8" s="31"/>
    </row>
    <row r="9" spans="1:10" x14ac:dyDescent="0.2">
      <c r="A9" s="43">
        <v>3</v>
      </c>
      <c r="B9" s="44" t="s">
        <v>43</v>
      </c>
      <c r="C9" s="44" t="s">
        <v>44</v>
      </c>
      <c r="D9" s="44" t="s">
        <v>45</v>
      </c>
      <c r="E9" s="45">
        <v>947571</v>
      </c>
      <c r="F9" s="46">
        <v>11512.040079</v>
      </c>
      <c r="G9" s="47">
        <v>8.1676739999999998E-2</v>
      </c>
      <c r="H9" s="40" t="s">
        <v>151</v>
      </c>
      <c r="J9" s="31"/>
    </row>
    <row r="10" spans="1:10" x14ac:dyDescent="0.2">
      <c r="A10" s="43">
        <v>4</v>
      </c>
      <c r="B10" s="44" t="s">
        <v>51</v>
      </c>
      <c r="C10" s="44" t="s">
        <v>52</v>
      </c>
      <c r="D10" s="44" t="s">
        <v>45</v>
      </c>
      <c r="E10" s="45">
        <v>885294</v>
      </c>
      <c r="F10" s="46">
        <v>7723.3048559999997</v>
      </c>
      <c r="G10" s="47">
        <v>5.4796060000000001E-2</v>
      </c>
      <c r="H10" s="40" t="s">
        <v>151</v>
      </c>
      <c r="J10" s="31"/>
    </row>
    <row r="11" spans="1:10" x14ac:dyDescent="0.2">
      <c r="A11" s="43">
        <v>5</v>
      </c>
      <c r="B11" s="44" t="s">
        <v>264</v>
      </c>
      <c r="C11" s="44" t="s">
        <v>265</v>
      </c>
      <c r="D11" s="44" t="s">
        <v>86</v>
      </c>
      <c r="E11" s="45">
        <v>431376</v>
      </c>
      <c r="F11" s="46">
        <v>6546.7778639999997</v>
      </c>
      <c r="G11" s="47">
        <v>4.6448719999999999E-2</v>
      </c>
      <c r="H11" s="40" t="s">
        <v>151</v>
      </c>
      <c r="J11" s="31"/>
    </row>
    <row r="12" spans="1:10" x14ac:dyDescent="0.2">
      <c r="A12" s="43">
        <v>6</v>
      </c>
      <c r="B12" s="44" t="s">
        <v>841</v>
      </c>
      <c r="C12" s="44" t="s">
        <v>842</v>
      </c>
      <c r="D12" s="44" t="s">
        <v>229</v>
      </c>
      <c r="E12" s="45">
        <v>789452</v>
      </c>
      <c r="F12" s="46">
        <v>6103.253412</v>
      </c>
      <c r="G12" s="47">
        <v>4.330196E-2</v>
      </c>
      <c r="H12" s="40" t="s">
        <v>151</v>
      </c>
      <c r="J12" s="31"/>
    </row>
    <row r="13" spans="1:10" x14ac:dyDescent="0.2">
      <c r="A13" s="43">
        <v>7</v>
      </c>
      <c r="B13" s="44" t="s">
        <v>248</v>
      </c>
      <c r="C13" s="44" t="s">
        <v>249</v>
      </c>
      <c r="D13" s="44" t="s">
        <v>86</v>
      </c>
      <c r="E13" s="45">
        <v>188623</v>
      </c>
      <c r="F13" s="46">
        <v>5530.3320485000004</v>
      </c>
      <c r="G13" s="47">
        <v>3.9237139999999997E-2</v>
      </c>
      <c r="H13" s="40" t="s">
        <v>151</v>
      </c>
      <c r="J13" s="31"/>
    </row>
    <row r="14" spans="1:10" x14ac:dyDescent="0.2">
      <c r="A14" s="43">
        <v>8</v>
      </c>
      <c r="B14" s="44" t="s">
        <v>414</v>
      </c>
      <c r="C14" s="44" t="s">
        <v>415</v>
      </c>
      <c r="D14" s="44" t="s">
        <v>45</v>
      </c>
      <c r="E14" s="45">
        <v>6736696</v>
      </c>
      <c r="F14" s="46">
        <v>5441.2293591999996</v>
      </c>
      <c r="G14" s="47">
        <v>3.8604960000000001E-2</v>
      </c>
      <c r="H14" s="40" t="s">
        <v>151</v>
      </c>
      <c r="J14" s="31"/>
    </row>
    <row r="15" spans="1:10" x14ac:dyDescent="0.2">
      <c r="A15" s="43">
        <v>9</v>
      </c>
      <c r="B15" s="44" t="s">
        <v>479</v>
      </c>
      <c r="C15" s="44" t="s">
        <v>480</v>
      </c>
      <c r="D15" s="44" t="s">
        <v>45</v>
      </c>
      <c r="E15" s="45">
        <v>376921</v>
      </c>
      <c r="F15" s="46">
        <v>5381.678038</v>
      </c>
      <c r="G15" s="47">
        <v>3.818245E-2</v>
      </c>
      <c r="H15" s="40" t="s">
        <v>151</v>
      </c>
      <c r="J15" s="31"/>
    </row>
    <row r="16" spans="1:10" x14ac:dyDescent="0.2">
      <c r="A16" s="43">
        <v>10</v>
      </c>
      <c r="B16" s="44" t="s">
        <v>416</v>
      </c>
      <c r="C16" s="44" t="s">
        <v>417</v>
      </c>
      <c r="D16" s="44" t="s">
        <v>45</v>
      </c>
      <c r="E16" s="45">
        <v>11215355</v>
      </c>
      <c r="F16" s="46">
        <v>5028.9651819999999</v>
      </c>
      <c r="G16" s="47">
        <v>3.5679990000000002E-2</v>
      </c>
      <c r="H16" s="40" t="s">
        <v>151</v>
      </c>
      <c r="J16" s="7" t="s">
        <v>1075</v>
      </c>
    </row>
    <row r="17" spans="1:10" x14ac:dyDescent="0.2">
      <c r="A17" s="43">
        <v>11</v>
      </c>
      <c r="B17" s="44" t="s">
        <v>84</v>
      </c>
      <c r="C17" s="44" t="s">
        <v>85</v>
      </c>
      <c r="D17" s="44" t="s">
        <v>86</v>
      </c>
      <c r="E17" s="45">
        <v>752875</v>
      </c>
      <c r="F17" s="46">
        <v>4850.3971874999997</v>
      </c>
      <c r="G17" s="47">
        <v>3.4413069999999997E-2</v>
      </c>
      <c r="H17" s="40" t="s">
        <v>151</v>
      </c>
      <c r="J17" s="31"/>
    </row>
    <row r="18" spans="1:10" x14ac:dyDescent="0.2">
      <c r="A18" s="43">
        <v>12</v>
      </c>
      <c r="B18" s="44" t="s">
        <v>424</v>
      </c>
      <c r="C18" s="44" t="s">
        <v>425</v>
      </c>
      <c r="D18" s="44" t="s">
        <v>45</v>
      </c>
      <c r="E18" s="45">
        <v>1400089</v>
      </c>
      <c r="F18" s="46">
        <v>4592.2919199999997</v>
      </c>
      <c r="G18" s="47">
        <v>3.2581840000000001E-2</v>
      </c>
      <c r="H18" s="40" t="s">
        <v>151</v>
      </c>
      <c r="J18" s="31"/>
    </row>
    <row r="19" spans="1:10" x14ac:dyDescent="0.2">
      <c r="A19" s="43">
        <v>13</v>
      </c>
      <c r="B19" s="44" t="s">
        <v>90</v>
      </c>
      <c r="C19" s="44" t="s">
        <v>91</v>
      </c>
      <c r="D19" s="44" t="s">
        <v>86</v>
      </c>
      <c r="E19" s="45">
        <v>754580</v>
      </c>
      <c r="F19" s="46">
        <v>4201.50144</v>
      </c>
      <c r="G19" s="47">
        <v>2.9809220000000001E-2</v>
      </c>
      <c r="H19" s="40" t="s">
        <v>151</v>
      </c>
      <c r="J19" s="31"/>
    </row>
    <row r="20" spans="1:10" x14ac:dyDescent="0.2">
      <c r="A20" s="43">
        <v>14</v>
      </c>
      <c r="B20" s="44" t="s">
        <v>446</v>
      </c>
      <c r="C20" s="44" t="s">
        <v>447</v>
      </c>
      <c r="D20" s="44" t="s">
        <v>86</v>
      </c>
      <c r="E20" s="45">
        <v>270224</v>
      </c>
      <c r="F20" s="46">
        <v>3587.6289360000001</v>
      </c>
      <c r="G20" s="47">
        <v>2.5453859999999998E-2</v>
      </c>
      <c r="H20" s="40" t="s">
        <v>151</v>
      </c>
      <c r="J20" s="31"/>
    </row>
    <row r="21" spans="1:10" x14ac:dyDescent="0.2">
      <c r="A21" s="43">
        <v>15</v>
      </c>
      <c r="B21" s="44" t="s">
        <v>508</v>
      </c>
      <c r="C21" s="44" t="s">
        <v>509</v>
      </c>
      <c r="D21" s="44" t="s">
        <v>45</v>
      </c>
      <c r="E21" s="45">
        <v>2667105</v>
      </c>
      <c r="F21" s="46">
        <v>3355.2180899999998</v>
      </c>
      <c r="G21" s="47">
        <v>2.3804929999999998E-2</v>
      </c>
      <c r="H21" s="40" t="s">
        <v>151</v>
      </c>
      <c r="J21" s="31"/>
    </row>
    <row r="22" spans="1:10" ht="15" x14ac:dyDescent="0.2">
      <c r="A22" s="43">
        <v>16</v>
      </c>
      <c r="B22" s="44" t="s">
        <v>469</v>
      </c>
      <c r="C22" s="44" t="s">
        <v>470</v>
      </c>
      <c r="D22" s="44" t="s">
        <v>45</v>
      </c>
      <c r="E22" s="45">
        <v>1290918</v>
      </c>
      <c r="F22" s="46">
        <v>3274.4135070000002</v>
      </c>
      <c r="G22" s="47">
        <v>2.323163E-2</v>
      </c>
      <c r="H22" s="40" t="s">
        <v>151</v>
      </c>
      <c r="J22" s="12"/>
    </row>
    <row r="23" spans="1:10" x14ac:dyDescent="0.2">
      <c r="A23" s="43">
        <v>17</v>
      </c>
      <c r="B23" s="44" t="s">
        <v>330</v>
      </c>
      <c r="C23" s="44" t="s">
        <v>331</v>
      </c>
      <c r="D23" s="44" t="s">
        <v>232</v>
      </c>
      <c r="E23" s="45">
        <v>438147</v>
      </c>
      <c r="F23" s="46">
        <v>3224.5428465</v>
      </c>
      <c r="G23" s="47">
        <v>2.28778E-2</v>
      </c>
      <c r="H23" s="40" t="s">
        <v>151</v>
      </c>
      <c r="J23" s="31"/>
    </row>
    <row r="24" spans="1:10" x14ac:dyDescent="0.2">
      <c r="A24" s="43">
        <v>18</v>
      </c>
      <c r="B24" s="44" t="s">
        <v>685</v>
      </c>
      <c r="C24" s="44" t="s">
        <v>686</v>
      </c>
      <c r="D24" s="44" t="s">
        <v>86</v>
      </c>
      <c r="E24" s="45">
        <v>43260</v>
      </c>
      <c r="F24" s="46">
        <v>2944.6865699999998</v>
      </c>
      <c r="G24" s="47">
        <v>2.0892250000000001E-2</v>
      </c>
      <c r="H24" s="40" t="s">
        <v>151</v>
      </c>
      <c r="J24" s="31"/>
    </row>
    <row r="25" spans="1:10" x14ac:dyDescent="0.2">
      <c r="A25" s="43">
        <v>19</v>
      </c>
      <c r="B25" s="44" t="s">
        <v>526</v>
      </c>
      <c r="C25" s="44" t="s">
        <v>527</v>
      </c>
      <c r="D25" s="44" t="s">
        <v>45</v>
      </c>
      <c r="E25" s="45">
        <v>1033569</v>
      </c>
      <c r="F25" s="46">
        <v>2430.9542879999999</v>
      </c>
      <c r="G25" s="47">
        <v>1.7247370000000001E-2</v>
      </c>
      <c r="H25" s="40" t="s">
        <v>151</v>
      </c>
      <c r="J25" s="31"/>
    </row>
    <row r="26" spans="1:10" x14ac:dyDescent="0.2">
      <c r="A26" s="43">
        <v>20</v>
      </c>
      <c r="B26" s="44" t="s">
        <v>289</v>
      </c>
      <c r="C26" s="44" t="s">
        <v>290</v>
      </c>
      <c r="D26" s="44" t="s">
        <v>86</v>
      </c>
      <c r="E26" s="45">
        <v>121433</v>
      </c>
      <c r="F26" s="46">
        <v>2034.7920644999999</v>
      </c>
      <c r="G26" s="47">
        <v>1.4436640000000001E-2</v>
      </c>
      <c r="H26" s="40" t="s">
        <v>151</v>
      </c>
      <c r="J26" s="31"/>
    </row>
    <row r="27" spans="1:10" x14ac:dyDescent="0.2">
      <c r="A27" s="43">
        <v>21</v>
      </c>
      <c r="B27" s="44" t="s">
        <v>309</v>
      </c>
      <c r="C27" s="44" t="s">
        <v>310</v>
      </c>
      <c r="D27" s="44" t="s">
        <v>229</v>
      </c>
      <c r="E27" s="45">
        <v>71145</v>
      </c>
      <c r="F27" s="46">
        <v>1818.7863525</v>
      </c>
      <c r="G27" s="47">
        <v>1.29041E-2</v>
      </c>
      <c r="H27" s="40" t="s">
        <v>151</v>
      </c>
      <c r="J27" s="31"/>
    </row>
    <row r="28" spans="1:10" x14ac:dyDescent="0.2">
      <c r="A28" s="43">
        <v>22</v>
      </c>
      <c r="B28" s="44" t="s">
        <v>467</v>
      </c>
      <c r="C28" s="44" t="s">
        <v>468</v>
      </c>
      <c r="D28" s="44" t="s">
        <v>232</v>
      </c>
      <c r="E28" s="45">
        <v>86450</v>
      </c>
      <c r="F28" s="46">
        <v>1516.0304249999999</v>
      </c>
      <c r="G28" s="47">
        <v>1.0756079999999999E-2</v>
      </c>
      <c r="H28" s="40" t="s">
        <v>151</v>
      </c>
      <c r="J28" s="31"/>
    </row>
    <row r="29" spans="1:10" x14ac:dyDescent="0.2">
      <c r="A29" s="43">
        <v>23</v>
      </c>
      <c r="B29" s="44" t="s">
        <v>520</v>
      </c>
      <c r="C29" s="44" t="s">
        <v>521</v>
      </c>
      <c r="D29" s="44" t="s">
        <v>86</v>
      </c>
      <c r="E29" s="45">
        <v>179107</v>
      </c>
      <c r="F29" s="46">
        <v>1442.7068850000001</v>
      </c>
      <c r="G29" s="47">
        <v>1.0235859999999999E-2</v>
      </c>
      <c r="H29" s="40" t="s">
        <v>151</v>
      </c>
      <c r="J29" s="31"/>
    </row>
    <row r="30" spans="1:10" x14ac:dyDescent="0.2">
      <c r="A30" s="43">
        <v>24</v>
      </c>
      <c r="B30" s="44" t="s">
        <v>367</v>
      </c>
      <c r="C30" s="44" t="s">
        <v>368</v>
      </c>
      <c r="D30" s="44" t="s">
        <v>229</v>
      </c>
      <c r="E30" s="45">
        <v>33012</v>
      </c>
      <c r="F30" s="46">
        <v>1416.1157639999999</v>
      </c>
      <c r="G30" s="47">
        <v>1.0047199999999999E-2</v>
      </c>
      <c r="H30" s="40" t="s">
        <v>151</v>
      </c>
      <c r="J30" s="31"/>
    </row>
    <row r="31" spans="1:10" x14ac:dyDescent="0.2">
      <c r="A31" s="43">
        <v>25</v>
      </c>
      <c r="B31" s="44" t="s">
        <v>271</v>
      </c>
      <c r="C31" s="44" t="s">
        <v>272</v>
      </c>
      <c r="D31" s="44" t="s">
        <v>45</v>
      </c>
      <c r="E31" s="45">
        <v>944001</v>
      </c>
      <c r="F31" s="46">
        <v>1272.513348</v>
      </c>
      <c r="G31" s="47">
        <v>9.0283499999999992E-3</v>
      </c>
      <c r="H31" s="40" t="s">
        <v>151</v>
      </c>
      <c r="J31" s="31"/>
    </row>
    <row r="32" spans="1:10" x14ac:dyDescent="0.2">
      <c r="A32" s="43">
        <v>26</v>
      </c>
      <c r="B32" s="44" t="s">
        <v>438</v>
      </c>
      <c r="C32" s="44" t="s">
        <v>439</v>
      </c>
      <c r="D32" s="44" t="s">
        <v>229</v>
      </c>
      <c r="E32" s="45">
        <v>51827</v>
      </c>
      <c r="F32" s="46">
        <v>1122.6505605</v>
      </c>
      <c r="G32" s="47">
        <v>7.9650899999999993E-3</v>
      </c>
      <c r="H32" s="40" t="s">
        <v>151</v>
      </c>
      <c r="J32" s="31"/>
    </row>
    <row r="33" spans="1:10" x14ac:dyDescent="0.2">
      <c r="A33" s="43">
        <v>27</v>
      </c>
      <c r="B33" s="44" t="s">
        <v>434</v>
      </c>
      <c r="C33" s="44" t="s">
        <v>435</v>
      </c>
      <c r="D33" s="44" t="s">
        <v>86</v>
      </c>
      <c r="E33" s="45">
        <v>127680</v>
      </c>
      <c r="F33" s="46">
        <v>1083.5563199999999</v>
      </c>
      <c r="G33" s="47">
        <v>7.6877200000000003E-3</v>
      </c>
      <c r="H33" s="40" t="s">
        <v>151</v>
      </c>
      <c r="J33" s="31"/>
    </row>
    <row r="34" spans="1:10" x14ac:dyDescent="0.2">
      <c r="A34" s="41"/>
      <c r="B34" s="41"/>
      <c r="C34" s="42" t="s">
        <v>150</v>
      </c>
      <c r="D34" s="41"/>
      <c r="E34" s="41" t="s">
        <v>151</v>
      </c>
      <c r="F34" s="48">
        <v>135722.07680370001</v>
      </c>
      <c r="G34" s="49">
        <v>0.96293421999999995</v>
      </c>
      <c r="H34" s="40" t="s">
        <v>151</v>
      </c>
      <c r="J34" s="31"/>
    </row>
    <row r="35" spans="1:10" x14ac:dyDescent="0.2">
      <c r="A35" s="41"/>
      <c r="B35" s="41"/>
      <c r="C35" s="50"/>
      <c r="D35" s="41"/>
      <c r="E35" s="41"/>
      <c r="F35" s="51"/>
      <c r="G35" s="51"/>
      <c r="H35" s="40" t="s">
        <v>151</v>
      </c>
      <c r="J35" s="31"/>
    </row>
    <row r="36" spans="1:10" x14ac:dyDescent="0.2">
      <c r="A36" s="41"/>
      <c r="B36" s="41"/>
      <c r="C36" s="42" t="s">
        <v>152</v>
      </c>
      <c r="D36" s="41"/>
      <c r="E36" s="41"/>
      <c r="F36" s="41"/>
      <c r="G36" s="41"/>
      <c r="H36" s="40" t="s">
        <v>151</v>
      </c>
      <c r="J36" s="31"/>
    </row>
    <row r="37" spans="1:10" x14ac:dyDescent="0.2">
      <c r="A37" s="41"/>
      <c r="B37" s="41"/>
      <c r="C37" s="42" t="s">
        <v>150</v>
      </c>
      <c r="D37" s="41"/>
      <c r="E37" s="41" t="s">
        <v>151</v>
      </c>
      <c r="F37" s="52" t="s">
        <v>153</v>
      </c>
      <c r="G37" s="49">
        <v>0</v>
      </c>
      <c r="H37" s="40" t="s">
        <v>151</v>
      </c>
      <c r="J37" s="31"/>
    </row>
    <row r="38" spans="1:10" x14ac:dyDescent="0.2">
      <c r="A38" s="41"/>
      <c r="B38" s="41"/>
      <c r="C38" s="50"/>
      <c r="D38" s="41"/>
      <c r="E38" s="41"/>
      <c r="F38" s="51"/>
      <c r="G38" s="51"/>
      <c r="H38" s="40" t="s">
        <v>151</v>
      </c>
      <c r="J38" s="31"/>
    </row>
    <row r="39" spans="1:10" x14ac:dyDescent="0.2">
      <c r="A39" s="41"/>
      <c r="B39" s="41"/>
      <c r="C39" s="42" t="s">
        <v>154</v>
      </c>
      <c r="D39" s="41"/>
      <c r="E39" s="41"/>
      <c r="F39" s="41"/>
      <c r="G39" s="41"/>
      <c r="H39" s="40" t="s">
        <v>151</v>
      </c>
      <c r="J39" s="31"/>
    </row>
    <row r="40" spans="1:10" x14ac:dyDescent="0.2">
      <c r="A40" s="41"/>
      <c r="B40" s="41"/>
      <c r="C40" s="42" t="s">
        <v>150</v>
      </c>
      <c r="D40" s="41"/>
      <c r="E40" s="41" t="s">
        <v>151</v>
      </c>
      <c r="F40" s="52" t="s">
        <v>153</v>
      </c>
      <c r="G40" s="49">
        <v>0</v>
      </c>
      <c r="H40" s="40" t="s">
        <v>151</v>
      </c>
      <c r="J40" s="31"/>
    </row>
    <row r="41" spans="1:10" x14ac:dyDescent="0.2">
      <c r="A41" s="41"/>
      <c r="B41" s="41"/>
      <c r="C41" s="50"/>
      <c r="D41" s="41"/>
      <c r="E41" s="41"/>
      <c r="F41" s="51"/>
      <c r="G41" s="51"/>
      <c r="H41" s="40" t="s">
        <v>151</v>
      </c>
      <c r="J41" s="31"/>
    </row>
    <row r="42" spans="1:10" x14ac:dyDescent="0.2">
      <c r="A42" s="41"/>
      <c r="B42" s="41"/>
      <c r="C42" s="42" t="s">
        <v>155</v>
      </c>
      <c r="D42" s="41"/>
      <c r="E42" s="41"/>
      <c r="F42" s="41"/>
      <c r="G42" s="41"/>
      <c r="H42" s="40" t="s">
        <v>151</v>
      </c>
      <c r="J42" s="31"/>
    </row>
    <row r="43" spans="1:10" x14ac:dyDescent="0.2">
      <c r="A43" s="41"/>
      <c r="B43" s="41"/>
      <c r="C43" s="42" t="s">
        <v>150</v>
      </c>
      <c r="D43" s="41"/>
      <c r="E43" s="41" t="s">
        <v>151</v>
      </c>
      <c r="F43" s="52" t="s">
        <v>153</v>
      </c>
      <c r="G43" s="49">
        <v>0</v>
      </c>
      <c r="H43" s="40" t="s">
        <v>151</v>
      </c>
      <c r="J43" s="31"/>
    </row>
    <row r="44" spans="1:10" x14ac:dyDescent="0.2">
      <c r="A44" s="41"/>
      <c r="B44" s="41"/>
      <c r="C44" s="50"/>
      <c r="D44" s="41"/>
      <c r="E44" s="41"/>
      <c r="F44" s="51"/>
      <c r="G44" s="51"/>
      <c r="H44" s="40" t="s">
        <v>151</v>
      </c>
      <c r="J44" s="31"/>
    </row>
    <row r="45" spans="1:10" x14ac:dyDescent="0.2">
      <c r="A45" s="41"/>
      <c r="B45" s="41"/>
      <c r="C45" s="42" t="s">
        <v>156</v>
      </c>
      <c r="D45" s="41"/>
      <c r="E45" s="41"/>
      <c r="F45" s="51"/>
      <c r="G45" s="51"/>
      <c r="H45" s="40" t="s">
        <v>151</v>
      </c>
      <c r="J45" s="31"/>
    </row>
    <row r="46" spans="1:10" x14ac:dyDescent="0.2">
      <c r="A46" s="41"/>
      <c r="B46" s="41"/>
      <c r="C46" s="42" t="s">
        <v>150</v>
      </c>
      <c r="D46" s="41"/>
      <c r="E46" s="41" t="s">
        <v>151</v>
      </c>
      <c r="F46" s="52" t="s">
        <v>153</v>
      </c>
      <c r="G46" s="49">
        <v>0</v>
      </c>
      <c r="H46" s="40" t="s">
        <v>151</v>
      </c>
      <c r="J46" s="31"/>
    </row>
    <row r="47" spans="1:10" x14ac:dyDescent="0.2">
      <c r="A47" s="41"/>
      <c r="B47" s="41"/>
      <c r="C47" s="50"/>
      <c r="D47" s="41"/>
      <c r="E47" s="41"/>
      <c r="F47" s="51"/>
      <c r="G47" s="51"/>
      <c r="H47" s="40" t="s">
        <v>151</v>
      </c>
      <c r="J47" s="31"/>
    </row>
    <row r="48" spans="1:10" x14ac:dyDescent="0.2">
      <c r="A48" s="41"/>
      <c r="B48" s="41"/>
      <c r="C48" s="42" t="s">
        <v>157</v>
      </c>
      <c r="D48" s="41"/>
      <c r="E48" s="41"/>
      <c r="F48" s="51"/>
      <c r="G48" s="51"/>
      <c r="H48" s="40" t="s">
        <v>151</v>
      </c>
      <c r="J48" s="31"/>
    </row>
    <row r="49" spans="1:10" x14ac:dyDescent="0.2">
      <c r="A49" s="43">
        <v>1</v>
      </c>
      <c r="B49" s="44"/>
      <c r="C49" s="44" t="s">
        <v>988</v>
      </c>
      <c r="D49" s="44" t="s">
        <v>674</v>
      </c>
      <c r="E49" s="45">
        <v>99450</v>
      </c>
      <c r="F49" s="46">
        <v>848.1096</v>
      </c>
      <c r="G49" s="47">
        <v>6.01725E-3</v>
      </c>
      <c r="H49" s="40" t="s">
        <v>151</v>
      </c>
      <c r="J49" s="31"/>
    </row>
    <row r="50" spans="1:10" x14ac:dyDescent="0.2">
      <c r="A50" s="41"/>
      <c r="B50" s="41"/>
      <c r="C50" s="42" t="s">
        <v>150</v>
      </c>
      <c r="D50" s="41"/>
      <c r="E50" s="41" t="s">
        <v>151</v>
      </c>
      <c r="F50" s="48">
        <v>848.1096</v>
      </c>
      <c r="G50" s="49">
        <v>6.01725E-3</v>
      </c>
      <c r="H50" s="40" t="s">
        <v>151</v>
      </c>
      <c r="J50" s="31"/>
    </row>
    <row r="51" spans="1:10" x14ac:dyDescent="0.2">
      <c r="A51" s="41"/>
      <c r="B51" s="41"/>
      <c r="C51" s="50"/>
      <c r="D51" s="41"/>
      <c r="E51" s="41"/>
      <c r="F51" s="51"/>
      <c r="G51" s="51"/>
      <c r="H51" s="40" t="s">
        <v>151</v>
      </c>
      <c r="J51" s="31"/>
    </row>
    <row r="52" spans="1:10" x14ac:dyDescent="0.2">
      <c r="A52" s="41"/>
      <c r="B52" s="41"/>
      <c r="C52" s="42" t="s">
        <v>158</v>
      </c>
      <c r="D52" s="41"/>
      <c r="E52" s="41"/>
      <c r="F52" s="48">
        <v>136570.18640370001</v>
      </c>
      <c r="G52" s="49">
        <v>0.96895147000000004</v>
      </c>
      <c r="H52" s="40" t="s">
        <v>151</v>
      </c>
      <c r="J52" s="31"/>
    </row>
    <row r="53" spans="1:10" x14ac:dyDescent="0.2">
      <c r="A53" s="41"/>
      <c r="B53" s="41"/>
      <c r="C53" s="50"/>
      <c r="D53" s="41"/>
      <c r="E53" s="41"/>
      <c r="F53" s="51"/>
      <c r="G53" s="51"/>
      <c r="H53" s="40" t="s">
        <v>151</v>
      </c>
      <c r="J53" s="31"/>
    </row>
    <row r="54" spans="1:10" x14ac:dyDescent="0.2">
      <c r="A54" s="41"/>
      <c r="B54" s="41"/>
      <c r="C54" s="42" t="s">
        <v>159</v>
      </c>
      <c r="D54" s="41"/>
      <c r="E54" s="41"/>
      <c r="F54" s="51"/>
      <c r="G54" s="51"/>
      <c r="H54" s="40" t="s">
        <v>151</v>
      </c>
      <c r="J54" s="31"/>
    </row>
    <row r="55" spans="1:10" x14ac:dyDescent="0.2">
      <c r="A55" s="41"/>
      <c r="B55" s="41"/>
      <c r="C55" s="42" t="s">
        <v>10</v>
      </c>
      <c r="D55" s="41"/>
      <c r="E55" s="41"/>
      <c r="F55" s="51"/>
      <c r="G55" s="51"/>
      <c r="H55" s="40" t="s">
        <v>151</v>
      </c>
      <c r="J55" s="31"/>
    </row>
    <row r="56" spans="1:10" x14ac:dyDescent="0.2">
      <c r="A56" s="41"/>
      <c r="B56" s="41"/>
      <c r="C56" s="42" t="s">
        <v>150</v>
      </c>
      <c r="D56" s="41"/>
      <c r="E56" s="41" t="s">
        <v>151</v>
      </c>
      <c r="F56" s="52" t="s">
        <v>153</v>
      </c>
      <c r="G56" s="49">
        <v>0</v>
      </c>
      <c r="H56" s="40" t="s">
        <v>151</v>
      </c>
      <c r="J56" s="31"/>
    </row>
    <row r="57" spans="1:10" x14ac:dyDescent="0.2">
      <c r="A57" s="41"/>
      <c r="B57" s="41"/>
      <c r="C57" s="50"/>
      <c r="D57" s="41"/>
      <c r="E57" s="41"/>
      <c r="F57" s="51"/>
      <c r="G57" s="51"/>
      <c r="H57" s="40" t="s">
        <v>151</v>
      </c>
      <c r="J57" s="31"/>
    </row>
    <row r="58" spans="1:10" x14ac:dyDescent="0.2">
      <c r="A58" s="41"/>
      <c r="B58" s="41"/>
      <c r="C58" s="42" t="s">
        <v>160</v>
      </c>
      <c r="D58" s="41"/>
      <c r="E58" s="41"/>
      <c r="F58" s="41"/>
      <c r="G58" s="41"/>
      <c r="H58" s="40" t="s">
        <v>151</v>
      </c>
      <c r="J58" s="31"/>
    </row>
    <row r="59" spans="1:10" x14ac:dyDescent="0.2">
      <c r="A59" s="41"/>
      <c r="B59" s="41"/>
      <c r="C59" s="42" t="s">
        <v>150</v>
      </c>
      <c r="D59" s="41"/>
      <c r="E59" s="41" t="s">
        <v>151</v>
      </c>
      <c r="F59" s="52" t="s">
        <v>153</v>
      </c>
      <c r="G59" s="49">
        <v>0</v>
      </c>
      <c r="H59" s="40" t="s">
        <v>151</v>
      </c>
      <c r="J59" s="31"/>
    </row>
    <row r="60" spans="1:10" x14ac:dyDescent="0.2">
      <c r="A60" s="41"/>
      <c r="B60" s="41"/>
      <c r="C60" s="50"/>
      <c r="D60" s="41"/>
      <c r="E60" s="41"/>
      <c r="F60" s="51"/>
      <c r="G60" s="51"/>
      <c r="H60" s="40" t="s">
        <v>151</v>
      </c>
      <c r="J60" s="31"/>
    </row>
    <row r="61" spans="1:10" x14ac:dyDescent="0.2">
      <c r="A61" s="41"/>
      <c r="B61" s="41"/>
      <c r="C61" s="42" t="s">
        <v>161</v>
      </c>
      <c r="D61" s="41"/>
      <c r="E61" s="41"/>
      <c r="F61" s="41"/>
      <c r="G61" s="41"/>
      <c r="H61" s="40" t="s">
        <v>151</v>
      </c>
      <c r="J61" s="31"/>
    </row>
    <row r="62" spans="1:10" x14ac:dyDescent="0.2">
      <c r="A62" s="41"/>
      <c r="B62" s="41"/>
      <c r="C62" s="42" t="s">
        <v>150</v>
      </c>
      <c r="D62" s="41"/>
      <c r="E62" s="41" t="s">
        <v>151</v>
      </c>
      <c r="F62" s="52" t="s">
        <v>153</v>
      </c>
      <c r="G62" s="49">
        <v>0</v>
      </c>
      <c r="H62" s="40" t="s">
        <v>151</v>
      </c>
      <c r="J62" s="31"/>
    </row>
    <row r="63" spans="1:10" x14ac:dyDescent="0.2">
      <c r="A63" s="41"/>
      <c r="B63" s="41"/>
      <c r="C63" s="50"/>
      <c r="D63" s="41"/>
      <c r="E63" s="41"/>
      <c r="F63" s="51"/>
      <c r="G63" s="51"/>
      <c r="H63" s="40" t="s">
        <v>151</v>
      </c>
      <c r="J63" s="31"/>
    </row>
    <row r="64" spans="1:10" x14ac:dyDescent="0.2">
      <c r="A64" s="41"/>
      <c r="B64" s="41"/>
      <c r="C64" s="42" t="s">
        <v>162</v>
      </c>
      <c r="D64" s="41"/>
      <c r="E64" s="41"/>
      <c r="F64" s="51"/>
      <c r="G64" s="51"/>
      <c r="H64" s="40" t="s">
        <v>151</v>
      </c>
      <c r="J64" s="31"/>
    </row>
    <row r="65" spans="1:10" x14ac:dyDescent="0.2">
      <c r="A65" s="41"/>
      <c r="B65" s="41"/>
      <c r="C65" s="42" t="s">
        <v>150</v>
      </c>
      <c r="D65" s="41"/>
      <c r="E65" s="41" t="s">
        <v>151</v>
      </c>
      <c r="F65" s="52" t="s">
        <v>153</v>
      </c>
      <c r="G65" s="49">
        <v>0</v>
      </c>
      <c r="H65" s="40" t="s">
        <v>151</v>
      </c>
      <c r="J65" s="31"/>
    </row>
    <row r="66" spans="1:10" x14ac:dyDescent="0.2">
      <c r="A66" s="41"/>
      <c r="B66" s="41"/>
      <c r="C66" s="50"/>
      <c r="D66" s="41"/>
      <c r="E66" s="41"/>
      <c r="F66" s="51"/>
      <c r="G66" s="51"/>
      <c r="H66" s="40" t="s">
        <v>151</v>
      </c>
      <c r="J66" s="31"/>
    </row>
    <row r="67" spans="1:10" x14ac:dyDescent="0.2">
      <c r="A67" s="41"/>
      <c r="B67" s="41"/>
      <c r="C67" s="42" t="s">
        <v>163</v>
      </c>
      <c r="D67" s="41"/>
      <c r="E67" s="41"/>
      <c r="F67" s="48">
        <v>0</v>
      </c>
      <c r="G67" s="49">
        <v>0</v>
      </c>
      <c r="H67" s="40" t="s">
        <v>151</v>
      </c>
      <c r="J67" s="31"/>
    </row>
    <row r="68" spans="1:10" x14ac:dyDescent="0.2">
      <c r="A68" s="41"/>
      <c r="B68" s="41"/>
      <c r="C68" s="50"/>
      <c r="D68" s="41"/>
      <c r="E68" s="41"/>
      <c r="F68" s="51"/>
      <c r="G68" s="51"/>
      <c r="H68" s="40" t="s">
        <v>151</v>
      </c>
      <c r="J68" s="31"/>
    </row>
    <row r="69" spans="1:10" x14ac:dyDescent="0.2">
      <c r="A69" s="41"/>
      <c r="B69" s="41"/>
      <c r="C69" s="42" t="s">
        <v>164</v>
      </c>
      <c r="D69" s="41"/>
      <c r="E69" s="41"/>
      <c r="F69" s="51"/>
      <c r="G69" s="51"/>
      <c r="H69" s="40" t="s">
        <v>151</v>
      </c>
      <c r="J69" s="31"/>
    </row>
    <row r="70" spans="1:10" x14ac:dyDescent="0.2">
      <c r="A70" s="41"/>
      <c r="B70" s="41"/>
      <c r="C70" s="42" t="s">
        <v>165</v>
      </c>
      <c r="D70" s="41"/>
      <c r="E70" s="41"/>
      <c r="F70" s="51"/>
      <c r="G70" s="51"/>
      <c r="H70" s="40" t="s">
        <v>151</v>
      </c>
      <c r="J70" s="31"/>
    </row>
    <row r="71" spans="1:10" x14ac:dyDescent="0.2">
      <c r="A71" s="41"/>
      <c r="B71" s="41"/>
      <c r="C71" s="42" t="s">
        <v>150</v>
      </c>
      <c r="D71" s="41"/>
      <c r="E71" s="41" t="s">
        <v>151</v>
      </c>
      <c r="F71" s="52" t="s">
        <v>153</v>
      </c>
      <c r="G71" s="49">
        <v>0</v>
      </c>
      <c r="H71" s="40" t="s">
        <v>151</v>
      </c>
      <c r="J71" s="31"/>
    </row>
    <row r="72" spans="1:10" x14ac:dyDescent="0.2">
      <c r="A72" s="41"/>
      <c r="B72" s="41"/>
      <c r="C72" s="50"/>
      <c r="D72" s="41"/>
      <c r="E72" s="41"/>
      <c r="F72" s="51"/>
      <c r="G72" s="51"/>
      <c r="H72" s="40" t="s">
        <v>151</v>
      </c>
      <c r="J72" s="31"/>
    </row>
    <row r="73" spans="1:10" x14ac:dyDescent="0.2">
      <c r="A73" s="41"/>
      <c r="B73" s="41"/>
      <c r="C73" s="42" t="s">
        <v>166</v>
      </c>
      <c r="D73" s="41"/>
      <c r="E73" s="41"/>
      <c r="F73" s="51"/>
      <c r="G73" s="51"/>
      <c r="H73" s="40" t="s">
        <v>151</v>
      </c>
      <c r="J73" s="31"/>
    </row>
    <row r="74" spans="1:10" x14ac:dyDescent="0.2">
      <c r="A74" s="41"/>
      <c r="B74" s="41"/>
      <c r="C74" s="42" t="s">
        <v>150</v>
      </c>
      <c r="D74" s="41"/>
      <c r="E74" s="41" t="s">
        <v>151</v>
      </c>
      <c r="F74" s="52" t="s">
        <v>153</v>
      </c>
      <c r="G74" s="49">
        <v>0</v>
      </c>
      <c r="H74" s="40" t="s">
        <v>151</v>
      </c>
      <c r="J74" s="31"/>
    </row>
    <row r="75" spans="1:10" x14ac:dyDescent="0.2">
      <c r="A75" s="41"/>
      <c r="B75" s="41"/>
      <c r="C75" s="50"/>
      <c r="D75" s="41"/>
      <c r="E75" s="41"/>
      <c r="F75" s="51"/>
      <c r="G75" s="51"/>
      <c r="H75" s="40" t="s">
        <v>151</v>
      </c>
      <c r="J75" s="31"/>
    </row>
    <row r="76" spans="1:10" x14ac:dyDescent="0.2">
      <c r="A76" s="41"/>
      <c r="B76" s="41"/>
      <c r="C76" s="42" t="s">
        <v>167</v>
      </c>
      <c r="D76" s="41"/>
      <c r="E76" s="41"/>
      <c r="F76" s="51"/>
      <c r="G76" s="51"/>
      <c r="H76" s="40" t="s">
        <v>151</v>
      </c>
      <c r="J76" s="31"/>
    </row>
    <row r="77" spans="1:10" x14ac:dyDescent="0.2">
      <c r="A77" s="43">
        <v>1</v>
      </c>
      <c r="B77" s="44" t="s">
        <v>682</v>
      </c>
      <c r="C77" s="44" t="s">
        <v>1085</v>
      </c>
      <c r="D77" s="44" t="s">
        <v>549</v>
      </c>
      <c r="E77" s="45">
        <v>500000</v>
      </c>
      <c r="F77" s="46">
        <v>493.75049999999999</v>
      </c>
      <c r="G77" s="47">
        <v>3.5031099999999998E-3</v>
      </c>
      <c r="H77" s="40">
        <v>6.6</v>
      </c>
      <c r="J77" s="31"/>
    </row>
    <row r="78" spans="1:10" x14ac:dyDescent="0.2">
      <c r="A78" s="41"/>
      <c r="B78" s="41"/>
      <c r="C78" s="42" t="s">
        <v>150</v>
      </c>
      <c r="D78" s="41"/>
      <c r="E78" s="41" t="s">
        <v>151</v>
      </c>
      <c r="F78" s="48">
        <v>493.75049999999999</v>
      </c>
      <c r="G78" s="49">
        <v>3.5031099999999998E-3</v>
      </c>
      <c r="H78" s="40" t="s">
        <v>151</v>
      </c>
      <c r="J78" s="31"/>
    </row>
    <row r="79" spans="1:10" x14ac:dyDescent="0.2">
      <c r="A79" s="41"/>
      <c r="B79" s="41"/>
      <c r="C79" s="50"/>
      <c r="D79" s="41"/>
      <c r="E79" s="41"/>
      <c r="F79" s="51"/>
      <c r="G79" s="51"/>
      <c r="H79" s="40" t="s">
        <v>151</v>
      </c>
      <c r="J79" s="31"/>
    </row>
    <row r="80" spans="1:10" x14ac:dyDescent="0.2">
      <c r="A80" s="41"/>
      <c r="B80" s="41"/>
      <c r="C80" s="42" t="s">
        <v>168</v>
      </c>
      <c r="D80" s="41"/>
      <c r="E80" s="41"/>
      <c r="F80" s="51"/>
      <c r="G80" s="51"/>
      <c r="H80" s="40" t="s">
        <v>151</v>
      </c>
      <c r="J80" s="31"/>
    </row>
    <row r="81" spans="1:10" x14ac:dyDescent="0.2">
      <c r="A81" s="43">
        <v>1</v>
      </c>
      <c r="B81" s="44"/>
      <c r="C81" s="44" t="s">
        <v>169</v>
      </c>
      <c r="D81" s="44"/>
      <c r="E81" s="54"/>
      <c r="F81" s="46">
        <v>5070.5069360010002</v>
      </c>
      <c r="G81" s="47">
        <v>3.5974730000000003E-2</v>
      </c>
      <c r="H81" s="40">
        <v>6.39</v>
      </c>
      <c r="J81" s="31"/>
    </row>
    <row r="82" spans="1:10" x14ac:dyDescent="0.2">
      <c r="A82" s="41"/>
      <c r="B82" s="41"/>
      <c r="C82" s="42" t="s">
        <v>150</v>
      </c>
      <c r="D82" s="41"/>
      <c r="E82" s="41" t="s">
        <v>151</v>
      </c>
      <c r="F82" s="48">
        <v>5070.5069360010002</v>
      </c>
      <c r="G82" s="49">
        <v>3.5974730000000003E-2</v>
      </c>
      <c r="H82" s="40" t="s">
        <v>151</v>
      </c>
      <c r="J82" s="31"/>
    </row>
    <row r="83" spans="1:10" x14ac:dyDescent="0.2">
      <c r="A83" s="41"/>
      <c r="B83" s="41"/>
      <c r="C83" s="50"/>
      <c r="D83" s="41"/>
      <c r="E83" s="41"/>
      <c r="F83" s="51"/>
      <c r="G83" s="51"/>
      <c r="H83" s="40" t="s">
        <v>151</v>
      </c>
      <c r="J83" s="31"/>
    </row>
    <row r="84" spans="1:10" x14ac:dyDescent="0.2">
      <c r="A84" s="41"/>
      <c r="B84" s="41"/>
      <c r="C84" s="42" t="s">
        <v>170</v>
      </c>
      <c r="D84" s="41"/>
      <c r="E84" s="41"/>
      <c r="F84" s="48">
        <v>5564.2574360010003</v>
      </c>
      <c r="G84" s="49">
        <v>3.947784E-2</v>
      </c>
      <c r="H84" s="40" t="s">
        <v>151</v>
      </c>
      <c r="J84" s="31"/>
    </row>
    <row r="85" spans="1:10" x14ac:dyDescent="0.2">
      <c r="A85" s="41"/>
      <c r="B85" s="41"/>
      <c r="C85" s="51"/>
      <c r="D85" s="41"/>
      <c r="E85" s="41"/>
      <c r="F85" s="41"/>
      <c r="G85" s="41"/>
      <c r="H85" s="40" t="s">
        <v>151</v>
      </c>
      <c r="J85" s="31"/>
    </row>
    <row r="86" spans="1:10" x14ac:dyDescent="0.2">
      <c r="A86" s="41"/>
      <c r="B86" s="41"/>
      <c r="C86" s="42" t="s">
        <v>171</v>
      </c>
      <c r="D86" s="41"/>
      <c r="E86" s="41"/>
      <c r="F86" s="41"/>
      <c r="G86" s="41"/>
      <c r="H86" s="40" t="s">
        <v>151</v>
      </c>
      <c r="J86" s="31"/>
    </row>
    <row r="87" spans="1:10" x14ac:dyDescent="0.2">
      <c r="A87" s="41"/>
      <c r="B87" s="41"/>
      <c r="C87" s="42" t="s">
        <v>172</v>
      </c>
      <c r="D87" s="41"/>
      <c r="E87" s="41"/>
      <c r="F87" s="41"/>
      <c r="G87" s="41"/>
      <c r="H87" s="40" t="s">
        <v>151</v>
      </c>
      <c r="J87" s="31"/>
    </row>
    <row r="88" spans="1:10" x14ac:dyDescent="0.2">
      <c r="A88" s="41"/>
      <c r="B88" s="41"/>
      <c r="C88" s="42" t="s">
        <v>150</v>
      </c>
      <c r="D88" s="41"/>
      <c r="E88" s="41" t="s">
        <v>151</v>
      </c>
      <c r="F88" s="52" t="s">
        <v>153</v>
      </c>
      <c r="G88" s="49">
        <v>0</v>
      </c>
      <c r="H88" s="40" t="s">
        <v>151</v>
      </c>
      <c r="J88" s="31"/>
    </row>
    <row r="89" spans="1:10" x14ac:dyDescent="0.2">
      <c r="A89" s="41"/>
      <c r="B89" s="41"/>
      <c r="C89" s="50"/>
      <c r="D89" s="41"/>
      <c r="E89" s="41"/>
      <c r="F89" s="51"/>
      <c r="G89" s="51"/>
      <c r="H89" s="40" t="s">
        <v>151</v>
      </c>
      <c r="J89" s="31"/>
    </row>
    <row r="90" spans="1:10" x14ac:dyDescent="0.2">
      <c r="A90" s="41"/>
      <c r="B90" s="41"/>
      <c r="C90" s="42" t="s">
        <v>173</v>
      </c>
      <c r="D90" s="41"/>
      <c r="E90" s="41"/>
      <c r="F90" s="41"/>
      <c r="G90" s="41"/>
      <c r="H90" s="40" t="s">
        <v>151</v>
      </c>
      <c r="J90" s="31"/>
    </row>
    <row r="91" spans="1:10" x14ac:dyDescent="0.2">
      <c r="A91" s="41"/>
      <c r="B91" s="41"/>
      <c r="C91" s="42" t="s">
        <v>174</v>
      </c>
      <c r="D91" s="41"/>
      <c r="E91" s="41"/>
      <c r="F91" s="41"/>
      <c r="G91" s="41"/>
      <c r="H91" s="40" t="s">
        <v>151</v>
      </c>
      <c r="J91" s="31"/>
    </row>
    <row r="92" spans="1:10" x14ac:dyDescent="0.2">
      <c r="A92" s="41"/>
      <c r="B92" s="41"/>
      <c r="C92" s="42" t="s">
        <v>150</v>
      </c>
      <c r="D92" s="41"/>
      <c r="E92" s="41" t="s">
        <v>151</v>
      </c>
      <c r="F92" s="52" t="s">
        <v>153</v>
      </c>
      <c r="G92" s="49">
        <v>0</v>
      </c>
      <c r="H92" s="40" t="s">
        <v>151</v>
      </c>
      <c r="J92" s="31"/>
    </row>
    <row r="93" spans="1:10" x14ac:dyDescent="0.2">
      <c r="A93" s="41"/>
      <c r="B93" s="41"/>
      <c r="C93" s="50"/>
      <c r="D93" s="41"/>
      <c r="E93" s="41"/>
      <c r="F93" s="51"/>
      <c r="G93" s="51"/>
      <c r="H93" s="40" t="s">
        <v>151</v>
      </c>
      <c r="J93" s="31"/>
    </row>
    <row r="94" spans="1:10" x14ac:dyDescent="0.2">
      <c r="A94" s="41"/>
      <c r="B94" s="41"/>
      <c r="C94" s="42" t="s">
        <v>175</v>
      </c>
      <c r="D94" s="41"/>
      <c r="E94" s="41"/>
      <c r="F94" s="51"/>
      <c r="G94" s="51"/>
      <c r="H94" s="40" t="s">
        <v>151</v>
      </c>
      <c r="J94" s="31"/>
    </row>
    <row r="95" spans="1:10" x14ac:dyDescent="0.2">
      <c r="A95" s="41"/>
      <c r="B95" s="41"/>
      <c r="C95" s="42" t="s">
        <v>150</v>
      </c>
      <c r="D95" s="41"/>
      <c r="E95" s="41" t="s">
        <v>151</v>
      </c>
      <c r="F95" s="52" t="s">
        <v>153</v>
      </c>
      <c r="G95" s="49">
        <v>0</v>
      </c>
      <c r="H95" s="40" t="s">
        <v>151</v>
      </c>
      <c r="J95" s="31"/>
    </row>
    <row r="96" spans="1:10" x14ac:dyDescent="0.2">
      <c r="A96" s="41"/>
      <c r="B96" s="41"/>
      <c r="C96" s="50"/>
      <c r="D96" s="41"/>
      <c r="E96" s="41"/>
      <c r="F96" s="51"/>
      <c r="G96" s="51"/>
      <c r="H96" s="40" t="s">
        <v>151</v>
      </c>
      <c r="J96" s="7"/>
    </row>
    <row r="97" spans="1:17" x14ac:dyDescent="0.2">
      <c r="A97" s="54"/>
      <c r="B97" s="44"/>
      <c r="C97" s="44" t="s">
        <v>550</v>
      </c>
      <c r="D97" s="44"/>
      <c r="E97" s="54"/>
      <c r="F97" s="46">
        <v>996.66838010000004</v>
      </c>
      <c r="G97" s="47">
        <v>7.0712600000000002E-3</v>
      </c>
      <c r="H97" s="40" t="s">
        <v>151</v>
      </c>
      <c r="J97" s="7"/>
    </row>
    <row r="98" spans="1:17" x14ac:dyDescent="0.2">
      <c r="A98" s="54"/>
      <c r="B98" s="44"/>
      <c r="C98" s="83" t="s">
        <v>996</v>
      </c>
      <c r="D98" s="44"/>
      <c r="E98" s="54"/>
      <c r="F98" s="46">
        <v>-2184.7467336300001</v>
      </c>
      <c r="G98" s="47">
        <v>-1.550055E-2</v>
      </c>
      <c r="H98" s="40" t="s">
        <v>151</v>
      </c>
      <c r="J98" s="7"/>
    </row>
    <row r="99" spans="1:17" x14ac:dyDescent="0.2">
      <c r="A99" s="50"/>
      <c r="B99" s="50"/>
      <c r="C99" s="42" t="s">
        <v>177</v>
      </c>
      <c r="D99" s="51"/>
      <c r="E99" s="51"/>
      <c r="F99" s="48">
        <v>140946.36548617101</v>
      </c>
      <c r="G99" s="55">
        <v>1.0000000200000001</v>
      </c>
      <c r="H99" s="40" t="s">
        <v>151</v>
      </c>
      <c r="J99" s="7"/>
    </row>
    <row r="100" spans="1:17" x14ac:dyDescent="0.2">
      <c r="A100" s="56"/>
      <c r="B100" s="56"/>
      <c r="C100" s="56"/>
      <c r="D100" s="57"/>
      <c r="E100" s="57"/>
      <c r="F100" s="57"/>
      <c r="G100" s="57"/>
      <c r="J100" s="7"/>
    </row>
    <row r="101" spans="1:17" ht="12.75" customHeight="1" x14ac:dyDescent="0.2">
      <c r="A101" s="58"/>
      <c r="B101" s="159" t="s">
        <v>923</v>
      </c>
      <c r="C101" s="159"/>
      <c r="D101" s="159"/>
      <c r="E101" s="159"/>
      <c r="F101" s="159"/>
      <c r="G101" s="159"/>
      <c r="H101" s="159"/>
      <c r="J101" s="31"/>
    </row>
    <row r="102" spans="1:17" ht="14.1" customHeight="1" x14ac:dyDescent="0.2">
      <c r="A102" s="58"/>
      <c r="B102" s="159" t="s">
        <v>924</v>
      </c>
      <c r="C102" s="159"/>
      <c r="D102" s="159"/>
      <c r="E102" s="159"/>
      <c r="F102" s="159"/>
      <c r="G102" s="159"/>
      <c r="H102" s="159"/>
      <c r="J102" s="31"/>
    </row>
    <row r="103" spans="1:17" ht="17.100000000000001" customHeight="1" x14ac:dyDescent="0.2">
      <c r="A103" s="58"/>
      <c r="B103" s="159" t="s">
        <v>925</v>
      </c>
      <c r="C103" s="159"/>
      <c r="D103" s="159"/>
      <c r="E103" s="159"/>
      <c r="F103" s="159"/>
      <c r="G103" s="159"/>
      <c r="H103" s="159"/>
      <c r="J103" s="31"/>
    </row>
    <row r="104" spans="1:17" s="8" customFormat="1" ht="65.25" customHeight="1" x14ac:dyDescent="0.25">
      <c r="A104" s="60"/>
      <c r="B104" s="160" t="s">
        <v>926</v>
      </c>
      <c r="C104" s="160"/>
      <c r="D104" s="160"/>
      <c r="E104" s="160"/>
      <c r="F104" s="160"/>
      <c r="G104" s="160"/>
      <c r="H104" s="160"/>
      <c r="I104"/>
      <c r="J104" s="31"/>
      <c r="K104"/>
      <c r="L104"/>
      <c r="M104"/>
      <c r="N104"/>
      <c r="O104"/>
      <c r="P104"/>
      <c r="Q104"/>
    </row>
    <row r="105" spans="1:17" ht="12.75" customHeight="1" x14ac:dyDescent="0.2">
      <c r="A105" s="58"/>
      <c r="B105" s="159" t="s">
        <v>927</v>
      </c>
      <c r="C105" s="159"/>
      <c r="D105" s="159"/>
      <c r="E105" s="159"/>
      <c r="F105" s="159"/>
      <c r="G105" s="159"/>
      <c r="H105" s="159"/>
      <c r="J105" s="31"/>
    </row>
    <row r="106" spans="1:17" x14ac:dyDescent="0.2">
      <c r="A106" s="61"/>
      <c r="B106" s="61"/>
      <c r="C106" s="61"/>
      <c r="D106" s="62"/>
      <c r="E106" s="62"/>
      <c r="F106" s="62"/>
      <c r="G106" s="62"/>
      <c r="J106" s="31"/>
    </row>
    <row r="107" spans="1:17" x14ac:dyDescent="0.2">
      <c r="A107" s="61"/>
      <c r="B107" s="161" t="s">
        <v>178</v>
      </c>
      <c r="C107" s="162"/>
      <c r="D107" s="163"/>
      <c r="E107" s="63"/>
      <c r="F107" s="62"/>
      <c r="G107" s="62"/>
      <c r="J107" s="31"/>
    </row>
    <row r="108" spans="1:17" x14ac:dyDescent="0.2">
      <c r="A108" s="61"/>
      <c r="B108" s="156" t="s">
        <v>179</v>
      </c>
      <c r="C108" s="157"/>
      <c r="D108" s="42" t="s">
        <v>180</v>
      </c>
      <c r="E108" s="63"/>
      <c r="F108" s="62"/>
      <c r="G108" s="62"/>
      <c r="J108" s="31"/>
    </row>
    <row r="109" spans="1:17" x14ac:dyDescent="0.2">
      <c r="A109" s="61"/>
      <c r="B109" s="156" t="s">
        <v>181</v>
      </c>
      <c r="C109" s="157"/>
      <c r="D109" s="42" t="s">
        <v>180</v>
      </c>
      <c r="E109" s="63"/>
      <c r="F109" s="62"/>
      <c r="G109" s="62"/>
      <c r="J109" s="31"/>
    </row>
    <row r="110" spans="1:17" x14ac:dyDescent="0.2">
      <c r="A110" s="61"/>
      <c r="B110" s="156" t="s">
        <v>182</v>
      </c>
      <c r="C110" s="157"/>
      <c r="D110" s="51" t="s">
        <v>151</v>
      </c>
      <c r="E110" s="63"/>
      <c r="F110" s="62"/>
      <c r="G110" s="62"/>
      <c r="J110" s="31"/>
    </row>
    <row r="111" spans="1:17" x14ac:dyDescent="0.2">
      <c r="A111" s="67"/>
      <c r="B111" s="68" t="s">
        <v>151</v>
      </c>
      <c r="C111" s="68" t="s">
        <v>937</v>
      </c>
      <c r="D111" s="68" t="s">
        <v>183</v>
      </c>
      <c r="E111" s="67"/>
      <c r="F111" s="67"/>
      <c r="G111" s="67"/>
      <c r="H111" s="67"/>
      <c r="J111" s="31"/>
    </row>
    <row r="112" spans="1:17" x14ac:dyDescent="0.2">
      <c r="A112" s="69"/>
      <c r="B112" s="70" t="s">
        <v>184</v>
      </c>
      <c r="C112" s="80" t="s">
        <v>185</v>
      </c>
      <c r="D112" s="80" t="s">
        <v>186</v>
      </c>
      <c r="E112" s="69"/>
      <c r="F112" s="69"/>
      <c r="G112" s="69"/>
      <c r="J112" s="31"/>
    </row>
    <row r="113" spans="1:10" x14ac:dyDescent="0.2">
      <c r="A113" s="69"/>
      <c r="B113" s="44" t="s">
        <v>187</v>
      </c>
      <c r="C113" s="72">
        <v>110.0424</v>
      </c>
      <c r="D113" s="72">
        <v>109.37990000000001</v>
      </c>
      <c r="E113" s="69"/>
      <c r="F113" s="73"/>
      <c r="G113" s="74"/>
      <c r="J113" s="31"/>
    </row>
    <row r="114" spans="1:10" x14ac:dyDescent="0.2">
      <c r="A114" s="69"/>
      <c r="B114" s="44" t="s">
        <v>1094</v>
      </c>
      <c r="C114" s="72">
        <v>37.406999999999996</v>
      </c>
      <c r="D114" s="72">
        <v>37.181800000000003</v>
      </c>
      <c r="E114" s="69"/>
      <c r="F114" s="73"/>
      <c r="G114" s="74"/>
      <c r="J114" s="31"/>
    </row>
    <row r="115" spans="1:10" ht="25.5" x14ac:dyDescent="0.2">
      <c r="A115" s="69"/>
      <c r="B115" s="44" t="s">
        <v>865</v>
      </c>
      <c r="C115" s="72">
        <v>113.1439</v>
      </c>
      <c r="D115" s="72">
        <v>112.46259999999999</v>
      </c>
      <c r="E115" s="69"/>
      <c r="F115" s="73"/>
      <c r="G115" s="74"/>
      <c r="J115" s="31"/>
    </row>
    <row r="116" spans="1:10" ht="25.5" x14ac:dyDescent="0.2">
      <c r="A116" s="69"/>
      <c r="B116" s="44" t="s">
        <v>1100</v>
      </c>
      <c r="C116" s="72">
        <v>38.053400000000003</v>
      </c>
      <c r="D116" s="72">
        <v>37.824100000000001</v>
      </c>
      <c r="E116" s="69"/>
      <c r="F116" s="73"/>
      <c r="G116" s="74"/>
      <c r="J116" s="31"/>
    </row>
    <row r="117" spans="1:10" x14ac:dyDescent="0.2">
      <c r="A117" s="69"/>
      <c r="B117" s="44" t="s">
        <v>188</v>
      </c>
      <c r="C117" s="72">
        <v>98.888499999999993</v>
      </c>
      <c r="D117" s="72">
        <v>98.180499999999995</v>
      </c>
      <c r="E117" s="69"/>
      <c r="F117" s="73"/>
      <c r="G117" s="74"/>
      <c r="J117" s="31"/>
    </row>
    <row r="118" spans="1:10" x14ac:dyDescent="0.2">
      <c r="A118" s="69"/>
      <c r="B118" s="44" t="s">
        <v>1095</v>
      </c>
      <c r="C118" s="72">
        <v>33.0672</v>
      </c>
      <c r="D118" s="72">
        <v>32.830500000000001</v>
      </c>
      <c r="E118" s="69"/>
      <c r="F118" s="73"/>
      <c r="G118" s="74"/>
      <c r="J118" s="31"/>
    </row>
    <row r="119" spans="1:10" x14ac:dyDescent="0.2">
      <c r="A119" s="69"/>
      <c r="B119" s="69"/>
      <c r="C119" s="69"/>
      <c r="D119" s="69"/>
      <c r="E119" s="69"/>
      <c r="F119" s="69"/>
      <c r="G119" s="69"/>
      <c r="J119" s="31"/>
    </row>
    <row r="120" spans="1:10" x14ac:dyDescent="0.2">
      <c r="A120" s="67"/>
      <c r="B120" s="164" t="s">
        <v>940</v>
      </c>
      <c r="C120" s="165"/>
      <c r="D120" s="64" t="s">
        <v>180</v>
      </c>
      <c r="E120" s="67"/>
      <c r="F120" s="67"/>
      <c r="G120" s="67"/>
      <c r="J120" s="31"/>
    </row>
    <row r="121" spans="1:10" x14ac:dyDescent="0.2">
      <c r="A121" s="67"/>
      <c r="B121" s="84"/>
      <c r="C121" s="84"/>
      <c r="D121" s="84"/>
      <c r="E121" s="67"/>
      <c r="F121" s="67"/>
      <c r="G121" s="67"/>
    </row>
    <row r="122" spans="1:10" ht="29.1" customHeight="1" x14ac:dyDescent="0.2">
      <c r="A122" s="67"/>
      <c r="B122" s="164" t="s">
        <v>189</v>
      </c>
      <c r="C122" s="165"/>
      <c r="D122" s="64" t="s">
        <v>1015</v>
      </c>
      <c r="E122" s="75"/>
      <c r="F122" s="67"/>
      <c r="G122" s="67"/>
    </row>
    <row r="123" spans="1:10" ht="29.1" customHeight="1" x14ac:dyDescent="0.2">
      <c r="A123" s="67"/>
      <c r="B123" s="164" t="s">
        <v>190</v>
      </c>
      <c r="C123" s="165"/>
      <c r="D123" s="64" t="s">
        <v>180</v>
      </c>
      <c r="E123" s="75"/>
      <c r="F123" s="67"/>
      <c r="G123" s="67"/>
    </row>
    <row r="124" spans="1:10" ht="17.100000000000001" customHeight="1" x14ac:dyDescent="0.2">
      <c r="A124" s="67"/>
      <c r="B124" s="164" t="s">
        <v>191</v>
      </c>
      <c r="C124" s="165"/>
      <c r="D124" s="64" t="s">
        <v>180</v>
      </c>
      <c r="E124" s="75"/>
      <c r="F124" s="67"/>
      <c r="G124" s="67"/>
    </row>
    <row r="125" spans="1:10" ht="17.100000000000001" customHeight="1" x14ac:dyDescent="0.2">
      <c r="A125" s="67"/>
      <c r="B125" s="164" t="s">
        <v>192</v>
      </c>
      <c r="C125" s="165"/>
      <c r="D125" s="76">
        <v>0.75749193052744945</v>
      </c>
      <c r="E125" s="67"/>
      <c r="F125" s="59"/>
      <c r="G125" s="77"/>
    </row>
  </sheetData>
  <mergeCells count="17">
    <mergeCell ref="B109:C109"/>
    <mergeCell ref="B110:C110"/>
    <mergeCell ref="B120:C120"/>
    <mergeCell ref="B124:C124"/>
    <mergeCell ref="B125:C125"/>
    <mergeCell ref="B122:C122"/>
    <mergeCell ref="B123:C123"/>
    <mergeCell ref="B108:C108"/>
    <mergeCell ref="A1:H1"/>
    <mergeCell ref="A2:H2"/>
    <mergeCell ref="A3:H3"/>
    <mergeCell ref="B101:H101"/>
    <mergeCell ref="B102:H102"/>
    <mergeCell ref="B103:H103"/>
    <mergeCell ref="B104:H104"/>
    <mergeCell ref="B105:H105"/>
    <mergeCell ref="B107:D107"/>
  </mergeCells>
  <hyperlinks>
    <hyperlink ref="I1" location="Index!B29" display="Index" xr:uid="{4B238552-526E-49E7-9346-9C4E3AED722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8DD4-8561-4FF2-8ADC-D655095F27E6}">
  <sheetPr>
    <outlinePr summaryBelow="0" summaryRight="0"/>
  </sheetPr>
  <dimension ref="A1:Q177"/>
  <sheetViews>
    <sheetView showGridLines="0" workbookViewId="0">
      <selection activeCell="I1" sqref="I1"/>
    </sheetView>
  </sheetViews>
  <sheetFormatPr defaultRowHeight="12.75" x14ac:dyDescent="0.2"/>
  <cols>
    <col min="1" max="1" width="5.85546875" bestFit="1" customWidth="1"/>
    <col min="2" max="2" width="19.7109375" bestFit="1" customWidth="1"/>
    <col min="3" max="3" width="39.140625" bestFit="1" customWidth="1"/>
    <col min="4" max="4" width="17.7109375" bestFit="1" customWidth="1"/>
    <col min="5" max="5" width="13.5703125" bestFit="1" customWidth="1"/>
    <col min="6" max="6" width="10.140625" bestFit="1" customWidth="1"/>
    <col min="7" max="7" width="8.85546875" customWidth="1"/>
    <col min="8" max="8" width="9.28515625" customWidth="1"/>
    <col min="9" max="9" width="8.140625" customWidth="1"/>
    <col min="10" max="10" width="50.7109375" style="9" customWidth="1"/>
  </cols>
  <sheetData>
    <row r="1" spans="1:10" ht="15" x14ac:dyDescent="0.2">
      <c r="A1" s="158" t="s">
        <v>0</v>
      </c>
      <c r="B1" s="158"/>
      <c r="C1" s="158"/>
      <c r="D1" s="158"/>
      <c r="E1" s="158"/>
      <c r="F1" s="158"/>
      <c r="G1" s="158"/>
      <c r="H1" s="158"/>
      <c r="I1" s="32" t="s">
        <v>941</v>
      </c>
      <c r="J1" s="7"/>
    </row>
    <row r="2" spans="1:10" ht="15" x14ac:dyDescent="0.2">
      <c r="A2" s="158" t="s">
        <v>866</v>
      </c>
      <c r="B2" s="158"/>
      <c r="C2" s="158"/>
      <c r="D2" s="158"/>
      <c r="E2" s="158"/>
      <c r="F2" s="158"/>
      <c r="G2" s="158"/>
      <c r="H2" s="158"/>
      <c r="J2" s="11" t="s">
        <v>942</v>
      </c>
    </row>
    <row r="3" spans="1:10" ht="15" x14ac:dyDescent="0.2">
      <c r="A3" s="158" t="s">
        <v>880</v>
      </c>
      <c r="B3" s="158"/>
      <c r="C3" s="158"/>
      <c r="D3" s="158"/>
      <c r="E3" s="158"/>
      <c r="F3" s="158"/>
      <c r="G3" s="158"/>
      <c r="H3" s="158"/>
      <c r="J3" s="7"/>
    </row>
    <row r="4" spans="1:10" s="1" customFormat="1" ht="30" x14ac:dyDescent="0.2">
      <c r="A4" s="36" t="s">
        <v>2</v>
      </c>
      <c r="B4" s="36" t="s">
        <v>3</v>
      </c>
      <c r="C4" s="36" t="s">
        <v>4</v>
      </c>
      <c r="D4" s="36" t="s">
        <v>5</v>
      </c>
      <c r="E4" s="36" t="s">
        <v>6</v>
      </c>
      <c r="F4" s="36" t="s">
        <v>7</v>
      </c>
      <c r="G4" s="36" t="s">
        <v>8</v>
      </c>
      <c r="H4" s="37" t="s">
        <v>922</v>
      </c>
      <c r="J4" s="7"/>
    </row>
    <row r="5" spans="1:10" x14ac:dyDescent="0.2">
      <c r="A5" s="41"/>
      <c r="B5" s="41"/>
      <c r="C5" s="42" t="s">
        <v>9</v>
      </c>
      <c r="D5" s="41"/>
      <c r="E5" s="41"/>
      <c r="F5" s="41"/>
      <c r="G5" s="41"/>
      <c r="H5" s="40" t="s">
        <v>151</v>
      </c>
      <c r="J5" s="7"/>
    </row>
    <row r="6" spans="1:10" x14ac:dyDescent="0.2">
      <c r="A6" s="41"/>
      <c r="B6" s="41"/>
      <c r="C6" s="42" t="s">
        <v>10</v>
      </c>
      <c r="D6" s="41"/>
      <c r="E6" s="41"/>
      <c r="F6" s="41"/>
      <c r="G6" s="41"/>
      <c r="H6" s="40" t="s">
        <v>151</v>
      </c>
      <c r="J6" s="7"/>
    </row>
    <row r="7" spans="1:10" x14ac:dyDescent="0.2">
      <c r="A7" s="43">
        <v>1</v>
      </c>
      <c r="B7" s="44" t="s">
        <v>20</v>
      </c>
      <c r="C7" s="44" t="s">
        <v>21</v>
      </c>
      <c r="D7" s="44" t="s">
        <v>22</v>
      </c>
      <c r="E7" s="45">
        <v>340522</v>
      </c>
      <c r="F7" s="46">
        <v>10252.606637000001</v>
      </c>
      <c r="G7" s="47">
        <v>4.4379849999999998E-2</v>
      </c>
      <c r="H7" s="40" t="s">
        <v>151</v>
      </c>
      <c r="J7" s="7"/>
    </row>
    <row r="8" spans="1:10" x14ac:dyDescent="0.2">
      <c r="A8" s="43">
        <v>2</v>
      </c>
      <c r="B8" s="44" t="s">
        <v>554</v>
      </c>
      <c r="C8" s="44" t="s">
        <v>555</v>
      </c>
      <c r="D8" s="44" t="s">
        <v>282</v>
      </c>
      <c r="E8" s="45">
        <v>282243</v>
      </c>
      <c r="F8" s="46">
        <v>8207.0619540000007</v>
      </c>
      <c r="G8" s="47">
        <v>3.5525420000000002E-2</v>
      </c>
      <c r="H8" s="40" t="s">
        <v>151</v>
      </c>
      <c r="J8" s="7"/>
    </row>
    <row r="9" spans="1:10" x14ac:dyDescent="0.2">
      <c r="A9" s="43">
        <v>3</v>
      </c>
      <c r="B9" s="44" t="s">
        <v>11</v>
      </c>
      <c r="C9" s="44" t="s">
        <v>12</v>
      </c>
      <c r="D9" s="44" t="s">
        <v>13</v>
      </c>
      <c r="E9" s="45">
        <v>211893</v>
      </c>
      <c r="F9" s="46">
        <v>8083.7179500000002</v>
      </c>
      <c r="G9" s="47">
        <v>3.4991510000000003E-2</v>
      </c>
      <c r="H9" s="40" t="s">
        <v>151</v>
      </c>
      <c r="J9" s="7"/>
    </row>
    <row r="10" spans="1:10" x14ac:dyDescent="0.2">
      <c r="A10" s="43">
        <v>4</v>
      </c>
      <c r="B10" s="44" t="s">
        <v>341</v>
      </c>
      <c r="C10" s="44" t="s">
        <v>342</v>
      </c>
      <c r="D10" s="44" t="s">
        <v>45</v>
      </c>
      <c r="E10" s="45">
        <v>490613</v>
      </c>
      <c r="F10" s="46">
        <v>7927.0795475000004</v>
      </c>
      <c r="G10" s="47">
        <v>3.431348E-2</v>
      </c>
      <c r="H10" s="40" t="s">
        <v>151</v>
      </c>
      <c r="J10" s="7"/>
    </row>
    <row r="11" spans="1:10" x14ac:dyDescent="0.2">
      <c r="A11" s="43">
        <v>5</v>
      </c>
      <c r="B11" s="44" t="s">
        <v>17</v>
      </c>
      <c r="C11" s="44" t="s">
        <v>18</v>
      </c>
      <c r="D11" s="44" t="s">
        <v>19</v>
      </c>
      <c r="E11" s="45">
        <v>529709</v>
      </c>
      <c r="F11" s="46">
        <v>7900.8745895000002</v>
      </c>
      <c r="G11" s="47">
        <v>3.4200050000000003E-2</v>
      </c>
      <c r="H11" s="40" t="s">
        <v>151</v>
      </c>
      <c r="J11" s="7"/>
    </row>
    <row r="12" spans="1:10" ht="15" x14ac:dyDescent="0.2">
      <c r="A12" s="43">
        <v>6</v>
      </c>
      <c r="B12" s="44" t="s">
        <v>343</v>
      </c>
      <c r="C12" s="44" t="s">
        <v>344</v>
      </c>
      <c r="D12" s="44" t="s">
        <v>219</v>
      </c>
      <c r="E12" s="45">
        <v>396418</v>
      </c>
      <c r="F12" s="46">
        <v>7406.0792849999998</v>
      </c>
      <c r="G12" s="47">
        <v>3.2058259999999998E-2</v>
      </c>
      <c r="H12" s="40" t="s">
        <v>151</v>
      </c>
      <c r="J12" s="12"/>
    </row>
    <row r="13" spans="1:10" x14ac:dyDescent="0.2">
      <c r="A13" s="43">
        <v>7</v>
      </c>
      <c r="B13" s="44" t="s">
        <v>347</v>
      </c>
      <c r="C13" s="44" t="s">
        <v>348</v>
      </c>
      <c r="D13" s="44" t="s">
        <v>45</v>
      </c>
      <c r="E13" s="45">
        <v>426036</v>
      </c>
      <c r="F13" s="46">
        <v>4968.0057960000004</v>
      </c>
      <c r="G13" s="47">
        <v>2.150471E-2</v>
      </c>
      <c r="H13" s="40" t="s">
        <v>151</v>
      </c>
      <c r="J13" s="7"/>
    </row>
    <row r="14" spans="1:10" ht="45" x14ac:dyDescent="0.2">
      <c r="A14" s="43">
        <v>8</v>
      </c>
      <c r="B14" s="44" t="s">
        <v>349</v>
      </c>
      <c r="C14" s="44" t="s">
        <v>350</v>
      </c>
      <c r="D14" s="44" t="s">
        <v>219</v>
      </c>
      <c r="E14" s="45">
        <v>101739</v>
      </c>
      <c r="F14" s="46">
        <v>4461.6112364999999</v>
      </c>
      <c r="G14" s="47">
        <v>1.931271E-2</v>
      </c>
      <c r="H14" s="40" t="s">
        <v>151</v>
      </c>
      <c r="J14" s="7" t="s">
        <v>1076</v>
      </c>
    </row>
    <row r="15" spans="1:10" x14ac:dyDescent="0.2">
      <c r="A15" s="43">
        <v>9</v>
      </c>
      <c r="B15" s="44" t="s">
        <v>118</v>
      </c>
      <c r="C15" s="44" t="s">
        <v>119</v>
      </c>
      <c r="D15" s="44" t="s">
        <v>19</v>
      </c>
      <c r="E15" s="45">
        <v>996590</v>
      </c>
      <c r="F15" s="46">
        <v>4316.729585</v>
      </c>
      <c r="G15" s="47">
        <v>1.8685569999999999E-2</v>
      </c>
      <c r="H15" s="40" t="s">
        <v>151</v>
      </c>
      <c r="J15" s="7"/>
    </row>
    <row r="16" spans="1:10" x14ac:dyDescent="0.2">
      <c r="A16" s="43">
        <v>10</v>
      </c>
      <c r="B16" s="44" t="s">
        <v>841</v>
      </c>
      <c r="C16" s="44" t="s">
        <v>842</v>
      </c>
      <c r="D16" s="44" t="s">
        <v>229</v>
      </c>
      <c r="E16" s="45">
        <v>522101</v>
      </c>
      <c r="F16" s="46">
        <v>4036.3628309999999</v>
      </c>
      <c r="G16" s="47">
        <v>1.747197E-2</v>
      </c>
      <c r="H16" s="40" t="s">
        <v>151</v>
      </c>
      <c r="J16" s="7"/>
    </row>
    <row r="17" spans="1:10" x14ac:dyDescent="0.2">
      <c r="A17" s="43">
        <v>11</v>
      </c>
      <c r="B17" s="44" t="s">
        <v>466</v>
      </c>
      <c r="C17" s="44" t="s">
        <v>994</v>
      </c>
      <c r="D17" s="44" t="s">
        <v>282</v>
      </c>
      <c r="E17" s="45">
        <v>472153</v>
      </c>
      <c r="F17" s="46">
        <v>3744.1732900000002</v>
      </c>
      <c r="G17" s="47">
        <v>1.6207180000000002E-2</v>
      </c>
      <c r="H17" s="40" t="s">
        <v>151</v>
      </c>
      <c r="J17" s="7"/>
    </row>
    <row r="18" spans="1:10" x14ac:dyDescent="0.2">
      <c r="A18" s="43">
        <v>12</v>
      </c>
      <c r="B18" s="44" t="s">
        <v>479</v>
      </c>
      <c r="C18" s="44" t="s">
        <v>480</v>
      </c>
      <c r="D18" s="44" t="s">
        <v>45</v>
      </c>
      <c r="E18" s="45">
        <v>258143</v>
      </c>
      <c r="F18" s="46">
        <v>3685.765754</v>
      </c>
      <c r="G18" s="47">
        <v>1.5954360000000001E-2</v>
      </c>
      <c r="H18" s="40" t="s">
        <v>151</v>
      </c>
      <c r="J18" s="7"/>
    </row>
    <row r="19" spans="1:10" x14ac:dyDescent="0.2">
      <c r="A19" s="43">
        <v>13</v>
      </c>
      <c r="B19" s="44" t="s">
        <v>51</v>
      </c>
      <c r="C19" s="44" t="s">
        <v>52</v>
      </c>
      <c r="D19" s="44" t="s">
        <v>45</v>
      </c>
      <c r="E19" s="45">
        <v>377047</v>
      </c>
      <c r="F19" s="46">
        <v>3289.3580280000001</v>
      </c>
      <c r="G19" s="47">
        <v>1.423845E-2</v>
      </c>
      <c r="H19" s="40" t="s">
        <v>151</v>
      </c>
      <c r="J19" s="7"/>
    </row>
    <row r="20" spans="1:10" x14ac:dyDescent="0.2">
      <c r="A20" s="43">
        <v>14</v>
      </c>
      <c r="B20" s="44" t="s">
        <v>364</v>
      </c>
      <c r="C20" s="44" t="s">
        <v>365</v>
      </c>
      <c r="D20" s="44" t="s">
        <v>366</v>
      </c>
      <c r="E20" s="45">
        <v>643989</v>
      </c>
      <c r="F20" s="46">
        <v>3189.9995115000002</v>
      </c>
      <c r="G20" s="47">
        <v>1.380836E-2</v>
      </c>
      <c r="H20" s="40" t="s">
        <v>151</v>
      </c>
      <c r="J20" s="7"/>
    </row>
    <row r="21" spans="1:10" x14ac:dyDescent="0.2">
      <c r="A21" s="43">
        <v>15</v>
      </c>
      <c r="B21" s="44" t="s">
        <v>248</v>
      </c>
      <c r="C21" s="44" t="s">
        <v>249</v>
      </c>
      <c r="D21" s="44" t="s">
        <v>86</v>
      </c>
      <c r="E21" s="45">
        <v>99900</v>
      </c>
      <c r="F21" s="46">
        <v>2929.0180500000001</v>
      </c>
      <c r="G21" s="47">
        <v>1.267867E-2</v>
      </c>
      <c r="H21" s="40" t="s">
        <v>151</v>
      </c>
      <c r="J21" s="7"/>
    </row>
    <row r="22" spans="1:10" ht="15" x14ac:dyDescent="0.2">
      <c r="A22" s="43">
        <v>16</v>
      </c>
      <c r="B22" s="44" t="s">
        <v>382</v>
      </c>
      <c r="C22" s="44" t="s">
        <v>383</v>
      </c>
      <c r="D22" s="44" t="s">
        <v>136</v>
      </c>
      <c r="E22" s="45">
        <v>1735968</v>
      </c>
      <c r="F22" s="46">
        <v>2870.0758943999999</v>
      </c>
      <c r="G22" s="47">
        <v>1.242353E-2</v>
      </c>
      <c r="H22" s="40" t="s">
        <v>151</v>
      </c>
      <c r="J22" s="12"/>
    </row>
    <row r="23" spans="1:10" x14ac:dyDescent="0.2">
      <c r="A23" s="43">
        <v>17</v>
      </c>
      <c r="B23" s="44" t="s">
        <v>685</v>
      </c>
      <c r="C23" s="44" t="s">
        <v>686</v>
      </c>
      <c r="D23" s="44" t="s">
        <v>86</v>
      </c>
      <c r="E23" s="45">
        <v>41893</v>
      </c>
      <c r="F23" s="46">
        <v>2851.6355635</v>
      </c>
      <c r="G23" s="47">
        <v>1.2343710000000001E-2</v>
      </c>
      <c r="H23" s="40" t="s">
        <v>151</v>
      </c>
      <c r="J23" s="7"/>
    </row>
    <row r="24" spans="1:10" x14ac:dyDescent="0.2">
      <c r="A24" s="43">
        <v>18</v>
      </c>
      <c r="B24" s="44" t="s">
        <v>564</v>
      </c>
      <c r="C24" s="44" t="s">
        <v>565</v>
      </c>
      <c r="D24" s="44" t="s">
        <v>219</v>
      </c>
      <c r="E24" s="45">
        <v>181865</v>
      </c>
      <c r="F24" s="46">
        <v>2826.9095600000001</v>
      </c>
      <c r="G24" s="47">
        <v>1.223668E-2</v>
      </c>
      <c r="H24" s="40" t="s">
        <v>151</v>
      </c>
      <c r="J24" s="7"/>
    </row>
    <row r="25" spans="1:10" x14ac:dyDescent="0.2">
      <c r="A25" s="43">
        <v>19</v>
      </c>
      <c r="B25" s="44" t="s">
        <v>345</v>
      </c>
      <c r="C25" s="44" t="s">
        <v>346</v>
      </c>
      <c r="D25" s="44" t="s">
        <v>202</v>
      </c>
      <c r="E25" s="45">
        <v>1218834</v>
      </c>
      <c r="F25" s="46">
        <v>2796.6146130000002</v>
      </c>
      <c r="G25" s="47">
        <v>1.210554E-2</v>
      </c>
      <c r="H25" s="40" t="s">
        <v>151</v>
      </c>
      <c r="J25" s="7"/>
    </row>
    <row r="26" spans="1:10" x14ac:dyDescent="0.2">
      <c r="A26" s="43">
        <v>20</v>
      </c>
      <c r="B26" s="44" t="s">
        <v>62</v>
      </c>
      <c r="C26" s="44" t="s">
        <v>63</v>
      </c>
      <c r="D26" s="44" t="s">
        <v>64</v>
      </c>
      <c r="E26" s="45">
        <v>1160050</v>
      </c>
      <c r="F26" s="46">
        <v>2795.3724849999999</v>
      </c>
      <c r="G26" s="47">
        <v>1.210016E-2</v>
      </c>
      <c r="H26" s="40" t="s">
        <v>151</v>
      </c>
      <c r="J26" s="7"/>
    </row>
    <row r="27" spans="1:10" x14ac:dyDescent="0.2">
      <c r="A27" s="43">
        <v>21</v>
      </c>
      <c r="B27" s="44" t="s">
        <v>194</v>
      </c>
      <c r="C27" s="44" t="s">
        <v>195</v>
      </c>
      <c r="D27" s="44" t="s">
        <v>100</v>
      </c>
      <c r="E27" s="45">
        <v>473307</v>
      </c>
      <c r="F27" s="46">
        <v>2742.3407579999998</v>
      </c>
      <c r="G27" s="47">
        <v>1.187061E-2</v>
      </c>
      <c r="H27" s="40" t="s">
        <v>151</v>
      </c>
      <c r="J27" s="7"/>
    </row>
    <row r="28" spans="1:10" x14ac:dyDescent="0.2">
      <c r="A28" s="43">
        <v>22</v>
      </c>
      <c r="B28" s="44" t="s">
        <v>271</v>
      </c>
      <c r="C28" s="44" t="s">
        <v>272</v>
      </c>
      <c r="D28" s="44" t="s">
        <v>45</v>
      </c>
      <c r="E28" s="45">
        <v>2004174</v>
      </c>
      <c r="F28" s="46">
        <v>2701.6265520000002</v>
      </c>
      <c r="G28" s="47">
        <v>1.1694370000000001E-2</v>
      </c>
      <c r="H28" s="40" t="s">
        <v>151</v>
      </c>
      <c r="J28" s="7"/>
    </row>
    <row r="29" spans="1:10" x14ac:dyDescent="0.2">
      <c r="A29" s="43">
        <v>23</v>
      </c>
      <c r="B29" s="44" t="s">
        <v>560</v>
      </c>
      <c r="C29" s="44" t="s">
        <v>561</v>
      </c>
      <c r="D29" s="44" t="s">
        <v>282</v>
      </c>
      <c r="E29" s="45">
        <v>18479</v>
      </c>
      <c r="F29" s="46">
        <v>2423.668682</v>
      </c>
      <c r="G29" s="47">
        <v>1.0491189999999999E-2</v>
      </c>
      <c r="H29" s="40" t="s">
        <v>151</v>
      </c>
      <c r="J29" s="7"/>
    </row>
    <row r="30" spans="1:10" x14ac:dyDescent="0.2">
      <c r="A30" s="43">
        <v>24</v>
      </c>
      <c r="B30" s="44" t="s">
        <v>105</v>
      </c>
      <c r="C30" s="44" t="s">
        <v>106</v>
      </c>
      <c r="D30" s="44" t="s">
        <v>107</v>
      </c>
      <c r="E30" s="45">
        <v>463177</v>
      </c>
      <c r="F30" s="46">
        <v>2418.710294</v>
      </c>
      <c r="G30" s="47">
        <v>1.046973E-2</v>
      </c>
      <c r="H30" s="40" t="s">
        <v>151</v>
      </c>
      <c r="J30" s="7"/>
    </row>
    <row r="31" spans="1:10" x14ac:dyDescent="0.2">
      <c r="A31" s="43">
        <v>25</v>
      </c>
      <c r="B31" s="44" t="s">
        <v>414</v>
      </c>
      <c r="C31" s="44" t="s">
        <v>415</v>
      </c>
      <c r="D31" s="44" t="s">
        <v>45</v>
      </c>
      <c r="E31" s="45">
        <v>2956670</v>
      </c>
      <c r="F31" s="46">
        <v>2388.102359</v>
      </c>
      <c r="G31" s="47">
        <v>1.0337239999999999E-2</v>
      </c>
      <c r="H31" s="40" t="s">
        <v>151</v>
      </c>
      <c r="J31" s="7"/>
    </row>
    <row r="32" spans="1:10" x14ac:dyDescent="0.2">
      <c r="A32" s="43">
        <v>26</v>
      </c>
      <c r="B32" s="44" t="s">
        <v>416</v>
      </c>
      <c r="C32" s="44" t="s">
        <v>417</v>
      </c>
      <c r="D32" s="44" t="s">
        <v>45</v>
      </c>
      <c r="E32" s="45">
        <v>5324759</v>
      </c>
      <c r="F32" s="46">
        <v>2387.6219356000001</v>
      </c>
      <c r="G32" s="47">
        <v>1.0335159999999999E-2</v>
      </c>
      <c r="H32" s="40" t="s">
        <v>151</v>
      </c>
      <c r="J32" s="7"/>
    </row>
    <row r="33" spans="1:10" ht="25.5" x14ac:dyDescent="0.2">
      <c r="A33" s="43">
        <v>27</v>
      </c>
      <c r="B33" s="44" t="s">
        <v>353</v>
      </c>
      <c r="C33" s="44" t="s">
        <v>354</v>
      </c>
      <c r="D33" s="44" t="s">
        <v>210</v>
      </c>
      <c r="E33" s="45">
        <v>136432</v>
      </c>
      <c r="F33" s="46">
        <v>2345.7435919999998</v>
      </c>
      <c r="G33" s="47">
        <v>1.0153880000000001E-2</v>
      </c>
      <c r="H33" s="40" t="s">
        <v>151</v>
      </c>
      <c r="J33" s="7"/>
    </row>
    <row r="34" spans="1:10" x14ac:dyDescent="0.2">
      <c r="A34" s="43">
        <v>28</v>
      </c>
      <c r="B34" s="44" t="s">
        <v>90</v>
      </c>
      <c r="C34" s="44" t="s">
        <v>91</v>
      </c>
      <c r="D34" s="44" t="s">
        <v>86</v>
      </c>
      <c r="E34" s="45">
        <v>406125</v>
      </c>
      <c r="F34" s="46">
        <v>2261.3040000000001</v>
      </c>
      <c r="G34" s="47">
        <v>9.7883699999999994E-3</v>
      </c>
      <c r="H34" s="40" t="s">
        <v>151</v>
      </c>
      <c r="J34" s="7"/>
    </row>
    <row r="35" spans="1:10" x14ac:dyDescent="0.2">
      <c r="A35" s="43">
        <v>29</v>
      </c>
      <c r="B35" s="44" t="s">
        <v>378</v>
      </c>
      <c r="C35" s="44" t="s">
        <v>379</v>
      </c>
      <c r="D35" s="44" t="s">
        <v>366</v>
      </c>
      <c r="E35" s="45">
        <v>81793</v>
      </c>
      <c r="F35" s="46">
        <v>2213.0323045</v>
      </c>
      <c r="G35" s="47">
        <v>9.5794199999999999E-3</v>
      </c>
      <c r="H35" s="40" t="s">
        <v>151</v>
      </c>
      <c r="J35" s="7"/>
    </row>
    <row r="36" spans="1:10" x14ac:dyDescent="0.2">
      <c r="A36" s="43">
        <v>30</v>
      </c>
      <c r="B36" s="44" t="s">
        <v>84</v>
      </c>
      <c r="C36" s="44" t="s">
        <v>85</v>
      </c>
      <c r="D36" s="44" t="s">
        <v>86</v>
      </c>
      <c r="E36" s="45">
        <v>336975</v>
      </c>
      <c r="F36" s="46">
        <v>2170.9614375000001</v>
      </c>
      <c r="G36" s="47">
        <v>9.3973100000000007E-3</v>
      </c>
      <c r="H36" s="40" t="s">
        <v>151</v>
      </c>
      <c r="J36" s="7"/>
    </row>
    <row r="37" spans="1:10" ht="25.5" x14ac:dyDescent="0.2">
      <c r="A37" s="43">
        <v>31</v>
      </c>
      <c r="B37" s="44" t="s">
        <v>236</v>
      </c>
      <c r="C37" s="44" t="s">
        <v>237</v>
      </c>
      <c r="D37" s="44" t="s">
        <v>210</v>
      </c>
      <c r="E37" s="45">
        <v>39723</v>
      </c>
      <c r="F37" s="46">
        <v>2109.0926850000001</v>
      </c>
      <c r="G37" s="47">
        <v>9.1295100000000004E-3</v>
      </c>
      <c r="H37" s="40" t="s">
        <v>151</v>
      </c>
      <c r="J37" s="7"/>
    </row>
    <row r="38" spans="1:10" x14ac:dyDescent="0.2">
      <c r="A38" s="43">
        <v>32</v>
      </c>
      <c r="B38" s="44" t="s">
        <v>374</v>
      </c>
      <c r="C38" s="44" t="s">
        <v>375</v>
      </c>
      <c r="D38" s="44" t="s">
        <v>282</v>
      </c>
      <c r="E38" s="45">
        <v>38234</v>
      </c>
      <c r="F38" s="46">
        <v>2098.4539730000001</v>
      </c>
      <c r="G38" s="47">
        <v>9.0834499999999999E-3</v>
      </c>
      <c r="H38" s="40" t="s">
        <v>151</v>
      </c>
      <c r="J38" s="7"/>
    </row>
    <row r="39" spans="1:10" x14ac:dyDescent="0.2">
      <c r="A39" s="43">
        <v>33</v>
      </c>
      <c r="B39" s="44" t="s">
        <v>39</v>
      </c>
      <c r="C39" s="44" t="s">
        <v>40</v>
      </c>
      <c r="D39" s="44" t="s">
        <v>22</v>
      </c>
      <c r="E39" s="45">
        <v>563014</v>
      </c>
      <c r="F39" s="46">
        <v>1970.8305069999999</v>
      </c>
      <c r="G39" s="47">
        <v>8.5310200000000003E-3</v>
      </c>
      <c r="H39" s="40" t="s">
        <v>151</v>
      </c>
      <c r="J39" s="7"/>
    </row>
    <row r="40" spans="1:10" x14ac:dyDescent="0.2">
      <c r="A40" s="43">
        <v>34</v>
      </c>
      <c r="B40" s="44" t="s">
        <v>359</v>
      </c>
      <c r="C40" s="44" t="s">
        <v>360</v>
      </c>
      <c r="D40" s="44" t="s">
        <v>361</v>
      </c>
      <c r="E40" s="45">
        <v>285600</v>
      </c>
      <c r="F40" s="46">
        <v>1912.3776</v>
      </c>
      <c r="G40" s="47">
        <v>8.2780000000000006E-3</v>
      </c>
      <c r="H40" s="40" t="s">
        <v>151</v>
      </c>
      <c r="J40" s="7"/>
    </row>
    <row r="41" spans="1:10" x14ac:dyDescent="0.2">
      <c r="A41" s="43">
        <v>35</v>
      </c>
      <c r="B41" s="44" t="s">
        <v>720</v>
      </c>
      <c r="C41" s="44" t="s">
        <v>721</v>
      </c>
      <c r="D41" s="44" t="s">
        <v>277</v>
      </c>
      <c r="E41" s="45">
        <v>71472</v>
      </c>
      <c r="F41" s="46">
        <v>1755.602472</v>
      </c>
      <c r="G41" s="47">
        <v>7.5993700000000003E-3</v>
      </c>
      <c r="H41" s="40" t="s">
        <v>151</v>
      </c>
      <c r="J41" s="7"/>
    </row>
    <row r="42" spans="1:10" x14ac:dyDescent="0.2">
      <c r="A42" s="43">
        <v>36</v>
      </c>
      <c r="B42" s="44" t="s">
        <v>280</v>
      </c>
      <c r="C42" s="44" t="s">
        <v>281</v>
      </c>
      <c r="D42" s="44" t="s">
        <v>282</v>
      </c>
      <c r="E42" s="45">
        <v>66850</v>
      </c>
      <c r="F42" s="46">
        <v>1691.9735000000001</v>
      </c>
      <c r="G42" s="47">
        <v>7.3239500000000001E-3</v>
      </c>
      <c r="H42" s="40" t="s">
        <v>151</v>
      </c>
      <c r="J42" s="7"/>
    </row>
    <row r="43" spans="1:10" x14ac:dyDescent="0.2">
      <c r="A43" s="43">
        <v>37</v>
      </c>
      <c r="B43" s="44" t="s">
        <v>471</v>
      </c>
      <c r="C43" s="44" t="s">
        <v>472</v>
      </c>
      <c r="D43" s="44" t="s">
        <v>219</v>
      </c>
      <c r="E43" s="45">
        <v>101081</v>
      </c>
      <c r="F43" s="46">
        <v>1660.3565060000001</v>
      </c>
      <c r="G43" s="47">
        <v>7.1870900000000001E-3</v>
      </c>
      <c r="H43" s="40" t="s">
        <v>151</v>
      </c>
      <c r="J43" s="7"/>
    </row>
    <row r="44" spans="1:10" ht="25.5" x14ac:dyDescent="0.2">
      <c r="A44" s="43">
        <v>38</v>
      </c>
      <c r="B44" s="44" t="s">
        <v>23</v>
      </c>
      <c r="C44" s="44" t="s">
        <v>24</v>
      </c>
      <c r="D44" s="44" t="s">
        <v>25</v>
      </c>
      <c r="E44" s="45">
        <v>13390</v>
      </c>
      <c r="F44" s="46">
        <v>1591.6960799999999</v>
      </c>
      <c r="G44" s="47">
        <v>6.8898800000000001E-3</v>
      </c>
      <c r="H44" s="40" t="s">
        <v>151</v>
      </c>
      <c r="J44" s="7"/>
    </row>
    <row r="45" spans="1:10" ht="25.5" x14ac:dyDescent="0.2">
      <c r="A45" s="43">
        <v>39</v>
      </c>
      <c r="B45" s="44" t="s">
        <v>203</v>
      </c>
      <c r="C45" s="44" t="s">
        <v>204</v>
      </c>
      <c r="D45" s="44" t="s">
        <v>205</v>
      </c>
      <c r="E45" s="45">
        <v>92591</v>
      </c>
      <c r="F45" s="46">
        <v>1538.8624199999999</v>
      </c>
      <c r="G45" s="47">
        <v>6.6611800000000001E-3</v>
      </c>
      <c r="H45" s="40" t="s">
        <v>151</v>
      </c>
      <c r="J45" s="7"/>
    </row>
    <row r="46" spans="1:10" x14ac:dyDescent="0.2">
      <c r="A46" s="43">
        <v>40</v>
      </c>
      <c r="B46" s="44" t="s">
        <v>254</v>
      </c>
      <c r="C46" s="44" t="s">
        <v>255</v>
      </c>
      <c r="D46" s="44" t="s">
        <v>202</v>
      </c>
      <c r="E46" s="45">
        <v>21750</v>
      </c>
      <c r="F46" s="46">
        <v>1528.4268750000001</v>
      </c>
      <c r="G46" s="47">
        <v>6.6160100000000003E-3</v>
      </c>
      <c r="H46" s="40" t="s">
        <v>151</v>
      </c>
      <c r="J46" s="7"/>
    </row>
    <row r="47" spans="1:10" ht="25.5" x14ac:dyDescent="0.2">
      <c r="A47" s="43">
        <v>41</v>
      </c>
      <c r="B47" s="44" t="s">
        <v>141</v>
      </c>
      <c r="C47" s="44" t="s">
        <v>142</v>
      </c>
      <c r="D47" s="44" t="s">
        <v>25</v>
      </c>
      <c r="E47" s="45">
        <v>660253</v>
      </c>
      <c r="F47" s="46">
        <v>1433.7393895</v>
      </c>
      <c r="G47" s="47">
        <v>6.2061399999999997E-3</v>
      </c>
      <c r="H47" s="40" t="s">
        <v>151</v>
      </c>
      <c r="J47" s="7"/>
    </row>
    <row r="48" spans="1:10" x14ac:dyDescent="0.2">
      <c r="A48" s="43">
        <v>42</v>
      </c>
      <c r="B48" s="44" t="s">
        <v>260</v>
      </c>
      <c r="C48" s="44" t="s">
        <v>261</v>
      </c>
      <c r="D48" s="44" t="s">
        <v>89</v>
      </c>
      <c r="E48" s="45">
        <v>235313</v>
      </c>
      <c r="F48" s="46">
        <v>1307.6343409999999</v>
      </c>
      <c r="G48" s="47">
        <v>5.6602800000000002E-3</v>
      </c>
      <c r="H48" s="40" t="s">
        <v>151</v>
      </c>
      <c r="J48" s="7"/>
    </row>
    <row r="49" spans="1:10" ht="25.5" x14ac:dyDescent="0.2">
      <c r="A49" s="43">
        <v>43</v>
      </c>
      <c r="B49" s="44" t="s">
        <v>208</v>
      </c>
      <c r="C49" s="44" t="s">
        <v>209</v>
      </c>
      <c r="D49" s="44" t="s">
        <v>210</v>
      </c>
      <c r="E49" s="45">
        <v>68182</v>
      </c>
      <c r="F49" s="46">
        <v>1303.5375670000001</v>
      </c>
      <c r="G49" s="47">
        <v>5.6425499999999996E-3</v>
      </c>
      <c r="H49" s="40" t="s">
        <v>151</v>
      </c>
      <c r="J49" s="7"/>
    </row>
    <row r="50" spans="1:10" x14ac:dyDescent="0.2">
      <c r="A50" s="43">
        <v>44</v>
      </c>
      <c r="B50" s="44" t="s">
        <v>397</v>
      </c>
      <c r="C50" s="44" t="s">
        <v>398</v>
      </c>
      <c r="D50" s="44" t="s">
        <v>100</v>
      </c>
      <c r="E50" s="45">
        <v>36414</v>
      </c>
      <c r="F50" s="46">
        <v>1259.5420529999999</v>
      </c>
      <c r="G50" s="47">
        <v>5.4521099999999996E-3</v>
      </c>
      <c r="H50" s="40" t="s">
        <v>151</v>
      </c>
      <c r="J50" s="7"/>
    </row>
    <row r="51" spans="1:10" x14ac:dyDescent="0.2">
      <c r="A51" s="43">
        <v>45</v>
      </c>
      <c r="B51" s="44" t="s">
        <v>438</v>
      </c>
      <c r="C51" s="44" t="s">
        <v>439</v>
      </c>
      <c r="D51" s="44" t="s">
        <v>229</v>
      </c>
      <c r="E51" s="45">
        <v>52790</v>
      </c>
      <c r="F51" s="46">
        <v>1143.510585</v>
      </c>
      <c r="G51" s="47">
        <v>4.9498500000000004E-3</v>
      </c>
      <c r="H51" s="40" t="s">
        <v>151</v>
      </c>
      <c r="J51" s="7"/>
    </row>
    <row r="52" spans="1:10" x14ac:dyDescent="0.2">
      <c r="A52" s="43">
        <v>46</v>
      </c>
      <c r="B52" s="44" t="s">
        <v>77</v>
      </c>
      <c r="C52" s="44" t="s">
        <v>78</v>
      </c>
      <c r="D52" s="44" t="s">
        <v>33</v>
      </c>
      <c r="E52" s="45">
        <v>28964</v>
      </c>
      <c r="F52" s="46">
        <v>1115.794654</v>
      </c>
      <c r="G52" s="47">
        <v>4.82987E-3</v>
      </c>
      <c r="H52" s="40" t="s">
        <v>151</v>
      </c>
      <c r="J52" s="7"/>
    </row>
    <row r="53" spans="1:10" x14ac:dyDescent="0.2">
      <c r="A53" s="43">
        <v>47</v>
      </c>
      <c r="B53" s="44" t="s">
        <v>116</v>
      </c>
      <c r="C53" s="44" t="s">
        <v>117</v>
      </c>
      <c r="D53" s="44" t="s">
        <v>30</v>
      </c>
      <c r="E53" s="45">
        <v>22500</v>
      </c>
      <c r="F53" s="46">
        <v>1107.6412499999999</v>
      </c>
      <c r="G53" s="47">
        <v>4.7945799999999997E-3</v>
      </c>
      <c r="H53" s="40" t="s">
        <v>151</v>
      </c>
      <c r="J53" s="7"/>
    </row>
    <row r="54" spans="1:10" x14ac:dyDescent="0.2">
      <c r="A54" s="43">
        <v>48</v>
      </c>
      <c r="B54" s="44" t="s">
        <v>747</v>
      </c>
      <c r="C54" s="44" t="s">
        <v>748</v>
      </c>
      <c r="D54" s="44" t="s">
        <v>100</v>
      </c>
      <c r="E54" s="45">
        <v>33200</v>
      </c>
      <c r="F54" s="46">
        <v>1024.0373999999999</v>
      </c>
      <c r="G54" s="47">
        <v>4.4326900000000004E-3</v>
      </c>
      <c r="H54" s="40" t="s">
        <v>151</v>
      </c>
      <c r="J54" s="7"/>
    </row>
    <row r="55" spans="1:10" x14ac:dyDescent="0.2">
      <c r="A55" s="43">
        <v>49</v>
      </c>
      <c r="B55" s="44" t="s">
        <v>101</v>
      </c>
      <c r="C55" s="44" t="s">
        <v>102</v>
      </c>
      <c r="D55" s="44" t="s">
        <v>76</v>
      </c>
      <c r="E55" s="45">
        <v>21091</v>
      </c>
      <c r="F55" s="46">
        <v>943.23170200000004</v>
      </c>
      <c r="G55" s="47">
        <v>4.0829100000000004E-3</v>
      </c>
      <c r="H55" s="40" t="s">
        <v>151</v>
      </c>
      <c r="J55" s="7"/>
    </row>
    <row r="56" spans="1:10" x14ac:dyDescent="0.2">
      <c r="A56" s="43">
        <v>50</v>
      </c>
      <c r="B56" s="44" t="s">
        <v>278</v>
      </c>
      <c r="C56" s="44" t="s">
        <v>279</v>
      </c>
      <c r="D56" s="44" t="s">
        <v>219</v>
      </c>
      <c r="E56" s="45">
        <v>14498</v>
      </c>
      <c r="F56" s="46">
        <v>914.17138999999997</v>
      </c>
      <c r="G56" s="47">
        <v>3.9571199999999997E-3</v>
      </c>
      <c r="H56" s="40" t="s">
        <v>151</v>
      </c>
      <c r="J56" s="7"/>
    </row>
    <row r="57" spans="1:10" x14ac:dyDescent="0.2">
      <c r="A57" s="43">
        <v>51</v>
      </c>
      <c r="B57" s="44" t="s">
        <v>14</v>
      </c>
      <c r="C57" s="44" t="s">
        <v>15</v>
      </c>
      <c r="D57" s="44" t="s">
        <v>16</v>
      </c>
      <c r="E57" s="45">
        <v>66000</v>
      </c>
      <c r="F57" s="46">
        <v>274.56</v>
      </c>
      <c r="G57" s="47">
        <v>1.1884700000000001E-3</v>
      </c>
      <c r="H57" s="40" t="s">
        <v>151</v>
      </c>
      <c r="J57" s="7"/>
    </row>
    <row r="58" spans="1:10" x14ac:dyDescent="0.2">
      <c r="A58" s="41"/>
      <c r="B58" s="41"/>
      <c r="C58" s="42" t="s">
        <v>150</v>
      </c>
      <c r="D58" s="41"/>
      <c r="E58" s="41" t="s">
        <v>151</v>
      </c>
      <c r="F58" s="48">
        <v>152277.23702500001</v>
      </c>
      <c r="G58" s="49">
        <v>0.65915347999999996</v>
      </c>
      <c r="H58" s="40" t="s">
        <v>151</v>
      </c>
      <c r="J58" s="7"/>
    </row>
    <row r="59" spans="1:10" x14ac:dyDescent="0.2">
      <c r="A59" s="41"/>
      <c r="B59" s="41"/>
      <c r="C59" s="50"/>
      <c r="D59" s="41"/>
      <c r="E59" s="41"/>
      <c r="F59" s="51"/>
      <c r="G59" s="51"/>
      <c r="H59" s="40" t="s">
        <v>151</v>
      </c>
      <c r="J59" s="7"/>
    </row>
    <row r="60" spans="1:10" x14ac:dyDescent="0.2">
      <c r="A60" s="41"/>
      <c r="B60" s="41"/>
      <c r="C60" s="42" t="s">
        <v>152</v>
      </c>
      <c r="D60" s="41"/>
      <c r="E60" s="41"/>
      <c r="F60" s="41"/>
      <c r="G60" s="41"/>
      <c r="H60" s="40" t="s">
        <v>151</v>
      </c>
      <c r="J60" s="7"/>
    </row>
    <row r="61" spans="1:10" x14ac:dyDescent="0.2">
      <c r="A61" s="41"/>
      <c r="B61" s="41"/>
      <c r="C61" s="42" t="s">
        <v>150</v>
      </c>
      <c r="D61" s="41"/>
      <c r="E61" s="41" t="s">
        <v>151</v>
      </c>
      <c r="F61" s="52" t="s">
        <v>153</v>
      </c>
      <c r="G61" s="49">
        <v>0</v>
      </c>
      <c r="H61" s="40" t="s">
        <v>151</v>
      </c>
      <c r="J61" s="7"/>
    </row>
    <row r="62" spans="1:10" x14ac:dyDescent="0.2">
      <c r="A62" s="41"/>
      <c r="B62" s="41"/>
      <c r="C62" s="50"/>
      <c r="D62" s="41"/>
      <c r="E62" s="41"/>
      <c r="F62" s="51"/>
      <c r="G62" s="51"/>
      <c r="H62" s="40" t="s">
        <v>151</v>
      </c>
      <c r="J62" s="7"/>
    </row>
    <row r="63" spans="1:10" x14ac:dyDescent="0.2">
      <c r="A63" s="41"/>
      <c r="B63" s="41"/>
      <c r="C63" s="42" t="s">
        <v>154</v>
      </c>
      <c r="D63" s="41"/>
      <c r="E63" s="41"/>
      <c r="F63" s="41"/>
      <c r="G63" s="41"/>
      <c r="H63" s="40" t="s">
        <v>151</v>
      </c>
      <c r="J63" s="7"/>
    </row>
    <row r="64" spans="1:10" x14ac:dyDescent="0.2">
      <c r="A64" s="41"/>
      <c r="B64" s="41"/>
      <c r="C64" s="42" t="s">
        <v>150</v>
      </c>
      <c r="D64" s="41"/>
      <c r="E64" s="41" t="s">
        <v>151</v>
      </c>
      <c r="F64" s="52" t="s">
        <v>153</v>
      </c>
      <c r="G64" s="49">
        <v>0</v>
      </c>
      <c r="H64" s="40" t="s">
        <v>151</v>
      </c>
      <c r="J64" s="7"/>
    </row>
    <row r="65" spans="1:10" x14ac:dyDescent="0.2">
      <c r="A65" s="41"/>
      <c r="B65" s="41"/>
      <c r="C65" s="50"/>
      <c r="D65" s="41"/>
      <c r="E65" s="41"/>
      <c r="F65" s="51"/>
      <c r="G65" s="51"/>
      <c r="H65" s="40" t="s">
        <v>151</v>
      </c>
      <c r="J65" s="7"/>
    </row>
    <row r="66" spans="1:10" x14ac:dyDescent="0.2">
      <c r="A66" s="41"/>
      <c r="B66" s="41"/>
      <c r="C66" s="42" t="s">
        <v>155</v>
      </c>
      <c r="D66" s="41"/>
      <c r="E66" s="41"/>
      <c r="F66" s="41"/>
      <c r="G66" s="41"/>
      <c r="H66" s="40" t="s">
        <v>151</v>
      </c>
      <c r="J66" s="7"/>
    </row>
    <row r="67" spans="1:10" x14ac:dyDescent="0.2">
      <c r="A67" s="41"/>
      <c r="B67" s="41"/>
      <c r="C67" s="42" t="s">
        <v>150</v>
      </c>
      <c r="D67" s="41"/>
      <c r="E67" s="41" t="s">
        <v>151</v>
      </c>
      <c r="F67" s="52" t="s">
        <v>153</v>
      </c>
      <c r="G67" s="49">
        <v>0</v>
      </c>
      <c r="H67" s="40" t="s">
        <v>151</v>
      </c>
      <c r="J67" s="7"/>
    </row>
    <row r="68" spans="1:10" x14ac:dyDescent="0.2">
      <c r="A68" s="41"/>
      <c r="B68" s="41"/>
      <c r="C68" s="50"/>
      <c r="D68" s="41"/>
      <c r="E68" s="41"/>
      <c r="F68" s="51"/>
      <c r="G68" s="51"/>
      <c r="H68" s="40" t="s">
        <v>151</v>
      </c>
      <c r="J68" s="7"/>
    </row>
    <row r="69" spans="1:10" x14ac:dyDescent="0.2">
      <c r="A69" s="41"/>
      <c r="B69" s="41"/>
      <c r="C69" s="42" t="s">
        <v>156</v>
      </c>
      <c r="D69" s="41"/>
      <c r="E69" s="41"/>
      <c r="F69" s="51"/>
      <c r="G69" s="51"/>
      <c r="H69" s="40" t="s">
        <v>151</v>
      </c>
      <c r="J69" s="7"/>
    </row>
    <row r="70" spans="1:10" x14ac:dyDescent="0.2">
      <c r="A70" s="41"/>
      <c r="B70" s="41"/>
      <c r="C70" s="42" t="s">
        <v>150</v>
      </c>
      <c r="D70" s="41"/>
      <c r="E70" s="41" t="s">
        <v>151</v>
      </c>
      <c r="F70" s="52" t="s">
        <v>153</v>
      </c>
      <c r="G70" s="49">
        <v>0</v>
      </c>
      <c r="H70" s="40" t="s">
        <v>151</v>
      </c>
      <c r="J70" s="7"/>
    </row>
    <row r="71" spans="1:10" x14ac:dyDescent="0.2">
      <c r="A71" s="41"/>
      <c r="B71" s="41"/>
      <c r="C71" s="50"/>
      <c r="D71" s="41"/>
      <c r="E71" s="41"/>
      <c r="F71" s="51"/>
      <c r="G71" s="51"/>
      <c r="H71" s="40" t="s">
        <v>151</v>
      </c>
      <c r="J71" s="7"/>
    </row>
    <row r="72" spans="1:10" x14ac:dyDescent="0.2">
      <c r="A72" s="41"/>
      <c r="B72" s="41"/>
      <c r="C72" s="42" t="s">
        <v>157</v>
      </c>
      <c r="D72" s="41"/>
      <c r="E72" s="41"/>
      <c r="F72" s="51"/>
      <c r="G72" s="51"/>
      <c r="H72" s="40" t="s">
        <v>151</v>
      </c>
      <c r="J72" s="7"/>
    </row>
    <row r="73" spans="1:10" x14ac:dyDescent="0.2">
      <c r="A73" s="43">
        <v>1</v>
      </c>
      <c r="B73" s="44"/>
      <c r="C73" s="44" t="s">
        <v>987</v>
      </c>
      <c r="D73" s="44" t="s">
        <v>674</v>
      </c>
      <c r="E73" s="45">
        <v>-1600</v>
      </c>
      <c r="F73" s="46">
        <v>-30.090399999999999</v>
      </c>
      <c r="G73" s="47">
        <f>F73/$F$141</f>
        <v>-1.3025053380902682E-4</v>
      </c>
      <c r="H73" s="40" t="s">
        <v>151</v>
      </c>
      <c r="J73" s="7"/>
    </row>
    <row r="74" spans="1:10" x14ac:dyDescent="0.2">
      <c r="A74" s="43">
        <v>2</v>
      </c>
      <c r="B74" s="44"/>
      <c r="C74" s="44" t="s">
        <v>982</v>
      </c>
      <c r="D74" s="44" t="s">
        <v>674</v>
      </c>
      <c r="E74" s="45">
        <v>-2000</v>
      </c>
      <c r="F74" s="46">
        <v>-137.054</v>
      </c>
      <c r="G74" s="47">
        <f t="shared" ref="G74:G82" si="0">F74/$F$141</f>
        <v>-5.9325753930364376E-4</v>
      </c>
      <c r="H74" s="40" t="s">
        <v>151</v>
      </c>
      <c r="J74" s="7"/>
    </row>
    <row r="75" spans="1:10" x14ac:dyDescent="0.2">
      <c r="A75" s="43">
        <v>3</v>
      </c>
      <c r="B75" s="44"/>
      <c r="C75" s="44" t="s">
        <v>989</v>
      </c>
      <c r="D75" s="44" t="s">
        <v>674</v>
      </c>
      <c r="E75" s="45">
        <v>-6300</v>
      </c>
      <c r="F75" s="46">
        <v>-185.56965</v>
      </c>
      <c r="G75" s="47">
        <f t="shared" si="0"/>
        <v>-8.0326436242968765E-4</v>
      </c>
      <c r="H75" s="40" t="s">
        <v>151</v>
      </c>
      <c r="J75" s="7"/>
    </row>
    <row r="76" spans="1:10" x14ac:dyDescent="0.2">
      <c r="A76" s="43">
        <v>4</v>
      </c>
      <c r="B76" s="44"/>
      <c r="C76" s="44" t="s">
        <v>990</v>
      </c>
      <c r="D76" s="44" t="s">
        <v>674</v>
      </c>
      <c r="E76" s="45">
        <v>-203500</v>
      </c>
      <c r="F76" s="46">
        <v>-338.48155000000003</v>
      </c>
      <c r="G76" s="47">
        <f t="shared" si="0"/>
        <v>-1.4651650550343898E-3</v>
      </c>
      <c r="H76" s="40" t="s">
        <v>151</v>
      </c>
      <c r="J76" s="7"/>
    </row>
    <row r="77" spans="1:10" x14ac:dyDescent="0.2">
      <c r="A77" s="43">
        <v>5</v>
      </c>
      <c r="B77" s="44"/>
      <c r="C77" s="44" t="s">
        <v>991</v>
      </c>
      <c r="D77" s="44" t="s">
        <v>674</v>
      </c>
      <c r="E77" s="45">
        <v>-9450</v>
      </c>
      <c r="F77" s="46">
        <v>-668.80484999999999</v>
      </c>
      <c r="G77" s="47">
        <f t="shared" si="0"/>
        <v>-2.8950159760776232E-3</v>
      </c>
      <c r="H77" s="40" t="s">
        <v>151</v>
      </c>
      <c r="J77" s="7"/>
    </row>
    <row r="78" spans="1:10" x14ac:dyDescent="0.2">
      <c r="A78" s="43">
        <v>6</v>
      </c>
      <c r="B78" s="44"/>
      <c r="C78" s="44" t="s">
        <v>967</v>
      </c>
      <c r="D78" s="44" t="s">
        <v>674</v>
      </c>
      <c r="E78" s="45">
        <v>-67450</v>
      </c>
      <c r="F78" s="46">
        <v>-1006.7587</v>
      </c>
      <c r="G78" s="47">
        <f t="shared" si="0"/>
        <v>-4.3578968073499152E-3</v>
      </c>
      <c r="H78" s="40" t="s">
        <v>151</v>
      </c>
      <c r="J78" s="7"/>
    </row>
    <row r="79" spans="1:10" x14ac:dyDescent="0.2">
      <c r="A79" s="43">
        <v>7</v>
      </c>
      <c r="B79" s="44"/>
      <c r="C79" s="44" t="s">
        <v>992</v>
      </c>
      <c r="D79" s="44" t="s">
        <v>674</v>
      </c>
      <c r="E79" s="45">
        <v>-22500</v>
      </c>
      <c r="F79" s="46">
        <v>-1112.1412499999999</v>
      </c>
      <c r="G79" s="47">
        <f t="shared" si="0"/>
        <v>-4.8140600152719254E-3</v>
      </c>
      <c r="H79" s="40" t="s">
        <v>151</v>
      </c>
      <c r="J79" s="7"/>
    </row>
    <row r="80" spans="1:10" x14ac:dyDescent="0.2">
      <c r="A80" s="43">
        <v>8</v>
      </c>
      <c r="B80" s="44"/>
      <c r="C80" s="44" t="s">
        <v>955</v>
      </c>
      <c r="D80" s="44" t="s">
        <v>674</v>
      </c>
      <c r="E80" s="45">
        <v>-33150</v>
      </c>
      <c r="F80" s="46">
        <v>-1270.308</v>
      </c>
      <c r="G80" s="47">
        <f t="shared" si="0"/>
        <v>-5.4987070661033834E-3</v>
      </c>
      <c r="H80" s="40" t="s">
        <v>151</v>
      </c>
      <c r="J80" s="7"/>
    </row>
    <row r="81" spans="1:10" x14ac:dyDescent="0.2">
      <c r="A81" s="43">
        <v>9</v>
      </c>
      <c r="B81" s="44"/>
      <c r="C81" s="44" t="s">
        <v>993</v>
      </c>
      <c r="D81" s="44" t="s">
        <v>674</v>
      </c>
      <c r="E81" s="45">
        <v>-66850</v>
      </c>
      <c r="F81" s="46">
        <v>-1703.1374499999999</v>
      </c>
      <c r="G81" s="47">
        <f t="shared" si="0"/>
        <v>-7.3722702926064367E-3</v>
      </c>
      <c r="H81" s="40" t="s">
        <v>151</v>
      </c>
      <c r="J81" s="7"/>
    </row>
    <row r="82" spans="1:10" x14ac:dyDescent="0.2">
      <c r="A82" s="43">
        <v>10</v>
      </c>
      <c r="B82" s="44"/>
      <c r="C82" s="44" t="s">
        <v>979</v>
      </c>
      <c r="D82" s="44" t="s">
        <v>674</v>
      </c>
      <c r="E82" s="45">
        <v>-183750</v>
      </c>
      <c r="F82" s="46">
        <v>-5379.6487500000003</v>
      </c>
      <c r="G82" s="47">
        <f t="shared" si="0"/>
        <v>-2.3286567190617734E-2</v>
      </c>
      <c r="H82" s="40" t="s">
        <v>151</v>
      </c>
      <c r="J82" s="7"/>
    </row>
    <row r="83" spans="1:10" x14ac:dyDescent="0.2">
      <c r="A83" s="41"/>
      <c r="B83" s="41"/>
      <c r="C83" s="42" t="s">
        <v>150</v>
      </c>
      <c r="D83" s="41"/>
      <c r="E83" s="41" t="s">
        <v>151</v>
      </c>
      <c r="F83" s="48">
        <v>-11831.9946</v>
      </c>
      <c r="G83" s="49">
        <v>-5.121647E-2</v>
      </c>
      <c r="H83" s="40" t="s">
        <v>151</v>
      </c>
      <c r="J83" s="7"/>
    </row>
    <row r="84" spans="1:10" x14ac:dyDescent="0.2">
      <c r="A84" s="41"/>
      <c r="B84" s="41"/>
      <c r="C84" s="50"/>
      <c r="D84" s="41"/>
      <c r="E84" s="41"/>
      <c r="F84" s="51"/>
      <c r="G84" s="51"/>
      <c r="H84" s="40" t="s">
        <v>151</v>
      </c>
      <c r="J84" s="7"/>
    </row>
    <row r="85" spans="1:10" x14ac:dyDescent="0.2">
      <c r="A85" s="41"/>
      <c r="B85" s="41"/>
      <c r="C85" s="42" t="s">
        <v>158</v>
      </c>
      <c r="D85" s="41"/>
      <c r="E85" s="41"/>
      <c r="F85" s="48">
        <f>F58</f>
        <v>152277.23702500001</v>
      </c>
      <c r="G85" s="49">
        <f>G58</f>
        <v>0.65915347999999996</v>
      </c>
      <c r="H85" s="40" t="s">
        <v>151</v>
      </c>
      <c r="J85" s="7"/>
    </row>
    <row r="86" spans="1:10" x14ac:dyDescent="0.2">
      <c r="A86" s="41"/>
      <c r="B86" s="41"/>
      <c r="C86" s="50"/>
      <c r="D86" s="41"/>
      <c r="E86" s="41"/>
      <c r="F86" s="51"/>
      <c r="G86" s="51"/>
      <c r="H86" s="40" t="s">
        <v>151</v>
      </c>
      <c r="J86" s="7"/>
    </row>
    <row r="87" spans="1:10" x14ac:dyDescent="0.2">
      <c r="A87" s="41"/>
      <c r="B87" s="41"/>
      <c r="C87" s="42" t="s">
        <v>159</v>
      </c>
      <c r="D87" s="41"/>
      <c r="E87" s="41"/>
      <c r="F87" s="51"/>
      <c r="G87" s="51"/>
      <c r="H87" s="40" t="s">
        <v>151</v>
      </c>
      <c r="J87" s="7"/>
    </row>
    <row r="88" spans="1:10" x14ac:dyDescent="0.2">
      <c r="A88" s="41"/>
      <c r="B88" s="41"/>
      <c r="C88" s="42" t="s">
        <v>10</v>
      </c>
      <c r="D88" s="41"/>
      <c r="E88" s="41"/>
      <c r="F88" s="51"/>
      <c r="G88" s="51"/>
      <c r="H88" s="40" t="s">
        <v>151</v>
      </c>
      <c r="J88" s="7"/>
    </row>
    <row r="89" spans="1:10" x14ac:dyDescent="0.2">
      <c r="A89" s="41"/>
      <c r="B89" s="41"/>
      <c r="C89" s="42" t="s">
        <v>150</v>
      </c>
      <c r="D89" s="41"/>
      <c r="E89" s="41" t="s">
        <v>151</v>
      </c>
      <c r="F89" s="52" t="s">
        <v>153</v>
      </c>
      <c r="G89" s="49">
        <v>0</v>
      </c>
      <c r="H89" s="40" t="s">
        <v>151</v>
      </c>
      <c r="J89" s="7"/>
    </row>
    <row r="90" spans="1:10" x14ac:dyDescent="0.2">
      <c r="A90" s="41"/>
      <c r="B90" s="41"/>
      <c r="C90" s="50"/>
      <c r="D90" s="41"/>
      <c r="E90" s="41"/>
      <c r="F90" s="51"/>
      <c r="G90" s="51"/>
      <c r="H90" s="40" t="s">
        <v>151</v>
      </c>
      <c r="J90" s="7"/>
    </row>
    <row r="91" spans="1:10" x14ac:dyDescent="0.2">
      <c r="A91" s="41"/>
      <c r="B91" s="41"/>
      <c r="C91" s="42" t="s">
        <v>160</v>
      </c>
      <c r="D91" s="41"/>
      <c r="E91" s="41"/>
      <c r="F91" s="41"/>
      <c r="G91" s="41"/>
      <c r="H91" s="40" t="s">
        <v>151</v>
      </c>
      <c r="J91" s="7"/>
    </row>
    <row r="92" spans="1:10" x14ac:dyDescent="0.2">
      <c r="A92" s="41"/>
      <c r="B92" s="41"/>
      <c r="C92" s="42" t="s">
        <v>150</v>
      </c>
      <c r="D92" s="41"/>
      <c r="E92" s="41" t="s">
        <v>151</v>
      </c>
      <c r="F92" s="52" t="s">
        <v>153</v>
      </c>
      <c r="G92" s="49">
        <v>0</v>
      </c>
      <c r="H92" s="40" t="s">
        <v>151</v>
      </c>
      <c r="J92" s="7"/>
    </row>
    <row r="93" spans="1:10" x14ac:dyDescent="0.2">
      <c r="A93" s="41"/>
      <c r="B93" s="41"/>
      <c r="C93" s="50"/>
      <c r="D93" s="41"/>
      <c r="E93" s="41"/>
      <c r="F93" s="51"/>
      <c r="G93" s="51"/>
      <c r="H93" s="40" t="s">
        <v>151</v>
      </c>
      <c r="J93" s="7"/>
    </row>
    <row r="94" spans="1:10" x14ac:dyDescent="0.2">
      <c r="A94" s="41"/>
      <c r="B94" s="41"/>
      <c r="C94" s="42" t="s">
        <v>161</v>
      </c>
      <c r="D94" s="41"/>
      <c r="E94" s="41"/>
      <c r="F94" s="41"/>
      <c r="G94" s="41"/>
      <c r="H94" s="40" t="s">
        <v>151</v>
      </c>
      <c r="J94" s="7"/>
    </row>
    <row r="95" spans="1:10" ht="25.5" x14ac:dyDescent="0.2">
      <c r="A95" s="43">
        <v>1</v>
      </c>
      <c r="B95" s="44" t="s">
        <v>641</v>
      </c>
      <c r="C95" s="44" t="s">
        <v>1082</v>
      </c>
      <c r="D95" s="44" t="s">
        <v>549</v>
      </c>
      <c r="E95" s="45">
        <v>10500000</v>
      </c>
      <c r="F95" s="46">
        <v>10648.459500000001</v>
      </c>
      <c r="G95" s="47">
        <v>4.609336E-2</v>
      </c>
      <c r="H95" s="40">
        <v>6.9443000000000001</v>
      </c>
      <c r="J95" s="7"/>
    </row>
    <row r="96" spans="1:10" x14ac:dyDescent="0.2">
      <c r="A96" s="43">
        <v>2</v>
      </c>
      <c r="B96" s="44" t="s">
        <v>680</v>
      </c>
      <c r="C96" s="44" t="s">
        <v>1083</v>
      </c>
      <c r="D96" s="44" t="s">
        <v>549</v>
      </c>
      <c r="E96" s="45">
        <v>5500000</v>
      </c>
      <c r="F96" s="46">
        <v>5557.75</v>
      </c>
      <c r="G96" s="47">
        <v>2.4057499999999999E-2</v>
      </c>
      <c r="H96" s="40">
        <v>6.9267000000000003</v>
      </c>
      <c r="J96" s="7"/>
    </row>
    <row r="97" spans="1:10" x14ac:dyDescent="0.2">
      <c r="A97" s="43">
        <v>3</v>
      </c>
      <c r="B97" s="44" t="s">
        <v>635</v>
      </c>
      <c r="C97" s="44" t="s">
        <v>1087</v>
      </c>
      <c r="D97" s="44" t="s">
        <v>549</v>
      </c>
      <c r="E97" s="45">
        <v>3500000</v>
      </c>
      <c r="F97" s="46">
        <v>3550.4</v>
      </c>
      <c r="G97" s="47">
        <v>1.5368410000000001E-2</v>
      </c>
      <c r="H97" s="40">
        <v>7.0831999999999997</v>
      </c>
      <c r="J97" s="7"/>
    </row>
    <row r="98" spans="1:10" x14ac:dyDescent="0.2">
      <c r="A98" s="43">
        <v>4</v>
      </c>
      <c r="B98" s="44" t="s">
        <v>705</v>
      </c>
      <c r="C98" s="44" t="s">
        <v>1088</v>
      </c>
      <c r="D98" s="44" t="s">
        <v>549</v>
      </c>
      <c r="E98" s="45">
        <v>3000000</v>
      </c>
      <c r="F98" s="46">
        <v>3064.23</v>
      </c>
      <c r="G98" s="47">
        <v>1.326395E-2</v>
      </c>
      <c r="H98" s="40">
        <v>7.0101000000000004</v>
      </c>
      <c r="J98" s="7"/>
    </row>
    <row r="99" spans="1:10" x14ac:dyDescent="0.2">
      <c r="A99" s="43">
        <v>5</v>
      </c>
      <c r="B99" s="44" t="s">
        <v>646</v>
      </c>
      <c r="C99" s="44" t="s">
        <v>647</v>
      </c>
      <c r="D99" s="44" t="s">
        <v>549</v>
      </c>
      <c r="E99" s="45">
        <v>500000</v>
      </c>
      <c r="F99" s="46">
        <v>509.50599999999997</v>
      </c>
      <c r="G99" s="47">
        <v>2.2054700000000002E-3</v>
      </c>
      <c r="H99" s="40">
        <v>6.9573</v>
      </c>
      <c r="J99" s="7"/>
    </row>
    <row r="100" spans="1:10" x14ac:dyDescent="0.2">
      <c r="A100" s="41"/>
      <c r="B100" s="41"/>
      <c r="C100" s="42" t="s">
        <v>150</v>
      </c>
      <c r="D100" s="41"/>
      <c r="E100" s="41" t="s">
        <v>151</v>
      </c>
      <c r="F100" s="48">
        <v>23330.345499999999</v>
      </c>
      <c r="G100" s="49">
        <v>0.10098869000000001</v>
      </c>
      <c r="H100" s="40" t="s">
        <v>151</v>
      </c>
      <c r="J100" s="7"/>
    </row>
    <row r="101" spans="1:10" x14ac:dyDescent="0.2">
      <c r="A101" s="41"/>
      <c r="B101" s="41"/>
      <c r="C101" s="50"/>
      <c r="D101" s="41"/>
      <c r="E101" s="41"/>
      <c r="F101" s="51"/>
      <c r="G101" s="51"/>
      <c r="H101" s="40" t="s">
        <v>151</v>
      </c>
      <c r="J101" s="7"/>
    </row>
    <row r="102" spans="1:10" x14ac:dyDescent="0.2">
      <c r="A102" s="41"/>
      <c r="B102" s="41"/>
      <c r="C102" s="42" t="s">
        <v>162</v>
      </c>
      <c r="D102" s="41"/>
      <c r="E102" s="41"/>
      <c r="F102" s="51"/>
      <c r="G102" s="51"/>
      <c r="H102" s="40" t="s">
        <v>151</v>
      </c>
      <c r="J102" s="7"/>
    </row>
    <row r="103" spans="1:10" x14ac:dyDescent="0.2">
      <c r="A103" s="41"/>
      <c r="B103" s="41"/>
      <c r="C103" s="42" t="s">
        <v>150</v>
      </c>
      <c r="D103" s="41"/>
      <c r="E103" s="41" t="s">
        <v>151</v>
      </c>
      <c r="F103" s="52" t="s">
        <v>153</v>
      </c>
      <c r="G103" s="49">
        <v>0</v>
      </c>
      <c r="H103" s="40" t="s">
        <v>151</v>
      </c>
      <c r="J103" s="7"/>
    </row>
    <row r="104" spans="1:10" x14ac:dyDescent="0.2">
      <c r="A104" s="41"/>
      <c r="B104" s="41"/>
      <c r="C104" s="50"/>
      <c r="D104" s="41"/>
      <c r="E104" s="41"/>
      <c r="F104" s="51"/>
      <c r="G104" s="51"/>
      <c r="H104" s="40" t="s">
        <v>151</v>
      </c>
      <c r="J104" s="7"/>
    </row>
    <row r="105" spans="1:10" x14ac:dyDescent="0.2">
      <c r="A105" s="41"/>
      <c r="B105" s="41"/>
      <c r="C105" s="42" t="s">
        <v>163</v>
      </c>
      <c r="D105" s="41"/>
      <c r="E105" s="41"/>
      <c r="F105" s="48">
        <v>23330.345499999999</v>
      </c>
      <c r="G105" s="49">
        <v>0.10098869000000001</v>
      </c>
      <c r="H105" s="40" t="s">
        <v>151</v>
      </c>
      <c r="J105" s="7"/>
    </row>
    <row r="106" spans="1:10" x14ac:dyDescent="0.2">
      <c r="A106" s="41"/>
      <c r="B106" s="41"/>
      <c r="C106" s="50"/>
      <c r="D106" s="41"/>
      <c r="E106" s="41"/>
      <c r="F106" s="51"/>
      <c r="G106" s="51"/>
      <c r="H106" s="40" t="s">
        <v>151</v>
      </c>
      <c r="J106" s="7"/>
    </row>
    <row r="107" spans="1:10" x14ac:dyDescent="0.2">
      <c r="A107" s="41"/>
      <c r="B107" s="41"/>
      <c r="C107" s="42" t="s">
        <v>164</v>
      </c>
      <c r="D107" s="41"/>
      <c r="E107" s="41"/>
      <c r="F107" s="51"/>
      <c r="G107" s="51"/>
      <c r="H107" s="40" t="s">
        <v>151</v>
      </c>
      <c r="J107" s="7"/>
    </row>
    <row r="108" spans="1:10" x14ac:dyDescent="0.2">
      <c r="A108" s="41"/>
      <c r="B108" s="41"/>
      <c r="C108" s="42" t="s">
        <v>165</v>
      </c>
      <c r="D108" s="41"/>
      <c r="E108" s="41"/>
      <c r="F108" s="51"/>
      <c r="G108" s="51"/>
      <c r="H108" s="40" t="s">
        <v>151</v>
      </c>
      <c r="J108" s="7"/>
    </row>
    <row r="109" spans="1:10" x14ac:dyDescent="0.2">
      <c r="A109" s="41"/>
      <c r="B109" s="41"/>
      <c r="C109" s="42" t="s">
        <v>150</v>
      </c>
      <c r="D109" s="41"/>
      <c r="E109" s="41" t="s">
        <v>151</v>
      </c>
      <c r="F109" s="52" t="s">
        <v>153</v>
      </c>
      <c r="G109" s="49">
        <v>0</v>
      </c>
      <c r="H109" s="40" t="s">
        <v>151</v>
      </c>
      <c r="J109" s="7"/>
    </row>
    <row r="110" spans="1:10" x14ac:dyDescent="0.2">
      <c r="A110" s="41"/>
      <c r="B110" s="41"/>
      <c r="C110" s="50"/>
      <c r="D110" s="41"/>
      <c r="E110" s="41"/>
      <c r="F110" s="51"/>
      <c r="G110" s="51"/>
      <c r="H110" s="40" t="s">
        <v>151</v>
      </c>
      <c r="J110" s="7"/>
    </row>
    <row r="111" spans="1:10" x14ac:dyDescent="0.2">
      <c r="A111" s="41"/>
      <c r="B111" s="41"/>
      <c r="C111" s="42" t="s">
        <v>166</v>
      </c>
      <c r="D111" s="41"/>
      <c r="E111" s="41"/>
      <c r="F111" s="51"/>
      <c r="G111" s="51"/>
      <c r="H111" s="40" t="s">
        <v>151</v>
      </c>
      <c r="J111" s="7"/>
    </row>
    <row r="112" spans="1:10" x14ac:dyDescent="0.2">
      <c r="A112" s="41"/>
      <c r="B112" s="41"/>
      <c r="C112" s="42" t="s">
        <v>150</v>
      </c>
      <c r="D112" s="41"/>
      <c r="E112" s="41" t="s">
        <v>151</v>
      </c>
      <c r="F112" s="52" t="s">
        <v>153</v>
      </c>
      <c r="G112" s="49">
        <v>0</v>
      </c>
      <c r="H112" s="40" t="s">
        <v>151</v>
      </c>
      <c r="J112" s="7"/>
    </row>
    <row r="113" spans="1:10" x14ac:dyDescent="0.2">
      <c r="A113" s="41"/>
      <c r="B113" s="41"/>
      <c r="C113" s="50"/>
      <c r="D113" s="41"/>
      <c r="E113" s="41"/>
      <c r="F113" s="51"/>
      <c r="G113" s="51"/>
      <c r="H113" s="40" t="s">
        <v>151</v>
      </c>
      <c r="J113" s="7"/>
    </row>
    <row r="114" spans="1:10" x14ac:dyDescent="0.2">
      <c r="A114" s="41"/>
      <c r="B114" s="41"/>
      <c r="C114" s="42" t="s">
        <v>167</v>
      </c>
      <c r="D114" s="41"/>
      <c r="E114" s="41"/>
      <c r="F114" s="51"/>
      <c r="G114" s="51"/>
      <c r="H114" s="40" t="s">
        <v>151</v>
      </c>
      <c r="J114" s="7"/>
    </row>
    <row r="115" spans="1:10" x14ac:dyDescent="0.2">
      <c r="A115" s="41"/>
      <c r="B115" s="41"/>
      <c r="C115" s="42" t="s">
        <v>150</v>
      </c>
      <c r="D115" s="41"/>
      <c r="E115" s="41" t="s">
        <v>151</v>
      </c>
      <c r="F115" s="52" t="s">
        <v>153</v>
      </c>
      <c r="G115" s="49">
        <v>0</v>
      </c>
      <c r="H115" s="40" t="s">
        <v>151</v>
      </c>
      <c r="J115" s="7"/>
    </row>
    <row r="116" spans="1:10" x14ac:dyDescent="0.2">
      <c r="A116" s="41"/>
      <c r="B116" s="41"/>
      <c r="C116" s="50"/>
      <c r="D116" s="41"/>
      <c r="E116" s="41"/>
      <c r="F116" s="51"/>
      <c r="G116" s="51"/>
      <c r="H116" s="40" t="s">
        <v>151</v>
      </c>
      <c r="J116" s="7"/>
    </row>
    <row r="117" spans="1:10" x14ac:dyDescent="0.2">
      <c r="A117" s="41"/>
      <c r="B117" s="41"/>
      <c r="C117" s="42" t="s">
        <v>168</v>
      </c>
      <c r="D117" s="41"/>
      <c r="E117" s="41"/>
      <c r="F117" s="51"/>
      <c r="G117" s="51"/>
      <c r="H117" s="40" t="s">
        <v>151</v>
      </c>
      <c r="J117" s="7"/>
    </row>
    <row r="118" spans="1:10" x14ac:dyDescent="0.2">
      <c r="A118" s="43">
        <v>1</v>
      </c>
      <c r="B118" s="44"/>
      <c r="C118" s="44" t="s">
        <v>169</v>
      </c>
      <c r="D118" s="44"/>
      <c r="E118" s="54"/>
      <c r="F118" s="46">
        <v>3798.7895620119998</v>
      </c>
      <c r="G118" s="47">
        <v>1.6443599999999999E-2</v>
      </c>
      <c r="H118" s="40">
        <v>6.39</v>
      </c>
      <c r="J118" s="7"/>
    </row>
    <row r="119" spans="1:10" x14ac:dyDescent="0.2">
      <c r="A119" s="41"/>
      <c r="B119" s="41"/>
      <c r="C119" s="42" t="s">
        <v>150</v>
      </c>
      <c r="D119" s="41"/>
      <c r="E119" s="41" t="s">
        <v>151</v>
      </c>
      <c r="F119" s="48">
        <v>3798.7895620119998</v>
      </c>
      <c r="G119" s="49">
        <v>1.6443599999999999E-2</v>
      </c>
      <c r="H119" s="40" t="s">
        <v>151</v>
      </c>
      <c r="J119" s="7"/>
    </row>
    <row r="120" spans="1:10" x14ac:dyDescent="0.2">
      <c r="A120" s="41"/>
      <c r="B120" s="41"/>
      <c r="C120" s="50"/>
      <c r="D120" s="41"/>
      <c r="E120" s="41"/>
      <c r="F120" s="51"/>
      <c r="G120" s="51"/>
      <c r="H120" s="40" t="s">
        <v>151</v>
      </c>
      <c r="J120" s="7"/>
    </row>
    <row r="121" spans="1:10" x14ac:dyDescent="0.2">
      <c r="A121" s="41"/>
      <c r="B121" s="41"/>
      <c r="C121" s="42" t="s">
        <v>170</v>
      </c>
      <c r="D121" s="41"/>
      <c r="E121" s="41"/>
      <c r="F121" s="48">
        <v>3798.7895620119998</v>
      </c>
      <c r="G121" s="49">
        <v>1.6443599999999999E-2</v>
      </c>
      <c r="H121" s="40" t="s">
        <v>151</v>
      </c>
      <c r="J121" s="7"/>
    </row>
    <row r="122" spans="1:10" x14ac:dyDescent="0.2">
      <c r="A122" s="41"/>
      <c r="B122" s="41"/>
      <c r="C122" s="51"/>
      <c r="D122" s="41"/>
      <c r="E122" s="41"/>
      <c r="F122" s="41"/>
      <c r="G122" s="41"/>
      <c r="H122" s="40" t="s">
        <v>151</v>
      </c>
      <c r="J122" s="7"/>
    </row>
    <row r="123" spans="1:10" x14ac:dyDescent="0.2">
      <c r="A123" s="41"/>
      <c r="B123" s="41"/>
      <c r="C123" s="42" t="s">
        <v>171</v>
      </c>
      <c r="D123" s="41"/>
      <c r="E123" s="41"/>
      <c r="F123" s="41"/>
      <c r="G123" s="41"/>
      <c r="H123" s="40" t="s">
        <v>151</v>
      </c>
      <c r="J123" s="7"/>
    </row>
    <row r="124" spans="1:10" x14ac:dyDescent="0.2">
      <c r="A124" s="41"/>
      <c r="B124" s="41"/>
      <c r="C124" s="42" t="s">
        <v>172</v>
      </c>
      <c r="D124" s="41"/>
      <c r="E124" s="41"/>
      <c r="F124" s="41"/>
      <c r="G124" s="41"/>
      <c r="H124" s="40" t="s">
        <v>151</v>
      </c>
      <c r="J124" s="7"/>
    </row>
    <row r="125" spans="1:10" x14ac:dyDescent="0.2">
      <c r="A125" s="43">
        <v>1</v>
      </c>
      <c r="B125" s="44" t="s">
        <v>867</v>
      </c>
      <c r="C125" s="44" t="s">
        <v>868</v>
      </c>
      <c r="D125" s="44"/>
      <c r="E125" s="79">
        <v>25010352</v>
      </c>
      <c r="F125" s="46">
        <v>14676.074553599999</v>
      </c>
      <c r="G125" s="47">
        <v>6.3527459999999994E-2</v>
      </c>
      <c r="H125" s="40" t="s">
        <v>151</v>
      </c>
      <c r="J125" s="7"/>
    </row>
    <row r="126" spans="1:10" x14ac:dyDescent="0.2">
      <c r="A126" s="43">
        <v>2</v>
      </c>
      <c r="B126" s="44" t="s">
        <v>869</v>
      </c>
      <c r="C126" s="44" t="s">
        <v>870</v>
      </c>
      <c r="D126" s="44"/>
      <c r="E126" s="79">
        <v>23220835</v>
      </c>
      <c r="F126" s="46">
        <v>14055.5714255</v>
      </c>
      <c r="G126" s="47">
        <v>6.0841520000000003E-2</v>
      </c>
      <c r="H126" s="40" t="s">
        <v>151</v>
      </c>
      <c r="J126" s="7"/>
    </row>
    <row r="127" spans="1:10" x14ac:dyDescent="0.2">
      <c r="A127" s="43">
        <v>3</v>
      </c>
      <c r="B127" s="44" t="s">
        <v>871</v>
      </c>
      <c r="C127" s="44" t="s">
        <v>872</v>
      </c>
      <c r="D127" s="44"/>
      <c r="E127" s="79">
        <v>18522366</v>
      </c>
      <c r="F127" s="46">
        <v>11270.859710999999</v>
      </c>
      <c r="G127" s="47">
        <v>4.8787499999999998E-2</v>
      </c>
      <c r="H127" s="40" t="s">
        <v>151</v>
      </c>
      <c r="J127" s="7"/>
    </row>
    <row r="128" spans="1:10" ht="25.5" x14ac:dyDescent="0.2">
      <c r="A128" s="43">
        <v>4</v>
      </c>
      <c r="B128" s="44" t="s">
        <v>873</v>
      </c>
      <c r="C128" s="44" t="s">
        <v>874</v>
      </c>
      <c r="D128" s="44"/>
      <c r="E128" s="79">
        <v>13860861</v>
      </c>
      <c r="F128" s="46">
        <v>8170.9775595000001</v>
      </c>
      <c r="G128" s="47">
        <v>3.5369230000000002E-2</v>
      </c>
      <c r="H128" s="40" t="s">
        <v>151</v>
      </c>
      <c r="J128" s="7"/>
    </row>
    <row r="129" spans="1:10" x14ac:dyDescent="0.2">
      <c r="A129" s="43">
        <v>5</v>
      </c>
      <c r="B129" s="44" t="s">
        <v>875</v>
      </c>
      <c r="C129" s="44" t="s">
        <v>876</v>
      </c>
      <c r="D129" s="44"/>
      <c r="E129" s="79">
        <v>4448000</v>
      </c>
      <c r="F129" s="46">
        <v>3048.6592000000001</v>
      </c>
      <c r="G129" s="47">
        <v>1.319655E-2</v>
      </c>
      <c r="H129" s="40" t="s">
        <v>151</v>
      </c>
      <c r="J129" s="7"/>
    </row>
    <row r="130" spans="1:10" x14ac:dyDescent="0.2">
      <c r="A130" s="41"/>
      <c r="B130" s="41"/>
      <c r="C130" s="42" t="s">
        <v>150</v>
      </c>
      <c r="D130" s="41"/>
      <c r="E130" s="41" t="s">
        <v>151</v>
      </c>
      <c r="F130" s="48">
        <v>51222.142449600004</v>
      </c>
      <c r="G130" s="49">
        <v>0.22172226</v>
      </c>
      <c r="H130" s="40" t="s">
        <v>151</v>
      </c>
      <c r="J130" s="7"/>
    </row>
    <row r="131" spans="1:10" x14ac:dyDescent="0.2">
      <c r="A131" s="41"/>
      <c r="B131" s="41"/>
      <c r="C131" s="50"/>
      <c r="D131" s="41"/>
      <c r="E131" s="41"/>
      <c r="F131" s="51"/>
      <c r="G131" s="51"/>
      <c r="H131" s="40" t="s">
        <v>151</v>
      </c>
      <c r="J131" s="7"/>
    </row>
    <row r="132" spans="1:10" x14ac:dyDescent="0.2">
      <c r="A132" s="41"/>
      <c r="B132" s="41"/>
      <c r="C132" s="42" t="s">
        <v>173</v>
      </c>
      <c r="D132" s="41"/>
      <c r="E132" s="41"/>
      <c r="F132" s="41"/>
      <c r="G132" s="41"/>
      <c r="H132" s="40" t="s">
        <v>151</v>
      </c>
      <c r="J132" s="7"/>
    </row>
    <row r="133" spans="1:10" x14ac:dyDescent="0.2">
      <c r="A133" s="41"/>
      <c r="B133" s="41"/>
      <c r="C133" s="42" t="s">
        <v>174</v>
      </c>
      <c r="D133" s="41"/>
      <c r="E133" s="41"/>
      <c r="F133" s="41"/>
      <c r="G133" s="41"/>
      <c r="H133" s="40" t="s">
        <v>151</v>
      </c>
      <c r="J133" s="7"/>
    </row>
    <row r="134" spans="1:10" x14ac:dyDescent="0.2">
      <c r="A134" s="41"/>
      <c r="B134" s="41"/>
      <c r="C134" s="42" t="s">
        <v>150</v>
      </c>
      <c r="D134" s="41"/>
      <c r="E134" s="41" t="s">
        <v>151</v>
      </c>
      <c r="F134" s="52" t="s">
        <v>153</v>
      </c>
      <c r="G134" s="49">
        <v>0</v>
      </c>
      <c r="H134" s="40" t="s">
        <v>151</v>
      </c>
      <c r="J134" s="7"/>
    </row>
    <row r="135" spans="1:10" x14ac:dyDescent="0.2">
      <c r="A135" s="41"/>
      <c r="B135" s="41"/>
      <c r="C135" s="50"/>
      <c r="D135" s="41"/>
      <c r="E135" s="41"/>
      <c r="F135" s="51"/>
      <c r="G135" s="51"/>
      <c r="H135" s="40" t="s">
        <v>151</v>
      </c>
      <c r="J135" s="7"/>
    </row>
    <row r="136" spans="1:10" x14ac:dyDescent="0.2">
      <c r="A136" s="41"/>
      <c r="B136" s="41"/>
      <c r="C136" s="42" t="s">
        <v>175</v>
      </c>
      <c r="D136" s="41"/>
      <c r="E136" s="41"/>
      <c r="F136" s="51"/>
      <c r="G136" s="51"/>
      <c r="H136" s="40" t="s">
        <v>151</v>
      </c>
      <c r="J136" s="7"/>
    </row>
    <row r="137" spans="1:10" x14ac:dyDescent="0.2">
      <c r="A137" s="41"/>
      <c r="B137" s="41"/>
      <c r="C137" s="42" t="s">
        <v>150</v>
      </c>
      <c r="D137" s="41"/>
      <c r="E137" s="41" t="s">
        <v>151</v>
      </c>
      <c r="F137" s="52" t="s">
        <v>153</v>
      </c>
      <c r="G137" s="49">
        <v>0</v>
      </c>
      <c r="H137" s="40" t="s">
        <v>151</v>
      </c>
      <c r="J137" s="7"/>
    </row>
    <row r="138" spans="1:10" x14ac:dyDescent="0.2">
      <c r="A138" s="41"/>
      <c r="B138" s="41"/>
      <c r="C138" s="50"/>
      <c r="D138" s="41"/>
      <c r="E138" s="41"/>
      <c r="F138" s="51"/>
      <c r="G138" s="51"/>
      <c r="H138" s="40" t="s">
        <v>151</v>
      </c>
      <c r="J138" s="7"/>
    </row>
    <row r="139" spans="1:10" x14ac:dyDescent="0.2">
      <c r="A139" s="54"/>
      <c r="B139" s="44"/>
      <c r="C139" s="44" t="s">
        <v>550</v>
      </c>
      <c r="D139" s="44"/>
      <c r="E139" s="54"/>
      <c r="F139" s="46">
        <v>86.632025900000002</v>
      </c>
      <c r="G139" s="47">
        <v>3.7500000000000001E-4</v>
      </c>
      <c r="H139" s="40" t="s">
        <v>151</v>
      </c>
      <c r="J139" s="7"/>
    </row>
    <row r="140" spans="1:10" x14ac:dyDescent="0.2">
      <c r="A140" s="54"/>
      <c r="B140" s="44"/>
      <c r="C140" s="83" t="s">
        <v>996</v>
      </c>
      <c r="D140" s="44"/>
      <c r="E140" s="54"/>
      <c r="F140" s="46">
        <f>12136.24673046-11831.9946</f>
        <v>304.25213045999953</v>
      </c>
      <c r="G140" s="47">
        <f>F140/F141</f>
        <v>1.3169981922788866E-3</v>
      </c>
      <c r="H140" s="40" t="s">
        <v>151</v>
      </c>
      <c r="J140" s="7"/>
    </row>
    <row r="141" spans="1:10" x14ac:dyDescent="0.2">
      <c r="A141" s="50"/>
      <c r="B141" s="50"/>
      <c r="C141" s="42" t="s">
        <v>177</v>
      </c>
      <c r="D141" s="51"/>
      <c r="E141" s="51"/>
      <c r="F141" s="48">
        <f>F140+F139+F130+F121+F105+F85</f>
        <v>231019.39869297203</v>
      </c>
      <c r="G141" s="55">
        <f>G140+G139+G130+G121+G105+G85</f>
        <v>1.0000000281922787</v>
      </c>
      <c r="H141" s="40" t="s">
        <v>151</v>
      </c>
      <c r="J141" s="7"/>
    </row>
    <row r="142" spans="1:10" ht="12.75" customHeight="1" x14ac:dyDescent="0.2">
      <c r="A142" s="58"/>
      <c r="B142" s="159"/>
      <c r="C142" s="159"/>
      <c r="D142" s="159"/>
      <c r="E142" s="159"/>
      <c r="F142" s="159"/>
      <c r="G142" s="159"/>
      <c r="H142" s="159"/>
      <c r="J142" s="7"/>
    </row>
    <row r="143" spans="1:10" ht="12.75" customHeight="1" x14ac:dyDescent="0.2">
      <c r="A143" s="58"/>
      <c r="B143" s="159" t="s">
        <v>923</v>
      </c>
      <c r="C143" s="159"/>
      <c r="D143" s="159"/>
      <c r="E143" s="159"/>
      <c r="F143" s="159"/>
      <c r="G143" s="159"/>
      <c r="H143" s="159"/>
      <c r="J143" s="7"/>
    </row>
    <row r="144" spans="1:10" ht="14.1" customHeight="1" x14ac:dyDescent="0.2">
      <c r="A144" s="58"/>
      <c r="B144" s="159" t="s">
        <v>924</v>
      </c>
      <c r="C144" s="159"/>
      <c r="D144" s="159"/>
      <c r="E144" s="159"/>
      <c r="F144" s="159"/>
      <c r="G144" s="159"/>
      <c r="H144" s="159"/>
      <c r="J144" s="7"/>
    </row>
    <row r="145" spans="1:17" ht="17.100000000000001" customHeight="1" x14ac:dyDescent="0.2">
      <c r="A145" s="58"/>
      <c r="B145" s="159" t="s">
        <v>925</v>
      </c>
      <c r="C145" s="159"/>
      <c r="D145" s="159"/>
      <c r="E145" s="159"/>
      <c r="F145" s="159"/>
      <c r="G145" s="159"/>
      <c r="H145" s="159"/>
      <c r="J145" s="7"/>
    </row>
    <row r="146" spans="1:17" s="8" customFormat="1" ht="65.25" customHeight="1" x14ac:dyDescent="0.25">
      <c r="A146" s="60"/>
      <c r="B146" s="160" t="s">
        <v>926</v>
      </c>
      <c r="C146" s="160"/>
      <c r="D146" s="160"/>
      <c r="E146" s="160"/>
      <c r="F146" s="160"/>
      <c r="G146" s="160"/>
      <c r="H146" s="160"/>
      <c r="I146"/>
      <c r="J146" s="7"/>
      <c r="K146"/>
      <c r="L146"/>
      <c r="M146"/>
      <c r="N146"/>
      <c r="O146"/>
      <c r="P146"/>
      <c r="Q146"/>
    </row>
    <row r="147" spans="1:17" ht="12.75" customHeight="1" x14ac:dyDescent="0.2">
      <c r="A147" s="58"/>
      <c r="B147" s="159" t="s">
        <v>927</v>
      </c>
      <c r="C147" s="159"/>
      <c r="D147" s="159"/>
      <c r="E147" s="159"/>
      <c r="F147" s="159"/>
      <c r="G147" s="159"/>
      <c r="H147" s="159"/>
      <c r="J147" s="7"/>
    </row>
    <row r="148" spans="1:17" x14ac:dyDescent="0.2">
      <c r="A148" s="61"/>
      <c r="B148" s="61"/>
      <c r="C148" s="61"/>
      <c r="D148" s="62"/>
      <c r="E148" s="62"/>
      <c r="F148" s="62"/>
      <c r="G148" s="62"/>
      <c r="J148" s="7"/>
    </row>
    <row r="149" spans="1:17" x14ac:dyDescent="0.2">
      <c r="A149" s="61"/>
      <c r="B149" s="161" t="s">
        <v>178</v>
      </c>
      <c r="C149" s="162"/>
      <c r="D149" s="163"/>
      <c r="E149" s="63"/>
      <c r="F149" s="62"/>
      <c r="G149" s="62"/>
      <c r="J149" s="7"/>
    </row>
    <row r="150" spans="1:17" x14ac:dyDescent="0.2">
      <c r="A150" s="61"/>
      <c r="B150" s="156" t="s">
        <v>179</v>
      </c>
      <c r="C150" s="157"/>
      <c r="D150" s="42" t="s">
        <v>180</v>
      </c>
      <c r="E150" s="63"/>
      <c r="F150" s="62"/>
      <c r="G150" s="62"/>
      <c r="J150" s="7"/>
    </row>
    <row r="151" spans="1:17" x14ac:dyDescent="0.2">
      <c r="A151" s="61"/>
      <c r="B151" s="156" t="s">
        <v>181</v>
      </c>
      <c r="C151" s="157"/>
      <c r="D151" s="42" t="s">
        <v>180</v>
      </c>
      <c r="E151" s="63"/>
      <c r="F151" s="62"/>
      <c r="G151" s="62"/>
      <c r="J151" s="7"/>
    </row>
    <row r="152" spans="1:17" x14ac:dyDescent="0.2">
      <c r="A152" s="61"/>
      <c r="B152" s="156" t="s">
        <v>182</v>
      </c>
      <c r="C152" s="157"/>
      <c r="D152" s="51" t="s">
        <v>151</v>
      </c>
      <c r="E152" s="63"/>
      <c r="F152" s="62"/>
      <c r="G152" s="62"/>
      <c r="J152" s="7"/>
    </row>
    <row r="153" spans="1:17" x14ac:dyDescent="0.2">
      <c r="A153" s="67"/>
      <c r="B153" s="68" t="s">
        <v>151</v>
      </c>
      <c r="C153" s="68" t="s">
        <v>937</v>
      </c>
      <c r="D153" s="68" t="s">
        <v>183</v>
      </c>
      <c r="E153" s="67"/>
      <c r="F153" s="67"/>
      <c r="G153" s="67"/>
      <c r="H153" s="67"/>
      <c r="J153" s="7"/>
    </row>
    <row r="154" spans="1:17" x14ac:dyDescent="0.2">
      <c r="A154" s="69"/>
      <c r="B154" s="70" t="s">
        <v>184</v>
      </c>
      <c r="C154" s="80" t="s">
        <v>185</v>
      </c>
      <c r="D154" s="80" t="s">
        <v>186</v>
      </c>
      <c r="E154" s="69"/>
      <c r="F154" s="69"/>
      <c r="G154" s="69"/>
      <c r="J154" s="7"/>
    </row>
    <row r="155" spans="1:17" x14ac:dyDescent="0.2">
      <c r="A155" s="69"/>
      <c r="B155" s="44" t="s">
        <v>187</v>
      </c>
      <c r="C155" s="72">
        <v>11.181699999999999</v>
      </c>
      <c r="D155" s="72">
        <v>11.4314</v>
      </c>
      <c r="E155" s="69"/>
      <c r="F155" s="73"/>
      <c r="G155" s="74"/>
      <c r="J155" s="7"/>
    </row>
    <row r="156" spans="1:17" x14ac:dyDescent="0.2">
      <c r="A156" s="69"/>
      <c r="B156" s="44" t="s">
        <v>1094</v>
      </c>
      <c r="C156" s="72">
        <v>11.181699999999999</v>
      </c>
      <c r="D156" s="72">
        <v>11.4314</v>
      </c>
      <c r="E156" s="69"/>
      <c r="F156" s="73"/>
      <c r="G156" s="74"/>
      <c r="J156" s="7"/>
    </row>
    <row r="157" spans="1:17" x14ac:dyDescent="0.2">
      <c r="A157" s="69"/>
      <c r="B157" s="44" t="s">
        <v>188</v>
      </c>
      <c r="C157" s="72">
        <v>11.099</v>
      </c>
      <c r="D157" s="72">
        <v>11.3302</v>
      </c>
      <c r="E157" s="69"/>
      <c r="F157" s="73"/>
      <c r="G157" s="74"/>
      <c r="J157" s="7"/>
    </row>
    <row r="158" spans="1:17" x14ac:dyDescent="0.2">
      <c r="A158" s="69"/>
      <c r="B158" s="44" t="s">
        <v>1095</v>
      </c>
      <c r="C158" s="72">
        <v>11.099</v>
      </c>
      <c r="D158" s="72">
        <v>11.3302</v>
      </c>
      <c r="E158" s="69"/>
      <c r="F158" s="73"/>
      <c r="G158" s="74"/>
      <c r="J158" s="7"/>
    </row>
    <row r="159" spans="1:17" x14ac:dyDescent="0.2">
      <c r="A159" s="69"/>
      <c r="B159" s="69"/>
      <c r="C159" s="69"/>
      <c r="D159" s="69"/>
      <c r="E159" s="69"/>
      <c r="F159" s="69"/>
      <c r="G159" s="69"/>
      <c r="J159" s="7"/>
    </row>
    <row r="160" spans="1:17" x14ac:dyDescent="0.2">
      <c r="A160" s="67"/>
      <c r="B160" s="164" t="s">
        <v>940</v>
      </c>
      <c r="C160" s="165"/>
      <c r="D160" s="64" t="s">
        <v>180</v>
      </c>
      <c r="E160" s="67"/>
      <c r="F160" s="67"/>
      <c r="G160" s="67"/>
      <c r="J160" s="7"/>
    </row>
    <row r="161" spans="1:10" x14ac:dyDescent="0.2">
      <c r="A161" s="67"/>
      <c r="B161" s="84"/>
      <c r="C161" s="84"/>
      <c r="D161" s="84"/>
      <c r="E161" s="67"/>
      <c r="F161" s="67"/>
      <c r="G161" s="67"/>
      <c r="J161" s="7"/>
    </row>
    <row r="162" spans="1:10" ht="29.1" customHeight="1" x14ac:dyDescent="0.2">
      <c r="A162" s="67"/>
      <c r="B162" s="164" t="s">
        <v>189</v>
      </c>
      <c r="C162" s="165"/>
      <c r="D162" s="64" t="s">
        <v>1015</v>
      </c>
      <c r="E162" s="75"/>
      <c r="F162" s="67"/>
      <c r="G162" s="67"/>
      <c r="J162" s="7"/>
    </row>
    <row r="163" spans="1:10" ht="29.1" customHeight="1" x14ac:dyDescent="0.2">
      <c r="A163" s="67"/>
      <c r="B163" s="164" t="s">
        <v>190</v>
      </c>
      <c r="C163" s="165"/>
      <c r="D163" s="64" t="s">
        <v>180</v>
      </c>
      <c r="E163" s="75"/>
      <c r="F163" s="67"/>
      <c r="G163" s="67"/>
      <c r="J163" s="7"/>
    </row>
    <row r="164" spans="1:10" ht="17.100000000000001" customHeight="1" x14ac:dyDescent="0.2">
      <c r="A164" s="67"/>
      <c r="B164" s="164" t="s">
        <v>191</v>
      </c>
      <c r="C164" s="165"/>
      <c r="D164" s="64" t="s">
        <v>180</v>
      </c>
      <c r="E164" s="75"/>
      <c r="F164" s="67"/>
      <c r="G164" s="67"/>
      <c r="J164" s="7"/>
    </row>
    <row r="165" spans="1:10" ht="17.100000000000001" customHeight="1" x14ac:dyDescent="0.2">
      <c r="A165" s="67"/>
      <c r="B165" s="164" t="s">
        <v>192</v>
      </c>
      <c r="C165" s="165"/>
      <c r="D165" s="76">
        <v>1.7836943257511728</v>
      </c>
      <c r="E165" s="67"/>
      <c r="F165" s="59"/>
      <c r="G165" s="77"/>
      <c r="J165" s="7"/>
    </row>
    <row r="166" spans="1:10" x14ac:dyDescent="0.2">
      <c r="J166" s="7"/>
    </row>
    <row r="167" spans="1:10" x14ac:dyDescent="0.2">
      <c r="B167" s="179" t="s">
        <v>1035</v>
      </c>
      <c r="C167" s="180"/>
      <c r="D167" s="181"/>
      <c r="J167" s="7"/>
    </row>
    <row r="168" spans="1:10" ht="38.25" x14ac:dyDescent="0.2">
      <c r="B168" s="168" t="s">
        <v>1036</v>
      </c>
      <c r="C168" s="168"/>
      <c r="D168" s="110" t="s">
        <v>866</v>
      </c>
    </row>
    <row r="169" spans="1:10" x14ac:dyDescent="0.2">
      <c r="B169" s="168" t="s">
        <v>1037</v>
      </c>
      <c r="C169" s="168"/>
      <c r="D169" s="118"/>
    </row>
    <row r="170" spans="1:10" x14ac:dyDescent="0.2">
      <c r="B170" s="169"/>
      <c r="C170" s="170"/>
      <c r="D170" s="111"/>
    </row>
    <row r="171" spans="1:10" x14ac:dyDescent="0.2">
      <c r="B171" s="168" t="s">
        <v>1038</v>
      </c>
      <c r="C171" s="168"/>
      <c r="D171" s="112">
        <v>6.8911167099991655</v>
      </c>
    </row>
    <row r="172" spans="1:10" x14ac:dyDescent="0.2">
      <c r="B172" s="169"/>
      <c r="C172" s="170"/>
      <c r="D172" s="111"/>
    </row>
    <row r="173" spans="1:10" x14ac:dyDescent="0.2">
      <c r="B173" s="168" t="s">
        <v>1039</v>
      </c>
      <c r="C173" s="168"/>
      <c r="D173" s="112">
        <v>2.9786161174412689</v>
      </c>
    </row>
    <row r="174" spans="1:10" x14ac:dyDescent="0.2">
      <c r="B174" s="168" t="s">
        <v>1040</v>
      </c>
      <c r="C174" s="168"/>
      <c r="D174" s="112">
        <v>3.5858881683793911</v>
      </c>
    </row>
    <row r="175" spans="1:10" x14ac:dyDescent="0.2">
      <c r="B175" s="169"/>
      <c r="C175" s="170"/>
      <c r="D175" s="111"/>
    </row>
    <row r="176" spans="1:10" x14ac:dyDescent="0.2">
      <c r="B176" s="168" t="s">
        <v>1041</v>
      </c>
      <c r="C176" s="168"/>
      <c r="D176" s="114" t="s">
        <v>1079</v>
      </c>
    </row>
    <row r="177" spans="2:4" x14ac:dyDescent="0.2">
      <c r="B177" s="169" t="s">
        <v>1042</v>
      </c>
      <c r="C177" s="171"/>
      <c r="D177" s="170"/>
    </row>
  </sheetData>
  <mergeCells count="29">
    <mergeCell ref="B149:D149"/>
    <mergeCell ref="B165:C165"/>
    <mergeCell ref="B151:C151"/>
    <mergeCell ref="B152:C152"/>
    <mergeCell ref="B160:C160"/>
    <mergeCell ref="B162:C162"/>
    <mergeCell ref="B163:C163"/>
    <mergeCell ref="B164:C164"/>
    <mergeCell ref="A1:H1"/>
    <mergeCell ref="A2:H2"/>
    <mergeCell ref="A3:H3"/>
    <mergeCell ref="B143:H143"/>
    <mergeCell ref="B144:H144"/>
    <mergeCell ref="B177:D177"/>
    <mergeCell ref="B142:H142"/>
    <mergeCell ref="B172:C172"/>
    <mergeCell ref="B173:C173"/>
    <mergeCell ref="B174:C174"/>
    <mergeCell ref="B175:C175"/>
    <mergeCell ref="B176:C176"/>
    <mergeCell ref="B167:D167"/>
    <mergeCell ref="B168:C168"/>
    <mergeCell ref="B169:C169"/>
    <mergeCell ref="B170:C170"/>
    <mergeCell ref="B171:C171"/>
    <mergeCell ref="B150:C150"/>
    <mergeCell ref="B145:H145"/>
    <mergeCell ref="B146:H146"/>
    <mergeCell ref="B147:H147"/>
  </mergeCells>
  <hyperlinks>
    <hyperlink ref="I1" location="Index!B30" display="Index" xr:uid="{E5FE0E73-A600-4E76-96FD-F19B7DD0064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F8F60-12D1-4F76-938D-616AA43AA646}">
  <sheetPr>
    <pageSetUpPr fitToPage="1"/>
  </sheetPr>
  <dimension ref="B1:L218"/>
  <sheetViews>
    <sheetView tabSelected="1" zoomScaleNormal="100" workbookViewId="0">
      <selection activeCell="B118" sqref="B118"/>
    </sheetView>
  </sheetViews>
  <sheetFormatPr defaultRowHeight="13.5" x14ac:dyDescent="0.25"/>
  <cols>
    <col min="1" max="1" width="4.42578125" style="192" customWidth="1"/>
    <col min="2" max="2" width="42" style="192" customWidth="1"/>
    <col min="3" max="3" width="54.7109375" style="192" customWidth="1"/>
    <col min="4" max="4" width="17.28515625" style="192" bestFit="1" customWidth="1"/>
    <col min="5" max="5" width="20.140625" style="192" bestFit="1" customWidth="1"/>
    <col min="6" max="6" width="16.5703125" style="192" customWidth="1"/>
    <col min="7" max="7" width="18.7109375" style="192" bestFit="1" customWidth="1"/>
    <col min="8" max="8" width="17.5703125" style="192" customWidth="1"/>
    <col min="9" max="9" width="15.5703125" style="192" bestFit="1" customWidth="1"/>
    <col min="10" max="10" width="13.5703125" style="192" customWidth="1"/>
    <col min="11" max="11" width="20.5703125" style="192" customWidth="1"/>
    <col min="12" max="12" width="12.42578125" style="192" bestFit="1" customWidth="1"/>
    <col min="13" max="256" width="9.140625" style="192"/>
    <col min="257" max="257" width="23" style="192" customWidth="1"/>
    <col min="258" max="258" width="42" style="192" customWidth="1"/>
    <col min="259" max="259" width="54.7109375" style="192" customWidth="1"/>
    <col min="260" max="260" width="17.28515625" style="192" bestFit="1" customWidth="1"/>
    <col min="261" max="261" width="20.140625" style="192" bestFit="1" customWidth="1"/>
    <col min="262" max="262" width="16.5703125" style="192" customWidth="1"/>
    <col min="263" max="263" width="18.7109375" style="192" bestFit="1" customWidth="1"/>
    <col min="264" max="264" width="17.5703125" style="192" customWidth="1"/>
    <col min="265" max="265" width="15.5703125" style="192" bestFit="1" customWidth="1"/>
    <col min="266" max="266" width="13.5703125" style="192" customWidth="1"/>
    <col min="267" max="267" width="20.5703125" style="192" customWidth="1"/>
    <col min="268" max="268" width="12.42578125" style="192" bestFit="1" customWidth="1"/>
    <col min="269" max="512" width="9.140625" style="192"/>
    <col min="513" max="513" width="23" style="192" customWidth="1"/>
    <col min="514" max="514" width="42" style="192" customWidth="1"/>
    <col min="515" max="515" width="54.7109375" style="192" customWidth="1"/>
    <col min="516" max="516" width="17.28515625" style="192" bestFit="1" customWidth="1"/>
    <col min="517" max="517" width="20.140625" style="192" bestFit="1" customWidth="1"/>
    <col min="518" max="518" width="16.5703125" style="192" customWidth="1"/>
    <col min="519" max="519" width="18.7109375" style="192" bestFit="1" customWidth="1"/>
    <col min="520" max="520" width="17.5703125" style="192" customWidth="1"/>
    <col min="521" max="521" width="15.5703125" style="192" bestFit="1" customWidth="1"/>
    <col min="522" max="522" width="13.5703125" style="192" customWidth="1"/>
    <col min="523" max="523" width="20.5703125" style="192" customWidth="1"/>
    <col min="524" max="524" width="12.42578125" style="192" bestFit="1" customWidth="1"/>
    <col min="525" max="768" width="9.140625" style="192"/>
    <col min="769" max="769" width="23" style="192" customWidth="1"/>
    <col min="770" max="770" width="42" style="192" customWidth="1"/>
    <col min="771" max="771" width="54.7109375" style="192" customWidth="1"/>
    <col min="772" max="772" width="17.28515625" style="192" bestFit="1" customWidth="1"/>
    <col min="773" max="773" width="20.140625" style="192" bestFit="1" customWidth="1"/>
    <col min="774" max="774" width="16.5703125" style="192" customWidth="1"/>
    <col min="775" max="775" width="18.7109375" style="192" bestFit="1" customWidth="1"/>
    <col min="776" max="776" width="17.5703125" style="192" customWidth="1"/>
    <col min="777" max="777" width="15.5703125" style="192" bestFit="1" customWidth="1"/>
    <col min="778" max="778" width="13.5703125" style="192" customWidth="1"/>
    <col min="779" max="779" width="20.5703125" style="192" customWidth="1"/>
    <col min="780" max="780" width="12.42578125" style="192" bestFit="1" customWidth="1"/>
    <col min="781" max="1024" width="9.140625" style="192"/>
    <col min="1025" max="1025" width="23" style="192" customWidth="1"/>
    <col min="1026" max="1026" width="42" style="192" customWidth="1"/>
    <col min="1027" max="1027" width="54.7109375" style="192" customWidth="1"/>
    <col min="1028" max="1028" width="17.28515625" style="192" bestFit="1" customWidth="1"/>
    <col min="1029" max="1029" width="20.140625" style="192" bestFit="1" customWidth="1"/>
    <col min="1030" max="1030" width="16.5703125" style="192" customWidth="1"/>
    <col min="1031" max="1031" width="18.7109375" style="192" bestFit="1" customWidth="1"/>
    <col min="1032" max="1032" width="17.5703125" style="192" customWidth="1"/>
    <col min="1033" max="1033" width="15.5703125" style="192" bestFit="1" customWidth="1"/>
    <col min="1034" max="1034" width="13.5703125" style="192" customWidth="1"/>
    <col min="1035" max="1035" width="20.5703125" style="192" customWidth="1"/>
    <col min="1036" max="1036" width="12.42578125" style="192" bestFit="1" customWidth="1"/>
    <col min="1037" max="1280" width="9.140625" style="192"/>
    <col min="1281" max="1281" width="23" style="192" customWidth="1"/>
    <col min="1282" max="1282" width="42" style="192" customWidth="1"/>
    <col min="1283" max="1283" width="54.7109375" style="192" customWidth="1"/>
    <col min="1284" max="1284" width="17.28515625" style="192" bestFit="1" customWidth="1"/>
    <col min="1285" max="1285" width="20.140625" style="192" bestFit="1" customWidth="1"/>
    <col min="1286" max="1286" width="16.5703125" style="192" customWidth="1"/>
    <col min="1287" max="1287" width="18.7109375" style="192" bestFit="1" customWidth="1"/>
    <col min="1288" max="1288" width="17.5703125" style="192" customWidth="1"/>
    <col min="1289" max="1289" width="15.5703125" style="192" bestFit="1" customWidth="1"/>
    <col min="1290" max="1290" width="13.5703125" style="192" customWidth="1"/>
    <col min="1291" max="1291" width="20.5703125" style="192" customWidth="1"/>
    <col min="1292" max="1292" width="12.42578125" style="192" bestFit="1" customWidth="1"/>
    <col min="1293" max="1536" width="9.140625" style="192"/>
    <col min="1537" max="1537" width="23" style="192" customWidth="1"/>
    <col min="1538" max="1538" width="42" style="192" customWidth="1"/>
    <col min="1539" max="1539" width="54.7109375" style="192" customWidth="1"/>
    <col min="1540" max="1540" width="17.28515625" style="192" bestFit="1" customWidth="1"/>
    <col min="1541" max="1541" width="20.140625" style="192" bestFit="1" customWidth="1"/>
    <col min="1542" max="1542" width="16.5703125" style="192" customWidth="1"/>
    <col min="1543" max="1543" width="18.7109375" style="192" bestFit="1" customWidth="1"/>
    <col min="1544" max="1544" width="17.5703125" style="192" customWidth="1"/>
    <col min="1545" max="1545" width="15.5703125" style="192" bestFit="1" customWidth="1"/>
    <col min="1546" max="1546" width="13.5703125" style="192" customWidth="1"/>
    <col min="1547" max="1547" width="20.5703125" style="192" customWidth="1"/>
    <col min="1548" max="1548" width="12.42578125" style="192" bestFit="1" customWidth="1"/>
    <col min="1549" max="1792" width="9.140625" style="192"/>
    <col min="1793" max="1793" width="23" style="192" customWidth="1"/>
    <col min="1794" max="1794" width="42" style="192" customWidth="1"/>
    <col min="1795" max="1795" width="54.7109375" style="192" customWidth="1"/>
    <col min="1796" max="1796" width="17.28515625" style="192" bestFit="1" customWidth="1"/>
    <col min="1797" max="1797" width="20.140625" style="192" bestFit="1" customWidth="1"/>
    <col min="1798" max="1798" width="16.5703125" style="192" customWidth="1"/>
    <col min="1799" max="1799" width="18.7109375" style="192" bestFit="1" customWidth="1"/>
    <col min="1800" max="1800" width="17.5703125" style="192" customWidth="1"/>
    <col min="1801" max="1801" width="15.5703125" style="192" bestFit="1" customWidth="1"/>
    <col min="1802" max="1802" width="13.5703125" style="192" customWidth="1"/>
    <col min="1803" max="1803" width="20.5703125" style="192" customWidth="1"/>
    <col min="1804" max="1804" width="12.42578125" style="192" bestFit="1" customWidth="1"/>
    <col min="1805" max="2048" width="9.140625" style="192"/>
    <col min="2049" max="2049" width="23" style="192" customWidth="1"/>
    <col min="2050" max="2050" width="42" style="192" customWidth="1"/>
    <col min="2051" max="2051" width="54.7109375" style="192" customWidth="1"/>
    <col min="2052" max="2052" width="17.28515625" style="192" bestFit="1" customWidth="1"/>
    <col min="2053" max="2053" width="20.140625" style="192" bestFit="1" customWidth="1"/>
    <col min="2054" max="2054" width="16.5703125" style="192" customWidth="1"/>
    <col min="2055" max="2055" width="18.7109375" style="192" bestFit="1" customWidth="1"/>
    <col min="2056" max="2056" width="17.5703125" style="192" customWidth="1"/>
    <col min="2057" max="2057" width="15.5703125" style="192" bestFit="1" customWidth="1"/>
    <col min="2058" max="2058" width="13.5703125" style="192" customWidth="1"/>
    <col min="2059" max="2059" width="20.5703125" style="192" customWidth="1"/>
    <col min="2060" max="2060" width="12.42578125" style="192" bestFit="1" customWidth="1"/>
    <col min="2061" max="2304" width="9.140625" style="192"/>
    <col min="2305" max="2305" width="23" style="192" customWidth="1"/>
    <col min="2306" max="2306" width="42" style="192" customWidth="1"/>
    <col min="2307" max="2307" width="54.7109375" style="192" customWidth="1"/>
    <col min="2308" max="2308" width="17.28515625" style="192" bestFit="1" customWidth="1"/>
    <col min="2309" max="2309" width="20.140625" style="192" bestFit="1" customWidth="1"/>
    <col min="2310" max="2310" width="16.5703125" style="192" customWidth="1"/>
    <col min="2311" max="2311" width="18.7109375" style="192" bestFit="1" customWidth="1"/>
    <col min="2312" max="2312" width="17.5703125" style="192" customWidth="1"/>
    <col min="2313" max="2313" width="15.5703125" style="192" bestFit="1" customWidth="1"/>
    <col min="2314" max="2314" width="13.5703125" style="192" customWidth="1"/>
    <col min="2315" max="2315" width="20.5703125" style="192" customWidth="1"/>
    <col min="2316" max="2316" width="12.42578125" style="192" bestFit="1" customWidth="1"/>
    <col min="2317" max="2560" width="9.140625" style="192"/>
    <col min="2561" max="2561" width="23" style="192" customWidth="1"/>
    <col min="2562" max="2562" width="42" style="192" customWidth="1"/>
    <col min="2563" max="2563" width="54.7109375" style="192" customWidth="1"/>
    <col min="2564" max="2564" width="17.28515625" style="192" bestFit="1" customWidth="1"/>
    <col min="2565" max="2565" width="20.140625" style="192" bestFit="1" customWidth="1"/>
    <col min="2566" max="2566" width="16.5703125" style="192" customWidth="1"/>
    <col min="2567" max="2567" width="18.7109375" style="192" bestFit="1" customWidth="1"/>
    <col min="2568" max="2568" width="17.5703125" style="192" customWidth="1"/>
    <col min="2569" max="2569" width="15.5703125" style="192" bestFit="1" customWidth="1"/>
    <col min="2570" max="2570" width="13.5703125" style="192" customWidth="1"/>
    <col min="2571" max="2571" width="20.5703125" style="192" customWidth="1"/>
    <col min="2572" max="2572" width="12.42578125" style="192" bestFit="1" customWidth="1"/>
    <col min="2573" max="2816" width="9.140625" style="192"/>
    <col min="2817" max="2817" width="23" style="192" customWidth="1"/>
    <col min="2818" max="2818" width="42" style="192" customWidth="1"/>
    <col min="2819" max="2819" width="54.7109375" style="192" customWidth="1"/>
    <col min="2820" max="2820" width="17.28515625" style="192" bestFit="1" customWidth="1"/>
    <col min="2821" max="2821" width="20.140625" style="192" bestFit="1" customWidth="1"/>
    <col min="2822" max="2822" width="16.5703125" style="192" customWidth="1"/>
    <col min="2823" max="2823" width="18.7109375" style="192" bestFit="1" customWidth="1"/>
    <col min="2824" max="2824" width="17.5703125" style="192" customWidth="1"/>
    <col min="2825" max="2825" width="15.5703125" style="192" bestFit="1" customWidth="1"/>
    <col min="2826" max="2826" width="13.5703125" style="192" customWidth="1"/>
    <col min="2827" max="2827" width="20.5703125" style="192" customWidth="1"/>
    <col min="2828" max="2828" width="12.42578125" style="192" bestFit="1" customWidth="1"/>
    <col min="2829" max="3072" width="9.140625" style="192"/>
    <col min="3073" max="3073" width="23" style="192" customWidth="1"/>
    <col min="3074" max="3074" width="42" style="192" customWidth="1"/>
    <col min="3075" max="3075" width="54.7109375" style="192" customWidth="1"/>
    <col min="3076" max="3076" width="17.28515625" style="192" bestFit="1" customWidth="1"/>
    <col min="3077" max="3077" width="20.140625" style="192" bestFit="1" customWidth="1"/>
    <col min="3078" max="3078" width="16.5703125" style="192" customWidth="1"/>
    <col min="3079" max="3079" width="18.7109375" style="192" bestFit="1" customWidth="1"/>
    <col min="3080" max="3080" width="17.5703125" style="192" customWidth="1"/>
    <col min="3081" max="3081" width="15.5703125" style="192" bestFit="1" customWidth="1"/>
    <col min="3082" max="3082" width="13.5703125" style="192" customWidth="1"/>
    <col min="3083" max="3083" width="20.5703125" style="192" customWidth="1"/>
    <col min="3084" max="3084" width="12.42578125" style="192" bestFit="1" customWidth="1"/>
    <col min="3085" max="3328" width="9.140625" style="192"/>
    <col min="3329" max="3329" width="23" style="192" customWidth="1"/>
    <col min="3330" max="3330" width="42" style="192" customWidth="1"/>
    <col min="3331" max="3331" width="54.7109375" style="192" customWidth="1"/>
    <col min="3332" max="3332" width="17.28515625" style="192" bestFit="1" customWidth="1"/>
    <col min="3333" max="3333" width="20.140625" style="192" bestFit="1" customWidth="1"/>
    <col min="3334" max="3334" width="16.5703125" style="192" customWidth="1"/>
    <col min="3335" max="3335" width="18.7109375" style="192" bestFit="1" customWidth="1"/>
    <col min="3336" max="3336" width="17.5703125" style="192" customWidth="1"/>
    <col min="3337" max="3337" width="15.5703125" style="192" bestFit="1" customWidth="1"/>
    <col min="3338" max="3338" width="13.5703125" style="192" customWidth="1"/>
    <col min="3339" max="3339" width="20.5703125" style="192" customWidth="1"/>
    <col min="3340" max="3340" width="12.42578125" style="192" bestFit="1" customWidth="1"/>
    <col min="3341" max="3584" width="9.140625" style="192"/>
    <col min="3585" max="3585" width="23" style="192" customWidth="1"/>
    <col min="3586" max="3586" width="42" style="192" customWidth="1"/>
    <col min="3587" max="3587" width="54.7109375" style="192" customWidth="1"/>
    <col min="3588" max="3588" width="17.28515625" style="192" bestFit="1" customWidth="1"/>
    <col min="3589" max="3589" width="20.140625" style="192" bestFit="1" customWidth="1"/>
    <col min="3590" max="3590" width="16.5703125" style="192" customWidth="1"/>
    <col min="3591" max="3591" width="18.7109375" style="192" bestFit="1" customWidth="1"/>
    <col min="3592" max="3592" width="17.5703125" style="192" customWidth="1"/>
    <col min="3593" max="3593" width="15.5703125" style="192" bestFit="1" customWidth="1"/>
    <col min="3594" max="3594" width="13.5703125" style="192" customWidth="1"/>
    <col min="3595" max="3595" width="20.5703125" style="192" customWidth="1"/>
    <col min="3596" max="3596" width="12.42578125" style="192" bestFit="1" customWidth="1"/>
    <col min="3597" max="3840" width="9.140625" style="192"/>
    <col min="3841" max="3841" width="23" style="192" customWidth="1"/>
    <col min="3842" max="3842" width="42" style="192" customWidth="1"/>
    <col min="3843" max="3843" width="54.7109375" style="192" customWidth="1"/>
    <col min="3844" max="3844" width="17.28515625" style="192" bestFit="1" customWidth="1"/>
    <col min="3845" max="3845" width="20.140625" style="192" bestFit="1" customWidth="1"/>
    <col min="3846" max="3846" width="16.5703125" style="192" customWidth="1"/>
    <col min="3847" max="3847" width="18.7109375" style="192" bestFit="1" customWidth="1"/>
    <col min="3848" max="3848" width="17.5703125" style="192" customWidth="1"/>
    <col min="3849" max="3849" width="15.5703125" style="192" bestFit="1" customWidth="1"/>
    <col min="3850" max="3850" width="13.5703125" style="192" customWidth="1"/>
    <col min="3851" max="3851" width="20.5703125" style="192" customWidth="1"/>
    <col min="3852" max="3852" width="12.42578125" style="192" bestFit="1" customWidth="1"/>
    <col min="3853" max="4096" width="9.140625" style="192"/>
    <col min="4097" max="4097" width="23" style="192" customWidth="1"/>
    <col min="4098" max="4098" width="42" style="192" customWidth="1"/>
    <col min="4099" max="4099" width="54.7109375" style="192" customWidth="1"/>
    <col min="4100" max="4100" width="17.28515625" style="192" bestFit="1" customWidth="1"/>
    <col min="4101" max="4101" width="20.140625" style="192" bestFit="1" customWidth="1"/>
    <col min="4102" max="4102" width="16.5703125" style="192" customWidth="1"/>
    <col min="4103" max="4103" width="18.7109375" style="192" bestFit="1" customWidth="1"/>
    <col min="4104" max="4104" width="17.5703125" style="192" customWidth="1"/>
    <col min="4105" max="4105" width="15.5703125" style="192" bestFit="1" customWidth="1"/>
    <col min="4106" max="4106" width="13.5703125" style="192" customWidth="1"/>
    <col min="4107" max="4107" width="20.5703125" style="192" customWidth="1"/>
    <col min="4108" max="4108" width="12.42578125" style="192" bestFit="1" customWidth="1"/>
    <col min="4109" max="4352" width="9.140625" style="192"/>
    <col min="4353" max="4353" width="23" style="192" customWidth="1"/>
    <col min="4354" max="4354" width="42" style="192" customWidth="1"/>
    <col min="4355" max="4355" width="54.7109375" style="192" customWidth="1"/>
    <col min="4356" max="4356" width="17.28515625" style="192" bestFit="1" customWidth="1"/>
    <col min="4357" max="4357" width="20.140625" style="192" bestFit="1" customWidth="1"/>
    <col min="4358" max="4358" width="16.5703125" style="192" customWidth="1"/>
    <col min="4359" max="4359" width="18.7109375" style="192" bestFit="1" customWidth="1"/>
    <col min="4360" max="4360" width="17.5703125" style="192" customWidth="1"/>
    <col min="4361" max="4361" width="15.5703125" style="192" bestFit="1" customWidth="1"/>
    <col min="4362" max="4362" width="13.5703125" style="192" customWidth="1"/>
    <col min="4363" max="4363" width="20.5703125" style="192" customWidth="1"/>
    <col min="4364" max="4364" width="12.42578125" style="192" bestFit="1" customWidth="1"/>
    <col min="4365" max="4608" width="9.140625" style="192"/>
    <col min="4609" max="4609" width="23" style="192" customWidth="1"/>
    <col min="4610" max="4610" width="42" style="192" customWidth="1"/>
    <col min="4611" max="4611" width="54.7109375" style="192" customWidth="1"/>
    <col min="4612" max="4612" width="17.28515625" style="192" bestFit="1" customWidth="1"/>
    <col min="4613" max="4613" width="20.140625" style="192" bestFit="1" customWidth="1"/>
    <col min="4614" max="4614" width="16.5703125" style="192" customWidth="1"/>
    <col min="4615" max="4615" width="18.7109375" style="192" bestFit="1" customWidth="1"/>
    <col min="4616" max="4616" width="17.5703125" style="192" customWidth="1"/>
    <col min="4617" max="4617" width="15.5703125" style="192" bestFit="1" customWidth="1"/>
    <col min="4618" max="4618" width="13.5703125" style="192" customWidth="1"/>
    <col min="4619" max="4619" width="20.5703125" style="192" customWidth="1"/>
    <col min="4620" max="4620" width="12.42578125" style="192" bestFit="1" customWidth="1"/>
    <col min="4621" max="4864" width="9.140625" style="192"/>
    <col min="4865" max="4865" width="23" style="192" customWidth="1"/>
    <col min="4866" max="4866" width="42" style="192" customWidth="1"/>
    <col min="4867" max="4867" width="54.7109375" style="192" customWidth="1"/>
    <col min="4868" max="4868" width="17.28515625" style="192" bestFit="1" customWidth="1"/>
    <col min="4869" max="4869" width="20.140625" style="192" bestFit="1" customWidth="1"/>
    <col min="4870" max="4870" width="16.5703125" style="192" customWidth="1"/>
    <col min="4871" max="4871" width="18.7109375" style="192" bestFit="1" customWidth="1"/>
    <col min="4872" max="4872" width="17.5703125" style="192" customWidth="1"/>
    <col min="4873" max="4873" width="15.5703125" style="192" bestFit="1" customWidth="1"/>
    <col min="4874" max="4874" width="13.5703125" style="192" customWidth="1"/>
    <col min="4875" max="4875" width="20.5703125" style="192" customWidth="1"/>
    <col min="4876" max="4876" width="12.42578125" style="192" bestFit="1" customWidth="1"/>
    <col min="4877" max="5120" width="9.140625" style="192"/>
    <col min="5121" max="5121" width="23" style="192" customWidth="1"/>
    <col min="5122" max="5122" width="42" style="192" customWidth="1"/>
    <col min="5123" max="5123" width="54.7109375" style="192" customWidth="1"/>
    <col min="5124" max="5124" width="17.28515625" style="192" bestFit="1" customWidth="1"/>
    <col min="5125" max="5125" width="20.140625" style="192" bestFit="1" customWidth="1"/>
    <col min="5126" max="5126" width="16.5703125" style="192" customWidth="1"/>
    <col min="5127" max="5127" width="18.7109375" style="192" bestFit="1" customWidth="1"/>
    <col min="5128" max="5128" width="17.5703125" style="192" customWidth="1"/>
    <col min="5129" max="5129" width="15.5703125" style="192" bestFit="1" customWidth="1"/>
    <col min="5130" max="5130" width="13.5703125" style="192" customWidth="1"/>
    <col min="5131" max="5131" width="20.5703125" style="192" customWidth="1"/>
    <col min="5132" max="5132" width="12.42578125" style="192" bestFit="1" customWidth="1"/>
    <col min="5133" max="5376" width="9.140625" style="192"/>
    <col min="5377" max="5377" width="23" style="192" customWidth="1"/>
    <col min="5378" max="5378" width="42" style="192" customWidth="1"/>
    <col min="5379" max="5379" width="54.7109375" style="192" customWidth="1"/>
    <col min="5380" max="5380" width="17.28515625" style="192" bestFit="1" customWidth="1"/>
    <col min="5381" max="5381" width="20.140625" style="192" bestFit="1" customWidth="1"/>
    <col min="5382" max="5382" width="16.5703125" style="192" customWidth="1"/>
    <col min="5383" max="5383" width="18.7109375" style="192" bestFit="1" customWidth="1"/>
    <col min="5384" max="5384" width="17.5703125" style="192" customWidth="1"/>
    <col min="5385" max="5385" width="15.5703125" style="192" bestFit="1" customWidth="1"/>
    <col min="5386" max="5386" width="13.5703125" style="192" customWidth="1"/>
    <col min="5387" max="5387" width="20.5703125" style="192" customWidth="1"/>
    <col min="5388" max="5388" width="12.42578125" style="192" bestFit="1" customWidth="1"/>
    <col min="5389" max="5632" width="9.140625" style="192"/>
    <col min="5633" max="5633" width="23" style="192" customWidth="1"/>
    <col min="5634" max="5634" width="42" style="192" customWidth="1"/>
    <col min="5635" max="5635" width="54.7109375" style="192" customWidth="1"/>
    <col min="5636" max="5636" width="17.28515625" style="192" bestFit="1" customWidth="1"/>
    <col min="5637" max="5637" width="20.140625" style="192" bestFit="1" customWidth="1"/>
    <col min="5638" max="5638" width="16.5703125" style="192" customWidth="1"/>
    <col min="5639" max="5639" width="18.7109375" style="192" bestFit="1" customWidth="1"/>
    <col min="5640" max="5640" width="17.5703125" style="192" customWidth="1"/>
    <col min="5641" max="5641" width="15.5703125" style="192" bestFit="1" customWidth="1"/>
    <col min="5642" max="5642" width="13.5703125" style="192" customWidth="1"/>
    <col min="5643" max="5643" width="20.5703125" style="192" customWidth="1"/>
    <col min="5644" max="5644" width="12.42578125" style="192" bestFit="1" customWidth="1"/>
    <col min="5645" max="5888" width="9.140625" style="192"/>
    <col min="5889" max="5889" width="23" style="192" customWidth="1"/>
    <col min="5890" max="5890" width="42" style="192" customWidth="1"/>
    <col min="5891" max="5891" width="54.7109375" style="192" customWidth="1"/>
    <col min="5892" max="5892" width="17.28515625" style="192" bestFit="1" customWidth="1"/>
    <col min="5893" max="5893" width="20.140625" style="192" bestFit="1" customWidth="1"/>
    <col min="5894" max="5894" width="16.5703125" style="192" customWidth="1"/>
    <col min="5895" max="5895" width="18.7109375" style="192" bestFit="1" customWidth="1"/>
    <col min="5896" max="5896" width="17.5703125" style="192" customWidth="1"/>
    <col min="5897" max="5897" width="15.5703125" style="192" bestFit="1" customWidth="1"/>
    <col min="5898" max="5898" width="13.5703125" style="192" customWidth="1"/>
    <col min="5899" max="5899" width="20.5703125" style="192" customWidth="1"/>
    <col min="5900" max="5900" width="12.42578125" style="192" bestFit="1" customWidth="1"/>
    <col min="5901" max="6144" width="9.140625" style="192"/>
    <col min="6145" max="6145" width="23" style="192" customWidth="1"/>
    <col min="6146" max="6146" width="42" style="192" customWidth="1"/>
    <col min="6147" max="6147" width="54.7109375" style="192" customWidth="1"/>
    <col min="6148" max="6148" width="17.28515625" style="192" bestFit="1" customWidth="1"/>
    <col min="6149" max="6149" width="20.140625" style="192" bestFit="1" customWidth="1"/>
    <col min="6150" max="6150" width="16.5703125" style="192" customWidth="1"/>
    <col min="6151" max="6151" width="18.7109375" style="192" bestFit="1" customWidth="1"/>
    <col min="6152" max="6152" width="17.5703125" style="192" customWidth="1"/>
    <col min="6153" max="6153" width="15.5703125" style="192" bestFit="1" customWidth="1"/>
    <col min="6154" max="6154" width="13.5703125" style="192" customWidth="1"/>
    <col min="6155" max="6155" width="20.5703125" style="192" customWidth="1"/>
    <col min="6156" max="6156" width="12.42578125" style="192" bestFit="1" customWidth="1"/>
    <col min="6157" max="6400" width="9.140625" style="192"/>
    <col min="6401" max="6401" width="23" style="192" customWidth="1"/>
    <col min="6402" max="6402" width="42" style="192" customWidth="1"/>
    <col min="6403" max="6403" width="54.7109375" style="192" customWidth="1"/>
    <col min="6404" max="6404" width="17.28515625" style="192" bestFit="1" customWidth="1"/>
    <col min="6405" max="6405" width="20.140625" style="192" bestFit="1" customWidth="1"/>
    <col min="6406" max="6406" width="16.5703125" style="192" customWidth="1"/>
    <col min="6407" max="6407" width="18.7109375" style="192" bestFit="1" customWidth="1"/>
    <col min="6408" max="6408" width="17.5703125" style="192" customWidth="1"/>
    <col min="6409" max="6409" width="15.5703125" style="192" bestFit="1" customWidth="1"/>
    <col min="6410" max="6410" width="13.5703125" style="192" customWidth="1"/>
    <col min="6411" max="6411" width="20.5703125" style="192" customWidth="1"/>
    <col min="6412" max="6412" width="12.42578125" style="192" bestFit="1" customWidth="1"/>
    <col min="6413" max="6656" width="9.140625" style="192"/>
    <col min="6657" max="6657" width="23" style="192" customWidth="1"/>
    <col min="6658" max="6658" width="42" style="192" customWidth="1"/>
    <col min="6659" max="6659" width="54.7109375" style="192" customWidth="1"/>
    <col min="6660" max="6660" width="17.28515625" style="192" bestFit="1" customWidth="1"/>
    <col min="6661" max="6661" width="20.140625" style="192" bestFit="1" customWidth="1"/>
    <col min="6662" max="6662" width="16.5703125" style="192" customWidth="1"/>
    <col min="6663" max="6663" width="18.7109375" style="192" bestFit="1" customWidth="1"/>
    <col min="6664" max="6664" width="17.5703125" style="192" customWidth="1"/>
    <col min="6665" max="6665" width="15.5703125" style="192" bestFit="1" customWidth="1"/>
    <col min="6666" max="6666" width="13.5703125" style="192" customWidth="1"/>
    <col min="6667" max="6667" width="20.5703125" style="192" customWidth="1"/>
    <col min="6668" max="6668" width="12.42578125" style="192" bestFit="1" customWidth="1"/>
    <col min="6669" max="6912" width="9.140625" style="192"/>
    <col min="6913" max="6913" width="23" style="192" customWidth="1"/>
    <col min="6914" max="6914" width="42" style="192" customWidth="1"/>
    <col min="6915" max="6915" width="54.7109375" style="192" customWidth="1"/>
    <col min="6916" max="6916" width="17.28515625" style="192" bestFit="1" customWidth="1"/>
    <col min="6917" max="6917" width="20.140625" style="192" bestFit="1" customWidth="1"/>
    <col min="6918" max="6918" width="16.5703125" style="192" customWidth="1"/>
    <col min="6919" max="6919" width="18.7109375" style="192" bestFit="1" customWidth="1"/>
    <col min="6920" max="6920" width="17.5703125" style="192" customWidth="1"/>
    <col min="6921" max="6921" width="15.5703125" style="192" bestFit="1" customWidth="1"/>
    <col min="6922" max="6922" width="13.5703125" style="192" customWidth="1"/>
    <col min="6923" max="6923" width="20.5703125" style="192" customWidth="1"/>
    <col min="6924" max="6924" width="12.42578125" style="192" bestFit="1" customWidth="1"/>
    <col min="6925" max="7168" width="9.140625" style="192"/>
    <col min="7169" max="7169" width="23" style="192" customWidth="1"/>
    <col min="7170" max="7170" width="42" style="192" customWidth="1"/>
    <col min="7171" max="7171" width="54.7109375" style="192" customWidth="1"/>
    <col min="7172" max="7172" width="17.28515625" style="192" bestFit="1" customWidth="1"/>
    <col min="7173" max="7173" width="20.140625" style="192" bestFit="1" customWidth="1"/>
    <col min="7174" max="7174" width="16.5703125" style="192" customWidth="1"/>
    <col min="7175" max="7175" width="18.7109375" style="192" bestFit="1" customWidth="1"/>
    <col min="7176" max="7176" width="17.5703125" style="192" customWidth="1"/>
    <col min="7177" max="7177" width="15.5703125" style="192" bestFit="1" customWidth="1"/>
    <col min="7178" max="7178" width="13.5703125" style="192" customWidth="1"/>
    <col min="7179" max="7179" width="20.5703125" style="192" customWidth="1"/>
    <col min="7180" max="7180" width="12.42578125" style="192" bestFit="1" customWidth="1"/>
    <col min="7181" max="7424" width="9.140625" style="192"/>
    <col min="7425" max="7425" width="23" style="192" customWidth="1"/>
    <col min="7426" max="7426" width="42" style="192" customWidth="1"/>
    <col min="7427" max="7427" width="54.7109375" style="192" customWidth="1"/>
    <col min="7428" max="7428" width="17.28515625" style="192" bestFit="1" customWidth="1"/>
    <col min="7429" max="7429" width="20.140625" style="192" bestFit="1" customWidth="1"/>
    <col min="7430" max="7430" width="16.5703125" style="192" customWidth="1"/>
    <col min="7431" max="7431" width="18.7109375" style="192" bestFit="1" customWidth="1"/>
    <col min="7432" max="7432" width="17.5703125" style="192" customWidth="1"/>
    <col min="7433" max="7433" width="15.5703125" style="192" bestFit="1" customWidth="1"/>
    <col min="7434" max="7434" width="13.5703125" style="192" customWidth="1"/>
    <col min="7435" max="7435" width="20.5703125" style="192" customWidth="1"/>
    <col min="7436" max="7436" width="12.42578125" style="192" bestFit="1" customWidth="1"/>
    <col min="7437" max="7680" width="9.140625" style="192"/>
    <col min="7681" max="7681" width="23" style="192" customWidth="1"/>
    <col min="7682" max="7682" width="42" style="192" customWidth="1"/>
    <col min="7683" max="7683" width="54.7109375" style="192" customWidth="1"/>
    <col min="7684" max="7684" width="17.28515625" style="192" bestFit="1" customWidth="1"/>
    <col min="7685" max="7685" width="20.140625" style="192" bestFit="1" customWidth="1"/>
    <col min="7686" max="7686" width="16.5703125" style="192" customWidth="1"/>
    <col min="7687" max="7687" width="18.7109375" style="192" bestFit="1" customWidth="1"/>
    <col min="7688" max="7688" width="17.5703125" style="192" customWidth="1"/>
    <col min="7689" max="7689" width="15.5703125" style="192" bestFit="1" customWidth="1"/>
    <col min="7690" max="7690" width="13.5703125" style="192" customWidth="1"/>
    <col min="7691" max="7691" width="20.5703125" style="192" customWidth="1"/>
    <col min="7692" max="7692" width="12.42578125" style="192" bestFit="1" customWidth="1"/>
    <col min="7693" max="7936" width="9.140625" style="192"/>
    <col min="7937" max="7937" width="23" style="192" customWidth="1"/>
    <col min="7938" max="7938" width="42" style="192" customWidth="1"/>
    <col min="7939" max="7939" width="54.7109375" style="192" customWidth="1"/>
    <col min="7940" max="7940" width="17.28515625" style="192" bestFit="1" customWidth="1"/>
    <col min="7941" max="7941" width="20.140625" style="192" bestFit="1" customWidth="1"/>
    <col min="7942" max="7942" width="16.5703125" style="192" customWidth="1"/>
    <col min="7943" max="7943" width="18.7109375" style="192" bestFit="1" customWidth="1"/>
    <col min="7944" max="7944" width="17.5703125" style="192" customWidth="1"/>
    <col min="7945" max="7945" width="15.5703125" style="192" bestFit="1" customWidth="1"/>
    <col min="7946" max="7946" width="13.5703125" style="192" customWidth="1"/>
    <col min="7947" max="7947" width="20.5703125" style="192" customWidth="1"/>
    <col min="7948" max="7948" width="12.42578125" style="192" bestFit="1" customWidth="1"/>
    <col min="7949" max="8192" width="9.140625" style="192"/>
    <col min="8193" max="8193" width="23" style="192" customWidth="1"/>
    <col min="8194" max="8194" width="42" style="192" customWidth="1"/>
    <col min="8195" max="8195" width="54.7109375" style="192" customWidth="1"/>
    <col min="8196" max="8196" width="17.28515625" style="192" bestFit="1" customWidth="1"/>
    <col min="8197" max="8197" width="20.140625" style="192" bestFit="1" customWidth="1"/>
    <col min="8198" max="8198" width="16.5703125" style="192" customWidth="1"/>
    <col min="8199" max="8199" width="18.7109375" style="192" bestFit="1" customWidth="1"/>
    <col min="8200" max="8200" width="17.5703125" style="192" customWidth="1"/>
    <col min="8201" max="8201" width="15.5703125" style="192" bestFit="1" customWidth="1"/>
    <col min="8202" max="8202" width="13.5703125" style="192" customWidth="1"/>
    <col min="8203" max="8203" width="20.5703125" style="192" customWidth="1"/>
    <col min="8204" max="8204" width="12.42578125" style="192" bestFit="1" customWidth="1"/>
    <col min="8205" max="8448" width="9.140625" style="192"/>
    <col min="8449" max="8449" width="23" style="192" customWidth="1"/>
    <col min="8450" max="8450" width="42" style="192" customWidth="1"/>
    <col min="8451" max="8451" width="54.7109375" style="192" customWidth="1"/>
    <col min="8452" max="8452" width="17.28515625" style="192" bestFit="1" customWidth="1"/>
    <col min="8453" max="8453" width="20.140625" style="192" bestFit="1" customWidth="1"/>
    <col min="8454" max="8454" width="16.5703125" style="192" customWidth="1"/>
    <col min="8455" max="8455" width="18.7109375" style="192" bestFit="1" customWidth="1"/>
    <col min="8456" max="8456" width="17.5703125" style="192" customWidth="1"/>
    <col min="8457" max="8457" width="15.5703125" style="192" bestFit="1" customWidth="1"/>
    <col min="8458" max="8458" width="13.5703125" style="192" customWidth="1"/>
    <col min="8459" max="8459" width="20.5703125" style="192" customWidth="1"/>
    <col min="8460" max="8460" width="12.42578125" style="192" bestFit="1" customWidth="1"/>
    <col min="8461" max="8704" width="9.140625" style="192"/>
    <col min="8705" max="8705" width="23" style="192" customWidth="1"/>
    <col min="8706" max="8706" width="42" style="192" customWidth="1"/>
    <col min="8707" max="8707" width="54.7109375" style="192" customWidth="1"/>
    <col min="8708" max="8708" width="17.28515625" style="192" bestFit="1" customWidth="1"/>
    <col min="8709" max="8709" width="20.140625" style="192" bestFit="1" customWidth="1"/>
    <col min="8710" max="8710" width="16.5703125" style="192" customWidth="1"/>
    <col min="8711" max="8711" width="18.7109375" style="192" bestFit="1" customWidth="1"/>
    <col min="8712" max="8712" width="17.5703125" style="192" customWidth="1"/>
    <col min="8713" max="8713" width="15.5703125" style="192" bestFit="1" customWidth="1"/>
    <col min="8714" max="8714" width="13.5703125" style="192" customWidth="1"/>
    <col min="8715" max="8715" width="20.5703125" style="192" customWidth="1"/>
    <col min="8716" max="8716" width="12.42578125" style="192" bestFit="1" customWidth="1"/>
    <col min="8717" max="8960" width="9.140625" style="192"/>
    <col min="8961" max="8961" width="23" style="192" customWidth="1"/>
    <col min="8962" max="8962" width="42" style="192" customWidth="1"/>
    <col min="8963" max="8963" width="54.7109375" style="192" customWidth="1"/>
    <col min="8964" max="8964" width="17.28515625" style="192" bestFit="1" customWidth="1"/>
    <col min="8965" max="8965" width="20.140625" style="192" bestFit="1" customWidth="1"/>
    <col min="8966" max="8966" width="16.5703125" style="192" customWidth="1"/>
    <col min="8967" max="8967" width="18.7109375" style="192" bestFit="1" customWidth="1"/>
    <col min="8968" max="8968" width="17.5703125" style="192" customWidth="1"/>
    <col min="8969" max="8969" width="15.5703125" style="192" bestFit="1" customWidth="1"/>
    <col min="8970" max="8970" width="13.5703125" style="192" customWidth="1"/>
    <col min="8971" max="8971" width="20.5703125" style="192" customWidth="1"/>
    <col min="8972" max="8972" width="12.42578125" style="192" bestFit="1" customWidth="1"/>
    <col min="8973" max="9216" width="9.140625" style="192"/>
    <col min="9217" max="9217" width="23" style="192" customWidth="1"/>
    <col min="9218" max="9218" width="42" style="192" customWidth="1"/>
    <col min="9219" max="9219" width="54.7109375" style="192" customWidth="1"/>
    <col min="9220" max="9220" width="17.28515625" style="192" bestFit="1" customWidth="1"/>
    <col min="9221" max="9221" width="20.140625" style="192" bestFit="1" customWidth="1"/>
    <col min="9222" max="9222" width="16.5703125" style="192" customWidth="1"/>
    <col min="9223" max="9223" width="18.7109375" style="192" bestFit="1" customWidth="1"/>
    <col min="9224" max="9224" width="17.5703125" style="192" customWidth="1"/>
    <col min="9225" max="9225" width="15.5703125" style="192" bestFit="1" customWidth="1"/>
    <col min="9226" max="9226" width="13.5703125" style="192" customWidth="1"/>
    <col min="9227" max="9227" width="20.5703125" style="192" customWidth="1"/>
    <col min="9228" max="9228" width="12.42578125" style="192" bestFit="1" customWidth="1"/>
    <col min="9229" max="9472" width="9.140625" style="192"/>
    <col min="9473" max="9473" width="23" style="192" customWidth="1"/>
    <col min="9474" max="9474" width="42" style="192" customWidth="1"/>
    <col min="9475" max="9475" width="54.7109375" style="192" customWidth="1"/>
    <col min="9476" max="9476" width="17.28515625" style="192" bestFit="1" customWidth="1"/>
    <col min="9477" max="9477" width="20.140625" style="192" bestFit="1" customWidth="1"/>
    <col min="9478" max="9478" width="16.5703125" style="192" customWidth="1"/>
    <col min="9479" max="9479" width="18.7109375" style="192" bestFit="1" customWidth="1"/>
    <col min="9480" max="9480" width="17.5703125" style="192" customWidth="1"/>
    <col min="9481" max="9481" width="15.5703125" style="192" bestFit="1" customWidth="1"/>
    <col min="9482" max="9482" width="13.5703125" style="192" customWidth="1"/>
    <col min="9483" max="9483" width="20.5703125" style="192" customWidth="1"/>
    <col min="9484" max="9484" width="12.42578125" style="192" bestFit="1" customWidth="1"/>
    <col min="9485" max="9728" width="9.140625" style="192"/>
    <col min="9729" max="9729" width="23" style="192" customWidth="1"/>
    <col min="9730" max="9730" width="42" style="192" customWidth="1"/>
    <col min="9731" max="9731" width="54.7109375" style="192" customWidth="1"/>
    <col min="9732" max="9732" width="17.28515625" style="192" bestFit="1" customWidth="1"/>
    <col min="9733" max="9733" width="20.140625" style="192" bestFit="1" customWidth="1"/>
    <col min="9734" max="9734" width="16.5703125" style="192" customWidth="1"/>
    <col min="9735" max="9735" width="18.7109375" style="192" bestFit="1" customWidth="1"/>
    <col min="9736" max="9736" width="17.5703125" style="192" customWidth="1"/>
    <col min="9737" max="9737" width="15.5703125" style="192" bestFit="1" customWidth="1"/>
    <col min="9738" max="9738" width="13.5703125" style="192" customWidth="1"/>
    <col min="9739" max="9739" width="20.5703125" style="192" customWidth="1"/>
    <col min="9740" max="9740" width="12.42578125" style="192" bestFit="1" customWidth="1"/>
    <col min="9741" max="9984" width="9.140625" style="192"/>
    <col min="9985" max="9985" width="23" style="192" customWidth="1"/>
    <col min="9986" max="9986" width="42" style="192" customWidth="1"/>
    <col min="9987" max="9987" width="54.7109375" style="192" customWidth="1"/>
    <col min="9988" max="9988" width="17.28515625" style="192" bestFit="1" customWidth="1"/>
    <col min="9989" max="9989" width="20.140625" style="192" bestFit="1" customWidth="1"/>
    <col min="9990" max="9990" width="16.5703125" style="192" customWidth="1"/>
    <col min="9991" max="9991" width="18.7109375" style="192" bestFit="1" customWidth="1"/>
    <col min="9992" max="9992" width="17.5703125" style="192" customWidth="1"/>
    <col min="9993" max="9993" width="15.5703125" style="192" bestFit="1" customWidth="1"/>
    <col min="9994" max="9994" width="13.5703125" style="192" customWidth="1"/>
    <col min="9995" max="9995" width="20.5703125" style="192" customWidth="1"/>
    <col min="9996" max="9996" width="12.42578125" style="192" bestFit="1" customWidth="1"/>
    <col min="9997" max="10240" width="9.140625" style="192"/>
    <col min="10241" max="10241" width="23" style="192" customWidth="1"/>
    <col min="10242" max="10242" width="42" style="192" customWidth="1"/>
    <col min="10243" max="10243" width="54.7109375" style="192" customWidth="1"/>
    <col min="10244" max="10244" width="17.28515625" style="192" bestFit="1" customWidth="1"/>
    <col min="10245" max="10245" width="20.140625" style="192" bestFit="1" customWidth="1"/>
    <col min="10246" max="10246" width="16.5703125" style="192" customWidth="1"/>
    <col min="10247" max="10247" width="18.7109375" style="192" bestFit="1" customWidth="1"/>
    <col min="10248" max="10248" width="17.5703125" style="192" customWidth="1"/>
    <col min="10249" max="10249" width="15.5703125" style="192" bestFit="1" customWidth="1"/>
    <col min="10250" max="10250" width="13.5703125" style="192" customWidth="1"/>
    <col min="10251" max="10251" width="20.5703125" style="192" customWidth="1"/>
    <col min="10252" max="10252" width="12.42578125" style="192" bestFit="1" customWidth="1"/>
    <col min="10253" max="10496" width="9.140625" style="192"/>
    <col min="10497" max="10497" width="23" style="192" customWidth="1"/>
    <col min="10498" max="10498" width="42" style="192" customWidth="1"/>
    <col min="10499" max="10499" width="54.7109375" style="192" customWidth="1"/>
    <col min="10500" max="10500" width="17.28515625" style="192" bestFit="1" customWidth="1"/>
    <col min="10501" max="10501" width="20.140625" style="192" bestFit="1" customWidth="1"/>
    <col min="10502" max="10502" width="16.5703125" style="192" customWidth="1"/>
    <col min="10503" max="10503" width="18.7109375" style="192" bestFit="1" customWidth="1"/>
    <col min="10504" max="10504" width="17.5703125" style="192" customWidth="1"/>
    <col min="10505" max="10505" width="15.5703125" style="192" bestFit="1" customWidth="1"/>
    <col min="10506" max="10506" width="13.5703125" style="192" customWidth="1"/>
    <col min="10507" max="10507" width="20.5703125" style="192" customWidth="1"/>
    <col min="10508" max="10508" width="12.42578125" style="192" bestFit="1" customWidth="1"/>
    <col min="10509" max="10752" width="9.140625" style="192"/>
    <col min="10753" max="10753" width="23" style="192" customWidth="1"/>
    <col min="10754" max="10754" width="42" style="192" customWidth="1"/>
    <col min="10755" max="10755" width="54.7109375" style="192" customWidth="1"/>
    <col min="10756" max="10756" width="17.28515625" style="192" bestFit="1" customWidth="1"/>
    <col min="10757" max="10757" width="20.140625" style="192" bestFit="1" customWidth="1"/>
    <col min="10758" max="10758" width="16.5703125" style="192" customWidth="1"/>
    <col min="10759" max="10759" width="18.7109375" style="192" bestFit="1" customWidth="1"/>
    <col min="10760" max="10760" width="17.5703125" style="192" customWidth="1"/>
    <col min="10761" max="10761" width="15.5703125" style="192" bestFit="1" customWidth="1"/>
    <col min="10762" max="10762" width="13.5703125" style="192" customWidth="1"/>
    <col min="10763" max="10763" width="20.5703125" style="192" customWidth="1"/>
    <col min="10764" max="10764" width="12.42578125" style="192" bestFit="1" customWidth="1"/>
    <col min="10765" max="11008" width="9.140625" style="192"/>
    <col min="11009" max="11009" width="23" style="192" customWidth="1"/>
    <col min="11010" max="11010" width="42" style="192" customWidth="1"/>
    <col min="11011" max="11011" width="54.7109375" style="192" customWidth="1"/>
    <col min="11012" max="11012" width="17.28515625" style="192" bestFit="1" customWidth="1"/>
    <col min="11013" max="11013" width="20.140625" style="192" bestFit="1" customWidth="1"/>
    <col min="11014" max="11014" width="16.5703125" style="192" customWidth="1"/>
    <col min="11015" max="11015" width="18.7109375" style="192" bestFit="1" customWidth="1"/>
    <col min="11016" max="11016" width="17.5703125" style="192" customWidth="1"/>
    <col min="11017" max="11017" width="15.5703125" style="192" bestFit="1" customWidth="1"/>
    <col min="11018" max="11018" width="13.5703125" style="192" customWidth="1"/>
    <col min="11019" max="11019" width="20.5703125" style="192" customWidth="1"/>
    <col min="11020" max="11020" width="12.42578125" style="192" bestFit="1" customWidth="1"/>
    <col min="11021" max="11264" width="9.140625" style="192"/>
    <col min="11265" max="11265" width="23" style="192" customWidth="1"/>
    <col min="11266" max="11266" width="42" style="192" customWidth="1"/>
    <col min="11267" max="11267" width="54.7109375" style="192" customWidth="1"/>
    <col min="11268" max="11268" width="17.28515625" style="192" bestFit="1" customWidth="1"/>
    <col min="11269" max="11269" width="20.140625" style="192" bestFit="1" customWidth="1"/>
    <col min="11270" max="11270" width="16.5703125" style="192" customWidth="1"/>
    <col min="11271" max="11271" width="18.7109375" style="192" bestFit="1" customWidth="1"/>
    <col min="11272" max="11272" width="17.5703125" style="192" customWidth="1"/>
    <col min="11273" max="11273" width="15.5703125" style="192" bestFit="1" customWidth="1"/>
    <col min="11274" max="11274" width="13.5703125" style="192" customWidth="1"/>
    <col min="11275" max="11275" width="20.5703125" style="192" customWidth="1"/>
    <col min="11276" max="11276" width="12.42578125" style="192" bestFit="1" customWidth="1"/>
    <col min="11277" max="11520" width="9.140625" style="192"/>
    <col min="11521" max="11521" width="23" style="192" customWidth="1"/>
    <col min="11522" max="11522" width="42" style="192" customWidth="1"/>
    <col min="11523" max="11523" width="54.7109375" style="192" customWidth="1"/>
    <col min="11524" max="11524" width="17.28515625" style="192" bestFit="1" customWidth="1"/>
    <col min="11525" max="11525" width="20.140625" style="192" bestFit="1" customWidth="1"/>
    <col min="11526" max="11526" width="16.5703125" style="192" customWidth="1"/>
    <col min="11527" max="11527" width="18.7109375" style="192" bestFit="1" customWidth="1"/>
    <col min="11528" max="11528" width="17.5703125" style="192" customWidth="1"/>
    <col min="11529" max="11529" width="15.5703125" style="192" bestFit="1" customWidth="1"/>
    <col min="11530" max="11530" width="13.5703125" style="192" customWidth="1"/>
    <col min="11531" max="11531" width="20.5703125" style="192" customWidth="1"/>
    <col min="11532" max="11532" width="12.42578125" style="192" bestFit="1" customWidth="1"/>
    <col min="11533" max="11776" width="9.140625" style="192"/>
    <col min="11777" max="11777" width="23" style="192" customWidth="1"/>
    <col min="11778" max="11778" width="42" style="192" customWidth="1"/>
    <col min="11779" max="11779" width="54.7109375" style="192" customWidth="1"/>
    <col min="11780" max="11780" width="17.28515625" style="192" bestFit="1" customWidth="1"/>
    <col min="11781" max="11781" width="20.140625" style="192" bestFit="1" customWidth="1"/>
    <col min="11782" max="11782" width="16.5703125" style="192" customWidth="1"/>
    <col min="11783" max="11783" width="18.7109375" style="192" bestFit="1" customWidth="1"/>
    <col min="11784" max="11784" width="17.5703125" style="192" customWidth="1"/>
    <col min="11785" max="11785" width="15.5703125" style="192" bestFit="1" customWidth="1"/>
    <col min="11786" max="11786" width="13.5703125" style="192" customWidth="1"/>
    <col min="11787" max="11787" width="20.5703125" style="192" customWidth="1"/>
    <col min="11788" max="11788" width="12.42578125" style="192" bestFit="1" customWidth="1"/>
    <col min="11789" max="12032" width="9.140625" style="192"/>
    <col min="12033" max="12033" width="23" style="192" customWidth="1"/>
    <col min="12034" max="12034" width="42" style="192" customWidth="1"/>
    <col min="12035" max="12035" width="54.7109375" style="192" customWidth="1"/>
    <col min="12036" max="12036" width="17.28515625" style="192" bestFit="1" customWidth="1"/>
    <col min="12037" max="12037" width="20.140625" style="192" bestFit="1" customWidth="1"/>
    <col min="12038" max="12038" width="16.5703125" style="192" customWidth="1"/>
    <col min="12039" max="12039" width="18.7109375" style="192" bestFit="1" customWidth="1"/>
    <col min="12040" max="12040" width="17.5703125" style="192" customWidth="1"/>
    <col min="12041" max="12041" width="15.5703125" style="192" bestFit="1" customWidth="1"/>
    <col min="12042" max="12042" width="13.5703125" style="192" customWidth="1"/>
    <col min="12043" max="12043" width="20.5703125" style="192" customWidth="1"/>
    <col min="12044" max="12044" width="12.42578125" style="192" bestFit="1" customWidth="1"/>
    <col min="12045" max="12288" width="9.140625" style="192"/>
    <col min="12289" max="12289" width="23" style="192" customWidth="1"/>
    <col min="12290" max="12290" width="42" style="192" customWidth="1"/>
    <col min="12291" max="12291" width="54.7109375" style="192" customWidth="1"/>
    <col min="12292" max="12292" width="17.28515625" style="192" bestFit="1" customWidth="1"/>
    <col min="12293" max="12293" width="20.140625" style="192" bestFit="1" customWidth="1"/>
    <col min="12294" max="12294" width="16.5703125" style="192" customWidth="1"/>
    <col min="12295" max="12295" width="18.7109375" style="192" bestFit="1" customWidth="1"/>
    <col min="12296" max="12296" width="17.5703125" style="192" customWidth="1"/>
    <col min="12297" max="12297" width="15.5703125" style="192" bestFit="1" customWidth="1"/>
    <col min="12298" max="12298" width="13.5703125" style="192" customWidth="1"/>
    <col min="12299" max="12299" width="20.5703125" style="192" customWidth="1"/>
    <col min="12300" max="12300" width="12.42578125" style="192" bestFit="1" customWidth="1"/>
    <col min="12301" max="12544" width="9.140625" style="192"/>
    <col min="12545" max="12545" width="23" style="192" customWidth="1"/>
    <col min="12546" max="12546" width="42" style="192" customWidth="1"/>
    <col min="12547" max="12547" width="54.7109375" style="192" customWidth="1"/>
    <col min="12548" max="12548" width="17.28515625" style="192" bestFit="1" customWidth="1"/>
    <col min="12549" max="12549" width="20.140625" style="192" bestFit="1" customWidth="1"/>
    <col min="12550" max="12550" width="16.5703125" style="192" customWidth="1"/>
    <col min="12551" max="12551" width="18.7109375" style="192" bestFit="1" customWidth="1"/>
    <col min="12552" max="12552" width="17.5703125" style="192" customWidth="1"/>
    <col min="12553" max="12553" width="15.5703125" style="192" bestFit="1" customWidth="1"/>
    <col min="12554" max="12554" width="13.5703125" style="192" customWidth="1"/>
    <col min="12555" max="12555" width="20.5703125" style="192" customWidth="1"/>
    <col min="12556" max="12556" width="12.42578125" style="192" bestFit="1" customWidth="1"/>
    <col min="12557" max="12800" width="9.140625" style="192"/>
    <col min="12801" max="12801" width="23" style="192" customWidth="1"/>
    <col min="12802" max="12802" width="42" style="192" customWidth="1"/>
    <col min="12803" max="12803" width="54.7109375" style="192" customWidth="1"/>
    <col min="12804" max="12804" width="17.28515625" style="192" bestFit="1" customWidth="1"/>
    <col min="12805" max="12805" width="20.140625" style="192" bestFit="1" customWidth="1"/>
    <col min="12806" max="12806" width="16.5703125" style="192" customWidth="1"/>
    <col min="12807" max="12807" width="18.7109375" style="192" bestFit="1" customWidth="1"/>
    <col min="12808" max="12808" width="17.5703125" style="192" customWidth="1"/>
    <col min="12809" max="12809" width="15.5703125" style="192" bestFit="1" customWidth="1"/>
    <col min="12810" max="12810" width="13.5703125" style="192" customWidth="1"/>
    <col min="12811" max="12811" width="20.5703125" style="192" customWidth="1"/>
    <col min="12812" max="12812" width="12.42578125" style="192" bestFit="1" customWidth="1"/>
    <col min="12813" max="13056" width="9.140625" style="192"/>
    <col min="13057" max="13057" width="23" style="192" customWidth="1"/>
    <col min="13058" max="13058" width="42" style="192" customWidth="1"/>
    <col min="13059" max="13059" width="54.7109375" style="192" customWidth="1"/>
    <col min="13060" max="13060" width="17.28515625" style="192" bestFit="1" customWidth="1"/>
    <col min="13061" max="13061" width="20.140625" style="192" bestFit="1" customWidth="1"/>
    <col min="13062" max="13062" width="16.5703125" style="192" customWidth="1"/>
    <col min="13063" max="13063" width="18.7109375" style="192" bestFit="1" customWidth="1"/>
    <col min="13064" max="13064" width="17.5703125" style="192" customWidth="1"/>
    <col min="13065" max="13065" width="15.5703125" style="192" bestFit="1" customWidth="1"/>
    <col min="13066" max="13066" width="13.5703125" style="192" customWidth="1"/>
    <col min="13067" max="13067" width="20.5703125" style="192" customWidth="1"/>
    <col min="13068" max="13068" width="12.42578125" style="192" bestFit="1" customWidth="1"/>
    <col min="13069" max="13312" width="9.140625" style="192"/>
    <col min="13313" max="13313" width="23" style="192" customWidth="1"/>
    <col min="13314" max="13314" width="42" style="192" customWidth="1"/>
    <col min="13315" max="13315" width="54.7109375" style="192" customWidth="1"/>
    <col min="13316" max="13316" width="17.28515625" style="192" bestFit="1" customWidth="1"/>
    <col min="13317" max="13317" width="20.140625" style="192" bestFit="1" customWidth="1"/>
    <col min="13318" max="13318" width="16.5703125" style="192" customWidth="1"/>
    <col min="13319" max="13319" width="18.7109375" style="192" bestFit="1" customWidth="1"/>
    <col min="13320" max="13320" width="17.5703125" style="192" customWidth="1"/>
    <col min="13321" max="13321" width="15.5703125" style="192" bestFit="1" customWidth="1"/>
    <col min="13322" max="13322" width="13.5703125" style="192" customWidth="1"/>
    <col min="13323" max="13323" width="20.5703125" style="192" customWidth="1"/>
    <col min="13324" max="13324" width="12.42578125" style="192" bestFit="1" customWidth="1"/>
    <col min="13325" max="13568" width="9.140625" style="192"/>
    <col min="13569" max="13569" width="23" style="192" customWidth="1"/>
    <col min="13570" max="13570" width="42" style="192" customWidth="1"/>
    <col min="13571" max="13571" width="54.7109375" style="192" customWidth="1"/>
    <col min="13572" max="13572" width="17.28515625" style="192" bestFit="1" customWidth="1"/>
    <col min="13573" max="13573" width="20.140625" style="192" bestFit="1" customWidth="1"/>
    <col min="13574" max="13574" width="16.5703125" style="192" customWidth="1"/>
    <col min="13575" max="13575" width="18.7109375" style="192" bestFit="1" customWidth="1"/>
    <col min="13576" max="13576" width="17.5703125" style="192" customWidth="1"/>
    <col min="13577" max="13577" width="15.5703125" style="192" bestFit="1" customWidth="1"/>
    <col min="13578" max="13578" width="13.5703125" style="192" customWidth="1"/>
    <col min="13579" max="13579" width="20.5703125" style="192" customWidth="1"/>
    <col min="13580" max="13580" width="12.42578125" style="192" bestFit="1" customWidth="1"/>
    <col min="13581" max="13824" width="9.140625" style="192"/>
    <col min="13825" max="13825" width="23" style="192" customWidth="1"/>
    <col min="13826" max="13826" width="42" style="192" customWidth="1"/>
    <col min="13827" max="13827" width="54.7109375" style="192" customWidth="1"/>
    <col min="13828" max="13828" width="17.28515625" style="192" bestFit="1" customWidth="1"/>
    <col min="13829" max="13829" width="20.140625" style="192" bestFit="1" customWidth="1"/>
    <col min="13830" max="13830" width="16.5703125" style="192" customWidth="1"/>
    <col min="13831" max="13831" width="18.7109375" style="192" bestFit="1" customWidth="1"/>
    <col min="13832" max="13832" width="17.5703125" style="192" customWidth="1"/>
    <col min="13833" max="13833" width="15.5703125" style="192" bestFit="1" customWidth="1"/>
    <col min="13834" max="13834" width="13.5703125" style="192" customWidth="1"/>
    <col min="13835" max="13835" width="20.5703125" style="192" customWidth="1"/>
    <col min="13836" max="13836" width="12.42578125" style="192" bestFit="1" customWidth="1"/>
    <col min="13837" max="14080" width="9.140625" style="192"/>
    <col min="14081" max="14081" width="23" style="192" customWidth="1"/>
    <col min="14082" max="14082" width="42" style="192" customWidth="1"/>
    <col min="14083" max="14083" width="54.7109375" style="192" customWidth="1"/>
    <col min="14084" max="14084" width="17.28515625" style="192" bestFit="1" customWidth="1"/>
    <col min="14085" max="14085" width="20.140625" style="192" bestFit="1" customWidth="1"/>
    <col min="14086" max="14086" width="16.5703125" style="192" customWidth="1"/>
    <col min="14087" max="14087" width="18.7109375" style="192" bestFit="1" customWidth="1"/>
    <col min="14088" max="14088" width="17.5703125" style="192" customWidth="1"/>
    <col min="14089" max="14089" width="15.5703125" style="192" bestFit="1" customWidth="1"/>
    <col min="14090" max="14090" width="13.5703125" style="192" customWidth="1"/>
    <col min="14091" max="14091" width="20.5703125" style="192" customWidth="1"/>
    <col min="14092" max="14092" width="12.42578125" style="192" bestFit="1" customWidth="1"/>
    <col min="14093" max="14336" width="9.140625" style="192"/>
    <col min="14337" max="14337" width="23" style="192" customWidth="1"/>
    <col min="14338" max="14338" width="42" style="192" customWidth="1"/>
    <col min="14339" max="14339" width="54.7109375" style="192" customWidth="1"/>
    <col min="14340" max="14340" width="17.28515625" style="192" bestFit="1" customWidth="1"/>
    <col min="14341" max="14341" width="20.140625" style="192" bestFit="1" customWidth="1"/>
    <col min="14342" max="14342" width="16.5703125" style="192" customWidth="1"/>
    <col min="14343" max="14343" width="18.7109375" style="192" bestFit="1" customWidth="1"/>
    <col min="14344" max="14344" width="17.5703125" style="192" customWidth="1"/>
    <col min="14345" max="14345" width="15.5703125" style="192" bestFit="1" customWidth="1"/>
    <col min="14346" max="14346" width="13.5703125" style="192" customWidth="1"/>
    <col min="14347" max="14347" width="20.5703125" style="192" customWidth="1"/>
    <col min="14348" max="14348" width="12.42578125" style="192" bestFit="1" customWidth="1"/>
    <col min="14349" max="14592" width="9.140625" style="192"/>
    <col min="14593" max="14593" width="23" style="192" customWidth="1"/>
    <col min="14594" max="14594" width="42" style="192" customWidth="1"/>
    <col min="14595" max="14595" width="54.7109375" style="192" customWidth="1"/>
    <col min="14596" max="14596" width="17.28515625" style="192" bestFit="1" customWidth="1"/>
    <col min="14597" max="14597" width="20.140625" style="192" bestFit="1" customWidth="1"/>
    <col min="14598" max="14598" width="16.5703125" style="192" customWidth="1"/>
    <col min="14599" max="14599" width="18.7109375" style="192" bestFit="1" customWidth="1"/>
    <col min="14600" max="14600" width="17.5703125" style="192" customWidth="1"/>
    <col min="14601" max="14601" width="15.5703125" style="192" bestFit="1" customWidth="1"/>
    <col min="14602" max="14602" width="13.5703125" style="192" customWidth="1"/>
    <col min="14603" max="14603" width="20.5703125" style="192" customWidth="1"/>
    <col min="14604" max="14604" width="12.42578125" style="192" bestFit="1" customWidth="1"/>
    <col min="14605" max="14848" width="9.140625" style="192"/>
    <col min="14849" max="14849" width="23" style="192" customWidth="1"/>
    <col min="14850" max="14850" width="42" style="192" customWidth="1"/>
    <col min="14851" max="14851" width="54.7109375" style="192" customWidth="1"/>
    <col min="14852" max="14852" width="17.28515625" style="192" bestFit="1" customWidth="1"/>
    <col min="14853" max="14853" width="20.140625" style="192" bestFit="1" customWidth="1"/>
    <col min="14854" max="14854" width="16.5703125" style="192" customWidth="1"/>
    <col min="14855" max="14855" width="18.7109375" style="192" bestFit="1" customWidth="1"/>
    <col min="14856" max="14856" width="17.5703125" style="192" customWidth="1"/>
    <col min="14857" max="14857" width="15.5703125" style="192" bestFit="1" customWidth="1"/>
    <col min="14858" max="14858" width="13.5703125" style="192" customWidth="1"/>
    <col min="14859" max="14859" width="20.5703125" style="192" customWidth="1"/>
    <col min="14860" max="14860" width="12.42578125" style="192" bestFit="1" customWidth="1"/>
    <col min="14861" max="15104" width="9.140625" style="192"/>
    <col min="15105" max="15105" width="23" style="192" customWidth="1"/>
    <col min="15106" max="15106" width="42" style="192" customWidth="1"/>
    <col min="15107" max="15107" width="54.7109375" style="192" customWidth="1"/>
    <col min="15108" max="15108" width="17.28515625" style="192" bestFit="1" customWidth="1"/>
    <col min="15109" max="15109" width="20.140625" style="192" bestFit="1" customWidth="1"/>
    <col min="15110" max="15110" width="16.5703125" style="192" customWidth="1"/>
    <col min="15111" max="15111" width="18.7109375" style="192" bestFit="1" customWidth="1"/>
    <col min="15112" max="15112" width="17.5703125" style="192" customWidth="1"/>
    <col min="15113" max="15113" width="15.5703125" style="192" bestFit="1" customWidth="1"/>
    <col min="15114" max="15114" width="13.5703125" style="192" customWidth="1"/>
    <col min="15115" max="15115" width="20.5703125" style="192" customWidth="1"/>
    <col min="15116" max="15116" width="12.42578125" style="192" bestFit="1" customWidth="1"/>
    <col min="15117" max="15360" width="9.140625" style="192"/>
    <col min="15361" max="15361" width="23" style="192" customWidth="1"/>
    <col min="15362" max="15362" width="42" style="192" customWidth="1"/>
    <col min="15363" max="15363" width="54.7109375" style="192" customWidth="1"/>
    <col min="15364" max="15364" width="17.28515625" style="192" bestFit="1" customWidth="1"/>
    <col min="15365" max="15365" width="20.140625" style="192" bestFit="1" customWidth="1"/>
    <col min="15366" max="15366" width="16.5703125" style="192" customWidth="1"/>
    <col min="15367" max="15367" width="18.7109375" style="192" bestFit="1" customWidth="1"/>
    <col min="15368" max="15368" width="17.5703125" style="192" customWidth="1"/>
    <col min="15369" max="15369" width="15.5703125" style="192" bestFit="1" customWidth="1"/>
    <col min="15370" max="15370" width="13.5703125" style="192" customWidth="1"/>
    <col min="15371" max="15371" width="20.5703125" style="192" customWidth="1"/>
    <col min="15372" max="15372" width="12.42578125" style="192" bestFit="1" customWidth="1"/>
    <col min="15373" max="15616" width="9.140625" style="192"/>
    <col min="15617" max="15617" width="23" style="192" customWidth="1"/>
    <col min="15618" max="15618" width="42" style="192" customWidth="1"/>
    <col min="15619" max="15619" width="54.7109375" style="192" customWidth="1"/>
    <col min="15620" max="15620" width="17.28515625" style="192" bestFit="1" customWidth="1"/>
    <col min="15621" max="15621" width="20.140625" style="192" bestFit="1" customWidth="1"/>
    <col min="15622" max="15622" width="16.5703125" style="192" customWidth="1"/>
    <col min="15623" max="15623" width="18.7109375" style="192" bestFit="1" customWidth="1"/>
    <col min="15624" max="15624" width="17.5703125" style="192" customWidth="1"/>
    <col min="15625" max="15625" width="15.5703125" style="192" bestFit="1" customWidth="1"/>
    <col min="15626" max="15626" width="13.5703125" style="192" customWidth="1"/>
    <col min="15627" max="15627" width="20.5703125" style="192" customWidth="1"/>
    <col min="15628" max="15628" width="12.42578125" style="192" bestFit="1" customWidth="1"/>
    <col min="15629" max="15872" width="9.140625" style="192"/>
    <col min="15873" max="15873" width="23" style="192" customWidth="1"/>
    <col min="15874" max="15874" width="42" style="192" customWidth="1"/>
    <col min="15875" max="15875" width="54.7109375" style="192" customWidth="1"/>
    <col min="15876" max="15876" width="17.28515625" style="192" bestFit="1" customWidth="1"/>
    <col min="15877" max="15877" width="20.140625" style="192" bestFit="1" customWidth="1"/>
    <col min="15878" max="15878" width="16.5703125" style="192" customWidth="1"/>
    <col min="15879" max="15879" width="18.7109375" style="192" bestFit="1" customWidth="1"/>
    <col min="15880" max="15880" width="17.5703125" style="192" customWidth="1"/>
    <col min="15881" max="15881" width="15.5703125" style="192" bestFit="1" customWidth="1"/>
    <col min="15882" max="15882" width="13.5703125" style="192" customWidth="1"/>
    <col min="15883" max="15883" width="20.5703125" style="192" customWidth="1"/>
    <col min="15884" max="15884" width="12.42578125" style="192" bestFit="1" customWidth="1"/>
    <col min="15885" max="16128" width="9.140625" style="192"/>
    <col min="16129" max="16129" width="23" style="192" customWidth="1"/>
    <col min="16130" max="16130" width="42" style="192" customWidth="1"/>
    <col min="16131" max="16131" width="54.7109375" style="192" customWidth="1"/>
    <col min="16132" max="16132" width="17.28515625" style="192" bestFit="1" customWidth="1"/>
    <col min="16133" max="16133" width="20.140625" style="192" bestFit="1" customWidth="1"/>
    <col min="16134" max="16134" width="16.5703125" style="192" customWidth="1"/>
    <col min="16135" max="16135" width="18.7109375" style="192" bestFit="1" customWidth="1"/>
    <col min="16136" max="16136" width="17.5703125" style="192" customWidth="1"/>
    <col min="16137" max="16137" width="15.5703125" style="192" bestFit="1" customWidth="1"/>
    <col min="16138" max="16138" width="13.5703125" style="192" customWidth="1"/>
    <col min="16139" max="16139" width="20.5703125" style="192" customWidth="1"/>
    <col min="16140" max="16140" width="12.42578125" style="192" bestFit="1" customWidth="1"/>
    <col min="16141" max="16384" width="9.140625" style="192"/>
  </cols>
  <sheetData>
    <row r="1" spans="2:7" x14ac:dyDescent="0.25">
      <c r="G1" s="193" t="s">
        <v>1015</v>
      </c>
    </row>
    <row r="2" spans="2:7" x14ac:dyDescent="0.25">
      <c r="B2" s="194" t="s">
        <v>1105</v>
      </c>
      <c r="C2" s="194"/>
      <c r="D2" s="194"/>
      <c r="E2" s="194"/>
      <c r="F2" s="194"/>
      <c r="G2" s="194"/>
    </row>
    <row r="3" spans="2:7" x14ac:dyDescent="0.25">
      <c r="B3" s="194" t="s">
        <v>1106</v>
      </c>
      <c r="C3" s="194"/>
      <c r="D3" s="194"/>
      <c r="E3" s="194"/>
      <c r="F3" s="194"/>
      <c r="G3" s="194"/>
    </row>
    <row r="4" spans="2:7" x14ac:dyDescent="0.25">
      <c r="B4" s="193"/>
      <c r="C4" s="193"/>
      <c r="D4" s="193"/>
      <c r="E4" s="193"/>
      <c r="F4" s="193"/>
      <c r="G4" s="193"/>
    </row>
    <row r="5" spans="2:7" x14ac:dyDescent="0.25">
      <c r="B5" s="194" t="s">
        <v>1107</v>
      </c>
      <c r="C5" s="194"/>
      <c r="D5" s="194"/>
      <c r="E5" s="194"/>
      <c r="F5" s="194"/>
      <c r="G5" s="194"/>
    </row>
    <row r="6" spans="2:7" x14ac:dyDescent="0.25">
      <c r="B6" s="193" t="s">
        <v>1108</v>
      </c>
    </row>
    <row r="8" spans="2:7" ht="27" x14ac:dyDescent="0.25">
      <c r="B8" s="195" t="s">
        <v>1109</v>
      </c>
      <c r="C8" s="195" t="s">
        <v>1110</v>
      </c>
      <c r="D8" s="195" t="s">
        <v>1111</v>
      </c>
      <c r="E8" s="196" t="s">
        <v>1112</v>
      </c>
      <c r="F8" s="196" t="s">
        <v>1113</v>
      </c>
      <c r="G8" s="196" t="s">
        <v>1114</v>
      </c>
    </row>
    <row r="9" spans="2:7" x14ac:dyDescent="0.25">
      <c r="B9" s="189" t="s">
        <v>660</v>
      </c>
      <c r="C9" s="189" t="s">
        <v>1115</v>
      </c>
      <c r="D9" s="197" t="s">
        <v>1116</v>
      </c>
      <c r="E9" s="198">
        <v>220.6</v>
      </c>
      <c r="F9" s="199">
        <v>228.08</v>
      </c>
      <c r="G9" s="200">
        <v>56.547169199999999</v>
      </c>
    </row>
    <row r="10" spans="2:7" x14ac:dyDescent="0.25">
      <c r="B10" s="189" t="s">
        <v>660</v>
      </c>
      <c r="C10" s="189" t="s">
        <v>1117</v>
      </c>
      <c r="D10" s="197" t="s">
        <v>1116</v>
      </c>
      <c r="E10" s="198">
        <v>2625.77</v>
      </c>
      <c r="F10" s="199">
        <v>2602.1999999999998</v>
      </c>
      <c r="G10" s="200">
        <v>87.058070999999998</v>
      </c>
    </row>
    <row r="11" spans="2:7" x14ac:dyDescent="0.25">
      <c r="B11" s="189" t="s">
        <v>660</v>
      </c>
      <c r="C11" s="189" t="s">
        <v>1118</v>
      </c>
      <c r="D11" s="197" t="s">
        <v>1116</v>
      </c>
      <c r="E11" s="198">
        <v>1353.33</v>
      </c>
      <c r="F11" s="199">
        <v>1438.5</v>
      </c>
      <c r="G11" s="200">
        <v>36.881791200000002</v>
      </c>
    </row>
    <row r="12" spans="2:7" x14ac:dyDescent="0.25">
      <c r="B12" s="189" t="s">
        <v>660</v>
      </c>
      <c r="C12" s="189" t="s">
        <v>1119</v>
      </c>
      <c r="D12" s="197" t="s">
        <v>1116</v>
      </c>
      <c r="E12" s="198">
        <v>257.22000000000003</v>
      </c>
      <c r="F12" s="199">
        <v>255.45</v>
      </c>
      <c r="G12" s="200">
        <v>95.260827599999999</v>
      </c>
    </row>
    <row r="13" spans="2:7" x14ac:dyDescent="0.25">
      <c r="B13" s="189" t="s">
        <v>660</v>
      </c>
      <c r="C13" s="189" t="s">
        <v>1120</v>
      </c>
      <c r="D13" s="197" t="s">
        <v>1116</v>
      </c>
      <c r="E13" s="198">
        <v>1468.61</v>
      </c>
      <c r="F13" s="199">
        <v>1492.6</v>
      </c>
      <c r="G13" s="200">
        <v>155.8441052</v>
      </c>
    </row>
    <row r="14" spans="2:7" x14ac:dyDescent="0.25">
      <c r="B14" s="189" t="s">
        <v>660</v>
      </c>
      <c r="C14" s="189" t="s">
        <v>1121</v>
      </c>
      <c r="D14" s="197" t="s">
        <v>1116</v>
      </c>
      <c r="E14" s="198">
        <v>815.45</v>
      </c>
      <c r="F14" s="199">
        <v>894.5</v>
      </c>
      <c r="G14" s="200">
        <v>162.76903759999999</v>
      </c>
    </row>
    <row r="15" spans="2:7" x14ac:dyDescent="0.25">
      <c r="B15" s="189" t="s">
        <v>660</v>
      </c>
      <c r="C15" s="189" t="s">
        <v>1122</v>
      </c>
      <c r="D15" s="197" t="s">
        <v>1116</v>
      </c>
      <c r="E15" s="198">
        <v>681.1</v>
      </c>
      <c r="F15" s="199">
        <v>684.05</v>
      </c>
      <c r="G15" s="200">
        <v>235.90332800000004</v>
      </c>
    </row>
    <row r="16" spans="2:7" x14ac:dyDescent="0.25">
      <c r="B16" s="189" t="s">
        <v>660</v>
      </c>
      <c r="C16" s="189" t="s">
        <v>1123</v>
      </c>
      <c r="D16" s="197" t="s">
        <v>1116</v>
      </c>
      <c r="E16" s="198">
        <v>1581.36</v>
      </c>
      <c r="F16" s="199">
        <v>1649.05</v>
      </c>
      <c r="G16" s="200">
        <v>42.860311199999998</v>
      </c>
    </row>
    <row r="17" spans="2:7" x14ac:dyDescent="0.25">
      <c r="B17" s="189" t="s">
        <v>660</v>
      </c>
      <c r="C17" s="189" t="s">
        <v>1124</v>
      </c>
      <c r="D17" s="197" t="s">
        <v>1116</v>
      </c>
      <c r="E17" s="198">
        <v>1623.29</v>
      </c>
      <c r="F17" s="199">
        <v>1627.6</v>
      </c>
      <c r="G17" s="200">
        <v>213.09452999999999</v>
      </c>
    </row>
    <row r="18" spans="2:7" x14ac:dyDescent="0.25">
      <c r="B18" s="189" t="s">
        <v>660</v>
      </c>
      <c r="C18" s="189" t="s">
        <v>1125</v>
      </c>
      <c r="D18" s="197" t="s">
        <v>1116</v>
      </c>
      <c r="E18" s="198">
        <v>2738.3</v>
      </c>
      <c r="F18" s="199">
        <v>2716.95</v>
      </c>
      <c r="G18" s="200">
        <v>2.8816996000000001</v>
      </c>
    </row>
    <row r="19" spans="2:7" x14ac:dyDescent="0.25">
      <c r="B19" s="189" t="s">
        <v>660</v>
      </c>
      <c r="C19" s="189" t="s">
        <v>1126</v>
      </c>
      <c r="D19" s="197" t="s">
        <v>1116</v>
      </c>
      <c r="E19" s="198">
        <v>175.92</v>
      </c>
      <c r="F19" s="199">
        <v>182.6</v>
      </c>
      <c r="G19" s="200">
        <v>11.4926178</v>
      </c>
    </row>
    <row r="20" spans="2:7" x14ac:dyDescent="0.25">
      <c r="B20" s="189" t="s">
        <v>660</v>
      </c>
      <c r="C20" s="189" t="s">
        <v>1127</v>
      </c>
      <c r="D20" s="197" t="s">
        <v>1116</v>
      </c>
      <c r="E20" s="198">
        <v>417.98</v>
      </c>
      <c r="F20" s="199">
        <v>436</v>
      </c>
      <c r="G20" s="200">
        <v>392.44296000000003</v>
      </c>
    </row>
    <row r="21" spans="2:7" x14ac:dyDescent="0.25">
      <c r="B21" s="189" t="s">
        <v>660</v>
      </c>
      <c r="C21" s="189" t="s">
        <v>1128</v>
      </c>
      <c r="D21" s="197" t="s">
        <v>1116</v>
      </c>
      <c r="E21" s="198">
        <v>473.86</v>
      </c>
      <c r="F21" s="199">
        <v>498.7</v>
      </c>
      <c r="G21" s="200">
        <v>8.4455520000000011</v>
      </c>
    </row>
    <row r="22" spans="2:7" x14ac:dyDescent="0.25">
      <c r="B22" s="189" t="s">
        <v>660</v>
      </c>
      <c r="C22" s="189" t="s">
        <v>1129</v>
      </c>
      <c r="D22" s="197" t="s">
        <v>1116</v>
      </c>
      <c r="E22" s="198">
        <v>1774.05</v>
      </c>
      <c r="F22" s="199">
        <v>1816.35</v>
      </c>
      <c r="G22" s="200">
        <v>29.527606999999996</v>
      </c>
    </row>
    <row r="23" spans="2:7" x14ac:dyDescent="0.25">
      <c r="B23" s="189" t="s">
        <v>660</v>
      </c>
      <c r="C23" s="201" t="s">
        <v>1130</v>
      </c>
      <c r="D23" s="197" t="s">
        <v>1116</v>
      </c>
      <c r="E23" s="198">
        <v>3699.46</v>
      </c>
      <c r="F23" s="199">
        <v>3832</v>
      </c>
      <c r="G23" s="200">
        <v>31.126049999999999</v>
      </c>
    </row>
    <row r="24" spans="2:7" x14ac:dyDescent="0.25">
      <c r="B24" s="189" t="s">
        <v>660</v>
      </c>
      <c r="C24" s="201" t="s">
        <v>1131</v>
      </c>
      <c r="D24" s="197" t="s">
        <v>1116</v>
      </c>
      <c r="E24" s="198">
        <v>215.81</v>
      </c>
      <c r="F24" s="199">
        <v>214.8</v>
      </c>
      <c r="G24" s="200">
        <v>176.46047999999999</v>
      </c>
    </row>
    <row r="25" spans="2:7" x14ac:dyDescent="0.25">
      <c r="B25" s="189" t="s">
        <v>660</v>
      </c>
      <c r="C25" s="201" t="s">
        <v>1132</v>
      </c>
      <c r="D25" s="197" t="s">
        <v>1116</v>
      </c>
      <c r="E25" s="198">
        <v>3010.65</v>
      </c>
      <c r="F25" s="199">
        <v>3021.35</v>
      </c>
      <c r="G25" s="200">
        <v>146.956491</v>
      </c>
    </row>
    <row r="26" spans="2:7" x14ac:dyDescent="0.25">
      <c r="B26" s="189" t="s">
        <v>660</v>
      </c>
      <c r="C26" s="201" t="s">
        <v>1133</v>
      </c>
      <c r="D26" s="197" t="s">
        <v>1116</v>
      </c>
      <c r="E26" s="198">
        <v>882.69</v>
      </c>
      <c r="F26" s="199">
        <v>878.8</v>
      </c>
      <c r="G26" s="200">
        <v>22.455629999999999</v>
      </c>
    </row>
    <row r="27" spans="2:7" x14ac:dyDescent="0.25">
      <c r="B27" s="189" t="s">
        <v>660</v>
      </c>
      <c r="C27" s="201" t="s">
        <v>1134</v>
      </c>
      <c r="D27" s="197" t="s">
        <v>1116</v>
      </c>
      <c r="E27" s="198">
        <v>1592.44</v>
      </c>
      <c r="F27" s="199">
        <v>1725.75</v>
      </c>
      <c r="G27" s="200">
        <v>59.815526400000003</v>
      </c>
    </row>
    <row r="28" spans="2:7" x14ac:dyDescent="0.25">
      <c r="B28" s="189" t="s">
        <v>660</v>
      </c>
      <c r="C28" s="201" t="s">
        <v>1135</v>
      </c>
      <c r="D28" s="197" t="s">
        <v>1116</v>
      </c>
      <c r="E28" s="198">
        <v>4320.28</v>
      </c>
      <c r="F28" s="199">
        <v>4405.3500000000004</v>
      </c>
      <c r="G28" s="200">
        <v>6.8119385000000001</v>
      </c>
    </row>
    <row r="29" spans="2:7" x14ac:dyDescent="0.25">
      <c r="B29" s="189" t="s">
        <v>660</v>
      </c>
      <c r="C29" s="201" t="s">
        <v>1136</v>
      </c>
      <c r="D29" s="197" t="s">
        <v>1116</v>
      </c>
      <c r="E29" s="198">
        <v>425.11</v>
      </c>
      <c r="F29" s="199">
        <v>456.6</v>
      </c>
      <c r="G29" s="200">
        <v>42.503278500000008</v>
      </c>
    </row>
    <row r="30" spans="2:7" x14ac:dyDescent="0.25">
      <c r="B30" s="189" t="s">
        <v>660</v>
      </c>
      <c r="C30" s="201" t="s">
        <v>1137</v>
      </c>
      <c r="D30" s="197" t="s">
        <v>1116</v>
      </c>
      <c r="E30" s="198">
        <v>440.34</v>
      </c>
      <c r="F30" s="199">
        <v>450.05</v>
      </c>
      <c r="G30" s="200">
        <v>141.91750949999999</v>
      </c>
    </row>
    <row r="31" spans="2:7" x14ac:dyDescent="0.25">
      <c r="B31" s="189" t="s">
        <v>660</v>
      </c>
      <c r="C31" s="201" t="s">
        <v>1138</v>
      </c>
      <c r="D31" s="197" t="s">
        <v>1116</v>
      </c>
      <c r="E31" s="198">
        <v>16.34</v>
      </c>
      <c r="F31" s="199">
        <v>16.43</v>
      </c>
      <c r="G31" s="200">
        <v>53.150019999999998</v>
      </c>
    </row>
    <row r="32" spans="2:7" x14ac:dyDescent="0.25">
      <c r="B32" s="189"/>
      <c r="C32" s="202"/>
      <c r="D32" s="197"/>
      <c r="E32" s="198"/>
      <c r="F32" s="203"/>
      <c r="G32" s="204"/>
    </row>
    <row r="33" spans="2:7" x14ac:dyDescent="0.25">
      <c r="B33" s="189" t="s">
        <v>684</v>
      </c>
      <c r="C33" s="205" t="s">
        <v>1139</v>
      </c>
      <c r="D33" s="197" t="s">
        <v>1116</v>
      </c>
      <c r="E33" s="206">
        <v>1281.21</v>
      </c>
      <c r="F33" s="207">
        <v>1174.1500000000001</v>
      </c>
      <c r="G33" s="200">
        <v>41.421049599999996</v>
      </c>
    </row>
    <row r="34" spans="2:7" x14ac:dyDescent="0.25">
      <c r="B34" s="189" t="s">
        <v>684</v>
      </c>
      <c r="C34" s="205" t="s">
        <v>1140</v>
      </c>
      <c r="D34" s="197" t="s">
        <v>1116</v>
      </c>
      <c r="E34" s="206">
        <v>6901.44</v>
      </c>
      <c r="F34" s="207">
        <v>6852.7</v>
      </c>
      <c r="G34" s="200">
        <v>210.53529780000002</v>
      </c>
    </row>
    <row r="35" spans="2:7" x14ac:dyDescent="0.25">
      <c r="B35" s="189" t="s">
        <v>684</v>
      </c>
      <c r="C35" s="205" t="s">
        <v>1141</v>
      </c>
      <c r="D35" s="197" t="s">
        <v>1116</v>
      </c>
      <c r="E35" s="206">
        <v>1648.94</v>
      </c>
      <c r="F35" s="207">
        <v>1659.1</v>
      </c>
      <c r="G35" s="200">
        <v>90.894634999999994</v>
      </c>
    </row>
    <row r="36" spans="2:7" x14ac:dyDescent="0.25">
      <c r="B36" s="189" t="s">
        <v>684</v>
      </c>
      <c r="C36" s="205" t="s">
        <v>1119</v>
      </c>
      <c r="D36" s="197" t="s">
        <v>1116</v>
      </c>
      <c r="E36" s="206">
        <v>255.66</v>
      </c>
      <c r="F36" s="207">
        <v>255.45</v>
      </c>
      <c r="G36" s="200">
        <v>560.9804292</v>
      </c>
    </row>
    <row r="37" spans="2:7" x14ac:dyDescent="0.25">
      <c r="B37" s="189" t="s">
        <v>684</v>
      </c>
      <c r="C37" s="205" t="s">
        <v>1142</v>
      </c>
      <c r="D37" s="197" t="s">
        <v>1116</v>
      </c>
      <c r="E37" s="206">
        <v>1608.3</v>
      </c>
      <c r="F37" s="207">
        <v>1740.95</v>
      </c>
      <c r="G37" s="200">
        <v>148.76140509999999</v>
      </c>
    </row>
    <row r="38" spans="2:7" x14ac:dyDescent="0.25">
      <c r="B38" s="189" t="s">
        <v>684</v>
      </c>
      <c r="C38" s="205" t="s">
        <v>1143</v>
      </c>
      <c r="D38" s="197" t="s">
        <v>1116</v>
      </c>
      <c r="E38" s="206">
        <v>112.95</v>
      </c>
      <c r="F38" s="207">
        <v>115.37</v>
      </c>
      <c r="G38" s="200">
        <v>514.10009439999999</v>
      </c>
    </row>
    <row r="39" spans="2:7" x14ac:dyDescent="0.25">
      <c r="B39" s="189" t="s">
        <v>684</v>
      </c>
      <c r="C39" s="205" t="s">
        <v>1144</v>
      </c>
      <c r="D39" s="197" t="s">
        <v>1116</v>
      </c>
      <c r="E39" s="206">
        <v>1491.63</v>
      </c>
      <c r="F39" s="207">
        <v>1541.25</v>
      </c>
      <c r="G39" s="200">
        <v>352.38543119999997</v>
      </c>
    </row>
    <row r="40" spans="2:7" x14ac:dyDescent="0.25">
      <c r="B40" s="189" t="s">
        <v>684</v>
      </c>
      <c r="C40" s="205" t="s">
        <v>1145</v>
      </c>
      <c r="D40" s="197" t="s">
        <v>1116</v>
      </c>
      <c r="E40" s="206">
        <v>1548.66</v>
      </c>
      <c r="F40" s="207">
        <v>1660.35</v>
      </c>
      <c r="G40" s="200">
        <v>29.877481200000002</v>
      </c>
    </row>
    <row r="41" spans="2:7" x14ac:dyDescent="0.25">
      <c r="B41" s="189" t="s">
        <v>684</v>
      </c>
      <c r="C41" s="205" t="s">
        <v>1124</v>
      </c>
      <c r="D41" s="197" t="s">
        <v>1116</v>
      </c>
      <c r="E41" s="206">
        <v>1647.87</v>
      </c>
      <c r="F41" s="207">
        <v>1627.6</v>
      </c>
      <c r="G41" s="200">
        <v>563.51664599999992</v>
      </c>
    </row>
    <row r="42" spans="2:7" x14ac:dyDescent="0.25">
      <c r="B42" s="189" t="s">
        <v>684</v>
      </c>
      <c r="C42" s="205" t="s">
        <v>1146</v>
      </c>
      <c r="D42" s="197" t="s">
        <v>1116</v>
      </c>
      <c r="E42" s="206">
        <v>1237.24</v>
      </c>
      <c r="F42" s="207">
        <v>1212.7</v>
      </c>
      <c r="G42" s="200">
        <v>37.695787500000002</v>
      </c>
    </row>
    <row r="43" spans="2:7" x14ac:dyDescent="0.25">
      <c r="B43" s="189" t="s">
        <v>684</v>
      </c>
      <c r="C43" s="205" t="s">
        <v>1147</v>
      </c>
      <c r="D43" s="197" t="s">
        <v>1116</v>
      </c>
      <c r="E43" s="206">
        <v>1418.65</v>
      </c>
      <c r="F43" s="207">
        <v>1438</v>
      </c>
      <c r="G43" s="200">
        <v>276.68849999999998</v>
      </c>
    </row>
    <row r="44" spans="2:7" x14ac:dyDescent="0.25">
      <c r="B44" s="189" t="s">
        <v>684</v>
      </c>
      <c r="C44" s="205" t="s">
        <v>1129</v>
      </c>
      <c r="D44" s="197" t="s">
        <v>1116</v>
      </c>
      <c r="E44" s="206">
        <v>1772.73</v>
      </c>
      <c r="F44" s="207">
        <v>1816.35</v>
      </c>
      <c r="G44" s="200">
        <v>319.66844099999997</v>
      </c>
    </row>
    <row r="45" spans="2:7" x14ac:dyDescent="0.25">
      <c r="B45" s="189" t="s">
        <v>684</v>
      </c>
      <c r="C45" s="205" t="s">
        <v>1148</v>
      </c>
      <c r="D45" s="197" t="s">
        <v>1116</v>
      </c>
      <c r="E45" s="206">
        <v>2834.68</v>
      </c>
      <c r="F45" s="207">
        <v>2927.7</v>
      </c>
      <c r="G45" s="200">
        <v>5.8786299</v>
      </c>
    </row>
    <row r="46" spans="2:7" x14ac:dyDescent="0.25">
      <c r="B46" s="189" t="s">
        <v>684</v>
      </c>
      <c r="C46" s="205" t="s">
        <v>1149</v>
      </c>
      <c r="D46" s="197" t="s">
        <v>1116</v>
      </c>
      <c r="E46" s="206">
        <v>367.15</v>
      </c>
      <c r="F46" s="207">
        <v>414.5</v>
      </c>
      <c r="G46" s="200">
        <v>23.119425</v>
      </c>
    </row>
    <row r="47" spans="2:7" x14ac:dyDescent="0.25">
      <c r="B47" s="189" t="s">
        <v>684</v>
      </c>
      <c r="C47" s="205" t="s">
        <v>1150</v>
      </c>
      <c r="D47" s="197" t="s">
        <v>1116</v>
      </c>
      <c r="E47" s="206">
        <v>4833.22</v>
      </c>
      <c r="F47" s="207">
        <v>4851.8</v>
      </c>
      <c r="G47" s="200">
        <v>20.405059999999999</v>
      </c>
    </row>
    <row r="48" spans="2:7" x14ac:dyDescent="0.25">
      <c r="B48" s="189" t="s">
        <v>684</v>
      </c>
      <c r="C48" s="205" t="s">
        <v>1132</v>
      </c>
      <c r="D48" s="197" t="s">
        <v>1116</v>
      </c>
      <c r="E48" s="206">
        <v>2988.13</v>
      </c>
      <c r="F48" s="207">
        <v>3021.35</v>
      </c>
      <c r="G48" s="200">
        <v>146.956491</v>
      </c>
    </row>
    <row r="49" spans="2:8" x14ac:dyDescent="0.25">
      <c r="B49" s="189" t="s">
        <v>684</v>
      </c>
      <c r="C49" s="205" t="s">
        <v>1151</v>
      </c>
      <c r="D49" s="197" t="s">
        <v>1116</v>
      </c>
      <c r="E49" s="206">
        <v>1009.32</v>
      </c>
      <c r="F49" s="207">
        <v>1156.5</v>
      </c>
      <c r="G49" s="200">
        <v>362.06314480000003</v>
      </c>
    </row>
    <row r="50" spans="2:8" x14ac:dyDescent="0.25">
      <c r="B50" s="189" t="s">
        <v>684</v>
      </c>
      <c r="C50" s="205" t="s">
        <v>1152</v>
      </c>
      <c r="D50" s="197" t="s">
        <v>1116</v>
      </c>
      <c r="E50" s="206">
        <v>161.33000000000001</v>
      </c>
      <c r="F50" s="207">
        <v>166.33</v>
      </c>
      <c r="G50" s="200">
        <v>54.947559000000005</v>
      </c>
    </row>
    <row r="51" spans="2:8" x14ac:dyDescent="0.25">
      <c r="B51" s="189" t="s">
        <v>684</v>
      </c>
      <c r="C51" s="205" t="s">
        <v>1153</v>
      </c>
      <c r="D51" s="197" t="s">
        <v>1116</v>
      </c>
      <c r="E51" s="206">
        <v>1510.66</v>
      </c>
      <c r="F51" s="207">
        <v>1560.5</v>
      </c>
      <c r="G51" s="200">
        <v>167.19994500000001</v>
      </c>
    </row>
    <row r="52" spans="2:8" x14ac:dyDescent="0.25">
      <c r="B52" s="189" t="s">
        <v>684</v>
      </c>
      <c r="C52" s="205" t="s">
        <v>1137</v>
      </c>
      <c r="D52" s="197" t="s">
        <v>1116</v>
      </c>
      <c r="E52" s="206">
        <v>433.7</v>
      </c>
      <c r="F52" s="207">
        <v>450.05</v>
      </c>
      <c r="G52" s="200">
        <v>3.6389104999999997</v>
      </c>
    </row>
    <row r="53" spans="2:8" x14ac:dyDescent="0.25">
      <c r="B53" s="189" t="s">
        <v>684</v>
      </c>
      <c r="C53" s="205" t="s">
        <v>1154</v>
      </c>
      <c r="D53" s="197" t="s">
        <v>1116</v>
      </c>
      <c r="E53" s="206">
        <v>1161.28</v>
      </c>
      <c r="F53" s="207">
        <v>1252.55</v>
      </c>
      <c r="G53" s="200">
        <v>100.894165</v>
      </c>
    </row>
    <row r="54" spans="2:8" x14ac:dyDescent="0.25">
      <c r="B54" s="189"/>
      <c r="C54" s="205"/>
      <c r="D54" s="197"/>
      <c r="E54" s="206"/>
      <c r="F54" s="208"/>
      <c r="G54" s="200"/>
    </row>
    <row r="55" spans="2:8" x14ac:dyDescent="0.25">
      <c r="B55" s="189" t="s">
        <v>729</v>
      </c>
      <c r="C55" s="209" t="s">
        <v>1155</v>
      </c>
      <c r="D55" s="197" t="s">
        <v>1116</v>
      </c>
      <c r="E55" s="210">
        <v>3056.8</v>
      </c>
      <c r="F55" s="211">
        <v>3194.05</v>
      </c>
      <c r="G55" s="210">
        <v>127.37992260000001</v>
      </c>
      <c r="H55" s="212"/>
    </row>
    <row r="56" spans="2:8" x14ac:dyDescent="0.25">
      <c r="B56" s="189" t="s">
        <v>729</v>
      </c>
      <c r="C56" s="209" t="s">
        <v>1117</v>
      </c>
      <c r="D56" s="197" t="s">
        <v>1116</v>
      </c>
      <c r="E56" s="210">
        <v>2639.34</v>
      </c>
      <c r="F56" s="211">
        <v>2602.1999999999998</v>
      </c>
      <c r="G56" s="210">
        <v>49.503609000000004</v>
      </c>
      <c r="H56" s="212"/>
    </row>
    <row r="57" spans="2:8" x14ac:dyDescent="0.25">
      <c r="B57" s="189" t="s">
        <v>729</v>
      </c>
      <c r="C57" s="209" t="s">
        <v>1118</v>
      </c>
      <c r="D57" s="197" t="s">
        <v>1116</v>
      </c>
      <c r="E57" s="210">
        <v>1361.38</v>
      </c>
      <c r="F57" s="211">
        <v>1438.5</v>
      </c>
      <c r="G57" s="210">
        <v>122.93930400000001</v>
      </c>
      <c r="H57" s="212"/>
    </row>
    <row r="58" spans="2:8" x14ac:dyDescent="0.25">
      <c r="B58" s="189" t="s">
        <v>729</v>
      </c>
      <c r="C58" s="209" t="s">
        <v>1139</v>
      </c>
      <c r="D58" s="197" t="s">
        <v>1116</v>
      </c>
      <c r="E58" s="210">
        <v>1282.1600000000001</v>
      </c>
      <c r="F58" s="211">
        <v>1174.1500000000001</v>
      </c>
      <c r="G58" s="210">
        <v>355.96214500000002</v>
      </c>
      <c r="H58" s="212"/>
    </row>
    <row r="59" spans="2:8" x14ac:dyDescent="0.25">
      <c r="B59" s="189" t="s">
        <v>729</v>
      </c>
      <c r="C59" s="209" t="s">
        <v>1140</v>
      </c>
      <c r="D59" s="197" t="s">
        <v>1116</v>
      </c>
      <c r="E59" s="210">
        <v>6846.35</v>
      </c>
      <c r="F59" s="211">
        <v>6852.7</v>
      </c>
      <c r="G59" s="210">
        <v>202.90720730000001</v>
      </c>
      <c r="H59" s="212"/>
    </row>
    <row r="60" spans="2:8" x14ac:dyDescent="0.25">
      <c r="B60" s="189" t="s">
        <v>729</v>
      </c>
      <c r="C60" s="209" t="s">
        <v>1141</v>
      </c>
      <c r="D60" s="197" t="s">
        <v>1116</v>
      </c>
      <c r="E60" s="210">
        <v>1651.99</v>
      </c>
      <c r="F60" s="211">
        <v>1659.1</v>
      </c>
      <c r="G60" s="210">
        <v>36.651062500000002</v>
      </c>
      <c r="H60" s="212"/>
    </row>
    <row r="61" spans="2:8" x14ac:dyDescent="0.25">
      <c r="B61" s="189" t="s">
        <v>729</v>
      </c>
      <c r="C61" s="209" t="s">
        <v>1119</v>
      </c>
      <c r="D61" s="197" t="s">
        <v>1116</v>
      </c>
      <c r="E61" s="210">
        <v>252.31</v>
      </c>
      <c r="F61" s="211">
        <v>255.45</v>
      </c>
      <c r="G61" s="210">
        <v>245.2084266</v>
      </c>
      <c r="H61" s="212"/>
    </row>
    <row r="62" spans="2:8" x14ac:dyDescent="0.25">
      <c r="B62" s="189" t="s">
        <v>729</v>
      </c>
      <c r="C62" s="209" t="s">
        <v>1142</v>
      </c>
      <c r="D62" s="197" t="s">
        <v>1116</v>
      </c>
      <c r="E62" s="210">
        <v>1609.05</v>
      </c>
      <c r="F62" s="211">
        <v>1740.95</v>
      </c>
      <c r="G62" s="210">
        <v>1.9319663</v>
      </c>
      <c r="H62" s="212"/>
    </row>
    <row r="63" spans="2:8" x14ac:dyDescent="0.25">
      <c r="B63" s="189" t="s">
        <v>729</v>
      </c>
      <c r="C63" s="209" t="s">
        <v>1120</v>
      </c>
      <c r="D63" s="197" t="s">
        <v>1116</v>
      </c>
      <c r="E63" s="210">
        <v>1469.08</v>
      </c>
      <c r="F63" s="211">
        <v>1492.6</v>
      </c>
      <c r="G63" s="210">
        <v>409.71917979999995</v>
      </c>
      <c r="H63" s="212"/>
    </row>
    <row r="64" spans="2:8" x14ac:dyDescent="0.25">
      <c r="B64" s="189" t="s">
        <v>729</v>
      </c>
      <c r="C64" s="209" t="s">
        <v>1121</v>
      </c>
      <c r="D64" s="197" t="s">
        <v>1116</v>
      </c>
      <c r="E64" s="210">
        <v>821.78</v>
      </c>
      <c r="F64" s="211">
        <v>894.5</v>
      </c>
      <c r="G64" s="210">
        <v>67.298736700000006</v>
      </c>
      <c r="H64" s="212"/>
    </row>
    <row r="65" spans="2:8" x14ac:dyDescent="0.25">
      <c r="B65" s="189" t="s">
        <v>729</v>
      </c>
      <c r="C65" s="209" t="s">
        <v>1122</v>
      </c>
      <c r="D65" s="197" t="s">
        <v>1116</v>
      </c>
      <c r="E65" s="210">
        <v>681.54</v>
      </c>
      <c r="F65" s="211">
        <v>684.05</v>
      </c>
      <c r="G65" s="210">
        <v>14.743958000000003</v>
      </c>
      <c r="H65" s="212"/>
    </row>
    <row r="66" spans="2:8" x14ac:dyDescent="0.25">
      <c r="B66" s="189" t="s">
        <v>729</v>
      </c>
      <c r="C66" s="209" t="s">
        <v>1123</v>
      </c>
      <c r="D66" s="197" t="s">
        <v>1116</v>
      </c>
      <c r="E66" s="210">
        <v>1580.44</v>
      </c>
      <c r="F66" s="211">
        <v>1649.05</v>
      </c>
      <c r="G66" s="210">
        <v>173.482212</v>
      </c>
      <c r="H66" s="212"/>
    </row>
    <row r="67" spans="2:8" x14ac:dyDescent="0.25">
      <c r="B67" s="189" t="s">
        <v>729</v>
      </c>
      <c r="C67" s="209" t="s">
        <v>1124</v>
      </c>
      <c r="D67" s="197" t="s">
        <v>1116</v>
      </c>
      <c r="E67" s="210">
        <v>1647.54</v>
      </c>
      <c r="F67" s="211">
        <v>1627.6</v>
      </c>
      <c r="G67" s="210">
        <v>860.27050999999994</v>
      </c>
      <c r="H67" s="212"/>
    </row>
    <row r="68" spans="2:8" x14ac:dyDescent="0.25">
      <c r="B68" s="189" t="s">
        <v>729</v>
      </c>
      <c r="C68" s="209" t="s">
        <v>1156</v>
      </c>
      <c r="D68" s="197" t="s">
        <v>1116</v>
      </c>
      <c r="E68" s="210">
        <v>643.23</v>
      </c>
      <c r="F68" s="211">
        <v>719.6</v>
      </c>
      <c r="G68" s="210">
        <v>99.222926000000001</v>
      </c>
      <c r="H68" s="212"/>
    </row>
    <row r="69" spans="2:8" x14ac:dyDescent="0.25">
      <c r="B69" s="189" t="s">
        <v>729</v>
      </c>
      <c r="C69" s="209" t="s">
        <v>1157</v>
      </c>
      <c r="D69" s="197" t="s">
        <v>1116</v>
      </c>
      <c r="E69" s="210">
        <v>669.86</v>
      </c>
      <c r="F69" s="211">
        <v>671.8</v>
      </c>
      <c r="G69" s="210">
        <v>190.93951800000002</v>
      </c>
      <c r="H69" s="212"/>
    </row>
    <row r="70" spans="2:8" x14ac:dyDescent="0.25">
      <c r="B70" s="189" t="s">
        <v>729</v>
      </c>
      <c r="C70" s="209" t="s">
        <v>1158</v>
      </c>
      <c r="D70" s="197" t="s">
        <v>1116</v>
      </c>
      <c r="E70" s="210">
        <v>349.68</v>
      </c>
      <c r="F70" s="211">
        <v>394.6</v>
      </c>
      <c r="G70" s="210">
        <v>239.25525419999997</v>
      </c>
      <c r="H70" s="212"/>
    </row>
    <row r="71" spans="2:8" x14ac:dyDescent="0.25">
      <c r="B71" s="189" t="s">
        <v>729</v>
      </c>
      <c r="C71" s="209" t="s">
        <v>1125</v>
      </c>
      <c r="D71" s="197" t="s">
        <v>1116</v>
      </c>
      <c r="E71" s="210">
        <v>2745.44</v>
      </c>
      <c r="F71" s="211">
        <v>2716.95</v>
      </c>
      <c r="G71" s="210">
        <v>229.0951182</v>
      </c>
      <c r="H71" s="212"/>
    </row>
    <row r="72" spans="2:8" x14ac:dyDescent="0.25">
      <c r="B72" s="189" t="s">
        <v>729</v>
      </c>
      <c r="C72" s="209" t="s">
        <v>1147</v>
      </c>
      <c r="D72" s="197" t="s">
        <v>1116</v>
      </c>
      <c r="E72" s="210">
        <v>1429.14</v>
      </c>
      <c r="F72" s="211">
        <v>1438</v>
      </c>
      <c r="G72" s="210">
        <v>534.48119999999994</v>
      </c>
      <c r="H72" s="212"/>
    </row>
    <row r="73" spans="2:8" x14ac:dyDescent="0.25">
      <c r="B73" s="189" t="s">
        <v>729</v>
      </c>
      <c r="C73" s="209" t="s">
        <v>1159</v>
      </c>
      <c r="D73" s="197" t="s">
        <v>1116</v>
      </c>
      <c r="E73" s="210">
        <v>1824.98</v>
      </c>
      <c r="F73" s="211">
        <v>1880.65</v>
      </c>
      <c r="G73" s="210">
        <v>553.43030700000008</v>
      </c>
      <c r="H73" s="212"/>
    </row>
    <row r="74" spans="2:8" x14ac:dyDescent="0.25">
      <c r="B74" s="189" t="s">
        <v>729</v>
      </c>
      <c r="C74" s="209" t="s">
        <v>1160</v>
      </c>
      <c r="D74" s="197" t="s">
        <v>1116</v>
      </c>
      <c r="E74" s="210">
        <v>4343.71</v>
      </c>
      <c r="F74" s="211">
        <v>4494.45</v>
      </c>
      <c r="G74" s="210">
        <v>90.753155500000005</v>
      </c>
      <c r="H74" s="212"/>
    </row>
    <row r="75" spans="2:8" x14ac:dyDescent="0.25">
      <c r="B75" s="189" t="s">
        <v>729</v>
      </c>
      <c r="C75" s="209" t="s">
        <v>1161</v>
      </c>
      <c r="D75" s="197" t="s">
        <v>1116</v>
      </c>
      <c r="E75" s="210">
        <v>898.68</v>
      </c>
      <c r="F75" s="211">
        <v>937.1</v>
      </c>
      <c r="G75" s="210">
        <v>32.995327099999997</v>
      </c>
      <c r="H75" s="212"/>
    </row>
    <row r="76" spans="2:8" x14ac:dyDescent="0.25">
      <c r="B76" s="189" t="s">
        <v>729</v>
      </c>
      <c r="C76" s="209" t="s">
        <v>1148</v>
      </c>
      <c r="D76" s="197" t="s">
        <v>1116</v>
      </c>
      <c r="E76" s="210">
        <v>2827.59</v>
      </c>
      <c r="F76" s="211">
        <v>2927.7</v>
      </c>
      <c r="G76" s="210">
        <v>160.68255060000001</v>
      </c>
      <c r="H76" s="212"/>
    </row>
    <row r="77" spans="2:8" x14ac:dyDescent="0.25">
      <c r="B77" s="189" t="s">
        <v>729</v>
      </c>
      <c r="C77" s="209" t="s">
        <v>1162</v>
      </c>
      <c r="D77" s="197" t="s">
        <v>1116</v>
      </c>
      <c r="E77" s="210">
        <v>12519.83</v>
      </c>
      <c r="F77" s="211">
        <v>13116.55</v>
      </c>
      <c r="G77" s="210">
        <v>205.89960419999997</v>
      </c>
      <c r="H77" s="212"/>
    </row>
    <row r="78" spans="2:8" x14ac:dyDescent="0.25">
      <c r="B78" s="189" t="s">
        <v>729</v>
      </c>
      <c r="C78" s="209" t="s">
        <v>1149</v>
      </c>
      <c r="D78" s="197" t="s">
        <v>1116</v>
      </c>
      <c r="E78" s="210">
        <v>375.08</v>
      </c>
      <c r="F78" s="211">
        <v>414.5</v>
      </c>
      <c r="G78" s="210">
        <v>75.780337500000002</v>
      </c>
      <c r="H78" s="212"/>
    </row>
    <row r="79" spans="2:8" x14ac:dyDescent="0.25">
      <c r="B79" s="189" t="s">
        <v>729</v>
      </c>
      <c r="C79" s="209" t="s">
        <v>1132</v>
      </c>
      <c r="D79" s="197" t="s">
        <v>1116</v>
      </c>
      <c r="E79" s="210">
        <v>3024.73</v>
      </c>
      <c r="F79" s="211">
        <v>3021.35</v>
      </c>
      <c r="G79" s="210">
        <v>770.85359370000003</v>
      </c>
      <c r="H79" s="212"/>
    </row>
    <row r="80" spans="2:8" x14ac:dyDescent="0.25">
      <c r="B80" s="189" t="s">
        <v>729</v>
      </c>
      <c r="C80" s="209" t="s">
        <v>1134</v>
      </c>
      <c r="D80" s="197" t="s">
        <v>1116</v>
      </c>
      <c r="E80" s="210">
        <v>1591.38</v>
      </c>
      <c r="F80" s="211">
        <v>1725.75</v>
      </c>
      <c r="G80" s="210">
        <v>39.520972800000003</v>
      </c>
      <c r="H80" s="212"/>
    </row>
    <row r="81" spans="2:8" x14ac:dyDescent="0.25">
      <c r="B81" s="189" t="s">
        <v>729</v>
      </c>
      <c r="C81" s="209" t="s">
        <v>1151</v>
      </c>
      <c r="D81" s="197" t="s">
        <v>1116</v>
      </c>
      <c r="E81" s="210">
        <v>1008.02</v>
      </c>
      <c r="F81" s="211">
        <v>1156.5</v>
      </c>
      <c r="G81" s="210">
        <v>475.81947070000001</v>
      </c>
      <c r="H81" s="212"/>
    </row>
    <row r="82" spans="2:8" x14ac:dyDescent="0.25">
      <c r="B82" s="189" t="s">
        <v>729</v>
      </c>
      <c r="C82" s="209" t="s">
        <v>1163</v>
      </c>
      <c r="D82" s="197" t="s">
        <v>1116</v>
      </c>
      <c r="E82" s="210">
        <v>1314.26</v>
      </c>
      <c r="F82" s="211">
        <v>1420.9</v>
      </c>
      <c r="G82" s="210">
        <v>45.671352999999996</v>
      </c>
      <c r="H82" s="212"/>
    </row>
    <row r="83" spans="2:8" x14ac:dyDescent="0.25">
      <c r="B83" s="189" t="s">
        <v>729</v>
      </c>
      <c r="C83" s="209" t="s">
        <v>1137</v>
      </c>
      <c r="D83" s="197" t="s">
        <v>1116</v>
      </c>
      <c r="E83" s="210">
        <v>433.25</v>
      </c>
      <c r="F83" s="211">
        <v>450.05</v>
      </c>
      <c r="G83" s="210">
        <v>101.889494</v>
      </c>
      <c r="H83" s="212"/>
    </row>
    <row r="84" spans="2:8" x14ac:dyDescent="0.25">
      <c r="B84" s="189"/>
      <c r="C84" s="209"/>
      <c r="D84" s="197"/>
      <c r="E84" s="210"/>
      <c r="F84" s="211"/>
      <c r="G84" s="210"/>
      <c r="H84" s="212"/>
    </row>
    <row r="85" spans="2:8" hidden="1" x14ac:dyDescent="0.25">
      <c r="B85" s="189" t="s">
        <v>1164</v>
      </c>
      <c r="C85" s="209"/>
      <c r="D85" s="197" t="s">
        <v>1116</v>
      </c>
      <c r="E85" s="210"/>
      <c r="F85" s="211"/>
      <c r="G85" s="213"/>
      <c r="H85" s="212"/>
    </row>
    <row r="86" spans="2:8" hidden="1" x14ac:dyDescent="0.25">
      <c r="B86" s="189"/>
      <c r="C86" s="209"/>
      <c r="D86" s="197"/>
      <c r="E86" s="210"/>
      <c r="F86" s="211"/>
      <c r="G86" s="213"/>
      <c r="H86" s="212"/>
    </row>
    <row r="87" spans="2:8" x14ac:dyDescent="0.25">
      <c r="B87" s="189" t="s">
        <v>866</v>
      </c>
      <c r="C87" s="209" t="s">
        <v>1140</v>
      </c>
      <c r="D87" s="197" t="s">
        <v>1116</v>
      </c>
      <c r="E87" s="210">
        <v>6853.9</v>
      </c>
      <c r="F87" s="214">
        <v>6852.7</v>
      </c>
      <c r="G87" s="215">
        <v>24.4098896</v>
      </c>
      <c r="H87" s="212"/>
    </row>
    <row r="88" spans="2:8" x14ac:dyDescent="0.25">
      <c r="B88" s="189" t="s">
        <v>866</v>
      </c>
      <c r="C88" s="209" t="s">
        <v>1120</v>
      </c>
      <c r="D88" s="197" t="s">
        <v>1116</v>
      </c>
      <c r="E88" s="210">
        <v>1468.86</v>
      </c>
      <c r="F88" s="214">
        <v>1492.6</v>
      </c>
      <c r="G88" s="215">
        <v>178.46663660000002</v>
      </c>
      <c r="H88" s="212"/>
    </row>
    <row r="89" spans="2:8" x14ac:dyDescent="0.25">
      <c r="B89" s="189" t="s">
        <v>866</v>
      </c>
      <c r="C89" s="209" t="s">
        <v>1165</v>
      </c>
      <c r="D89" s="197" t="s">
        <v>1116</v>
      </c>
      <c r="E89" s="210">
        <v>4911.96</v>
      </c>
      <c r="F89" s="214">
        <v>4942.8500000000004</v>
      </c>
      <c r="G89" s="215">
        <v>283.81044750000001</v>
      </c>
      <c r="H89" s="212"/>
    </row>
    <row r="90" spans="2:8" x14ac:dyDescent="0.25">
      <c r="B90" s="189" t="s">
        <v>866</v>
      </c>
      <c r="C90" s="209" t="s">
        <v>1166</v>
      </c>
      <c r="D90" s="197" t="s">
        <v>1116</v>
      </c>
      <c r="E90" s="210">
        <v>6952.25</v>
      </c>
      <c r="F90" s="214">
        <v>7077.3</v>
      </c>
      <c r="G90" s="215">
        <v>134.52221790000002</v>
      </c>
      <c r="H90" s="212"/>
    </row>
    <row r="91" spans="2:8" x14ac:dyDescent="0.25">
      <c r="B91" s="189" t="s">
        <v>866</v>
      </c>
      <c r="C91" s="209" t="s">
        <v>1159</v>
      </c>
      <c r="D91" s="197" t="s">
        <v>1116</v>
      </c>
      <c r="E91" s="210">
        <v>1819.55</v>
      </c>
      <c r="F91" s="214">
        <v>1880.65</v>
      </c>
      <c r="G91" s="200">
        <v>5.3086840000000004</v>
      </c>
      <c r="H91" s="212"/>
    </row>
    <row r="92" spans="2:8" x14ac:dyDescent="0.25">
      <c r="B92" s="189" t="s">
        <v>866</v>
      </c>
      <c r="C92" s="209" t="s">
        <v>1130</v>
      </c>
      <c r="D92" s="197" t="s">
        <v>1116</v>
      </c>
      <c r="E92" s="210">
        <v>3670.09</v>
      </c>
      <c r="F92" s="214">
        <v>3832</v>
      </c>
      <c r="G92" s="200">
        <v>229.29523499999999</v>
      </c>
      <c r="H92" s="212"/>
    </row>
    <row r="93" spans="2:8" x14ac:dyDescent="0.25">
      <c r="B93" s="189" t="s">
        <v>866</v>
      </c>
      <c r="C93" s="209" t="s">
        <v>1148</v>
      </c>
      <c r="D93" s="197" t="s">
        <v>1116</v>
      </c>
      <c r="E93" s="210">
        <v>2827.67</v>
      </c>
      <c r="F93" s="214">
        <v>2927.7</v>
      </c>
      <c r="G93" s="200">
        <v>1028.7602325000003</v>
      </c>
      <c r="H93" s="212"/>
    </row>
    <row r="94" spans="2:8" x14ac:dyDescent="0.25">
      <c r="B94" s="189" t="s">
        <v>866</v>
      </c>
      <c r="C94" s="209" t="s">
        <v>1167</v>
      </c>
      <c r="D94" s="197" t="s">
        <v>1116</v>
      </c>
      <c r="E94" s="210">
        <v>2831.17</v>
      </c>
      <c r="F94" s="214">
        <v>2945.55</v>
      </c>
      <c r="G94" s="200">
        <v>41.593498799999999</v>
      </c>
      <c r="H94" s="212"/>
    </row>
    <row r="95" spans="2:8" x14ac:dyDescent="0.25">
      <c r="B95" s="189" t="s">
        <v>866</v>
      </c>
      <c r="C95" s="209" t="s">
        <v>1152</v>
      </c>
      <c r="D95" s="197" t="s">
        <v>1116</v>
      </c>
      <c r="E95" s="210">
        <v>161.44</v>
      </c>
      <c r="F95" s="214">
        <v>166.33</v>
      </c>
      <c r="G95" s="200">
        <v>67.768656100000001</v>
      </c>
      <c r="H95" s="212"/>
    </row>
    <row r="96" spans="2:8" x14ac:dyDescent="0.25">
      <c r="B96" s="189" t="s">
        <v>866</v>
      </c>
      <c r="C96" s="209" t="s">
        <v>1168</v>
      </c>
      <c r="D96" s="197" t="s">
        <v>1116</v>
      </c>
      <c r="E96" s="210">
        <v>2428.38</v>
      </c>
      <c r="F96" s="214">
        <v>2547.6999999999998</v>
      </c>
      <c r="G96" s="200">
        <v>300.49042530000003</v>
      </c>
      <c r="H96" s="212"/>
    </row>
    <row r="97" spans="2:12" x14ac:dyDescent="0.25">
      <c r="B97" s="189"/>
      <c r="C97" s="209"/>
      <c r="D97" s="197" t="s">
        <v>1116</v>
      </c>
      <c r="E97" s="210"/>
      <c r="F97" s="214"/>
      <c r="G97" s="200"/>
      <c r="H97" s="212"/>
    </row>
    <row r="98" spans="2:12" hidden="1" x14ac:dyDescent="0.25">
      <c r="B98" s="189"/>
      <c r="C98" s="209"/>
      <c r="D98" s="197" t="s">
        <v>1116</v>
      </c>
      <c r="E98" s="210"/>
      <c r="F98" s="214"/>
      <c r="G98" s="200"/>
      <c r="H98" s="212"/>
    </row>
    <row r="99" spans="2:12" hidden="1" x14ac:dyDescent="0.25">
      <c r="B99" s="189"/>
      <c r="C99" s="209"/>
      <c r="D99" s="197"/>
      <c r="E99" s="210"/>
      <c r="F99" s="214"/>
      <c r="G99" s="200"/>
      <c r="H99" s="212"/>
    </row>
    <row r="101" spans="2:12" x14ac:dyDescent="0.25">
      <c r="B101" s="193" t="s">
        <v>1169</v>
      </c>
      <c r="E101" s="216"/>
      <c r="F101" s="216"/>
      <c r="G101" s="216"/>
    </row>
    <row r="103" spans="2:12" x14ac:dyDescent="0.25">
      <c r="B103" s="217" t="s">
        <v>1109</v>
      </c>
      <c r="C103" s="217" t="s">
        <v>1170</v>
      </c>
    </row>
    <row r="104" spans="2:12" x14ac:dyDescent="0.25">
      <c r="B104" s="189" t="s">
        <v>660</v>
      </c>
      <c r="C104" s="218">
        <v>67.91</v>
      </c>
    </row>
    <row r="105" spans="2:12" x14ac:dyDescent="0.25">
      <c r="B105" s="189" t="s">
        <v>684</v>
      </c>
      <c r="C105" s="218">
        <v>13.21</v>
      </c>
    </row>
    <row r="106" spans="2:12" x14ac:dyDescent="0.25">
      <c r="B106" s="219" t="s">
        <v>729</v>
      </c>
      <c r="C106" s="218">
        <v>39.18</v>
      </c>
    </row>
    <row r="107" spans="2:12" x14ac:dyDescent="0.25">
      <c r="B107" s="189" t="s">
        <v>866</v>
      </c>
      <c r="C107" s="218">
        <v>5.12</v>
      </c>
    </row>
    <row r="109" spans="2:12" x14ac:dyDescent="0.25">
      <c r="B109" s="193" t="s">
        <v>1171</v>
      </c>
    </row>
    <row r="110" spans="2:12" x14ac:dyDescent="0.25">
      <c r="B110" s="193"/>
    </row>
    <row r="111" spans="2:12" ht="67.5" x14ac:dyDescent="0.25">
      <c r="B111" s="195" t="s">
        <v>1109</v>
      </c>
      <c r="C111" s="196" t="s">
        <v>1172</v>
      </c>
      <c r="D111" s="196" t="s">
        <v>1173</v>
      </c>
      <c r="E111" s="196" t="s">
        <v>1174</v>
      </c>
      <c r="F111" s="196" t="s">
        <v>1175</v>
      </c>
      <c r="G111" s="196" t="s">
        <v>1176</v>
      </c>
    </row>
    <row r="112" spans="2:12" x14ac:dyDescent="0.25">
      <c r="B112" s="189" t="s">
        <v>660</v>
      </c>
      <c r="C112" s="141">
        <f>912+1103+1186+1219</f>
        <v>4420</v>
      </c>
      <c r="D112" s="141">
        <f>912+828+1186+1219</f>
        <v>4145</v>
      </c>
      <c r="E112" s="220">
        <f>8477.8731052+7835.06+8411.01+9148.21</f>
        <v>33872.153105199999</v>
      </c>
      <c r="F112" s="220">
        <f>8115.8591468+7688.55+8255.85+8867.82</f>
        <v>32928.079146800002</v>
      </c>
      <c r="G112" s="142">
        <f>+F112-E112-1.24</f>
        <v>-945.31395839999664</v>
      </c>
      <c r="H112" s="143"/>
      <c r="I112" s="190"/>
      <c r="J112" s="191"/>
      <c r="K112" s="191"/>
      <c r="L112" s="191"/>
    </row>
    <row r="113" spans="2:12" hidden="1" x14ac:dyDescent="0.25">
      <c r="B113" s="219" t="s">
        <v>193</v>
      </c>
      <c r="C113" s="141"/>
      <c r="D113" s="141"/>
      <c r="E113" s="220"/>
      <c r="F113" s="220"/>
      <c r="G113" s="142">
        <f t="shared" ref="G113:G121" si="0">+F113-E113</f>
        <v>0</v>
      </c>
      <c r="H113" s="143"/>
      <c r="I113" s="190"/>
      <c r="J113" s="191"/>
      <c r="K113" s="191"/>
      <c r="L113" s="191"/>
    </row>
    <row r="114" spans="2:12" x14ac:dyDescent="0.25">
      <c r="B114" s="189" t="s">
        <v>684</v>
      </c>
      <c r="C114" s="144">
        <f>3245+3155+2924+2541</f>
        <v>11865</v>
      </c>
      <c r="D114" s="144">
        <f>3245+2998+2924+2541</f>
        <v>11708</v>
      </c>
      <c r="E114" s="145">
        <f>23251.216376+23062.4+21744.09+19598.03</f>
        <v>87655.736376000001</v>
      </c>
      <c r="F114" s="145">
        <f>23019.2019576+23214.46+21076.82+20110.06</f>
        <v>87420.541957599984</v>
      </c>
      <c r="G114" s="142">
        <f>+F114-E114-132.42</f>
        <v>-367.61441840001669</v>
      </c>
      <c r="H114" s="143"/>
      <c r="I114" s="190"/>
      <c r="J114" s="191"/>
      <c r="K114" s="191"/>
      <c r="L114" s="191"/>
    </row>
    <row r="115" spans="2:12" x14ac:dyDescent="0.25">
      <c r="B115" s="219" t="s">
        <v>729</v>
      </c>
      <c r="C115" s="141">
        <f>3089+4164+4870+4542</f>
        <v>16665</v>
      </c>
      <c r="D115" s="141">
        <f>3089+3947+4908+4542</f>
        <v>16486</v>
      </c>
      <c r="E115" s="220">
        <f>24138.034131+30739.91+37416.97+33839.96</f>
        <v>126134.87413099999</v>
      </c>
      <c r="F115" s="220">
        <f>24403.3776278+29771.72+36515.77+33211.34</f>
        <v>123902.2076278</v>
      </c>
      <c r="G115" s="142">
        <f>+F115-E115-48.32</f>
        <v>-2280.9865031999875</v>
      </c>
      <c r="H115" s="143"/>
      <c r="I115" s="190"/>
      <c r="J115" s="191"/>
      <c r="K115" s="191"/>
      <c r="L115" s="191"/>
    </row>
    <row r="116" spans="2:12" x14ac:dyDescent="0.25">
      <c r="B116" s="189" t="s">
        <v>866</v>
      </c>
      <c r="C116" s="141">
        <f>4959+5302+4294+476+1880+274</f>
        <v>17185</v>
      </c>
      <c r="D116" s="141">
        <f>4959+4664+4294+476+1880+274</f>
        <v>16547</v>
      </c>
      <c r="E116" s="220">
        <f>40992.0946058+39677.53+34589.48+4020.61+16080.28+2010</f>
        <v>137369.99460580002</v>
      </c>
      <c r="F116" s="220">
        <f>39810.9031062+37471.77+33066.64+3901.15+16290.6+1963.48</f>
        <v>132504.5431062</v>
      </c>
      <c r="G116" s="142">
        <f>+F116-E116-33.858</f>
        <v>-4899.3094996000218</v>
      </c>
      <c r="H116" s="143"/>
      <c r="I116" s="190"/>
      <c r="J116" s="191"/>
      <c r="K116" s="191"/>
      <c r="L116" s="191"/>
    </row>
    <row r="117" spans="2:12" x14ac:dyDescent="0.25">
      <c r="B117" s="189" t="s">
        <v>551</v>
      </c>
      <c r="C117" s="144">
        <f>483+890+807+1436</f>
        <v>3616</v>
      </c>
      <c r="D117" s="144">
        <f>483+890+807+1436</f>
        <v>3616</v>
      </c>
      <c r="E117" s="145">
        <f>4091.83035+6117.58+5527.23+9588.2</f>
        <v>25324.840349999999</v>
      </c>
      <c r="F117" s="145">
        <f>4034.4795033+6049.53+5215.07+9786.63</f>
        <v>25085.709503300001</v>
      </c>
      <c r="G117" s="142">
        <f>+F117-E117-5.43</f>
        <v>-244.56084669999808</v>
      </c>
      <c r="H117" s="143"/>
      <c r="I117" s="190"/>
      <c r="J117" s="191"/>
      <c r="K117" s="191"/>
      <c r="L117" s="191"/>
    </row>
    <row r="118" spans="2:12" x14ac:dyDescent="0.25">
      <c r="B118" s="189" t="s">
        <v>1177</v>
      </c>
      <c r="C118" s="144">
        <v>670</v>
      </c>
      <c r="D118" s="144">
        <v>670</v>
      </c>
      <c r="E118" s="146">
        <v>5121.43109</v>
      </c>
      <c r="F118" s="145">
        <v>4914.7043400000002</v>
      </c>
      <c r="G118" s="147">
        <f t="shared" si="0"/>
        <v>-206.72674999999981</v>
      </c>
      <c r="H118" s="143"/>
      <c r="I118" s="190"/>
      <c r="J118" s="191"/>
      <c r="K118" s="191"/>
      <c r="L118" s="191"/>
    </row>
    <row r="119" spans="2:12" x14ac:dyDescent="0.25">
      <c r="B119" s="189" t="s">
        <v>1178</v>
      </c>
      <c r="C119" s="144">
        <v>718</v>
      </c>
      <c r="D119" s="144">
        <v>718</v>
      </c>
      <c r="E119" s="146">
        <v>3497.925475</v>
      </c>
      <c r="F119" s="145">
        <v>3490.3374813999999</v>
      </c>
      <c r="G119" s="147">
        <f t="shared" si="0"/>
        <v>-7.587993600000118</v>
      </c>
      <c r="H119" s="143"/>
      <c r="I119" s="190"/>
      <c r="J119" s="191"/>
      <c r="K119" s="191"/>
      <c r="L119" s="191"/>
    </row>
    <row r="120" spans="2:12" x14ac:dyDescent="0.25">
      <c r="B120" s="189" t="s">
        <v>1164</v>
      </c>
      <c r="C120" s="144">
        <v>360</v>
      </c>
      <c r="D120" s="144">
        <v>360</v>
      </c>
      <c r="E120" s="146">
        <v>2769.5745981</v>
      </c>
      <c r="F120" s="145">
        <v>2703.3112599999999</v>
      </c>
      <c r="G120" s="147">
        <f t="shared" si="0"/>
        <v>-66.263338100000055</v>
      </c>
      <c r="H120" s="143"/>
      <c r="I120" s="190"/>
      <c r="J120" s="191"/>
      <c r="K120" s="191"/>
      <c r="L120" s="191"/>
    </row>
    <row r="121" spans="2:12" x14ac:dyDescent="0.25">
      <c r="B121" s="189" t="s">
        <v>840</v>
      </c>
      <c r="C121" s="221">
        <v>620</v>
      </c>
      <c r="D121" s="221">
        <v>620</v>
      </c>
      <c r="E121" s="222">
        <v>4655.3843317000001</v>
      </c>
      <c r="F121" s="222">
        <v>4447.8628870000002</v>
      </c>
      <c r="G121" s="147">
        <f t="shared" si="0"/>
        <v>-207.52144469999985</v>
      </c>
      <c r="H121" s="143"/>
      <c r="I121" s="190"/>
      <c r="J121" s="191"/>
    </row>
    <row r="122" spans="2:12" x14ac:dyDescent="0.25">
      <c r="H122" s="143"/>
      <c r="I122" s="190"/>
      <c r="J122" s="191"/>
    </row>
    <row r="123" spans="2:12" x14ac:dyDescent="0.25">
      <c r="E123" s="191"/>
      <c r="F123" s="191"/>
      <c r="H123" s="143"/>
      <c r="I123" s="190"/>
      <c r="J123" s="191"/>
    </row>
    <row r="124" spans="2:12" x14ac:dyDescent="0.25">
      <c r="B124" s="193" t="s">
        <v>1179</v>
      </c>
      <c r="F124" s="191"/>
      <c r="G124" s="190"/>
      <c r="H124" s="143"/>
      <c r="I124" s="190"/>
      <c r="L124" s="143"/>
    </row>
    <row r="125" spans="2:12" x14ac:dyDescent="0.25">
      <c r="H125" s="223"/>
      <c r="L125" s="190"/>
    </row>
    <row r="126" spans="2:12" ht="27" x14ac:dyDescent="0.25">
      <c r="B126" s="195" t="s">
        <v>1109</v>
      </c>
      <c r="C126" s="195" t="s">
        <v>1110</v>
      </c>
      <c r="D126" s="195" t="s">
        <v>1111</v>
      </c>
      <c r="E126" s="196" t="s">
        <v>1112</v>
      </c>
      <c r="F126" s="196" t="s">
        <v>1113</v>
      </c>
      <c r="G126" s="196" t="s">
        <v>1180</v>
      </c>
    </row>
    <row r="127" spans="2:12" x14ac:dyDescent="0.25">
      <c r="B127" s="189" t="s">
        <v>1164</v>
      </c>
      <c r="C127" s="209" t="s">
        <v>1181</v>
      </c>
      <c r="D127" s="197" t="s">
        <v>1182</v>
      </c>
      <c r="E127" s="210">
        <v>825.78</v>
      </c>
      <c r="F127" s="214">
        <v>852.8</v>
      </c>
      <c r="G127" s="200">
        <v>183.20480099999997</v>
      </c>
    </row>
    <row r="128" spans="2:12" hidden="1" x14ac:dyDescent="0.25">
      <c r="B128" s="189"/>
      <c r="C128" s="209"/>
      <c r="D128" s="197" t="s">
        <v>1182</v>
      </c>
      <c r="E128" s="210"/>
      <c r="F128" s="214"/>
      <c r="G128" s="200"/>
    </row>
    <row r="129" spans="2:12" hidden="1" x14ac:dyDescent="0.25">
      <c r="B129" s="189"/>
      <c r="C129" s="209"/>
      <c r="D129" s="197" t="s">
        <v>1182</v>
      </c>
      <c r="E129" s="210"/>
      <c r="F129" s="214"/>
      <c r="G129" s="200"/>
    </row>
    <row r="130" spans="2:12" hidden="1" x14ac:dyDescent="0.25">
      <c r="B130" s="189"/>
      <c r="C130" s="209"/>
      <c r="D130" s="197" t="s">
        <v>1182</v>
      </c>
      <c r="E130" s="210"/>
      <c r="F130" s="214"/>
      <c r="G130" s="200"/>
    </row>
    <row r="131" spans="2:12" hidden="1" x14ac:dyDescent="0.25">
      <c r="B131" s="189"/>
      <c r="C131" s="209"/>
      <c r="D131" s="197" t="s">
        <v>1182</v>
      </c>
      <c r="E131" s="210"/>
      <c r="F131" s="214"/>
      <c r="G131" s="200"/>
    </row>
    <row r="132" spans="2:12" hidden="1" x14ac:dyDescent="0.25">
      <c r="B132" s="189"/>
      <c r="C132" s="209"/>
      <c r="D132" s="197" t="s">
        <v>1182</v>
      </c>
      <c r="E132" s="210"/>
      <c r="F132" s="214"/>
      <c r="G132" s="200"/>
    </row>
    <row r="133" spans="2:12" x14ac:dyDescent="0.25">
      <c r="C133" s="224"/>
      <c r="D133" s="225"/>
      <c r="E133" s="148"/>
      <c r="F133" s="226"/>
      <c r="G133" s="226"/>
      <c r="I133" s="190"/>
    </row>
    <row r="134" spans="2:12" x14ac:dyDescent="0.25">
      <c r="B134" s="193" t="s">
        <v>1183</v>
      </c>
      <c r="I134" s="190"/>
    </row>
    <row r="135" spans="2:12" x14ac:dyDescent="0.25">
      <c r="I135" s="190"/>
      <c r="L135" s="191"/>
    </row>
    <row r="136" spans="2:12" x14ac:dyDescent="0.25">
      <c r="B136" s="217" t="s">
        <v>1109</v>
      </c>
      <c r="C136" s="217" t="s">
        <v>1170</v>
      </c>
    </row>
    <row r="137" spans="2:12" x14ac:dyDescent="0.25">
      <c r="B137" s="189" t="s">
        <v>1164</v>
      </c>
      <c r="C137" s="227">
        <v>0.60172499999999995</v>
      </c>
    </row>
    <row r="138" spans="2:12" x14ac:dyDescent="0.25">
      <c r="B138" s="189"/>
      <c r="C138" s="228"/>
    </row>
    <row r="139" spans="2:12" hidden="1" x14ac:dyDescent="0.25">
      <c r="B139" s="189"/>
      <c r="C139" s="228"/>
    </row>
    <row r="140" spans="2:12" hidden="1" x14ac:dyDescent="0.25">
      <c r="B140" s="189"/>
      <c r="C140" s="228"/>
    </row>
    <row r="141" spans="2:12" x14ac:dyDescent="0.25">
      <c r="B141" s="229"/>
      <c r="C141" s="230"/>
    </row>
    <row r="142" spans="2:12" x14ac:dyDescent="0.25">
      <c r="B142" s="193" t="s">
        <v>1184</v>
      </c>
    </row>
    <row r="143" spans="2:12" x14ac:dyDescent="0.25">
      <c r="B143" s="193"/>
    </row>
    <row r="144" spans="2:12" ht="54" x14ac:dyDescent="0.25">
      <c r="B144" s="195" t="s">
        <v>1109</v>
      </c>
      <c r="C144" s="196" t="s">
        <v>1172</v>
      </c>
      <c r="D144" s="196" t="s">
        <v>1173</v>
      </c>
      <c r="E144" s="196" t="s">
        <v>1174</v>
      </c>
      <c r="F144" s="196" t="s">
        <v>1185</v>
      </c>
      <c r="G144" s="196" t="s">
        <v>1186</v>
      </c>
    </row>
    <row r="145" spans="2:9" x14ac:dyDescent="0.25">
      <c r="B145" s="189" t="s">
        <v>684</v>
      </c>
      <c r="C145" s="144">
        <f>40+45+142+80</f>
        <v>307</v>
      </c>
      <c r="D145" s="144">
        <f>40+45+142+80</f>
        <v>307</v>
      </c>
      <c r="E145" s="145">
        <f>361.4+420.93+1363.34+727.42</f>
        <v>2873.09</v>
      </c>
      <c r="F145" s="145">
        <f>361.08+406.27+1552.43+730.32</f>
        <v>3050.1</v>
      </c>
      <c r="G145" s="149">
        <f t="shared" ref="G145:G155" si="1">+F145-E145</f>
        <v>177.00999999999976</v>
      </c>
      <c r="H145" s="143"/>
      <c r="I145" s="190">
        <f>+C145-D145</f>
        <v>0</v>
      </c>
    </row>
    <row r="146" spans="2:9" x14ac:dyDescent="0.25">
      <c r="B146" s="219" t="s">
        <v>193</v>
      </c>
      <c r="C146" s="231">
        <f>391+1139+575</f>
        <v>2105</v>
      </c>
      <c r="D146" s="231">
        <f>391+1139+575</f>
        <v>2105</v>
      </c>
      <c r="E146" s="222">
        <f>4455.76011+7301.72+4339.13</f>
        <v>16096.610110000001</v>
      </c>
      <c r="F146" s="222">
        <f>4461.37606+7701.07+4325.89</f>
        <v>16488.336059999998</v>
      </c>
      <c r="G146" s="149">
        <f t="shared" si="1"/>
        <v>391.72594999999637</v>
      </c>
      <c r="H146" s="232"/>
      <c r="I146" s="190">
        <f>+C146-D146</f>
        <v>0</v>
      </c>
    </row>
    <row r="147" spans="2:9" hidden="1" x14ac:dyDescent="0.25">
      <c r="B147" s="219" t="s">
        <v>1187</v>
      </c>
      <c r="C147" s="231"/>
      <c r="D147" s="231"/>
      <c r="E147" s="222"/>
      <c r="F147" s="222"/>
      <c r="G147" s="149">
        <f t="shared" si="1"/>
        <v>0</v>
      </c>
      <c r="I147" s="190">
        <f>+C147-D147</f>
        <v>0</v>
      </c>
    </row>
    <row r="148" spans="2:9" hidden="1" x14ac:dyDescent="0.25">
      <c r="B148" s="189" t="s">
        <v>866</v>
      </c>
      <c r="C148" s="221"/>
      <c r="D148" s="221"/>
      <c r="E148" s="222"/>
      <c r="F148" s="222"/>
      <c r="G148" s="149">
        <f t="shared" si="1"/>
        <v>0</v>
      </c>
      <c r="H148" s="150"/>
      <c r="I148" s="190">
        <f>+C148-D148</f>
        <v>0</v>
      </c>
    </row>
    <row r="149" spans="2:9" x14ac:dyDescent="0.25">
      <c r="B149" s="189" t="s">
        <v>1188</v>
      </c>
      <c r="C149" s="221">
        <f>195+743+378</f>
        <v>1316</v>
      </c>
      <c r="D149" s="221">
        <f>195+743+378</f>
        <v>1316</v>
      </c>
      <c r="E149" s="222">
        <f>1270.8968768+6369.19+2606.56</f>
        <v>10246.6468768</v>
      </c>
      <c r="F149" s="222">
        <f>1484.0392128+6919.27+2767.79</f>
        <v>11171.0992128</v>
      </c>
      <c r="G149" s="149">
        <f t="shared" si="1"/>
        <v>924.45233600000029</v>
      </c>
      <c r="H149" s="150"/>
      <c r="I149" s="190"/>
    </row>
    <row r="150" spans="2:9" x14ac:dyDescent="0.25">
      <c r="B150" s="189" t="s">
        <v>866</v>
      </c>
      <c r="C150" s="221">
        <v>60</v>
      </c>
      <c r="D150" s="221">
        <v>60</v>
      </c>
      <c r="E150" s="222">
        <v>621.71165069999995</v>
      </c>
      <c r="F150" s="222">
        <v>686.31184439999993</v>
      </c>
      <c r="G150" s="149">
        <f t="shared" si="1"/>
        <v>64.600193699999977</v>
      </c>
      <c r="H150" s="150"/>
      <c r="I150" s="190"/>
    </row>
    <row r="151" spans="2:9" x14ac:dyDescent="0.25">
      <c r="B151" s="189" t="s">
        <v>840</v>
      </c>
      <c r="C151" s="144">
        <f>1800+1818+1024+299</f>
        <v>4941</v>
      </c>
      <c r="D151" s="144">
        <f>1800+1818+1024+299</f>
        <v>4941</v>
      </c>
      <c r="E151" s="145">
        <f>10398.53+10825.91+7998.89+2728.05</f>
        <v>31951.38</v>
      </c>
      <c r="F151" s="145">
        <f>11332.17+11195.48+8495.89+2777.74</f>
        <v>33801.279999999999</v>
      </c>
      <c r="G151" s="142">
        <f t="shared" si="1"/>
        <v>1849.8999999999978</v>
      </c>
      <c r="H151" s="150"/>
      <c r="I151" s="190"/>
    </row>
    <row r="152" spans="2:9" x14ac:dyDescent="0.25">
      <c r="B152" s="189" t="s">
        <v>551</v>
      </c>
      <c r="C152" s="221">
        <f>120+216+964+240</f>
        <v>1540</v>
      </c>
      <c r="D152" s="221">
        <f>120+216+964+240</f>
        <v>1540</v>
      </c>
      <c r="E152" s="222">
        <f>1084.24392+1751.03+7741.11+1775.38</f>
        <v>12351.763920000001</v>
      </c>
      <c r="F152" s="222">
        <f>1083.24+1668.12+8697.72+1854.3</f>
        <v>13303.379999999997</v>
      </c>
      <c r="G152" s="149">
        <f t="shared" si="1"/>
        <v>951.61607999999615</v>
      </c>
      <c r="H152" s="150"/>
      <c r="I152" s="190">
        <f>+C152-D152</f>
        <v>0</v>
      </c>
    </row>
    <row r="153" spans="2:9" x14ac:dyDescent="0.25">
      <c r="B153" s="189" t="s">
        <v>1177</v>
      </c>
      <c r="C153" s="221">
        <v>568</v>
      </c>
      <c r="D153" s="221">
        <v>568</v>
      </c>
      <c r="E153" s="222">
        <v>5003.84058</v>
      </c>
      <c r="F153" s="222">
        <v>5272.9444000000003</v>
      </c>
      <c r="G153" s="149">
        <f t="shared" si="1"/>
        <v>269.10382000000027</v>
      </c>
      <c r="H153" s="150"/>
      <c r="I153" s="190"/>
    </row>
    <row r="154" spans="2:9" x14ac:dyDescent="0.25">
      <c r="B154" s="189" t="s">
        <v>848</v>
      </c>
      <c r="C154" s="221">
        <v>120</v>
      </c>
      <c r="D154" s="221">
        <v>120</v>
      </c>
      <c r="E154" s="222">
        <v>635.07510000000002</v>
      </c>
      <c r="F154" s="222">
        <v>651.447</v>
      </c>
      <c r="G154" s="149">
        <f t="shared" si="1"/>
        <v>16.371899999999982</v>
      </c>
      <c r="H154" s="150"/>
      <c r="I154" s="190"/>
    </row>
    <row r="155" spans="2:9" hidden="1" x14ac:dyDescent="0.25">
      <c r="B155" s="233" t="s">
        <v>340</v>
      </c>
      <c r="C155" s="144"/>
      <c r="D155" s="144"/>
      <c r="E155" s="145"/>
      <c r="F155" s="145"/>
      <c r="G155" s="149">
        <f t="shared" si="1"/>
        <v>0</v>
      </c>
      <c r="H155" s="143"/>
      <c r="I155" s="190"/>
    </row>
    <row r="156" spans="2:9" x14ac:dyDescent="0.25">
      <c r="H156" s="143"/>
      <c r="I156" s="190"/>
    </row>
    <row r="157" spans="2:9" x14ac:dyDescent="0.25">
      <c r="B157" s="234"/>
      <c r="C157" s="235"/>
      <c r="D157" s="235"/>
      <c r="E157" s="236"/>
      <c r="F157" s="236"/>
      <c r="G157" s="236"/>
      <c r="H157" s="190"/>
    </row>
    <row r="158" spans="2:9" x14ac:dyDescent="0.25">
      <c r="B158" s="193" t="s">
        <v>1189</v>
      </c>
      <c r="D158" s="237"/>
    </row>
    <row r="160" spans="2:9" ht="27" x14ac:dyDescent="0.25">
      <c r="B160" s="196" t="s">
        <v>1109</v>
      </c>
      <c r="C160" s="196" t="s">
        <v>1110</v>
      </c>
      <c r="D160" s="196" t="s">
        <v>1190</v>
      </c>
      <c r="E160" s="196" t="s">
        <v>1191</v>
      </c>
      <c r="F160" s="196" t="s">
        <v>1192</v>
      </c>
      <c r="G160" s="196" t="s">
        <v>1193</v>
      </c>
    </row>
    <row r="161" spans="2:7" x14ac:dyDescent="0.25">
      <c r="B161" s="238" t="s">
        <v>708</v>
      </c>
      <c r="C161" s="238" t="s">
        <v>708</v>
      </c>
      <c r="D161" s="238" t="s">
        <v>708</v>
      </c>
      <c r="E161" s="238" t="s">
        <v>708</v>
      </c>
      <c r="F161" s="238" t="s">
        <v>708</v>
      </c>
      <c r="G161" s="238" t="s">
        <v>708</v>
      </c>
    </row>
    <row r="162" spans="2:7" x14ac:dyDescent="0.25">
      <c r="D162" s="237"/>
      <c r="E162" s="237"/>
      <c r="F162" s="239"/>
      <c r="G162" s="239"/>
    </row>
    <row r="163" spans="2:7" x14ac:dyDescent="0.25">
      <c r="D163" s="237"/>
      <c r="E163" s="237"/>
      <c r="F163" s="239"/>
      <c r="G163" s="239"/>
    </row>
    <row r="164" spans="2:7" x14ac:dyDescent="0.25">
      <c r="B164" s="193" t="s">
        <v>1194</v>
      </c>
      <c r="G164" s="192" t="s">
        <v>1195</v>
      </c>
    </row>
    <row r="165" spans="2:7" x14ac:dyDescent="0.25">
      <c r="B165" s="193"/>
    </row>
    <row r="166" spans="2:7" x14ac:dyDescent="0.25">
      <c r="B166" s="217" t="s">
        <v>1109</v>
      </c>
      <c r="C166" s="217" t="s">
        <v>1170</v>
      </c>
    </row>
    <row r="167" spans="2:7" x14ac:dyDescent="0.25">
      <c r="B167" s="238" t="s">
        <v>708</v>
      </c>
      <c r="C167" s="238" t="s">
        <v>708</v>
      </c>
    </row>
    <row r="168" spans="2:7" x14ac:dyDescent="0.25">
      <c r="C168" s="240"/>
      <c r="D168" s="230"/>
    </row>
    <row r="169" spans="2:7" x14ac:dyDescent="0.25">
      <c r="B169" s="193" t="s">
        <v>1196</v>
      </c>
    </row>
    <row r="171" spans="2:7" ht="40.5" x14ac:dyDescent="0.25">
      <c r="B171" s="195" t="s">
        <v>1109</v>
      </c>
      <c r="C171" s="196" t="s">
        <v>1197</v>
      </c>
      <c r="D171" s="196" t="s">
        <v>1198</v>
      </c>
      <c r="E171" s="196" t="s">
        <v>1199</v>
      </c>
      <c r="F171" s="196" t="s">
        <v>1200</v>
      </c>
    </row>
    <row r="172" spans="2:7" x14ac:dyDescent="0.25">
      <c r="B172" s="241"/>
      <c r="C172" s="238"/>
      <c r="D172" s="242"/>
      <c r="E172" s="149"/>
      <c r="F172" s="149">
        <f>+E172-D172</f>
        <v>0</v>
      </c>
    </row>
    <row r="173" spans="2:7" x14ac:dyDescent="0.25">
      <c r="B173" s="243"/>
      <c r="C173" s="244"/>
      <c r="D173" s="245"/>
      <c r="E173" s="245"/>
      <c r="F173" s="151"/>
    </row>
    <row r="174" spans="2:7" x14ac:dyDescent="0.25">
      <c r="B174" s="243"/>
      <c r="C174" s="244"/>
      <c r="D174" s="245"/>
      <c r="E174" s="245"/>
      <c r="F174" s="151"/>
    </row>
    <row r="176" spans="2:7" x14ac:dyDescent="0.25">
      <c r="B176" s="193" t="s">
        <v>1201</v>
      </c>
    </row>
    <row r="178" spans="2:7" ht="27" x14ac:dyDescent="0.25">
      <c r="B178" s="196" t="s">
        <v>1109</v>
      </c>
      <c r="C178" s="196" t="s">
        <v>1110</v>
      </c>
      <c r="D178" s="196" t="s">
        <v>1190</v>
      </c>
      <c r="E178" s="196" t="s">
        <v>1191</v>
      </c>
      <c r="F178" s="196" t="s">
        <v>1192</v>
      </c>
      <c r="G178" s="196" t="s">
        <v>1193</v>
      </c>
    </row>
    <row r="179" spans="2:7" x14ac:dyDescent="0.25">
      <c r="B179" s="189" t="s">
        <v>708</v>
      </c>
      <c r="C179" s="189" t="s">
        <v>708</v>
      </c>
      <c r="D179" s="189" t="s">
        <v>708</v>
      </c>
      <c r="E179" s="189" t="s">
        <v>708</v>
      </c>
      <c r="F179" s="189" t="s">
        <v>708</v>
      </c>
      <c r="G179" s="189" t="s">
        <v>708</v>
      </c>
    </row>
    <row r="180" spans="2:7" x14ac:dyDescent="0.25">
      <c r="C180" s="224"/>
      <c r="D180" s="246"/>
      <c r="E180" s="152"/>
      <c r="F180" s="239"/>
      <c r="G180" s="239"/>
    </row>
    <row r="181" spans="2:7" x14ac:dyDescent="0.25">
      <c r="B181" s="193" t="s">
        <v>1202</v>
      </c>
    </row>
    <row r="182" spans="2:7" x14ac:dyDescent="0.25">
      <c r="B182" s="193"/>
    </row>
    <row r="183" spans="2:7" x14ac:dyDescent="0.25">
      <c r="B183" s="217" t="s">
        <v>1109</v>
      </c>
      <c r="C183" s="217" t="s">
        <v>1170</v>
      </c>
    </row>
    <row r="184" spans="2:7" x14ac:dyDescent="0.25">
      <c r="B184" s="189" t="s">
        <v>708</v>
      </c>
      <c r="C184" s="189" t="s">
        <v>708</v>
      </c>
    </row>
    <row r="185" spans="2:7" x14ac:dyDescent="0.25">
      <c r="B185" s="229"/>
      <c r="C185" s="230"/>
    </row>
    <row r="186" spans="2:7" x14ac:dyDescent="0.25">
      <c r="B186" s="193" t="s">
        <v>1203</v>
      </c>
    </row>
    <row r="188" spans="2:7" ht="40.5" x14ac:dyDescent="0.25">
      <c r="B188" s="195" t="s">
        <v>1109</v>
      </c>
      <c r="C188" s="196" t="s">
        <v>1197</v>
      </c>
      <c r="D188" s="196" t="s">
        <v>1204</v>
      </c>
      <c r="E188" s="196" t="s">
        <v>1205</v>
      </c>
      <c r="F188" s="196" t="s">
        <v>1200</v>
      </c>
    </row>
    <row r="189" spans="2:7" x14ac:dyDescent="0.25">
      <c r="B189" s="189"/>
      <c r="C189" s="238"/>
      <c r="D189" s="242"/>
      <c r="E189" s="238"/>
      <c r="F189" s="238"/>
    </row>
    <row r="190" spans="2:7" x14ac:dyDescent="0.25">
      <c r="G190" s="247"/>
    </row>
    <row r="191" spans="2:7" x14ac:dyDescent="0.25">
      <c r="F191" s="153"/>
      <c r="G191" s="191"/>
    </row>
    <row r="192" spans="2:7" x14ac:dyDescent="0.25">
      <c r="B192" s="193" t="s">
        <v>1206</v>
      </c>
    </row>
    <row r="193" spans="2:10" x14ac:dyDescent="0.25">
      <c r="B193" s="193"/>
    </row>
    <row r="194" spans="2:10" x14ac:dyDescent="0.25">
      <c r="E194" s="191"/>
    </row>
    <row r="195" spans="2:10" x14ac:dyDescent="0.25">
      <c r="B195" s="193" t="s">
        <v>1207</v>
      </c>
      <c r="E195" s="191"/>
    </row>
    <row r="196" spans="2:10" x14ac:dyDescent="0.25">
      <c r="E196" s="191"/>
    </row>
    <row r="197" spans="2:10" ht="27" x14ac:dyDescent="0.25">
      <c r="B197" s="195" t="s">
        <v>1109</v>
      </c>
      <c r="C197" s="196" t="s">
        <v>1110</v>
      </c>
      <c r="D197" s="196" t="s">
        <v>1111</v>
      </c>
      <c r="E197" s="196" t="s">
        <v>1208</v>
      </c>
      <c r="F197" s="196" t="s">
        <v>1209</v>
      </c>
      <c r="G197" s="196" t="s">
        <v>1210</v>
      </c>
    </row>
    <row r="198" spans="2:10" x14ac:dyDescent="0.25">
      <c r="B198" s="219" t="s">
        <v>708</v>
      </c>
      <c r="C198" s="248" t="s">
        <v>708</v>
      </c>
      <c r="D198" s="249" t="s">
        <v>708</v>
      </c>
      <c r="E198" s="154" t="s">
        <v>708</v>
      </c>
      <c r="F198" s="154" t="s">
        <v>708</v>
      </c>
      <c r="G198" s="154" t="s">
        <v>708</v>
      </c>
    </row>
    <row r="199" spans="2:10" x14ac:dyDescent="0.25">
      <c r="E199" s="191"/>
    </row>
    <row r="200" spans="2:10" x14ac:dyDescent="0.25">
      <c r="B200" s="193" t="s">
        <v>1211</v>
      </c>
      <c r="E200" s="191"/>
    </row>
    <row r="201" spans="2:10" x14ac:dyDescent="0.25">
      <c r="B201" s="193"/>
      <c r="E201" s="191"/>
    </row>
    <row r="202" spans="2:10" x14ac:dyDescent="0.25">
      <c r="B202" s="217" t="s">
        <v>1109</v>
      </c>
      <c r="C202" s="217" t="s">
        <v>1170</v>
      </c>
      <c r="E202" s="191"/>
    </row>
    <row r="203" spans="2:10" x14ac:dyDescent="0.25">
      <c r="B203" s="238" t="s">
        <v>708</v>
      </c>
      <c r="C203" s="231" t="s">
        <v>708</v>
      </c>
      <c r="E203" s="191"/>
    </row>
    <row r="204" spans="2:10" x14ac:dyDescent="0.25">
      <c r="E204" s="191"/>
    </row>
    <row r="205" spans="2:10" x14ac:dyDescent="0.25">
      <c r="B205" s="193" t="s">
        <v>1212</v>
      </c>
      <c r="E205" s="191"/>
    </row>
    <row r="206" spans="2:10" x14ac:dyDescent="0.25">
      <c r="E206" s="191"/>
    </row>
    <row r="207" spans="2:10" ht="67.5" x14ac:dyDescent="0.25">
      <c r="B207" s="195" t="s">
        <v>1109</v>
      </c>
      <c r="C207" s="196" t="s">
        <v>1172</v>
      </c>
      <c r="D207" s="196" t="s">
        <v>1173</v>
      </c>
      <c r="E207" s="196" t="s">
        <v>1174</v>
      </c>
      <c r="F207" s="196" t="s">
        <v>1175</v>
      </c>
      <c r="G207" s="196" t="s">
        <v>1176</v>
      </c>
    </row>
    <row r="208" spans="2:10" x14ac:dyDescent="0.25">
      <c r="B208" s="231"/>
      <c r="C208" s="231"/>
      <c r="D208" s="141"/>
      <c r="E208" s="250"/>
      <c r="F208" s="155"/>
      <c r="G208" s="251"/>
      <c r="I208" s="190"/>
      <c r="J208" s="191"/>
    </row>
    <row r="209" spans="2:7" x14ac:dyDescent="0.25">
      <c r="E209" s="191"/>
    </row>
    <row r="210" spans="2:7" x14ac:dyDescent="0.25">
      <c r="E210" s="191"/>
    </row>
    <row r="211" spans="2:7" x14ac:dyDescent="0.25">
      <c r="B211" s="193" t="s">
        <v>1213</v>
      </c>
      <c r="E211" s="191"/>
    </row>
    <row r="212" spans="2:7" x14ac:dyDescent="0.25">
      <c r="E212" s="191"/>
    </row>
    <row r="213" spans="2:7" ht="67.5" x14ac:dyDescent="0.25">
      <c r="B213" s="195" t="s">
        <v>1109</v>
      </c>
      <c r="C213" s="196" t="s">
        <v>1172</v>
      </c>
      <c r="D213" s="196" t="s">
        <v>1173</v>
      </c>
      <c r="E213" s="196" t="s">
        <v>1174</v>
      </c>
      <c r="F213" s="196" t="s">
        <v>1175</v>
      </c>
      <c r="G213" s="196" t="s">
        <v>1176</v>
      </c>
    </row>
    <row r="214" spans="2:7" x14ac:dyDescent="0.25">
      <c r="B214" s="197"/>
      <c r="C214" s="238"/>
      <c r="D214" s="238"/>
      <c r="E214" s="252"/>
      <c r="F214" s="252"/>
      <c r="G214" s="252"/>
    </row>
    <row r="215" spans="2:7" x14ac:dyDescent="0.25">
      <c r="E215" s="191"/>
    </row>
    <row r="216" spans="2:7" x14ac:dyDescent="0.25">
      <c r="E216" s="191"/>
    </row>
    <row r="217" spans="2:7" x14ac:dyDescent="0.25">
      <c r="E217" s="191"/>
    </row>
    <row r="218" spans="2:7" x14ac:dyDescent="0.25">
      <c r="B218" s="192" t="s">
        <v>1214</v>
      </c>
    </row>
  </sheetData>
  <mergeCells count="3">
    <mergeCell ref="B2:G2"/>
    <mergeCell ref="B3:G3"/>
    <mergeCell ref="B5:G5"/>
  </mergeCells>
  <printOptions horizontalCentered="1"/>
  <pageMargins left="0.17" right="0.15748031496062992" top="0.43307086614173229" bottom="0.47244094488188981" header="0.31496062992125984" footer="0.31496062992125984"/>
  <pageSetup paperSize="9" scale="48"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Index</vt:lpstr>
      <vt:lpstr>CAPEXG</vt:lpstr>
      <vt:lpstr>GLOB</vt:lpstr>
      <vt:lpstr>MIDCAP</vt:lpstr>
      <vt:lpstr>MULTIP</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SUNCYF</vt:lpstr>
      <vt:lpstr>SUNFCF</vt:lpstr>
      <vt:lpstr>SUNFOP</vt:lpstr>
      <vt:lpstr>SUNMAF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Bala Subramani P - Sundaram Mutual</cp:lastModifiedBy>
  <dcterms:created xsi:type="dcterms:W3CDTF">2024-08-01T16:29:05Z</dcterms:created>
  <dcterms:modified xsi:type="dcterms:W3CDTF">2024-08-09T10:13:15Z</dcterms:modified>
</cp:coreProperties>
</file>