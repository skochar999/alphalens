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Fortnightly\28-02-2026\Fortnightly Portfolios\"/>
    </mc:Choice>
  </mc:AlternateContent>
  <xr:revisionPtr revIDLastSave="0" documentId="13_ncr:1_{A956ED2A-68E7-49D9-9AD6-9C307D048385}" xr6:coauthVersionLast="47" xr6:coauthVersionMax="47" xr10:uidLastSave="{00000000-0000-0000-0000-000000000000}"/>
  <bookViews>
    <workbookView xWindow="-108" yWindow="-108" windowWidth="23256" windowHeight="13896" xr2:uid="{4D702C6C-7A9E-4823-87DF-AF24364396E3}"/>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6" l="1"/>
  <c r="E17" i="6"/>
</calcChain>
</file>

<file path=xl/sharedStrings.xml><?xml version="1.0" encoding="utf-8"?>
<sst xmlns="http://schemas.openxmlformats.org/spreadsheetml/2006/main" count="267" uniqueCount="189">
  <si>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</si>
  <si>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</si>
  <si>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</si>
  <si>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</si>
  <si>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</si>
  <si>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</si>
  <si>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</si>
  <si>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</si>
  <si>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</si>
  <si>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</si>
  <si>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</si>
  <si>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</si>
  <si>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</si>
  <si>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</si>
  <si>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</si>
  <si>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</si>
  <si>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</si>
  <si>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</si>
  <si>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</si>
  <si>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</si>
  <si>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</si>
  <si>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</si>
  <si>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</si>
  <si>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</si>
  <si>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INE020B08FA2</t>
  </si>
  <si>
    <t>CRISIL AAA</t>
  </si>
  <si>
    <t>Bajaj Housing Finance Ltd**</t>
  </si>
  <si>
    <t>INE377Y07490</t>
  </si>
  <si>
    <t>SIDBI**</t>
  </si>
  <si>
    <t>INE556F08KK5</t>
  </si>
  <si>
    <t>LIC Housing Finance Limited**</t>
  </si>
  <si>
    <t>INE115A07RA9</t>
  </si>
  <si>
    <t>INE556F08KN9</t>
  </si>
  <si>
    <t>Mindspace Business Parks REIT**</t>
  </si>
  <si>
    <t>INE0CCU07165</t>
  </si>
  <si>
    <t>NABARD**</t>
  </si>
  <si>
    <t>INE261F08EK5</t>
  </si>
  <si>
    <t>INE0CCU07074</t>
  </si>
  <si>
    <t>Embassy Office Parks REIT**</t>
  </si>
  <si>
    <t>INE041007084</t>
  </si>
  <si>
    <t>INE020B08EW9</t>
  </si>
  <si>
    <t>INE041007183</t>
  </si>
  <si>
    <t>Total</t>
  </si>
  <si>
    <t>Securitised Debt</t>
  </si>
  <si>
    <t>India Universal Trust AL2**</t>
  </si>
  <si>
    <t>INE1CBK15011</t>
  </si>
  <si>
    <t>IND AAA(SO)</t>
  </si>
  <si>
    <t>Money Market Instruments</t>
  </si>
  <si>
    <t>Certificate of Deposit</t>
  </si>
  <si>
    <t>Privately Placed/Unlisted</t>
  </si>
  <si>
    <t>Union Bank of India^</t>
  </si>
  <si>
    <t>INE692A16KH8</t>
  </si>
  <si>
    <t>ICRA A1+</t>
  </si>
  <si>
    <t>Canara Bank^</t>
  </si>
  <si>
    <t>INE476A16F03</t>
  </si>
  <si>
    <t>CRISIL A1+</t>
  </si>
  <si>
    <t>Canara Bank**</t>
  </si>
  <si>
    <t>INE476A16E46</t>
  </si>
  <si>
    <t>Indian Bank^</t>
  </si>
  <si>
    <t>INE562A16PR1</t>
  </si>
  <si>
    <t>Bank of Baroda**</t>
  </si>
  <si>
    <t>INE028A16KK9</t>
  </si>
  <si>
    <t>CARE A1+</t>
  </si>
  <si>
    <t>Indian Bank**</t>
  </si>
  <si>
    <t>INE562A16QN8</t>
  </si>
  <si>
    <t>INE261F16AF6</t>
  </si>
  <si>
    <t>INE028A16JZ9</t>
  </si>
  <si>
    <t>IND A1+</t>
  </si>
  <si>
    <t>INE692A16KS5</t>
  </si>
  <si>
    <t>Axis Bank Limited**</t>
  </si>
  <si>
    <t>INE238AD6AT7</t>
  </si>
  <si>
    <t>Axis Bank Limited^</t>
  </si>
  <si>
    <t>INE238AD6AU5</t>
  </si>
  <si>
    <t>HDFC Bank Limited**</t>
  </si>
  <si>
    <t>INE040A16HF0</t>
  </si>
  <si>
    <t>INE238AD6BP3</t>
  </si>
  <si>
    <t>INE040A16IJ0</t>
  </si>
  <si>
    <t>INE040A16II2</t>
  </si>
  <si>
    <t>Kotak Mahindra Bank Limited**</t>
  </si>
  <si>
    <t>INE237AD6117</t>
  </si>
  <si>
    <t>INE556F16BV4</t>
  </si>
  <si>
    <t>INE261F16AD1</t>
  </si>
  <si>
    <t>INE040A16IM4</t>
  </si>
  <si>
    <t>ICICI Bank Limited**</t>
  </si>
  <si>
    <t>INE090AD6287</t>
  </si>
  <si>
    <t>INE476A16F94</t>
  </si>
  <si>
    <t>SIDBI^</t>
  </si>
  <si>
    <t>INE556F16BW2</t>
  </si>
  <si>
    <t>Commercial Papers</t>
  </si>
  <si>
    <t>Aditya Birla Housing Finance Limited**</t>
  </si>
  <si>
    <t>INE831R14FS8</t>
  </si>
  <si>
    <t>ICICI Securities Limited**</t>
  </si>
  <si>
    <t>INE763G14C04</t>
  </si>
  <si>
    <t>Kotak Securities Ltd.**</t>
  </si>
  <si>
    <t>INE028E14VC0</t>
  </si>
  <si>
    <t>INE763G14XY7</t>
  </si>
  <si>
    <t>Bharti Telecom Limited**</t>
  </si>
  <si>
    <t>INE403D14593</t>
  </si>
  <si>
    <t>INE041014072</t>
  </si>
  <si>
    <t>INE0CCU14096</t>
  </si>
  <si>
    <t>HDFC Securities Limited**</t>
  </si>
  <si>
    <t>INE700G14QD7</t>
  </si>
  <si>
    <t>INE403D14585</t>
  </si>
  <si>
    <t>INE763G14F50</t>
  </si>
  <si>
    <t>Aditya Birla Capital Limited**</t>
  </si>
  <si>
    <t>INE674K14BK3</t>
  </si>
  <si>
    <t>Tata Capital Housing Finance Limited**</t>
  </si>
  <si>
    <t>INE033L14OD8</t>
  </si>
  <si>
    <t>Interest Rate Swaps</t>
  </si>
  <si>
    <t>PAY_5.625% &amp;REC_OIS_20/02/28</t>
  </si>
  <si>
    <t>REC_OIS &amp;PAY_6.2175%_06/03/26</t>
  </si>
  <si>
    <t>Treasury Bills</t>
  </si>
  <si>
    <t>182 Days Treasury Bill 30-Apr-2026</t>
  </si>
  <si>
    <t>IN002025Y313</t>
  </si>
  <si>
    <t>SOVEREIGN</t>
  </si>
  <si>
    <t>182 DTB 11-Jun-2026</t>
  </si>
  <si>
    <t>IN002025Y370</t>
  </si>
  <si>
    <t>364 Days Treasury Bill 25-Jun-2026</t>
  </si>
  <si>
    <t>IN002025Z138</t>
  </si>
  <si>
    <t>364 Days Treasury Bill 18-Jun-2026</t>
  </si>
  <si>
    <t>IN002025Z120</t>
  </si>
  <si>
    <t>364 Days Treasury Bills 19-Mar-2026</t>
  </si>
  <si>
    <t>IN002024Z495</t>
  </si>
  <si>
    <t>364 Days Treasury Bill 04-Jun-2026</t>
  </si>
  <si>
    <t>IN002025Z104</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</si>
  <si>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</si>
  <si>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</si>
  <si>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</si>
  <si>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</si>
  <si>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</si>
  <si>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</si>
  <si>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</si>
  <si>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</si>
  <si>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</si>
  <si>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</si>
  <si>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13843.88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</si>
  <si>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</si>
  <si>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</si>
  <si>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</si>
  <si>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</si>
  <si>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</si>
  <si>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</si>
  <si>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</si>
  <si>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</si>
  <si>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</si>
  <si>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</si>
  <si>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27 FEB 2026 **</t>
  </si>
  <si>
    <t>As on 13 FEB 2026 *</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</si>
  <si>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</si>
  <si>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</si>
  <si>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</si>
  <si>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</si>
  <si>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</si>
  <si>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</si>
  <si>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</si>
  <si>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</si>
  <si>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27 FEB 2026 (Last Business Days).</t>
  </si>
  <si>
    <t>* Nav has been considered as of 13 FEB 2026 (Last Business Days).</t>
  </si>
  <si>
    <t>(3) The total outstanding exposure in derivative instruments as on FEB 28,2026  is as follows :</t>
  </si>
  <si>
    <t>Underlying Security</t>
  </si>
  <si>
    <t>Position</t>
  </si>
  <si>
    <t>Instrument Type</t>
  </si>
  <si>
    <t>Maturity/Next Interest Fixing $</t>
  </si>
  <si>
    <t>Notional Value (Rs in lakhs)</t>
  </si>
  <si>
    <t>NABARD CD 22-Jan-2027</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</si>
  <si>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</si>
  <si>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</si>
  <si>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</si>
  <si>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</si>
  <si>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</si>
  <si>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</si>
  <si>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</si>
  <si>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</si>
  <si>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</si>
  <si>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</si>
  <si>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Direct Daily IDCW</t>
  </si>
  <si>
    <t>Direct Monthly IDCW</t>
  </si>
  <si>
    <t>Direct Weekly IDCW</t>
  </si>
  <si>
    <t>Regular Daily IDCW</t>
  </si>
  <si>
    <t>Regular Monthly IDCW</t>
  </si>
  <si>
    <t>Regular Weekly IDCW</t>
  </si>
  <si>
    <t>(6) No bonus was declared  during the fortnight ended   FEB 28,2026.</t>
  </si>
  <si>
    <t>(7) The Average Maturity Period for debt portion of the Portfolio has been 5.90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</si>
  <si>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</si>
  <si>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</si>
  <si>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</si>
  <si>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</si>
  <si>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</si>
  <si>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7.44 NABARD 24 Feb 2028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</si>
</sst>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2" fillId="0" borderId="0"/>
    <xf numFmtId="0" fontId="2" fillId="0" borderId="0"/>
  </cellStyleXfs>
  <cellXfs count="10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6" xfId="1" applyNumberFormat="1" applyFont="1" applyFill="1" applyBorder="1" applyAlignment="1">
      <alignment horizontal="center" vertical="center"/>
    </xf>
    <xf numFmtId="49" fontId="8" fillId="2" borderId="15"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8" xfId="1" applyNumberFormat="1" applyFont="1" applyFill="1" applyBorder="1" applyAlignment="1">
      <alignment horizontal="center"/>
    </xf>
    <xf numFmtId="164" fontId="7" fillId="2" borderId="19" xfId="1" applyNumberFormat="1" applyFont="1" applyFill="1" applyBorder="1" applyAlignment="1">
      <alignment horizontal="center" vertical="center"/>
    </xf>
    <xf numFmtId="49" fontId="7" fillId="2" borderId="20" xfId="1"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21" xfId="1" applyNumberFormat="1" applyFont="1" applyFill="1" applyBorder="1" applyAlignment="1">
      <alignment horizont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164" fontId="7" fillId="2" borderId="0" xfId="1" applyNumberFormat="1" applyFont="1" applyFill="1" applyBorder="1" applyAlignment="1">
      <alignment horizontal="center"/>
    </xf>
    <xf numFmtId="0" fontId="12" fillId="0" borderId="9" xfId="2" applyFont="1" applyBorder="1" applyAlignment="1">
      <alignment horizontal="center" vertical="center" wrapText="1"/>
    </xf>
    <xf numFmtId="0" fontId="13" fillId="0" borderId="9" xfId="2" applyFont="1" applyBorder="1" applyAlignment="1">
      <alignment horizontal="center"/>
    </xf>
    <xf numFmtId="15" fontId="13" fillId="0" borderId="9" xfId="2" applyNumberFormat="1" applyFont="1" applyBorder="1" applyAlignment="1">
      <alignment horizontal="center"/>
    </xf>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49" fontId="7" fillId="2" borderId="0" xfId="1" applyNumberFormat="1" applyFont="1" applyFill="1" applyAlignment="1">
      <alignment horizontal="left"/>
    </xf>
    <xf numFmtId="49" fontId="8" fillId="2" borderId="16" xfId="1" applyNumberFormat="1" applyFont="1" applyFill="1" applyBorder="1" applyAlignment="1">
      <alignment horizontal="left"/>
    </xf>
    <xf numFmtId="0" fontId="8" fillId="2" borderId="20" xfId="1" applyFont="1" applyFill="1" applyBorder="1" applyAlignment="1">
      <alignment horizontal="left"/>
    </xf>
    <xf numFmtId="49" fontId="8" fillId="2" borderId="24" xfId="1" applyNumberFormat="1" applyFont="1" applyFill="1" applyBorder="1" applyAlignment="1">
      <alignment horizontal="center" vertical="center"/>
    </xf>
    <xf numFmtId="49" fontId="8" fillId="2" borderId="10" xfId="1" applyNumberFormat="1" applyFont="1" applyFill="1" applyBorder="1" applyAlignment="1">
      <alignment horizontal="center" vertical="center"/>
    </xf>
    <xf numFmtId="165" fontId="7" fillId="0" borderId="10" xfId="1" applyNumberFormat="1" applyFont="1" applyFill="1" applyBorder="1" applyAlignment="1">
      <alignment horizontal="center" vertical="center"/>
    </xf>
    <xf numFmtId="165" fontId="7" fillId="2" borderId="10" xfId="1" applyNumberFormat="1" applyFont="1" applyFill="1" applyBorder="1" applyAlignment="1">
      <alignment horizontal="center" vertical="center"/>
    </xf>
    <xf numFmtId="165" fontId="7" fillId="0" borderId="19" xfId="1" applyNumberFormat="1" applyFont="1" applyFill="1" applyBorder="1" applyAlignment="1">
      <alignment horizontal="center" vertical="center"/>
    </xf>
    <xf numFmtId="165" fontId="7" fillId="2" borderId="19" xfId="1" applyNumberFormat="1" applyFont="1" applyFill="1" applyBorder="1" applyAlignment="1">
      <alignment horizontal="center" vertical="center"/>
    </xf>
    <xf numFmtId="165" fontId="7" fillId="0" borderId="11" xfId="1" applyNumberFormat="1" applyFont="1" applyFill="1" applyBorder="1" applyAlignment="1">
      <alignment horizontal="center" vertical="center"/>
    </xf>
    <xf numFmtId="165" fontId="7"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7" fillId="2" borderId="9" xfId="1" applyNumberFormat="1" applyFont="1" applyFill="1" applyBorder="1" applyAlignment="1">
      <alignment horizontal="center" vertical="center" wrapText="1"/>
    </xf>
    <xf numFmtId="49" fontId="6" fillId="0" borderId="9" xfId="1" applyNumberFormat="1" applyFont="1" applyFill="1" applyBorder="1" applyAlignment="1">
      <alignment horizontal="center" vertical="center" wrapText="1"/>
    </xf>
    <xf numFmtId="49" fontId="8" fillId="2" borderId="22" xfId="1" applyNumberFormat="1" applyFont="1" applyFill="1" applyBorder="1" applyAlignment="1">
      <alignment horizontal="center"/>
    </xf>
    <xf numFmtId="49" fontId="8" fillId="2" borderId="23" xfId="1" applyNumberFormat="1" applyFont="1" applyFill="1" applyBorder="1" applyAlignment="1">
      <alignment horizontal="center"/>
    </xf>
    <xf numFmtId="11" fontId="11" fillId="0" borderId="0" xfId="0" applyNumberFormat="1" applyFont="1"/>
    <xf numFmtId="4" fontId="11" fillId="0" borderId="0" xfId="0" applyNumberFormat="1" applyFont="1"/>
  </cellXfs>
  <cellStyles count="3">
    <cellStyle name="Normal" xfId="0" builtinId="0"/>
    <cellStyle name="Normal 2" xfId="1" xr:uid="{9545D71E-0987-4B00-97F1-389554566F88}"/>
    <cellStyle name="Normal 6 2" xfId="2" xr:uid="{CA48EAAD-9757-4ABD-89FE-177502E3CB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150283</xdr:rowOff>
    </xdr:from>
    <xdr:to>
      <xdr:col>3</xdr:col>
      <xdr:colOff>1242483</xdr:colOff>
      <xdr:row>108</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09150"/>
          <a:ext cx="3816350" cy="2032000"/>
        </a:xfrm>
        <a:prstGeom prst="rect">
          <a:avLst/>
        </a:prstGeom>
      </xdr:spPr>
    </xdr:pic>
    <xdr:clientData/>
  </xdr:twoCellAnchor>
  <xdr:twoCellAnchor editAs="oneCell">
    <xdr:from>
      <xdr:col>4</xdr:col>
      <xdr:colOff>124883</xdr:colOff>
      <xdr:row>100</xdr:row>
      <xdr:rowOff>150283</xdr:rowOff>
    </xdr:from>
    <xdr:to>
      <xdr:col>6</xdr:col>
      <xdr:colOff>1242483</xdr:colOff>
      <xdr:row>108</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409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15"/>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9"/>
      <c r="B5" s="100"/>
      <c r="C5" s="100"/>
      <c r="D5" s="100"/>
      <c r="E5" s="100"/>
      <c r="F5" s="100"/>
      <c r="G5" s="100"/>
      <c r="H5" s="100"/>
      <c r="I5" s="100"/>
      <c r="J5" s="100"/>
    </row>
    <row r="6" spans="1:10" ht="18.3" customHeight="1" x14ac:dyDescent="0.25">
      <c r="A6" s="90" t="s">
        <v>9</v>
      </c>
      <c r="B6" s="90" t="s">
        <v>10</v>
      </c>
      <c r="C6" s="90" t="s">
        <v>11</v>
      </c>
      <c r="D6" s="90" t="s">
        <v>12</v>
      </c>
      <c r="E6" s="88" t="s">
        <v>13</v>
      </c>
      <c r="F6" s="88" t="s">
        <v>14</v>
      </c>
      <c r="G6" s="88" t="s">
        <v>15</v>
      </c>
      <c r="H6" s="18" t="s">
        <v>16</v>
      </c>
      <c r="I6" s="19"/>
      <c r="J6" s="90" t="s">
        <v>19</v>
      </c>
    </row>
    <row r="7" spans="1:10" ht="18.3" customHeight="1" x14ac:dyDescent="0.25">
      <c r="A7" s="91"/>
      <c r="B7" s="91"/>
      <c r="C7" s="91"/>
      <c r="D7" s="91"/>
      <c r="E7" s="89"/>
      <c r="F7" s="89"/>
      <c r="G7" s="89"/>
      <c r="H7" s="20" t="s">
        <v>17</v>
      </c>
      <c r="I7" s="21" t="s">
        <v>18</v>
      </c>
      <c r="J7" s="9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5000000</v>
      </c>
      <c r="E11" s="26">
        <v>5318.39</v>
      </c>
      <c r="F11" s="15">
        <v>1.8499999999999999E-2</v>
      </c>
      <c r="G11" s="13">
        <v>6.97</v>
      </c>
      <c r="H11" s="24"/>
      <c r="I11" s="22"/>
      <c r="J11" s="16">
        <v>46538</v>
      </c>
    </row>
    <row r="12" spans="1:10" ht="18.3" customHeight="1" x14ac:dyDescent="0.2">
      <c r="A12" s="13" t="s">
        <v>26</v>
      </c>
      <c r="B12" s="13" t="s">
        <v>27</v>
      </c>
      <c r="C12" s="13" t="s">
        <v>25</v>
      </c>
      <c r="D12" s="26">
        <v>5000000</v>
      </c>
      <c r="E12" s="26">
        <v>5196.72</v>
      </c>
      <c r="F12" s="15">
        <v>1.8100000000000002E-2</v>
      </c>
      <c r="G12" s="13">
        <v>7.4</v>
      </c>
      <c r="H12" s="24"/>
      <c r="I12" s="22"/>
      <c r="J12" s="16">
        <v>46274</v>
      </c>
    </row>
    <row r="13" spans="1:10" ht="18.3" customHeight="1" x14ac:dyDescent="0.2">
      <c r="A13" s="13" t="s">
        <v>28</v>
      </c>
      <c r="B13" s="13" t="s">
        <v>29</v>
      </c>
      <c r="C13" s="13" t="s">
        <v>25</v>
      </c>
      <c r="D13" s="26">
        <v>5000000</v>
      </c>
      <c r="E13" s="26">
        <v>5180.93</v>
      </c>
      <c r="F13" s="15">
        <v>1.7999999999999999E-2</v>
      </c>
      <c r="G13" s="13">
        <v>7.05</v>
      </c>
      <c r="H13" s="24"/>
      <c r="I13" s="22"/>
      <c r="J13" s="16">
        <v>46496</v>
      </c>
    </row>
    <row r="14" spans="1:10" ht="18.3" customHeight="1" x14ac:dyDescent="0.2">
      <c r="A14" s="13" t="s">
        <v>30</v>
      </c>
      <c r="B14" s="13" t="s">
        <v>31</v>
      </c>
      <c r="C14" s="13" t="s">
        <v>25</v>
      </c>
      <c r="D14" s="26">
        <v>5000000</v>
      </c>
      <c r="E14" s="26">
        <v>5095.07</v>
      </c>
      <c r="F14" s="15">
        <v>1.77E-2</v>
      </c>
      <c r="G14" s="13">
        <v>7.28</v>
      </c>
      <c r="H14" s="24"/>
      <c r="I14" s="22"/>
      <c r="J14" s="16">
        <v>46367</v>
      </c>
    </row>
    <row r="15" spans="1:10" ht="18.3" customHeight="1" x14ac:dyDescent="0.2">
      <c r="A15" s="13" t="s">
        <v>28</v>
      </c>
      <c r="B15" s="13" t="s">
        <v>32</v>
      </c>
      <c r="C15" s="13" t="s">
        <v>25</v>
      </c>
      <c r="D15" s="26">
        <v>5000000</v>
      </c>
      <c r="E15" s="26">
        <v>5086.3999999999996</v>
      </c>
      <c r="F15" s="15">
        <v>1.77E-2</v>
      </c>
      <c r="G15" s="13">
        <v>7.05</v>
      </c>
      <c r="H15" s="24"/>
      <c r="I15" s="22"/>
      <c r="J15" s="16">
        <v>46548</v>
      </c>
    </row>
    <row r="16" spans="1:10" ht="18.3" customHeight="1" x14ac:dyDescent="0.2">
      <c r="A16" s="13" t="s">
        <v>33</v>
      </c>
      <c r="B16" s="13" t="s">
        <v>34</v>
      </c>
      <c r="C16" s="13" t="s">
        <v>25</v>
      </c>
      <c r="D16" s="26">
        <v>5000000</v>
      </c>
      <c r="E16" s="26">
        <v>5053.75</v>
      </c>
      <c r="F16" s="15">
        <v>1.7600000000000001E-2</v>
      </c>
      <c r="G16" s="13">
        <v>7.24</v>
      </c>
      <c r="H16" s="24"/>
      <c r="I16" s="22"/>
      <c r="J16" s="16">
        <v>46644</v>
      </c>
    </row>
    <row r="17" spans="1:10" ht="18.3" customHeight="1" x14ac:dyDescent="0.2">
      <c r="A17" s="13" t="s">
        <v>35</v>
      </c>
      <c r="B17" s="13" t="s">
        <v>36</v>
      </c>
      <c r="C17" s="13" t="s">
        <v>25</v>
      </c>
      <c r="D17" s="26">
        <v>5000000</v>
      </c>
      <c r="E17" s="26">
        <v>5039.9399999999996</v>
      </c>
      <c r="F17" s="15">
        <v>1.7500000000000002E-2</v>
      </c>
      <c r="G17" s="13">
        <v>7.05</v>
      </c>
      <c r="H17" s="24"/>
      <c r="I17" s="22"/>
      <c r="J17" s="16">
        <v>46807</v>
      </c>
    </row>
    <row r="18" spans="1:10" ht="18.3" customHeight="1" x14ac:dyDescent="0.2">
      <c r="A18" s="13" t="s">
        <v>33</v>
      </c>
      <c r="B18" s="13" t="s">
        <v>37</v>
      </c>
      <c r="C18" s="13" t="s">
        <v>25</v>
      </c>
      <c r="D18" s="26">
        <v>2500000</v>
      </c>
      <c r="E18" s="26">
        <v>2535.2399999999998</v>
      </c>
      <c r="F18" s="15">
        <v>8.8000000000000005E-3</v>
      </c>
      <c r="G18" s="13">
        <v>7.42</v>
      </c>
      <c r="H18" s="24"/>
      <c r="I18" s="22"/>
      <c r="J18" s="16">
        <v>46125</v>
      </c>
    </row>
    <row r="19" spans="1:10" ht="18.3" customHeight="1" x14ac:dyDescent="0.2">
      <c r="A19" s="13" t="s">
        <v>38</v>
      </c>
      <c r="B19" s="13" t="s">
        <v>39</v>
      </c>
      <c r="C19" s="13" t="s">
        <v>25</v>
      </c>
      <c r="D19" s="26">
        <v>2500000</v>
      </c>
      <c r="E19" s="26">
        <v>2524.2800000000002</v>
      </c>
      <c r="F19" s="15">
        <v>8.8000000000000005E-3</v>
      </c>
      <c r="G19" s="13">
        <v>7.56</v>
      </c>
      <c r="H19" s="24"/>
      <c r="I19" s="22"/>
      <c r="J19" s="16">
        <v>46313</v>
      </c>
    </row>
    <row r="20" spans="1:10" ht="18.3" customHeight="1" x14ac:dyDescent="0.2">
      <c r="A20" s="13" t="s">
        <v>23</v>
      </c>
      <c r="B20" s="13" t="s">
        <v>40</v>
      </c>
      <c r="C20" s="13" t="s">
        <v>25</v>
      </c>
      <c r="D20" s="26">
        <v>2500000</v>
      </c>
      <c r="E20" s="26">
        <v>2517.66</v>
      </c>
      <c r="F20" s="15">
        <v>8.8000000000000005E-3</v>
      </c>
      <c r="G20" s="13">
        <v>6.97</v>
      </c>
      <c r="H20" s="24"/>
      <c r="I20" s="22"/>
      <c r="J20" s="16">
        <v>46444</v>
      </c>
    </row>
    <row r="21" spans="1:10" ht="18.3" customHeight="1" x14ac:dyDescent="0.2">
      <c r="A21" s="13" t="s">
        <v>38</v>
      </c>
      <c r="B21" s="13" t="s">
        <v>41</v>
      </c>
      <c r="C21" s="13" t="s">
        <v>25</v>
      </c>
      <c r="D21" s="26">
        <v>750000</v>
      </c>
      <c r="E21" s="26">
        <v>756.93</v>
      </c>
      <c r="F21" s="15">
        <v>2.5999999999999999E-3</v>
      </c>
      <c r="G21" s="13">
        <v>7.38</v>
      </c>
      <c r="H21" s="24"/>
      <c r="I21" s="22"/>
      <c r="J21" s="16">
        <v>46465</v>
      </c>
    </row>
    <row r="22" spans="1:10" ht="18.3" customHeight="1" x14ac:dyDescent="0.25">
      <c r="A22" s="14" t="s">
        <v>42</v>
      </c>
      <c r="B22" s="14"/>
      <c r="C22" s="14"/>
      <c r="D22" s="27"/>
      <c r="E22" s="27">
        <v>44305.31</v>
      </c>
      <c r="F22" s="17">
        <v>0.15409999999999999</v>
      </c>
      <c r="G22" s="14"/>
      <c r="H22" s="25"/>
      <c r="I22" s="23"/>
      <c r="J22" s="14"/>
    </row>
    <row r="23" spans="1:10" ht="18.3" customHeight="1" x14ac:dyDescent="0.25">
      <c r="A23" s="12" t="s">
        <v>43</v>
      </c>
      <c r="B23" s="13"/>
      <c r="C23" s="13"/>
      <c r="D23" s="26"/>
      <c r="E23" s="26"/>
      <c r="F23" s="15"/>
      <c r="G23" s="13"/>
      <c r="H23" s="24"/>
      <c r="I23" s="22"/>
      <c r="J23" s="13"/>
    </row>
    <row r="24" spans="1:10" ht="18.3" customHeight="1" x14ac:dyDescent="0.25">
      <c r="A24" s="14" t="s">
        <v>22</v>
      </c>
      <c r="B24" s="13"/>
      <c r="C24" s="13"/>
      <c r="D24" s="26"/>
      <c r="E24" s="26"/>
      <c r="F24" s="15"/>
      <c r="G24" s="13"/>
      <c r="H24" s="24"/>
      <c r="I24" s="22"/>
      <c r="J24" s="13"/>
    </row>
    <row r="25" spans="1:10" ht="18.3" customHeight="1" x14ac:dyDescent="0.2">
      <c r="A25" s="13" t="s">
        <v>44</v>
      </c>
      <c r="B25" s="13" t="s">
        <v>45</v>
      </c>
      <c r="C25" s="13" t="s">
        <v>46</v>
      </c>
      <c r="D25" s="26">
        <v>5500000</v>
      </c>
      <c r="E25" s="26">
        <v>1417.56</v>
      </c>
      <c r="F25" s="15">
        <v>4.8999999999999998E-3</v>
      </c>
      <c r="G25" s="13">
        <v>7.89</v>
      </c>
      <c r="H25" s="24"/>
      <c r="I25" s="22"/>
      <c r="J25" s="16">
        <v>46316</v>
      </c>
    </row>
    <row r="26" spans="1:10" ht="18.3" customHeight="1" x14ac:dyDescent="0.25">
      <c r="A26" s="14" t="s">
        <v>42</v>
      </c>
      <c r="B26" s="14"/>
      <c r="C26" s="14"/>
      <c r="D26" s="27"/>
      <c r="E26" s="27">
        <v>1417.56</v>
      </c>
      <c r="F26" s="17">
        <v>4.8999999999999998E-3</v>
      </c>
      <c r="G26" s="14"/>
      <c r="H26" s="25"/>
      <c r="I26" s="23"/>
      <c r="J26" s="14"/>
    </row>
    <row r="27" spans="1:10" ht="18.3" customHeight="1" x14ac:dyDescent="0.25">
      <c r="A27" s="12" t="s">
        <v>47</v>
      </c>
      <c r="B27" s="13"/>
      <c r="C27" s="13"/>
      <c r="D27" s="26"/>
      <c r="E27" s="26"/>
      <c r="F27" s="15"/>
      <c r="G27" s="13"/>
      <c r="H27" s="24"/>
      <c r="I27" s="22"/>
      <c r="J27" s="13"/>
    </row>
    <row r="28" spans="1:10" ht="18.3" customHeight="1" x14ac:dyDescent="0.25">
      <c r="A28" s="12" t="s">
        <v>48</v>
      </c>
      <c r="B28" s="13"/>
      <c r="C28" s="13"/>
      <c r="D28" s="26"/>
      <c r="E28" s="26"/>
      <c r="F28" s="15"/>
      <c r="G28" s="13"/>
      <c r="H28" s="24"/>
      <c r="I28" s="22"/>
      <c r="J28" s="13"/>
    </row>
    <row r="29" spans="1:10" ht="18.3" customHeight="1" x14ac:dyDescent="0.25">
      <c r="A29" s="14" t="s">
        <v>49</v>
      </c>
      <c r="B29" s="13"/>
      <c r="C29" s="13"/>
      <c r="D29" s="26"/>
      <c r="E29" s="26"/>
      <c r="F29" s="15"/>
      <c r="G29" s="13"/>
      <c r="H29" s="24"/>
      <c r="I29" s="22"/>
      <c r="J29" s="13"/>
    </row>
    <row r="30" spans="1:10" ht="18.3" customHeight="1" x14ac:dyDescent="0.2">
      <c r="A30" s="13" t="s">
        <v>50</v>
      </c>
      <c r="B30" s="13" t="s">
        <v>51</v>
      </c>
      <c r="C30" s="13" t="s">
        <v>52</v>
      </c>
      <c r="D30" s="26">
        <v>10000000</v>
      </c>
      <c r="E30" s="26">
        <v>9826.1299999999992</v>
      </c>
      <c r="F30" s="15">
        <v>3.4200000000000001E-2</v>
      </c>
      <c r="G30" s="13">
        <v>7.02</v>
      </c>
      <c r="H30" s="24"/>
      <c r="I30" s="22"/>
      <c r="J30" s="16">
        <v>46174</v>
      </c>
    </row>
    <row r="31" spans="1:10" ht="18.3" customHeight="1" x14ac:dyDescent="0.2">
      <c r="A31" s="13" t="s">
        <v>53</v>
      </c>
      <c r="B31" s="13" t="s">
        <v>54</v>
      </c>
      <c r="C31" s="13" t="s">
        <v>55</v>
      </c>
      <c r="D31" s="26">
        <v>8500000</v>
      </c>
      <c r="E31" s="26">
        <v>8357.35</v>
      </c>
      <c r="F31" s="15">
        <v>2.9100000000000001E-2</v>
      </c>
      <c r="G31" s="13">
        <v>7</v>
      </c>
      <c r="H31" s="24"/>
      <c r="I31" s="22"/>
      <c r="J31" s="16">
        <v>46171</v>
      </c>
    </row>
    <row r="32" spans="1:10" ht="18.3" customHeight="1" x14ac:dyDescent="0.2">
      <c r="A32" s="13" t="s">
        <v>56</v>
      </c>
      <c r="B32" s="13" t="s">
        <v>57</v>
      </c>
      <c r="C32" s="13" t="s">
        <v>55</v>
      </c>
      <c r="D32" s="26">
        <v>7500000</v>
      </c>
      <c r="E32" s="26">
        <v>7396.55</v>
      </c>
      <c r="F32" s="15">
        <v>2.5700000000000001E-2</v>
      </c>
      <c r="G32" s="13">
        <v>7.19</v>
      </c>
      <c r="H32" s="24"/>
      <c r="I32" s="22"/>
      <c r="J32" s="16">
        <v>46153</v>
      </c>
    </row>
    <row r="33" spans="1:10" ht="18.3" customHeight="1" x14ac:dyDescent="0.2">
      <c r="A33" s="13" t="s">
        <v>58</v>
      </c>
      <c r="B33" s="13" t="s">
        <v>59</v>
      </c>
      <c r="C33" s="13" t="s">
        <v>55</v>
      </c>
      <c r="D33" s="26">
        <v>7500000</v>
      </c>
      <c r="E33" s="26">
        <v>7373.96</v>
      </c>
      <c r="F33" s="15">
        <v>2.5700000000000001E-2</v>
      </c>
      <c r="G33" s="13">
        <v>7.01</v>
      </c>
      <c r="H33" s="24"/>
      <c r="I33" s="22"/>
      <c r="J33" s="16">
        <v>46171</v>
      </c>
    </row>
    <row r="34" spans="1:10" ht="18.3" customHeight="1" x14ac:dyDescent="0.2">
      <c r="A34" s="13" t="s">
        <v>60</v>
      </c>
      <c r="B34" s="13" t="s">
        <v>61</v>
      </c>
      <c r="C34" s="13" t="s">
        <v>62</v>
      </c>
      <c r="D34" s="26">
        <v>7500000</v>
      </c>
      <c r="E34" s="26">
        <v>7133.07</v>
      </c>
      <c r="F34" s="15">
        <v>2.4799999999999999E-2</v>
      </c>
      <c r="G34" s="13">
        <v>6.98</v>
      </c>
      <c r="H34" s="24"/>
      <c r="I34" s="22"/>
      <c r="J34" s="16">
        <v>46351</v>
      </c>
    </row>
    <row r="35" spans="1:10" ht="18.3" customHeight="1" x14ac:dyDescent="0.2">
      <c r="A35" s="13" t="s">
        <v>63</v>
      </c>
      <c r="B35" s="13" t="s">
        <v>64</v>
      </c>
      <c r="C35" s="13" t="s">
        <v>55</v>
      </c>
      <c r="D35" s="26">
        <v>7500000</v>
      </c>
      <c r="E35" s="26">
        <v>7111.22</v>
      </c>
      <c r="F35" s="15">
        <v>2.47E-2</v>
      </c>
      <c r="G35" s="13">
        <v>6.9</v>
      </c>
      <c r="H35" s="24"/>
      <c r="I35" s="22"/>
      <c r="J35" s="16">
        <v>46371</v>
      </c>
    </row>
    <row r="36" spans="1:10" ht="18.3" customHeight="1" x14ac:dyDescent="0.2">
      <c r="A36" s="13" t="s">
        <v>35</v>
      </c>
      <c r="B36" s="13" t="s">
        <v>65</v>
      </c>
      <c r="C36" s="13" t="s">
        <v>55</v>
      </c>
      <c r="D36" s="26">
        <v>7500000</v>
      </c>
      <c r="E36" s="26">
        <v>7055.12</v>
      </c>
      <c r="F36" s="15">
        <v>2.46E-2</v>
      </c>
      <c r="G36" s="13">
        <v>7.04</v>
      </c>
      <c r="H36" s="24"/>
      <c r="I36" s="22"/>
      <c r="J36" s="16">
        <v>46409</v>
      </c>
    </row>
    <row r="37" spans="1:10" ht="18.3" customHeight="1" x14ac:dyDescent="0.2">
      <c r="A37" s="13" t="s">
        <v>60</v>
      </c>
      <c r="B37" s="13" t="s">
        <v>66</v>
      </c>
      <c r="C37" s="13" t="s">
        <v>67</v>
      </c>
      <c r="D37" s="26">
        <v>5000000</v>
      </c>
      <c r="E37" s="26">
        <v>4923.28</v>
      </c>
      <c r="F37" s="15">
        <v>1.7100000000000001E-2</v>
      </c>
      <c r="G37" s="13">
        <v>7.11</v>
      </c>
      <c r="H37" s="24"/>
      <c r="I37" s="22"/>
      <c r="J37" s="16">
        <v>46162</v>
      </c>
    </row>
    <row r="38" spans="1:10" ht="18.3" customHeight="1" x14ac:dyDescent="0.2">
      <c r="A38" s="13" t="s">
        <v>50</v>
      </c>
      <c r="B38" s="13" t="s">
        <v>68</v>
      </c>
      <c r="C38" s="13" t="s">
        <v>52</v>
      </c>
      <c r="D38" s="26">
        <v>5000000</v>
      </c>
      <c r="E38" s="26">
        <v>4910.54</v>
      </c>
      <c r="F38" s="15">
        <v>1.7100000000000001E-2</v>
      </c>
      <c r="G38" s="13">
        <v>7</v>
      </c>
      <c r="H38" s="24"/>
      <c r="I38" s="22"/>
      <c r="J38" s="16">
        <v>46177</v>
      </c>
    </row>
    <row r="39" spans="1:10" ht="18.3" customHeight="1" x14ac:dyDescent="0.2">
      <c r="A39" s="13" t="s">
        <v>69</v>
      </c>
      <c r="B39" s="13" t="s">
        <v>70</v>
      </c>
      <c r="C39" s="13" t="s">
        <v>55</v>
      </c>
      <c r="D39" s="26">
        <v>5000000</v>
      </c>
      <c r="E39" s="26">
        <v>4903.3999999999996</v>
      </c>
      <c r="F39" s="15">
        <v>1.7100000000000001E-2</v>
      </c>
      <c r="G39" s="13">
        <v>7.05</v>
      </c>
      <c r="H39" s="24"/>
      <c r="I39" s="22"/>
      <c r="J39" s="16">
        <v>46184</v>
      </c>
    </row>
    <row r="40" spans="1:10" ht="18.3" customHeight="1" x14ac:dyDescent="0.2">
      <c r="A40" s="13" t="s">
        <v>71</v>
      </c>
      <c r="B40" s="13" t="s">
        <v>72</v>
      </c>
      <c r="C40" s="13" t="s">
        <v>55</v>
      </c>
      <c r="D40" s="26">
        <v>5000000</v>
      </c>
      <c r="E40" s="26">
        <v>4902.47</v>
      </c>
      <c r="F40" s="15">
        <v>1.7100000000000001E-2</v>
      </c>
      <c r="G40" s="13">
        <v>7.05</v>
      </c>
      <c r="H40" s="24"/>
      <c r="I40" s="22"/>
      <c r="J40" s="16">
        <v>46185</v>
      </c>
    </row>
    <row r="41" spans="1:10" ht="18.3" customHeight="1" x14ac:dyDescent="0.2">
      <c r="A41" s="13" t="s">
        <v>73</v>
      </c>
      <c r="B41" s="13" t="s">
        <v>74</v>
      </c>
      <c r="C41" s="13" t="s">
        <v>62</v>
      </c>
      <c r="D41" s="26">
        <v>5000000</v>
      </c>
      <c r="E41" s="26">
        <v>4853.05</v>
      </c>
      <c r="F41" s="15">
        <v>1.6899999999999998E-2</v>
      </c>
      <c r="G41" s="13">
        <v>7.04</v>
      </c>
      <c r="H41" s="24"/>
      <c r="I41" s="22"/>
      <c r="J41" s="16">
        <v>46239</v>
      </c>
    </row>
    <row r="42" spans="1:10" ht="18.3" customHeight="1" x14ac:dyDescent="0.2">
      <c r="A42" s="13" t="s">
        <v>69</v>
      </c>
      <c r="B42" s="13" t="s">
        <v>75</v>
      </c>
      <c r="C42" s="13" t="s">
        <v>55</v>
      </c>
      <c r="D42" s="26">
        <v>5000000</v>
      </c>
      <c r="E42" s="26">
        <v>4752.3100000000004</v>
      </c>
      <c r="F42" s="15">
        <v>1.6500000000000001E-2</v>
      </c>
      <c r="G42" s="13">
        <v>7.02</v>
      </c>
      <c r="H42" s="24"/>
      <c r="I42" s="22"/>
      <c r="J42" s="16">
        <v>46353</v>
      </c>
    </row>
    <row r="43" spans="1:10" ht="18.3" customHeight="1" x14ac:dyDescent="0.2">
      <c r="A43" s="13" t="s">
        <v>73</v>
      </c>
      <c r="B43" s="13" t="s">
        <v>76</v>
      </c>
      <c r="C43" s="13" t="s">
        <v>62</v>
      </c>
      <c r="D43" s="26">
        <v>5000000</v>
      </c>
      <c r="E43" s="26">
        <v>4739.8900000000003</v>
      </c>
      <c r="F43" s="15">
        <v>1.6500000000000001E-2</v>
      </c>
      <c r="G43" s="13">
        <v>6.96</v>
      </c>
      <c r="H43" s="24"/>
      <c r="I43" s="22"/>
      <c r="J43" s="16">
        <v>46370</v>
      </c>
    </row>
    <row r="44" spans="1:10" ht="18.3" customHeight="1" x14ac:dyDescent="0.2">
      <c r="A44" s="13" t="s">
        <v>73</v>
      </c>
      <c r="B44" s="13" t="s">
        <v>77</v>
      </c>
      <c r="C44" s="13" t="s">
        <v>62</v>
      </c>
      <c r="D44" s="26">
        <v>5000000</v>
      </c>
      <c r="E44" s="26">
        <v>4733.8999999999996</v>
      </c>
      <c r="F44" s="15">
        <v>1.6500000000000001E-2</v>
      </c>
      <c r="G44" s="13">
        <v>6.96</v>
      </c>
      <c r="H44" s="24"/>
      <c r="I44" s="22"/>
      <c r="J44" s="16">
        <v>46377</v>
      </c>
    </row>
    <row r="45" spans="1:10" ht="18.3" customHeight="1" x14ac:dyDescent="0.2">
      <c r="A45" s="13" t="s">
        <v>78</v>
      </c>
      <c r="B45" s="13" t="s">
        <v>79</v>
      </c>
      <c r="C45" s="13" t="s">
        <v>55</v>
      </c>
      <c r="D45" s="26">
        <v>5000000</v>
      </c>
      <c r="E45" s="26">
        <v>4720.68</v>
      </c>
      <c r="F45" s="15">
        <v>1.6400000000000001E-2</v>
      </c>
      <c r="G45" s="13">
        <v>6.9</v>
      </c>
      <c r="H45" s="24"/>
      <c r="I45" s="22"/>
      <c r="J45" s="16">
        <v>46395</v>
      </c>
    </row>
    <row r="46" spans="1:10" ht="18.3" customHeight="1" x14ac:dyDescent="0.2">
      <c r="A46" s="13" t="s">
        <v>28</v>
      </c>
      <c r="B46" s="13" t="s">
        <v>80</v>
      </c>
      <c r="C46" s="13" t="s">
        <v>62</v>
      </c>
      <c r="D46" s="26">
        <v>5000000</v>
      </c>
      <c r="E46" s="26">
        <v>4710.97</v>
      </c>
      <c r="F46" s="15">
        <v>1.6400000000000001E-2</v>
      </c>
      <c r="G46" s="13">
        <v>7.02</v>
      </c>
      <c r="H46" s="24"/>
      <c r="I46" s="22"/>
      <c r="J46" s="16">
        <v>46401</v>
      </c>
    </row>
    <row r="47" spans="1:10" ht="18.3" customHeight="1" x14ac:dyDescent="0.2">
      <c r="A47" s="13" t="s">
        <v>35</v>
      </c>
      <c r="B47" s="13" t="s">
        <v>81</v>
      </c>
      <c r="C47" s="13" t="s">
        <v>52</v>
      </c>
      <c r="D47" s="26">
        <v>5000000</v>
      </c>
      <c r="E47" s="26">
        <v>4710.25</v>
      </c>
      <c r="F47" s="15">
        <v>1.6400000000000001E-2</v>
      </c>
      <c r="G47" s="13">
        <v>7.04</v>
      </c>
      <c r="H47" s="24"/>
      <c r="I47" s="22"/>
      <c r="J47" s="16">
        <v>46401</v>
      </c>
    </row>
    <row r="48" spans="1:10" ht="18.3" customHeight="1" x14ac:dyDescent="0.2">
      <c r="A48" s="13" t="s">
        <v>73</v>
      </c>
      <c r="B48" s="13" t="s">
        <v>82</v>
      </c>
      <c r="C48" s="13" t="s">
        <v>62</v>
      </c>
      <c r="D48" s="26">
        <v>5000000</v>
      </c>
      <c r="E48" s="26">
        <v>4697.41</v>
      </c>
      <c r="F48" s="15">
        <v>1.6299999999999999E-2</v>
      </c>
      <c r="G48" s="13">
        <v>6.9</v>
      </c>
      <c r="H48" s="24"/>
      <c r="I48" s="22"/>
      <c r="J48" s="16">
        <v>46423</v>
      </c>
    </row>
    <row r="49" spans="1:10" ht="18.3" customHeight="1" x14ac:dyDescent="0.2">
      <c r="A49" s="13" t="s">
        <v>83</v>
      </c>
      <c r="B49" s="13" t="s">
        <v>84</v>
      </c>
      <c r="C49" s="13" t="s">
        <v>52</v>
      </c>
      <c r="D49" s="26">
        <v>5000000</v>
      </c>
      <c r="E49" s="26">
        <v>4694.1000000000004</v>
      </c>
      <c r="F49" s="15">
        <v>1.6299999999999999E-2</v>
      </c>
      <c r="G49" s="13">
        <v>6.84</v>
      </c>
      <c r="H49" s="24"/>
      <c r="I49" s="22"/>
      <c r="J49" s="16">
        <v>46430</v>
      </c>
    </row>
    <row r="50" spans="1:10" ht="18.3" customHeight="1" x14ac:dyDescent="0.2">
      <c r="A50" s="13" t="s">
        <v>56</v>
      </c>
      <c r="B50" s="13" t="s">
        <v>85</v>
      </c>
      <c r="C50" s="13" t="s">
        <v>55</v>
      </c>
      <c r="D50" s="26">
        <v>2500000</v>
      </c>
      <c r="E50" s="26">
        <v>2360.5500000000002</v>
      </c>
      <c r="F50" s="15">
        <v>8.2000000000000007E-3</v>
      </c>
      <c r="G50" s="13">
        <v>6.89</v>
      </c>
      <c r="H50" s="24"/>
      <c r="I50" s="22"/>
      <c r="J50" s="16">
        <v>46395</v>
      </c>
    </row>
    <row r="51" spans="1:10" ht="18.3" customHeight="1" x14ac:dyDescent="0.2">
      <c r="A51" s="13" t="s">
        <v>86</v>
      </c>
      <c r="B51" s="13" t="s">
        <v>87</v>
      </c>
      <c r="C51" s="13" t="s">
        <v>55</v>
      </c>
      <c r="D51" s="26">
        <v>1500000</v>
      </c>
      <c r="E51" s="26">
        <v>1409.71</v>
      </c>
      <c r="F51" s="15">
        <v>4.8999999999999998E-3</v>
      </c>
      <c r="G51" s="13">
        <v>7.02</v>
      </c>
      <c r="H51" s="24"/>
      <c r="I51" s="22"/>
      <c r="J51" s="16">
        <v>46415</v>
      </c>
    </row>
    <row r="52" spans="1:10" ht="18.3" customHeight="1" x14ac:dyDescent="0.25">
      <c r="A52" s="14" t="s">
        <v>42</v>
      </c>
      <c r="B52" s="14"/>
      <c r="C52" s="14"/>
      <c r="D52" s="27"/>
      <c r="E52" s="27">
        <v>120275.91</v>
      </c>
      <c r="F52" s="17">
        <v>0.41849999999999998</v>
      </c>
      <c r="G52" s="14"/>
      <c r="H52" s="25"/>
      <c r="I52" s="23"/>
      <c r="J52" s="14"/>
    </row>
    <row r="53" spans="1:10" ht="18.3" customHeight="1" x14ac:dyDescent="0.25">
      <c r="A53" s="12" t="s">
        <v>88</v>
      </c>
      <c r="B53" s="13"/>
      <c r="C53" s="13"/>
      <c r="D53" s="26"/>
      <c r="E53" s="26"/>
      <c r="F53" s="15"/>
      <c r="G53" s="13"/>
      <c r="H53" s="24"/>
      <c r="I53" s="22"/>
      <c r="J53" s="13"/>
    </row>
    <row r="54" spans="1:10" ht="18.3" customHeight="1" x14ac:dyDescent="0.25">
      <c r="A54" s="14" t="s">
        <v>22</v>
      </c>
      <c r="B54" s="13"/>
      <c r="C54" s="13"/>
      <c r="D54" s="26"/>
      <c r="E54" s="26"/>
      <c r="F54" s="15"/>
      <c r="G54" s="13"/>
      <c r="H54" s="24"/>
      <c r="I54" s="22"/>
      <c r="J54" s="13"/>
    </row>
    <row r="55" spans="1:10" ht="18.3" customHeight="1" x14ac:dyDescent="0.2">
      <c r="A55" s="13" t="s">
        <v>89</v>
      </c>
      <c r="B55" s="13" t="s">
        <v>90</v>
      </c>
      <c r="C55" s="13" t="s">
        <v>52</v>
      </c>
      <c r="D55" s="26">
        <v>10000000</v>
      </c>
      <c r="E55" s="26">
        <v>9809.33</v>
      </c>
      <c r="F55" s="15">
        <v>3.4099999999999998E-2</v>
      </c>
      <c r="G55" s="13">
        <v>7.17</v>
      </c>
      <c r="H55" s="24"/>
      <c r="I55" s="22"/>
      <c r="J55" s="16">
        <v>46181</v>
      </c>
    </row>
    <row r="56" spans="1:10" ht="18.3" customHeight="1" x14ac:dyDescent="0.2">
      <c r="A56" s="13" t="s">
        <v>91</v>
      </c>
      <c r="B56" s="13" t="s">
        <v>92</v>
      </c>
      <c r="C56" s="13" t="s">
        <v>55</v>
      </c>
      <c r="D56" s="26">
        <v>10000000</v>
      </c>
      <c r="E56" s="26">
        <v>9804.66</v>
      </c>
      <c r="F56" s="15">
        <v>3.4099999999999998E-2</v>
      </c>
      <c r="G56" s="13">
        <v>7.58</v>
      </c>
      <c r="H56" s="24"/>
      <c r="I56" s="22"/>
      <c r="J56" s="16">
        <v>46178</v>
      </c>
    </row>
    <row r="57" spans="1:10" ht="18.3" customHeight="1" x14ac:dyDescent="0.2">
      <c r="A57" s="13" t="s">
        <v>93</v>
      </c>
      <c r="B57" s="13" t="s">
        <v>94</v>
      </c>
      <c r="C57" s="13" t="s">
        <v>55</v>
      </c>
      <c r="D57" s="26">
        <v>10000000</v>
      </c>
      <c r="E57" s="26">
        <v>9325.07</v>
      </c>
      <c r="F57" s="15">
        <v>3.2500000000000001E-2</v>
      </c>
      <c r="G57" s="13">
        <v>7.34</v>
      </c>
      <c r="H57" s="24"/>
      <c r="I57" s="22"/>
      <c r="J57" s="16">
        <v>46442</v>
      </c>
    </row>
    <row r="58" spans="1:10" ht="18.3" customHeight="1" x14ac:dyDescent="0.2">
      <c r="A58" s="13" t="s">
        <v>91</v>
      </c>
      <c r="B58" s="13" t="s">
        <v>95</v>
      </c>
      <c r="C58" s="13" t="s">
        <v>55</v>
      </c>
      <c r="D58" s="26">
        <v>7500000</v>
      </c>
      <c r="E58" s="26">
        <v>7475.6</v>
      </c>
      <c r="F58" s="15">
        <v>2.5999999999999999E-2</v>
      </c>
      <c r="G58" s="13">
        <v>6.27</v>
      </c>
      <c r="H58" s="24"/>
      <c r="I58" s="22"/>
      <c r="J58" s="16">
        <v>46101</v>
      </c>
    </row>
    <row r="59" spans="1:10" ht="18.3" customHeight="1" x14ac:dyDescent="0.2">
      <c r="A59" s="13" t="s">
        <v>96</v>
      </c>
      <c r="B59" s="13" t="s">
        <v>97</v>
      </c>
      <c r="C59" s="13" t="s">
        <v>55</v>
      </c>
      <c r="D59" s="26">
        <v>7500000</v>
      </c>
      <c r="E59" s="26">
        <v>7381.63</v>
      </c>
      <c r="F59" s="15">
        <v>2.5700000000000001E-2</v>
      </c>
      <c r="G59" s="13">
        <v>7.91</v>
      </c>
      <c r="H59" s="24"/>
      <c r="I59" s="22"/>
      <c r="J59" s="16">
        <v>46156</v>
      </c>
    </row>
    <row r="60" spans="1:10" ht="18.3" customHeight="1" x14ac:dyDescent="0.2">
      <c r="A60" s="13" t="s">
        <v>38</v>
      </c>
      <c r="B60" s="13" t="s">
        <v>98</v>
      </c>
      <c r="C60" s="13" t="s">
        <v>55</v>
      </c>
      <c r="D60" s="26">
        <v>7500000</v>
      </c>
      <c r="E60" s="26">
        <v>7343.5</v>
      </c>
      <c r="F60" s="15">
        <v>2.5600000000000001E-2</v>
      </c>
      <c r="G60" s="13">
        <v>7.27</v>
      </c>
      <c r="H60" s="24"/>
      <c r="I60" s="22"/>
      <c r="J60" s="16">
        <v>46189</v>
      </c>
    </row>
    <row r="61" spans="1:10" ht="18.3" customHeight="1" x14ac:dyDescent="0.2">
      <c r="A61" s="13" t="s">
        <v>33</v>
      </c>
      <c r="B61" s="13" t="s">
        <v>99</v>
      </c>
      <c r="C61" s="13" t="s">
        <v>55</v>
      </c>
      <c r="D61" s="26">
        <v>6500000</v>
      </c>
      <c r="E61" s="26">
        <v>6403.16</v>
      </c>
      <c r="F61" s="15">
        <v>2.23E-2</v>
      </c>
      <c r="G61" s="13">
        <v>7.36</v>
      </c>
      <c r="H61" s="24"/>
      <c r="I61" s="22"/>
      <c r="J61" s="16">
        <v>46157</v>
      </c>
    </row>
    <row r="62" spans="1:10" ht="18.3" customHeight="1" x14ac:dyDescent="0.2">
      <c r="A62" s="13" t="s">
        <v>100</v>
      </c>
      <c r="B62" s="13" t="s">
        <v>101</v>
      </c>
      <c r="C62" s="13" t="s">
        <v>55</v>
      </c>
      <c r="D62" s="26">
        <v>5000000</v>
      </c>
      <c r="E62" s="26">
        <v>4989.93</v>
      </c>
      <c r="F62" s="15">
        <v>1.7399999999999999E-2</v>
      </c>
      <c r="G62" s="13">
        <v>6.14</v>
      </c>
      <c r="H62" s="24"/>
      <c r="I62" s="22"/>
      <c r="J62" s="16">
        <v>46094</v>
      </c>
    </row>
    <row r="63" spans="1:10" ht="18.3" customHeight="1" x14ac:dyDescent="0.2">
      <c r="A63" s="13" t="s">
        <v>96</v>
      </c>
      <c r="B63" s="13" t="s">
        <v>102</v>
      </c>
      <c r="C63" s="13" t="s">
        <v>55</v>
      </c>
      <c r="D63" s="26">
        <v>5000000</v>
      </c>
      <c r="E63" s="26">
        <v>4794.84</v>
      </c>
      <c r="F63" s="15">
        <v>1.67E-2</v>
      </c>
      <c r="G63" s="13">
        <v>7.77</v>
      </c>
      <c r="H63" s="24"/>
      <c r="I63" s="22"/>
      <c r="J63" s="16">
        <v>46283</v>
      </c>
    </row>
    <row r="64" spans="1:10" ht="18.3" customHeight="1" x14ac:dyDescent="0.2">
      <c r="A64" s="13" t="s">
        <v>91</v>
      </c>
      <c r="B64" s="13" t="s">
        <v>103</v>
      </c>
      <c r="C64" s="13" t="s">
        <v>55</v>
      </c>
      <c r="D64" s="26">
        <v>5000000</v>
      </c>
      <c r="E64" s="26">
        <v>4670.3100000000004</v>
      </c>
      <c r="F64" s="15">
        <v>1.6299999999999999E-2</v>
      </c>
      <c r="G64" s="13">
        <v>7.32</v>
      </c>
      <c r="H64" s="24"/>
      <c r="I64" s="22"/>
      <c r="J64" s="16">
        <v>46434</v>
      </c>
    </row>
    <row r="65" spans="1:10" ht="18.3" customHeight="1" x14ac:dyDescent="0.2">
      <c r="A65" s="13" t="s">
        <v>104</v>
      </c>
      <c r="B65" s="13" t="s">
        <v>105</v>
      </c>
      <c r="C65" s="13" t="s">
        <v>52</v>
      </c>
      <c r="D65" s="26">
        <v>2500000</v>
      </c>
      <c r="E65" s="26">
        <v>2465.4</v>
      </c>
      <c r="F65" s="15">
        <v>8.6E-3</v>
      </c>
      <c r="G65" s="13">
        <v>7.64</v>
      </c>
      <c r="H65" s="24"/>
      <c r="I65" s="22"/>
      <c r="J65" s="16">
        <v>46149</v>
      </c>
    </row>
    <row r="66" spans="1:10" ht="18.3" customHeight="1" x14ac:dyDescent="0.2">
      <c r="A66" s="13" t="s">
        <v>106</v>
      </c>
      <c r="B66" s="13" t="s">
        <v>107</v>
      </c>
      <c r="C66" s="13" t="s">
        <v>55</v>
      </c>
      <c r="D66" s="26">
        <v>2500000</v>
      </c>
      <c r="E66" s="26">
        <v>2451.6999999999998</v>
      </c>
      <c r="F66" s="15">
        <v>8.5000000000000006E-3</v>
      </c>
      <c r="G66" s="13">
        <v>7.12</v>
      </c>
      <c r="H66" s="24"/>
      <c r="I66" s="22"/>
      <c r="J66" s="16">
        <v>46183</v>
      </c>
    </row>
    <row r="67" spans="1:10" ht="18.3" customHeight="1" x14ac:dyDescent="0.25">
      <c r="A67" s="14" t="s">
        <v>42</v>
      </c>
      <c r="B67" s="14"/>
      <c r="C67" s="14"/>
      <c r="D67" s="27"/>
      <c r="E67" s="27">
        <v>76915.13</v>
      </c>
      <c r="F67" s="17">
        <v>0.26779999999999998</v>
      </c>
      <c r="G67" s="14"/>
      <c r="H67" s="25"/>
      <c r="I67" s="23"/>
      <c r="J67" s="14"/>
    </row>
    <row r="68" spans="1:10" ht="18.3" customHeight="1" x14ac:dyDescent="0.25">
      <c r="A68" s="12" t="s">
        <v>108</v>
      </c>
      <c r="B68" s="13"/>
      <c r="C68" s="13"/>
      <c r="D68" s="26"/>
      <c r="E68" s="26"/>
      <c r="F68" s="15"/>
      <c r="G68" s="13"/>
      <c r="H68" s="24"/>
      <c r="I68" s="22"/>
      <c r="J68" s="13"/>
    </row>
    <row r="69" spans="1:10" ht="18.3" customHeight="1" x14ac:dyDescent="0.2">
      <c r="A69" s="13" t="s">
        <v>109</v>
      </c>
      <c r="B69" s="13"/>
      <c r="C69" s="13"/>
      <c r="D69" s="26"/>
      <c r="E69" s="26">
        <v>-3.14</v>
      </c>
      <c r="F69" s="15">
        <v>0</v>
      </c>
      <c r="G69" s="13">
        <v>5.67</v>
      </c>
      <c r="H69" s="24"/>
      <c r="I69" s="22"/>
      <c r="J69" s="16">
        <v>46803</v>
      </c>
    </row>
    <row r="70" spans="1:10" ht="18.3" customHeight="1" x14ac:dyDescent="0.2">
      <c r="A70" s="13" t="s">
        <v>110</v>
      </c>
      <c r="B70" s="13"/>
      <c r="C70" s="13"/>
      <c r="D70" s="26"/>
      <c r="E70" s="26">
        <v>-34.26</v>
      </c>
      <c r="F70" s="15">
        <v>-1E-4</v>
      </c>
      <c r="G70" s="13">
        <v>5.27</v>
      </c>
      <c r="H70" s="24"/>
      <c r="I70" s="22"/>
      <c r="J70" s="16">
        <v>46087</v>
      </c>
    </row>
    <row r="71" spans="1:10" ht="18.3" customHeight="1" x14ac:dyDescent="0.25">
      <c r="A71" s="14" t="s">
        <v>42</v>
      </c>
      <c r="B71" s="14"/>
      <c r="C71" s="14"/>
      <c r="D71" s="27"/>
      <c r="E71" s="27">
        <v>-37.4</v>
      </c>
      <c r="F71" s="17">
        <v>-1E-4</v>
      </c>
      <c r="G71" s="14"/>
      <c r="H71" s="25"/>
      <c r="I71" s="23"/>
      <c r="J71" s="14"/>
    </row>
    <row r="72" spans="1:10" ht="18.3" customHeight="1" x14ac:dyDescent="0.25">
      <c r="A72" s="12" t="s">
        <v>111</v>
      </c>
      <c r="B72" s="13"/>
      <c r="C72" s="13"/>
      <c r="D72" s="26"/>
      <c r="E72" s="26"/>
      <c r="F72" s="15"/>
      <c r="G72" s="13"/>
      <c r="H72" s="24"/>
      <c r="I72" s="22"/>
      <c r="J72" s="13"/>
    </row>
    <row r="73" spans="1:10" ht="18.3" customHeight="1" x14ac:dyDescent="0.2">
      <c r="A73" s="13" t="s">
        <v>112</v>
      </c>
      <c r="B73" s="13" t="s">
        <v>113</v>
      </c>
      <c r="C73" s="13" t="s">
        <v>114</v>
      </c>
      <c r="D73" s="26">
        <v>5000000</v>
      </c>
      <c r="E73" s="26">
        <v>4957.43</v>
      </c>
      <c r="F73" s="15">
        <v>1.7299999999999999E-2</v>
      </c>
      <c r="G73" s="13">
        <v>5.22</v>
      </c>
      <c r="H73" s="24"/>
      <c r="I73" s="22"/>
      <c r="J73" s="16">
        <v>46142</v>
      </c>
    </row>
    <row r="74" spans="1:10" ht="18.3" customHeight="1" x14ac:dyDescent="0.2">
      <c r="A74" s="13" t="s">
        <v>115</v>
      </c>
      <c r="B74" s="13" t="s">
        <v>116</v>
      </c>
      <c r="C74" s="13" t="s">
        <v>114</v>
      </c>
      <c r="D74" s="26">
        <v>5000000</v>
      </c>
      <c r="E74" s="26">
        <v>4927.2700000000004</v>
      </c>
      <c r="F74" s="15">
        <v>1.7100000000000001E-2</v>
      </c>
      <c r="G74" s="13">
        <v>5.28</v>
      </c>
      <c r="H74" s="24"/>
      <c r="I74" s="22"/>
      <c r="J74" s="16">
        <v>46184</v>
      </c>
    </row>
    <row r="75" spans="1:10" ht="18.3" customHeight="1" x14ac:dyDescent="0.2">
      <c r="A75" s="13" t="s">
        <v>117</v>
      </c>
      <c r="B75" s="13" t="s">
        <v>118</v>
      </c>
      <c r="C75" s="13" t="s">
        <v>114</v>
      </c>
      <c r="D75" s="26">
        <v>5000000</v>
      </c>
      <c r="E75" s="26">
        <v>4917.45</v>
      </c>
      <c r="F75" s="15">
        <v>1.7100000000000001E-2</v>
      </c>
      <c r="G75" s="13">
        <v>5.28</v>
      </c>
      <c r="H75" s="24"/>
      <c r="I75" s="22"/>
      <c r="J75" s="16">
        <v>46198</v>
      </c>
    </row>
    <row r="76" spans="1:10" ht="18.3" customHeight="1" x14ac:dyDescent="0.2">
      <c r="A76" s="13" t="s">
        <v>119</v>
      </c>
      <c r="B76" s="13" t="s">
        <v>120</v>
      </c>
      <c r="C76" s="13" t="s">
        <v>114</v>
      </c>
      <c r="D76" s="26">
        <v>4000000</v>
      </c>
      <c r="E76" s="26">
        <v>3937.88</v>
      </c>
      <c r="F76" s="15">
        <v>1.37E-2</v>
      </c>
      <c r="G76" s="13">
        <v>5.28</v>
      </c>
      <c r="H76" s="24"/>
      <c r="I76" s="22"/>
      <c r="J76" s="16">
        <v>46191</v>
      </c>
    </row>
    <row r="77" spans="1:10" ht="18.3" customHeight="1" x14ac:dyDescent="0.2">
      <c r="A77" s="13" t="s">
        <v>121</v>
      </c>
      <c r="B77" s="13" t="s">
        <v>122</v>
      </c>
      <c r="C77" s="13" t="s">
        <v>114</v>
      </c>
      <c r="D77" s="26">
        <v>2500000</v>
      </c>
      <c r="E77" s="26">
        <v>2494.34</v>
      </c>
      <c r="F77" s="15">
        <v>8.6999999999999994E-3</v>
      </c>
      <c r="G77" s="13">
        <v>4.5999999999999996</v>
      </c>
      <c r="H77" s="24"/>
      <c r="I77" s="22"/>
      <c r="J77" s="16">
        <v>46100</v>
      </c>
    </row>
    <row r="78" spans="1:10" ht="18.3" customHeight="1" x14ac:dyDescent="0.2">
      <c r="A78" s="13" t="s">
        <v>123</v>
      </c>
      <c r="B78" s="13" t="s">
        <v>124</v>
      </c>
      <c r="C78" s="13" t="s">
        <v>114</v>
      </c>
      <c r="D78" s="26">
        <v>2500000</v>
      </c>
      <c r="E78" s="26">
        <v>2466.1</v>
      </c>
      <c r="F78" s="15">
        <v>8.6E-3</v>
      </c>
      <c r="G78" s="13">
        <v>5.28</v>
      </c>
      <c r="H78" s="24"/>
      <c r="I78" s="22"/>
      <c r="J78" s="16">
        <v>46177</v>
      </c>
    </row>
    <row r="79" spans="1:10" ht="18.3" customHeight="1" x14ac:dyDescent="0.25">
      <c r="A79" s="14" t="s">
        <v>42</v>
      </c>
      <c r="B79" s="14"/>
      <c r="C79" s="14"/>
      <c r="D79" s="27"/>
      <c r="E79" s="27">
        <v>23700.47</v>
      </c>
      <c r="F79" s="17">
        <v>8.2500000000000004E-2</v>
      </c>
      <c r="G79" s="14"/>
      <c r="H79" s="25"/>
      <c r="I79" s="23"/>
      <c r="J79" s="14"/>
    </row>
    <row r="80" spans="1:10" ht="18.3" customHeight="1" x14ac:dyDescent="0.25">
      <c r="A80" s="12" t="s">
        <v>125</v>
      </c>
      <c r="B80" s="13"/>
      <c r="C80" s="13"/>
      <c r="D80" s="26"/>
      <c r="E80" s="26"/>
      <c r="F80" s="15"/>
      <c r="G80" s="13"/>
      <c r="H80" s="24"/>
      <c r="I80" s="22"/>
      <c r="J80" s="13"/>
    </row>
    <row r="81" spans="1:11" ht="18.3" customHeight="1" x14ac:dyDescent="0.2">
      <c r="A81" s="13" t="s">
        <v>126</v>
      </c>
      <c r="B81" s="13" t="s">
        <v>127</v>
      </c>
      <c r="C81" s="13" t="s">
        <v>128</v>
      </c>
      <c r="D81" s="26">
        <v>7586.57</v>
      </c>
      <c r="E81" s="26">
        <v>885.02</v>
      </c>
      <c r="F81" s="15">
        <v>3.0999999999999999E-3</v>
      </c>
      <c r="G81" s="13">
        <v>5.45</v>
      </c>
      <c r="H81" s="24"/>
      <c r="I81" s="22"/>
      <c r="J81" s="13"/>
    </row>
    <row r="82" spans="1:11" ht="18.3" customHeight="1" x14ac:dyDescent="0.25">
      <c r="A82" s="14" t="s">
        <v>42</v>
      </c>
      <c r="B82" s="14"/>
      <c r="C82" s="14"/>
      <c r="D82" s="27"/>
      <c r="E82" s="27">
        <v>885.02</v>
      </c>
      <c r="F82" s="17">
        <v>3.0999999999999999E-3</v>
      </c>
      <c r="G82" s="14"/>
      <c r="H82" s="25"/>
      <c r="I82" s="23"/>
      <c r="J82" s="14"/>
    </row>
    <row r="83" spans="1:11" ht="18.3" customHeight="1" x14ac:dyDescent="0.25">
      <c r="A83" s="14" t="s">
        <v>129</v>
      </c>
      <c r="B83" s="14"/>
      <c r="C83" s="14"/>
      <c r="D83" s="27"/>
      <c r="E83" s="27">
        <v>19850.47</v>
      </c>
      <c r="F83" s="17">
        <v>6.9099999999999995E-2</v>
      </c>
      <c r="G83" s="14">
        <v>4.9400000000000004</v>
      </c>
      <c r="H83" s="25"/>
      <c r="I83" s="23"/>
      <c r="J83" s="16">
        <v>46083</v>
      </c>
    </row>
    <row r="84" spans="1:11" ht="18.3" customHeight="1" x14ac:dyDescent="0.2">
      <c r="A84" s="13" t="s">
        <v>130</v>
      </c>
      <c r="B84" s="13"/>
      <c r="C84" s="13"/>
      <c r="D84" s="26"/>
      <c r="E84" s="26">
        <v>50.400000000023297</v>
      </c>
      <c r="F84" s="15">
        <v>1E-4</v>
      </c>
      <c r="G84" s="13">
        <v>4.9400000000000004</v>
      </c>
      <c r="H84" s="24"/>
      <c r="I84" s="22"/>
      <c r="J84" s="13"/>
    </row>
    <row r="85" spans="1:11" ht="18.3" customHeight="1" x14ac:dyDescent="0.25">
      <c r="A85" s="14" t="s">
        <v>131</v>
      </c>
      <c r="B85" s="14"/>
      <c r="C85" s="14"/>
      <c r="D85" s="27"/>
      <c r="E85" s="27">
        <v>287362.87</v>
      </c>
      <c r="F85" s="17">
        <v>1</v>
      </c>
      <c r="G85" s="14"/>
      <c r="H85" s="25"/>
      <c r="I85" s="23"/>
      <c r="J85" s="14"/>
    </row>
    <row r="86" spans="1:11" x14ac:dyDescent="0.2">
      <c r="A86" s="11" t="s">
        <v>132</v>
      </c>
    </row>
    <row r="87" spans="1:11" x14ac:dyDescent="0.2">
      <c r="A87" s="11" t="s">
        <v>133</v>
      </c>
    </row>
    <row r="88" spans="1:11" x14ac:dyDescent="0.2">
      <c r="A88" s="11" t="s">
        <v>134</v>
      </c>
    </row>
    <row r="89" spans="1:11" x14ac:dyDescent="0.2">
      <c r="A89" s="11" t="s">
        <v>135</v>
      </c>
    </row>
    <row r="90" spans="1:11" ht="39.450000000000003" customHeight="1" x14ac:dyDescent="0.2">
      <c r="A90" s="92" t="s">
        <v>136</v>
      </c>
      <c r="B90" s="92"/>
      <c r="C90" s="92"/>
      <c r="D90" s="92"/>
      <c r="E90" s="92"/>
      <c r="F90" s="92"/>
      <c r="G90" s="92"/>
      <c r="H90" s="92"/>
      <c r="I90" s="92"/>
      <c r="J90" s="92"/>
      <c r="K90" s="92"/>
    </row>
    <row r="92" spans="1:11" x14ac:dyDescent="0.2">
      <c r="A92" s="13" t="s">
        <v>137</v>
      </c>
      <c r="B92" s="15">
        <v>6.8000000000000005E-2</v>
      </c>
    </row>
    <row r="93" spans="1:11" x14ac:dyDescent="0.2">
      <c r="A93" s="13" t="s">
        <v>138</v>
      </c>
      <c r="B93" s="28">
        <v>5.83</v>
      </c>
    </row>
    <row r="94" spans="1:11" x14ac:dyDescent="0.2">
      <c r="A94" s="13" t="s">
        <v>139</v>
      </c>
      <c r="B94" s="13"/>
    </row>
    <row r="99" spans="1:7" ht="14.55" customHeight="1" x14ac:dyDescent="0.2">
      <c r="A99" s="93" t="s">
        <v>6</v>
      </c>
      <c r="B99" s="94"/>
      <c r="C99" s="93" t="s">
        <v>0</v>
      </c>
      <c r="D99" s="94"/>
      <c r="E99" s="93" t="s">
        <v>1</v>
      </c>
      <c r="F99" s="97"/>
      <c r="G99" s="94"/>
    </row>
    <row r="100" spans="1:7" ht="14.55" customHeight="1" x14ac:dyDescent="0.2">
      <c r="A100" s="95"/>
      <c r="B100" s="96"/>
      <c r="C100" s="95"/>
      <c r="D100" s="96"/>
      <c r="E100" s="95"/>
      <c r="F100" s="98"/>
      <c r="G100" s="96"/>
    </row>
    <row r="101" spans="1:7" ht="19.95" customHeight="1" x14ac:dyDescent="0.3">
      <c r="A101" s="63" t="s">
        <v>140</v>
      </c>
      <c r="B101" s="64"/>
      <c r="C101" s="1"/>
      <c r="D101" s="2"/>
      <c r="E101" s="1"/>
      <c r="F101" s="3"/>
      <c r="G101" s="2"/>
    </row>
    <row r="102" spans="1:7" ht="19.95" customHeight="1" x14ac:dyDescent="0.3">
      <c r="A102" s="65"/>
      <c r="B102" s="66"/>
      <c r="C102" s="4"/>
      <c r="D102" s="5"/>
      <c r="E102" s="4"/>
      <c r="F102" s="6"/>
      <c r="G102" s="5"/>
    </row>
    <row r="103" spans="1:7" ht="19.95" customHeight="1" x14ac:dyDescent="0.3">
      <c r="A103" s="65"/>
      <c r="B103" s="66"/>
      <c r="C103" s="4"/>
      <c r="D103" s="5"/>
      <c r="E103" s="4"/>
      <c r="F103" s="6"/>
      <c r="G103" s="5"/>
    </row>
    <row r="104" spans="1:7" ht="19.95" customHeight="1" x14ac:dyDescent="0.3">
      <c r="A104" s="65"/>
      <c r="B104" s="66"/>
      <c r="C104" s="4"/>
      <c r="D104" s="5"/>
      <c r="E104" s="4"/>
      <c r="F104" s="6"/>
      <c r="G104" s="5"/>
    </row>
    <row r="105" spans="1:7" ht="19.95" customHeight="1" x14ac:dyDescent="0.3">
      <c r="A105" s="65"/>
      <c r="B105" s="66"/>
      <c r="C105" s="4"/>
      <c r="D105" s="5"/>
      <c r="E105" s="4"/>
      <c r="F105" s="6"/>
      <c r="G105" s="5"/>
    </row>
    <row r="106" spans="1:7" ht="19.95" customHeight="1" x14ac:dyDescent="0.3">
      <c r="A106" s="65"/>
      <c r="B106" s="66"/>
      <c r="C106" s="4"/>
      <c r="D106" s="5"/>
      <c r="E106" s="4"/>
      <c r="F106" s="6"/>
      <c r="G106" s="5"/>
    </row>
    <row r="107" spans="1:7" ht="19.95" customHeight="1" x14ac:dyDescent="0.3">
      <c r="A107" s="65"/>
      <c r="B107" s="66"/>
      <c r="C107" s="4"/>
      <c r="D107" s="5"/>
      <c r="E107" s="4"/>
      <c r="F107" s="6"/>
      <c r="G107" s="5"/>
    </row>
    <row r="108" spans="1:7" ht="19.95" customHeight="1" x14ac:dyDescent="0.3">
      <c r="A108" s="67" t="s">
        <v>4</v>
      </c>
      <c r="B108" s="68"/>
      <c r="C108" s="4"/>
      <c r="D108" s="5"/>
      <c r="E108" s="4"/>
      <c r="F108" s="6"/>
      <c r="G108" s="5"/>
    </row>
    <row r="109" spans="1:7" ht="19.95" customHeight="1" x14ac:dyDescent="0.3">
      <c r="A109" s="69"/>
      <c r="B109" s="70"/>
      <c r="C109" s="7"/>
      <c r="D109" s="5"/>
      <c r="E109" s="7"/>
      <c r="F109" s="9"/>
      <c r="G109" s="8"/>
    </row>
    <row r="110" spans="1:7" ht="14.55" customHeight="1" x14ac:dyDescent="0.2">
      <c r="A110" s="71" t="s">
        <v>2</v>
      </c>
      <c r="B110" s="72"/>
      <c r="C110" s="73"/>
      <c r="D110" s="77" t="s">
        <v>141</v>
      </c>
      <c r="E110" s="77"/>
      <c r="F110" s="77"/>
      <c r="G110" s="77"/>
    </row>
    <row r="111" spans="1:7" ht="14.55" customHeight="1" x14ac:dyDescent="0.2">
      <c r="A111" s="74"/>
      <c r="B111" s="75"/>
      <c r="C111" s="76"/>
      <c r="D111" s="78"/>
      <c r="E111" s="78"/>
      <c r="F111" s="78"/>
      <c r="G111" s="78"/>
    </row>
    <row r="112" spans="1:7" ht="14.55" customHeight="1" x14ac:dyDescent="0.2">
      <c r="A112" s="79" t="s">
        <v>3</v>
      </c>
      <c r="B112" s="80"/>
      <c r="C112" s="80"/>
      <c r="D112" s="80"/>
      <c r="E112" s="80"/>
      <c r="F112" s="80"/>
      <c r="G112" s="81"/>
    </row>
    <row r="113" spans="1:7" ht="14.55" customHeight="1" x14ac:dyDescent="0.2">
      <c r="A113" s="82"/>
      <c r="B113" s="83"/>
      <c r="C113" s="83"/>
      <c r="D113" s="83"/>
      <c r="E113" s="83"/>
      <c r="F113" s="83"/>
      <c r="G113" s="84"/>
    </row>
    <row r="114" spans="1:7" ht="14.55" customHeight="1" x14ac:dyDescent="0.2">
      <c r="A114" s="82"/>
      <c r="B114" s="83"/>
      <c r="C114" s="83"/>
      <c r="D114" s="83"/>
      <c r="E114" s="83"/>
      <c r="F114" s="83"/>
      <c r="G114" s="84"/>
    </row>
    <row r="115" spans="1:7" ht="14.55" customHeight="1" x14ac:dyDescent="0.2">
      <c r="A115" s="85"/>
      <c r="B115" s="86"/>
      <c r="C115" s="86"/>
      <c r="D115" s="86"/>
      <c r="E115" s="86"/>
      <c r="F115" s="86"/>
      <c r="G115" s="87"/>
    </row>
  </sheetData>
  <mergeCells count="22">
    <mergeCell ref="A1:J1"/>
    <mergeCell ref="A2:J2"/>
    <mergeCell ref="A3:J3"/>
    <mergeCell ref="A4:J4"/>
    <mergeCell ref="A5:J5"/>
    <mergeCell ref="F6:F7"/>
    <mergeCell ref="G6:G7"/>
    <mergeCell ref="J6:J7"/>
    <mergeCell ref="A90:K90"/>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1AA0F-99CA-40A1-A86A-0900532BD2BA}">
  <sheetPr>
    <tabColor rgb="FF92D050"/>
  </sheetPr>
  <dimension ref="A1:I38"/>
  <sheetViews>
    <sheetView showGridLines="0" workbookViewId="0"/>
  </sheetViews>
  <sheetFormatPr defaultColWidth="8.77734375" defaultRowHeight="13.8" x14ac:dyDescent="0.3"/>
  <cols>
    <col min="1" max="1" width="37.5546875" style="31" customWidth="1"/>
    <col min="2" max="2" width="20.21875" style="31" customWidth="1"/>
    <col min="3" max="3" width="18.5546875" style="31" customWidth="1"/>
    <col min="4" max="4" width="13.77734375" style="31" customWidth="1"/>
    <col min="5" max="16384" width="8.77734375" style="31"/>
  </cols>
  <sheetData>
    <row r="1" spans="1:9" x14ac:dyDescent="0.3">
      <c r="A1" s="29" t="s">
        <v>142</v>
      </c>
      <c r="B1" s="30"/>
      <c r="C1" s="30"/>
      <c r="D1" s="30"/>
      <c r="E1" s="30"/>
      <c r="F1" s="30"/>
      <c r="G1" s="30"/>
      <c r="H1" s="30"/>
      <c r="I1" s="30"/>
    </row>
    <row r="2" spans="1:9" x14ac:dyDescent="0.3">
      <c r="A2" s="32" t="s">
        <v>143</v>
      </c>
      <c r="B2" s="33"/>
      <c r="C2" s="33"/>
      <c r="D2" s="33"/>
      <c r="E2" s="33"/>
      <c r="F2" s="33"/>
    </row>
    <row r="3" spans="1:9" x14ac:dyDescent="0.3">
      <c r="A3" s="32" t="s">
        <v>144</v>
      </c>
      <c r="B3" s="33"/>
      <c r="C3" s="33"/>
      <c r="D3" s="33"/>
      <c r="E3" s="33"/>
      <c r="F3" s="33"/>
    </row>
    <row r="4" spans="1:9" x14ac:dyDescent="0.3">
      <c r="A4" s="34" t="s">
        <v>145</v>
      </c>
      <c r="B4" s="35" t="s">
        <v>146</v>
      </c>
      <c r="C4" s="36" t="s">
        <v>147</v>
      </c>
      <c r="D4" s="33"/>
      <c r="E4" s="33"/>
      <c r="F4" s="33"/>
    </row>
    <row r="5" spans="1:9" x14ac:dyDescent="0.3">
      <c r="A5" s="37" t="s">
        <v>148</v>
      </c>
      <c r="B5" s="38">
        <v>1031.7277999999999</v>
      </c>
      <c r="C5" s="39">
        <v>1031.7277999999999</v>
      </c>
      <c r="D5" s="33"/>
      <c r="E5" s="33"/>
      <c r="F5" s="33"/>
    </row>
    <row r="6" spans="1:9" x14ac:dyDescent="0.3">
      <c r="A6" s="37" t="s">
        <v>149</v>
      </c>
      <c r="B6" s="40">
        <v>1079.9409000000001</v>
      </c>
      <c r="C6" s="39">
        <v>1079.9409000000001</v>
      </c>
      <c r="D6" s="33"/>
      <c r="E6" s="33"/>
      <c r="F6" s="33"/>
    </row>
    <row r="7" spans="1:9" x14ac:dyDescent="0.3">
      <c r="A7" s="37" t="s">
        <v>150</v>
      </c>
      <c r="B7" s="40">
        <v>1428.7524000000001</v>
      </c>
      <c r="C7" s="39">
        <v>1425.6626000000001</v>
      </c>
      <c r="D7" s="33"/>
      <c r="E7" s="33"/>
      <c r="F7" s="33"/>
    </row>
    <row r="8" spans="1:9" x14ac:dyDescent="0.3">
      <c r="A8" s="37" t="s">
        <v>151</v>
      </c>
      <c r="B8" s="40">
        <v>1011.7597</v>
      </c>
      <c r="C8" s="39">
        <v>1015.4198</v>
      </c>
      <c r="D8" s="33"/>
      <c r="E8" s="33"/>
      <c r="F8" s="33"/>
    </row>
    <row r="9" spans="1:9" x14ac:dyDescent="0.3">
      <c r="A9" s="37" t="s">
        <v>152</v>
      </c>
      <c r="B9" s="40">
        <v>1007.86</v>
      </c>
      <c r="C9" s="39">
        <v>1008.4964</v>
      </c>
      <c r="D9" s="33"/>
      <c r="E9" s="33"/>
      <c r="F9" s="33"/>
    </row>
    <row r="10" spans="1:9" x14ac:dyDescent="0.3">
      <c r="A10" s="37" t="s">
        <v>153</v>
      </c>
      <c r="B10" s="40">
        <v>1407.0814</v>
      </c>
      <c r="C10" s="39">
        <v>1404.13</v>
      </c>
      <c r="D10" s="33"/>
      <c r="E10" s="33"/>
      <c r="F10" s="33"/>
    </row>
    <row r="11" spans="1:9" x14ac:dyDescent="0.3">
      <c r="A11" s="37" t="s">
        <v>154</v>
      </c>
      <c r="B11" s="40">
        <v>1027.3568</v>
      </c>
      <c r="C11" s="39">
        <v>1031.0015000000001</v>
      </c>
      <c r="D11" s="33"/>
      <c r="E11" s="33"/>
      <c r="F11" s="33"/>
    </row>
    <row r="12" spans="1:9" x14ac:dyDescent="0.3">
      <c r="A12" s="41" t="s">
        <v>155</v>
      </c>
      <c r="B12" s="42">
        <v>1041.9617000000001</v>
      </c>
      <c r="C12" s="43">
        <v>1042.6229000000001</v>
      </c>
      <c r="D12" s="33"/>
      <c r="E12" s="33"/>
      <c r="F12" s="33"/>
    </row>
    <row r="13" spans="1:9" x14ac:dyDescent="0.3">
      <c r="A13" s="44" t="s">
        <v>156</v>
      </c>
      <c r="B13" s="45"/>
      <c r="C13" s="46"/>
      <c r="D13" s="33"/>
      <c r="E13" s="33"/>
      <c r="F13" s="33"/>
    </row>
    <row r="14" spans="1:9" x14ac:dyDescent="0.3">
      <c r="A14" s="44" t="s">
        <v>157</v>
      </c>
      <c r="B14" s="45"/>
      <c r="C14" s="46"/>
      <c r="D14" s="33"/>
      <c r="E14" s="33"/>
      <c r="F14" s="33"/>
    </row>
    <row r="15" spans="1:9" x14ac:dyDescent="0.3">
      <c r="A15" s="32" t="s">
        <v>158</v>
      </c>
      <c r="B15" s="33"/>
      <c r="C15" s="33"/>
      <c r="D15" s="33"/>
      <c r="E15" s="33"/>
      <c r="F15" s="33"/>
    </row>
    <row r="16" spans="1:9" ht="36" x14ac:dyDescent="0.3">
      <c r="A16" s="47" t="s">
        <v>159</v>
      </c>
      <c r="B16" s="47" t="s">
        <v>160</v>
      </c>
      <c r="C16" s="47" t="s">
        <v>161</v>
      </c>
      <c r="D16" s="47" t="s">
        <v>162</v>
      </c>
      <c r="E16" s="47" t="s">
        <v>163</v>
      </c>
      <c r="F16" s="33"/>
    </row>
    <row r="17" spans="1:8" x14ac:dyDescent="0.3">
      <c r="A17" s="101" t="s">
        <v>164</v>
      </c>
      <c r="B17" s="48" t="s">
        <v>165</v>
      </c>
      <c r="C17" s="48" t="s">
        <v>166</v>
      </c>
      <c r="D17" s="49">
        <v>46087</v>
      </c>
      <c r="E17" s="48">
        <f>-2500-5000</f>
        <v>-7500</v>
      </c>
      <c r="F17" s="33"/>
    </row>
    <row r="18" spans="1:8" x14ac:dyDescent="0.3">
      <c r="A18" s="101"/>
      <c r="B18" s="48" t="s">
        <v>167</v>
      </c>
      <c r="C18" s="48" t="s">
        <v>168</v>
      </c>
      <c r="D18" s="49">
        <v>46087</v>
      </c>
      <c r="E18" s="48">
        <f>2500+5000</f>
        <v>7500</v>
      </c>
      <c r="F18" s="33"/>
    </row>
    <row r="19" spans="1:8" x14ac:dyDescent="0.3">
      <c r="A19" s="102" t="s">
        <v>188</v>
      </c>
      <c r="B19" s="50" t="s">
        <v>165</v>
      </c>
      <c r="C19" s="50" t="s">
        <v>166</v>
      </c>
      <c r="D19" s="51">
        <v>46803</v>
      </c>
      <c r="E19" s="50">
        <v>-5000</v>
      </c>
      <c r="F19" s="33"/>
    </row>
    <row r="20" spans="1:8" x14ac:dyDescent="0.3">
      <c r="A20" s="102"/>
      <c r="B20" s="50" t="s">
        <v>167</v>
      </c>
      <c r="C20" s="50" t="s">
        <v>168</v>
      </c>
      <c r="D20" s="51">
        <v>46254</v>
      </c>
      <c r="E20" s="50">
        <v>5000</v>
      </c>
      <c r="F20" s="33"/>
      <c r="G20" s="105"/>
      <c r="H20" s="106"/>
    </row>
    <row r="21" spans="1:8" x14ac:dyDescent="0.3">
      <c r="A21" s="52" t="s">
        <v>169</v>
      </c>
      <c r="B21" s="33"/>
      <c r="C21" s="33"/>
      <c r="D21" s="33"/>
      <c r="E21" s="33"/>
      <c r="F21" s="33"/>
    </row>
    <row r="22" spans="1:8" x14ac:dyDescent="0.3">
      <c r="A22" s="32" t="s">
        <v>170</v>
      </c>
      <c r="B22" s="33"/>
      <c r="C22" s="33"/>
      <c r="D22" s="33"/>
      <c r="E22" s="33"/>
      <c r="F22" s="33"/>
    </row>
    <row r="23" spans="1:8" x14ac:dyDescent="0.3">
      <c r="A23" s="32" t="s">
        <v>171</v>
      </c>
      <c r="B23" s="33"/>
      <c r="C23" s="33"/>
      <c r="D23" s="33"/>
      <c r="E23" s="33"/>
      <c r="F23" s="33"/>
    </row>
    <row r="24" spans="1:8" x14ac:dyDescent="0.3">
      <c r="A24" s="53" t="s">
        <v>145</v>
      </c>
      <c r="B24" s="103" t="s">
        <v>172</v>
      </c>
      <c r="C24" s="104"/>
      <c r="D24" s="33"/>
      <c r="E24" s="33"/>
      <c r="F24" s="33"/>
    </row>
    <row r="25" spans="1:8" x14ac:dyDescent="0.3">
      <c r="A25" s="54"/>
      <c r="B25" s="55" t="s">
        <v>173</v>
      </c>
      <c r="C25" s="56" t="s">
        <v>174</v>
      </c>
      <c r="D25" s="33"/>
      <c r="E25" s="33"/>
      <c r="F25" s="33"/>
    </row>
    <row r="26" spans="1:8" x14ac:dyDescent="0.3">
      <c r="A26" s="37" t="s">
        <v>175</v>
      </c>
      <c r="B26" s="57">
        <v>2.3345840000000004</v>
      </c>
      <c r="C26" s="58">
        <v>2.3345840000000004</v>
      </c>
      <c r="D26" s="33"/>
      <c r="E26" s="33"/>
      <c r="F26" s="33"/>
    </row>
    <row r="27" spans="1:8" x14ac:dyDescent="0.3">
      <c r="A27" s="37" t="s">
        <v>176</v>
      </c>
      <c r="B27" s="59">
        <v>5.8324610000000003</v>
      </c>
      <c r="C27" s="60">
        <v>5.8324610000000003</v>
      </c>
      <c r="D27" s="33"/>
      <c r="E27" s="33"/>
      <c r="F27" s="33"/>
    </row>
    <row r="28" spans="1:8" x14ac:dyDescent="0.3">
      <c r="A28" s="37" t="s">
        <v>177</v>
      </c>
      <c r="B28" s="59">
        <v>2.8190049999999998</v>
      </c>
      <c r="C28" s="60">
        <v>2.8190049999999998</v>
      </c>
      <c r="D28" s="33"/>
      <c r="E28" s="33"/>
      <c r="F28" s="33"/>
    </row>
    <row r="29" spans="1:8" x14ac:dyDescent="0.3">
      <c r="A29" s="37" t="s">
        <v>178</v>
      </c>
      <c r="B29" s="59">
        <v>2.165483</v>
      </c>
      <c r="C29" s="60">
        <v>2.165483</v>
      </c>
      <c r="D29" s="33"/>
      <c r="E29" s="33"/>
      <c r="F29" s="33"/>
    </row>
    <row r="30" spans="1:8" x14ac:dyDescent="0.3">
      <c r="A30" s="37" t="s">
        <v>179</v>
      </c>
      <c r="B30" s="59">
        <v>5.8107920000000002</v>
      </c>
      <c r="C30" s="60">
        <v>5.8107920000000002</v>
      </c>
      <c r="D30" s="33"/>
      <c r="E30" s="33"/>
      <c r="F30" s="33"/>
    </row>
    <row r="31" spans="1:8" x14ac:dyDescent="0.3">
      <c r="A31" s="41" t="s">
        <v>180</v>
      </c>
      <c r="B31" s="61">
        <v>2.847998</v>
      </c>
      <c r="C31" s="62">
        <v>2.847998</v>
      </c>
      <c r="D31" s="33"/>
      <c r="E31" s="33"/>
      <c r="F31" s="33"/>
    </row>
    <row r="32" spans="1:8" x14ac:dyDescent="0.3">
      <c r="A32" s="32" t="s">
        <v>181</v>
      </c>
      <c r="B32" s="33"/>
      <c r="C32" s="33"/>
      <c r="D32" s="33"/>
      <c r="E32" s="33"/>
      <c r="F32" s="33"/>
    </row>
    <row r="33" spans="1:6" x14ac:dyDescent="0.3">
      <c r="A33" s="32" t="s">
        <v>182</v>
      </c>
      <c r="B33" s="33"/>
      <c r="C33" s="33"/>
      <c r="D33" s="33"/>
      <c r="E33" s="33"/>
      <c r="F33" s="33"/>
    </row>
    <row r="34" spans="1:6" x14ac:dyDescent="0.3">
      <c r="A34" s="32" t="s">
        <v>183</v>
      </c>
      <c r="B34" s="33"/>
      <c r="C34" s="33"/>
      <c r="D34" s="33"/>
      <c r="E34" s="33"/>
      <c r="F34" s="33"/>
    </row>
    <row r="35" spans="1:6" x14ac:dyDescent="0.3">
      <c r="A35" s="32" t="s">
        <v>184</v>
      </c>
      <c r="B35" s="33"/>
      <c r="C35" s="33"/>
      <c r="D35" s="33"/>
      <c r="E35" s="33"/>
      <c r="F35" s="33"/>
    </row>
    <row r="36" spans="1:6" x14ac:dyDescent="0.3">
      <c r="A36" s="32" t="s">
        <v>185</v>
      </c>
      <c r="B36" s="33"/>
      <c r="C36" s="33"/>
      <c r="D36" s="33"/>
      <c r="E36" s="33"/>
      <c r="F36" s="33"/>
    </row>
    <row r="37" spans="1:6" x14ac:dyDescent="0.3">
      <c r="A37" s="32" t="s">
        <v>186</v>
      </c>
      <c r="B37" s="33"/>
      <c r="C37" s="33"/>
      <c r="D37" s="33"/>
      <c r="E37" s="33"/>
      <c r="F37" s="33"/>
    </row>
    <row r="38" spans="1:6" x14ac:dyDescent="0.3">
      <c r="A38" s="32" t="s">
        <v>187</v>
      </c>
      <c r="B38" s="33"/>
      <c r="C38" s="33"/>
      <c r="D38" s="33"/>
      <c r="E38" s="33"/>
      <c r="F38" s="33"/>
    </row>
  </sheetData>
  <mergeCells count="3">
    <mergeCell ref="A17:A18"/>
    <mergeCell ref="A19:A20"/>
    <mergeCell ref="B24:C24"/>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28022026</dc:title>
  <dc:subject>HSBC Ultra Short Duration Fund 28022026</dc:subject>
  <dc:creator>HSBC MUTUAL FUND</dc:creator>
  <cp:keywords>HSBC Ultra Short Duration Fund 28022026</cp:keywords>
  <dcterms:created xsi:type="dcterms:W3CDTF">2024-07-30T07:26:03Z</dcterms:created>
  <dcterms:modified xsi:type="dcterms:W3CDTF">2026-03-03T05:04:31Z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2026-03-02T09:33:16Z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202da6b5-7ec7-453e-b24b-e28384ad0bd4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