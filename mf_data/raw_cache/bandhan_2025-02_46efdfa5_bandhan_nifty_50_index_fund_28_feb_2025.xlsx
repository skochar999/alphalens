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E8806827-5CB1-43F6-AE35-A3CAA5BE2521}" xr6:coauthVersionLast="47" xr6:coauthVersionMax="47" xr10:uidLastSave="{00000000-0000-0000-0000-000000000000}"/>
  <bookViews>
    <workbookView xWindow="-108" yWindow="-108" windowWidth="41496" windowHeight="16896" xr2:uid="{06A66B3B-F1C0-4401-8FC4-ACA31C22703B}"/>
  </bookViews>
  <sheets>
    <sheet name="IDF029" sheetId="1" r:id="rId1"/>
  </sheets>
  <definedNames>
    <definedName name="JR_PAGE_ANCHOR_0_38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</calcChain>
</file>

<file path=xl/sharedStrings.xml><?xml version="1.0" encoding="utf-8"?>
<sst xmlns="http://schemas.openxmlformats.org/spreadsheetml/2006/main" count="259" uniqueCount="221">
  <si>
    <t>IDF029</t>
  </si>
  <si>
    <t>INDEX</t>
  </si>
  <si>
    <t>Portfolio Statement as on February 28,2025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</si>
  <si>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</si>
  <si>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</si>
  <si>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</si>
  <si>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</si>
  <si>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</si>
  <si>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</si>
  <si>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</si>
  <si>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</si>
  <si>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</si>
  <si>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</si>
  <si>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</si>
  <si>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</si>
  <si>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</si>
  <si>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</si>
  <si>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</si>
  <si>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</si>
  <si>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</si>
  <si>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</si>
  <si>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</si>
  <si>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</si>
  <si>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</si>
  <si>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</si>
  <si>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</si>
  <si>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</si>
  <si>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</si>
  <si>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</si>
  <si>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</si>
  <si>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</si>
  <si>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</si>
  <si>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</si>
  <si>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</si>
  <si>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</si>
  <si>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</si>
  <si>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</si>
  <si>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</si>
  <si>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</si>
  <si>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</si>
  <si>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</si>
  <si>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</si>
  <si>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</si>
  <si>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</si>
  <si>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</si>
  <si>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</si>
  <si>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</si>
  <si>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</si>
  <si>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</si>
  <si>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</si>
  <si>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</si>
  <si>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</si>
  <si>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</si>
  <si>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</si>
  <si>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</si>
  <si>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</si>
  <si>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</si>
  <si>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</si>
  <si>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</si>
  <si>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</si>
  <si>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</si>
  <si>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</si>
  <si>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</si>
  <si>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</si>
  <si>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</si>
  <si>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</si>
  <si>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</si>
  <si>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</si>
  <si>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</si>
  <si>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</si>
  <si>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</si>
  <si>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</si>
  <si>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</si>
  <si>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</si>
  <si>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</si>
  <si>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</si>
  <si>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</si>
  <si>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</si>
  <si>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</si>
  <si>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</si>
  <si>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</si>
  <si>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</si>
  <si>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</si>
  <si>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</si>
  <si>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</si>
  <si>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</si>
  <si>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</si>
  <si>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</si>
  <si>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</si>
  <si>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</si>
  <si>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</si>
  <si>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</si>
  <si>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</si>
  <si>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</si>
  <si>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</si>
  <si>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</si>
  <si>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</si>
  <si>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</si>
  <si>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Retailing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</si>
  <si>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</si>
  <si>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</si>
  <si>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</si>
  <si>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</si>
  <si>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</si>
  <si>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</si>
  <si>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</si>
  <si>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</si>
  <si>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</si>
  <si>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</si>
  <si>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</si>
  <si>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</si>
  <si>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</si>
  <si>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</si>
  <si>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</si>
  <si>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</si>
  <si>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</si>
  <si>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</si>
  <si>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</si>
  <si>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</si>
  <si>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</si>
  <si>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</si>
  <si>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</si>
  <si>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</si>
  <si>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</si>
  <si>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</si>
  <si>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</si>
  <si>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</si>
  <si>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</si>
  <si>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</si>
  <si>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</si>
  <si>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</si>
  <si>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</si>
  <si>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</si>
  <si>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</si>
  <si>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</si>
  <si>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</si>
  <si>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</si>
  <si>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</si>
  <si>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</si>
  <si>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</si>
  <si>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</si>
  <si>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</si>
  <si>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</si>
  <si>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</si>
  <si>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</si>
  <si>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</si>
  <si>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</si>
  <si>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</si>
  <si>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</si>
  <si>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</si>
  <si>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DRRL03</t>
  </si>
  <si>
    <t>Dr. Reddy's Laboratories Limited</t>
  </si>
  <si>
    <t>INE089A01031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</si>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</sst>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</xdr:rowOff>
    </xdr:from>
    <xdr:to>
      <xdr:col>1</xdr:col>
      <xdr:colOff>2857500</xdr:colOff>
      <xdr:row>113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DE2CE6-0C11-41F5-A237-8FAE1EF21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3964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</xdr:rowOff>
    </xdr:from>
    <xdr:to>
      <xdr:col>7</xdr:col>
      <xdr:colOff>571500</xdr:colOff>
      <xdr:row>113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FE8E2C-1CB4-4B05-B8E3-22638387F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73964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0A85-7A53-4D61-93D0-7FA46F436CEC}">
  <sheetPr codeName="Sheet38">
    <outlinePr summaryBelow="0"/>
  </sheetPr>
  <dimension ref="A1:H102"/>
  <sheetViews>
    <sheetView tabSelected="1" topLeftCell="A63" workbookViewId="0">
      <selection activeCell="B63" sqref="B63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1232214</v>
      </c>
      <c r="F8" s="18">
        <v>21346.880000000001</v>
      </c>
      <c r="G8" s="19">
        <v>0.1331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1143446</v>
      </c>
      <c r="F9" s="18">
        <v>13768.23</v>
      </c>
      <c r="G9" s="19">
        <v>8.5800000000000001E-2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1100080</v>
      </c>
      <c r="F10" s="18">
        <v>13202.06</v>
      </c>
      <c r="G10" s="19">
        <v>8.2299999999999998E-2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583772</v>
      </c>
      <c r="F11" s="18">
        <v>9852.32</v>
      </c>
      <c r="G11" s="19">
        <v>6.1400000000000003E-2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434663</v>
      </c>
      <c r="F12" s="18">
        <v>6825.08</v>
      </c>
      <c r="G12" s="19">
        <v>4.2500000000000003E-2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190773</v>
      </c>
      <c r="F13" s="18">
        <v>6035.77</v>
      </c>
      <c r="G13" s="19">
        <v>3.7600000000000001E-2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1506667</v>
      </c>
      <c r="F14" s="18">
        <v>5951.33</v>
      </c>
      <c r="G14" s="19">
        <v>3.7100000000000001E-2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165620</v>
      </c>
      <c r="F15" s="18">
        <v>5768.96</v>
      </c>
      <c r="G15" s="19">
        <v>3.5999999999999997E-2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462138</v>
      </c>
      <c r="F16" s="18">
        <v>4693.24</v>
      </c>
      <c r="G16" s="19">
        <v>2.93E-2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237963</v>
      </c>
      <c r="F17" s="18">
        <v>4528.32</v>
      </c>
      <c r="G17" s="19">
        <v>2.8199999999999999E-2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623649</v>
      </c>
      <c r="F18" s="18">
        <v>4295.6899999999996</v>
      </c>
      <c r="G18" s="19">
        <v>2.6800000000000001E-2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45359</v>
      </c>
      <c r="F19" s="18">
        <v>3869.26</v>
      </c>
      <c r="G19" s="19">
        <v>2.41E-2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143485</v>
      </c>
      <c r="F20" s="18">
        <v>3709.23</v>
      </c>
      <c r="G20" s="19">
        <v>2.3099999999999999E-2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39</v>
      </c>
      <c r="E21" s="17">
        <v>143866</v>
      </c>
      <c r="F21" s="18">
        <v>3151.03</v>
      </c>
      <c r="G21" s="19">
        <v>1.9599999999999999E-2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174933</v>
      </c>
      <c r="F22" s="18">
        <v>2787.12</v>
      </c>
      <c r="G22" s="19">
        <v>1.7399999999999999E-2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171554</v>
      </c>
      <c r="F23" s="18">
        <v>2702.06</v>
      </c>
      <c r="G23" s="19">
        <v>1.6799999999999999E-2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59</v>
      </c>
      <c r="E24" s="17">
        <v>21326</v>
      </c>
      <c r="F24" s="18">
        <v>2547.5700000000002</v>
      </c>
      <c r="G24" s="19">
        <v>1.5900000000000001E-2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767338</v>
      </c>
      <c r="F25" s="18">
        <v>2389.87</v>
      </c>
      <c r="G25" s="19">
        <v>1.49E-2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59</v>
      </c>
      <c r="E26" s="17">
        <v>339714</v>
      </c>
      <c r="F26" s="18">
        <v>2108.4299999999998</v>
      </c>
      <c r="G26" s="19">
        <v>1.3100000000000001E-2</v>
      </c>
      <c r="H26" s="20"/>
    </row>
    <row r="27" spans="1:8" ht="12.9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67051</v>
      </c>
      <c r="F27" s="18">
        <v>2063.33</v>
      </c>
      <c r="G27" s="19">
        <v>1.29E-2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18483</v>
      </c>
      <c r="F28" s="18">
        <v>1872.04</v>
      </c>
      <c r="G28" s="19">
        <v>1.17E-2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1342793</v>
      </c>
      <c r="F29" s="18">
        <v>1842.31</v>
      </c>
      <c r="G29" s="19">
        <v>1.15E-2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76</v>
      </c>
      <c r="E30" s="17">
        <v>734085</v>
      </c>
      <c r="F30" s="18">
        <v>1841.45</v>
      </c>
      <c r="G30" s="19">
        <v>1.15E-2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35983</v>
      </c>
      <c r="F31" s="18">
        <v>1745.73</v>
      </c>
      <c r="G31" s="19">
        <v>1.09E-2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55</v>
      </c>
      <c r="E32" s="17">
        <v>88630</v>
      </c>
      <c r="F32" s="18">
        <v>1659.42</v>
      </c>
      <c r="G32" s="19">
        <v>1.03E-2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83</v>
      </c>
      <c r="E33" s="17">
        <v>73292</v>
      </c>
      <c r="F33" s="18">
        <v>1597.58</v>
      </c>
      <c r="G33" s="19">
        <v>0.01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27</v>
      </c>
      <c r="E34" s="17">
        <v>102882</v>
      </c>
      <c r="F34" s="18">
        <v>1530.73</v>
      </c>
      <c r="G34" s="19">
        <v>9.4999999999999998E-3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235561</v>
      </c>
      <c r="F35" s="18">
        <v>1494.28</v>
      </c>
      <c r="G35" s="19">
        <v>9.2999999999999992E-3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91</v>
      </c>
      <c r="E36" s="17">
        <v>155518</v>
      </c>
      <c r="F36" s="18">
        <v>1478.51</v>
      </c>
      <c r="G36" s="19">
        <v>9.1999999999999998E-3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579577</v>
      </c>
      <c r="F37" s="18">
        <v>1427.21</v>
      </c>
      <c r="G37" s="19">
        <v>8.8999999999999999E-3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59</v>
      </c>
      <c r="E38" s="17">
        <v>17984</v>
      </c>
      <c r="F38" s="18">
        <v>1421.26</v>
      </c>
      <c r="G38" s="19">
        <v>8.8999999999999999E-3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628581</v>
      </c>
      <c r="F39" s="18">
        <v>1415.88</v>
      </c>
      <c r="G39" s="19">
        <v>8.8000000000000005E-3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55</v>
      </c>
      <c r="E40" s="17">
        <v>226472</v>
      </c>
      <c r="F40" s="18">
        <v>1398.01</v>
      </c>
      <c r="G40" s="19">
        <v>8.6999999999999994E-3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87</v>
      </c>
      <c r="E41" s="17">
        <v>60216</v>
      </c>
      <c r="F41" s="18">
        <v>1388.97</v>
      </c>
      <c r="G41" s="19">
        <v>8.6999999999999994E-3</v>
      </c>
      <c r="H41" s="20"/>
    </row>
    <row r="42" spans="1:8" ht="12.9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367534</v>
      </c>
      <c r="F42" s="18">
        <v>1357.49</v>
      </c>
      <c r="G42" s="19">
        <v>8.5000000000000006E-3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119442</v>
      </c>
      <c r="F43" s="18">
        <v>1277.31</v>
      </c>
      <c r="G43" s="19">
        <v>8.0000000000000002E-3</v>
      </c>
      <c r="H43" s="20"/>
    </row>
    <row r="44" spans="1:8" ht="12.9" customHeight="1">
      <c r="A44" s="15" t="s">
        <v>140</v>
      </c>
      <c r="B44" s="16" t="s">
        <v>141</v>
      </c>
      <c r="C44" s="12" t="s">
        <v>142</v>
      </c>
      <c r="D44" s="13" t="s">
        <v>27</v>
      </c>
      <c r="E44" s="17">
        <v>458920</v>
      </c>
      <c r="F44" s="18">
        <v>1274.19</v>
      </c>
      <c r="G44" s="19">
        <v>7.9000000000000008E-3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58040</v>
      </c>
      <c r="F45" s="18">
        <v>1270.8699999999999</v>
      </c>
      <c r="G45" s="19">
        <v>7.9000000000000008E-3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66</v>
      </c>
      <c r="E46" s="17">
        <v>89080</v>
      </c>
      <c r="F46" s="18">
        <v>1253.8</v>
      </c>
      <c r="G46" s="19">
        <v>7.7999999999999996E-3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66</v>
      </c>
      <c r="E47" s="17">
        <v>98835</v>
      </c>
      <c r="F47" s="18">
        <v>1103.49</v>
      </c>
      <c r="G47" s="19">
        <v>6.8999999999999999E-3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59</v>
      </c>
      <c r="E48" s="17">
        <v>22299</v>
      </c>
      <c r="F48" s="18">
        <v>1064.47</v>
      </c>
      <c r="G48" s="19">
        <v>6.6E-3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16</v>
      </c>
      <c r="E49" s="17">
        <v>107049</v>
      </c>
      <c r="F49" s="18">
        <v>1059.8900000000001</v>
      </c>
      <c r="G49" s="19">
        <v>6.6E-3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173212</v>
      </c>
      <c r="F50" s="18">
        <v>1054</v>
      </c>
      <c r="G50" s="19">
        <v>6.6E-3</v>
      </c>
      <c r="H50" s="20"/>
    </row>
    <row r="51" spans="1:8" ht="12.9" customHeight="1">
      <c r="A51" s="15" t="s">
        <v>163</v>
      </c>
      <c r="B51" s="16" t="s">
        <v>164</v>
      </c>
      <c r="C51" s="12" t="s">
        <v>165</v>
      </c>
      <c r="D51" s="13" t="s">
        <v>162</v>
      </c>
      <c r="E51" s="17">
        <v>72521</v>
      </c>
      <c r="F51" s="18">
        <v>1037.4100000000001</v>
      </c>
      <c r="G51" s="19">
        <v>6.4999999999999997E-3</v>
      </c>
      <c r="H51" s="20"/>
    </row>
    <row r="52" spans="1:8" ht="12.9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105416</v>
      </c>
      <c r="F52" s="18">
        <v>1015.89</v>
      </c>
      <c r="G52" s="19">
        <v>6.3E-3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16406</v>
      </c>
      <c r="F53" s="18">
        <v>992.99</v>
      </c>
      <c r="G53" s="19">
        <v>6.1999999999999998E-3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146</v>
      </c>
      <c r="E54" s="17">
        <v>19099</v>
      </c>
      <c r="F54" s="18">
        <v>877.68</v>
      </c>
      <c r="G54" s="19">
        <v>5.4999999999999997E-3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40346</v>
      </c>
      <c r="F55" s="18">
        <v>845.65</v>
      </c>
      <c r="G55" s="19">
        <v>5.3E-3</v>
      </c>
      <c r="H55" s="20"/>
    </row>
    <row r="56" spans="1:8" ht="12.9" customHeight="1">
      <c r="A56" s="15" t="s">
        <v>181</v>
      </c>
      <c r="B56" s="16" t="s">
        <v>182</v>
      </c>
      <c r="C56" s="12" t="s">
        <v>183</v>
      </c>
      <c r="D56" s="13" t="s">
        <v>59</v>
      </c>
      <c r="E56" s="17">
        <v>21007</v>
      </c>
      <c r="F56" s="18">
        <v>773.29</v>
      </c>
      <c r="G56" s="19">
        <v>4.7999999999999996E-3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313659</v>
      </c>
      <c r="F57" s="18">
        <v>744.31</v>
      </c>
      <c r="G57" s="19">
        <v>4.5999999999999999E-3</v>
      </c>
      <c r="H57" s="20"/>
    </row>
    <row r="58" spans="1:8" ht="12.9" customHeight="1">
      <c r="A58" s="4"/>
      <c r="B58" s="21" t="s">
        <v>187</v>
      </c>
      <c r="C58" s="22"/>
      <c r="D58" s="21"/>
      <c r="E58" s="21"/>
      <c r="F58" s="23">
        <v>160711.89000000001</v>
      </c>
      <c r="G58" s="24">
        <v>1.0018</v>
      </c>
      <c r="H58" s="25"/>
    </row>
    <row r="59" spans="1:8" ht="12.9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" customHeight="1">
      <c r="A61" s="4"/>
      <c r="B61" s="21" t="s">
        <v>190</v>
      </c>
      <c r="C61" s="26"/>
      <c r="D61" s="27"/>
      <c r="E61" s="29"/>
      <c r="F61" s="30">
        <v>160711.89000000001</v>
      </c>
      <c r="G61" s="31">
        <v>1.0018</v>
      </c>
      <c r="H61" s="32"/>
    </row>
    <row r="62" spans="1:8" ht="12.9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" customHeight="1">
      <c r="A64" s="15" t="s">
        <v>193</v>
      </c>
      <c r="B64" s="16" t="s">
        <v>194</v>
      </c>
      <c r="C64" s="12"/>
      <c r="D64" s="13"/>
      <c r="E64" s="34"/>
      <c r="F64" s="18">
        <v>352.82</v>
      </c>
      <c r="G64" s="19">
        <v>2.2000000000000001E-3</v>
      </c>
      <c r="H64" s="20">
        <v>6.2618999999999994E-2</v>
      </c>
    </row>
    <row r="65" spans="1:8" ht="12.9" customHeight="1">
      <c r="A65" s="4"/>
      <c r="B65" s="21" t="s">
        <v>190</v>
      </c>
      <c r="C65" s="26"/>
      <c r="D65" s="27"/>
      <c r="E65" s="29"/>
      <c r="F65" s="30">
        <v>352.82</v>
      </c>
      <c r="G65" s="31">
        <v>2.2000000000000001E-3</v>
      </c>
      <c r="H65" s="32"/>
    </row>
    <row r="66" spans="1:8" ht="12.9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2.9" customHeight="1">
      <c r="A67" s="4"/>
      <c r="B67" s="27" t="s">
        <v>196</v>
      </c>
      <c r="C67" s="26"/>
      <c r="D67" s="27"/>
      <c r="E67" s="27"/>
      <c r="F67" s="23">
        <v>2.4300000000000002</v>
      </c>
      <c r="G67" s="38" t="s">
        <v>197</v>
      </c>
      <c r="H67" s="37"/>
    </row>
    <row r="68" spans="1:8" ht="12.9" customHeight="1">
      <c r="A68" s="4"/>
      <c r="B68" s="21" t="s">
        <v>187</v>
      </c>
      <c r="C68" s="22"/>
      <c r="D68" s="21"/>
      <c r="E68" s="21"/>
      <c r="F68" s="23">
        <v>2.4300000000000002</v>
      </c>
      <c r="G68" s="38" t="s">
        <v>197</v>
      </c>
      <c r="H68" s="37"/>
    </row>
    <row r="69" spans="1:8" ht="12.9" customHeight="1">
      <c r="A69" s="4"/>
      <c r="B69" s="21" t="s">
        <v>198</v>
      </c>
      <c r="C69" s="26"/>
      <c r="D69" s="27"/>
      <c r="E69" s="27"/>
      <c r="F69" s="23">
        <v>-645.87</v>
      </c>
      <c r="G69" s="39">
        <v>-4.0000000000000001E-3</v>
      </c>
      <c r="H69" s="37"/>
    </row>
    <row r="70" spans="1:8" ht="12.9" customHeight="1" thickBot="1">
      <c r="A70" s="4"/>
      <c r="B70" s="40" t="s">
        <v>199</v>
      </c>
      <c r="C70" s="41"/>
      <c r="D70" s="42"/>
      <c r="E70" s="42"/>
      <c r="F70" s="43">
        <v>160421.26767093211</v>
      </c>
      <c r="G70" s="44">
        <v>1</v>
      </c>
      <c r="H70" s="45"/>
    </row>
    <row r="71" spans="1:8" ht="12.9" customHeight="1">
      <c r="A71" s="4"/>
      <c r="B71" s="46"/>
      <c r="C71" s="4"/>
      <c r="D71" s="4"/>
      <c r="E71" s="4"/>
      <c r="F71" s="4"/>
      <c r="G71" s="4"/>
      <c r="H71" s="4"/>
    </row>
    <row r="72" spans="1:8" ht="12.9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2.9" customHeight="1">
      <c r="A73" s="4"/>
      <c r="B73" s="46"/>
      <c r="C73" s="4"/>
      <c r="D73" s="4"/>
      <c r="E73" s="4"/>
      <c r="F73" s="4"/>
      <c r="G73" s="4"/>
      <c r="H73" s="4"/>
    </row>
    <row r="74" spans="1:8" ht="12.9" customHeight="1">
      <c r="A74" s="4"/>
      <c r="B74" s="46"/>
      <c r="C74" s="4"/>
      <c r="D74" s="4"/>
      <c r="E74" s="4"/>
      <c r="F74" s="4"/>
      <c r="G74" s="4"/>
      <c r="H74" s="4"/>
    </row>
    <row r="75" spans="1:8">
      <c r="B75" s="47" t="s">
        <v>201</v>
      </c>
      <c r="C75" s="4"/>
    </row>
    <row r="76" spans="1:8">
      <c r="B76" s="48" t="s">
        <v>202</v>
      </c>
      <c r="C76" s="48" t="s">
        <v>9</v>
      </c>
    </row>
    <row r="77" spans="1:8">
      <c r="B77" s="49" t="str">
        <f>+B8</f>
        <v>HDFC Bank Limited</v>
      </c>
      <c r="C77" s="50">
        <f>+G8</f>
        <v>0.1331</v>
      </c>
    </row>
    <row r="78" spans="1:8">
      <c r="B78" s="49" t="str">
        <f t="shared" ref="B78:B83" si="0">+B9</f>
        <v>ICICI Bank Limited</v>
      </c>
      <c r="C78" s="50">
        <f t="shared" ref="C78:C83" si="1">+G9</f>
        <v>8.5800000000000001E-2</v>
      </c>
    </row>
    <row r="79" spans="1:8">
      <c r="B79" s="49" t="str">
        <f t="shared" si="0"/>
        <v>Reliance Industries Limited</v>
      </c>
      <c r="C79" s="50">
        <f t="shared" si="1"/>
        <v>8.2299999999999998E-2</v>
      </c>
    </row>
    <row r="80" spans="1:8">
      <c r="B80" s="49" t="str">
        <f t="shared" si="0"/>
        <v>Infosys Limited</v>
      </c>
      <c r="C80" s="50">
        <f t="shared" si="1"/>
        <v>6.1400000000000003E-2</v>
      </c>
    </row>
    <row r="81" spans="2:3">
      <c r="B81" s="49" t="str">
        <f t="shared" si="0"/>
        <v>Bharti Airtel Limited</v>
      </c>
      <c r="C81" s="50">
        <f t="shared" si="1"/>
        <v>4.2500000000000003E-2</v>
      </c>
    </row>
    <row r="82" spans="2:3">
      <c r="B82" s="49" t="str">
        <f t="shared" si="0"/>
        <v>Larsen &amp; Toubro Limited</v>
      </c>
      <c r="C82" s="50">
        <f t="shared" si="1"/>
        <v>3.7600000000000001E-2</v>
      </c>
    </row>
    <row r="83" spans="2:3">
      <c r="B83" s="49" t="str">
        <f t="shared" si="0"/>
        <v>ITC Limited</v>
      </c>
      <c r="C83" s="50">
        <f t="shared" si="1"/>
        <v>3.7100000000000001E-2</v>
      </c>
    </row>
    <row r="85" spans="2:3">
      <c r="B85" s="47" t="s">
        <v>203</v>
      </c>
    </row>
    <row r="86" spans="2:3">
      <c r="B86" s="48" t="s">
        <v>204</v>
      </c>
      <c r="C86" s="48" t="s">
        <v>9</v>
      </c>
    </row>
    <row r="87" spans="2:3">
      <c r="B87" s="49" t="s">
        <v>205</v>
      </c>
      <c r="C87" s="50">
        <v>0.13969999999999999</v>
      </c>
    </row>
    <row r="88" spans="2:3">
      <c r="B88" s="49" t="s">
        <v>206</v>
      </c>
      <c r="C88" s="50">
        <v>9.0699999999999989E-2</v>
      </c>
    </row>
    <row r="89" spans="2:3">
      <c r="B89" s="49" t="s">
        <v>207</v>
      </c>
      <c r="C89" s="50">
        <v>8.5800000000000001E-2</v>
      </c>
    </row>
    <row r="90" spans="2:3">
      <c r="B90" s="49" t="s">
        <v>208</v>
      </c>
      <c r="C90" s="50">
        <v>8.2299999999999998E-2</v>
      </c>
    </row>
    <row r="91" spans="2:3">
      <c r="B91" s="49" t="s">
        <v>209</v>
      </c>
      <c r="C91" s="50">
        <v>6.3700000000000007E-2</v>
      </c>
    </row>
    <row r="92" spans="2:3">
      <c r="B92" s="49" t="s">
        <v>210</v>
      </c>
      <c r="C92" s="50">
        <v>6.1400000000000003E-2</v>
      </c>
    </row>
    <row r="93" spans="2:3">
      <c r="B93" s="49" t="s">
        <v>211</v>
      </c>
      <c r="C93" s="50">
        <v>4.2500000000000003E-2</v>
      </c>
    </row>
    <row r="95" spans="2:3">
      <c r="B95" s="47" t="s">
        <v>212</v>
      </c>
    </row>
    <row r="96" spans="2:3">
      <c r="B96" s="48" t="s">
        <v>213</v>
      </c>
      <c r="C96" s="48" t="s">
        <v>9</v>
      </c>
    </row>
    <row r="97" spans="2:6">
      <c r="B97" s="49" t="s">
        <v>214</v>
      </c>
      <c r="C97" s="50">
        <v>0.36599999999999994</v>
      </c>
    </row>
    <row r="98" spans="2:6">
      <c r="B98" s="49" t="s">
        <v>215</v>
      </c>
      <c r="C98" s="50">
        <v>0.13159999999999999</v>
      </c>
    </row>
    <row r="99" spans="2:6">
      <c r="B99" s="49" t="s">
        <v>216</v>
      </c>
      <c r="C99" s="50">
        <v>0.1042</v>
      </c>
    </row>
    <row r="100" spans="2:6">
      <c r="B100" s="49" t="s">
        <v>217</v>
      </c>
      <c r="C100" s="50">
        <v>7.6399999999999996E-2</v>
      </c>
    </row>
    <row r="101" spans="2:6">
      <c r="F101" s="51" t="s">
        <v>218</v>
      </c>
    </row>
    <row r="102" spans="2:6">
      <c r="B102" s="51" t="s">
        <v>219</v>
      </c>
      <c r="F102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2025-03-06T13:13:12Z</dcterms:created>
  <dcterms:modified xsi:type="dcterms:W3CDTF">2025-03-06T13:13:12Z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0fd570e0-3a20-41b4-b5a6-9e03bcb1f67d</vt:lpwstr>
  </property>
  <property fmtid="{D5CDD505-2E9C-101B-9397-08002B2CF9AE}" pid="8" name="MSIP_Label_af1741f6-9e47-426e-a683-937c37d4ebc5_ContentBits">
    <vt:lpwstr>3</vt:lpwstr>
  </property>
</Properties>
</file>