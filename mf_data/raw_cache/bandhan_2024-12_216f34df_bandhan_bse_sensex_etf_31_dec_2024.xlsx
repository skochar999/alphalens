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9E7E133B-7C08-45D6-BD10-8047596103ED}" xr6:coauthVersionLast="47" xr6:coauthVersionMax="47" xr10:uidLastSave="{00000000-0000-0000-0000-000000000000}"/>
  <bookViews>
    <workbookView xWindow="-108" yWindow="-108" windowWidth="41496" windowHeight="16896" xr2:uid="{56771A0B-8B53-4C2D-9921-5470AFAE1F41}"/>
  </bookViews>
  <sheets>
    <sheet name="IDF229" sheetId="1" r:id="rId1"/>
  </sheets>
  <definedNames>
    <definedName name="JR_PAGE_ANCHOR_0_41">'IDF229'!$A$2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</calcChain>
</file>

<file path=xl/sharedStrings.xml><?xml version="1.0" encoding="utf-8"?>
<sst xmlns="http://schemas.openxmlformats.org/spreadsheetml/2006/main" count="168" uniqueCount="145">
  <si>
    <t>IDF229</t>
  </si>
  <si>
    <t>INDEX</t>
  </si>
  <si>
    <t>Portfolio Statement as on December 31,2024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</si>
  <si>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</si>
  <si>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</si>
  <si>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</si>
  <si>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</si>
  <si>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</si>
  <si>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</si>
  <si>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</si>
  <si>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</si>
  <si>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</si>
  <si>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</si>
  <si>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</si>
  <si>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</si>
  <si>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</si>
  <si>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</si>
  <si>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</si>
  <si>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</si>
  <si>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</si>
  <si>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</si>
  <si>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</si>
  <si>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</si>
  <si>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</si>
  <si>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</si>
  <si>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</si>
  <si>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</si>
  <si>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</si>
  <si>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</si>
  <si>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</si>
  <si>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</si>
  <si>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</si>
  <si>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</si>
  <si>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</si>
  <si>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</si>
  <si>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</si>
  <si>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</si>
  <si>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</si>
  <si>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</si>
  <si>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</si>
  <si>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</si>
  <si>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</si>
  <si>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</si>
  <si>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</si>
  <si>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</si>
  <si>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</si>
  <si>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</si>
  <si>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</si>
  <si>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</si>
  <si>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</si>
  <si>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</si>
  <si>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</si>
  <si>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</si>
  <si>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</si>
  <si>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</si>
  <si>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</si>
  <si>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</si>
  <si>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</si>
  <si>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</si>
  <si>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</si>
  <si>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</si>
  <si>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</si>
  <si>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</si>
  <si>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</si>
  <si>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</si>
  <si>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</si>
  <si>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</si>
  <si>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</si>
  <si>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</si>
  <si>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</si>
  <si>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</si>
  <si>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</si>
  <si>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</si>
  <si>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</si>
  <si>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</si>
  <si>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</si>
  <si>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</si>
  <si>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</si>
  <si>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</si>
  <si>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</si>
  <si>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</si>
  <si>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</si>
  <si>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</si>
  <si>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</si>
  <si>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</si>
  <si>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</si>
  <si>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</si>
  <si>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</si>
  <si>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</si>
  <si>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</si>
  <si>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</si>
  <si>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</si>
  <si>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</si>
  <si>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</si>
  <si>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</si>
  <si>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</si>
  <si>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</si>
  <si>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</si>
  <si>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</si>
  <si>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</si>
  <si>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</si>
  <si>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</si>
  <si>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</si>
  <si>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</si>
  <si>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</si>
  <si>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</si>
  <si>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</si>
  <si>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</si>
  <si>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</si>
  <si>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</si>
  <si>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</si>
  <si>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</si>
  <si>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</si>
  <si>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</si>
  <si>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</si>
  <si>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</si>
  <si>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</si>
  <si>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</si>
  <si>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</si>
  <si>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</si>
  <si>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</si>
  <si>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</si>
  <si>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</si>
  <si>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</si>
  <si>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</si>
  <si>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</si>
  <si>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</si>
  <si>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</si>
  <si>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</si>
  <si>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</si>
  <si>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</si>
  <si>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</si>
  <si>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</si>
  <si>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</si>
  <si>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ITC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</si>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</sst>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8" fillId="0" borderId="1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DDE56-9D7F-4274-AD88-1B4705951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3487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7</xdr:col>
      <xdr:colOff>556260</xdr:colOff>
      <xdr:row>88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7B5B00-D298-41AB-9154-96223110D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3487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0A7E-4C5A-489E-B40D-E27BFF18BA6B}">
  <sheetPr codeName="Sheet41">
    <outlinePr summaryBelow="0"/>
  </sheetPr>
  <dimension ref="A1:H77"/>
  <sheetViews>
    <sheetView tabSelected="1" topLeftCell="A49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980</v>
      </c>
      <c r="F8" s="18">
        <v>17.37</v>
      </c>
      <c r="G8" s="19">
        <v>0.14710000000000001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914</v>
      </c>
      <c r="F9" s="18">
        <v>11.72</v>
      </c>
      <c r="G9" s="19">
        <v>9.9199999999999997E-2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877</v>
      </c>
      <c r="F10" s="18">
        <v>10.66</v>
      </c>
      <c r="G10" s="19">
        <v>9.0300000000000005E-2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468</v>
      </c>
      <c r="F11" s="18">
        <v>8.8000000000000007</v>
      </c>
      <c r="G11" s="19">
        <v>7.4499999999999997E-2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1199</v>
      </c>
      <c r="F12" s="18">
        <v>5.8</v>
      </c>
      <c r="G12" s="19">
        <v>4.9099999999999998E-2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347</v>
      </c>
      <c r="F13" s="18">
        <v>5.51</v>
      </c>
      <c r="G13" s="19">
        <v>4.6699999999999998E-2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151</v>
      </c>
      <c r="F14" s="18">
        <v>5.45</v>
      </c>
      <c r="G14" s="19">
        <v>4.6100000000000002E-2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131</v>
      </c>
      <c r="F15" s="18">
        <v>5.37</v>
      </c>
      <c r="G15" s="19">
        <v>4.5499999999999999E-2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497</v>
      </c>
      <c r="F16" s="18">
        <v>3.95</v>
      </c>
      <c r="G16" s="19">
        <v>3.3500000000000002E-2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369</v>
      </c>
      <c r="F17" s="18">
        <v>3.93</v>
      </c>
      <c r="G17" s="19">
        <v>3.3300000000000003E-2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114</v>
      </c>
      <c r="F18" s="18">
        <v>3.43</v>
      </c>
      <c r="G18" s="19">
        <v>2.9000000000000001E-2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191</v>
      </c>
      <c r="F19" s="18">
        <v>3.41</v>
      </c>
      <c r="G19" s="19">
        <v>2.8899999999999999E-2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116</v>
      </c>
      <c r="F20" s="18">
        <v>2.7</v>
      </c>
      <c r="G20" s="19">
        <v>2.29E-2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140</v>
      </c>
      <c r="F21" s="18">
        <v>2.64</v>
      </c>
      <c r="G21" s="19">
        <v>2.23E-2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27</v>
      </c>
      <c r="E22" s="17">
        <v>137</v>
      </c>
      <c r="F22" s="18">
        <v>2.63</v>
      </c>
      <c r="G22" s="19">
        <v>2.23E-2</v>
      </c>
      <c r="H22" s="20"/>
    </row>
    <row r="23" spans="1:8" ht="13.05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886</v>
      </c>
      <c r="F23" s="18">
        <v>2.46</v>
      </c>
      <c r="G23" s="19">
        <v>2.0899999999999998E-2</v>
      </c>
      <c r="H23" s="20"/>
    </row>
    <row r="24" spans="1:8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36</v>
      </c>
      <c r="F24" s="18">
        <v>2.46</v>
      </c>
      <c r="G24" s="19">
        <v>2.0799999999999999E-2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616</v>
      </c>
      <c r="F25" s="18">
        <v>2.0499999999999998</v>
      </c>
      <c r="G25" s="19">
        <v>1.7399999999999999E-2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52</v>
      </c>
      <c r="E26" s="17">
        <v>272</v>
      </c>
      <c r="F26" s="18">
        <v>2.0099999999999998</v>
      </c>
      <c r="G26" s="19">
        <v>1.7100000000000001E-2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52</v>
      </c>
      <c r="E27" s="17">
        <v>17</v>
      </c>
      <c r="F27" s="18">
        <v>1.85</v>
      </c>
      <c r="G27" s="19">
        <v>1.5599999999999999E-2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77</v>
      </c>
      <c r="E28" s="17">
        <v>590</v>
      </c>
      <c r="F28" s="18">
        <v>1.82</v>
      </c>
      <c r="G28" s="19">
        <v>1.54E-2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54</v>
      </c>
      <c r="F29" s="18">
        <v>1.76</v>
      </c>
      <c r="G29" s="19">
        <v>1.49E-2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15</v>
      </c>
      <c r="F30" s="18">
        <v>1.71</v>
      </c>
      <c r="G30" s="19">
        <v>1.4500000000000001E-2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1068</v>
      </c>
      <c r="F31" s="18">
        <v>1.47</v>
      </c>
      <c r="G31" s="19">
        <v>1.2500000000000001E-2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27</v>
      </c>
      <c r="E32" s="17">
        <v>82</v>
      </c>
      <c r="F32" s="18">
        <v>1.4</v>
      </c>
      <c r="G32" s="19">
        <v>1.18E-2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90</v>
      </c>
      <c r="E33" s="17">
        <v>58</v>
      </c>
      <c r="F33" s="18">
        <v>1.32</v>
      </c>
      <c r="G33" s="19">
        <v>1.12E-2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95</v>
      </c>
      <c r="F34" s="18">
        <v>1.17</v>
      </c>
      <c r="G34" s="19">
        <v>9.9000000000000008E-3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73</v>
      </c>
      <c r="E35" s="17">
        <v>70</v>
      </c>
      <c r="F35" s="18">
        <v>1.1000000000000001</v>
      </c>
      <c r="G35" s="19">
        <v>9.2999999999999992E-3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46</v>
      </c>
      <c r="F36" s="18">
        <v>1</v>
      </c>
      <c r="G36" s="19">
        <v>8.5000000000000006E-3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16</v>
      </c>
      <c r="E37" s="17">
        <v>86</v>
      </c>
      <c r="F37" s="18">
        <v>0.83</v>
      </c>
      <c r="G37" s="19">
        <v>7.0000000000000001E-3</v>
      </c>
      <c r="H37" s="20"/>
    </row>
    <row r="38" spans="1:8" ht="13.05" customHeight="1">
      <c r="A38" s="4"/>
      <c r="B38" s="21" t="s">
        <v>119</v>
      </c>
      <c r="C38" s="22"/>
      <c r="D38" s="21"/>
      <c r="E38" s="21"/>
      <c r="F38" s="23">
        <v>117.78</v>
      </c>
      <c r="G38" s="24">
        <v>0.99750000000000005</v>
      </c>
      <c r="H38" s="25"/>
    </row>
    <row r="39" spans="1:8" ht="13.05" customHeight="1">
      <c r="A39" s="4"/>
      <c r="B39" s="11" t="s">
        <v>120</v>
      </c>
      <c r="C39" s="26"/>
      <c r="D39" s="27"/>
      <c r="E39" s="27"/>
      <c r="F39" s="28" t="s">
        <v>121</v>
      </c>
      <c r="G39" s="28" t="s">
        <v>121</v>
      </c>
      <c r="H39" s="25" t="s">
        <v>121</v>
      </c>
    </row>
    <row r="40" spans="1:8" ht="13.05" customHeight="1">
      <c r="A40" s="4"/>
      <c r="B40" s="21" t="s">
        <v>119</v>
      </c>
      <c r="C40" s="26"/>
      <c r="D40" s="27"/>
      <c r="E40" s="27"/>
      <c r="F40" s="28" t="s">
        <v>121</v>
      </c>
      <c r="G40" s="28" t="s">
        <v>121</v>
      </c>
      <c r="H40" s="25" t="s">
        <v>121</v>
      </c>
    </row>
    <row r="41" spans="1:8" ht="13.05" customHeight="1">
      <c r="A41" s="4"/>
      <c r="B41" s="21" t="s">
        <v>122</v>
      </c>
      <c r="C41" s="26"/>
      <c r="D41" s="27"/>
      <c r="E41" s="29"/>
      <c r="F41" s="30">
        <v>117.78</v>
      </c>
      <c r="G41" s="31">
        <v>0.99750000000000005</v>
      </c>
      <c r="H41" s="32"/>
    </row>
    <row r="42" spans="1:8" ht="13.05" customHeight="1">
      <c r="A42" s="4"/>
      <c r="B42" s="21" t="s">
        <v>123</v>
      </c>
      <c r="C42" s="26"/>
      <c r="D42" s="27"/>
      <c r="E42" s="27"/>
      <c r="F42" s="23">
        <v>0.31</v>
      </c>
      <c r="G42" s="33">
        <v>2.5000000000000001E-3</v>
      </c>
      <c r="H42" s="34"/>
    </row>
    <row r="43" spans="1:8" ht="13.05" customHeight="1" thickBot="1">
      <c r="A43" s="4"/>
      <c r="B43" s="35" t="s">
        <v>124</v>
      </c>
      <c r="C43" s="36"/>
      <c r="D43" s="37"/>
      <c r="E43" s="37"/>
      <c r="F43" s="38">
        <v>118.0889456333001</v>
      </c>
      <c r="G43" s="39">
        <v>1</v>
      </c>
      <c r="H43" s="40"/>
    </row>
    <row r="44" spans="1:8" ht="13.05" customHeight="1">
      <c r="A44" s="4"/>
      <c r="B44" s="41"/>
      <c r="C44" s="4"/>
      <c r="D44" s="4"/>
      <c r="E44" s="4"/>
      <c r="F44" s="4"/>
      <c r="G44" s="4"/>
      <c r="H44" s="4"/>
    </row>
    <row r="45" spans="1:8" ht="13.05" customHeight="1">
      <c r="A45" s="4"/>
      <c r="B45" s="41"/>
      <c r="C45" s="4"/>
      <c r="D45" s="4"/>
      <c r="E45" s="4"/>
      <c r="F45" s="4"/>
      <c r="G45" s="4"/>
      <c r="H45" s="4"/>
    </row>
    <row r="50" spans="2:3">
      <c r="B50" s="42" t="s">
        <v>125</v>
      </c>
      <c r="C50" s="4"/>
    </row>
    <row r="51" spans="2:3">
      <c r="B51" s="43" t="s">
        <v>126</v>
      </c>
      <c r="C51" s="43" t="s">
        <v>9</v>
      </c>
    </row>
    <row r="52" spans="2:3">
      <c r="B52" s="44" t="str">
        <f>+B8</f>
        <v>HDFC Bank Limited</v>
      </c>
      <c r="C52" s="45">
        <f>+G8</f>
        <v>0.14710000000000001</v>
      </c>
    </row>
    <row r="53" spans="2:3">
      <c r="B53" s="44" t="str">
        <f t="shared" ref="B53:B58" si="0">+B9</f>
        <v>ICICI Bank Limited</v>
      </c>
      <c r="C53" s="45">
        <f t="shared" ref="C53:C58" si="1">+G9</f>
        <v>9.9199999999999997E-2</v>
      </c>
    </row>
    <row r="54" spans="2:3">
      <c r="B54" s="44" t="str">
        <f t="shared" si="0"/>
        <v>Reliance Industries Limited</v>
      </c>
      <c r="C54" s="45">
        <f t="shared" si="1"/>
        <v>9.0300000000000005E-2</v>
      </c>
    </row>
    <row r="55" spans="2:3">
      <c r="B55" s="44" t="str">
        <f t="shared" si="0"/>
        <v>Infosys Limited</v>
      </c>
      <c r="C55" s="45">
        <f t="shared" si="1"/>
        <v>7.4499999999999997E-2</v>
      </c>
    </row>
    <row r="56" spans="2:3">
      <c r="B56" s="44" t="str">
        <f t="shared" si="0"/>
        <v>ITC Limited</v>
      </c>
      <c r="C56" s="45">
        <f t="shared" si="1"/>
        <v>4.9099999999999998E-2</v>
      </c>
    </row>
    <row r="57" spans="2:3">
      <c r="B57" s="44" t="str">
        <f t="shared" si="0"/>
        <v>Bharti Airtel Limited</v>
      </c>
      <c r="C57" s="45">
        <f t="shared" si="1"/>
        <v>4.6699999999999998E-2</v>
      </c>
    </row>
    <row r="58" spans="2:3">
      <c r="B58" s="44" t="str">
        <f t="shared" si="0"/>
        <v>Larsen &amp; Toubro Limited</v>
      </c>
      <c r="C58" s="45">
        <f t="shared" si="1"/>
        <v>4.6100000000000002E-2</v>
      </c>
    </row>
    <row r="60" spans="2:3">
      <c r="B60" s="42" t="s">
        <v>127</v>
      </c>
    </row>
    <row r="61" spans="2:3">
      <c r="B61" s="43" t="s">
        <v>128</v>
      </c>
      <c r="C61" s="43" t="s">
        <v>9</v>
      </c>
    </row>
    <row r="62" spans="2:3">
      <c r="B62" s="44" t="s">
        <v>129</v>
      </c>
      <c r="C62" s="45">
        <v>0.14710000000000001</v>
      </c>
    </row>
    <row r="63" spans="2:3">
      <c r="B63" s="44" t="s">
        <v>130</v>
      </c>
      <c r="C63" s="45">
        <v>9.9199999999999997E-2</v>
      </c>
    </row>
    <row r="64" spans="2:3">
      <c r="B64" s="44" t="s">
        <v>131</v>
      </c>
      <c r="C64" s="45">
        <v>9.0300000000000005E-2</v>
      </c>
    </row>
    <row r="65" spans="2:6">
      <c r="B65" s="44" t="s">
        <v>132</v>
      </c>
      <c r="C65" s="45">
        <v>0.09</v>
      </c>
    </row>
    <row r="66" spans="2:6">
      <c r="B66" s="44" t="s">
        <v>133</v>
      </c>
      <c r="C66" s="45">
        <v>7.4499999999999997E-2</v>
      </c>
    </row>
    <row r="67" spans="2:6">
      <c r="B67" s="44" t="s">
        <v>134</v>
      </c>
      <c r="C67" s="45">
        <v>4.9099999999999998E-2</v>
      </c>
    </row>
    <row r="68" spans="2:6">
      <c r="B68" s="44" t="s">
        <v>135</v>
      </c>
      <c r="C68" s="45">
        <v>4.6699999999999998E-2</v>
      </c>
    </row>
    <row r="70" spans="2:6">
      <c r="B70" s="42" t="s">
        <v>136</v>
      </c>
    </row>
    <row r="71" spans="2:6">
      <c r="B71" s="43" t="s">
        <v>137</v>
      </c>
      <c r="C71" s="43" t="s">
        <v>9</v>
      </c>
    </row>
    <row r="72" spans="2:6">
      <c r="B72" s="44" t="s">
        <v>138</v>
      </c>
      <c r="C72" s="45">
        <v>0.37909999999999994</v>
      </c>
    </row>
    <row r="73" spans="2:6">
      <c r="B73" s="44" t="s">
        <v>139</v>
      </c>
      <c r="C73" s="45">
        <v>0.15410000000000001</v>
      </c>
    </row>
    <row r="74" spans="2:6">
      <c r="B74" s="44" t="s">
        <v>140</v>
      </c>
      <c r="C74" s="45">
        <v>9.0300000000000005E-2</v>
      </c>
    </row>
    <row r="75" spans="2:6">
      <c r="B75" s="44" t="s">
        <v>141</v>
      </c>
      <c r="C75" s="45">
        <v>8.0500000000000002E-2</v>
      </c>
    </row>
    <row r="76" spans="2:6">
      <c r="F76" s="46" t="s">
        <v>142</v>
      </c>
    </row>
    <row r="77" spans="2:6">
      <c r="B77" s="46" t="s">
        <v>143</v>
      </c>
      <c r="F77" s="46" t="s">
        <v>144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2025-01-08T09:22:02Z</dcterms:created>
  <dcterms:modified xsi:type="dcterms:W3CDTF">2025-01-08T09:22:03Z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2025-01-08T09:22:03Z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e62c58b0-14ca-4264-baa5-16bd78cfb1e9</vt:lpwstr>
  </property>
  <property fmtid="{D5CDD505-2E9C-101B-9397-08002B2CF9AE}" pid="8" name="MSIP_Label_1b7f8449-e5d3-4eba-8da7-ffd6ca5bf3e9_ContentBits">
    <vt:lpwstr>0</vt:lpwstr>
  </property>
</Properties>
</file>