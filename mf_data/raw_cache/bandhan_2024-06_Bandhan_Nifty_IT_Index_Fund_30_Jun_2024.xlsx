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4\June 24\Portfolios\ROM\"/>
    </mc:Choice>
  </mc:AlternateContent>
  <xr:revisionPtr revIDLastSave="0" documentId="8_{3D704AB5-429D-4F82-91F5-197F5EB77E8D}" xr6:coauthVersionLast="47" xr6:coauthVersionMax="47" xr10:uidLastSave="{00000000-0000-0000-0000-000000000000}"/>
  <bookViews>
    <workbookView xWindow="-108" yWindow="-108" windowWidth="41496" windowHeight="16896" xr2:uid="{D5B4521A-98E2-4F63-BD7D-1F4FC37295A7}"/>
  </bookViews>
  <sheets>
    <sheet name="IDF293" sheetId="1" r:id="rId1"/>
  </sheets>
  <definedNames>
    <definedName name="JR_PAGE_ANCHOR_0_53">'IDF293'!$A$2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2" i="1" l="1"/>
  <c r="C41" i="1"/>
  <c r="C40" i="1"/>
  <c r="C39" i="1"/>
  <c r="C38" i="1"/>
  <c r="C37" i="1"/>
  <c r="C36" i="1"/>
</calcChain>
</file>

<file path=xl/sharedStrings.xml><?xml version="1.0" encoding="utf-8"?>
<sst xmlns="http://schemas.openxmlformats.org/spreadsheetml/2006/main" count="103" uniqueCount="76">
  <si>
    <t>IDF293</t>
  </si>
  <si>
    <t>INDEX</t>
  </si>
  <si>
    <t>Portfolio Statement as on June 30,2024</t>
  </si>
  <si>
    <t>Bandhan Nifty IT Index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</si>
  <si>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</si>
  <si>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</si>
  <si>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</si>
  <si>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</si>
  <si>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</si>
  <si>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</si>
  <si>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</si>
  <si>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</si>
  <si>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</si>
  <si>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INFS02</t>
  </si>
  <si>
    <t>Infosys Limited</t>
  </si>
  <si>
    <t>INE009A01021</t>
  </si>
  <si>
    <t>IT - Software</t>
  </si>
  <si>
    <t>TCSL01</t>
  </si>
  <si>
    <t>Tata Consultancy Services Limited</t>
  </si>
  <si>
    <t>INE467B01029</t>
  </si>
  <si>
    <t>HCLT02</t>
  </si>
  <si>
    <t>HCL Technologies Limited</t>
  </si>
  <si>
    <t>INE860A01027</t>
  </si>
  <si>
    <t>TEMA02</t>
  </si>
  <si>
    <t>Tech Mahindra Limited</t>
  </si>
  <si>
    <t>INE669C01036</t>
  </si>
  <si>
    <t>WIPR02</t>
  </si>
  <si>
    <t>Wipro Limited</t>
  </si>
  <si>
    <t>INE075A01022</t>
  </si>
  <si>
    <t>LTIL01</t>
  </si>
  <si>
    <t>LTIMindtree Limited</t>
  </si>
  <si>
    <t>INE214T01019</t>
  </si>
  <si>
    <t>PSYL02</t>
  </si>
  <si>
    <t>Persistent Systems Limited</t>
  </si>
  <si>
    <t>INE262H01021</t>
  </si>
  <si>
    <t>NITL01</t>
  </si>
  <si>
    <t>Coforge Limited</t>
  </si>
  <si>
    <t>INE591G01017</t>
  </si>
  <si>
    <t>BFLS01</t>
  </si>
  <si>
    <t>MphasiS Limited</t>
  </si>
  <si>
    <t>INE356A01018</t>
  </si>
  <si>
    <t>LTTS01</t>
  </si>
  <si>
    <t>L&amp;T Technology Services Limited</t>
  </si>
  <si>
    <t>INE010V01017</t>
  </si>
  <si>
    <t>IT - Services</t>
  </si>
  <si>
    <t>Subtotal</t>
  </si>
  <si>
    <t>(b) UNLISTED</t>
  </si>
  <si>
    <t>NIL</t>
  </si>
  <si>
    <t>Total</t>
  </si>
  <si>
    <t>Money Market Instruments</t>
  </si>
  <si>
    <t>TREPS / Reverse Repo Instrument</t>
  </si>
  <si>
    <t>Triparty Repo</t>
  </si>
  <si>
    <t>OTHERS</t>
  </si>
  <si>
    <t>Cash Margin - CCIL</t>
  </si>
  <si>
    <t>$</t>
  </si>
  <si>
    <t>Net Current Assets</t>
  </si>
  <si>
    <t>GRAND TOTAL</t>
  </si>
  <si>
    <t>$  Less Than 0.01% of NAV</t>
  </si>
  <si>
    <t>Name and exposure to top 7 issuers and stocks</t>
  </si>
  <si>
    <t>Name of the Issuer / Stock</t>
  </si>
  <si>
    <t>Name and exposure to top 7 groups</t>
  </si>
  <si>
    <t>Name of the Group</t>
  </si>
  <si>
    <t>Infosys Group</t>
  </si>
  <si>
    <t>Tata Group</t>
  </si>
  <si>
    <t>HCL Tech Group</t>
  </si>
  <si>
    <t>Mahindra Group</t>
  </si>
  <si>
    <t>Wipro Group</t>
  </si>
  <si>
    <t>L&amp;T Group</t>
  </si>
  <si>
    <t>Persistent Group</t>
  </si>
  <si>
    <t>Name and exposure to top 4 Sectors</t>
  </si>
  <si>
    <t>Name of the Sector</t>
  </si>
  <si>
    <t>Information Technology</t>
  </si>
  <si>
    <t>Clearing Corporation of India Ltd</t>
  </si>
  <si>
    <t>BENCHMARK NAME - NIFTY IT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</si>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</sst>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1" fillId="0" borderId="20" xfId="0" applyFont="1" applyBorder="1"/>
    <xf numFmtId="0" fontId="0" fillId="0" borderId="20" xfId="0" applyBorder="1"/>
    <xf numFmtId="165" fontId="0" fillId="0" borderId="20" xfId="0" applyNumberForma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60</xdr:row>
      <xdr:rowOff>0</xdr:rowOff>
    </xdr:from>
    <xdr:to>
      <xdr:col>2</xdr:col>
      <xdr:colOff>91440</xdr:colOff>
      <xdr:row>70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DBCB5A-F194-4D36-B96B-019677FE741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067562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60</xdr:row>
      <xdr:rowOff>0</xdr:rowOff>
    </xdr:from>
    <xdr:to>
      <xdr:col>7</xdr:col>
      <xdr:colOff>571500</xdr:colOff>
      <xdr:row>70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DCDE063-7046-4258-8CD6-83F6625769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5560" y="1067562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18657-9BB2-4298-A017-C4E4B2736D1A}">
  <sheetPr codeName="Sheet53">
    <outlinePr summaryBelow="0"/>
  </sheetPr>
  <dimension ref="A1:K59"/>
  <sheetViews>
    <sheetView tabSelected="1" topLeftCell="A54" workbookViewId="0">
      <selection activeCell="K20" sqref="K20"/>
    </sheetView>
  </sheetViews>
  <sheetFormatPr defaultRowHeight="14.4"/>
  <cols>
    <col min="1" max="1" width="3.33203125" customWidth="1"/>
    <col min="2" max="2" width="40.33203125" customWidth="1"/>
    <col min="3" max="3" width="16.6640625" customWidth="1"/>
    <col min="4" max="4" width="16.109375" customWidth="1"/>
    <col min="5" max="8" width="16.6640625" customWidth="1"/>
  </cols>
  <sheetData>
    <row r="1" spans="1:8">
      <c r="A1" s="1" t="s">
        <v>0</v>
      </c>
    </row>
    <row r="2" spans="1:8" ht="16.05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3.05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3.05" customHeight="1" thickBot="1">
      <c r="A4" s="5"/>
      <c r="B4" s="4"/>
      <c r="C4" s="4"/>
      <c r="D4" s="4"/>
      <c r="E4" s="4"/>
      <c r="F4" s="4"/>
      <c r="G4" s="4"/>
      <c r="H4" s="4"/>
    </row>
    <row r="5" spans="1:8" ht="28.05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3.05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3.05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3.05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32891</v>
      </c>
      <c r="F8" s="18">
        <v>515.32000000000005</v>
      </c>
      <c r="G8" s="19">
        <v>0.26960000000000001</v>
      </c>
      <c r="H8" s="20"/>
    </row>
    <row r="9" spans="1:8" ht="13.05" customHeight="1">
      <c r="A9" s="15" t="s">
        <v>17</v>
      </c>
      <c r="B9" s="16" t="s">
        <v>18</v>
      </c>
      <c r="C9" s="12" t="s">
        <v>19</v>
      </c>
      <c r="D9" s="13" t="s">
        <v>16</v>
      </c>
      <c r="E9" s="17">
        <v>12125</v>
      </c>
      <c r="F9" s="18">
        <v>473.38</v>
      </c>
      <c r="G9" s="19">
        <v>0.2477</v>
      </c>
      <c r="H9" s="20"/>
    </row>
    <row r="10" spans="1:8" ht="13.05" customHeight="1">
      <c r="A10" s="15" t="s">
        <v>20</v>
      </c>
      <c r="B10" s="16" t="s">
        <v>21</v>
      </c>
      <c r="C10" s="12" t="s">
        <v>22</v>
      </c>
      <c r="D10" s="13" t="s">
        <v>16</v>
      </c>
      <c r="E10" s="17">
        <v>12667</v>
      </c>
      <c r="F10" s="18">
        <v>184.89</v>
      </c>
      <c r="G10" s="19">
        <v>9.6699999999999994E-2</v>
      </c>
      <c r="H10" s="20"/>
    </row>
    <row r="11" spans="1:8" ht="13.05" customHeight="1">
      <c r="A11" s="15" t="s">
        <v>23</v>
      </c>
      <c r="B11" s="16" t="s">
        <v>24</v>
      </c>
      <c r="C11" s="12" t="s">
        <v>25</v>
      </c>
      <c r="D11" s="13" t="s">
        <v>16</v>
      </c>
      <c r="E11" s="17">
        <v>12846</v>
      </c>
      <c r="F11" s="18">
        <v>183.74</v>
      </c>
      <c r="G11" s="19">
        <v>9.6100000000000005E-2</v>
      </c>
      <c r="H11" s="20"/>
    </row>
    <row r="12" spans="1:8" ht="13.05" customHeight="1">
      <c r="A12" s="15" t="s">
        <v>26</v>
      </c>
      <c r="B12" s="16" t="s">
        <v>27</v>
      </c>
      <c r="C12" s="12" t="s">
        <v>28</v>
      </c>
      <c r="D12" s="13" t="s">
        <v>16</v>
      </c>
      <c r="E12" s="17">
        <v>32595</v>
      </c>
      <c r="F12" s="18">
        <v>167.82</v>
      </c>
      <c r="G12" s="19">
        <v>8.7800000000000003E-2</v>
      </c>
      <c r="H12" s="20"/>
    </row>
    <row r="13" spans="1:8" ht="13.05" customHeight="1">
      <c r="A13" s="15" t="s">
        <v>29</v>
      </c>
      <c r="B13" s="16" t="s">
        <v>30</v>
      </c>
      <c r="C13" s="12" t="s">
        <v>31</v>
      </c>
      <c r="D13" s="13" t="s">
        <v>16</v>
      </c>
      <c r="E13" s="17">
        <v>2119</v>
      </c>
      <c r="F13" s="18">
        <v>114.11</v>
      </c>
      <c r="G13" s="19">
        <v>5.9700000000000003E-2</v>
      </c>
      <c r="H13" s="20"/>
    </row>
    <row r="14" spans="1:8" ht="13.05" customHeight="1">
      <c r="A14" s="15" t="s">
        <v>32</v>
      </c>
      <c r="B14" s="16" t="s">
        <v>33</v>
      </c>
      <c r="C14" s="12" t="s">
        <v>34</v>
      </c>
      <c r="D14" s="13" t="s">
        <v>16</v>
      </c>
      <c r="E14" s="17">
        <v>2418</v>
      </c>
      <c r="F14" s="18">
        <v>102.56</v>
      </c>
      <c r="G14" s="19">
        <v>5.3699999999999998E-2</v>
      </c>
      <c r="H14" s="20"/>
    </row>
    <row r="15" spans="1:8" ht="13.05" customHeight="1">
      <c r="A15" s="15" t="s">
        <v>35</v>
      </c>
      <c r="B15" s="16" t="s">
        <v>36</v>
      </c>
      <c r="C15" s="12" t="s">
        <v>37</v>
      </c>
      <c r="D15" s="13" t="s">
        <v>16</v>
      </c>
      <c r="E15" s="17">
        <v>1524</v>
      </c>
      <c r="F15" s="18">
        <v>83.19</v>
      </c>
      <c r="G15" s="19">
        <v>4.3499999999999997E-2</v>
      </c>
      <c r="H15" s="20"/>
    </row>
    <row r="16" spans="1:8" ht="13.05" customHeight="1">
      <c r="A16" s="15" t="s">
        <v>38</v>
      </c>
      <c r="B16" s="16" t="s">
        <v>39</v>
      </c>
      <c r="C16" s="12" t="s">
        <v>40</v>
      </c>
      <c r="D16" s="13" t="s">
        <v>16</v>
      </c>
      <c r="E16" s="17">
        <v>1920</v>
      </c>
      <c r="F16" s="18">
        <v>47.17</v>
      </c>
      <c r="G16" s="19">
        <v>2.47E-2</v>
      </c>
      <c r="H16" s="20"/>
    </row>
    <row r="17" spans="1:11" ht="13.05" customHeight="1">
      <c r="A17" s="15" t="s">
        <v>41</v>
      </c>
      <c r="B17" s="16" t="s">
        <v>42</v>
      </c>
      <c r="C17" s="12" t="s">
        <v>43</v>
      </c>
      <c r="D17" s="13" t="s">
        <v>44</v>
      </c>
      <c r="E17" s="17">
        <v>635</v>
      </c>
      <c r="F17" s="18">
        <v>31.17</v>
      </c>
      <c r="G17" s="19">
        <v>1.6299999999999999E-2</v>
      </c>
      <c r="H17" s="20"/>
    </row>
    <row r="18" spans="1:11" ht="13.05" customHeight="1">
      <c r="A18" s="4"/>
      <c r="B18" s="21" t="s">
        <v>45</v>
      </c>
      <c r="C18" s="22"/>
      <c r="D18" s="21"/>
      <c r="E18" s="21"/>
      <c r="F18" s="23">
        <v>1903.35</v>
      </c>
      <c r="G18" s="24">
        <v>0.99580000000000002</v>
      </c>
      <c r="H18" s="25"/>
    </row>
    <row r="19" spans="1:11" ht="13.05" customHeight="1">
      <c r="A19" s="4"/>
      <c r="B19" s="11" t="s">
        <v>46</v>
      </c>
      <c r="C19" s="26"/>
      <c r="D19" s="27"/>
      <c r="E19" s="27"/>
      <c r="F19" s="28" t="s">
        <v>47</v>
      </c>
      <c r="G19" s="28" t="s">
        <v>47</v>
      </c>
      <c r="H19" s="25" t="s">
        <v>47</v>
      </c>
    </row>
    <row r="20" spans="1:11" ht="13.05" customHeight="1">
      <c r="A20" s="4"/>
      <c r="B20" s="21" t="s">
        <v>45</v>
      </c>
      <c r="C20" s="26"/>
      <c r="D20" s="27"/>
      <c r="E20" s="27"/>
      <c r="F20" s="28" t="s">
        <v>47</v>
      </c>
      <c r="G20" s="28" t="s">
        <v>47</v>
      </c>
      <c r="H20" s="25" t="s">
        <v>47</v>
      </c>
      <c r="K20" s="1"/>
    </row>
    <row r="21" spans="1:11" ht="13.05" customHeight="1">
      <c r="A21" s="4"/>
      <c r="B21" s="21" t="s">
        <v>48</v>
      </c>
      <c r="C21" s="26"/>
      <c r="D21" s="27"/>
      <c r="E21" s="29"/>
      <c r="F21" s="30">
        <v>1903.35</v>
      </c>
      <c r="G21" s="31">
        <v>0.99580000000000002</v>
      </c>
      <c r="H21" s="32"/>
    </row>
    <row r="22" spans="1:11" ht="13.05" customHeight="1">
      <c r="A22" s="4"/>
      <c r="B22" s="11" t="s">
        <v>49</v>
      </c>
      <c r="C22" s="12"/>
      <c r="D22" s="13"/>
      <c r="E22" s="13"/>
      <c r="F22" s="13"/>
      <c r="G22" s="13"/>
      <c r="H22" s="14"/>
    </row>
    <row r="23" spans="1:11" ht="13.05" customHeight="1">
      <c r="A23" s="4"/>
      <c r="B23" s="33" t="s">
        <v>50</v>
      </c>
      <c r="C23" s="12"/>
      <c r="D23" s="13"/>
      <c r="E23" s="13"/>
      <c r="F23" s="13"/>
      <c r="G23" s="13"/>
      <c r="H23" s="14"/>
    </row>
    <row r="24" spans="1:11" ht="13.05" customHeight="1">
      <c r="A24" s="5"/>
      <c r="B24" s="16" t="s">
        <v>51</v>
      </c>
      <c r="C24" s="12"/>
      <c r="D24" s="13"/>
      <c r="E24" s="34"/>
      <c r="F24" s="18">
        <v>3.84</v>
      </c>
      <c r="G24" s="19">
        <v>2E-3</v>
      </c>
      <c r="H24" s="20">
        <v>6.6141449249999998E-2</v>
      </c>
    </row>
    <row r="25" spans="1:11" ht="13.05" customHeight="1">
      <c r="A25" s="4"/>
      <c r="B25" s="21" t="s">
        <v>48</v>
      </c>
      <c r="C25" s="26"/>
      <c r="D25" s="27"/>
      <c r="E25" s="29"/>
      <c r="F25" s="30">
        <v>3.84</v>
      </c>
      <c r="G25" s="31">
        <v>2E-3</v>
      </c>
      <c r="H25" s="32"/>
    </row>
    <row r="26" spans="1:11" ht="13.05" customHeight="1">
      <c r="A26" s="4"/>
      <c r="B26" s="33" t="s">
        <v>52</v>
      </c>
      <c r="C26" s="35"/>
      <c r="D26" s="36"/>
      <c r="E26" s="36"/>
      <c r="F26" s="36"/>
      <c r="G26" s="36"/>
      <c r="H26" s="37"/>
    </row>
    <row r="27" spans="1:11" ht="13.05" customHeight="1">
      <c r="A27" s="4"/>
      <c r="B27" s="27" t="s">
        <v>53</v>
      </c>
      <c r="C27" s="26"/>
      <c r="D27" s="27"/>
      <c r="E27" s="27"/>
      <c r="F27" s="23">
        <v>0.06</v>
      </c>
      <c r="G27" s="38" t="s">
        <v>54</v>
      </c>
      <c r="H27" s="37"/>
    </row>
    <row r="28" spans="1:11" ht="13.05" customHeight="1">
      <c r="A28" s="4"/>
      <c r="B28" s="21" t="s">
        <v>45</v>
      </c>
      <c r="C28" s="22"/>
      <c r="D28" s="21"/>
      <c r="E28" s="21"/>
      <c r="F28" s="23">
        <v>0.06</v>
      </c>
      <c r="G28" s="38" t="s">
        <v>54</v>
      </c>
      <c r="H28" s="37"/>
    </row>
    <row r="29" spans="1:11" ht="13.05" customHeight="1">
      <c r="A29" s="4"/>
      <c r="B29" s="21" t="s">
        <v>55</v>
      </c>
      <c r="C29" s="26"/>
      <c r="D29" s="27"/>
      <c r="E29" s="27"/>
      <c r="F29" s="23">
        <v>3.93</v>
      </c>
      <c r="G29" s="39">
        <v>2.2000000000000001E-3</v>
      </c>
      <c r="H29" s="37"/>
    </row>
    <row r="30" spans="1:11" ht="13.05" customHeight="1" thickBot="1">
      <c r="A30" s="4"/>
      <c r="B30" s="40" t="s">
        <v>56</v>
      </c>
      <c r="C30" s="41"/>
      <c r="D30" s="42"/>
      <c r="E30" s="42"/>
      <c r="F30" s="43">
        <v>1911.1804224355001</v>
      </c>
      <c r="G30" s="44">
        <v>1</v>
      </c>
      <c r="H30" s="45"/>
    </row>
    <row r="31" spans="1:11" ht="13.05" customHeight="1">
      <c r="A31" s="4"/>
      <c r="B31" s="46"/>
      <c r="C31" s="4"/>
      <c r="D31" s="4"/>
      <c r="E31" s="4"/>
      <c r="F31" s="4"/>
      <c r="G31" s="4"/>
      <c r="H31" s="4"/>
    </row>
    <row r="32" spans="1:11" ht="13.05" customHeight="1">
      <c r="A32" s="4"/>
      <c r="B32" s="46" t="s">
        <v>57</v>
      </c>
      <c r="C32" s="4"/>
      <c r="D32" s="4"/>
      <c r="E32" s="4"/>
      <c r="F32" s="4"/>
      <c r="G32" s="4"/>
      <c r="H32" s="4"/>
    </row>
    <row r="34" spans="2:3" ht="28.8">
      <c r="B34" s="47" t="s">
        <v>58</v>
      </c>
      <c r="C34" s="4"/>
    </row>
    <row r="35" spans="2:3">
      <c r="B35" s="48" t="s">
        <v>59</v>
      </c>
      <c r="C35" s="48" t="s">
        <v>9</v>
      </c>
    </row>
    <row r="36" spans="2:3">
      <c r="B36" s="49" t="s">
        <v>14</v>
      </c>
      <c r="C36" s="50">
        <f>+G8</f>
        <v>0.26960000000000001</v>
      </c>
    </row>
    <row r="37" spans="2:3">
      <c r="B37" s="49" t="s">
        <v>18</v>
      </c>
      <c r="C37" s="50">
        <f t="shared" ref="C37:C42" si="0">+G9</f>
        <v>0.2477</v>
      </c>
    </row>
    <row r="38" spans="2:3">
      <c r="B38" s="49" t="s">
        <v>21</v>
      </c>
      <c r="C38" s="50">
        <f t="shared" si="0"/>
        <v>9.6699999999999994E-2</v>
      </c>
    </row>
    <row r="39" spans="2:3">
      <c r="B39" s="49" t="s">
        <v>24</v>
      </c>
      <c r="C39" s="50">
        <f t="shared" si="0"/>
        <v>9.6100000000000005E-2</v>
      </c>
    </row>
    <row r="40" spans="2:3">
      <c r="B40" s="49" t="s">
        <v>27</v>
      </c>
      <c r="C40" s="50">
        <f t="shared" si="0"/>
        <v>8.7800000000000003E-2</v>
      </c>
    </row>
    <row r="41" spans="2:3">
      <c r="B41" s="49" t="s">
        <v>30</v>
      </c>
      <c r="C41" s="50">
        <f t="shared" si="0"/>
        <v>5.9700000000000003E-2</v>
      </c>
    </row>
    <row r="42" spans="2:3">
      <c r="B42" s="49" t="s">
        <v>33</v>
      </c>
      <c r="C42" s="50">
        <f t="shared" si="0"/>
        <v>5.3699999999999998E-2</v>
      </c>
    </row>
    <row r="44" spans="2:3">
      <c r="B44" s="47" t="s">
        <v>60</v>
      </c>
    </row>
    <row r="45" spans="2:3">
      <c r="B45" s="48" t="s">
        <v>61</v>
      </c>
      <c r="C45" s="48" t="s">
        <v>9</v>
      </c>
    </row>
    <row r="46" spans="2:3">
      <c r="B46" s="49" t="s">
        <v>62</v>
      </c>
      <c r="C46" s="50">
        <v>0.26960000000000001</v>
      </c>
    </row>
    <row r="47" spans="2:3">
      <c r="B47" s="49" t="s">
        <v>63</v>
      </c>
      <c r="C47" s="50">
        <v>0.2477</v>
      </c>
    </row>
    <row r="48" spans="2:3">
      <c r="B48" s="49" t="s">
        <v>64</v>
      </c>
      <c r="C48" s="50">
        <v>9.6699999999999994E-2</v>
      </c>
    </row>
    <row r="49" spans="2:6">
      <c r="B49" s="49" t="s">
        <v>65</v>
      </c>
      <c r="C49" s="50">
        <v>9.6100000000000005E-2</v>
      </c>
    </row>
    <row r="50" spans="2:6">
      <c r="B50" s="49" t="s">
        <v>66</v>
      </c>
      <c r="C50" s="50">
        <v>8.7800000000000003E-2</v>
      </c>
    </row>
    <row r="51" spans="2:6">
      <c r="B51" s="49" t="s">
        <v>67</v>
      </c>
      <c r="C51" s="50">
        <v>5.9700000000000003E-2</v>
      </c>
    </row>
    <row r="52" spans="2:6">
      <c r="B52" s="49" t="s">
        <v>68</v>
      </c>
      <c r="C52" s="50">
        <v>5.3699999999999998E-2</v>
      </c>
    </row>
    <row r="54" spans="2:6">
      <c r="B54" s="47" t="s">
        <v>69</v>
      </c>
    </row>
    <row r="55" spans="2:6">
      <c r="B55" s="48" t="s">
        <v>70</v>
      </c>
      <c r="C55" s="48" t="s">
        <v>9</v>
      </c>
    </row>
    <row r="56" spans="2:6">
      <c r="B56" s="49" t="s">
        <v>71</v>
      </c>
      <c r="C56" s="50">
        <v>0.9957999999999998</v>
      </c>
    </row>
    <row r="57" spans="2:6">
      <c r="B57" s="49" t="s">
        <v>72</v>
      </c>
      <c r="C57" s="50">
        <v>2E-3</v>
      </c>
    </row>
    <row r="58" spans="2:6">
      <c r="F58" s="51" t="s">
        <v>73</v>
      </c>
    </row>
    <row r="59" spans="2:6">
      <c r="B59" s="51" t="s">
        <v>74</v>
      </c>
      <c r="F59" s="51" t="s">
        <v>75</v>
      </c>
    </row>
  </sheetData>
  <mergeCells count="2">
    <mergeCell ref="B2:G2"/>
    <mergeCell ref="B3:G3"/>
  </mergeCells>
  <pageMargins left="0" right="0" top="0" bottom="0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IDF293</vt:lpstr>
      <vt:lpstr>JR_PAGE_ANCHOR_0_53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2024-07-05T18:59:27Z</dcterms:created>
  <dcterms:modified xsi:type="dcterms:W3CDTF">2024-07-05T18:59:28Z</dcterms:modified>
</cp:coreProperties>
</file>